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tate OV" sheetId="2" r:id="rId6"/>
    <sheet state="visible" name="Recall List" sheetId="3" r:id="rId7"/>
    <sheet state="visible" name="Categorizations" sheetId="4" r:id="rId8"/>
    <sheet state="visible" name="Pesticides" sheetId="5" r:id="rId9"/>
    <sheet state="visible" name="ID To Products" sheetId="6" r:id="rId10"/>
    <sheet state="visible" name="MSO" sheetId="7" r:id="rId11"/>
    <sheet state="visible" name="Batches" sheetId="8" r:id="rId12"/>
    <sheet state="visible" name="Copy of Copy of Copy of Advisor" sheetId="9" r:id="rId13"/>
    <sheet state="visible" name="Copy of Copy of Copy of Copy of" sheetId="10" r:id="rId14"/>
    <sheet state="visible" name="Copy of Copy of Batches" sheetId="11" r:id="rId1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tc={3de11c0d-3db6-4700-ad42-06dd71cc82cd}</author>
    <author>tc={4d233135-144d-4563-86ee-4d170d1a7e25}</author>
    <author>tc={5a0cd1a2-1c32-4ee5-bada-5e36a81fa78d}</author>
    <author>tc={97e9dfa5-3640-4c19-bca5-096382dc7a7a}</author>
    <author>tc={d69d08e7-34c4-4f85-ae52-70d92fa77533}</author>
  </authors>
  <commentList>
    <comment authorId="0" xr:uid="{3de11c0d-3db6-4700-ad42-06dd71cc82cd}" ref="M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Earliest Date on Recalled Product
</t>
      </text>
    </comment>
    <comment authorId="1" xr:uid="{4d233135-144d-4563-86ee-4d170d1a7e25}" ref="L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Earliest Date on Recalled product
</t>
      </text>
    </comment>
    <comment authorId="2" xr:uid="{5a0cd1a2-1c32-4ee5-bada-5e36a81fa78d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"embargo date' in OK, in some states 'business recall date (CO), or the difference between the date the state was aware and the date they made the announcement.
</t>
      </text>
    </comment>
    <comment authorId="3" xr:uid="{97e9dfa5-3640-4c19-bca5-096382dc7a7a}" ref="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Mandatory: indicated Mandatory; Voluntary indicated Voluntary; Non-Voluntary in a state that records voluntary but has not indicated this one is voluntary, null - no type listed
</t>
      </text>
    </comment>
    <comment authorId="4" xr:uid="{d69d08e7-34c4-4f85-ae52-70d92fa77533}" ref="G3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Possibly Wax Infused
</t>
      </text>
    </comment>
  </commentList>
</comments>
</file>

<file path=xl/sharedStrings.xml><?xml version="1.0" encoding="utf-8"?>
<sst xmlns="http://schemas.openxmlformats.org/spreadsheetml/2006/main" count="50676" uniqueCount="7685">
  <si>
    <t>State</t>
  </si>
  <si>
    <t xml:space="preserve">INcludes additional information regarding business recall date / annoucnement date (am using businesse recall date for now) </t>
  </si>
  <si>
    <t>CA</t>
  </si>
  <si>
    <t xml:space="preserve">Product Type would have to be fully captured again </t>
  </si>
  <si>
    <t>Data</t>
  </si>
  <si>
    <t>Adulterated: Prohibited Product</t>
  </si>
  <si>
    <t>Recall Page Link</t>
  </si>
  <si>
    <t>Update Date</t>
  </si>
  <si>
    <t>notes</t>
  </si>
  <si>
    <t>Alaska</t>
  </si>
  <si>
    <t>No</t>
  </si>
  <si>
    <t>https://www.commerce.alaska.gov/web/amco/</t>
  </si>
  <si>
    <t>The new style of categorized pesticides hides the practices from consumers, and which pesticides they may have been exposed to</t>
  </si>
  <si>
    <t>Reason</t>
  </si>
  <si>
    <t>Category</t>
  </si>
  <si>
    <t>Tight Cat</t>
  </si>
  <si>
    <r>
      <rPr/>
      <t xml:space="preserve">for connectedcannabis co _ why are there two different companies listed as the legal business name? which is correct? All point to same business website (https://recalls.cannabis.ca.gov/recalls/6761f90394a546fcd1a8843a, </t>
    </r>
    <r>
      <rPr>
        <color rgb="FF1155CC"/>
        <u/>
      </rPr>
      <t>https://recalls.cannabis.ca.gov/recalls/6761c1de449a15805975db10)</t>
    </r>
  </si>
  <si>
    <t>Bifenthrin and Chlorfenapyr</t>
  </si>
  <si>
    <t>Pesticides</t>
  </si>
  <si>
    <t>It's not only for recalls, so it doesn't count</t>
  </si>
  <si>
    <t>Arizona</t>
  </si>
  <si>
    <t>Yes</t>
  </si>
  <si>
    <t>https://www.azdhs.gov/director/public-information-office/index.php#releases-adhs</t>
  </si>
  <si>
    <t xml:space="preserve">What is 'invalid batch testing' (see 'Canna America Live Resin Integrated Vaporizer') </t>
  </si>
  <si>
    <t>ID</t>
  </si>
  <si>
    <t>Pyrethrins and Piperonyl butoxide</t>
  </si>
  <si>
    <t xml:space="preserve">Lab isn't listed on recall notcied (note the amount of recalls around 2/205 like https://docs.google.com/spreadsheets/d/10YkN4Rqg58UGLMEH5R_pS1_9uNAoTdNG2UDLxc21FXs/edit?gid=665012503#gid=665012503 being recalled for incomplete testing due to no solvent testing </t>
  </si>
  <si>
    <t xml:space="preserve">Why different business names for Tonik Beverages? (go NXT LVL
 vs. baked betty's) </t>
  </si>
  <si>
    <t xml:space="preserve">So interesting that not one of the Oakfruitland (OFL) Pre-Roll had dates on the packaging! Wildf! </t>
  </si>
  <si>
    <t>Why was the Honey Edible recall given over a month betrween business recall and pub date? (https://recalls.cannabis.ca.gov/recalls/67f44320ef33cec4b8c75618)</t>
  </si>
  <si>
    <t>Abamectin</t>
  </si>
  <si>
    <t xml:space="preserve">Weird no dates for ( smartweed flower) </t>
  </si>
  <si>
    <t>Business Recall Date</t>
  </si>
  <si>
    <t xml:space="preserve">Adulterated: other is far too large, and isn't allowing CA good granularity Includes distributor without distributor license, no GMP, etc. </t>
  </si>
  <si>
    <t>Arkansas</t>
  </si>
  <si>
    <t xml:space="preserve">Many of CO's Health Advisories do not contain information about the product </t>
  </si>
  <si>
    <t>California</t>
  </si>
  <si>
    <t>imidacloprid and myclobutanil</t>
  </si>
  <si>
    <t>https://www.cannabis.ca.gov/consumers/cannabis-recalls-and-safety-notices/</t>
  </si>
  <si>
    <t>Reg Recall Ann</t>
  </si>
  <si>
    <t>https://drive.google.com/file/d/1_wFzm3GOJfzE6tmSqIhIcyvtI8ocZJDf/view - this case has batches that had Total Yeast and Mold but also identified other batches that were in teh same space as the contaminants</t>
  </si>
  <si>
    <t>Extensive Now</t>
  </si>
  <si>
    <t>Colorado</t>
  </si>
  <si>
    <t>https://sbg.colorado.gov/med/health-and-safety-advisories</t>
  </si>
  <si>
    <t>permethrin, spiromesifen</t>
  </si>
  <si>
    <t>Assuming 'elemental impurities' in the CO dataset indicate heavy metals</t>
  </si>
  <si>
    <t>Doc Link</t>
  </si>
  <si>
    <t>CO Expansion: Includes a new pesticde :https://drive.google.com/file/d/155K5itnbbcG9r6nxemU_8UHDu709cMJB/view</t>
  </si>
  <si>
    <t>Why so amny actions in CO on 1/22</t>
  </si>
  <si>
    <t>CT -= JFC</t>
  </si>
  <si>
    <t>Type</t>
  </si>
  <si>
    <t xml:space="preserve">Maine - Great site to show recall information, very complete! </t>
  </si>
  <si>
    <t>massachusetts not including producer name n'at</t>
  </si>
  <si>
    <t>press releases; not recalls, health advisories</t>
  </si>
  <si>
    <t>Connecticut</t>
  </si>
  <si>
    <t>malathion</t>
  </si>
  <si>
    <t>No Centralized Page found, but recalls evident</t>
  </si>
  <si>
    <t>Product Type</t>
  </si>
  <si>
    <t>https://masscannabiscontrol.com/2025/08/notice-massachusetts-cannabis-control-commission-public-health-and-safety-advisory-contaminated-and-potentially-contaminated-marijuana-products-august-6-2025/</t>
  </si>
  <si>
    <t>Delaware</t>
  </si>
  <si>
    <t>Brand Name / Product Name</t>
  </si>
  <si>
    <t>Florida</t>
  </si>
  <si>
    <t>Georgia</t>
  </si>
  <si>
    <t>Company / Producer</t>
  </si>
  <si>
    <t>Ethephon</t>
  </si>
  <si>
    <t>Hawaii</t>
  </si>
  <si>
    <t>MSO</t>
  </si>
  <si>
    <t>Illinois</t>
  </si>
  <si>
    <t>Dated?</t>
  </si>
  <si>
    <t>Kentucky</t>
  </si>
  <si>
    <t>MS - recall and remediation?  eeeeew</t>
  </si>
  <si>
    <t>unspecified pesticide</t>
  </si>
  <si>
    <t>Ohio has two classes of recall at least - II and I  (https://com.ohio.gov/divisions-and-programs/cannabis-control/product-safety/yyy-product-recall-2024-04)</t>
  </si>
  <si>
    <t>Harvest or Package Date</t>
  </si>
  <si>
    <t>Louisiana</t>
  </si>
  <si>
    <r>
      <rPr/>
      <t xml:space="preserve">Oregon's reference lab: </t>
    </r>
    <r>
      <rPr>
        <color rgb="FF1155CC"/>
        <u/>
      </rPr>
      <t>https://content.govdelivery.com/accounts/OLCC/bulletins/3c9046e</t>
    </r>
  </si>
  <si>
    <t>Maine</t>
  </si>
  <si>
    <t>https://www.maine.gov/dafs/ocp/resources/recalls</t>
  </si>
  <si>
    <t>Sale Date</t>
  </si>
  <si>
    <t>Diuron</t>
  </si>
  <si>
    <t>Source</t>
  </si>
  <si>
    <t xml:space="preserve">Is anyone looking at how long product stays on shelves post recall? For those states that don't track this stuff </t>
  </si>
  <si>
    <t>New</t>
  </si>
  <si>
    <t>Maryland</t>
  </si>
  <si>
    <t>improvements</t>
  </si>
  <si>
    <t>product type completion</t>
  </si>
  <si>
    <t>Massachusetts</t>
  </si>
  <si>
    <t>Column 1</t>
  </si>
  <si>
    <t>https://masscannabiscontrol.com/news/public-health-and-safety-advisories/</t>
  </si>
  <si>
    <t>Bifenthrin and Diuron</t>
  </si>
  <si>
    <t>batch work completion</t>
  </si>
  <si>
    <t>state by state recall scorecard</t>
  </si>
  <si>
    <t>Actual Full database back end.</t>
  </si>
  <si>
    <t xml:space="preserve">ability to appropriately tie multiple reasons </t>
  </si>
  <si>
    <t>Michigan</t>
  </si>
  <si>
    <t>Pyriproxyfen</t>
  </si>
  <si>
    <t>https://www.michigan.gov/cra/bulletins</t>
  </si>
  <si>
    <t>43781AlaskaCalm N Collective, LLC</t>
  </si>
  <si>
    <t>Minnesota</t>
  </si>
  <si>
    <t>https://mn.gov/ocm/businesses/recalls.jsp</t>
  </si>
  <si>
    <t>Myclobutanil, Bifenazate, Avermectin, and Imidacloprid</t>
  </si>
  <si>
    <t>https://www.commerce.alaska.gov/web/Portals/9/pub/MCB/Minutes/2020/01.23/Tab6.pdf#page=7</t>
  </si>
  <si>
    <t xml:space="preserve">...only hemp recalls?  Really? </t>
  </si>
  <si>
    <t>Mississippi</t>
  </si>
  <si>
    <t>https://www.mmcp.ms.gov/compliance/compliance-bulletins-announcements</t>
  </si>
  <si>
    <t>Pyrimethanil, Tebuconazole, and Spinosyn</t>
  </si>
  <si>
    <t>Missouri</t>
  </si>
  <si>
    <t>https://health.mo.gov/safety/cannabis/recalls.php</t>
  </si>
  <si>
    <t>Imidacloprid, Spiromesifin, Myclobutanil, and Avermectin</t>
  </si>
  <si>
    <t>Mandatory</t>
  </si>
  <si>
    <t>Montana</t>
  </si>
  <si>
    <t>https://revenue.mt.gov/card/cannabis/cannabis-product-recalls</t>
  </si>
  <si>
    <t>Unspecified</t>
  </si>
  <si>
    <t>Myclobutanil and Spinosyn</t>
  </si>
  <si>
    <t>Calm N Collective</t>
  </si>
  <si>
    <t>but have no recalls yet</t>
  </si>
  <si>
    <t>Calm N Collective, LLC</t>
  </si>
  <si>
    <t>Nevada</t>
  </si>
  <si>
    <t>Propiconazole</t>
  </si>
  <si>
    <t>https://ccb.nv.gov/guidance/#item-1</t>
  </si>
  <si>
    <t>N</t>
  </si>
  <si>
    <t>New Hampshire</t>
  </si>
  <si>
    <t>Myclobutanil and Spiromesifin</t>
  </si>
  <si>
    <t>New Jersey</t>
  </si>
  <si>
    <t>https://www.nj.gov/cannabis/adult-personal/recalls/</t>
  </si>
  <si>
    <t>Clonex, Root Pac, Big Time Exterminator, Super Thrive</t>
  </si>
  <si>
    <t>State Page</t>
  </si>
  <si>
    <t>None listed; some in press</t>
  </si>
  <si>
    <t>New Mexico</t>
  </si>
  <si>
    <t>Myclobutanil</t>
  </si>
  <si>
    <t>https://www.rld.nm.gov/cannabis/data-news/cannabis-recalls/</t>
  </si>
  <si>
    <t>Etoxazole</t>
  </si>
  <si>
    <t>New York</t>
  </si>
  <si>
    <t>https://cannabis.ny.gov/recalls</t>
  </si>
  <si>
    <t>Azoxystrobin and Imidacloprid</t>
  </si>
  <si>
    <t>It says they will be posted on that page but the unregulated hemp products they recalled aren't included.</t>
  </si>
  <si>
    <t>North Dakota</t>
  </si>
  <si>
    <t>Ohio</t>
  </si>
  <si>
    <t>https://com.ohio.gov/divisions-and-programs/cannabis-control/product-safety</t>
  </si>
  <si>
    <t>Avermectin</t>
  </si>
  <si>
    <t>One from December not included</t>
  </si>
  <si>
    <t>Oklahoma</t>
  </si>
  <si>
    <t>https://oklahoma.gov/omma/recalls/embargoed-and-recalled-products.html</t>
  </si>
  <si>
    <t>44988AlaskaWill’s World Extracts</t>
  </si>
  <si>
    <t>Spiromesifin</t>
  </si>
  <si>
    <t>Oregon</t>
  </si>
  <si>
    <t>https://www.oregon.gov/olcc/Pages/product-recalls.aspx</t>
  </si>
  <si>
    <t>https://www.commerce.alaska.gov/web/Portals/9/pub/HomePage/Press%20Release/Director%20Advisory.administrativehold.3.2.23.final%20(2).pdf</t>
  </si>
  <si>
    <t>Myclobutanil and Avermectin Bla</t>
  </si>
  <si>
    <t>Pennsylvania</t>
  </si>
  <si>
    <t>Rhode Island</t>
  </si>
  <si>
    <t>South Dakota</t>
  </si>
  <si>
    <t>Vermont</t>
  </si>
  <si>
    <t>Washington</t>
  </si>
  <si>
    <t>https://lcb.wa.gov/examiners/recalls</t>
  </si>
  <si>
    <t>Concentrates</t>
  </si>
  <si>
    <t>West Virginia</t>
  </si>
  <si>
    <t>All marijuana concentrates in any form and infused joints manufactured by Will’s World Extracts,</t>
  </si>
  <si>
    <t>District of Columbia</t>
  </si>
  <si>
    <t>Will’s World Extracts</t>
  </si>
  <si>
    <t>Etoxazole and Imidacloprid</t>
  </si>
  <si>
    <t>unregistered and unlicensed THC concentrates</t>
  </si>
  <si>
    <t>State Recall Page</t>
  </si>
  <si>
    <t>Myclobutanil and Etoxazole</t>
  </si>
  <si>
    <t>Myclobutanil and Spinosyn A,</t>
  </si>
  <si>
    <t>Piperonyl butoxide (Pesticide)</t>
  </si>
  <si>
    <r>
      <rPr>
        <rFont val="proxima-nova, Arial, sans-serif"/>
        <color rgb="FF58595B"/>
        <sz val="11.0"/>
      </rPr>
      <t>Imidacloprid</t>
    </r>
  </si>
  <si>
    <r>
      <rPr>
        <rFont val="tahoma, arial, helvetica, sans-serif"/>
        <color rgb="FF58595B"/>
        <sz val="9.0"/>
      </rPr>
      <t>Myclobutanil, Avermectin, and Imidacloprid</t>
    </r>
  </si>
  <si>
    <t>https://www.azdhs.gov/director/public-information-office/index.php#news-release-062321</t>
  </si>
  <si>
    <t>Pyrethrins</t>
  </si>
  <si>
    <t>Piperonyl butoxide</t>
  </si>
  <si>
    <t>Bifenthrin</t>
  </si>
  <si>
    <t>Chlorfenapyr</t>
  </si>
  <si>
    <t>Mycobutanil, Spiromefesin and Imidacloprid</t>
  </si>
  <si>
    <t>myclobutanil and etoxazole</t>
  </si>
  <si>
    <t>Imidacloprid</t>
  </si>
  <si>
    <t>spiromesifen</t>
  </si>
  <si>
    <t>Voluntary</t>
  </si>
  <si>
    <t>permethrin</t>
  </si>
  <si>
    <r>
      <rPr>
        <rFont val="proxima-nova, Arial, sans-serif"/>
        <color rgb="FF58595B"/>
        <sz val="11.0"/>
      </rPr>
      <t>Spiromefesin</t>
    </r>
  </si>
  <si>
    <t>Flower</t>
  </si>
  <si>
    <t>Harvest Platinum 14g Pre Pack Indica Flower (Glazed Apricot Gelato)</t>
  </si>
  <si>
    <t>Harvest Platinum</t>
  </si>
  <si>
    <t>Bifenazate</t>
  </si>
  <si>
    <t>Mycobutanil, Spiromefesin and Avermectin</t>
  </si>
  <si>
    <t>Pyrimethanil</t>
  </si>
  <si>
    <t>Tebuconazole</t>
  </si>
  <si>
    <t>C</t>
  </si>
  <si>
    <t>Spinosyn</t>
  </si>
  <si>
    <t>Salmonella</t>
  </si>
  <si>
    <t>Imidacloprid, Mycobutanil and Avermectin</t>
  </si>
  <si>
    <t>Azoxystrobin</t>
  </si>
  <si>
    <t>indolbutyric acid (IBA)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</si>
  <si>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</si>
  <si>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</si>
  <si>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</si>
  <si>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t>Pesticide Contamination (Myclobutanil)</t>
  </si>
  <si>
    <r>
      <rPr>
        <rFont val="tahoma, arial, helvetica, sans-serif"/>
        <color rgb="FF58595B"/>
        <sz val="9.0"/>
      </rPr>
      <t>Myclobutanil, Avermectin, and Imidacloprid</t>
    </r>
  </si>
  <si>
    <t>44370Harvest Platinum 2</t>
  </si>
  <si>
    <t>Myclobutanil, Avermectin, and Imidacloprid</t>
  </si>
  <si>
    <t>Hair and insects</t>
  </si>
  <si>
    <t>Prohibited Additives / Product</t>
  </si>
  <si>
    <t>Spinosyn A</t>
  </si>
  <si>
    <t>Harvest Platinum  14g Pre Pack Sativa Flower (Tiger Haze)</t>
  </si>
  <si>
    <t>Prohibited Product / Additives</t>
  </si>
  <si>
    <t>Spiromefesin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</si>
  <si>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</si>
  <si>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Spiromefesin</t>
    </r>
  </si>
  <si>
    <t>Prohibited Product: THCv from unapproved source</t>
  </si>
  <si>
    <r>
      <rPr>
        <rFont val="proxima-nova, Arial, sans-serif"/>
        <color rgb="FF58595B"/>
        <sz val="11.0"/>
      </rPr>
      <t>Imidacloprid</t>
    </r>
  </si>
  <si>
    <t>Aspergillus</t>
  </si>
  <si>
    <t>Myclobutinyl pesticide</t>
  </si>
  <si>
    <t>Pesticide Contamination</t>
  </si>
  <si>
    <t>pesticide Imidacloprid</t>
  </si>
  <si>
    <r>
      <rPr>
        <rFont val="proxima-nova, Arial, sans-serif"/>
        <color rgb="FF58595B"/>
        <sz val="11.0"/>
      </rPr>
      <t>Imidacloprid</t>
    </r>
  </si>
  <si>
    <t>pesticide residues</t>
  </si>
  <si>
    <t>Unapproved pesticide, Ethephon.</t>
  </si>
  <si>
    <t>Inaccurate Label</t>
  </si>
  <si>
    <t>Pesticide</t>
  </si>
  <si>
    <t>Inaccurate THC</t>
  </si>
  <si>
    <t xml:space="preserve">failed testing for the Category I pesticide, chlorfenapyr </t>
  </si>
  <si>
    <t>chlorfenapyr</t>
  </si>
  <si>
    <t>Pesticides: Spiromesifen</t>
  </si>
  <si>
    <t>presence of the pesticide chlorfenapyr</t>
  </si>
  <si>
    <t>Adulterated: Pesticide Category I Contamination (Chlorfenapyr)</t>
  </si>
  <si>
    <t>Adulterated: Pesticide Category I Contamination (Paclobutrazol)</t>
  </si>
  <si>
    <t>paclobutrazal</t>
  </si>
  <si>
    <t>Adulterated and Misbranded: Pesticide Category I Contamination (Chlorfenapyr); Inaccurate Labeling (Cannabinoid inflation)</t>
  </si>
  <si>
    <t>Potentially Adulterated: Pesticide Category I Contamination</t>
  </si>
  <si>
    <t>Not Properly Tracked</t>
  </si>
  <si>
    <t xml:space="preserve">Unspecified highly hazardous </t>
  </si>
  <si>
    <t>Potentially Adulterated: Pesticide Category II Contamination</t>
  </si>
  <si>
    <t>Unspecified moderate hazards</t>
  </si>
  <si>
    <t>Potentially Adulterated: Pesticide Category I Contamination and/or Pesticide Category II Contamination</t>
  </si>
  <si>
    <t>Adulterated: Pesticide Category I Contamination (Daminozide)</t>
  </si>
  <si>
    <t>Daminozide</t>
  </si>
  <si>
    <t>Multiple: Pesticides / Aspergillus</t>
  </si>
  <si>
    <t>Thiabendazole</t>
  </si>
  <si>
    <t>Chlorfenapyr.</t>
  </si>
  <si>
    <t>Bifenazate, Fluopyram, and Myclobutanil.</t>
  </si>
  <si>
    <t>Fluopyram</t>
  </si>
  <si>
    <t>Chlorfenapyr and Fluopyram.</t>
  </si>
  <si>
    <t>Exceeds Maximum Dosage</t>
  </si>
  <si>
    <t>Fluopyram.</t>
  </si>
  <si>
    <t>chlorfenapyr and paclobutrazol.</t>
  </si>
  <si>
    <t>paclobutrazol</t>
  </si>
  <si>
    <t>non-compliant creation and packaging.</t>
  </si>
  <si>
    <t>Packaging</t>
  </si>
  <si>
    <t>myclobutanil.</t>
  </si>
  <si>
    <t>myclobutanil</t>
  </si>
  <si>
    <t>hexythiazox, fluopyram, bifenazate</t>
  </si>
  <si>
    <t>hexythiazox</t>
  </si>
  <si>
    <t>fluopyram</t>
  </si>
  <si>
    <t>bifenazate</t>
  </si>
  <si>
    <t>Bifenthrin and other pesticides</t>
  </si>
  <si>
    <t>were not compliantly produced</t>
  </si>
  <si>
    <t>Cypermethrin</t>
  </si>
  <si>
    <t>Permethrin</t>
  </si>
  <si>
    <t>Spiromesifen</t>
  </si>
  <si>
    <t>Modern Flower 3.5g Pre Pack Indica Flower (Orange Acai)</t>
  </si>
  <si>
    <t>Pyridaben</t>
  </si>
  <si>
    <t>Modern Flower</t>
  </si>
  <si>
    <t>labeling attractive to Children</t>
  </si>
  <si>
    <t>Attractive Label</t>
  </si>
  <si>
    <t>Malathion</t>
  </si>
  <si>
    <t>Conserve SC</t>
  </si>
  <si>
    <t>Spinosad</t>
  </si>
  <si>
    <t>Eagle 20</t>
  </si>
  <si>
    <t>pesticide Spinosyn</t>
  </si>
  <si>
    <t>Unspecified Pesticides, Product not from Approved Producer</t>
  </si>
  <si>
    <t>Unspecified Pesticides</t>
  </si>
  <si>
    <t>spiromesifen and permethrin</t>
  </si>
  <si>
    <t>Aspergillus niger</t>
  </si>
  <si>
    <t>Aspergillus sp.</t>
  </si>
  <si>
    <t>Failed Pesticide Testing</t>
  </si>
  <si>
    <t>pesticides above action level</t>
  </si>
  <si>
    <t xml:space="preserve">O-phenylphenol </t>
  </si>
  <si>
    <t xml:space="preserve">High Level of concern for pesticides/residual solvents. </t>
  </si>
  <si>
    <t>Dichlenobil</t>
  </si>
  <si>
    <t>Diphenylamine (DPA),O-phenylphenol (OPP),</t>
  </si>
  <si>
    <t>Diphenylamine (DPA)</t>
  </si>
  <si>
    <t>O-phenylphenol (OPP)</t>
  </si>
  <si>
    <t>Mold</t>
  </si>
  <si>
    <t xml:space="preserve">Aspergillus </t>
  </si>
  <si>
    <t>Arsenic, Yeast, and mold</t>
  </si>
  <si>
    <t>Yeast and Mold</t>
  </si>
  <si>
    <t>Sol Flower Dispensaries and Establishments Tahiti Lime</t>
  </si>
  <si>
    <t>Sol Flower</t>
  </si>
  <si>
    <t>Heavy Metal</t>
  </si>
  <si>
    <t>Date</t>
  </si>
  <si>
    <t>Cultivator</t>
  </si>
  <si>
    <t>Cadmium</t>
  </si>
  <si>
    <t>Product</t>
  </si>
  <si>
    <t>Notes</t>
  </si>
  <si>
    <t>https://medicalmarijuana.ohio.gov/documents/recalls/recall%20notices%20and%20summaries/archived%20recall%20notices/archived%20recall%20notices.pdf</t>
  </si>
  <si>
    <t>chemical residue, microbes, metals, residual solvents, toxins from fungus</t>
  </si>
  <si>
    <t>43675OhioStandard Wellness</t>
  </si>
  <si>
    <t>Standard Wellness</t>
  </si>
  <si>
    <t>M00000021820</t>
  </si>
  <si>
    <t>M00000028304</t>
  </si>
  <si>
    <t>EHF (Elephant Head Farms) HAT Trick #17 Flower</t>
  </si>
  <si>
    <t>https://medicalmarijuana.ohio.gov/Documents/PatientsCaregivers/One%20Orijin%20Rosin%20Product.pdf</t>
  </si>
  <si>
    <t>EHF</t>
  </si>
  <si>
    <t>Microbial</t>
  </si>
  <si>
    <t>43788OhioOne Orijin</t>
  </si>
  <si>
    <t>One Orijin</t>
  </si>
  <si>
    <t>Mycotoxins</t>
  </si>
  <si>
    <t>43819OhioGalenas</t>
  </si>
  <si>
    <t>Galenas</t>
  </si>
  <si>
    <t>M00000034992</t>
  </si>
  <si>
    <t>Purple Bomb</t>
  </si>
  <si>
    <t>M00000034991:</t>
  </si>
  <si>
    <t>Solvent</t>
  </si>
  <si>
    <t>Mislabeled</t>
  </si>
  <si>
    <t>M00000034991</t>
  </si>
  <si>
    <t>M00000034985</t>
  </si>
  <si>
    <t>THE Organic Strawberry University</t>
  </si>
  <si>
    <t>state agency</t>
  </si>
  <si>
    <t>Other</t>
  </si>
  <si>
    <t>43537OhioPure Ohio Wellness</t>
  </si>
  <si>
    <t>Pure Ohio Wellness</t>
  </si>
  <si>
    <t>Pre-Roll</t>
  </si>
  <si>
    <t>43540OhioGTI Ohio</t>
  </si>
  <si>
    <t>GTI Ohio</t>
  </si>
  <si>
    <t>Mohave Cannabis Preroll</t>
  </si>
  <si>
    <t>44420OhioBeneleaves Limited</t>
  </si>
  <si>
    <t>Beneleaves Limited</t>
  </si>
  <si>
    <t>Mohave</t>
  </si>
  <si>
    <t>44106OhioVerano Brands</t>
  </si>
  <si>
    <t>Verano Brands</t>
  </si>
  <si>
    <t>Failed Microbial Testing</t>
  </si>
  <si>
    <t>44105OhioVerano Brands</t>
  </si>
  <si>
    <t>44482OhioCertified Cultivators</t>
  </si>
  <si>
    <t>Certified Cultivators</t>
  </si>
  <si>
    <t>44536OhioGalenas</t>
  </si>
  <si>
    <t>44536OhioGreen Investment Partners, LLC</t>
  </si>
  <si>
    <t>Green Investment Partners, LLC</t>
  </si>
  <si>
    <t>Failed Testing</t>
  </si>
  <si>
    <t>https://www.centralmaine.com/2015/09/05/wellness-connection-of-maine-recalls-two-strains-of-medical-marijuana/</t>
  </si>
  <si>
    <t>flowering bodies/ mold</t>
  </si>
  <si>
    <t>42140MaineWellness Connection of Maine</t>
  </si>
  <si>
    <t>Wellness Connection of Maine</t>
  </si>
  <si>
    <t>https://sbg.colorado.gov/sites/sbg/files/MED%20Levity%20Advisory%2002192016_1_1.pdf</t>
  </si>
  <si>
    <t>42417ColoradoHigh Mountain Medz LLC</t>
  </si>
  <si>
    <t>High Mountain Medz LLC</t>
  </si>
  <si>
    <t>Off-Label Pesticides, Myclobutanil and Imidacloprid,</t>
  </si>
  <si>
    <t>https://sbg.colorado.gov/sites/sbg/files/MED%20Dr.%20Releaf%20Advisory%2002192016_1_1.pdf</t>
  </si>
  <si>
    <t>42417ColoradoDr Releaf Inc</t>
  </si>
  <si>
    <t>Dr Releaf Inc</t>
  </si>
  <si>
    <t>Tru Infusion Flower Caked Up Cherries</t>
  </si>
  <si>
    <t>https://sbg.colorado.gov/sites/sbg/files/2.23.16%20XG%20Platinum%20HSA_1_1.pdf</t>
  </si>
  <si>
    <t>Tru Infusion</t>
  </si>
  <si>
    <t>Incorrect THC:CBD ratio on label</t>
  </si>
  <si>
    <t>42423ColoradoXG Platinum Corporation</t>
  </si>
  <si>
    <t>XG Platinum Corporation</t>
  </si>
  <si>
    <t>https://sbg.colorado.gov/sites/sbg/files/Health%20%26%20Safety%20Advisory%20-%20RMO%202-24-16%20Final_1_1.pdf</t>
  </si>
  <si>
    <t>42424ColoradoRocky Mountain Organic Medicine Inc</t>
  </si>
  <si>
    <t>Rocky Mountain Organic Medicine Inc</t>
  </si>
  <si>
    <t>https://sbg.colorado.gov/sites/sbg/files/2.25.16%20BTTG%20final_1_1.pdf</t>
  </si>
  <si>
    <t>42425ColoradoBack to the Garden Health &amp; Wellness Center LLC</t>
  </si>
  <si>
    <t>Back to the Garden Health &amp; Wellness Center LLC</t>
  </si>
  <si>
    <t>https://sbg.colorado.gov/sites/sbg/files/160307%20Advisory%20-%20Sunrise%20Solutions_Final%20%281%29_2_1.pdf</t>
  </si>
  <si>
    <t>informational notification based on multiple reports of adverse health events</t>
  </si>
  <si>
    <t>Adverse Health Events</t>
  </si>
  <si>
    <t>42436ColoradoSunrise Solutions LLC</t>
  </si>
  <si>
    <t>Sunrise Solutions LLC</t>
  </si>
  <si>
    <t>https://sbg.colorado.gov/sites/sbg/files/CNW%20Final%2003092016_1.pdf</t>
  </si>
  <si>
    <t>Ingredients mislabeled</t>
  </si>
  <si>
    <t>42438ColoradoArtisanal Medicinals.</t>
  </si>
  <si>
    <t>Artisanal Medicinals.</t>
  </si>
  <si>
    <t>https://sbg.colorado.gov/sites/sbg/files/Headquarters%20Emp%20HSA%20final%2003102016_1_1.pdf</t>
  </si>
  <si>
    <t>Issue with Lab</t>
  </si>
  <si>
    <t>Lab Issue</t>
  </si>
  <si>
    <t>42439ColoradoHeadquarters Emporium and Dispensary LLC</t>
  </si>
  <si>
    <t>Headquarters Emporium and Dispensary LLC</t>
  </si>
  <si>
    <t>Flower, Pre-Roll</t>
  </si>
  <si>
    <t>https://sbg.colorado.gov/sites/sbg/files/SkinnyPineapple%20Final%2003102016_1_1.pdf</t>
  </si>
  <si>
    <t>The Pharm Chemistry #1 (HD 3/24/21)</t>
  </si>
  <si>
    <t>Pharm Chemistry</t>
  </si>
  <si>
    <t>42439ColoradoSkinny Pineapple Inc</t>
  </si>
  <si>
    <t>Skinny Pineapple Inc</t>
  </si>
  <si>
    <t>https://sbg.colorado.gov/sites/sbg/files/AMA%20Final%2003142016_1_1.pdf</t>
  </si>
  <si>
    <t>Lab Potency Labeling Issues</t>
  </si>
  <si>
    <t>42443ColoradoAdvanced Medical Alternatives LLC</t>
  </si>
  <si>
    <t>Advanced Medical Alternatives LLC</t>
  </si>
  <si>
    <t>https://sbg.colorado.gov/sites/sbg/files/RR%20Services%20Final%2003142016_1_1.pdf</t>
  </si>
  <si>
    <t>42443ColoradoRR Services LLC</t>
  </si>
  <si>
    <t>RR Services LLC</t>
  </si>
  <si>
    <t>https://sbg.colorado.gov/sites/sbg/files/MGI%20HSA%2003172016_1_1.pdf</t>
  </si>
  <si>
    <t>Lead</t>
  </si>
  <si>
    <t>42446ColoradoMGI Inc</t>
  </si>
  <si>
    <t>MGI Inc</t>
  </si>
  <si>
    <t>https://sbg.colorado.gov/sites/sbg/files/Colorados%20Best%2003212016_1.pdf</t>
  </si>
  <si>
    <t>Lead Contamination</t>
  </si>
  <si>
    <t>44511ArizonaBaked Bros / Toasted</t>
  </si>
  <si>
    <t>42450ColoradoColorados Best Inc</t>
  </si>
  <si>
    <t>Colorados Best Inc</t>
  </si>
  <si>
    <t>https://sbg.colorado.gov/sites/sbg/files/Firehouse%20central%20final%2003232016%20%281%29_1.pdf</t>
  </si>
  <si>
    <t>https://www.azdhs.gov/director/public-information-office/index.php#news-release-111121</t>
  </si>
  <si>
    <t>Lead, Yeast, and mold</t>
  </si>
  <si>
    <t>42452ColoradoFirehouse Organics Central LLC</t>
  </si>
  <si>
    <t>Firehouse Organics Central LLC</t>
  </si>
  <si>
    <t>https://sbg.colorado.gov/sites/sbg/files/Health%20Depot%20LLC%2004012016_1_1.pdf</t>
  </si>
  <si>
    <t>Baked Bros</t>
  </si>
  <si>
    <t>42461ColoradoHealth Depot LLC</t>
  </si>
  <si>
    <t>Health Depot LLC</t>
  </si>
  <si>
    <t>https://sbg.colorado.gov/sites/sbg/files/Wanna%20LLC%2004012016_1_1.pdf</t>
  </si>
  <si>
    <t>42461ColoradoWanna LLC</t>
  </si>
  <si>
    <t>Wanna LLC</t>
  </si>
  <si>
    <t>https://sbg.colorado.gov/sites/sbg/files/ACME%20Healing%20Center%20of%20Ridgway%20LLC%2004052016_1_1.pdf</t>
  </si>
  <si>
    <t>Mercury</t>
  </si>
  <si>
    <t>42465ColoradoACME HEALING CENTER OF RIDGWAY LLC</t>
  </si>
  <si>
    <t>ACME HEALING CENTER OF RIDGWAY LLC</t>
  </si>
  <si>
    <t>https://sbg.colorado.gov/sites/sbg/files/Flower%20Power%20HSA%2004072016_1_1.pdf</t>
  </si>
  <si>
    <t>Microbes</t>
  </si>
  <si>
    <t>42467ColoradoFlower Power Botanicals LLC</t>
  </si>
  <si>
    <t>Flower Power Botanicals LLC</t>
  </si>
  <si>
    <t>https://sbg.colorado.gov/sites/sbg/files/J%20and%20J%2004072016_1_1.pdf</t>
  </si>
  <si>
    <t>44511ArizonaToasted</t>
  </si>
  <si>
    <t>microbial contamination</t>
  </si>
  <si>
    <t>42467ColoradoJ and J ENTERPRISES Inc</t>
  </si>
  <si>
    <t>J and J ENTERPRISES Inc</t>
  </si>
  <si>
    <t>https://sbg.colorado.gov/sites/sbg/files/Grow%20Life%20HSA%2004212016_1_1.pdf</t>
  </si>
  <si>
    <t>Distillate</t>
  </si>
  <si>
    <t>Toasted</t>
  </si>
  <si>
    <t>42481ColoradoGrow Life LLC</t>
  </si>
  <si>
    <t>Grow Life LLC</t>
  </si>
  <si>
    <t>https://sbg.colorado.gov/sites/sbg/files/Medicine%20Man%20HSA%2004222016_1.pdf</t>
  </si>
  <si>
    <t>mislabeling Cannabinoid Content (5 mg vs 10 mg)</t>
  </si>
  <si>
    <t>42482ColoradoMedicine Man LLC</t>
  </si>
  <si>
    <t>Medicine Man LLC</t>
  </si>
  <si>
    <t>https://sbg.colorado.gov/sites/sbg/files/Kazimer%20HSA%20%2004162016_1_1.pdf</t>
  </si>
  <si>
    <t>42486ColoradoKazimer LLC</t>
  </si>
  <si>
    <t>Kazimer LLC</t>
  </si>
  <si>
    <t>https://sbg.colorado.gov/sites/sbg/files/Best%20Budz%20HSA%2005232016_1_1.pdf</t>
  </si>
  <si>
    <t>mold, yeast, aspergillus, salmonella and E. coli.</t>
  </si>
  <si>
    <t>44875ArizonaPP Wellness</t>
  </si>
  <si>
    <t>https://www.azdhs.gov/director/public-information-office/index.php#news-release-111022</t>
  </si>
  <si>
    <t>42513ColoradoBest Budz LLC.</t>
  </si>
  <si>
    <t>Best Budz LLC.</t>
  </si>
  <si>
    <t>https://sbg.colorado.gov/sites/sbg/files/Biomeds%20HSA%2005232016_1_1.pdf</t>
  </si>
  <si>
    <t>PP Wellness El Alquimista</t>
  </si>
  <si>
    <t>PP Wellness</t>
  </si>
  <si>
    <t>42513ColoradoBiomeds LLC</t>
  </si>
  <si>
    <t>Biomeds LLC</t>
  </si>
  <si>
    <t>https://sbg.colorado.gov/sites/sbg/files/9.7.16%20AMOCH%20HSA_1.pdf</t>
  </si>
  <si>
    <t>42620ColoradoAlternative Medicine on Capitol Hill</t>
  </si>
  <si>
    <t>Alternative Medicine on Capitol Hill</t>
  </si>
  <si>
    <t>https://sbg.colorado.gov/sites/sbg/files/9.7.16%20Green%20Naturals%20HSA_1.pdf</t>
  </si>
  <si>
    <t>42620ColoradoGreen Natural Solutions, Inc</t>
  </si>
  <si>
    <t>Green Natural Solutions, Inc</t>
  </si>
  <si>
    <t>https://sbg.colorado.gov/sites/sbg/files/9.13.16%20Southern%20Colorado%20HSA_1.pdf</t>
  </si>
  <si>
    <t>Not Listed</t>
  </si>
  <si>
    <t>44875ArizonaPP Wellness2</t>
  </si>
  <si>
    <t>42626ColoradoSouthern Colorado Medical Marijuana, LLC</t>
  </si>
  <si>
    <t>Southern Colorado Medical Marijuana, LLC</t>
  </si>
  <si>
    <t>https://sbg.colorado.gov/sites/sbg/files/9.13.16%20The%20Tea%20Pot_1.pdf</t>
  </si>
  <si>
    <t>PP Wellness Tangie Head</t>
  </si>
  <si>
    <t>42626ColoradoThe Tea Pot, LLC.</t>
  </si>
  <si>
    <t>The Tea Pot, LLC.</t>
  </si>
  <si>
    <t>https://sbg.colorado.gov/sites/sbg/files/JVT%20Enterprises%20HSA%2009232016_1.pdf</t>
  </si>
  <si>
    <t>42636ColoradoJVT Enterprises Inc. dba</t>
  </si>
  <si>
    <t>JVT Enterprises Inc. dba</t>
  </si>
  <si>
    <t>https://sbg.colorado.gov/sites/sbg/files/HSA%20Wash%20Park%20Boutique%20HSA%2009232016_1.pdf</t>
  </si>
  <si>
    <t>possible Aspergillus contamination</t>
  </si>
  <si>
    <t>44875ArizonaPP Wellness3</t>
  </si>
  <si>
    <t>42636ColoradoWash Park Boutique LLC</t>
  </si>
  <si>
    <t>Wash Park Boutique LLC</t>
  </si>
  <si>
    <t>https://drive.google.com/file/d/1VfVYuvXn63TWF1ZzeDR83DcrX1qkO9Yt/view?usp=sharing</t>
  </si>
  <si>
    <t>possible Salmonella or Aspergillus Contamination</t>
  </si>
  <si>
    <t>PP Wellness Nasty Girl</t>
  </si>
  <si>
    <t>42662ColoradoGreen Meadows Wellness LLC,</t>
  </si>
  <si>
    <t>Green Meadows Wellness LLC,</t>
  </si>
  <si>
    <t>https://lcb.wa.gov/marj/notice_of_recalls</t>
  </si>
  <si>
    <t>42713WashingtonGrow Op Farms</t>
  </si>
  <si>
    <t>Grow Op Farms</t>
  </si>
  <si>
    <t>potential packaging defect.</t>
  </si>
  <si>
    <t>https://www.oregon.gov/olcc/Docs/news/news_releases/2017/nr_03_18_17_Emerald_Wave_recall.pdf</t>
  </si>
  <si>
    <t>44875ArizonaPP Wellness4</t>
  </si>
  <si>
    <t>42811OregonEmerald Wave Estate, LLC</t>
  </si>
  <si>
    <t>Emerald Wave Estate, LLC</t>
  </si>
  <si>
    <t xml:space="preserve">potentially inaccurate THC labeling by lab </t>
  </si>
  <si>
    <t>https://sbg.colorado.gov/sites/sbg/files/Herbal%20Options%20HSA%2004262017_1_1.pdf</t>
  </si>
  <si>
    <t>PP Wellness The Juice</t>
  </si>
  <si>
    <t>42851ColoradoHerbal Options, LLC</t>
  </si>
  <si>
    <t>Herbal Options, LLC</t>
  </si>
  <si>
    <t>https://sbg.colorado.gov/sites/sbg/files/Rocky%20Mtn%20Ways%20HSA%2004262017_1_1.pdf</t>
  </si>
  <si>
    <t>42851ColoradoRocky Mountain Ways, LLC</t>
  </si>
  <si>
    <t>Rocky Mountain Ways, LLC</t>
  </si>
  <si>
    <t>42873WashingtonSpinning Heads</t>
  </si>
  <si>
    <t>Spinning Heads</t>
  </si>
  <si>
    <t>https://sbg.colorado.gov/sites/sbg/files/documents/7.19%20Kirke.pdf</t>
  </si>
  <si>
    <t>Pressure Buildup</t>
  </si>
  <si>
    <t>42940ColoradoKirke LLC</t>
  </si>
  <si>
    <t>Kirke LLC</t>
  </si>
  <si>
    <t>44875ArizonaPP Wellness5</t>
  </si>
  <si>
    <t>https://sbg.colorado.gov/sites/sbg/files/documents/Metro%20Denver%20Telluride%20HSA%2007202017.pdf</t>
  </si>
  <si>
    <t>products that failed testing made it to shelves</t>
  </si>
  <si>
    <t>42940ColoradoMetro Denver Telluride Health Center LLC</t>
  </si>
  <si>
    <t>Metro Denver Telluride Health Center LLC</t>
  </si>
  <si>
    <t>PP Wellness Gorilla Grapevine</t>
  </si>
  <si>
    <t>42941WashingtonFreya Farms</t>
  </si>
  <si>
    <t>Freya Farms</t>
  </si>
  <si>
    <t>https://drive.google.com/file/d/1ujY1WAdeo6T8TUTehRd0N3O8ayw5eAsD/view?usp=sharing</t>
  </si>
  <si>
    <t>Prohibited Additive</t>
  </si>
  <si>
    <t>43000ColoradoRK Enterprises LTD</t>
  </si>
  <si>
    <t>RK Enterprises LTD</t>
  </si>
  <si>
    <t>https://sbg.colorado.gov/sites/sbg/files/HSATree%20of%20Wellness%2011032017_2.pdf</t>
  </si>
  <si>
    <t>Prohibited Additives</t>
  </si>
  <si>
    <t>43042ColoradoTree of Wellness INC</t>
  </si>
  <si>
    <t>Tree of Wellness INC</t>
  </si>
  <si>
    <t>https://sbg.colorado.gov/sites/sbg/files/HSA%20Citi-Med%2011172017_2.pdf</t>
  </si>
  <si>
    <t>44875ArizonaPP Wellness6</t>
  </si>
  <si>
    <t>Prohibited Product</t>
  </si>
  <si>
    <t>43056ColoradoCiti-Med LLC</t>
  </si>
  <si>
    <t>Citi-Med LLC</t>
  </si>
  <si>
    <t>https://sbg.colorado.gov/sites/sbg/files/HSA%20Pikes%20Peak%20Cannabis%20Caregivers%20for%20Life%20402-00123%20and%20403-01328_1.pdf</t>
  </si>
  <si>
    <t>AZDHS | Financial Services</t>
  </si>
  <si>
    <t>residual Ethanol</t>
  </si>
  <si>
    <t>43061ColoradoPikes Peak Cannabis Caregivers LLC</t>
  </si>
  <si>
    <t>Pikes Peak Cannabis Caregivers LLC</t>
  </si>
  <si>
    <t>https://www.upi.com/Top_News/US/2018/12/24/California-marijuana-recall-threatens-state-cannabis-industry/3001545673498/</t>
  </si>
  <si>
    <t>Saliva Contamination</t>
  </si>
  <si>
    <t>THC overstated via dry weight / wet weight</t>
  </si>
  <si>
    <t>43101CaliforniaSequoia Analytical Labs</t>
  </si>
  <si>
    <t>Sequoia Analytical Labs</t>
  </si>
  <si>
    <t>https://sbg.colorado.gov/sites/sbg/files/01242018%20Bronner%20Corp%20HSA.pdf</t>
  </si>
  <si>
    <t>43124ColoradoBronnor Corp</t>
  </si>
  <si>
    <t>Bronnor Corp</t>
  </si>
  <si>
    <t>43392WashingtonClandestine Consulting</t>
  </si>
  <si>
    <t>Clandestine Consulting</t>
  </si>
  <si>
    <t>https://sbg.colorado.gov/sites/sbg/files/181121%20HSA%20CWC.pdf</t>
  </si>
  <si>
    <t>https://www.azdhs.gov/policy-intergovernmental-affairs/index.php#news-release-032123</t>
  </si>
  <si>
    <t>43425ColoradoColorado Wellness Centers LLC</t>
  </si>
  <si>
    <t>Colorado Wellness Centers LLC</t>
  </si>
  <si>
    <t>unable to verify testing</t>
  </si>
  <si>
    <t>Untested</t>
  </si>
  <si>
    <t>https://sbg.colorado.gov/sites/sbg/files/Crossroads%20Wellness%20HSA%20Final.pdf</t>
  </si>
  <si>
    <t>Muddy Waters</t>
  </si>
  <si>
    <t>Source One Meds</t>
  </si>
  <si>
    <t>43432ColoradoCrossroads Wellness LLC</t>
  </si>
  <si>
    <t>Crossroads Wellness LLC</t>
  </si>
  <si>
    <t>https://www.michigan.gov/cra/-/media/Project/Websites/cra/bulletin/1Public-Health-an-Safety-Advisory/Public_Health_and_Safety_Advisory_1-4-2019_Final_642608_7.pdf?rev=1d41645ec2ee4765a1fc1530279d1bad&amp;hash=30327154BC6A3EF673FE772154B88856</t>
  </si>
  <si>
    <t>Unapproved Testing and Sampling</t>
  </si>
  <si>
    <t>43469MichiganChoice Labs, LLC.</t>
  </si>
  <si>
    <t>Choice Labs, LLC.</t>
  </si>
  <si>
    <t>https://www.michigan.gov/cra/-/media/Project/Websites/cra/bulletin/1Public-Health-an-Safety-Advisory/Public_Health_and_Safety_Advisory_CCBD_1-10-19_643369_7.pdf?rev=c778c23b3db649e5ba57b6802a7caddb&amp;hash=539ED0B6BFE0DA9ABA691327FBB334C6</t>
  </si>
  <si>
    <t>https://www.azdhs.gov/director/public-information-office/index.php#news-release-032123</t>
  </si>
  <si>
    <t>Mango Sunrise</t>
  </si>
  <si>
    <t>Nature’s Wonder</t>
  </si>
  <si>
    <t>Unreliable test results</t>
  </si>
  <si>
    <t>43507MichiganCompassionate Care By Design</t>
  </si>
  <si>
    <t>Compassionate Care By Design</t>
  </si>
  <si>
    <t>43511WashingtonEmerald Peaks</t>
  </si>
  <si>
    <t>Emerald Peaks</t>
  </si>
  <si>
    <t>https://www.michigan.gov/cra/-/media/Project/Websites/cra/bulletin/1Public-Health-an-Safety-Advisory/Public_Health_and_Safety_Advisory_664_Vassar_LLC_Elite_Wellness_Vassar_2-6-2019_003_645544_7.pdf?rev=a0fd4848db594909a577f76615c3b601&amp;hash=1DD185D2E6BF9AC2DF886691FF0958A3</t>
  </si>
  <si>
    <t>43522MichiganElite Wellness Vassar</t>
  </si>
  <si>
    <t>Elite Wellness Vassar</t>
  </si>
  <si>
    <t>https://sbg.colorado.gov/sites/sbg/files/HSA%20Mile%20High%20Medical%2004112019.pdf</t>
  </si>
  <si>
    <t>untested and contaminated</t>
  </si>
  <si>
    <t>43566ColoradoMile High Medical LLC</t>
  </si>
  <si>
    <t>Mile High Medical LLC</t>
  </si>
  <si>
    <t>Blood Oath</t>
  </si>
  <si>
    <t>Potent Planet</t>
  </si>
  <si>
    <t>https://www.michigan.gov/cra/-/media/Project/Websites/cra/bulletin/1Public-Health-an-Safety-Advisory/Public_Health_and_Safety_Advisory_Lead_Contamination_in_Vape_Cartridges_4-12-2019_652464_7.pdf?rev=6549195f142f469c8c8f72186bec538c&amp;hash=470D11A50F6DB94EF6911B083354576F</t>
  </si>
  <si>
    <t>43567MichiganNot Disclosed</t>
  </si>
  <si>
    <t>Not Disclosed</t>
  </si>
  <si>
    <t>43570WashingtonAuricag</t>
  </si>
  <si>
    <t>Auricag</t>
  </si>
  <si>
    <t>Untested, yeast and mold</t>
  </si>
  <si>
    <t>43573WashingtonBotanical Arts</t>
  </si>
  <si>
    <t>Botanical Arts</t>
  </si>
  <si>
    <t>43591WashingtonSkagit Organics</t>
  </si>
  <si>
    <t>Skagit Organics</t>
  </si>
  <si>
    <t>43591WashingtonMountain HI</t>
  </si>
  <si>
    <t>Mountain HI</t>
  </si>
  <si>
    <t>43594WashingtonPacific Glo</t>
  </si>
  <si>
    <t>Pacific Glo</t>
  </si>
  <si>
    <t>43595WashingtonWashington Grow Solutions</t>
  </si>
  <si>
    <t>Washington Grow Solutions</t>
  </si>
  <si>
    <t>Jenny Kush</t>
  </si>
  <si>
    <t>43649WashingtonAurum Farms</t>
  </si>
  <si>
    <t>Aurum Farms</t>
  </si>
  <si>
    <t>Deep Root pHarm</t>
  </si>
  <si>
    <t>43662WashingtonDB3</t>
  </si>
  <si>
    <t>DB3</t>
  </si>
  <si>
    <t>Untested; Mold, Yeast, Aspergillus</t>
  </si>
  <si>
    <t>43669WashingtonFirebros</t>
  </si>
  <si>
    <t>Firebros</t>
  </si>
  <si>
    <t>43669WashingtonMink Farm Organics</t>
  </si>
  <si>
    <t>Mink Farm Organics</t>
  </si>
  <si>
    <t>43671WashingtonFreya Farms</t>
  </si>
  <si>
    <t>https://www.michigan.gov/cra/-/media/Project/Websites/cra/bulletin/1Public-Health-an-Safety-Advisory/The_Spott_Public_Health_and_Safety_Advisory_Bulletin_080719_662637_7.pdf?rev=65b3c1e4670543d09a14c40cf50fce43&amp;hash=C8EF735869E39C58ECD0886845E2523A</t>
  </si>
  <si>
    <t>Vaping Lung: Death</t>
  </si>
  <si>
    <t>43684MichiganFreya Farms</t>
  </si>
  <si>
    <t>https://sbg.colorado.gov/sites/sbg/files/documents/190816%20Public%20Health%20and%20Safety%20Advisory-%20Herbal%20Wellness%2C%20LLC.pdf</t>
  </si>
  <si>
    <t>yeast and mold</t>
  </si>
  <si>
    <t>43693ColoradoHerbal Wellness LLC.</t>
  </si>
  <si>
    <t>Herbal Wellness LLC.</t>
  </si>
  <si>
    <t>https://www.michigan.gov/cra/-/media/Project/Websites/cra/bulletin/1Public-Health-an-Safety-Advisory/Iron_Labs_Public_Health_and_Safety_Advisory_Bulletin_081619_663601_7.pdf?rev=48fd02603c0a44419c83059c4d56292c&amp;hash=7E474D9480AECA4AC720B2060B9A0DBD</t>
  </si>
  <si>
    <t>yeast and mold and Aspergillus</t>
  </si>
  <si>
    <t>Big Mac</t>
  </si>
  <si>
    <t>43693MichiganIron Laboratories</t>
  </si>
  <si>
    <t>Iron Laboratories</t>
  </si>
  <si>
    <t>https://www.michigan.gov/cra/-/media/Project/Websites/cra/bulletin/1Public-Health-an-Safety-Advisory/public-health-safety-advisory-iron-lab-recall-08302019_664856_7.pdf?rev=b638ef9b02dc46729e3f0575c3c13329&amp;hash=DB534585A391AA9D1BBC7B779E9B8E73</t>
  </si>
  <si>
    <t>Over-pressurization</t>
  </si>
  <si>
    <t>43707MichiganIron Laboratories</t>
  </si>
  <si>
    <t>Total Yeast and Mold</t>
  </si>
  <si>
    <t>45079ArizonaTruinfusion</t>
  </si>
  <si>
    <t>https://www.azdhs.gov/policy-intergovernmental-affairs/index.php#news-release-060223</t>
  </si>
  <si>
    <t>Possible Adverse effects due to Corydalis rhizome</t>
  </si>
  <si>
    <t>https://drive.google.com/open?id=1RJSbwmD5DzoI-E09vDshbUATjN9wvx6h</t>
  </si>
  <si>
    <t>Truinfusion Zombie Cookies</t>
  </si>
  <si>
    <t>Truinfusion</t>
  </si>
  <si>
    <t>43791ColoradoSeveral</t>
  </si>
  <si>
    <t>Several</t>
  </si>
  <si>
    <t>Total Yeast and Mold or Aspergillus</t>
  </si>
  <si>
    <t>https://www.michigan.gov/cra/-/media/Project/Websites/cra/bulletin/1Public-Health-an-Safety-Advisory/VitaminEPublic_Health_and_Safety_Advisory_674168_7.pdf?rev=2a3fc07778df4bb4aebaa5a7e66a950d&amp;hash=1D050C55F7F71A488714315AEB6256D4</t>
  </si>
  <si>
    <t>43816MichiganSeveral</t>
  </si>
  <si>
    <t>https://www.michigan.gov/cra/-/media/Project/Websites/lara/about/Folder5/Public_Health_and_Safety_Advisory_Bulletin.pdf?rev=dc510ae2fa264bcc8c06aa1a2b4b8668&amp;hash=623D5BADE4C99D847963CA865199F600</t>
  </si>
  <si>
    <t>Non-Compliant Packaging</t>
  </si>
  <si>
    <t>45079ArizonaTruinfusion2</t>
  </si>
  <si>
    <t>Truinfusion Peach Gas</t>
  </si>
  <si>
    <t>43840MichiganUndisclosed</t>
  </si>
  <si>
    <t>Undisclosed</t>
  </si>
  <si>
    <t xml:space="preserve">Mold </t>
  </si>
  <si>
    <t>https://www.michigan.gov/cra/-/media/Project/Websites/cra/bulletin/1Public-Health-an-Safety-Advisory/Public_Health_and_Safety_Advisory_Bulletin_678819_7.pdf?rev=e73ec2ae43d9413681e6c790fbd8d1ea&amp;hash=5AAF2D6FCA6AED9084F211CF38DB62D0</t>
  </si>
  <si>
    <t>Not Properly Tested</t>
  </si>
  <si>
    <t>43847MichiganUndisclosed</t>
  </si>
  <si>
    <t>https://www.michigan.gov/cra/-/media/Project/Websites/cra/bulletin/1Public-Health-an-Safety-Advisory/Public_Health_and_Safety_Advisory_676863_7.pdf?rev=ffaad15d875041a481593909d2c39c71&amp;hash=054A2DEE39F652D7EA52146968EBC83F</t>
  </si>
  <si>
    <t>Arsenic</t>
  </si>
  <si>
    <t>43850MichiganUndisclosed</t>
  </si>
  <si>
    <t>https://www.michigan.gov/cra/-/media/Project/Websites/cra/bulletin/1Public-Health-an-Safety-Advisory/Plan_BVitaminEPublic_Health_and_Safety_Advisory_01222020_679263_7.pdf?rev=bca9494704d24630b9e9f920d9743a9f&amp;hash=C57D4E3C86303A96E407F055731EE2A0</t>
  </si>
  <si>
    <t>https://www.azdhs.gov/policy-intergovernmental-affairs/index.php#news-release-072423</t>
  </si>
  <si>
    <t>Grow Sciences Divinity</t>
  </si>
  <si>
    <t>Grow Sciences</t>
  </si>
  <si>
    <t>Y</t>
  </si>
  <si>
    <t>incorrect Packaging (not childproof)</t>
  </si>
  <si>
    <t>43852MichiganUndisclosed</t>
  </si>
  <si>
    <t>https://www.michigan.gov/cra/-/media/Project/Websites/cra/bulletin/1Public-Health-an-Safety-Advisory/Bulletin_-_020620_vitamin_E_recall_680676_7.pdf?rev=6f42e52007e3493a861785147bf708f3&amp;hash=CA31FE4FAA34B75AD2643E927EFA7C21</t>
  </si>
  <si>
    <t>Presence of Delta-8</t>
  </si>
  <si>
    <t>43868MichiganUndisclosed</t>
  </si>
  <si>
    <t>https://drive.google.com/open?id=1oZxftn0twX4egl0ZPGDbIi0UL12ey3uS</t>
  </si>
  <si>
    <t>Physical Contamination</t>
  </si>
  <si>
    <t>43894ColoradoCliintel Capital Group LLC, others</t>
  </si>
  <si>
    <t>Cliintel Capital Group LLC, others</t>
  </si>
  <si>
    <t>https://www.michigan.gov/cra/-/media/Project/Websites/cra/bulletin/1Public-Health-an-Safety-Advisory/Vape_Carts_Recall_-_03202020_684355_7.pdf?rev=781b71cd09c14e29a23196354f6496f5&amp;hash=9FC520927F7B132901318D345884C891</t>
  </si>
  <si>
    <t>Outdated warning on labe</t>
  </si>
  <si>
    <t>Grow Sciences MAC</t>
  </si>
  <si>
    <t>43910MichiganUndisclosed</t>
  </si>
  <si>
    <t>Total Yeast and Mold and Aspergillus</t>
  </si>
  <si>
    <t>https://drive.google.com/file/d/1fA2Md16UM1sp028SKLWjIme7_Cvc_3Qs/view</t>
  </si>
  <si>
    <t>44022ColoradoKinfolk Farms, LLC</t>
  </si>
  <si>
    <t>Kinfolk Farms, LLC</t>
  </si>
  <si>
    <t>https://www.michigan.gov/cra/-/media/Project/Websites/cra/bulletin/1Public-Health-an-Safety-Advisory/3843_Euclid_Recall_Notice_698577_7.pdf?rev=575192df3b56454fa1f281775c754f59&amp;hash=F53E6204E6825E25C10F86DEF4D81D77</t>
  </si>
  <si>
    <t>44049MichiganKinfolk Farms, LLC,</t>
  </si>
  <si>
    <t>Kinfolk Farms, LLC,</t>
  </si>
  <si>
    <t>https://www.floridahealth.gov/newsroom/2020/08/081820-ommu-press-release.pr.html</t>
  </si>
  <si>
    <t>Too much THC</t>
  </si>
  <si>
    <t>44062FloridaSurterra Wellness</t>
  </si>
  <si>
    <t>Surterra Wellness</t>
  </si>
  <si>
    <t>https://drive.google.com/file/d/15p7-15uOMGjz84uqEYz5hpUljx-oP62p/view</t>
  </si>
  <si>
    <t xml:space="preserve">presence of banned chemical residue </t>
  </si>
  <si>
    <t>44069Colorado4900 Jackson LLC</t>
  </si>
  <si>
    <t>4900 Jackson LLC</t>
  </si>
  <si>
    <t>https://www.michigan.gov/cra/-/media/Project/Websites/cra/bulletin/1Public-Health-an-Safety-Advisory/9-17-2020_MRA_recall_health_and_safety_bulletin_702606_7.pdf?rev=ed2a117406a6463d99cbff9287b4a55b&amp;hash=FCD0E3B0C0427E2A67A9D48AC06E8FF9</t>
  </si>
  <si>
    <t>Mercury, Cadmium, Mold</t>
  </si>
  <si>
    <t>44091MichiganUndisclosed</t>
  </si>
  <si>
    <t>https://drive.google.com/file/d/1xowig7vPtl-lz_xUAALt3DIxeGua1xY6/view?usp=sharing</t>
  </si>
  <si>
    <t>Soothing Options Gelato 41</t>
  </si>
  <si>
    <t>44112ColoradoEvan D Management, LLC</t>
  </si>
  <si>
    <t>Evan D Management, LLC</t>
  </si>
  <si>
    <t>Soothing Options</t>
  </si>
  <si>
    <t>https://sbg.colorado.gov/sites/sbg/files/201105%20HSA%20Physician%20Preferred%20Products%20LLC%20403-01905.pdf</t>
  </si>
  <si>
    <t>44140ColoradoPhysician Preferred Products LLC</t>
  </si>
  <si>
    <t>Physician Preferred Products LLC</t>
  </si>
  <si>
    <t>44155WashingtonVerdelux Chocolates</t>
  </si>
  <si>
    <t>Verdelux Chocolates</t>
  </si>
  <si>
    <t>https://www.oregon.gov/olcc/Docs/news/news_releases/2020/nr_121120_Cannabis_Product_Recall.pdf</t>
  </si>
  <si>
    <t>exceed allowable THC concentration limits</t>
  </si>
  <si>
    <t>44176OregonBulk Naturals LLC (True Terpenes)</t>
  </si>
  <si>
    <t>Bulk Naturals LLC (True Terpenes)</t>
  </si>
  <si>
    <t>https://www.oregon.gov/olcc/Docs/news/news_releases/2021/nr_010621_MJ_PR_Medical_Marijuana_Recall.pdf</t>
  </si>
  <si>
    <t>https://www.azdhs.gov/policy-intergovernmental-affairs/index.php#news-release-080723</t>
  </si>
  <si>
    <t>44202OregonEcotest Lab</t>
  </si>
  <si>
    <t>Ecotest Lab</t>
  </si>
  <si>
    <t>Nirvana Center Cloud 9 Gummies (Grape)</t>
  </si>
  <si>
    <t>https://sbg.colorado.gov/sites/sbg/files/documents/Health%20and%20Safety%20Advisory%20-%20Carrick-Harvest%20LLC.pdf</t>
  </si>
  <si>
    <t>Nirvana Center</t>
  </si>
  <si>
    <t>44204ColoradoCarrick-Harvest, LLC</t>
  </si>
  <si>
    <t>Carrick-Harvest, LLC</t>
  </si>
  <si>
    <t>presence of Aspergillus flavus.</t>
  </si>
  <si>
    <t>https://sbg.colorado.gov/sites/sbg/files/documents/210210%20FINAL%20Medically%20Correct%20HSA.pdf</t>
  </si>
  <si>
    <t>44237ColoradoMedically Correct LLC</t>
  </si>
  <si>
    <t>presence of Aspergillus sp.</t>
  </si>
  <si>
    <t>Medically Correct LLC</t>
  </si>
  <si>
    <t>https://ccbnvdev.wpengine.com/wp-content/uploads/2021/02/CCB-Public-Health-and-Safety-Advisory-2021-01.pdf</t>
  </si>
  <si>
    <t xml:space="preserve">obstruction of the informational label </t>
  </si>
  <si>
    <t>https://www.azdhs.gov/policy-intergovernmental-affairs/index.php#news-release-082323</t>
  </si>
  <si>
    <t>44247NevadaUndisclosed</t>
  </si>
  <si>
    <t>44281WashingtonHJG LLC</t>
  </si>
  <si>
    <t>HJG LLC</t>
  </si>
  <si>
    <t>presence of Aspergillus fumigatus</t>
  </si>
  <si>
    <t>Grow Sciences Tropicana Punch</t>
  </si>
  <si>
    <t>44285WashingtonBlooming City</t>
  </si>
  <si>
    <t>Blooming City</t>
  </si>
  <si>
    <t>https://sbg.colorado.gov/sites/sbg/files/documents/20210330%20TZ%20Financial%20LLC%20403R-00123%20HSA%20Final.pdf</t>
  </si>
  <si>
    <t>presence of Aspergillus niger</t>
  </si>
  <si>
    <t>44286ColoradoTZ Financial, LLC</t>
  </si>
  <si>
    <t>TZ Financial, LLC</t>
  </si>
  <si>
    <t>44299WashingtonHeavenly Buds</t>
  </si>
  <si>
    <t>presence of Aspergillus terreus</t>
  </si>
  <si>
    <t>Heavenly Buds</t>
  </si>
  <si>
    <t>https://sbg.colorado.gov/sites/sbg/files/documents/210419%20HSA%20Primal%20LLC%20402-01058%20Final.pdf</t>
  </si>
  <si>
    <t>inaccurate THC content labeling</t>
  </si>
  <si>
    <t>44305ColoradoPrimal LLC</t>
  </si>
  <si>
    <t>Primal LLC</t>
  </si>
  <si>
    <t>https://www.azdhs.gov/policy-intergovernmental-affairs/index.php#news-release-102023</t>
  </si>
  <si>
    <t>https://headynj.com/recall-of-moldy-curaleaf-cannabis-sold-by-curaleaf-gti-rise-issued/</t>
  </si>
  <si>
    <t>Curaleaf  MnC</t>
  </si>
  <si>
    <t xml:space="preserve">presence of Aspergillus niger and Aspergillus flavus, and due to inaccurate labeling, that reports more THC than the product contains. </t>
  </si>
  <si>
    <t>Multiple (Aspergillus, THC Inflation)</t>
  </si>
  <si>
    <t>Curaleaf</t>
  </si>
  <si>
    <t>44335New JerseyCuraleaf</t>
  </si>
  <si>
    <t xml:space="preserve">potential presence of Aspergillus flavus, and due to inaccurate labeling that reports more THC </t>
  </si>
  <si>
    <t>https://www.oregon.gov/olcc/Docs/news/news_releases/2021/nr052121_MJ_PR_Recall_Naked_Extracts.pdf</t>
  </si>
  <si>
    <t>44337OregonNaked Extracts</t>
  </si>
  <si>
    <t>Naked Extracts</t>
  </si>
  <si>
    <t>inaccurate labeling that reports more cannabinoid content</t>
  </si>
  <si>
    <t>Multiple</t>
  </si>
  <si>
    <t>44370ArizonaSeveral</t>
  </si>
  <si>
    <t xml:space="preserve"> presence of Aspergillus spp. and due to inaccurate labeling that reports more cannabinoid content than the product contains.</t>
  </si>
  <si>
    <t>https://www.michigan.gov/cra/-/media/Project/Websites/cra/bulletin/1Public-Health-an-Safety-Advisory/3843_Euclid_Recall_Notice_7-7-2021_FINAL_729720_7.pdf?rev=7ed2a67934fa43d9a2de8ad259aac5b2&amp;hash=6942B7C8D4E3239800D68B4F6FD46B5C</t>
  </si>
  <si>
    <t>https://www.azdhs.gov/policy-intergovernmental-affairs/index.php#news-release-110923</t>
  </si>
  <si>
    <t>Concentrate</t>
  </si>
  <si>
    <t>inaccurate labeling, that reports more cannabinoid content</t>
  </si>
  <si>
    <t>GLOBE FARMACY INC. EX LR GUAVA MAC</t>
  </si>
  <si>
    <t>GLOBE FARMACY INC.</t>
  </si>
  <si>
    <t>44384MichiganUndisclosed</t>
  </si>
  <si>
    <t>https://ccbnvdev.wpengine.com/wp-content/uploads/2021/07/Corrected-CCB-Public-Health-and-Safety-Bulletin-2021-1.pdf</t>
  </si>
  <si>
    <t>Aspergillus fumigatus, and due to inaccurate labeling</t>
  </si>
  <si>
    <t>44385NevadaWyld</t>
  </si>
  <si>
    <t>Wyld</t>
  </si>
  <si>
    <t>packaging safety issues</t>
  </si>
  <si>
    <t>44390WashingtonClandestine Consulting</t>
  </si>
  <si>
    <t>44397WashingtonOMG Sykes</t>
  </si>
  <si>
    <t>OMG Sykes</t>
  </si>
  <si>
    <t>https://www.oregon.gov/olcc/Docs/news/news_releases/2021/nr092121-Cannabis-Product-Recall-Cura-Select-CBD.pdf</t>
  </si>
  <si>
    <t>presence of Aspergillus niger, and due to inaccurate labeling</t>
  </si>
  <si>
    <t>44460OregonSelect (Curaleaf)</t>
  </si>
  <si>
    <t>Select (Curaleaf)</t>
  </si>
  <si>
    <t>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</t>
  </si>
  <si>
    <t>GLOBE FARMACY INC. EX LHR ORZ</t>
  </si>
  <si>
    <t>44463MichiganMichigan Medical Marijuana, LLC</t>
  </si>
  <si>
    <t>Michigan Medical Marijuana, LLC</t>
  </si>
  <si>
    <t>https://www.oregon.gov/olcc/Docs/news/news_releases/2021/nr092421-Cannabis-Product-Recall-Expanded-Cura-Select-THC.pdf</t>
  </si>
  <si>
    <t>44463OregonSelect (Curaleaf)</t>
  </si>
  <si>
    <t>Adulterated: Microbial Contamination (Aspergillus niger)</t>
  </si>
  <si>
    <t>https://sbg.colorado.gov/sites/sbg/files/Health_and_Safety_Advisory_The_Chronic_Factory_LLC.pdf</t>
  </si>
  <si>
    <t>Adulterated: Microbial Contamination (Aspergillus flavus)</t>
  </si>
  <si>
    <t>https://www.azdhs.gov/policy-intergovernmental-affairs/index.php#news-release-112723</t>
  </si>
  <si>
    <t>44484ColoradoThe Chronic Factory LLC</t>
  </si>
  <si>
    <t>The Chronic Factory LLC</t>
  </si>
  <si>
    <t>https://ccbnvdev.wpengine.com/wp-content/uploads/2021/11/Public-Health-and-Safety-Bulletin-2021-2-for-release.pdf</t>
  </si>
  <si>
    <t>Nirvana Center Grim Reefer</t>
  </si>
  <si>
    <t>44505NevadaKindibles, LLC</t>
  </si>
  <si>
    <t>Kindibles, LLC</t>
  </si>
  <si>
    <t>Misbranded: Other</t>
  </si>
  <si>
    <t>Baked Bros / Toasted</t>
  </si>
  <si>
    <t>https://www.azdhs.gov/policy-intergovernmental-affairs/index.php#news-release-050624</t>
  </si>
  <si>
    <t>https://www.floridahealth.gov/_documents/newsroom/press-releases/2021/11/20211108-cur-press-release.pdf</t>
  </si>
  <si>
    <t>The Flower Shop</t>
  </si>
  <si>
    <t>44512FloridaCuraleaf</t>
  </si>
  <si>
    <t>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</si>
  <si>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44517MichiganViridis</t>
  </si>
  <si>
    <t>Viridis</t>
  </si>
  <si>
    <t>https://drive.google.com/file/d/1ap4Pkw4aJxhvzy9G0tbZNkViwE69_6Ry/view?usp=sharing</t>
  </si>
  <si>
    <t>44518ColoradoFIRST CLASS LLC</t>
  </si>
  <si>
    <t>FIRST CLASS LLC</t>
  </si>
  <si>
    <t>Multiple (Pesticides, THC Inflation)</t>
  </si>
  <si>
    <t>https://www.azdhs.gov/documents/policy-intergovernmental-affairs/public-information/news-releases/news-release-for-recall-7-10-24.pdf</t>
  </si>
  <si>
    <t>https://sbg.colorado.gov/sites/sbg/files/documents/Health_and_Safety_Advisory_Tree_Farmers_LLC_211208.pdf</t>
  </si>
  <si>
    <t>DIME Mint OG</t>
  </si>
  <si>
    <t>Nature’s Wonder Inc</t>
  </si>
  <si>
    <t>Adulterated: Microbial Contamination (Aspergillus niger); Microbial Contamination (Aspergillus terreus)</t>
  </si>
  <si>
    <t>44538ColoradoTree Farmers LLC</t>
  </si>
  <si>
    <t>Tree Farmers LLC</t>
  </si>
  <si>
    <t>https://chicago.suntimes.com/2021/12/10/22821308/marijuana-regulation-illinois-legal-weed-mag-landrace-consumers-cannabis-industry</t>
  </si>
  <si>
    <t>Shady</t>
  </si>
  <si>
    <t>44540IllinoisVerano Holdings</t>
  </si>
  <si>
    <t>Verano Holdings</t>
  </si>
  <si>
    <t>Adulterated and Misbranded: Microbial Contamination (Aspergillus niger); Inaccurate Labeling (Cannabinoid inflation)</t>
  </si>
  <si>
    <t>https://sbg.colorado.gov/sites/sbg/files/documents/Health_and_Safety_Advisory_211214_REVISED_HSA_Innovative_Fusion_LLC.pdf</t>
  </si>
  <si>
    <t>44544ColoradoInnovative Fusion LLC</t>
  </si>
  <si>
    <t>Innovative Fusion LLC</t>
  </si>
  <si>
    <t>https://cannabis.ca.gov/resources/cannabis-recalls-and-safety-notices/</t>
  </si>
  <si>
    <t>Various</t>
  </si>
  <si>
    <t>Unknown</t>
  </si>
  <si>
    <t>44587CaliforniaClaybourne Co. Head Banger</t>
  </si>
  <si>
    <t>Claybourne Co. Head Banger</t>
  </si>
  <si>
    <t>https://docs.google.com/document/d/1S_40b2SJe9L_ZeHc-fK7Klq19YMnDROTX3cy81itYks/edit</t>
  </si>
  <si>
    <t>Press</t>
  </si>
  <si>
    <t>Potentially Adulterated and Misbranded: Prohibited Product</t>
  </si>
  <si>
    <t>44594ColoradoDJR Colorado, LLC</t>
  </si>
  <si>
    <t>DJR Colorado, LLC</t>
  </si>
  <si>
    <t>https://masscannabiscontrol.com/2022/02/cannabis-control-commission-alerts-the-public-to-quarantine-order-requiring-ack-natural-llc-to-recall-its-marijuana-and-marijuana-products/</t>
  </si>
  <si>
    <t>44609MassachusettsACK Natural, LLC</t>
  </si>
  <si>
    <t>Potentially Adulterated and Misbranded: Other</t>
  </si>
  <si>
    <t>ACK Natural, LLC</t>
  </si>
  <si>
    <t>Adulterated / Misbranded</t>
  </si>
  <si>
    <t>https://drive.google.com/file/d/1I-nbQQyv4UKLNghmjmbliC_WVa8fkpeJ/view</t>
  </si>
  <si>
    <t>Not Specified</t>
  </si>
  <si>
    <t>44620ColoradoJEM Dutch Acres, LLC</t>
  </si>
  <si>
    <t>JEM Dutch Acres, LLC</t>
  </si>
  <si>
    <t>https://ccbnvdev.wpengine.com/wp-content/uploads/2022/03/Public-Health-and-Safety-Bulletin-2022-01-for-release.pdf</t>
  </si>
  <si>
    <t>Adulterated: Heavy Metal Contamination (Arsenic)</t>
  </si>
  <si>
    <t>44624NevadaNLVG</t>
  </si>
  <si>
    <t>NLVG</t>
  </si>
  <si>
    <t>https://sbg.colorado.gov/sites/sbg/files/Health_and_Safety_Advisory_LivWell_I_LLC_403R-00252.pdf</t>
  </si>
  <si>
    <t>44631ColoradoLivWell</t>
  </si>
  <si>
    <t>LivWell</t>
  </si>
  <si>
    <t>https://www.cannabisbusinesstimes.com/news/new-mexico-issues-recall-medical-cannabis-sacred-garden/</t>
  </si>
  <si>
    <t>44832CaliforniaRefined Xtraction</t>
  </si>
  <si>
    <t>Refined Xtraction</t>
  </si>
  <si>
    <t>44648New MexicoSacred Garden</t>
  </si>
  <si>
    <t>Sacred Garden</t>
  </si>
  <si>
    <t>https://ccbnvdev.wpengine.com/wp-content/uploads/2022/03/Public-Health-and-Safety-Bulletin-2022-02-for-release.pdf</t>
  </si>
  <si>
    <t>44650NevadaTHC Production, LLC</t>
  </si>
  <si>
    <t>THC Production, LLC</t>
  </si>
  <si>
    <t>https://sbg.colorado.gov/sites/sbg/files/documents/220420Final_Fresh_Baked_LLC_403R-00250_HSA.pdf</t>
  </si>
  <si>
    <t>44671ColoradoFresh Baked, LLC</t>
  </si>
  <si>
    <t>Fresh Baked, LLC</t>
  </si>
  <si>
    <t>https://sbg.colorado.gov/sites/sbg/files/220503_HSA_Canna_Meds_Wellness_Center_LLC.pdf</t>
  </si>
  <si>
    <t>44847CaliforniaMetta Distribution</t>
  </si>
  <si>
    <t>Adulterated and Misbranded: Microbial Contamination (Aspergillus spp.); Inaccurate Labeling (Cannabinoid inflation)</t>
  </si>
  <si>
    <t>44684ColoradoCanna Meds Wellness Center LLC</t>
  </si>
  <si>
    <t>Canna Meds Wellness Center LLC</t>
  </si>
  <si>
    <t>Edible</t>
  </si>
  <si>
    <t>Metta Distribution</t>
  </si>
  <si>
    <t>https://sbg.colorado.gov/sites/sbg/files/220518_Fresh_Baked_LLC_403R-00250_HSA_2.pdf</t>
  </si>
  <si>
    <t>44699ColoradoFresh Baked, LLC</t>
  </si>
  <si>
    <t>Potentially Adulterated: Solvent Category I Contamination (Methylene chloride)</t>
  </si>
  <si>
    <t>https://oklahoma.gov/content/dam/ok/en/omma/docs/2022/2022.05.19_Recall%20Product%20List.pdf</t>
  </si>
  <si>
    <t>44700OklahomaScale Laboratories</t>
  </si>
  <si>
    <t>Scale Laboratories</t>
  </si>
  <si>
    <t>https://sbg.colorado.gov/sites/sbg/files/220714_Dune_Valley_Farms_LLC_403R-00850_HSA.pdf</t>
  </si>
  <si>
    <t>Adulterated and Misbranded: Inaccurate Labeling (Cannabinoid inflation); Microbial Contamination (Aspergillus spp.)</t>
  </si>
  <si>
    <t>Multiple (Aspergillus, THC inflation)</t>
  </si>
  <si>
    <t>44918CaliforniaLakewood Libations, Inc.</t>
  </si>
  <si>
    <t>44756ColoradoDune Valley Farms, LLC</t>
  </si>
  <si>
    <t>Dune Valley Farms, LLC</t>
  </si>
  <si>
    <t>https://sbg.colorado.gov/sites/sbg/files/220722_Informational_%20Notification_RE_Adverse_Health_Events_Reported_Related_to_1906_Midnight_Drops.pdf</t>
  </si>
  <si>
    <t>Beverage</t>
  </si>
  <si>
    <t>Invalid Batch Testing; Exceeds Concentration limit</t>
  </si>
  <si>
    <t>Multiple (Invalid Testing, Prohibited Product)</t>
  </si>
  <si>
    <t>Lakewood Libations, Inc.</t>
  </si>
  <si>
    <t>44764ColoradoSima Sciences, LLC / 1906</t>
  </si>
  <si>
    <t>Sima Sciences, LLC / 1906</t>
  </si>
  <si>
    <t>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</t>
  </si>
  <si>
    <t>Adulterated: Microbial Contamination (Aspergillus spp.)</t>
  </si>
  <si>
    <t>Potentially Misbranded: Other (Invalid Batch Testing)</t>
  </si>
  <si>
    <t>Invalid Testing</t>
  </si>
  <si>
    <t>44785New YorkCuraleaf</t>
  </si>
  <si>
    <t>45065CaliforniaRCW Manufacturing</t>
  </si>
  <si>
    <t>https://www.oregon.gov/olcc/Docs/news/news_releases/2022/nr081822-Cannabis-Product-Advisory-Dark-Horse.pdf</t>
  </si>
  <si>
    <t>Potentially Adulterated and Misbranded: Other (label / gmp)</t>
  </si>
  <si>
    <t>Multiple: Inaccurate Ingredient Label, Lacking GMP</t>
  </si>
  <si>
    <t>RCW Manufacturing</t>
  </si>
  <si>
    <t>44791OregonYHN</t>
  </si>
  <si>
    <t>YHN</t>
  </si>
  <si>
    <t>Adulterated: Other (Incomplete Testing)</t>
  </si>
  <si>
    <t>44804WashingtonStirling Horticulture</t>
  </si>
  <si>
    <t>Stirling Horticulture</t>
  </si>
  <si>
    <t>https://oklahoma.gov/content/dam/ok/en/omma/docs/2022/2022.09.16_Emergency%20Order%20of%20Embargo%20and%20Recall.pdf</t>
  </si>
  <si>
    <t>Adulterated: Microbial Contamination (Aspergillus spp.); Inaccurate Labeling (Cannabinoid inflation)</t>
  </si>
  <si>
    <t>44820OklahomaSeveral</t>
  </si>
  <si>
    <t>Adulterated: Microbial Contamination (Aspergillus fumigatus); Microbial Contamination (Aspergillus terreus)</t>
  </si>
  <si>
    <t>https://sbg.colorado.gov/sites/sbg/files/221012_HSA_Beyond_Broadway_LLC.pdf</t>
  </si>
  <si>
    <t>45121CaliforniaLast Minute Venture, LLC</t>
  </si>
  <si>
    <t>https://cannabis.ca.gov/2023/07/voluntary-recall-last-minute-venture-llc-cannalean-brand-products/</t>
  </si>
  <si>
    <t>44846ColoradoLivWell</t>
  </si>
  <si>
    <t>Adulterated: Microbial Contamination (Aspergillus flavus); Microbial Contamination (Aspergillus niger); Microbial Contamination (Aspergillus terreus)</t>
  </si>
  <si>
    <t>https://www.syracuse.com/marijuana/2022/10/curaleaf-recalls-over-marijuana-labeling-piling-up-in-new-york.html</t>
  </si>
  <si>
    <t>Tincture</t>
  </si>
  <si>
    <t>Adulterated: Microbial Contamination (Aspergillus niger); Microbial Contamination (Aspergillus flavus); Microbial Contamination (Aspergillus terreus)</t>
  </si>
  <si>
    <t>Last Minute Venture, LLC</t>
  </si>
  <si>
    <t>44853New YorkCuraleaf</t>
  </si>
  <si>
    <t>https://sbg.colorado.gov/sites/sbg/files/221026_SDJ_LLC_HSA.docx.pdf</t>
  </si>
  <si>
    <t>Adulterated: Microbial Contamination (Aspergillus niger); Microbial Contamination (Aspergillus fumigatus); Microbial Contamination (Aspergillus flavus); Microbial Contamination (Aspergillus terreus)</t>
  </si>
  <si>
    <t>44860ColoradoSDJ, LLC</t>
  </si>
  <si>
    <t>SDJ, LLC</t>
  </si>
  <si>
    <t>https://masscannabiscontrol.com/2021/10/quarantine-order-g-l-c-94g-%c2%a7%c2%a7-4axi-and-xix-935-cmr-500-340-quarantine-order-and-935-cmr-501-340-quarantine-order/</t>
  </si>
  <si>
    <t>Adulterated and Misbranded: misrepresentative testing</t>
  </si>
  <si>
    <t>44862MassachusettsACK Natural, LLC</t>
  </si>
  <si>
    <t>Adulterated and Misbranded: Microbial Contamination (Aspergillus terreus); Microbial Contamination (Aspergillus niger); Microbial Contamination (Aspergillus flavus); Inaccurate Labeling (Cannabinoid inflation)</t>
  </si>
  <si>
    <t>https://cannabis.ca.gov/resources/cannabis-recalls-and-safety-notices/left-coast-llc-lil-leftys/</t>
  </si>
  <si>
    <t>Adulterated and Misbranded: Other Inn</t>
  </si>
  <si>
    <t>Inacurate Ingredient Label</t>
  </si>
  <si>
    <t>https://www.oregon.gov/olcc/Docs/Bubbly-Recall.pdf</t>
  </si>
  <si>
    <t>Infused pre-rolls</t>
  </si>
  <si>
    <t>Left Coast, LLC</t>
  </si>
  <si>
    <t>Adulterated: Prohibited Product; Other</t>
  </si>
  <si>
    <t>Multiple: Inaccurate Product Type, Lacking GMP, Exceeds THC, Acidified Beverage</t>
  </si>
  <si>
    <t>44875OregonMagic Bubbly</t>
  </si>
  <si>
    <t>Magic Bubbly</t>
  </si>
  <si>
    <t>https://www.michigan.gov/cra/-/media/Project/Websites/cra/bulletin/1Public-Health-an-Safety-Advisory/Public-Health-and-Safety-Advisory---Marijuana-Consumer-Alert---111522-(002).pdf?rev=5e161e5217be4e92aa3a647108dae628&amp;hash=0DDBB7A9E318F9D54E6D8A6721BAF240</t>
  </si>
  <si>
    <t>Adulterated and Misbranded: Other; Inaccurate Labeling (Cannabinoid inflation)</t>
  </si>
  <si>
    <t>Multiple: Attractive to Children, THC Inflation</t>
  </si>
  <si>
    <t>44880MichiganMoonrock Blunt</t>
  </si>
  <si>
    <t>Moonrock Blunt</t>
  </si>
  <si>
    <t>https://sbg.colorado.gov/sites/sbg/files/221123_HSA_Beddor_Claude_LLC.docx.pdf</t>
  </si>
  <si>
    <t>Adulterated and Misbranded: Other</t>
  </si>
  <si>
    <t>Multiple: Invalid Testing, Attractive Labeling</t>
  </si>
  <si>
    <t>44888ColoradoBeddor Claude LLC</t>
  </si>
  <si>
    <t>Beddor Claude LLC</t>
  </si>
  <si>
    <t>https://www.oregon.gov/olcc/Docs/news/news_releases/2022/nr120222-Cannabis-Product-Recall-Pesticide-Bobsled-QuantumAlchemy.pdf</t>
  </si>
  <si>
    <t>Adulterated and Misbranded: Other misleading</t>
  </si>
  <si>
    <t>Multiple: Invalid Testing, Misleading Label</t>
  </si>
  <si>
    <t>https://cannabis.ca.gov/resources/cannabis-recalls-and-safety-notices/grizzly-peak-farms-llc-zoap-cannabis-flower/</t>
  </si>
  <si>
    <t>44897OregonBobsled / Quantum Alchemy</t>
  </si>
  <si>
    <t>Bobsled / Quantum Alchemy</t>
  </si>
  <si>
    <t>https://sbg.colorado.gov/sites/sbg/files/221215_HSA_240_Arthur_Avenue_LLC.pdf</t>
  </si>
  <si>
    <t>Adulterated: Microbial Contamination (Aspergillus flavus); Microbial Contamination (Aspergillus niger)</t>
  </si>
  <si>
    <t>44910Colorado240 Arthur Avenue LLC</t>
  </si>
  <si>
    <t>240 Arthur Avenue LLC</t>
  </si>
  <si>
    <t xml:space="preserve">Grizzly Peak Farms, LLC </t>
  </si>
  <si>
    <t>https://www.oregon.gov/olcc/Docs/Recall-Notice-Oregon-Original-Chocowana-Bar.pdf</t>
  </si>
  <si>
    <t>Adulterated: Microbial Contamination (Aspergillus fumigatus)</t>
  </si>
  <si>
    <t>44910OregonChocowana Bar</t>
  </si>
  <si>
    <t>Chocowana Bar</t>
  </si>
  <si>
    <t>Adulterated: Microbial Contamination (Aspergillus fumigatus); Microbial Contamination (Aspergillus niger); Microbial Contamination (Aspergillus flavus)</t>
  </si>
  <si>
    <t>https://sbg.colorado.gov/sites/sbg/files/FINAL_HSA_Jolet_Ventures_403R-00132.pdf</t>
  </si>
  <si>
    <t>44931ColoradoJolet Ventures LLC</t>
  </si>
  <si>
    <t>Inaccurate Ingredient Label</t>
  </si>
  <si>
    <t>Jolet Ventures LLC</t>
  </si>
  <si>
    <t>https://sbg.colorado.gov/sites/sbg/files/FINAL_HSA_Sissco_LLC_403-00840_403R-00333.pdf</t>
  </si>
  <si>
    <t>44931ColoradoSISSCO LLC</t>
  </si>
  <si>
    <t>SISSCO LLC</t>
  </si>
  <si>
    <t>https://www.oregon.gov/olcc/Docs/news/news_releases/2023/nr011223-Cannabis-Product-Recall-Firefly.pdf</t>
  </si>
  <si>
    <t>Adulterated: Other</t>
  </si>
  <si>
    <t>https://cannabis.ca.gov/resources/cannabis-recalls-and-safety-notices/echsen-industries/</t>
  </si>
  <si>
    <t>44938OregonPlank Road Laboratories, Inc.</t>
  </si>
  <si>
    <t>Plank Road Laboratories, Inc.</t>
  </si>
  <si>
    <t>44942WashingtonPioneer Production and Processing</t>
  </si>
  <si>
    <t>Pioneer Production and Processing</t>
  </si>
  <si>
    <t>Adulterated and Misbranded: Prohibited Product</t>
  </si>
  <si>
    <t>https://ccb.nv.gov/wp-content/uploads/2023/02/Public-Health-and-Safety-Bulletin-2023-01-Updated-02-09-23.pdf</t>
  </si>
  <si>
    <t>Infused Pre-Roll</t>
  </si>
  <si>
    <t>Echsen Industries, LLC</t>
  </si>
  <si>
    <t>44945NevadaWyld, others</t>
  </si>
  <si>
    <t>Wyld, others</t>
  </si>
  <si>
    <t>https://www.oregon.gov/olcc/Docs/news/news_releases/2023/nr012623-Recall-Notice-Cannabis-PREE-Labs.pdf</t>
  </si>
  <si>
    <t>44952OregonSwell Companies Limited</t>
  </si>
  <si>
    <t>Swell Companies Limited</t>
  </si>
  <si>
    <t>https://sbg.colorado.gov/sites/sbg/files/230126%20Health%20and%20Safety%20Advisory_%20Physician%20Preferred%20Products%20LLC%20%28DBA%20Doc%E2%80%99s%20Apothecary%29.pdf</t>
  </si>
  <si>
    <t>Brand</t>
  </si>
  <si>
    <t>Inaccurate Ingredient Label, Unverifiable GMP</t>
  </si>
  <si>
    <t>Associated Brand</t>
  </si>
  <si>
    <t>Multiple: inaccurate Ingredient Label, Unverifiable GMP</t>
  </si>
  <si>
    <t>Green Thumb, Inc (GTI)</t>
  </si>
  <si>
    <t>Trulieve</t>
  </si>
  <si>
    <t>Verano</t>
  </si>
  <si>
    <t>Cresco</t>
  </si>
  <si>
    <t>Select</t>
  </si>
  <si>
    <t>Rise</t>
  </si>
  <si>
    <t>https://cannabis.ca.gov/resources/cannabis-recalls-and-safety-notices/urban-therapies-distribution-llc/</t>
  </si>
  <si>
    <t>Distributor Without License; No Surveillance of Sampling</t>
  </si>
  <si>
    <t>Zen Leaf</t>
  </si>
  <si>
    <t>Multiple: Distributor Without License; No Surveillance of Sampling</t>
  </si>
  <si>
    <t>Sunnyside</t>
  </si>
  <si>
    <t>RYTHM</t>
  </si>
  <si>
    <t>Dogwalkers</t>
  </si>
  <si>
    <t>Incredibles</t>
  </si>
  <si>
    <t>BeBoe</t>
  </si>
  <si>
    <t>44953ColoradoPhysician Preferred Products LLC</t>
  </si>
  <si>
    <t>Good Green</t>
  </si>
  <si>
    <t>Urban Therapies Distribution, LLC</t>
  </si>
  <si>
    <t>No GMP</t>
  </si>
  <si>
    <t xml:space="preserve">Doctor Solomon's </t>
  </si>
  <si>
    <t>Shine</t>
  </si>
  <si>
    <t>https://ccb.vermont.gov/consumer-protection-warning-holland-cannabis-company</t>
  </si>
  <si>
    <t>MuV</t>
  </si>
  <si>
    <t>Avexia</t>
  </si>
  <si>
    <t>Bits</t>
  </si>
  <si>
    <t>Savvy</t>
  </si>
  <si>
    <t>Encore</t>
  </si>
  <si>
    <t>Vital</t>
  </si>
  <si>
    <t>Grass Roots</t>
  </si>
  <si>
    <t>Find</t>
  </si>
  <si>
    <t>Jams</t>
  </si>
  <si>
    <t>44959VermontHolland</t>
  </si>
  <si>
    <t>Holland</t>
  </si>
  <si>
    <t>Zero Proof</t>
  </si>
  <si>
    <t>B Noble</t>
  </si>
  <si>
    <t>Distributor Without License</t>
  </si>
  <si>
    <t>https://www.oregon.gov/olcc/Docs/news/news_releases/2023/nr021423-Cannabis-Product-Recall-Firefly-Expansion.pdf</t>
  </si>
  <si>
    <t>Plant Precision</t>
  </si>
  <si>
    <t>Alchemy</t>
  </si>
  <si>
    <t>Avenue</t>
  </si>
  <si>
    <t>Co2lors</t>
  </si>
  <si>
    <t>Cultivar</t>
  </si>
  <si>
    <t>Loveli</t>
  </si>
  <si>
    <t>Momenta</t>
  </si>
  <si>
    <t>Muse</t>
  </si>
  <si>
    <t>Roll One</t>
  </si>
  <si>
    <t>Sweet Talk</t>
  </si>
  <si>
    <t>44971OregonPlank Road Laboratories, Inc.</t>
  </si>
  <si>
    <t>Trekkers</t>
  </si>
  <si>
    <t>Alien Labs (partner)</t>
  </si>
  <si>
    <t>Bhang (partner)</t>
  </si>
  <si>
    <t>Binske(partner)</t>
  </si>
  <si>
    <t>Black Tuna (partner)</t>
  </si>
  <si>
    <t>Discrepancy between inner and outer label</t>
  </si>
  <si>
    <t>Inaccurate Potency</t>
  </si>
  <si>
    <t>Blue River (partner)</t>
  </si>
  <si>
    <t>Connected (partner)</t>
  </si>
  <si>
    <t>https://recalls.cannabis.ca.gov/recalls/6761bc0d449a15805975db02</t>
  </si>
  <si>
    <t>DeLisioso (partner)</t>
  </si>
  <si>
    <t>Khalifa Kush</t>
  </si>
  <si>
    <t>Love's Oven (partner)</t>
  </si>
  <si>
    <t>Miami Mango (partner)</t>
  </si>
  <si>
    <t>O.pen (partner)</t>
  </si>
  <si>
    <t>Old Hippie Stash (partner)</t>
  </si>
  <si>
    <t>Total Yeast and Mold and Aspergillus.</t>
  </si>
  <si>
    <t>Multiple: Yeast and Mold, Aspergillus</t>
  </si>
  <si>
    <t>Seed Junky (partner)</t>
  </si>
  <si>
    <t>Sunshine Cannabis (partner)</t>
  </si>
  <si>
    <t>Integrated Vaporizer</t>
  </si>
  <si>
    <t>90nine Bridge Co Holdings, LLC</t>
  </si>
  <si>
    <t>Total Yeast and Mold exceeds limits</t>
  </si>
  <si>
    <t>https://www.oregon.gov/olcc/marijuana/Documents/Avitas-Recall-Notice.pdf</t>
  </si>
  <si>
    <t>44988OregonAvitas</t>
  </si>
  <si>
    <t>Total Yeast and Mold and Moisture Content</t>
  </si>
  <si>
    <t>Avitas</t>
  </si>
  <si>
    <t>Multiple: Total Yeast and Mold, Moisture Content</t>
  </si>
  <si>
    <t>https://sbg.colorado.gov/sites/sbg/files/230309_CORRECTED_Health_and_Safety_Advisory_Green_Street_LLC.pdf</t>
  </si>
  <si>
    <t>44994ColoradoGreen Street LLC.</t>
  </si>
  <si>
    <t>Green Street LLC.</t>
  </si>
  <si>
    <t>https://www.oregon.gov/olcc/marijuana/Documents/Recall-Notice-Hapy-Kitchen.pdf</t>
  </si>
  <si>
    <t>https://cannabis.ca.gov/resources/cannabis-recalls-and-safety-notices/roundtrip-pistachio-flower/</t>
  </si>
  <si>
    <t>45000OregonThe Hapy Kitchen</t>
  </si>
  <si>
    <t>The Hapy Kitchen</t>
  </si>
  <si>
    <t>https://sbg.colorado.gov/sites/sbg/files/documents/230320_HSA_MJ_Durango.pdf</t>
  </si>
  <si>
    <t>Kind Op Corp</t>
  </si>
  <si>
    <t>Research ID</t>
  </si>
  <si>
    <t>45005ColoradoMJ Durango LLC</t>
  </si>
  <si>
    <t>Batch ID</t>
  </si>
  <si>
    <t>MJ Durango LLC</t>
  </si>
  <si>
    <t>Medical Marijuana Center</t>
  </si>
  <si>
    <t>Medical Marijuana Cultivation License</t>
  </si>
  <si>
    <t>MM Manufacturer's</t>
  </si>
  <si>
    <t>Manufacturer's License</t>
  </si>
  <si>
    <t>Retail Marijuana Cultivation License</t>
  </si>
  <si>
    <t>Retail Store</t>
  </si>
  <si>
    <t>Retail Products Manufacturing</t>
  </si>
  <si>
    <t>45006ArizonaNature’s Wonder Inc</t>
  </si>
  <si>
    <t>CO424171</t>
  </si>
  <si>
    <t>Total Yeast and Mold, Arsenic, Cadmium, Lead</t>
  </si>
  <si>
    <t>Multiple: Total Yeast and Mold, Heavy Metals</t>
  </si>
  <si>
    <t>2015-03-21-Drying Room-H</t>
  </si>
  <si>
    <t>402-00242</t>
  </si>
  <si>
    <t>https://sbg.colorado.gov/sites/sbg/files/documents/230322_Updated_HSA_Carrick-Harvest.docx.pdf</t>
  </si>
  <si>
    <t>403-00365</t>
  </si>
  <si>
    <t>2015-05-08-Drying Room-H</t>
  </si>
  <si>
    <t>2016-01-11-Drying Room-H</t>
  </si>
  <si>
    <t>elemental impurities.</t>
  </si>
  <si>
    <t>707-082615-8</t>
  </si>
  <si>
    <t>45008ColoradoCarrick-Harvest, LLC</t>
  </si>
  <si>
    <t>707HB-062815-5</t>
  </si>
  <si>
    <t>707HB-071315-10</t>
  </si>
  <si>
    <t>45022WashingtonOkanogan Gold</t>
  </si>
  <si>
    <t>Okanogan Gold</t>
  </si>
  <si>
    <t>Total Yeast and Mold, elemental impurities</t>
  </si>
  <si>
    <t>45022WashingtonWalden Cannabis</t>
  </si>
  <si>
    <t>707HB-102315-6</t>
  </si>
  <si>
    <t>Walden Cannabis</t>
  </si>
  <si>
    <t>https://cannabis.ca.gov/resources/cannabis-recalls-and-safety-notices/lowell-big-buds/</t>
  </si>
  <si>
    <t>707HB-111815-1</t>
  </si>
  <si>
    <t>45022WashingtonSweet Leaf Sowers</t>
  </si>
  <si>
    <t>Sweet Leaf Sowers</t>
  </si>
  <si>
    <t>45022WashingtonWalden</t>
  </si>
  <si>
    <t>707HB-112915-1</t>
  </si>
  <si>
    <t>Walden</t>
  </si>
  <si>
    <t>707HB-120815-1</t>
  </si>
  <si>
    <t>45022WashingtonKibble Junction,</t>
  </si>
  <si>
    <t>Kibble Junction,</t>
  </si>
  <si>
    <t xml:space="preserve">Cypress Cannabis </t>
  </si>
  <si>
    <t>AK48-071115-2</t>
  </si>
  <si>
    <t>https://sbg.colorado.gov/sites/sbg/files/documents/230412_BBM_Enterprises_LLC_HSA.pdf</t>
  </si>
  <si>
    <t>AK48s2-092115-10</t>
  </si>
  <si>
    <t>AMSD-081415-1</t>
  </si>
  <si>
    <t>AmSourD-060515-4</t>
  </si>
  <si>
    <t>45028ColoradoBBM Enterprises, LLC</t>
  </si>
  <si>
    <t>BBM Enterprises, LLC</t>
  </si>
  <si>
    <t>BanK-100415-1</t>
  </si>
  <si>
    <t>https://sbg.colorado.gov/sites/sbg/files/documents/230412_COS_Investments_LLC_HSA.pdf</t>
  </si>
  <si>
    <t>Bay11-060915-2</t>
  </si>
  <si>
    <t>BdTah-111815-2LiveResin</t>
  </si>
  <si>
    <t>BdTah-112715-2 HASHED</t>
  </si>
  <si>
    <t>45028ColoradoCOS Investments LLC</t>
  </si>
  <si>
    <t>COS Investments LLC</t>
  </si>
  <si>
    <t>BdTh-013016-5</t>
  </si>
  <si>
    <t>https://sbg.colorado.gov/sites/sbg/files/documents/230412_Trinidad_Cultivation_Services_HSA.pdf</t>
  </si>
  <si>
    <t>Bianca-091215-4</t>
  </si>
  <si>
    <t>BiancaS1-060515-1</t>
  </si>
  <si>
    <t>45028ColoradoTrinidad Cultivation Services Inc</t>
  </si>
  <si>
    <t>Trinidad Cultivation Services Inc</t>
  </si>
  <si>
    <t>https://cannabis.ca.gov/resources/cannabis-recalls-and-safety-notices/grizzly-peak-premium-indoor-flower/</t>
  </si>
  <si>
    <t>https://www.oregon.gov/olcc/marijuana/Documents/Recall-Notice-Crumble-Apple-Crisp.pdf</t>
  </si>
  <si>
    <t>Total Yeast and Mold.</t>
  </si>
  <si>
    <t>BiancaS1-111815-2</t>
  </si>
  <si>
    <t>BK-112715-5</t>
  </si>
  <si>
    <t>45029OregonDutch Gold Extracts</t>
  </si>
  <si>
    <t>BlMn-050615-1HASHED</t>
  </si>
  <si>
    <t>Dutch Gold Extracts</t>
  </si>
  <si>
    <t>https://sbg.colorado.gov/sites/sbg/files/documents/230417_Long_Gone_Farms_HSA.pdf</t>
  </si>
  <si>
    <t>BluBld-060515-4</t>
  </si>
  <si>
    <t>Total Yeast and Mold, cadmium</t>
  </si>
  <si>
    <t>BluBlood-060915-1 (HASH)</t>
  </si>
  <si>
    <t>Multiple: Total Yeast and Mold, Cadmium</t>
  </si>
  <si>
    <t>BluBlood-061115-4</t>
  </si>
  <si>
    <t>45033ColoradoLong Gone Farms LLC</t>
  </si>
  <si>
    <t>Grizzly Peak Farms, LLC</t>
  </si>
  <si>
    <t>Long Gone Farms LLC</t>
  </si>
  <si>
    <t>https://ccb.nv.gov/wp-content/uploads/2023/04/Public-Health-and-Safety-Bulletin-2023-02.pdf</t>
  </si>
  <si>
    <t>BluBlood-061315-3</t>
  </si>
  <si>
    <t>BluBlud-102315-9</t>
  </si>
  <si>
    <t xml:space="preserve"> yeast and mold </t>
  </si>
  <si>
    <t>BludBld(LiveResin)-062515-1</t>
  </si>
  <si>
    <t>45038NevadaCircle S Farms LLC</t>
  </si>
  <si>
    <t>Circle S Farms LLC</t>
  </si>
  <si>
    <t>BLUEBLD-072215-6</t>
  </si>
  <si>
    <t>45048WashingtonMt. Baker Homegrown, LLC</t>
  </si>
  <si>
    <t>Mt. Baker Homegrown, LLC</t>
  </si>
  <si>
    <t>blueblood-072315-18</t>
  </si>
  <si>
    <t>45051WashingtonBanano Buds</t>
  </si>
  <si>
    <t>Microbials (aerobic bacteria and Enterobacteriaceae) and Yeast and Mold</t>
  </si>
  <si>
    <t>Banano Buds</t>
  </si>
  <si>
    <t>BlueBlood-101415-4</t>
  </si>
  <si>
    <t>Multiple - Microbials and Yeast and Mold</t>
  </si>
  <si>
    <t>https://sbg.colorado.gov/sites/sbg/files/documents/230508_Big_Mountain_Organics_LLC_HSA.docx.pdf</t>
  </si>
  <si>
    <t>BlueBloodHash-101415-1</t>
  </si>
  <si>
    <t>BLWD-120815-1</t>
  </si>
  <si>
    <t>45054ColoradoBig Mountain Organics, LLC</t>
  </si>
  <si>
    <t>BMOG-060515-1HASH</t>
  </si>
  <si>
    <t>Big Mountain Organics, LLC</t>
  </si>
  <si>
    <t>Reason Not Given</t>
  </si>
  <si>
    <t>https://sbg.colorado.gov/sites/sbg/files/documents/230509_MJ_Durango_HSA.pdf</t>
  </si>
  <si>
    <t>BMOG-060915-1 (live resin)</t>
  </si>
  <si>
    <t>BMOG-061315-5</t>
  </si>
  <si>
    <t>https://cannabis.ca.gov/resources/cannabis-recalls-and-safety-notices/panda-pen/</t>
  </si>
  <si>
    <t>BMOG-062415-2</t>
  </si>
  <si>
    <t>45055ColoradoMJ Durango LLC</t>
  </si>
  <si>
    <t>Yeast and Mold, Microbials, Arsenic</t>
  </si>
  <si>
    <t>Multiple- Yeast and Mold, Microbials, Heavy Metal</t>
  </si>
  <si>
    <t>BMOG-071415-1</t>
  </si>
  <si>
    <t>45055WashingtonMutual Benefit Agriculture, LLC</t>
  </si>
  <si>
    <t>Mutual Benefit Agriculture, LLC</t>
  </si>
  <si>
    <t>BMOG-072215-7</t>
  </si>
  <si>
    <t>45055WashingtonWAWD, LLC</t>
  </si>
  <si>
    <t>WAWD, LLC</t>
  </si>
  <si>
    <t>Vape Cartridge</t>
  </si>
  <si>
    <t>BMOG-100415-6</t>
  </si>
  <si>
    <t>DGU, LLC</t>
  </si>
  <si>
    <t>Bifenthrin.</t>
  </si>
  <si>
    <t>Buddha-072315-1</t>
  </si>
  <si>
    <t>https://sbg.colorado.gov/sites/sbg/files/documents/230523_GT_Retail_LLC_HSA.pdf</t>
  </si>
  <si>
    <t>BudTah-061115-6</t>
  </si>
  <si>
    <t>BudTah-062315-7</t>
  </si>
  <si>
    <t>45069ColoradoGT Retail, LLC</t>
  </si>
  <si>
    <t>BudTah-071315-1</t>
  </si>
  <si>
    <t>GT Retail, LLC</t>
  </si>
  <si>
    <t>https://sbg.colorado.gov/sites/sbg/files/documents/230601%20Informational%20Notification%20RE_%20Adverse%20Health%20Events%20Reported%20Related%20to%201906%20Midnight%20Drops.pdf</t>
  </si>
  <si>
    <t>BudTah-071615-5</t>
  </si>
  <si>
    <t>BUDTAH-072215-1</t>
  </si>
  <si>
    <t>BuTa-120815-1</t>
  </si>
  <si>
    <t>CandyChz-060515-1</t>
  </si>
  <si>
    <t>45078ColoradoSima Sciences, LLC / 1906</t>
  </si>
  <si>
    <t>CanHz-012816-8</t>
  </si>
  <si>
    <t>https://www.azdhs.gov/director/public-information-office/index.php#news-release-060223</t>
  </si>
  <si>
    <t>CBDY-012116-3</t>
  </si>
  <si>
    <t>https://recalls.cannabis.ca.gov/recalls/6761aeec449a15805975dae9</t>
  </si>
  <si>
    <t>CBDY-071315-4</t>
  </si>
  <si>
    <t>https://sbg.colorado.gov/sites/sbg/files/documents/230612%20HSA%20Kind%20Care%20of%20Colorado%20LLC%20402-00841%20%26%20402R-00516.pdf</t>
  </si>
  <si>
    <t>total coliforms.</t>
  </si>
  <si>
    <t>ChKndy-090415-6</t>
  </si>
  <si>
    <t>Coliforms</t>
  </si>
  <si>
    <t>ChKndy-092215-1</t>
  </si>
  <si>
    <t>Choc-010416-7</t>
  </si>
  <si>
    <t>Discount Caregivers</t>
  </si>
  <si>
    <t>Choc-120815-2</t>
  </si>
  <si>
    <t>Invalid Sampling</t>
  </si>
  <si>
    <t>CHOCO-061115-3</t>
  </si>
  <si>
    <t>CHOCO-061315-2</t>
  </si>
  <si>
    <t>45089ColoradoKind Care of Colorado, LLC</t>
  </si>
  <si>
    <t>Kind Care of Colorado, LLC</t>
  </si>
  <si>
    <t>CHOCO-063015-7</t>
  </si>
  <si>
    <t>MCT Oil</t>
  </si>
  <si>
    <t>https://www.oregon.gov/olcc/marijuana/Documents/Recall-Notice-Covert-Extracts.pdf</t>
  </si>
  <si>
    <t>Choco-070715-1</t>
  </si>
  <si>
    <t>Choco-071115-4</t>
  </si>
  <si>
    <t>Choco-071615-6</t>
  </si>
  <si>
    <t>45097OregonOregon Cannabis Collective</t>
  </si>
  <si>
    <t>Oregon Cannabis Collective</t>
  </si>
  <si>
    <t>Choco-072315-2</t>
  </si>
  <si>
    <t xml:space="preserve"> contains a banned chemical </t>
  </si>
  <si>
    <t>https://sbg.colorado.gov/sites/sbg/files/documents/230622%20Tumbleweed%20Steamboat%20LLC%20HSA%20memo.pdf</t>
  </si>
  <si>
    <t>Choco-082015-1</t>
  </si>
  <si>
    <t>CHOCO-090115-13</t>
  </si>
  <si>
    <t>Choco-091215-5</t>
  </si>
  <si>
    <t>Above THC</t>
  </si>
  <si>
    <t>Over THC Threshhold</t>
  </si>
  <si>
    <t>45099ColoradoTumbleweed Steamboat, LLC</t>
  </si>
  <si>
    <t>Tumbleweed Steamboat, LLC</t>
  </si>
  <si>
    <t>CHOCO-091415-3</t>
  </si>
  <si>
    <t>https://recalls.cannabis.ca.gov/recalls/6761acd7d62cebee0c5c9943</t>
  </si>
  <si>
    <t>https://ccb.nv.gov/wp-content/uploads/2023/06/CCB-Public-Health-and-Safety-Bulletin-2023-03-6-23-23for-release-1.pdf</t>
  </si>
  <si>
    <t>CLope-091215-5</t>
  </si>
  <si>
    <t>DChem-081815-7</t>
  </si>
  <si>
    <t>Dchem-090415-1</t>
  </si>
  <si>
    <t>45100NevadaPhantom Farms</t>
  </si>
  <si>
    <t>Phantom Farms</t>
  </si>
  <si>
    <t>Use of unregulated cannabis</t>
  </si>
  <si>
    <t>https://www.oregon.gov/olcc/Docs/news/news_releases/2023/nr062623-Cannabis-Recall.pdf</t>
  </si>
  <si>
    <t>DChem-091215-3</t>
  </si>
  <si>
    <t xml:space="preserve">JC Rad Inc. </t>
  </si>
  <si>
    <t>DChem-111515-1</t>
  </si>
  <si>
    <t>Dchem-11815-1Hash</t>
  </si>
  <si>
    <t>45103OregonGreenworks Farms / Nectar Markets</t>
  </si>
  <si>
    <t>Greenworks Farms / Nectar Markets</t>
  </si>
  <si>
    <t>DChemhash-090915-001</t>
  </si>
  <si>
    <t>Diesel-010216-1</t>
  </si>
  <si>
    <t>https://www.michigan.gov/cra/-/media/Project/Websites/cra/bulletin/1Public-Health-an-Safety-Advisory/Public-Health-and-Safety-Advisory---Voluntary-Recall---Weed-Bar_Final-(772023).pdf?rev=bc225217e56a400b81503d5d0d0b990c&amp;hash=B2C99489BE3B79F7868CBA606C0EC645</t>
  </si>
  <si>
    <t>DinaC-061315-3</t>
  </si>
  <si>
    <t>DinaC-092215-2</t>
  </si>
  <si>
    <t>DinaC-120115-1</t>
  </si>
  <si>
    <t>DOG-010616-6</t>
  </si>
  <si>
    <t>dog020216-13</t>
  </si>
  <si>
    <t>45114MichiganBloomfield Development Group Grow, LLC</t>
  </si>
  <si>
    <t>Bloomfield Development Group Grow, LLC</t>
  </si>
  <si>
    <t>DOG-052015-4</t>
  </si>
  <si>
    <t>https://www.oregon.gov/olcc/Docs/news/news_releases/2023/nr071323-Cannabis-Arsenic-Recall.pdf</t>
  </si>
  <si>
    <t>DOG-061015-8</t>
  </si>
  <si>
    <t>Presence of a Contaminant</t>
  </si>
  <si>
    <t>Unspecified Contaminant</t>
  </si>
  <si>
    <t>DOG-070715-2</t>
  </si>
  <si>
    <t>https://recalls.cannabis.ca.gov/recalls/6761abdbd62cebee0c5c993d</t>
  </si>
  <si>
    <t>45121OregonBend Cannabis Company</t>
  </si>
  <si>
    <t>DOG-071115-10</t>
  </si>
  <si>
    <t>Bend Cannabis Company</t>
  </si>
  <si>
    <t>DOG-071315-4</t>
  </si>
  <si>
    <t>Not Tested</t>
  </si>
  <si>
    <t>https://www.azdhs.gov/director/public-information-office/index.php#news-release-072423</t>
  </si>
  <si>
    <t>DOG-072215-1</t>
  </si>
  <si>
    <t>45131ArizonaGrow Sciences and Soothing Options</t>
  </si>
  <si>
    <t>DOG-083015-13</t>
  </si>
  <si>
    <t>Grow Sciences and Soothing Options</t>
  </si>
  <si>
    <t>Mammoth Distribution, Heavy Hitters, CA Manufacturing Co-op</t>
  </si>
  <si>
    <t>DOG-090915-9</t>
  </si>
  <si>
    <t>https://www.azdhs.gov/director/public-information-office/index.php#news-release-082323</t>
  </si>
  <si>
    <t>Unapproved Cannabinoid Source</t>
  </si>
  <si>
    <t>45162ArizonaGrow Sciences</t>
  </si>
  <si>
    <t>DOG-101415-15</t>
  </si>
  <si>
    <t>DOG-111015-25</t>
  </si>
  <si>
    <t>Dog-111815-1Hash</t>
  </si>
  <si>
    <t>DOG-111915-6</t>
  </si>
  <si>
    <t>DOG-112815-2</t>
  </si>
  <si>
    <t>DOG-120815-4</t>
  </si>
  <si>
    <t>DOG-121815-23</t>
  </si>
  <si>
    <t>Invalid Testing; Contaminated with Aspergillus or Mold</t>
  </si>
  <si>
    <t>Multiple: invalid testing, aspergillus, mold</t>
  </si>
  <si>
    <t>https://sbg.colorado.gov/sites/sbg/files/documents/230824%20P2C3%2C%20LLC%20HSA%20%20Revised.pdf</t>
  </si>
  <si>
    <t>DOGHASH-101415-1</t>
  </si>
  <si>
    <t>DrkStr-010216-1</t>
  </si>
  <si>
    <t>drkstr-012716-1</t>
  </si>
  <si>
    <t>Ewe2-062415-2</t>
  </si>
  <si>
    <t>45162ColoradoP2C3, LLC</t>
  </si>
  <si>
    <t>P2C3, LLC</t>
  </si>
  <si>
    <t>Ewe2-101415-3</t>
  </si>
  <si>
    <t>https://recalls.cannabis.ca.gov/recalls/6761bccb449a15805975db06</t>
  </si>
  <si>
    <t>Ewe2-102415-3</t>
  </si>
  <si>
    <t>45114MichiganGolden Shores Cannabis Company</t>
  </si>
  <si>
    <t>Golden Shores Cannabis Company</t>
  </si>
  <si>
    <t>EWE2-111515-5</t>
  </si>
  <si>
    <t>https://www.michigan.gov/cra/-/media/Project/Websites/cra/bulletin/1Public-Health-an-Safety-Advisory/Public-Health-and-Safety-Advisory---Marijuana-Consumer-Alert--Flight-Vapes--FINAL.pdf?rev=6040378ee85e454eab531e551e37528e&amp;hash=3D6029D6929D54E9C5040E382B6A1572</t>
  </si>
  <si>
    <t>Foreign matter, like insects, in product</t>
  </si>
  <si>
    <t>EWE2-112815-1</t>
  </si>
  <si>
    <t>Contaminants</t>
  </si>
  <si>
    <t>Ewe2-120815-3</t>
  </si>
  <si>
    <t>fifels2-012716-1</t>
  </si>
  <si>
    <t>fifths1-012716-1</t>
  </si>
  <si>
    <t xml:space="preserve">UPNORTH Distribution </t>
  </si>
  <si>
    <t>GCrack-111315-9</t>
  </si>
  <si>
    <t>GGOAT-052115-4</t>
  </si>
  <si>
    <t>45128MichiganSky Labs, LLC</t>
  </si>
  <si>
    <t>THC content above legal limit</t>
  </si>
  <si>
    <t>Sky Labs, LLC</t>
  </si>
  <si>
    <t>GigB-010216-1</t>
  </si>
  <si>
    <t>GldGoat-051915-01</t>
  </si>
  <si>
    <t>45120OregonBend Cannabis Company</t>
  </si>
  <si>
    <t>GldGoat-060515-1HASH</t>
  </si>
  <si>
    <t>45140WashingtonOlympic Reef, LLC</t>
  </si>
  <si>
    <t>Olympic Reef, LLC</t>
  </si>
  <si>
    <t>GLDGOAT-061315-3</t>
  </si>
  <si>
    <t>Gldlms-012716-1</t>
  </si>
  <si>
    <t>GoldenGoat-051915-1</t>
  </si>
  <si>
    <t>Grape13-120815-2</t>
  </si>
  <si>
    <t>GrnCrk-012116-19</t>
  </si>
  <si>
    <t>GRNCRK-081315-15</t>
  </si>
  <si>
    <t>GrnCrk-111515-12</t>
  </si>
  <si>
    <t>pyrethrins</t>
  </si>
  <si>
    <t>Grp13-013016-1</t>
  </si>
  <si>
    <t>GRP13-073115-1</t>
  </si>
  <si>
    <t>Grp13-112415-3</t>
  </si>
  <si>
    <t>Grp13-120815-2</t>
  </si>
  <si>
    <t>Multiple: Unspecified Pesticides, Product not from Approved Producer</t>
  </si>
  <si>
    <t>GSC-072215-5</t>
  </si>
  <si>
    <t>GSC-081415-1</t>
  </si>
  <si>
    <t>GSC-090815-1</t>
  </si>
  <si>
    <t>https://recalls.cannabis.ca.gov/recalls/6761b4b3449a15805975dafe</t>
  </si>
  <si>
    <t>GSC-091215-1</t>
  </si>
  <si>
    <t>Not appropriately tested, Pesticides</t>
  </si>
  <si>
    <t>Multiple: not appropriately tested, pesticdes</t>
  </si>
  <si>
    <t>GSC-101315-8</t>
  </si>
  <si>
    <t>GumBS1-010216-1</t>
  </si>
  <si>
    <t>GumBS2-010216-1</t>
  </si>
  <si>
    <t>HaBa-051615-2</t>
  </si>
  <si>
    <t>HaBa-071615-9</t>
  </si>
  <si>
    <t>Does not include universal symbol</t>
  </si>
  <si>
    <t>Labeling Issue</t>
  </si>
  <si>
    <t>HaBa-112415-3</t>
  </si>
  <si>
    <t>Hawban011816-4</t>
  </si>
  <si>
    <t>Malibu Gold, LLC</t>
  </si>
  <si>
    <t>HAWBAN-061315-4</t>
  </si>
  <si>
    <t>HawBan-072315-2</t>
  </si>
  <si>
    <t>HawBan-111815-2</t>
  </si>
  <si>
    <t>Multiple: Attractive to Children, Inaccurate Ingredient Label</t>
  </si>
  <si>
    <t>hdbnd-010816-3</t>
  </si>
  <si>
    <t>JediK-071415-6</t>
  </si>
  <si>
    <t>JediKush-072215-5</t>
  </si>
  <si>
    <t>Jedis3-082215-2</t>
  </si>
  <si>
    <t>JedS1-120815-1</t>
  </si>
  <si>
    <t>Not Childproof Packaging</t>
  </si>
  <si>
    <t>JEDs3-070915-2</t>
  </si>
  <si>
    <t>KandyK-051615-1</t>
  </si>
  <si>
    <t>KandyK-070215-6</t>
  </si>
  <si>
    <t>KANDYK-090115-9</t>
  </si>
  <si>
    <t>KandyKush-060515-8</t>
  </si>
  <si>
    <t>Mold and Spoilage</t>
  </si>
  <si>
    <t>KandyKush-111815-2</t>
  </si>
  <si>
    <t>Multiple: Spoilage and Mold</t>
  </si>
  <si>
    <t>KndyK-013016-5</t>
  </si>
  <si>
    <t>KndyK-082215-2</t>
  </si>
  <si>
    <t>KndyK-111015-12</t>
  </si>
  <si>
    <t>Kosh-010616-4</t>
  </si>
  <si>
    <t>https://recalls.cannabis.ca.gov/recalls/6761b362449a15805975daf9</t>
  </si>
  <si>
    <t>Kosh-120815-1</t>
  </si>
  <si>
    <t>KosherK-012016-9</t>
  </si>
  <si>
    <t>KosherTangie-100515-6</t>
  </si>
  <si>
    <t>KosherTangie-101415-8</t>
  </si>
  <si>
    <t>KoshK011816-9</t>
  </si>
  <si>
    <t>KoshK-090415-4</t>
  </si>
  <si>
    <t>Cadmium, Arsenic</t>
  </si>
  <si>
    <t>Heavy Metals</t>
  </si>
  <si>
    <t>KoshK-112815-3</t>
  </si>
  <si>
    <t xml:space="preserve">Northern Emeralds </t>
  </si>
  <si>
    <t>KoshKush-060515-5</t>
  </si>
  <si>
    <t>Koshkush-061115-2</t>
  </si>
  <si>
    <t>KoshTang-072215-7</t>
  </si>
  <si>
    <t>KoshTng-111515-1</t>
  </si>
  <si>
    <t>Improper Testing Methods</t>
  </si>
  <si>
    <t>KTang-010316-11</t>
  </si>
  <si>
    <t>KTang-070215-9</t>
  </si>
  <si>
    <t>KTang-071615-6</t>
  </si>
  <si>
    <t>KTang-092515-6</t>
  </si>
  <si>
    <t>Ktang-111815-1</t>
  </si>
  <si>
    <t>LemKushHB-072215-5</t>
  </si>
  <si>
    <t>LemonKushHB-060515-4</t>
  </si>
  <si>
    <t>failed harvest batch testing for microbials</t>
  </si>
  <si>
    <t>LemonKushHB-072815-7</t>
  </si>
  <si>
    <t>lemonskunk-061315-1</t>
  </si>
  <si>
    <t>LKHB-082015-3</t>
  </si>
  <si>
    <t>LKHB-101415-2</t>
  </si>
  <si>
    <t>LKHB-111915-4</t>
  </si>
  <si>
    <t>https://cannabis.ca.gov/resources/cannabis-recalls-and-safety-notices/8-track-pre-roll/</t>
  </si>
  <si>
    <t>QA Recall by Vendor</t>
  </si>
  <si>
    <t>LKHB-120815-1</t>
  </si>
  <si>
    <t>LmSk-011216-12</t>
  </si>
  <si>
    <t>LMSK-061115-9</t>
  </si>
  <si>
    <t>LmSk-070915-10</t>
  </si>
  <si>
    <t>LMSK-081715-4</t>
  </si>
  <si>
    <t>Aspergillus, Cadmium, Mercury</t>
  </si>
  <si>
    <t>Aspergillus, Heavy Metal</t>
  </si>
  <si>
    <t>Urbina, Inc</t>
  </si>
  <si>
    <t>LmSk-102315-9</t>
  </si>
  <si>
    <t>LmSk-111515-10</t>
  </si>
  <si>
    <t>LOG-092515-5</t>
  </si>
  <si>
    <t>LOG-100415-4</t>
  </si>
  <si>
    <t>Withdraw of products not safe for inhalation</t>
  </si>
  <si>
    <t>LSK-091415-17</t>
  </si>
  <si>
    <t>Maku-111515-3</t>
  </si>
  <si>
    <t>MasterK-072315-2</t>
  </si>
  <si>
    <t>MasterKush-062315-6</t>
  </si>
  <si>
    <t>MaTaS1-011516-1</t>
  </si>
  <si>
    <t>Mystery-051915-001</t>
  </si>
  <si>
    <t>Mystery-051915-01</t>
  </si>
  <si>
    <t>OG#18-072215-4</t>
  </si>
  <si>
    <t>OG18-081415-1</t>
  </si>
  <si>
    <t>pcook-111815-1</t>
  </si>
  <si>
    <t>PhanC-102415-4</t>
  </si>
  <si>
    <t>phant-120115-1</t>
  </si>
  <si>
    <t>https://recalls.cannabis.ca.gov/recalls/6761bc23449a15805975db04</t>
  </si>
  <si>
    <t>Phant-120815-1</t>
  </si>
  <si>
    <t>PhantCookie081815-14</t>
  </si>
  <si>
    <t>PhantCookies-060515-11</t>
  </si>
  <si>
    <t>PhantmnC-061915-9</t>
  </si>
  <si>
    <t>PhantomC-051915-1</t>
  </si>
  <si>
    <t>PHANTOMC-052015-2</t>
  </si>
  <si>
    <t>PhantomC-062415-2</t>
  </si>
  <si>
    <t>Multiple: Pesticides / Solvents</t>
  </si>
  <si>
    <t>PhatC-071415-6</t>
  </si>
  <si>
    <t>Snap Distro SV</t>
  </si>
  <si>
    <t>PhatC-102315-2</t>
  </si>
  <si>
    <t>Phntm-090315-15</t>
  </si>
  <si>
    <t>PinEx-092215-1</t>
  </si>
  <si>
    <t>PlushBurry-091215-11</t>
  </si>
  <si>
    <t>PPberryS2-100515-1</t>
  </si>
  <si>
    <t>PPBerryS3(LiveResin)0625151</t>
  </si>
  <si>
    <t>prpsk-012716-1</t>
  </si>
  <si>
    <t>PRPSK-081415-2-LiveResin</t>
  </si>
  <si>
    <t>PRPSK-091415-2</t>
  </si>
  <si>
    <t>PrpSk-120815-10</t>
  </si>
  <si>
    <t>PrpWk x BlWdo-080615-2</t>
  </si>
  <si>
    <t>PrpWk-01115-2</t>
  </si>
  <si>
    <t>PrpWk-080615-8</t>
  </si>
  <si>
    <t>PrpWrk-120815-1</t>
  </si>
  <si>
    <t>Above pesticide action levels.</t>
  </si>
  <si>
    <t>PurPBerryS1(LiveResin)-062515-1</t>
  </si>
  <si>
    <t>PurpOG18-011516-1</t>
  </si>
  <si>
    <t>PurpPine-060915-1</t>
  </si>
  <si>
    <t>PurpPine-061315-8</t>
  </si>
  <si>
    <t>PurpPineBerryS2-062515-3</t>
  </si>
  <si>
    <t>Aspergillus, Lead</t>
  </si>
  <si>
    <t>https://cannabis.ca.gov/resources/cannabis-recalls-and-safety-notices/canndescent-california-100-whole-flower-pre-rolls/</t>
  </si>
  <si>
    <t>PurpSkunk-052115-1</t>
  </si>
  <si>
    <t>purpskunk-061315-2</t>
  </si>
  <si>
    <t>PushBs2-071115-2</t>
  </si>
  <si>
    <t>Pxp-010216-1</t>
  </si>
  <si>
    <t>PXP-091215-7</t>
  </si>
  <si>
    <t>Qrkl-010816-14</t>
  </si>
  <si>
    <t>Qrkl-082515-7</t>
  </si>
  <si>
    <t>Qrkl-090415-3</t>
  </si>
  <si>
    <t xml:space="preserve">TBP Indoor Facilities, Inc. </t>
  </si>
  <si>
    <t>Qrkl-092215-1</t>
  </si>
  <si>
    <t>Qrkl-101615-12</t>
  </si>
  <si>
    <t>Querk-091215-3</t>
  </si>
  <si>
    <t>Querkle-062515-1</t>
  </si>
  <si>
    <t>Querkle-070130-10</t>
  </si>
  <si>
    <t>SD-083015-5</t>
  </si>
  <si>
    <t>shrksk-012716-1</t>
  </si>
  <si>
    <t>Snow-091315-9</t>
  </si>
  <si>
    <t>SnoWt-070715-6</t>
  </si>
  <si>
    <t>SnoWt-071115-3</t>
  </si>
  <si>
    <t>SnowWhite-061315-8</t>
  </si>
  <si>
    <t>SourD-012816-6</t>
  </si>
  <si>
    <t>SourD-111815-1Hash</t>
  </si>
  <si>
    <t>SourD-111815-2</t>
  </si>
  <si>
    <t>SRD-112415-2</t>
  </si>
  <si>
    <t>SRD-120815-4</t>
  </si>
  <si>
    <t>StraBanS2-091315-8</t>
  </si>
  <si>
    <t>StraBanS3-091315-5</t>
  </si>
  <si>
    <t>StrawBanS2-061615-1</t>
  </si>
  <si>
    <t>StrawBanS3-062815-3</t>
  </si>
  <si>
    <t>StrawBanS6-061615-1</t>
  </si>
  <si>
    <t>https://cannabis.ca.gov/resources/cannabis-recalls-and-safety-notices/cali-kosher-flower/</t>
  </si>
  <si>
    <t>StrawCoughS2-061615-2</t>
  </si>
  <si>
    <t>tangilope-072815-10</t>
  </si>
  <si>
    <t>Tangilope-100515-10</t>
  </si>
  <si>
    <t xml:space="preserve">JDI Farms </t>
  </si>
  <si>
    <t>recall notice</t>
  </si>
  <si>
    <t>ID2</t>
  </si>
  <si>
    <t>Recall Date</t>
  </si>
  <si>
    <t>Reason as Listed</t>
  </si>
  <si>
    <t>Specifics</t>
  </si>
  <si>
    <t>CO424172</t>
  </si>
  <si>
    <t>012016 tanq1</t>
  </si>
  <si>
    <t>Potentially Contaminated</t>
  </si>
  <si>
    <t>403-01366</t>
  </si>
  <si>
    <t>Improperly Tested</t>
  </si>
  <si>
    <t>404-00352</t>
  </si>
  <si>
    <t>https://cannabis.ca.gov/resources/cannabis-recalls-and-safety-notices/lax-packs-premium-flower/</t>
  </si>
  <si>
    <t>012016 tranq1</t>
  </si>
  <si>
    <t>Potency</t>
  </si>
  <si>
    <t>012016 Tranq2</t>
  </si>
  <si>
    <t>1/25/16 Purple Dream (PD012516)</t>
  </si>
  <si>
    <t>Unspecified Microbes</t>
  </si>
  <si>
    <t>1/25/16 Ruskin Chronic (RC012516)</t>
  </si>
  <si>
    <t>1/25/16 Shoreline #4 (S4012516)</t>
  </si>
  <si>
    <t>Crafted Canopy Co. LLC</t>
  </si>
  <si>
    <t>1/25/16 Special Sour Diesel (SS012516)</t>
  </si>
  <si>
    <t>1/25/16 Sugar Black Rose (SB012516)</t>
  </si>
  <si>
    <t>1/26/16 Sugar Black Rose (SB012616)</t>
  </si>
  <si>
    <t>1/26/2016 Shoreline #1 (S1012616)</t>
  </si>
  <si>
    <t>TYM</t>
  </si>
  <si>
    <t>1/28/16 Chem Dawg (CD012516)</t>
  </si>
  <si>
    <t>Businesses</t>
  </si>
  <si>
    <t>1-26-15 Shoreline #3 (SH012615)</t>
  </si>
  <si>
    <t>1-27-16 Blue Dream Sandee (BD012716)</t>
  </si>
  <si>
    <t>1-27-16 Jonesberry (JB012716)</t>
  </si>
  <si>
    <t>1-27-16 Purple Dream (PD012716)</t>
  </si>
  <si>
    <t>1-27-16 Special Sour Diesel (SS012716)</t>
  </si>
  <si>
    <t>1-27-16 Sugar Black Rose (SB012716)</t>
  </si>
  <si>
    <t>1-28-16 Jonesberry (JB012816)</t>
  </si>
  <si>
    <t>1-28-16 Maui (MA012816)</t>
  </si>
  <si>
    <t>1-29-16 Buddha's Sister (BS012916)</t>
  </si>
  <si>
    <t>https://recalls.cannabis.ca.gov/recalls/67607f90e7333c2117ce13c2</t>
  </si>
  <si>
    <t>1-29-16 Chem Dawg (CD012916)</t>
  </si>
  <si>
    <t>1-29-16 Maui (MA012916)</t>
  </si>
  <si>
    <t>2015-06-10-6-8-15 Flower Zone 6-H</t>
  </si>
  <si>
    <t>CDA confirmed the presence of the Off-Label Pesticides, Myclobutanil and Imidacloprid, in the product samples tested.</t>
  </si>
  <si>
    <t>2015-06-18-Drying Room-H</t>
  </si>
  <si>
    <t>Myclobutanil, Imidacloprid</t>
  </si>
  <si>
    <t>2016-02-08-Harvest-H</t>
  </si>
  <si>
    <t>Epic Bros Enterprises, Inc.</t>
  </si>
  <si>
    <t>2016-02-09-Drying Room-H</t>
  </si>
  <si>
    <t>2-10-16 Sugar Black Rose (SB021016)</t>
  </si>
  <si>
    <t>2-8-16 Orange Juice (Oj020816)</t>
  </si>
  <si>
    <t>2-9-16 Sugar Black Rose (SB020916)</t>
  </si>
  <si>
    <t>5-4-15 Ruskin Chronic</t>
  </si>
  <si>
    <t>6-23-15 Pineapple Skunk</t>
  </si>
  <si>
    <t>6-9-15 Chiesel</t>
  </si>
  <si>
    <t>7-16-15 Pine Express</t>
  </si>
  <si>
    <t>7-8-15 Early</t>
  </si>
  <si>
    <t>8-10-15 Bubblr Bomb</t>
  </si>
  <si>
    <t>8-10-15 Chem Dawg</t>
  </si>
  <si>
    <t>8-10-15 Exodus Cheese</t>
  </si>
  <si>
    <t>8-10-15 Obsession</t>
  </si>
  <si>
    <t>8-10-15 OG-18</t>
  </si>
  <si>
    <t>a cultivated by High Mountain Medz LLC, dba Levity Wellness.</t>
  </si>
  <si>
    <t>8-10-15 OJ</t>
  </si>
  <si>
    <t>8-11-15 Blue Dream</t>
  </si>
  <si>
    <t>8-11-15 JB -– WF</t>
  </si>
  <si>
    <t>https://recalls.cannabis.ca.gov/recalls/676075d467bff701781d9596</t>
  </si>
  <si>
    <t>8-11-15 Shoreline</t>
  </si>
  <si>
    <t>8-21-15 Sour Diesel</t>
  </si>
  <si>
    <t>8-5-15 Shoreline</t>
  </si>
  <si>
    <t>402-00875</t>
  </si>
  <si>
    <t>403-01367, 403-01571</t>
  </si>
  <si>
    <t>1/4/16 Grape Ape</t>
  </si>
  <si>
    <t>1/4/16 NYCD Blast</t>
  </si>
  <si>
    <t>Paet Real Estate LLC</t>
  </si>
  <si>
    <t>10-28-15 OJ Blast</t>
  </si>
  <si>
    <t>1-12-16 Grape Ape(R)</t>
  </si>
  <si>
    <t>1-13-16 OJ</t>
  </si>
  <si>
    <t>1-19-16 Shoreline #3</t>
  </si>
  <si>
    <t>CDA confirmed the presence of the Off-Label Pesticide, Myclobutanil, in the product samples tested.</t>
  </si>
  <si>
    <t>12-22-15 AK-47</t>
  </si>
  <si>
    <t>12-22-15 Lost Coast OG</t>
  </si>
  <si>
    <t>12-22-15 NYCD</t>
  </si>
  <si>
    <t>12-23 &amp; 24-15 AK-47</t>
  </si>
  <si>
    <t>12-23-15 Girl Scout Cookies</t>
  </si>
  <si>
    <t>12-23-15 Sugar Blk Rose</t>
  </si>
  <si>
    <t>12-23-15 White Dragon</t>
  </si>
  <si>
    <t>12-28-15 AK-47</t>
  </si>
  <si>
    <t>cultivated by Dr Releaf Inc</t>
  </si>
  <si>
    <t>12-28-15 Cogniac Kush</t>
  </si>
  <si>
    <t>https://recalls.cannabis.ca.gov/recalls/67608282141ebf4b23e92734</t>
  </si>
  <si>
    <t>12-28-15 Golden Goat</t>
  </si>
  <si>
    <t>12-28-15 NYCD</t>
  </si>
  <si>
    <t>12-29-15 Lost Coast OG</t>
  </si>
  <si>
    <t>12-29-15 NYCD</t>
  </si>
  <si>
    <t>CDA confirmed the presence of the Off-Label Pesticides, Myclobutanil and Etoxazole, in the product samples tested.</t>
  </si>
  <si>
    <t>12-30-15 AK-47</t>
  </si>
  <si>
    <t>Myclobutanil and Etoxazole,</t>
  </si>
  <si>
    <t>12-30-15 Chem Dawg</t>
  </si>
  <si>
    <t>12-30-15 Golden Goat</t>
  </si>
  <si>
    <t>WEST COAST CURE PREMIUM CURE Flower</t>
  </si>
  <si>
    <t>12-30-15 Grape Ape</t>
  </si>
  <si>
    <t>Shield Management Group, LLC</t>
  </si>
  <si>
    <t>12-30-15 Sugar Black Rose</t>
  </si>
  <si>
    <t>12-31-15 Jonesberry</t>
  </si>
  <si>
    <t>12-31-15 OJ</t>
  </si>
  <si>
    <t>12-31-15 Rocky Mountain Tangerine</t>
  </si>
  <si>
    <t>12-31-15 Skywalker OG</t>
  </si>
  <si>
    <t>1-4 Chem Dawg</t>
  </si>
  <si>
    <t>1-4-16 Shoreline #1</t>
  </si>
  <si>
    <t>1-5-15 Chem Dog</t>
  </si>
  <si>
    <t>1-5-15 Grape Ape</t>
  </si>
  <si>
    <t>1-5-16 Jonesberry</t>
  </si>
  <si>
    <t>a cultivated by XG Platinum Corporation</t>
  </si>
  <si>
    <t>1-5-16 Wimauma Funk</t>
  </si>
  <si>
    <t>1-6-15 Blue Dream #1</t>
  </si>
  <si>
    <t>1-6-15 Chem Dog</t>
  </si>
  <si>
    <t>1-6-16 Golden Goat</t>
  </si>
  <si>
    <t>1-6-16 Shoreline 4</t>
  </si>
  <si>
    <t>1-6-16 Sour D</t>
  </si>
  <si>
    <t>2015-12-24-Harvest-H</t>
  </si>
  <si>
    <t>2-1-16 Purple Dream (PD020116)</t>
  </si>
  <si>
    <t>https://recalls.cannabis.ca.gov/recalls/67608d79141ebf4b23e92757</t>
  </si>
  <si>
    <t>CDA confirmed the presence of the Off-Label Pesticide, Myclobutanil and Spinosyn A, in the product samples tested.</t>
  </si>
  <si>
    <t>2-1-16 Special Sour Diesel (SS020116)</t>
  </si>
  <si>
    <t>Myclobutanil and Spinosyn A</t>
  </si>
  <si>
    <t>2-2-16 Special Sour Diesel (SS020216)</t>
  </si>
  <si>
    <t>2-3-16 Maui (MA020316)</t>
  </si>
  <si>
    <t>1-11-15 Heavenly Mountain</t>
  </si>
  <si>
    <t>402-01078</t>
  </si>
  <si>
    <t>403-01676</t>
  </si>
  <si>
    <t>1-11-16 Critical Sensi Star</t>
  </si>
  <si>
    <t>1-11-16 Jonesberry</t>
  </si>
  <si>
    <t>CUREpen PREMIUM THC OIL Vape Cartridge</t>
  </si>
  <si>
    <t>Alkhemist DM LLC</t>
  </si>
  <si>
    <t>1-11-16 Sugar Black Rose</t>
  </si>
  <si>
    <t>1-12-15 Maui</t>
  </si>
  <si>
    <t>1-12-16 Chiesel</t>
  </si>
  <si>
    <t>1-12-16 Special Sour Diesel</t>
  </si>
  <si>
    <t>1-13-16 Buddha's Sister</t>
  </si>
  <si>
    <t>1-13-16 Chiesel</t>
  </si>
  <si>
    <t>1-13-16 Sensi Star</t>
  </si>
  <si>
    <t>1-14-16 Tranquility #1</t>
  </si>
  <si>
    <t>1-14-16 Tranquility #2</t>
  </si>
  <si>
    <t>1-18-16 Critical Sensi Star (C011816)</t>
  </si>
  <si>
    <t>a cultivated by Rocky Mountain Organic Medicine Inc.</t>
  </si>
  <si>
    <t>1-18-16 Jonesberry (J011816)</t>
  </si>
  <si>
    <t>1-18-16 Maui (M011816)</t>
  </si>
  <si>
    <t>1-18-16 Sugar Black Rose</t>
  </si>
  <si>
    <t>CDA confirmed the presence of the Off-Label Pesticides, Myclobutanil and Avermectin Bla, in the product samples tested.</t>
  </si>
  <si>
    <t>1-19-16 Jonesberry</t>
  </si>
  <si>
    <t>https://recalls.cannabis.ca.gov/recalls/67607a66e7333c2117ce13ab</t>
  </si>
  <si>
    <t>1-19-16 Maui</t>
  </si>
  <si>
    <t>1-19-16 Sensi Star</t>
  </si>
  <si>
    <t>1-19-16 Shoreline #1</t>
  </si>
  <si>
    <t>1-19-16 Special Sour Diesel</t>
  </si>
  <si>
    <t>1-20-16 Maui</t>
  </si>
  <si>
    <t>1-4-16 Maui</t>
  </si>
  <si>
    <t>WCC CUREpen PREMIUM THC OIL Vape Cartridge</t>
  </si>
  <si>
    <t>1-5-16 Maui</t>
  </si>
  <si>
    <t>1-6-16 Chiesel</t>
  </si>
  <si>
    <t>1-6-16 Heaven Mtn</t>
  </si>
  <si>
    <t>2/1/16 Purple Drem (PD020116)</t>
  </si>
  <si>
    <t>2016-01-19-Dry Room-H</t>
  </si>
  <si>
    <t>2-1-16 Sugar Black Rose (SB020116)</t>
  </si>
  <si>
    <t>cultivated by Back to the Garden Health &amp; Wellness Center LLC, dba Back to the Garden.</t>
  </si>
  <si>
    <t>2-2-16 Chem Dawg (CD020216)</t>
  </si>
  <si>
    <t>2-3-16 Chem Dawg (CD020316)</t>
  </si>
  <si>
    <t>2-3-16 Jonesberry (JB020316)</t>
  </si>
  <si>
    <t>2-3-16 Rocky Mountain Tangerine</t>
  </si>
  <si>
    <t>(RM020316)</t>
  </si>
  <si>
    <t>CDA confirmed the presence of the Off-Label Pesticide, Etoxazole and Imidacloprid, in the product samples tested.</t>
  </si>
  <si>
    <t>Bud- Tranquility #1 (T1012116)</t>
  </si>
  <si>
    <t>Bud- Tranquility #2 (T2012116)</t>
  </si>
  <si>
    <t>Chiesel (TQAD)</t>
  </si>
  <si>
    <t>CO424233</t>
  </si>
  <si>
    <t>2016-01-11-Harvest/Dry Room-H</t>
  </si>
  <si>
    <t>403R-00160</t>
  </si>
  <si>
    <t>https://cannabis.ca.gov/resources/cannabis-recalls-and-safety-notices/west-coast-cure-live-resin-vape-cartridge/</t>
  </si>
  <si>
    <t>CO424244</t>
  </si>
  <si>
    <t>2016-02-12-GD</t>
  </si>
  <si>
    <t>402-00251</t>
  </si>
  <si>
    <t>403-00375</t>
  </si>
  <si>
    <t>2016-02-12-GG</t>
  </si>
  <si>
    <t>2016-02-12-CH</t>
  </si>
  <si>
    <t>2016-02-12-DW</t>
  </si>
  <si>
    <t>2016-02-12-DP</t>
  </si>
  <si>
    <t>2016-02-12-DRY ROOM-H</t>
  </si>
  <si>
    <t>2016-02-12-HB</t>
  </si>
  <si>
    <t>WEST COAST CURE CUREpen Vape Cartridge</t>
  </si>
  <si>
    <t>2016-02-12-HG</t>
  </si>
  <si>
    <t>2016-02-12-PG</t>
  </si>
  <si>
    <t>cultivated by Sunrise Solutions LLC</t>
  </si>
  <si>
    <t>2016-02-12-RE</t>
  </si>
  <si>
    <t>2016-02-12-TP</t>
  </si>
  <si>
    <t>2016-02-12-SZ</t>
  </si>
  <si>
    <t>2016-02-04-DW</t>
  </si>
  <si>
    <t>2016-02-04-GG</t>
  </si>
  <si>
    <t>CDA confirmed the presence of the Off-Label Pesticide, Myclobutanil, Avermectin, and Imidacloprid, in the product samples tested.</t>
  </si>
  <si>
    <t>2016-02-04-GU</t>
  </si>
  <si>
    <t>2016-02-04-PG</t>
  </si>
  <si>
    <t>2016-02-04-SD</t>
  </si>
  <si>
    <t>2016-02-04-WF</t>
  </si>
  <si>
    <t>2016-01-29-XX</t>
  </si>
  <si>
    <t>2016-01-29-CO</t>
  </si>
  <si>
    <t>2016-01-29-DW</t>
  </si>
  <si>
    <t>2016-01-29-FO</t>
  </si>
  <si>
    <t>2016-01-29-GD</t>
  </si>
  <si>
    <t>2016-01-29-GA</t>
  </si>
  <si>
    <t>https://cannabis.ca.gov/resources/cannabis-recalls-and-safety-notices/west-coast-cure-curepen-vape-cartridge/</t>
  </si>
  <si>
    <t>2016-01-29-GX</t>
  </si>
  <si>
    <t>2016-01-29-TP</t>
  </si>
  <si>
    <t>2016-01-29-MK</t>
  </si>
  <si>
    <t>2016-01-29-NY</t>
  </si>
  <si>
    <t>2016-01-29-P1</t>
  </si>
  <si>
    <t>2016-01-29-RE</t>
  </si>
  <si>
    <t>2016-01-29-SZ</t>
  </si>
  <si>
    <t>cultivated by CNW LLC, dba Artisanal Medicinals.</t>
  </si>
  <si>
    <t>WEST COAST CURE LIVE RESIN Vape Cartridge</t>
  </si>
  <si>
    <t>2016-01-29-SD</t>
  </si>
  <si>
    <t>2016-01-29-BD</t>
  </si>
  <si>
    <t>2016-01-26-CO</t>
  </si>
  <si>
    <t>2016-01-26-CP</t>
  </si>
  <si>
    <t>2016-01-26-GD</t>
  </si>
  <si>
    <t>2016-01-26-GA</t>
  </si>
  <si>
    <t>CDA confirmed the presence of the Off-Label Pesticides, Spiromesifin, in the product samples tested.</t>
  </si>
  <si>
    <t>2016-01-26-GU</t>
  </si>
  <si>
    <t>2016-01-26-DRY ROOM-H</t>
  </si>
  <si>
    <t>2016-01-26-HG</t>
  </si>
  <si>
    <t>2016-01-26-NY</t>
  </si>
  <si>
    <t>2016-01-26-RE</t>
  </si>
  <si>
    <t>2016-01-26-TP</t>
  </si>
  <si>
    <t>2016-01-25-CP</t>
  </si>
  <si>
    <t>2016-01-25-DS</t>
  </si>
  <si>
    <t>2016-01-25-NY</t>
  </si>
  <si>
    <t>2016-01-25-SL</t>
  </si>
  <si>
    <t>2016-01-25-TR</t>
  </si>
  <si>
    <t>2016-01-25-XX</t>
  </si>
  <si>
    <t>2016-01-25-PA</t>
  </si>
  <si>
    <t>cultivated by Headquarters Emporium and Dispensary LLC.</t>
  </si>
  <si>
    <t>https://cannabis.ca.gov/resources/cannabis-recalls-and-safety-notices/backpackboyz-premium-vape/</t>
  </si>
  <si>
    <t>2016-01-25-RE</t>
  </si>
  <si>
    <t>2016-01-18-DW</t>
  </si>
  <si>
    <t>2016-01-18-DRY ROOM-H</t>
  </si>
  <si>
    <t>2016-01-14-TP</t>
  </si>
  <si>
    <t>2016-01-14-DW</t>
  </si>
  <si>
    <t>CDA confirmed the presence of the Off-Label Pesticides, Avermectin, in the product samples tested.</t>
  </si>
  <si>
    <t>2016-01-08-C4</t>
  </si>
  <si>
    <t>CIRCLES Cannabis Oil Vaporizer Vape Cartridge</t>
  </si>
  <si>
    <t>2016-01-08-CQ</t>
  </si>
  <si>
    <t>K.U.S.H. (KINDER UNDERSTANDING SENSITIVE HEALING) COLLECTIVE</t>
  </si>
  <si>
    <t>2016-01-08-RE</t>
  </si>
  <si>
    <t>2016-01-08-DW</t>
  </si>
  <si>
    <t>2016-01-08-GA</t>
  </si>
  <si>
    <t>2016-01-08-P1</t>
  </si>
  <si>
    <t>2016-01-08-GX</t>
  </si>
  <si>
    <t>2016-01-08-GD</t>
  </si>
  <si>
    <t>2015-12-29-DW</t>
  </si>
  <si>
    <t>2015-12-29-GU</t>
  </si>
  <si>
    <t>2015-12-29-PT</t>
  </si>
  <si>
    <t>2015-12-29-MK</t>
  </si>
  <si>
    <t>2015-12-29-PP</t>
  </si>
  <si>
    <t>cultivated by Skinny Pineapple Inc, dba The Farm</t>
  </si>
  <si>
    <t>CO424255</t>
  </si>
  <si>
    <t>AK 1016</t>
  </si>
  <si>
    <t>402-00583</t>
  </si>
  <si>
    <t>403-00865</t>
  </si>
  <si>
    <t>AK 1307</t>
  </si>
  <si>
    <t>AK 9360</t>
  </si>
  <si>
    <t>AK 9721</t>
  </si>
  <si>
    <t>BBK 4170</t>
  </si>
  <si>
    <t>CDA confirmed the presence of the Off-Label Pesticides, Myclobutanil, in the product samples tested</t>
  </si>
  <si>
    <t>BBK 4361</t>
  </si>
  <si>
    <t>BD 1628</t>
  </si>
  <si>
    <t>https://cannabis.ca.gov/resources/cannabis-recalls-and-safety-notices/circles-cannabis-oil-vaporizer/</t>
  </si>
  <si>
    <t>BD 2037</t>
  </si>
  <si>
    <t>BK 3568</t>
  </si>
  <si>
    <t>BK 4312</t>
  </si>
  <si>
    <t>BK6380</t>
  </si>
  <si>
    <t>BTG 4828</t>
  </si>
  <si>
    <t>BTG 6957</t>
  </si>
  <si>
    <t>Backpackboyz PREMIUM VAPE Integrated Vaporizer</t>
  </si>
  <si>
    <t>BTG 7407</t>
  </si>
  <si>
    <t>C2.0 0525</t>
  </si>
  <si>
    <t>C2.0 4413</t>
  </si>
  <si>
    <t>c2.0 5344</t>
  </si>
  <si>
    <t>C2.0 9795</t>
  </si>
  <si>
    <t>cultivated by Advanced Medical Alternatives LLC.</t>
  </si>
  <si>
    <t>CD 0086</t>
  </si>
  <si>
    <t>CD 1029</t>
  </si>
  <si>
    <t>CD 1945</t>
  </si>
  <si>
    <t>CD 2507</t>
  </si>
  <si>
    <t>CD 2825</t>
  </si>
  <si>
    <t>CD 4483</t>
  </si>
  <si>
    <t>CDA confirmed the presence of the OffLabel Pesticides, Myclobutanil, in the product samples tested.</t>
  </si>
  <si>
    <t>CD 4990</t>
  </si>
  <si>
    <t>CD 6415</t>
  </si>
  <si>
    <t>CD 6996</t>
  </si>
  <si>
    <t>CD 7652</t>
  </si>
  <si>
    <t>CD3373</t>
  </si>
  <si>
    <t>CT 2095</t>
  </si>
  <si>
    <t>https://recalls.cannabis.ca.gov/recalls/67608170e7333c2117ce13c5</t>
  </si>
  <si>
    <t>CT 6146</t>
  </si>
  <si>
    <t>CT 6987</t>
  </si>
  <si>
    <t>CT 9969</t>
  </si>
  <si>
    <t>Flo 1130</t>
  </si>
  <si>
    <t>Flo 3861</t>
  </si>
  <si>
    <t>FLO 4148</t>
  </si>
  <si>
    <t>The Bake Shop LA</t>
  </si>
  <si>
    <t>cultivated by RR Services LLC.</t>
  </si>
  <si>
    <t>FLO 5473</t>
  </si>
  <si>
    <t>FLO 6860</t>
  </si>
  <si>
    <t>Flo 7380</t>
  </si>
  <si>
    <t>FLO 8444</t>
  </si>
  <si>
    <t>Flo 9665</t>
  </si>
  <si>
    <t>CDA confirmed the presence of the Off-Label Pesticides, Imidacloprid, in the product samples tested</t>
  </si>
  <si>
    <t>GA 2904</t>
  </si>
  <si>
    <t>GA 8144</t>
  </si>
  <si>
    <t>GA 8672</t>
  </si>
  <si>
    <t>GA 9358</t>
  </si>
  <si>
    <t>GA 9765</t>
  </si>
  <si>
    <t>GC 3172</t>
  </si>
  <si>
    <t>GC 4951</t>
  </si>
  <si>
    <t>GC 5478</t>
  </si>
  <si>
    <t>GC 6118</t>
  </si>
  <si>
    <t>GC 6330</t>
  </si>
  <si>
    <t>GC 6767</t>
  </si>
  <si>
    <t>GD 0017</t>
  </si>
  <si>
    <t>GD 1362</t>
  </si>
  <si>
    <t>https://cannabis.ca.gov/resources/cannabis-recalls-and-safety-notices/kush-creaturz-flower/</t>
  </si>
  <si>
    <t>cultivated by MGI Inc, dba Kindman.</t>
  </si>
  <si>
    <t>GD 4271</t>
  </si>
  <si>
    <t>GD 5773</t>
  </si>
  <si>
    <t>GD 6101</t>
  </si>
  <si>
    <t>GD 6711</t>
  </si>
  <si>
    <t>GD 8925</t>
  </si>
  <si>
    <t>Kush Creaturz Donny Dank</t>
  </si>
  <si>
    <t>GD4106</t>
  </si>
  <si>
    <t>CDA confirmed the presence of the Off-Label Pesticides, Imidacloprid, in the product samples tested.</t>
  </si>
  <si>
    <t>GC Global, LLC</t>
  </si>
  <si>
    <t>GG 1454</t>
  </si>
  <si>
    <t>GG 1834</t>
  </si>
  <si>
    <t>GG 3108</t>
  </si>
  <si>
    <t>GG 4687</t>
  </si>
  <si>
    <t>GG 6385</t>
  </si>
  <si>
    <t>GG 9548</t>
  </si>
  <si>
    <t>GG 9981</t>
  </si>
  <si>
    <t>GG6971</t>
  </si>
  <si>
    <t>IGF 3261</t>
  </si>
  <si>
    <t>IGF 5184</t>
  </si>
  <si>
    <t>IGF 5682</t>
  </si>
  <si>
    <t>IGF 6270</t>
  </si>
  <si>
    <t>IGF 6485</t>
  </si>
  <si>
    <t>KB 0126</t>
  </si>
  <si>
    <t>KB 5440</t>
  </si>
  <si>
    <t>cultivated by Colorados Best Inc, dba LaContes Clone Bar &amp; Dispensary.</t>
  </si>
  <si>
    <t>KB 7782</t>
  </si>
  <si>
    <t>KB5272</t>
  </si>
  <si>
    <t>LAV 1810</t>
  </si>
  <si>
    <t>Lav 8786</t>
  </si>
  <si>
    <t>Kush Creaturz OG Suzie Slop</t>
  </si>
  <si>
    <t>MB 0865</t>
  </si>
  <si>
    <t>Kush Creaturz</t>
  </si>
  <si>
    <t>MB 4678</t>
  </si>
  <si>
    <t>MB 4785</t>
  </si>
  <si>
    <t>MB 5521</t>
  </si>
  <si>
    <t>P98 6604</t>
  </si>
  <si>
    <t>P98 6742</t>
  </si>
  <si>
    <t>P98 7762</t>
  </si>
  <si>
    <t>SB 3821</t>
  </si>
  <si>
    <t>SB 5756</t>
  </si>
  <si>
    <t>SB 6441</t>
  </si>
  <si>
    <t>SD 2531</t>
  </si>
  <si>
    <t>SD 2603</t>
  </si>
  <si>
    <t>SD 3304</t>
  </si>
  <si>
    <t>SD 4940</t>
  </si>
  <si>
    <t>SD 6586</t>
  </si>
  <si>
    <t>cultivated by Firehouse Organics Central LLC, dba Firehouse Organics</t>
  </si>
  <si>
    <t>SD 7828</t>
  </si>
  <si>
    <t>SS 0425</t>
  </si>
  <si>
    <t>SS 2503</t>
  </si>
  <si>
    <t>SS 5221</t>
  </si>
  <si>
    <t>SS 5386</t>
  </si>
  <si>
    <t>SS 9141</t>
  </si>
  <si>
    <t>01-0-16-GG 9880</t>
  </si>
  <si>
    <t>CDA confirmed the presence of the Off-Label Pesticides, Avermectin, in the product samples tested</t>
  </si>
  <si>
    <t>403R-00216</t>
  </si>
  <si>
    <t>01-04-16-BK 9171</t>
  </si>
  <si>
    <t>R0-2-8-16-BD 6359</t>
  </si>
  <si>
    <t>Kush Creaturz Randy Resin</t>
  </si>
  <si>
    <t>R0-2-8-16-BTG 9043</t>
  </si>
  <si>
    <t>R0-2-8-16-CD 6413</t>
  </si>
  <si>
    <t>R0-2-8-16-GA 5950</t>
  </si>
  <si>
    <t>R0-2-8-16-GC 9420</t>
  </si>
  <si>
    <t>R0-2-8-16-GD 4737</t>
  </si>
  <si>
    <t>R0-2-8-16-MB 1301</t>
  </si>
  <si>
    <t>R1-15-16-GG 3074</t>
  </si>
  <si>
    <t>R1-2-15-16-AK 1686</t>
  </si>
  <si>
    <t>R1-2-15-16-AK 2611</t>
  </si>
  <si>
    <t>R1-2-15-16-AK 3702</t>
  </si>
  <si>
    <t>R1-2-15-16-CD 4612</t>
  </si>
  <si>
    <t>R1-2-15-16-CD 5218</t>
  </si>
  <si>
    <t>cultivated by Health Depot LLC, dba Sticky Buds Colfax &amp; Sticky Buds Broadway</t>
  </si>
  <si>
    <t>R1-2-15-16-CD 5526</t>
  </si>
  <si>
    <t>R1-2-15-16-CD 6930</t>
  </si>
  <si>
    <t>R1-2-15-16-FLO 1605</t>
  </si>
  <si>
    <t>R1-2-15-16-GC 1593</t>
  </si>
  <si>
    <t>R1-2-15-16-GC 4371</t>
  </si>
  <si>
    <t>CDA confirmed the presence of the Off-Label Pesticides, Myclobutanil, in the product samples tested.</t>
  </si>
  <si>
    <t>R1-2-15-16-GD 1127</t>
  </si>
  <si>
    <t>R1-2-15-16-GD 6569</t>
  </si>
  <si>
    <t>R1-2-15-16-GD 9790</t>
  </si>
  <si>
    <t>R1-2-15-16-LAV 2510</t>
  </si>
  <si>
    <t>R1-2-15-16-MB 2798</t>
  </si>
  <si>
    <t>Kush Creaturz Marty Mids</t>
  </si>
  <si>
    <t>R1-2-15-16-SD 6332</t>
  </si>
  <si>
    <t>R1-2-8-16-SB 7786</t>
  </si>
  <si>
    <t>R2-2-22-16-AK 1617</t>
  </si>
  <si>
    <t>R2-2-22-16-BD 6307</t>
  </si>
  <si>
    <t>R2-2-22-16-BK 5964</t>
  </si>
  <si>
    <t>R2-2-22-16-BTG 6224</t>
  </si>
  <si>
    <t>cultivated by Wanna LLC, dba Northern Lights Cannabis Co. CDPHE and DOR deem it a threat to public health and safety when pesticides that are not on the l</t>
  </si>
  <si>
    <t>R2-2-22-16-CD 7391</t>
  </si>
  <si>
    <t>R2-2-22-16-Flo 1364</t>
  </si>
  <si>
    <t>R2-2-22-16-Flo 9357</t>
  </si>
  <si>
    <t>R2-2-22-16-KB 4906</t>
  </si>
  <si>
    <t>R2-2-22-16-MB 4827</t>
  </si>
  <si>
    <t>R2-2-22-16-MB 5768</t>
  </si>
  <si>
    <t>R2-2-22-16-MB 7779</t>
  </si>
  <si>
    <t>R2-2-22-16-P98 3089</t>
  </si>
  <si>
    <t>R2-2-22-16-P98 9496</t>
  </si>
  <si>
    <t>R2-2-22-16-SB 8046</t>
  </si>
  <si>
    <t>R2-2-22-16-SD 0566</t>
  </si>
  <si>
    <t>Kush Creaturz Limonene Linda</t>
  </si>
  <si>
    <t>R2-2-22-16-SD 3842</t>
  </si>
  <si>
    <t>R3-12-12-15 SS5149</t>
  </si>
  <si>
    <t>R3-12-21-15-BBK 5614</t>
  </si>
  <si>
    <t>R3-12-21-15-BD 8054</t>
  </si>
  <si>
    <t>R3-12-21-15-CD 3421</t>
  </si>
  <si>
    <t>cultivated by ACME HEALING CENTER OF RIDGWAY LLC</t>
  </si>
  <si>
    <t>R3-12-21-15-FLO 9451</t>
  </si>
  <si>
    <t>R3-12-21-15-IGF 5107</t>
  </si>
  <si>
    <t>R3-12-21-15-KB 1874</t>
  </si>
  <si>
    <t>R3-12-21-15-KB 5096</t>
  </si>
  <si>
    <t>R3-21-15 CD2358</t>
  </si>
  <si>
    <t>CDA confirmed the presence of the Off-Label Pesticides, Azoxystrobin and Imidacloprid, in the product samples tested.</t>
  </si>
  <si>
    <t>R3-2-19-16-GC 7858</t>
  </si>
  <si>
    <t>R3-2-22-16-GG 2434</t>
  </si>
  <si>
    <t>R3-2-29-16-AK 0841</t>
  </si>
  <si>
    <t>R3-2-29-16-BD 3704</t>
  </si>
  <si>
    <t>R3-2-29-16-BD 4768</t>
  </si>
  <si>
    <t>R3-2-29-16-Flo 5029</t>
  </si>
  <si>
    <t>R3-2-29-16-Flo 6578</t>
  </si>
  <si>
    <t>R3-2-29-16-GD 7096</t>
  </si>
  <si>
    <t>R3-2-29-16-GD 9168</t>
  </si>
  <si>
    <t>R3-2-29-16-GG 1970</t>
  </si>
  <si>
    <t>R3-2-29-16-IGF 2322</t>
  </si>
  <si>
    <t>Kush Creaturz Frank the Fuego Man</t>
  </si>
  <si>
    <t>cultivated by Flower Power Botanicals LLC.</t>
  </si>
  <si>
    <t>R3-2-29-16-KB 1285</t>
  </si>
  <si>
    <t>R3-2-29-16-KB 5735</t>
  </si>
  <si>
    <t>R3-2-29-16-MB 2324</t>
  </si>
  <si>
    <t>R3-2-29-16-MB 7805</t>
  </si>
  <si>
    <t>CDA confirmed the presence of the Off-Label Pesticides, Etoxazole, in the product samples tested.</t>
  </si>
  <si>
    <t>R3-2-29-16-P98 9593</t>
  </si>
  <si>
    <t>R3-2-29-16-SD 3063</t>
  </si>
  <si>
    <t>R3-2-29-16-SS 7989</t>
  </si>
  <si>
    <t>R4-12-28-15-AK8687</t>
  </si>
  <si>
    <t>R4-12-28-15-BBK 2124</t>
  </si>
  <si>
    <t>R4-12-28-15-GA9894</t>
  </si>
  <si>
    <t>R4-12-28-15-GD 1803</t>
  </si>
  <si>
    <t>R4-12-28-15-GD3728</t>
  </si>
  <si>
    <t>R4-12-28-15-GG6897</t>
  </si>
  <si>
    <t>R4-12-28-15-KB 5645</t>
  </si>
  <si>
    <t>R4-12-28-15-KB 8160</t>
  </si>
  <si>
    <t>cultivated by J and J ENTERPRISES Inc, dba Pagosa Organic Therapeutics.</t>
  </si>
  <si>
    <t>R4-12-28-15-P98</t>
  </si>
  <si>
    <t>https://cannabis.ca.gov/resources/cannabis-recalls-and-safety-notices/lowell-35s-10-tall-pre-roll/</t>
  </si>
  <si>
    <t>R4-12-28-15-P980235</t>
  </si>
  <si>
    <t>R4-3-7-16-BD 6126</t>
  </si>
  <si>
    <t>R4-3-7-16-BD 8632</t>
  </si>
  <si>
    <t>R4-3-7-16-BTG 4152</t>
  </si>
  <si>
    <t>R4-3-7-16-C2.0 9272</t>
  </si>
  <si>
    <t>Lowell 35’s 10 Tall Pre-Rolls Afternoon Delight</t>
  </si>
  <si>
    <t>Cypress Manufacturing</t>
  </si>
  <si>
    <t>R4-3-7-16-CD 5093</t>
  </si>
  <si>
    <t>R4-3-7-16-Flo 6656</t>
  </si>
  <si>
    <t>R4-3-7-16-Flo 7272</t>
  </si>
  <si>
    <t>R-4-3-7-16-GG 6962</t>
  </si>
  <si>
    <t>R4-3-7-16-GG 8781</t>
  </si>
  <si>
    <t>R4-3-7-16-IGF 4060</t>
  </si>
  <si>
    <t>R4-3-7-16-KB 1318</t>
  </si>
  <si>
    <t>R4-3-7-16-Lav 0814</t>
  </si>
  <si>
    <t>cultivated by Grow Life LLC.</t>
  </si>
  <si>
    <t>R4-3-7-16-MB 6807</t>
  </si>
  <si>
    <t>R4-3-7-16-P98 5986</t>
  </si>
  <si>
    <t>R4-3-7-16-SB 1555</t>
  </si>
  <si>
    <t>R4-3-7-16-SB 9427</t>
  </si>
  <si>
    <t>R5-01-04-16-BBK 0069</t>
  </si>
  <si>
    <t>R5-01-04-16-GD 2879</t>
  </si>
  <si>
    <t>https://recalls.cannabis.ca.gov/recalls/67607f00e7333c2117ce13bd</t>
  </si>
  <si>
    <t>R5-01-04-16-MB 8496</t>
  </si>
  <si>
    <t>R5-1-4-15-GC3322</t>
  </si>
  <si>
    <t>R5-1-4-15-GG9842</t>
  </si>
  <si>
    <t>R5-1-4-15-IGF4338</t>
  </si>
  <si>
    <t>R5-1-4-15-SD4203</t>
  </si>
  <si>
    <t>R5-3-14-16-P98 3857</t>
  </si>
  <si>
    <t>Almora Naturally Better Single Origin Cannabis Flower</t>
  </si>
  <si>
    <t>R6-1-11-16- GC 5323</t>
  </si>
  <si>
    <t>Fluids Manufacturing, Inc.</t>
  </si>
  <si>
    <t>R6-1-11-16-BD 7201</t>
  </si>
  <si>
    <t>R6-1-11-16-C2.0 9159</t>
  </si>
  <si>
    <t>cultivated by Medicine Man LLC, dba Life Flower Dispensary LLC</t>
  </si>
  <si>
    <t>R6-1-11-16-CD 3005</t>
  </si>
  <si>
    <t>R6-1-11-16-FLO 1317</t>
  </si>
  <si>
    <t>R6-1-11-16-GC 4625</t>
  </si>
  <si>
    <t>R6-1-11-16-GD 4208</t>
  </si>
  <si>
    <t>CDA confirmed the presence of the Off-Label Pesticide, Avermectin, in the product samples tested.</t>
  </si>
  <si>
    <t>R6-1-11-16-KB 1652</t>
  </si>
  <si>
    <t>R6-1-11-16-P98 8360</t>
  </si>
  <si>
    <t>R6-1-11-16-SD 0140</t>
  </si>
  <si>
    <t>R6-1-11-16-SD 1445</t>
  </si>
  <si>
    <t>R6-1-11-16-SD 8030</t>
  </si>
  <si>
    <t>R6-1-11-16-SS 6962</t>
  </si>
  <si>
    <t>R7-11-18-16-MB 2992</t>
  </si>
  <si>
    <t>R7-1-18-16-AK 3894</t>
  </si>
  <si>
    <t>R7-1-18-16-AK 8373</t>
  </si>
  <si>
    <t>R7-1-18-16-AK 9385</t>
  </si>
  <si>
    <t>R7-1-18-16-BBK 4953</t>
  </si>
  <si>
    <t>cultivated by Kazimer LLC, dba Bud Cellar</t>
  </si>
  <si>
    <t>R7-1-18-16-BBK 4966</t>
  </si>
  <si>
    <t>R7-1-18-16-BD 1939</t>
  </si>
  <si>
    <t>R7-1-18-16-BK 4346</t>
  </si>
  <si>
    <t>R7-1-18-16-BTG 9416</t>
  </si>
  <si>
    <t>R7-1-18-16-C2.0 4921</t>
  </si>
  <si>
    <t>CDA confirmed the presence of the OffLabel Pesticides, Myclobutanil and Spiromesifin, in the product samples tested.</t>
  </si>
  <si>
    <t>R7-1-18-16-GA 3588</t>
  </si>
  <si>
    <t>R7-1-18-16-GA 5845</t>
  </si>
  <si>
    <t>R7-1-18-16-GC 2280</t>
  </si>
  <si>
    <t>R7-1-18-16-GC 2403</t>
  </si>
  <si>
    <t>R7-1-18-16-GD 3227</t>
  </si>
  <si>
    <t>R7-1-18-16-GD 5678</t>
  </si>
  <si>
    <t>R7-1-18-16-GG 8259</t>
  </si>
  <si>
    <t>R7-1-18-16-GG 9505</t>
  </si>
  <si>
    <t>R7-1-18-16-IGF 3782</t>
  </si>
  <si>
    <t>R7-1-18-16-IGF 4898</t>
  </si>
  <si>
    <t>cultivated by Best Budz LLC.</t>
  </si>
  <si>
    <t>R7-1-18-16-IGF 8112</t>
  </si>
  <si>
    <t>R7-1-18-16-MB 7959</t>
  </si>
  <si>
    <t>R7-1-18-16-SD 0175</t>
  </si>
  <si>
    <t>R7-1-18-16-SD 4666</t>
  </si>
  <si>
    <t>R7-1-18-16-SS 5108</t>
  </si>
  <si>
    <t>R7-1-18-16-SS 5211</t>
  </si>
  <si>
    <t>R7-1-18-16-SS 9449</t>
  </si>
  <si>
    <t>R8-1-25*-16-CD 9388</t>
  </si>
  <si>
    <t>R8-1-25-16-BBK 2035</t>
  </si>
  <si>
    <t>R8-1-25-16-BD 4729</t>
  </si>
  <si>
    <t>R8-1-25-16-BK 1681</t>
  </si>
  <si>
    <t>R8-1-25-16-BTG 9949</t>
  </si>
  <si>
    <t>R8-1-25-16-CD 3799</t>
  </si>
  <si>
    <t>R8-1-25-16-Flo 4404</t>
  </si>
  <si>
    <t>cultivated by Biomeds LLC</t>
  </si>
  <si>
    <t>R8-1-25-16-GA 5355</t>
  </si>
  <si>
    <t>R8-1-25-16-GC 2314</t>
  </si>
  <si>
    <t>R8-1-25-16-GG 4699</t>
  </si>
  <si>
    <t>R8-1-25-16-GG 6276</t>
  </si>
  <si>
    <t>R8-1-25-16-IGF 7008</t>
  </si>
  <si>
    <t>R8-1-25-16-IGF 7841</t>
  </si>
  <si>
    <t>R8-1-25-16-P98 4103</t>
  </si>
  <si>
    <t>R8-1-25-16-P98 5531</t>
  </si>
  <si>
    <t>R8-1-25-16-P98 9300</t>
  </si>
  <si>
    <t>R8-1-25-16-SD 6928</t>
  </si>
  <si>
    <t>R8-1-25-18-GA 8059</t>
  </si>
  <si>
    <t>R8-1-28-16-BK 3811</t>
  </si>
  <si>
    <t>R9-2-1*-16-GG 0338</t>
  </si>
  <si>
    <t>cultivated by Alternative Medicine on Capitol Hill.</t>
  </si>
  <si>
    <t>R9-2-1-16-AK 7246</t>
  </si>
  <si>
    <t>R9-2-1-16-BBK 4676</t>
  </si>
  <si>
    <t>R9-2-1-16-BBK 6192</t>
  </si>
  <si>
    <t>R9-2-1-16-BTG 3681</t>
  </si>
  <si>
    <t>R9-2-1-16-BTG 9592</t>
  </si>
  <si>
    <t>CDA confirmed the presence of the Off-Label Pesticides, Myclobutanil and Spinosyn, in the product samples tested</t>
  </si>
  <si>
    <t>R9-2-1-16-CD 0094</t>
  </si>
  <si>
    <t>R9-2-1-16-CD 1558</t>
  </si>
  <si>
    <t>R9-2-1-16-Flo 4676</t>
  </si>
  <si>
    <t>R9-2-1-16-Flo 5513</t>
  </si>
  <si>
    <t>R9-2-1-16-GA 4728</t>
  </si>
  <si>
    <t>R9-2-1-16-GC 1250</t>
  </si>
  <si>
    <t>R9-2-1-16-GC 8322</t>
  </si>
  <si>
    <t>R9-2-1-16-GC 9208</t>
  </si>
  <si>
    <t>R9-2-1-16-GG 8616</t>
  </si>
  <si>
    <t>R9-2-1-16-KB 3925</t>
  </si>
  <si>
    <t>R9-2-1-16-LAV 0126</t>
  </si>
  <si>
    <t>cultivated by Green Natural Solutions, Inc</t>
  </si>
  <si>
    <t>R9-2-1-16-MB 9129</t>
  </si>
  <si>
    <t>R9-2-1-16-P98 4313</t>
  </si>
  <si>
    <t>R9-2-1-16-SD 6389</t>
  </si>
  <si>
    <t>R9-2-1-16-SD 9159</t>
  </si>
  <si>
    <t>CDA confirmed the presence of the Off-Label Pesticides, Imidacloprid, Spiromesifin, Myclobutanil, and Avermectin in the product samples tested.</t>
  </si>
  <si>
    <t>R9-2-1-16-SS 5741</t>
  </si>
  <si>
    <t>SOG-BK9200</t>
  </si>
  <si>
    <t>SOG-BTG 9592</t>
  </si>
  <si>
    <t>SOG-Flo 4313</t>
  </si>
  <si>
    <t>SOG-Flo 6510</t>
  </si>
  <si>
    <t>SOG-Flo 8010</t>
  </si>
  <si>
    <t>SOG-Flo1791</t>
  </si>
  <si>
    <t>SOG-GA 5800</t>
  </si>
  <si>
    <t>SOG-GA 6824</t>
  </si>
  <si>
    <t>SOG-GA9995</t>
  </si>
  <si>
    <t>a cultivated by Southern Colorado Medical Marijuana, LLC dba SOCO MMJ</t>
  </si>
  <si>
    <t>SOG-GC 3142</t>
  </si>
  <si>
    <t>SOG-GD 4363</t>
  </si>
  <si>
    <t>SOG-KB4268</t>
  </si>
  <si>
    <t>SOG-MB 2725</t>
  </si>
  <si>
    <t>SOG-P982132</t>
  </si>
  <si>
    <t>SOG-SB 3311</t>
  </si>
  <si>
    <t>SOG-SD7235</t>
  </si>
  <si>
    <t>CO424366</t>
  </si>
  <si>
    <t>Holland's Hope 3-1</t>
  </si>
  <si>
    <t>402-00576</t>
  </si>
  <si>
    <t>403-00856</t>
  </si>
  <si>
    <t>Eisbaer 3-1</t>
  </si>
  <si>
    <t>UK Cheese 3-1</t>
  </si>
  <si>
    <t>Kong 3-1</t>
  </si>
  <si>
    <t>Appalachian Mud Squid 3-1</t>
  </si>
  <si>
    <t>cultivated by The Tea Pot, LLC</t>
  </si>
  <si>
    <t>Hollands Hope 237</t>
  </si>
  <si>
    <t>UK Cheese 228</t>
  </si>
  <si>
    <t>Hollands Hope 239</t>
  </si>
  <si>
    <t>Hollands Hope 235</t>
  </si>
  <si>
    <t>Appalachian Mud Squid 220</t>
  </si>
  <si>
    <t>Hollands Hope 234</t>
  </si>
  <si>
    <t>Hollands Hope 238</t>
  </si>
  <si>
    <t>Kong 243</t>
  </si>
  <si>
    <t>Hollands Hope 230</t>
  </si>
  <si>
    <t>Appalachian Mud Squid 222</t>
  </si>
  <si>
    <t>UK Cheese 227</t>
  </si>
  <si>
    <t>cultivated by JVT Enterprises Inc. dba Colorado Cannabis Connection.</t>
  </si>
  <si>
    <t>Appalachian Mud Squid 240</t>
  </si>
  <si>
    <t>Eisbaer 244</t>
  </si>
  <si>
    <t>Hollands Hope 236</t>
  </si>
  <si>
    <t>Kong 225</t>
  </si>
  <si>
    <t>UK Cheese 229</t>
  </si>
  <si>
    <t>Kong 224</t>
  </si>
  <si>
    <t>Hollands Hope 231</t>
  </si>
  <si>
    <t>Appalachian Mud Squid 221</t>
  </si>
  <si>
    <t>Kong 223</t>
  </si>
  <si>
    <t>Hollands Hope 232</t>
  </si>
  <si>
    <t>Appalachian Mud Squid 218</t>
  </si>
  <si>
    <t>Kong 241</t>
  </si>
  <si>
    <t>cultivated by Wash Park Boutique LLC dba Lucy Sky Dispensary</t>
  </si>
  <si>
    <t>Appalachian Mud Squid 219</t>
  </si>
  <si>
    <t>Kong 226</t>
  </si>
  <si>
    <t>Eisbaer 217</t>
  </si>
  <si>
    <t>CO424387</t>
  </si>
  <si>
    <t>BHB 2/27/16</t>
  </si>
  <si>
    <t>402-00039</t>
  </si>
  <si>
    <t>403-00339</t>
  </si>
  <si>
    <t>CDA confirmed the presence of the Off-Label Pesticides, Myclobutanil, in the product samples</t>
  </si>
  <si>
    <t>Blue Headband 01/26/16</t>
  </si>
  <si>
    <t>Blueberry Headband 2/3/2016</t>
  </si>
  <si>
    <t>Cotton Candy 2/11/16</t>
  </si>
  <si>
    <t>GC 2/27/16</t>
  </si>
  <si>
    <t>GC 2/3/2016</t>
  </si>
  <si>
    <t>Golden Goat 2/11/16</t>
  </si>
  <si>
    <t>Gorilla Glue 4 2/6/2016</t>
  </si>
  <si>
    <t>GSC 7 2/11/16</t>
  </si>
  <si>
    <t>Jack Frost - 2/11/16</t>
  </si>
  <si>
    <t>Jack Frost 01/26/16</t>
  </si>
  <si>
    <t>cultivated by Green Meadows Wellness LLC, dba Infinite Wellness Center.</t>
  </si>
  <si>
    <t>JF 2/27/16</t>
  </si>
  <si>
    <t>Kong 2/11/16</t>
  </si>
  <si>
    <t>Kong 2/3/2016</t>
  </si>
  <si>
    <t>CDA confirmed the presence of the Off-Label Pesticides, Pyrimethanil, Tebuconazole, and Spinosyn, in the product samples tested.</t>
  </si>
  <si>
    <t>MS010116</t>
  </si>
  <si>
    <t>MS010116 AGC 1</t>
  </si>
  <si>
    <t>MS010116 BB3 1</t>
  </si>
  <si>
    <t>MS010116 CC 1</t>
  </si>
  <si>
    <t>MS010116 GG 1</t>
  </si>
  <si>
    <t>MS010116 JF 1</t>
  </si>
  <si>
    <t>MS010116 SS 1</t>
  </si>
  <si>
    <t>cultivated by Herbal Options, LLC dba Good Meds.</t>
  </si>
  <si>
    <t>MS010116 WOG 1</t>
  </si>
  <si>
    <t>OG Bubba 01/26/16</t>
  </si>
  <si>
    <t>SS 2/27/16</t>
  </si>
  <si>
    <t>Super Skunk 2/11/16</t>
  </si>
  <si>
    <t>Tahoe OG 2/3/2016</t>
  </si>
  <si>
    <t>West Coast Diesel 01/26/16</t>
  </si>
  <si>
    <t>West Coast Diesel 2/11/16</t>
  </si>
  <si>
    <t>WSD 2/27/16</t>
  </si>
  <si>
    <t>CO424398</t>
  </si>
  <si>
    <t>1-11-16 Clusterfunk</t>
  </si>
  <si>
    <t>403R-00445</t>
  </si>
  <si>
    <t>1-11-16 Black Bubba</t>
  </si>
  <si>
    <t>1-11-16 Cali Sunset</t>
  </si>
  <si>
    <t>1-11-16 LBK</t>
  </si>
  <si>
    <t>cultivated by Rocky Mountain Ways, LLC dba Good Meds</t>
  </si>
  <si>
    <t>1-11-16 A-Dub</t>
  </si>
  <si>
    <t>1-11-16 Thunderf#ck</t>
  </si>
  <si>
    <t>1-11-16 Harlequin</t>
  </si>
  <si>
    <t>1-11-16 S.A.G.E.</t>
  </si>
  <si>
    <t>CDA confirmed the presence of the Off-Label Pesticides, Myclobutanil, Bifenazate, Avermectin, and Imidacloprid, in the product samples tested.</t>
  </si>
  <si>
    <t>1-18-16 Cali Sunset</t>
  </si>
  <si>
    <t>1-25-16 Harlequin</t>
  </si>
  <si>
    <t>1-25-16 Juanita La Lagrimosa</t>
  </si>
  <si>
    <t>2-1-16 Purple Trainwreck</t>
  </si>
  <si>
    <t>2-1-16 Kali Mist</t>
  </si>
  <si>
    <t>2-1-16 Juanita La Lagrimosa</t>
  </si>
  <si>
    <t>2-1-16 Blue Dream</t>
  </si>
  <si>
    <t>2-1-16 Sour Diesel</t>
  </si>
  <si>
    <t>2-8-16 The White</t>
  </si>
  <si>
    <t>2-10-16 Orange Deadman</t>
  </si>
  <si>
    <t>cultivated by Kirke LLC, dba The Hemp Center Colorado Springs</t>
  </si>
  <si>
    <t>2-10-16 Black Bubba</t>
  </si>
  <si>
    <t>2-10-16 Clusterfunk</t>
  </si>
  <si>
    <t>2-15-16 Super Lemon Haze</t>
  </si>
  <si>
    <t>2-15-16 Sour Diesel</t>
  </si>
  <si>
    <t>2-15-16 Thunderf#ck</t>
  </si>
  <si>
    <t>2-15-16 Kali Mist</t>
  </si>
  <si>
    <t>2-15-16 LBK</t>
  </si>
  <si>
    <t>2-15-16 Purple Trainwreck</t>
  </si>
  <si>
    <t>2-22-16 Clusterfunk</t>
  </si>
  <si>
    <t>3-7-16 Orange Deadman</t>
  </si>
  <si>
    <t>3-10-16 Trainwreck</t>
  </si>
  <si>
    <t>3-10-16 '91 Chemdawg</t>
  </si>
  <si>
    <t>3-10-16 Ult. '91 Chem</t>
  </si>
  <si>
    <t>3-10-16 B-4</t>
  </si>
  <si>
    <t>3-10-16 Alien Bubba</t>
  </si>
  <si>
    <t>cultivated by Metro Denver Telluride Health Center LLC, dba The Hemp Center.</t>
  </si>
  <si>
    <t>3-10-16 Jackie O</t>
  </si>
  <si>
    <t>3-10-16 Pre '98 Plat. Bubba</t>
  </si>
  <si>
    <t>3-10-16 Bruce Banner #3</t>
  </si>
  <si>
    <t>CO424399</t>
  </si>
  <si>
    <t>06-00-0001 Pesticide TEST</t>
  </si>
  <si>
    <t>403R-00275</t>
  </si>
  <si>
    <t>06-01-0041 Blue Sky</t>
  </si>
  <si>
    <t>CDA confirmed the presence of the Off-Label Pesticides, Avermectin, in tne products sampled</t>
  </si>
  <si>
    <t>Avermectin,</t>
  </si>
  <si>
    <t>06-01-0041 Durban Poison</t>
  </si>
  <si>
    <t>06-01-0041 Moonshine Haze</t>
  </si>
  <si>
    <t>06-01-0041 Pesticide TEST</t>
  </si>
  <si>
    <t>06-01-0041Super Lemon Haze</t>
  </si>
  <si>
    <t>06-01-0041 Tangerine Haze</t>
  </si>
  <si>
    <t>06-01-0045 Pesticide TEST</t>
  </si>
  <si>
    <t>06-02-0042 Alpha Blue TEST</t>
  </si>
  <si>
    <t>06-02-0042 Blue Dream TEST</t>
  </si>
  <si>
    <t>06-04-0040 Alpha Blue</t>
  </si>
  <si>
    <t>06-04-0040 Beelzebud</t>
  </si>
  <si>
    <t>cultivated by RK Enterprises LTD, dba Rocky Mountain Remedies.</t>
  </si>
  <si>
    <t>06-04-0040 Chems Sis</t>
  </si>
  <si>
    <t>06-04-0040 Chems Sis TEST</t>
  </si>
  <si>
    <t>06-04-0040 Headband</t>
  </si>
  <si>
    <t>06-04-0044 Pesticide TEST</t>
  </si>
  <si>
    <t>CO4244310</t>
  </si>
  <si>
    <t>Harvest 2/5/16</t>
  </si>
  <si>
    <t>402-00649</t>
  </si>
  <si>
    <t>403-00980</t>
  </si>
  <si>
    <t>2-29 DAY ROOM #1</t>
  </si>
  <si>
    <t>403-01534</t>
  </si>
  <si>
    <t>2-29 STAR DAWG ROOM #1</t>
  </si>
  <si>
    <t>2-29 PINE EX ROOM #1</t>
  </si>
  <si>
    <t>229 D-STAR ROOM#1-</t>
  </si>
  <si>
    <t>2-29 MOBB B ROOM#1</t>
  </si>
  <si>
    <t>2-29 GRAPE ROOM #1</t>
  </si>
  <si>
    <t>2-29 SOUR D ROOM# 1</t>
  </si>
  <si>
    <t>2-29 BBK ROOM #1</t>
  </si>
  <si>
    <t>2-29 KURPLE ROOM #1</t>
  </si>
  <si>
    <t>CO4244311</t>
  </si>
  <si>
    <t>707 Room A 01/11/16</t>
  </si>
  <si>
    <t>403R-00139</t>
  </si>
  <si>
    <t>Aka Night Room B</t>
  </si>
  <si>
    <t>cultivated by Tree of Wellness INC, dba Tree of Wellness.</t>
  </si>
  <si>
    <t>Ama Night Room B</t>
  </si>
  <si>
    <t>Blue Dream 2-16-16</t>
  </si>
  <si>
    <t>Blue Dream Room A 01/11/16</t>
  </si>
  <si>
    <t>C Webb 2-16-16</t>
  </si>
  <si>
    <t>C. Webb Room A 01/11/16</t>
  </si>
  <si>
    <t>Collin Og Room A 01/11/16</t>
  </si>
  <si>
    <t>Durban Poison B2-16-16</t>
  </si>
  <si>
    <t>Girl Scout Cookies Room A 1/11/16</t>
  </si>
  <si>
    <t>Golden Goat B2-16-16</t>
  </si>
  <si>
    <t>Golden Goat Room A 01/11/16</t>
  </si>
  <si>
    <t>Grape Stomper B2-16-16</t>
  </si>
  <si>
    <t>Great White Kush Room A 01/11/16</t>
  </si>
  <si>
    <t>cultivated by Citi-Med LLC, dba Starbuds.</t>
  </si>
  <si>
    <t>Harlequin B2-16-16</t>
  </si>
  <si>
    <t>Jesus OG B2-16-16</t>
  </si>
  <si>
    <t>Jesus Og Room A 01/11/16</t>
  </si>
  <si>
    <t>Jet Fuel B2-16-16</t>
  </si>
  <si>
    <t>Jet Fuel Room A 01/11/16</t>
  </si>
  <si>
    <t>Lemon Skunk B2-16-16</t>
  </si>
  <si>
    <t>Lemon Skunk Room A 01/11/16</t>
  </si>
  <si>
    <t>Lindsay Lohan B2-16-16</t>
  </si>
  <si>
    <t>Lindsay Lohan Room A 01/11/16</t>
  </si>
  <si>
    <t>Mile High Purps Room A 01/11/16</t>
  </si>
  <si>
    <t>Mobb Boss Room A 01/11/16</t>
  </si>
  <si>
    <t>Og Bubba Harvest Room A 01/11/16</t>
  </si>
  <si>
    <t>Og Bubba Room A 01/11/16</t>
  </si>
  <si>
    <t>Ogre Kush B2-16-16</t>
  </si>
  <si>
    <t>Range Room A 01/11/16</t>
  </si>
  <si>
    <t>Recon B2-16-16</t>
  </si>
  <si>
    <t>cultivated by Pikes Peak Cannabis Caregivers LLC, dba Pikes Peak Cannabis Caregivers LLC.</t>
  </si>
  <si>
    <t>Recon Room A 01/11/16</t>
  </si>
  <si>
    <t>SLH B2-16-16</t>
  </si>
  <si>
    <t>Snowball B2-16-16</t>
  </si>
  <si>
    <t>Snowball Room A 01/11/16</t>
  </si>
  <si>
    <t>unsafe levels of residual Ethanol on retail marijuana. B</t>
  </si>
  <si>
    <t>Sour Flo B2-16-16</t>
  </si>
  <si>
    <t>Sour Flo Room A 01/11/16</t>
  </si>
  <si>
    <t>Sour Maui B2-16-16</t>
  </si>
  <si>
    <t>Sour Strawberry Room A 01/11/16</t>
  </si>
  <si>
    <t>Super Lemon Haze Room A 01/11/16</t>
  </si>
  <si>
    <t>Walter White B2-16-16</t>
  </si>
  <si>
    <t>Walter White Room A 01/11/16</t>
  </si>
  <si>
    <t>CO4244612</t>
  </si>
  <si>
    <t>PO, 1-20-15, GR 1</t>
  </si>
  <si>
    <t>403R-00008</t>
  </si>
  <si>
    <t>PO 901, 12-22, GR 2</t>
  </si>
  <si>
    <t>PO 88, GR9, 6-30-15</t>
  </si>
  <si>
    <t>PO 88, GR 9, 6-30-15</t>
  </si>
  <si>
    <t>PO 857, 12-29-14, GR 11</t>
  </si>
  <si>
    <t>PO 842, 11-24, GR4</t>
  </si>
  <si>
    <t>PO 813, 12-15-14, GR 8</t>
  </si>
  <si>
    <t>PO 682, GR 9, 11-3-14</t>
  </si>
  <si>
    <t>CDA confirmed the presence of the Off-Label Pesticides, Pyriproxyfen, in the product samples tested.</t>
  </si>
  <si>
    <t>PO 646, GR 12, 10-21-14</t>
  </si>
  <si>
    <t>PO 62, GR 7, 6-8-15</t>
  </si>
  <si>
    <t>PO 603, GR 7, 10-6-14</t>
  </si>
  <si>
    <t>PO 581, GR 5, 9-25-14</t>
  </si>
  <si>
    <t>PO 556, GR 1, 9-30-14</t>
  </si>
  <si>
    <t>PO 501, GR 2, 9-10-14</t>
  </si>
  <si>
    <t>PO 480. GR 11, 9-3-14</t>
  </si>
  <si>
    <t>PO 480, GR 11, 9-3-14</t>
  </si>
  <si>
    <t>PO 449, GR 4, 8-27-14</t>
  </si>
  <si>
    <t>PO 447, GR 10, 3/14/16</t>
  </si>
  <si>
    <t>PO 440, GR 4, 3-7-16</t>
  </si>
  <si>
    <t>PO 437, GR 8, 8-19-14</t>
  </si>
  <si>
    <t>CDA confirmed the presence of the OffLabel Pesticides, Bifenthrin and Diuron, in the product samples tested.</t>
  </si>
  <si>
    <t>PO 432, GR 2, 2-29-16</t>
  </si>
  <si>
    <t>PO 422, GR 3, 8-14-14</t>
  </si>
  <si>
    <t>PO 416, GR 3, 2-22-16</t>
  </si>
  <si>
    <t>PO 411, GR 6, 2-8-16</t>
  </si>
  <si>
    <t>PO 408, GR 11, 2-15-16</t>
  </si>
  <si>
    <t>PO 40, GR 5, 6-1-15</t>
  </si>
  <si>
    <t>PO 40, GR 5, 5-26-15</t>
  </si>
  <si>
    <t>PO 396, GR 6, 8-5-14</t>
  </si>
  <si>
    <t>cultivated by Crossroads Wellness LLC dba Boulder Botanics.</t>
  </si>
  <si>
    <t>PO 387, GR 9, 1-25-16</t>
  </si>
  <si>
    <t>PO 378, GR 7, 1-15-16</t>
  </si>
  <si>
    <t>PO 366, GR 12, 1-18-16</t>
  </si>
  <si>
    <t>PO 345, GR 5, 12-28-15</t>
  </si>
  <si>
    <t>PO 343, GR 2, 11-23-15</t>
  </si>
  <si>
    <t>CDA confirmed the presence of the Off-Label Pesticides, Diuron, in the product samples tested</t>
  </si>
  <si>
    <t>PO 334, GR 8, 12-14-15</t>
  </si>
  <si>
    <t>PO 312. GR 5. 7-16-14</t>
  </si>
  <si>
    <t>PO 312, GR 5, 7-16-14</t>
  </si>
  <si>
    <t>PO 312, GR 5, 7-15-14</t>
  </si>
  <si>
    <t>PO 312, GR 5, 7-14-14</t>
  </si>
  <si>
    <t>PO 308, GR 10, 12-7-15</t>
  </si>
  <si>
    <t>PO 307, GR 1, 12-9-15</t>
  </si>
  <si>
    <t>PO 30, GR 1, 5-11-15</t>
  </si>
  <si>
    <t>cultivated by Mile High Medical LLC dba MMJ America Uptown</t>
  </si>
  <si>
    <t>PO 293, GR 4, 11-30-15</t>
  </si>
  <si>
    <t>PO 274, GR 3, 11-9-15</t>
  </si>
  <si>
    <t>PO 273, GR 11, 11-2-15</t>
  </si>
  <si>
    <t>PO 27, GR 11, 4-15</t>
  </si>
  <si>
    <t>unsafe levels of microbial contamination on medical marijuana and retail marijuana produced by Herbal Wellness LLC</t>
  </si>
  <si>
    <t>Unspecified Microbial Contamination</t>
  </si>
  <si>
    <t>PO 263, GR 6, 11-2-15</t>
  </si>
  <si>
    <t>PO 25, GR 8, 5-18-15</t>
  </si>
  <si>
    <t>PO 24, GR 3, 4-6</t>
  </si>
  <si>
    <t>PO 238, GR 9, 10/19/15</t>
  </si>
  <si>
    <t>PO 23, GR 4, 3-30</t>
  </si>
  <si>
    <t>PO 220, GR 12, 10-5-15</t>
  </si>
  <si>
    <t>PO 22, gr6, 3-9-15</t>
  </si>
  <si>
    <t>PO 210, GR 7, 10-12-15</t>
  </si>
  <si>
    <t>PO 21, 3/2/15, GR 9</t>
  </si>
  <si>
    <t>PO 201, GR 5, 9/21/15</t>
  </si>
  <si>
    <t>retail marijuana produced by Herbal Wellness LLC.</t>
  </si>
  <si>
    <t>44b</t>
  </si>
  <si>
    <t>were not tested in accordance with MED Rules M 1501 and R 1501.</t>
  </si>
  <si>
    <t>PO 20, 2-23, GR 12</t>
  </si>
  <si>
    <t>PO 19, GR 7, 2-9-15</t>
  </si>
  <si>
    <t>PO 186, GR 8, 9-8-2015</t>
  </si>
  <si>
    <t>PO 18, GR 5, 1-26-15</t>
  </si>
  <si>
    <t>PO 179, GR 1, 8-24</t>
  </si>
  <si>
    <t>PO 179, G1, 8-24</t>
  </si>
  <si>
    <t>PO 165, GR 2, 8-3-15</t>
  </si>
  <si>
    <t>PO 165, GR 2, 8-13-15</t>
  </si>
  <si>
    <t>PO 165, GR 2, 8-1-15</t>
  </si>
  <si>
    <t>PO 16, 1-20-2015, GR 1</t>
  </si>
  <si>
    <t>PO 16, 1-20-15, GR 1</t>
  </si>
  <si>
    <t>PO 137, GR 11, 7-20-15</t>
  </si>
  <si>
    <t>PO 130, GR 3, 7-27-15</t>
  </si>
  <si>
    <t>PO 101, GR 6, 7-13-15</t>
  </si>
  <si>
    <t>P0 88, GR 9, 6-30-15</t>
  </si>
  <si>
    <t>levels of total yeast and mold above the acceptable limits established in MED Rule M 712 and R 712.displayed an incorrect testing status in theInventory Tracking System (Metrc®).</t>
  </si>
  <si>
    <t>Groom PO 143 4-4-14</t>
  </si>
  <si>
    <t>TYM / Improperly Tested</t>
  </si>
  <si>
    <t>GR4, PO 128, 8-10-15</t>
  </si>
  <si>
    <t>GR10, PO 251, 3-18-14</t>
  </si>
  <si>
    <t>GR10, PO 251, 3-17-14</t>
  </si>
  <si>
    <t>GR10, PO 147, 8/17/15</t>
  </si>
  <si>
    <t>GR 9, PO 203, 6-17-14</t>
  </si>
  <si>
    <t>GR 9, PO 203, 6-16-14</t>
  </si>
  <si>
    <t>GR 8, PO 86, 5-7-14</t>
  </si>
  <si>
    <t>GR 8, PO 86, 5-6-14</t>
  </si>
  <si>
    <t>Vaporizer Delivery Devices containing Medium Chain Triglycerides oil (MCT Oil) that were sold in Colorado after January 1, 2020.</t>
  </si>
  <si>
    <t>GR 8, PO 86, 5-5-14</t>
  </si>
  <si>
    <t>GR 8, PO 85, 5-6-14</t>
  </si>
  <si>
    <t>GR 7, PO 603, 10-6-14</t>
  </si>
  <si>
    <t>GR 7, PO 364, JULY 28TH</t>
  </si>
  <si>
    <t>GR 7, PO 354, 4-16-14</t>
  </si>
  <si>
    <t>GR 7, PO 354, 4-15-14</t>
  </si>
  <si>
    <t>GR 7, PO 354, 4-14-14</t>
  </si>
  <si>
    <t>potentially unsafe pesticide residues on retail marijuana produced</t>
  </si>
  <si>
    <t>GR 7, 354, 4-15-14</t>
  </si>
  <si>
    <t>GR 6. PO 85, 4-22-14</t>
  </si>
  <si>
    <t>GR 6, PO 85,4-23-14</t>
  </si>
  <si>
    <t>GR 6, PO 85, 4-23-14</t>
  </si>
  <si>
    <t>GR 6, PO 85, 4-22-14</t>
  </si>
  <si>
    <t>GR 6, PO 85, 4-21-14</t>
  </si>
  <si>
    <t>produced by Kinfolk Farms, LLC, dba Kinfolk Farms.</t>
  </si>
  <si>
    <t>GR 6, PO 85, 4-16-14</t>
  </si>
  <si>
    <t>GR 6 , PO 85, 4-21-14</t>
  </si>
  <si>
    <t>microbial contamination, TYM above limits</t>
  </si>
  <si>
    <t>TYM / Microbial Contamination</t>
  </si>
  <si>
    <t>TYM / Unspecified Microbes</t>
  </si>
  <si>
    <t>GR 5, PO 301, 4-2-14</t>
  </si>
  <si>
    <t>GR 5, PO 301, 4-1-14</t>
  </si>
  <si>
    <t>GR 5, PO 301, 3-31-14</t>
  </si>
  <si>
    <t>GR 4, PO 188, 6-9-14</t>
  </si>
  <si>
    <t>GR 4, PO 188, 6-11-14</t>
  </si>
  <si>
    <t>produced by 4900 Jackson LLC (DBA Sundance Gardens).</t>
  </si>
  <si>
    <t>48b</t>
  </si>
  <si>
    <t>GR 4, PO 188, 6-10-14</t>
  </si>
  <si>
    <t>potentially contaminated, TYM above limits</t>
  </si>
  <si>
    <t>GR 3, PO 85, 4-28-14</t>
  </si>
  <si>
    <t>GR 3, PO 84, 4-30-14</t>
  </si>
  <si>
    <t>GR 3, PO 84, 4-29-14</t>
  </si>
  <si>
    <t>GR 3, PO 84, 4-28-14</t>
  </si>
  <si>
    <t>GR 3, P0 84, 4-28-14</t>
  </si>
  <si>
    <t>GR 2, PO 28, 4-27</t>
  </si>
  <si>
    <t>GR 2, PO 143, 5-27-14</t>
  </si>
  <si>
    <t>GR 2, PO 143, 5-26-14</t>
  </si>
  <si>
    <t>potentially unsafe levels of Total Yeast and Mold and Arsenic contamination</t>
  </si>
  <si>
    <t>GR 12, PO 275, 3-25-14</t>
  </si>
  <si>
    <t>GR 12, PO 275, 3-24-14</t>
  </si>
  <si>
    <t>GR 11, PO 93, 5-13-14</t>
  </si>
  <si>
    <t>GR 11, PO 93, 5-12-14</t>
  </si>
  <si>
    <t>EvanD Management, LLC (DBA ALPINSTASH).</t>
  </si>
  <si>
    <t>GR 10, PO 261, 6-24-14</t>
  </si>
  <si>
    <t>49b</t>
  </si>
  <si>
    <t>and Arsenic contamination</t>
  </si>
  <si>
    <t>GR 10, PO 261, 6-23-14</t>
  </si>
  <si>
    <t>GR 10, PO 251, 3-18-14</t>
  </si>
  <si>
    <t>GR 1, PO 109, 5-21-14</t>
  </si>
  <si>
    <t>GR 1, PO 109, 5-20-14</t>
  </si>
  <si>
    <t>GR 1, PO 109, 5-19-14</t>
  </si>
  <si>
    <t>Gobi GR 9</t>
  </si>
  <si>
    <t>Gobi GR 8</t>
  </si>
  <si>
    <t>Gobi GR 7</t>
  </si>
  <si>
    <t>potentially unsafe levels of Total Yeast and Mold</t>
  </si>
  <si>
    <t>Gobi GR 6</t>
  </si>
  <si>
    <t>Gobi GR 5</t>
  </si>
  <si>
    <t>Gobi GR 3</t>
  </si>
  <si>
    <t>Gobi GR 12</t>
  </si>
  <si>
    <t>Gobi GR 11</t>
  </si>
  <si>
    <t>Gobi GR 10</t>
  </si>
  <si>
    <t>Gobi GR 1</t>
  </si>
  <si>
    <t>7-1-14, GR 12, PO 280</t>
  </si>
  <si>
    <t>7.1.14. GR 12, PO 280</t>
  </si>
  <si>
    <t>produced by Physician Preferred Products LLC (d/b/a Doc's Apothecary).</t>
  </si>
  <si>
    <t>7.1.14, GR 12, PO280</t>
  </si>
  <si>
    <t>7.1.14, GR 12, PO 280</t>
  </si>
  <si>
    <t>7.1.14, GR 12, PO 180</t>
  </si>
  <si>
    <t>levels of Total Yeast and Mold above the acceptable limits</t>
  </si>
  <si>
    <t>6-30-14, GR 12, PO 280</t>
  </si>
  <si>
    <t>6-30-14, GR 12 PO 280</t>
  </si>
  <si>
    <t>6-30-14 GR 12, PO 280</t>
  </si>
  <si>
    <t>6-15-15, PO 78, GR 12</t>
  </si>
  <si>
    <t>6/15/15, PO 78, GR 12</t>
  </si>
  <si>
    <t>2015-11-02-WSV CO-H</t>
  </si>
  <si>
    <t>2015-09-21-WSV CO-H</t>
  </si>
  <si>
    <t>2015-08-05-WSV CO-H</t>
  </si>
  <si>
    <t>produced by Carrick-Harvest, LLC (DBA Veritas Fine Cannabis)</t>
  </si>
  <si>
    <t>2014-12-18-WSV CO-H</t>
  </si>
  <si>
    <t>12-8, PO 744, GR 10</t>
  </si>
  <si>
    <t>11-16.po 812.gr3</t>
  </si>
  <si>
    <t>11-16,po 812,gr3</t>
  </si>
  <si>
    <t>11-16,po 812, gr3</t>
  </si>
  <si>
    <t>The packaging of the multi-serving chocolate bar indicated each individual serving as “5mg THC: 5mg CBD” per piece when the package contained 10 individual servings of 10mg THC: 10mg CBD.</t>
  </si>
  <si>
    <t>11-16, PO 812, GR 3</t>
  </si>
  <si>
    <t>11-10, PO 756, GR 6</t>
  </si>
  <si>
    <t>PO 94, GR 16, 7-6-15</t>
  </si>
  <si>
    <t>403R-00009</t>
  </si>
  <si>
    <t>PO 931, 1/15/15, GR 15</t>
  </si>
  <si>
    <t>PO 93, GR15, 6-22-15</t>
  </si>
  <si>
    <t>PO 93, GR 15, 6-22-15</t>
  </si>
  <si>
    <t>PO 93, GE 15, 6-22-15</t>
  </si>
  <si>
    <t>PO 872, GR 15, 10-27-14</t>
  </si>
  <si>
    <t>PO 777, GR 16, 10-28-14</t>
  </si>
  <si>
    <t>manufactured by Medically Correct LLC (DBA Medically Correct).</t>
  </si>
  <si>
    <t>PO 6-2-14</t>
  </si>
  <si>
    <t>PO 586, GR 16, 10-1-14</t>
  </si>
  <si>
    <t>PO 531, GR 16, 7-21-14</t>
  </si>
  <si>
    <t>PO 530. GR 15, 7-21-14</t>
  </si>
  <si>
    <t>PO 530, GR 15, 7-21-14</t>
  </si>
  <si>
    <t>Cadmium above the acceptable limits</t>
  </si>
  <si>
    <t>PO 38, 3-17-15, GR16</t>
  </si>
  <si>
    <t>PO 37, 3-16-15, GR15</t>
  </si>
  <si>
    <t>PO 37, 3-16-15, GR 15</t>
  </si>
  <si>
    <t>po 344 6-4-14</t>
  </si>
  <si>
    <t>PO 344 6-3-14</t>
  </si>
  <si>
    <t xml:space="preserve">produced by TZ Financial, LLC (DBA High Country Healing) </t>
  </si>
  <si>
    <t>PO 344 6-2-14</t>
  </si>
  <si>
    <t>PO 340, 6-2-14</t>
  </si>
  <si>
    <t>levels of Total Yeast and Mold and Lead above the acceptable limits established in MED Rule 4-115.</t>
  </si>
  <si>
    <t>po 340 6-4-14</t>
  </si>
  <si>
    <t>PO 340 6-2-14</t>
  </si>
  <si>
    <t>PO 340</t>
  </si>
  <si>
    <t>PO 262, GR 16, 1-11-16</t>
  </si>
  <si>
    <t>PO 261, GR 15, 1-11-16</t>
  </si>
  <si>
    <t>PO 215, GR 15, 11-16-15</t>
  </si>
  <si>
    <t>PO 214, GR 16, 11-17-15</t>
  </si>
  <si>
    <t>produced by Primal LLC (d/b/a Primal).</t>
  </si>
  <si>
    <t>PO 163, GR 16, 8-31</t>
  </si>
  <si>
    <t>54b</t>
  </si>
  <si>
    <t>PO 163, GR 16, 8-1</t>
  </si>
  <si>
    <t>PO 162, GR 15, 9-14-15</t>
  </si>
  <si>
    <t>GROOM PO 158 4-8-14</t>
  </si>
  <si>
    <t>GROOM PO 158 4-18-14</t>
  </si>
  <si>
    <t>Groom 16, PO 344, 4-24-14</t>
  </si>
  <si>
    <t>GR. 16, PO 344, 4-24-14</t>
  </si>
  <si>
    <t>GR 16, PO 344, 4-24-14</t>
  </si>
  <si>
    <t>GR 16, PO 128, 4-9-14</t>
  </si>
  <si>
    <t>GR 16, PO 128, 4-8-14</t>
  </si>
  <si>
    <t>GR 15, PO 142, 4-8-14</t>
  </si>
  <si>
    <t>GR 15, PO 142, 4-7-14</t>
  </si>
  <si>
    <t>CO4245013</t>
  </si>
  <si>
    <t>2B-20 Berry Garcia</t>
  </si>
  <si>
    <t xml:space="preserve">402-00113 </t>
  </si>
  <si>
    <t>403-00160</t>
  </si>
  <si>
    <t>2B-20 Blueberry Diesel</t>
  </si>
  <si>
    <t>2B-20 Chem Giesel</t>
  </si>
  <si>
    <t>2B-20 Cherry Stomper</t>
  </si>
  <si>
    <t>2B-20 Chocolate Mint OG</t>
  </si>
  <si>
    <t>produced by The Chronic Factory LLC (doing business as “The Chronic Factory”)</t>
  </si>
  <si>
    <t>55b</t>
  </si>
  <si>
    <t>2B-20 Critical Mass</t>
  </si>
  <si>
    <t>Failed Water Activity Testing:</t>
  </si>
  <si>
    <t>Water Activity</t>
  </si>
  <si>
    <t>2B-20 Honey Banana</t>
  </si>
  <si>
    <t>12-21 Blue Steele</t>
  </si>
  <si>
    <t xml:space="preserve">403R-00248 </t>
  </si>
  <si>
    <t>12-21 Lemon Skunk</t>
  </si>
  <si>
    <t>2B-20 707 Truthband</t>
  </si>
  <si>
    <t>2B-20 Blue Donkey Dick</t>
  </si>
  <si>
    <t>2B-20 Blue God</t>
  </si>
  <si>
    <t>2B-20 Blue Steele</t>
  </si>
  <si>
    <t>2B-20 Blueberry</t>
  </si>
  <si>
    <t>55c</t>
  </si>
  <si>
    <t>2B-20 Chem Grape</t>
  </si>
  <si>
    <t>2B-20 Ghost Train Haze</t>
  </si>
  <si>
    <t>2B-20 Mango Tango</t>
  </si>
  <si>
    <t>2B-20 Mango X Choco</t>
  </si>
  <si>
    <t>2B-20 Skywalker</t>
  </si>
  <si>
    <t>CO4245214</t>
  </si>
  <si>
    <t>1-OAK-32-303</t>
  </si>
  <si>
    <t>402-00656</t>
  </si>
  <si>
    <t>403-00492</t>
  </si>
  <si>
    <t>1-OAK-32-AH</t>
  </si>
  <si>
    <t>1-OAK-32-BDC</t>
  </si>
  <si>
    <t>1-OAK-32-BRAIN</t>
  </si>
  <si>
    <t>1-OAK-32-BW</t>
  </si>
  <si>
    <t>1-OAK-32-CG</t>
  </si>
  <si>
    <t>Mercury Contaminated</t>
  </si>
  <si>
    <t>1-OAK-32-FC</t>
  </si>
  <si>
    <t>1-OAK-32-FP</t>
  </si>
  <si>
    <t>1-OAK-32-GG</t>
  </si>
  <si>
    <t>1-OAK-32-GSC</t>
  </si>
  <si>
    <t>1-OAK-32-HBK</t>
  </si>
  <si>
    <t>1-OAK-32-SC</t>
  </si>
  <si>
    <t>1-OAK-32-SIN</t>
  </si>
  <si>
    <t>1-OAK-32-SUENO</t>
  </si>
  <si>
    <t>produced by First Class LLC</t>
  </si>
  <si>
    <t>1-OAK-32-UKLA</t>
  </si>
  <si>
    <t>2-OAK-29-BDC</t>
  </si>
  <si>
    <t>2-OAK-31-303</t>
  </si>
  <si>
    <t>2-OAK-31-AH</t>
  </si>
  <si>
    <t>2-OAK-31-BDC</t>
  </si>
  <si>
    <t>unsafe levels of the pesticide Imidacloprid - harvest Batch</t>
  </si>
  <si>
    <t>2-OAK-31-BK</t>
  </si>
  <si>
    <t>2-OAK-31-BRAIN</t>
  </si>
  <si>
    <t>2-OAK-31-BW</t>
  </si>
  <si>
    <t>2-OAK-31-CD</t>
  </si>
  <si>
    <t>2-OAK-31-EWOK</t>
  </si>
  <si>
    <t>2-OAK-31-FOG</t>
  </si>
  <si>
    <t>2-OAK-31-FP</t>
  </si>
  <si>
    <t>2-OAK-31-GHOST</t>
  </si>
  <si>
    <t>produced by Tree Farmers LLC</t>
  </si>
  <si>
    <t>Lists harvest batch and how it expands to production batch!</t>
  </si>
  <si>
    <t>2-OAK-31-LG13</t>
  </si>
  <si>
    <t>57b</t>
  </si>
  <si>
    <t>2-OAK-31-OGB</t>
  </si>
  <si>
    <t>unsafe levels of the pesticide Imidacloprid - production Batch</t>
  </si>
  <si>
    <t>2-OAK-31-STARD</t>
  </si>
  <si>
    <t>2-OAK-31-TANG</t>
  </si>
  <si>
    <t>2-OAK-31-UKLA</t>
  </si>
  <si>
    <t>2-OAK-39-303</t>
  </si>
  <si>
    <t>2-OAK-39-AH</t>
  </si>
  <si>
    <t>2-OAK-39-BDC</t>
  </si>
  <si>
    <t>2-OAK-39-BW</t>
  </si>
  <si>
    <t>2-OAK-39-FC</t>
  </si>
  <si>
    <t>2-OAK-39-GG</t>
  </si>
  <si>
    <t>2-OAK-39-GS</t>
  </si>
  <si>
    <t>2-OAK-39-HBK</t>
  </si>
  <si>
    <t>Unstated contaminants and potency issues</t>
  </si>
  <si>
    <t>2-OAK-39-LG</t>
  </si>
  <si>
    <t>Potency and Contaminants</t>
  </si>
  <si>
    <t>2-OAK-39-OGB</t>
  </si>
  <si>
    <t>2-OAK-39-SC</t>
  </si>
  <si>
    <t>2-OAK-39-TANG</t>
  </si>
  <si>
    <t>3-OAK-30-BK</t>
  </si>
  <si>
    <t>3-OAK-30-BRAIN</t>
  </si>
  <si>
    <t>3-OAK-30-CG</t>
  </si>
  <si>
    <t>3-OAK-30-CP</t>
  </si>
  <si>
    <t>Retail Marijuana Product and Concentrate produced by Innovative Fusion LLC (doing business as DRIP).</t>
  </si>
  <si>
    <t>3-OAK-30-FOG</t>
  </si>
  <si>
    <t>3-OAK-30-GS</t>
  </si>
  <si>
    <t>3-OAK-30-HBK</t>
  </si>
  <si>
    <t>3-OAK-30-SIN</t>
  </si>
  <si>
    <t>Contaminanted TYM</t>
  </si>
  <si>
    <t>3-OAK-30-STARD</t>
  </si>
  <si>
    <t>3-OAK-30-SUENO</t>
  </si>
  <si>
    <t>3-OAK-30-SW</t>
  </si>
  <si>
    <t>3-OAK-38-303</t>
  </si>
  <si>
    <t>3-OAK-38-AH</t>
  </si>
  <si>
    <t>3-OAK-38-BDC</t>
  </si>
  <si>
    <t>3-OAK-38-BW</t>
  </si>
  <si>
    <t xml:space="preserve">DJR Colorado, LLC DBA High Level Health (DJR Colorado). </t>
  </si>
  <si>
    <t>3-OAK-38-CG</t>
  </si>
  <si>
    <t>59b</t>
  </si>
  <si>
    <t>3-OAK-38-CGRAPE</t>
  </si>
  <si>
    <t>3-OAK-38-FB</t>
  </si>
  <si>
    <t>3-OAK-38-FC</t>
  </si>
  <si>
    <t>3-OAK-38-FOG</t>
  </si>
  <si>
    <t>3-OAK-38-GG</t>
  </si>
  <si>
    <t>3-OAK-38-GHOST</t>
  </si>
  <si>
    <t>3-OAK-38-GS</t>
  </si>
  <si>
    <t>3-OAK-38-HBK</t>
  </si>
  <si>
    <t>3-OAK-38-SC</t>
  </si>
  <si>
    <t>3-OAK-38-SIN</t>
  </si>
  <si>
    <t>3-OAK-38-UKLA</t>
  </si>
  <si>
    <t>elemental impurities (lead) levels</t>
  </si>
  <si>
    <t>4-OAK-29-BDC</t>
  </si>
  <si>
    <t>4-OAK-29-BK</t>
  </si>
  <si>
    <t>4-OAK-29-BW</t>
  </si>
  <si>
    <t>4-OAK-29-CG</t>
  </si>
  <si>
    <t>4-OAK-29-CP</t>
  </si>
  <si>
    <t>4-OAK-29-FB</t>
  </si>
  <si>
    <t>4-OAK-29-GG</t>
  </si>
  <si>
    <t>4-OAK-29-GS</t>
  </si>
  <si>
    <t>Pre-Rolled Retail Marijuana produced by JEM Dutch Acres, LLC (DBA Earls).</t>
  </si>
  <si>
    <t>4-OAK-29-GSC</t>
  </si>
  <si>
    <t>4-OAK-29-HBK</t>
  </si>
  <si>
    <t>4-OAK-29-OGSIN</t>
  </si>
  <si>
    <t>4-OAK-29-SC</t>
  </si>
  <si>
    <t>4-OAK-29-SUENO</t>
  </si>
  <si>
    <t>Total Yeast and Mold levels above the acceptable limits e</t>
  </si>
  <si>
    <t>4-OAK-29-SW</t>
  </si>
  <si>
    <t>4-OAK-37-303</t>
  </si>
  <si>
    <t>4-OAK-37-BC</t>
  </si>
  <si>
    <t>4-OAK-37-BW</t>
  </si>
  <si>
    <t>4-OAK-37-CD</t>
  </si>
  <si>
    <t>4-OAK-37-EWOK</t>
  </si>
  <si>
    <t>4-OAK-37-GHOST</t>
  </si>
  <si>
    <t>4-OAK-37-LG</t>
  </si>
  <si>
    <t xml:space="preserve">Retail Marijuana Flower (bud/shake/trim) produced by LivWell I, LLC DBA LivWell. </t>
  </si>
  <si>
    <t>4-OAK-37-SC</t>
  </si>
  <si>
    <t>4-OAK-37-STARD</t>
  </si>
  <si>
    <t>4-OAK-37-TANG</t>
  </si>
  <si>
    <t>4-OAK-37-UKLA</t>
  </si>
  <si>
    <t>5-OAK-36-BC</t>
  </si>
  <si>
    <t>Total Yeast and Mold levels above acceptable limits</t>
  </si>
  <si>
    <t>5-OAK-36-BK</t>
  </si>
  <si>
    <t>5-OAK-36-BW</t>
  </si>
  <si>
    <t>5-OAK-36-CG</t>
  </si>
  <si>
    <t>5-OAK-36-GDP</t>
  </si>
  <si>
    <t>5-OAK-36-GS</t>
  </si>
  <si>
    <t>5-OAK-36-HBK</t>
  </si>
  <si>
    <t>5-OAK-36-STAR</t>
  </si>
  <si>
    <t>5-OAK-36-UKLA</t>
  </si>
  <si>
    <t>6-OAK-35-303</t>
  </si>
  <si>
    <t>6-OAK-35-BW</t>
  </si>
  <si>
    <t>6-OAK-35-FB</t>
  </si>
  <si>
    <t>Retail Marijuana flower (bud/shake/trim) produced by Fresh Baked, LLC</t>
  </si>
  <si>
    <t>6-OAK-35-GS</t>
  </si>
  <si>
    <t>6-OAK-35-HBK</t>
  </si>
  <si>
    <t>6-OAK-35-SC</t>
  </si>
  <si>
    <t>6-OAK-35-UKLA</t>
  </si>
  <si>
    <t>7-OAK-34-AH</t>
  </si>
  <si>
    <t>7-OAK-34-BDC</t>
  </si>
  <si>
    <t>7-OAK-34-BRAIN</t>
  </si>
  <si>
    <t>7-OAK-34-BW</t>
  </si>
  <si>
    <t>7-OAK-34-GG</t>
  </si>
  <si>
    <t>7-OAK-34-GS</t>
  </si>
  <si>
    <t>7-OAK-34-SC</t>
  </si>
  <si>
    <t>Medical Marijuana flower (bud/shake/trim) produced by Canna Meds Wellness Center LLC</t>
  </si>
  <si>
    <t>7-OAK-34-SUENO</t>
  </si>
  <si>
    <t>7-OAK-34-SW</t>
  </si>
  <si>
    <t>8-OAK-33-AH</t>
  </si>
  <si>
    <t>8-OAK-33-BDC</t>
  </si>
  <si>
    <t>8-OAK-33-BRAIN</t>
  </si>
  <si>
    <t>Total Yeast and Mold levels above acceptable limits - expanded for all batches</t>
  </si>
  <si>
    <t>8-OAK-33-BW</t>
  </si>
  <si>
    <t>8-OAK-33-CG</t>
  </si>
  <si>
    <t>8-OAK-33-FC</t>
  </si>
  <si>
    <t>8-OAK-33-FP</t>
  </si>
  <si>
    <t>8-OAK-33-GDP</t>
  </si>
  <si>
    <t>8-OAK-33-GS</t>
  </si>
  <si>
    <t>8-OAK-33-GSC</t>
  </si>
  <si>
    <t>8-OAK-33-HBK</t>
  </si>
  <si>
    <t>8-OAK-33-SC</t>
  </si>
  <si>
    <t>8-OAK-33-SIN</t>
  </si>
  <si>
    <t>8-OAK-33-SUENO</t>
  </si>
  <si>
    <t>8-OAK-33-UKLA</t>
  </si>
  <si>
    <t>CO4246115</t>
  </si>
  <si>
    <t>BK_217RM3</t>
  </si>
  <si>
    <t>402-00775</t>
  </si>
  <si>
    <t>403-01180</t>
  </si>
  <si>
    <t>BK32RM1</t>
  </si>
  <si>
    <t>CC32RM1</t>
  </si>
  <si>
    <t>CNC_218RM3</t>
  </si>
  <si>
    <t>Total Yeast and Mold contamination</t>
  </si>
  <si>
    <t>CW_217RM3</t>
  </si>
  <si>
    <t>DP_217RM3</t>
  </si>
  <si>
    <t>DS34RM1</t>
  </si>
  <si>
    <t>DSTARSAMPLERM2</t>
  </si>
  <si>
    <t>FC_218RM3</t>
  </si>
  <si>
    <t>FC32RM1</t>
  </si>
  <si>
    <t>FLO_215RM3</t>
  </si>
  <si>
    <t>FLO34RM1</t>
  </si>
  <si>
    <t>FLOSAMPLERM1</t>
  </si>
  <si>
    <t>produced by Dune Valley Farms, LLC.</t>
  </si>
  <si>
    <t>FO229RM1</t>
  </si>
  <si>
    <t>GG32RM1</t>
  </si>
  <si>
    <t>GOG_218RM3</t>
  </si>
  <si>
    <t>GOL_219RM3</t>
  </si>
  <si>
    <t>GOLSAMPLERM1</t>
  </si>
  <si>
    <t>multiple reports of adverse health events received reports that claim the 1906 Midnight Drops have led to certain health issues
including potential liver injury.</t>
  </si>
  <si>
    <t>HS_215RM3</t>
  </si>
  <si>
    <t>KL_217RM3</t>
  </si>
  <si>
    <t>KLK35RM1</t>
  </si>
  <si>
    <t>MB35RM1</t>
  </si>
  <si>
    <t>SD229RM1</t>
  </si>
  <si>
    <t>SJ_217RM3</t>
  </si>
  <si>
    <t>STAR35RM1</t>
  </si>
  <si>
    <t>TROPIC31RM1</t>
  </si>
  <si>
    <t>1906 Midnight Drops, produced by Sima Sciences, LLC, doing business as 1906 (license numbers 404R-00187, 404-00515).</t>
  </si>
  <si>
    <t>TT32RM1</t>
  </si>
  <si>
    <t>CK33RM1</t>
  </si>
  <si>
    <t>402-00048</t>
  </si>
  <si>
    <t>403-00063</t>
  </si>
  <si>
    <t>CW_216RM3</t>
  </si>
  <si>
    <t>DSRM2</t>
  </si>
  <si>
    <t>contain levels of Total Yeast and Mold above the acceptable limits</t>
  </si>
  <si>
    <t>DSSAMPLERM2</t>
  </si>
  <si>
    <t>FLOSAMPLE</t>
  </si>
  <si>
    <t>GG33RM1</t>
  </si>
  <si>
    <t>GOL35RM1</t>
  </si>
  <si>
    <t>GOLR_216RM3</t>
  </si>
  <si>
    <t>GSC34RM1</t>
  </si>
  <si>
    <t>KLKSAMPLE</t>
  </si>
  <si>
    <t>produced by Beyond Broadway LLC (DBA LivWell)</t>
  </si>
  <si>
    <t>MB34RM1</t>
  </si>
  <si>
    <t>MBSAMPLERM2</t>
  </si>
  <si>
    <t>ODSAMPLE</t>
  </si>
  <si>
    <t>SFVTK34RM1</t>
  </si>
  <si>
    <t>TROPICSAMPLE</t>
  </si>
  <si>
    <t>TT31RM1</t>
  </si>
  <si>
    <t>produced by SDJ, LLC (doing business as “The Living Rose”)</t>
  </si>
  <si>
    <t>TTSAMPLE</t>
  </si>
  <si>
    <t>68b</t>
  </si>
  <si>
    <t>WN_216RM3</t>
  </si>
  <si>
    <t>WNSAMPLERM3</t>
  </si>
  <si>
    <t>BB_219RM3</t>
  </si>
  <si>
    <t>403R-00132</t>
  </si>
  <si>
    <t>BK_219RM3</t>
  </si>
  <si>
    <t>GOG_219RM3</t>
  </si>
  <si>
    <t>SJ_219RM3</t>
  </si>
  <si>
    <t>WN_220RM3</t>
  </si>
  <si>
    <t>CO4246116</t>
  </si>
  <si>
    <t>402-00035</t>
  </si>
  <si>
    <t>403-00047</t>
  </si>
  <si>
    <t>68c</t>
  </si>
  <si>
    <t>flower test sample1 gobi</t>
  </si>
  <si>
    <t>403R-00131</t>
  </si>
  <si>
    <t>flower leaf test gobi</t>
  </si>
  <si>
    <t>CO4246517</t>
  </si>
  <si>
    <t>Cognac Kush</t>
  </si>
  <si>
    <t xml:space="preserve">403R-00204 </t>
  </si>
  <si>
    <t>Cookie Monster 2/15/16</t>
  </si>
  <si>
    <t>Grape Stomper</t>
  </si>
  <si>
    <t>Killawatt</t>
  </si>
  <si>
    <t>Papaya 2/15/16</t>
  </si>
  <si>
    <t>Pineapple Express 2/15/16</t>
  </si>
  <si>
    <t>Snowcap 2/15/16</t>
  </si>
  <si>
    <t>Southern Charm 2/15/16</t>
  </si>
  <si>
    <t>Strawberry Cough 2/15/16</t>
  </si>
  <si>
    <t>Triangle Kush</t>
  </si>
  <si>
    <t>Trinity 2/15/16</t>
  </si>
  <si>
    <t>CO4246718</t>
  </si>
  <si>
    <t>108 021216 76</t>
  </si>
  <si>
    <t>402-00556</t>
  </si>
  <si>
    <t>403-00825</t>
  </si>
  <si>
    <t>108 021216 AK</t>
  </si>
  <si>
    <t>108 021316 BU</t>
  </si>
  <si>
    <t>Contaminated Total Yeast and Mold</t>
  </si>
  <si>
    <t>108 021316 LS</t>
  </si>
  <si>
    <t>108 021416 BK</t>
  </si>
  <si>
    <t>108 021516 18</t>
  </si>
  <si>
    <t>108 021516 CA DIRT</t>
  </si>
  <si>
    <t>108 021516 CG DIRT</t>
  </si>
  <si>
    <t>108 021516 CP DIRT</t>
  </si>
  <si>
    <t>108 021516 CW DIRT</t>
  </si>
  <si>
    <t>108 021516 GW DIRT</t>
  </si>
  <si>
    <t>108 101215 ST</t>
  </si>
  <si>
    <t>produced by Beddor Claude LLC (doing business as Chronic Therapy)</t>
  </si>
  <si>
    <t>108 121115 AC</t>
  </si>
  <si>
    <t>69b</t>
  </si>
  <si>
    <t>Potentially contaminated Total Yeast and Mold</t>
  </si>
  <si>
    <t>108 121115 R1</t>
  </si>
  <si>
    <t>108 121115 RS</t>
  </si>
  <si>
    <t>108 121215 SQ</t>
  </si>
  <si>
    <t>108 121315 HK</t>
  </si>
  <si>
    <t>108 121315 LR2</t>
  </si>
  <si>
    <t>108 121415 AC dirt</t>
  </si>
  <si>
    <t>108 121415 LR1 dirt</t>
  </si>
  <si>
    <t>108 121415 MD dirt</t>
  </si>
  <si>
    <t>108 121415 MW dirt</t>
  </si>
  <si>
    <t>108 121415 R1 dirt</t>
  </si>
  <si>
    <t>108 121415 RD</t>
  </si>
  <si>
    <t>108 121415 RS dirt</t>
  </si>
  <si>
    <t>108 121415 SK dirt</t>
  </si>
  <si>
    <t>108 121415 SS</t>
  </si>
  <si>
    <t>109 011316 GI</t>
  </si>
  <si>
    <t>109 011416 SS</t>
  </si>
  <si>
    <t>109 011516 SD</t>
  </si>
  <si>
    <t>f Total Yeast and Mold and Aspergillus above the acceptable limits</t>
  </si>
  <si>
    <t>TYM and Aspergillus</t>
  </si>
  <si>
    <t>109 011616 CR</t>
  </si>
  <si>
    <t>109 011616 OG DIRT</t>
  </si>
  <si>
    <t>109 011616 OR DIRT</t>
  </si>
  <si>
    <t>109 011616 PD DIRT</t>
  </si>
  <si>
    <t>109 011616 SV DIRT</t>
  </si>
  <si>
    <t>109 031616 MH</t>
  </si>
  <si>
    <t>109 031716 EJ</t>
  </si>
  <si>
    <t>109 031816 KQ</t>
  </si>
  <si>
    <t>109 031916 BD</t>
  </si>
  <si>
    <t>109 111215 CT dirt</t>
  </si>
  <si>
    <t>produced by 240 Arthur Avenue LLC (doing business as Rivus Fine Cannabis).</t>
  </si>
  <si>
    <t>109 111215 DP dirt</t>
  </si>
  <si>
    <t>109 111215 GA dirt</t>
  </si>
  <si>
    <t>109 111215 LR2 dirt</t>
  </si>
  <si>
    <t>109 111215 PK dirt</t>
  </si>
  <si>
    <t>11 112915 LR1 dirt</t>
  </si>
  <si>
    <t>11 112915 RD dirt</t>
  </si>
  <si>
    <t>Total Yeast and Mold above the acceptable limits</t>
  </si>
  <si>
    <t>110 022916 CP</t>
  </si>
  <si>
    <t>110 022916 CW</t>
  </si>
  <si>
    <t>110 030116 GW</t>
  </si>
  <si>
    <t>110 030216 CA</t>
  </si>
  <si>
    <t>110 030216 CG</t>
  </si>
  <si>
    <t>110 102815 LS</t>
  </si>
  <si>
    <t>110 122815 AC</t>
  </si>
  <si>
    <t>110 122815 CK</t>
  </si>
  <si>
    <t>110 122815 LR1</t>
  </si>
  <si>
    <t>packaged and transferred by Jolet Ventures LLC (doing business as 710 Labs)</t>
  </si>
  <si>
    <t>110 122815 LR2</t>
  </si>
  <si>
    <t>110 122915 MW</t>
  </si>
  <si>
    <t>110 123015 CK DIRT</t>
  </si>
  <si>
    <t>110 123015 CR DIRT</t>
  </si>
  <si>
    <t>Contaminated: unsafe levels of Microbial contamination on Medical and Retail Marijuana flower</t>
  </si>
  <si>
    <t>110 123015 GI DIRT</t>
  </si>
  <si>
    <t>110 123015 MD</t>
  </si>
  <si>
    <t>110 123015 SD DIRT</t>
  </si>
  <si>
    <t>110 123015 SK</t>
  </si>
  <si>
    <t>110 123015 SS DIRT</t>
  </si>
  <si>
    <t>111 020116 PD</t>
  </si>
  <si>
    <t>111 020216 OR</t>
  </si>
  <si>
    <t>111 020216 WD</t>
  </si>
  <si>
    <t>111 020316 18 dirt</t>
  </si>
  <si>
    <t>produced by SISSCO LLC (doing business as Trenchtown).</t>
  </si>
  <si>
    <t>72b</t>
  </si>
  <si>
    <t>111 020316 AK dirt</t>
  </si>
  <si>
    <t>Potentially Contaminated, Untested/Improperly Tested</t>
  </si>
  <si>
    <t>111 020316 BK dirt</t>
  </si>
  <si>
    <t>111 020316 OG</t>
  </si>
  <si>
    <t>111 020316 SV</t>
  </si>
  <si>
    <t>111 113015 T</t>
  </si>
  <si>
    <t>111 120215 CT</t>
  </si>
  <si>
    <t>111 120215 DP</t>
  </si>
  <si>
    <t>108 021116 AK</t>
  </si>
  <si>
    <t>403R-00199</t>
  </si>
  <si>
    <t>108 021316 76</t>
  </si>
  <si>
    <t>108 021316 GW</t>
  </si>
  <si>
    <t>unsafe levels of Total Yeast and Mold</t>
  </si>
  <si>
    <t>109 011416 SD</t>
  </si>
  <si>
    <t>109 031616 LR2</t>
  </si>
  <si>
    <t>109 031816 BD</t>
  </si>
  <si>
    <t>109 111015 BB</t>
  </si>
  <si>
    <t>Regulated Marijuana flower (bud/shake/trim) produced by Physician Preferred Products LLC (dba Doc’s Apothecary)</t>
  </si>
  <si>
    <t>73b</t>
  </si>
  <si>
    <t>109 111015 CC</t>
  </si>
  <si>
    <t>Aspergillus contamination</t>
  </si>
  <si>
    <t>109 111115 BD</t>
  </si>
  <si>
    <t>109 111115 CM</t>
  </si>
  <si>
    <t>109 111215 EC</t>
  </si>
  <si>
    <t>110 030116 CA</t>
  </si>
  <si>
    <t>110 030116 CP</t>
  </si>
  <si>
    <t>110 030316 CG</t>
  </si>
  <si>
    <t>110 110115 KQ</t>
  </si>
  <si>
    <t>110 122915 MD</t>
  </si>
  <si>
    <t>73c</t>
  </si>
  <si>
    <t>Potentially Improperly Tested</t>
  </si>
  <si>
    <t>111 020216 SV</t>
  </si>
  <si>
    <t>111 120115 CT</t>
  </si>
  <si>
    <t>111 120115 GA</t>
  </si>
  <si>
    <t>CO4246719</t>
  </si>
  <si>
    <t>73d</t>
  </si>
  <si>
    <t>Regulated Marijuana flower (bud/shake/trim) produced by Green Street LLC.</t>
  </si>
  <si>
    <t>74b</t>
  </si>
  <si>
    <t>74c</t>
  </si>
  <si>
    <t>Total Yeast and Mold and Aspergillus contamination</t>
  </si>
  <si>
    <t>produced by Retail Marijuana Cultivation Facility MJ Durango LLC (doing business as Durango Cannabis Company)</t>
  </si>
  <si>
    <t>75b</t>
  </si>
  <si>
    <t>75c</t>
  </si>
  <si>
    <t>Possible Contamination / Improperly Tested</t>
  </si>
  <si>
    <t>potentially unsafe levels of Total Yeast and Mold on Regulated Marijuana flower</t>
  </si>
  <si>
    <t>produced by Carrick-Harvest, LLC (doing business as Veritas Fine Cannabis).</t>
  </si>
  <si>
    <t>Total Yeast and Mold, Aspergillus, Cadmium, and Arsenic</t>
  </si>
  <si>
    <t>TYM, Aspergillus, Heavy Metals</t>
  </si>
  <si>
    <t>TYM, Aspergillus, Cadmium, Arsenic</t>
  </si>
  <si>
    <t>BBM Enterprises, LLC (doing business as Helping Hands Cannabis).</t>
  </si>
  <si>
    <t>77b</t>
  </si>
  <si>
    <t>produced by COS Investments LLC (doing business as High Hopes)</t>
  </si>
  <si>
    <t>produced by Trinidad Cultivation Services Inc (doing business as Blue Sand Consulting)</t>
  </si>
  <si>
    <t>79b</t>
  </si>
  <si>
    <t>CO4248120</t>
  </si>
  <si>
    <t>CROP 75</t>
  </si>
  <si>
    <t>402-00140</t>
  </si>
  <si>
    <t>403-00204</t>
  </si>
  <si>
    <t>CO4248221</t>
  </si>
  <si>
    <t>707 Headband 3-15-16</t>
  </si>
  <si>
    <t>402-00613</t>
  </si>
  <si>
    <t>403-00911</t>
  </si>
  <si>
    <t>Afgoo 3-1-16</t>
  </si>
  <si>
    <t>Afgoo 3-15-16</t>
  </si>
  <si>
    <t>Alaskan Ice 4/5/16</t>
  </si>
  <si>
    <t>Alien Dawg 3-15-16</t>
  </si>
  <si>
    <t>Alien Dog 3-1-16</t>
  </si>
  <si>
    <t>Birthday Cake 3-1-16</t>
  </si>
  <si>
    <t>Brain OG 3-1-16</t>
  </si>
  <si>
    <t>Brain OG 3-15-16</t>
  </si>
  <si>
    <t>Buddha Tahoe (6950) 3-15-16</t>
  </si>
  <si>
    <t>Buddha Tahoe 3-15-16</t>
  </si>
  <si>
    <t>Buddha Tahoe 4/5/16</t>
  </si>
  <si>
    <t>Cluster Bomb 3-15-16</t>
  </si>
  <si>
    <t>Coal Creek Kush 3-1-16</t>
  </si>
  <si>
    <t>Coal Creek Kush 3-15-16</t>
  </si>
  <si>
    <t>Cookie Wreck #1 3-1-16</t>
  </si>
  <si>
    <t>Cookie Wreck 3-15-16</t>
  </si>
  <si>
    <t>Cookies Alien Dawg 3-1-16</t>
  </si>
  <si>
    <t>Cookies Alien Dawg 3-15-16</t>
  </si>
  <si>
    <t>Dawg Jam 3-15-16</t>
  </si>
  <si>
    <t>Death Star 3-15-16</t>
  </si>
  <si>
    <t>DNA Diesel 3-1-16</t>
  </si>
  <si>
    <t>Dna Diesel 3-15-16</t>
  </si>
  <si>
    <t>DNA DIESEL 4/5/16</t>
  </si>
  <si>
    <t>produced by Long Gone Farms LLC (doing business as Steel City Meds Medical Dispensary).</t>
  </si>
  <si>
    <t>Durban Diesel 4/5/16</t>
  </si>
  <si>
    <t>80b</t>
  </si>
  <si>
    <t>Flo 3-15-16</t>
  </si>
  <si>
    <t>Girl Scout Cookies #5 3-15-16</t>
  </si>
  <si>
    <t>God's Cough 3-1-16</t>
  </si>
  <si>
    <t>Gods Cough 3-15-16</t>
  </si>
  <si>
    <t>God's Cough 4/5/16</t>
  </si>
  <si>
    <t>Golden Triangle 3-15-16</t>
  </si>
  <si>
    <t>Golden Triangle 4/5/16</t>
  </si>
  <si>
    <t>Gorilla Glue 3-15-16</t>
  </si>
  <si>
    <t>Grape Haze 3-1-16</t>
  </si>
  <si>
    <t>Grape Haze 3-15-16</t>
  </si>
  <si>
    <t>Jamaican Landrace x Triangle Kush 3-1-16</t>
  </si>
  <si>
    <t>Jenny Kush 3-1-16</t>
  </si>
  <si>
    <t>Jenny Kush 4/5/16</t>
  </si>
  <si>
    <t>Jenyy Kush 3-15-16</t>
  </si>
  <si>
    <t>Jet Fuel 3-15-16</t>
  </si>
  <si>
    <t>Jet Fuel V2 3-15-16</t>
  </si>
  <si>
    <t>LA Kush 3-1-16</t>
  </si>
  <si>
    <t>LA Kush 3-15-16</t>
  </si>
  <si>
    <t>Legend of 91 3-1-16</t>
  </si>
  <si>
    <t>Lemon G 4/5/16</t>
  </si>
  <si>
    <t>Lemon G13 3-15-16</t>
  </si>
  <si>
    <t>Lemon G13 3-1-16</t>
  </si>
  <si>
    <t>Life Saver Diesel 3-15-16</t>
  </si>
  <si>
    <t>Longs Peak Blue 3-1-16</t>
  </si>
  <si>
    <t>Longs Peak Blue 3-15-16</t>
  </si>
  <si>
    <t>Love Triangle 3-15-16</t>
  </si>
  <si>
    <t>Love Triangle 4/5/16</t>
  </si>
  <si>
    <t>MM1 3-15-16</t>
  </si>
  <si>
    <t>Night Fire 3-15-16</t>
  </si>
  <si>
    <t>Nightfire 3-1-16</t>
  </si>
  <si>
    <t>produced by Big Mountain Organics, LLC (doing business as Big Medicine Cannabissary)</t>
  </si>
  <si>
    <t>NTOG 3-15-16</t>
  </si>
  <si>
    <t>81b</t>
  </si>
  <si>
    <t>NTOG 4/5/16</t>
  </si>
  <si>
    <t>NYCD 3-1-16</t>
  </si>
  <si>
    <t>NYCD 4/5/16</t>
  </si>
  <si>
    <t>Platinum Cookies - 3/1/16</t>
  </si>
  <si>
    <t>Platinum Cookies 3-15-16</t>
  </si>
  <si>
    <t>Raw Dawg 3-15-16</t>
  </si>
  <si>
    <t>Real Sour Diesel 3/1/16</t>
  </si>
  <si>
    <t>S.A.G.E. 3/1/16</t>
  </si>
  <si>
    <t>S.A.G.E. 4/5/16</t>
  </si>
  <si>
    <t>lead</t>
  </si>
  <si>
    <t>S.A.G.E. LIVE RESIN</t>
  </si>
  <si>
    <t>Sappy 3-1-16</t>
  </si>
  <si>
    <t>Sappy 3-15-16</t>
  </si>
  <si>
    <t>Sasquatch 3/1/16</t>
  </si>
  <si>
    <t>Sasquatch 3-15-16</t>
  </si>
  <si>
    <t>Sasquatch SEED</t>
  </si>
  <si>
    <t>So Cal Super Skunk 3-15-16</t>
  </si>
  <si>
    <t>SOCAL Super Skunk 4/5/16</t>
  </si>
  <si>
    <t>Sour Candy 3/1/16</t>
  </si>
  <si>
    <t>Sour Candy 3-15-16</t>
  </si>
  <si>
    <t>Sour Candy 4/5/16</t>
  </si>
  <si>
    <t>Sour Candy LIVE RESIN</t>
  </si>
  <si>
    <t>Sour Diesel (new cut) 4/5/16</t>
  </si>
  <si>
    <t>Sour Head 4/5/16</t>
  </si>
  <si>
    <t>Sour Tangie 4/5/16</t>
  </si>
  <si>
    <t>Spec Ops 4/5/16</t>
  </si>
  <si>
    <t>SSH 4/5/16</t>
  </si>
  <si>
    <t>Super Silver Haze 3-1-16</t>
  </si>
  <si>
    <t>Tahoe 3-15-16</t>
  </si>
  <si>
    <t>produced by Melody and Company Management LLC.</t>
  </si>
  <si>
    <t>Tangerine Haze 4/5/16</t>
  </si>
  <si>
    <t>82b</t>
  </si>
  <si>
    <t>The White x SFVOG</t>
  </si>
  <si>
    <t>Aspergillus Contamination</t>
  </si>
  <si>
    <t>Triangle Kush 3/1/16</t>
  </si>
  <si>
    <t>Trinity 3/1/16</t>
  </si>
  <si>
    <t>Trinity 3-15-16</t>
  </si>
  <si>
    <t>True 3/1/16</t>
  </si>
  <si>
    <t>True OG 3-15-16</t>
  </si>
  <si>
    <t>CO4248622</t>
  </si>
  <si>
    <t>Agent Orange 2.4.16</t>
  </si>
  <si>
    <t>403R-00087</t>
  </si>
  <si>
    <t>Banana Kush 2.4.16</t>
  </si>
  <si>
    <t>Big Black 2.4.16</t>
  </si>
  <si>
    <t>Blue Dream 2.4.16</t>
  </si>
  <si>
    <t>Cheese 2.4.16</t>
  </si>
  <si>
    <t>Chem 91 2.4.16</t>
  </si>
  <si>
    <t>Chocolope 2.4.16</t>
  </si>
  <si>
    <t>Dead Head 2.4.16</t>
  </si>
  <si>
    <t>Death Star 2.4.16</t>
  </si>
  <si>
    <t>82c</t>
  </si>
  <si>
    <t>Flo 2.4.16</t>
  </si>
  <si>
    <t>TYM Contamination</t>
  </si>
  <si>
    <t>Golden Goat 2.4.16</t>
  </si>
  <si>
    <t>HOG 2.4.16</t>
  </si>
  <si>
    <t>Jack Herer 2.4.16</t>
  </si>
  <si>
    <t>Jah Kush 2.4.16</t>
  </si>
  <si>
    <t>Kilowatt 2.4.16</t>
  </si>
  <si>
    <t>Levity 2.4.16</t>
  </si>
  <si>
    <t>Mob X Chem 2.4.16</t>
  </si>
  <si>
    <t>Nigerian Haze 2.4.16</t>
  </si>
  <si>
    <t>OG Kush 2.4.16</t>
  </si>
  <si>
    <t>Purple Romulan 2.4.16</t>
  </si>
  <si>
    <t>Sage N Sour 2.4.16</t>
  </si>
  <si>
    <t>Sour Diesel 2.4.16</t>
  </si>
  <si>
    <t>Super Lemon Haze 2.4.16</t>
  </si>
  <si>
    <t>CO4251323</t>
  </si>
  <si>
    <t>402-00401</t>
  </si>
  <si>
    <t>403-01583</t>
  </si>
  <si>
    <t>No Producer / Cultivator listed: sold by GT Retail, LLC dba Green Tree</t>
  </si>
  <si>
    <t>moon</t>
  </si>
  <si>
    <t>403-00610</t>
  </si>
  <si>
    <t>Room C Soils 1-12</t>
  </si>
  <si>
    <t>Total Yeast and Mold on Medical and Retail</t>
  </si>
  <si>
    <t>Room C Soils 1-13</t>
  </si>
  <si>
    <t>Table A 1st Tray 2-26</t>
  </si>
  <si>
    <t>Table A 4th Tray 12/23</t>
  </si>
  <si>
    <t>Table A Harlequin Tray 12/22</t>
  </si>
  <si>
    <t>Table A High 25 Tray 12/29</t>
  </si>
  <si>
    <t>Table A Mystery Tray 12/24</t>
  </si>
  <si>
    <t>Table A SNM 99 Tray 12/22</t>
  </si>
  <si>
    <t>sold by Kind Care of Colorado, LLC dba Kind Care of Colorado .</t>
  </si>
  <si>
    <t>Table A Tray 3 3/2</t>
  </si>
  <si>
    <t>Table A Trays 1 &amp; 2 2-27</t>
  </si>
  <si>
    <t>Table A-banana tray 12/21</t>
  </si>
  <si>
    <t>Table B First Tray 1/7</t>
  </si>
  <si>
    <t>Table B Harlequin Tray 1-6</t>
  </si>
  <si>
    <t>Table B KK 19 Tray 12/31</t>
  </si>
  <si>
    <t>Table B Last Tray 1-8</t>
  </si>
  <si>
    <t>Table B Last Tray 1-9</t>
  </si>
  <si>
    <t>Table B Mixed Tray 1-2</t>
  </si>
  <si>
    <t>Table B Mixed Tray 1-5</t>
  </si>
  <si>
    <t>Table C Tray 1,2,3,4 2-4</t>
  </si>
  <si>
    <t>Table C Tray 6 2/12</t>
  </si>
  <si>
    <t>Table C Tray 6 2/9</t>
  </si>
  <si>
    <t>Table C Tray 7 2-9</t>
  </si>
  <si>
    <t>Table C Trays 1,2,3,4 2-4</t>
  </si>
  <si>
    <t>Table C Trays 1,3,4 2-2</t>
  </si>
  <si>
    <t>Table C Trays 2,5 2-5</t>
  </si>
  <si>
    <t>produced by Tumbleweed Steamboat, LLC (doing business as RK Enterprises) .</t>
  </si>
  <si>
    <t>Table C Trays 5,7 2-6</t>
  </si>
  <si>
    <t>85b</t>
  </si>
  <si>
    <t>Table D 1st Tray SSH 1-19</t>
  </si>
  <si>
    <t>Table D 2nd Tray Mix</t>
  </si>
  <si>
    <t>Table D 3rd Tray SSH 1-19</t>
  </si>
  <si>
    <t>Table D 4th Tray SNM 99 1-20</t>
  </si>
  <si>
    <t>Table D 5th Tray Banana 1-20</t>
  </si>
  <si>
    <t>Table E 3rd Tray</t>
  </si>
  <si>
    <t>Table F 1st Tray SLH 1-26</t>
  </si>
  <si>
    <t>Table F 2nd Tray SLH 1-26</t>
  </si>
  <si>
    <t>Table F 3rd Tray SLH 1-27</t>
  </si>
  <si>
    <t>85c</t>
  </si>
  <si>
    <t>Table F 4th Tray MH #4 1-27</t>
  </si>
  <si>
    <t>Possibly Contaminated</t>
  </si>
  <si>
    <t>Table F 5th Tray SNM 99 1-28</t>
  </si>
  <si>
    <t>Table F SLH Tray 2 2/15</t>
  </si>
  <si>
    <t>Table F SNM 99 2/13</t>
  </si>
  <si>
    <t>Table F SNM 99 Tray 4 2/12</t>
  </si>
  <si>
    <t>Table F Starburst Tray 3 2/12</t>
  </si>
  <si>
    <t>Table F Tray 1 2/10</t>
  </si>
  <si>
    <t>Table F Tray 2 2/12</t>
  </si>
  <si>
    <t>Table G 12/18</t>
  </si>
  <si>
    <t>Table G 12/19</t>
  </si>
  <si>
    <t>Table G 12/22</t>
  </si>
  <si>
    <t>Table G 12-22 3015,3503</t>
  </si>
  <si>
    <t>Table G 1st Tray 12/16</t>
  </si>
  <si>
    <t>Table G 2nd Tray 12/17</t>
  </si>
  <si>
    <t>Table G 3rd Tray 12/18</t>
  </si>
  <si>
    <t>Table H 2/17</t>
  </si>
  <si>
    <t>Table H 2/18</t>
  </si>
  <si>
    <t>Table H 2/19</t>
  </si>
  <si>
    <t>Table H 2/20</t>
  </si>
  <si>
    <t>produced by P2C3, LLC (doing business as Springs Dispo)</t>
  </si>
  <si>
    <t>86b</t>
  </si>
  <si>
    <t>https://docs.google.com/document/d/1VgJQwU33My2RDaXukQ8yGG66YFAu_OSH/edit#heading=h.1fob9te</t>
  </si>
  <si>
    <t>Total Yeast and Mold Contaminated</t>
  </si>
  <si>
    <t>produced by ANGEL FARMS, LLC</t>
  </si>
  <si>
    <t>87b</t>
  </si>
  <si>
    <t>Aspergillus and Total Yeast and Mold Contaminated</t>
  </si>
  <si>
    <t>https://docs.google.com/document/d/1kiUXSn8BKV9WlDQQAOVe2se6oJ5K2fWF/edit#heading=h.1fob9te</t>
  </si>
  <si>
    <t>produced by BOONE FARMS, LLC.</t>
  </si>
  <si>
    <t>12/22 bw</t>
  </si>
  <si>
    <t>88b</t>
  </si>
  <si>
    <t>Total Yeast and Mold and Aspergillus levels</t>
  </si>
  <si>
    <t>12/23 pre</t>
  </si>
  <si>
    <t>88c</t>
  </si>
  <si>
    <t>https://drive.google.com/file/d/1e5yHNYegtpZHk-6_T6a0lbbod9VH066P/view</t>
  </si>
  <si>
    <t>2015-01-12-DRYING-H</t>
  </si>
  <si>
    <t>2015-03-26-DRYING-H</t>
  </si>
  <si>
    <t>2015-04-10-DRYING-H</t>
  </si>
  <si>
    <t>2015-07-09-DRYING-H</t>
  </si>
  <si>
    <t>2015-09-16-DRYING-H</t>
  </si>
  <si>
    <t>produced and sold by I &amp; S, LLC, dba Silver Stem Fine Cannabis.</t>
  </si>
  <si>
    <t>89b</t>
  </si>
  <si>
    <t>89c</t>
  </si>
  <si>
    <t>https://sbg.colorado.gov/sites/sbg/files/documents/240215_HSA_Melody_and_Company.docx%20%281%29.pdf</t>
  </si>
  <si>
    <t>90b</t>
  </si>
  <si>
    <t>90c</t>
  </si>
  <si>
    <t>https://sbg.colorado.gov/sites/sbg/files/240221_Range%20Street%20LLC%20Health%20and%20Safety%20Advisory_0.pdf</t>
  </si>
  <si>
    <t>produced and sold by Range Street, LLC d.b.a. Qualis Cultivation.</t>
  </si>
  <si>
    <t>91b</t>
  </si>
  <si>
    <t>CO4251324</t>
  </si>
  <si>
    <t xml:space="preserve">5-5-2016 MTF </t>
  </si>
  <si>
    <t>402-00983</t>
  </si>
  <si>
    <t>403-01549</t>
  </si>
  <si>
    <t>CO4262025</t>
  </si>
  <si>
    <t>Bloom 1 #41816 BLUE DREAM</t>
  </si>
  <si>
    <t>402-00002</t>
  </si>
  <si>
    <t>403-00003, 403-00023</t>
  </si>
  <si>
    <t>91c</t>
  </si>
  <si>
    <t>Bloom 1 #41816 BLUEBERRY</t>
  </si>
  <si>
    <t>Bloom 1 #41816 CHEESE WRECK</t>
  </si>
  <si>
    <t>Bloom 1 #41816 DRAGON</t>
  </si>
  <si>
    <t>Bloom 1 #41816 FRUIT PUNCH</t>
  </si>
  <si>
    <t>Bloom 1 #41816 GREAT WHITE SHARK</t>
  </si>
  <si>
    <t>Bloom 1 #41816 HEADCASE</t>
  </si>
  <si>
    <t>Bloom 1 #41816 ISS</t>
  </si>
  <si>
    <t>Bloom 1 #41816 SENSI STAR</t>
  </si>
  <si>
    <t>Bloom 1 #41816 SOUR MAUI</t>
  </si>
  <si>
    <t>https://drive.google.com/file/d/17r2cgzx1nZo0qrQfl7FQkYJGhtyKaTK2/view</t>
  </si>
  <si>
    <t>Bloom 2 #32716 BUBBLE GUM</t>
  </si>
  <si>
    <t>Bloom 2 #32716 DRAGON</t>
  </si>
  <si>
    <t>Bloom 2 #32716 DURBAN OG</t>
  </si>
  <si>
    <t>Total Yeast &amp; Mold and Aspergillus Contaminated</t>
  </si>
  <si>
    <t>Bloom 2 #32716 DURBAN POISON</t>
  </si>
  <si>
    <t>Bloom 2 #32716 FLO</t>
  </si>
  <si>
    <t>Bloom 2 #32716 GREAT WHITE SHARK</t>
  </si>
  <si>
    <t>Bloom 2 #32716 HEADCASE</t>
  </si>
  <si>
    <t>Bloom 2 #32716 ISLAND SWEET SKUNK</t>
  </si>
  <si>
    <t>Bloom 2 #32716 LA WOMAN</t>
  </si>
  <si>
    <t>Bloom 2 #32716 PLATNIUM KUSH</t>
  </si>
  <si>
    <t>Bloom 2 #32716 SOUR MAUI</t>
  </si>
  <si>
    <t>produced by DSA, LLC.</t>
  </si>
  <si>
    <t>Section 1&amp;4 #32616 BANANA</t>
  </si>
  <si>
    <t>Section 1&amp;4 #32616 BLACK BUBBA</t>
  </si>
  <si>
    <t>Section 1&amp;4 #32616 BLUE DREAM</t>
  </si>
  <si>
    <t>Section 1&amp;4 #32616 CHERRY PIE</t>
  </si>
  <si>
    <t>Section 1&amp;4 #32616 DURBAN 99 X GSC</t>
  </si>
  <si>
    <t>Section 1&amp;4 #32616 DURBAN POISON</t>
  </si>
  <si>
    <t>Section 1&amp;4 #32616 FLO</t>
  </si>
  <si>
    <t>Section 1&amp;4 #32616 GHOST COOKIES</t>
  </si>
  <si>
    <t>Section 1&amp;4 #32616 GIRL SCOUT COOKIES</t>
  </si>
  <si>
    <t>Section 1&amp;4 #32616 GOLDEN GOAT</t>
  </si>
  <si>
    <t>Section 1&amp;4 #32616 HAWAIIAN</t>
  </si>
  <si>
    <t>Section 1&amp;4 #32616 HEROJUANA</t>
  </si>
  <si>
    <t>Section 1&amp;4 #32616 JACK FLASH</t>
  </si>
  <si>
    <t>Section 1&amp;4 #32616 KOSHER KUSH</t>
  </si>
  <si>
    <t>Section 1&amp;4 #32616 MANGO KUSH</t>
  </si>
  <si>
    <t>Section 1&amp;4 #32616 MTF</t>
  </si>
  <si>
    <t>Section 1&amp;4 #32616 SOUR DEISEL</t>
  </si>
  <si>
    <t>Bloom 2 #32716 BANANA</t>
  </si>
  <si>
    <t>403R-00014, 403R-00015</t>
  </si>
  <si>
    <t>402R-00013</t>
  </si>
  <si>
    <t>Bloom 2 #32716 BLUEBERRY</t>
  </si>
  <si>
    <t>Bloom 2 #32716 CHEESE WRECK</t>
  </si>
  <si>
    <t>Bloom 2 #32716 GIRL SCOUT COOKIES</t>
  </si>
  <si>
    <t>Bloom 2 #32716 HEROJUANA</t>
  </si>
  <si>
    <t>Bloom 3 #32416 BANANA</t>
  </si>
  <si>
    <t>Bloom 3 #32416 BLUE DREAM</t>
  </si>
  <si>
    <t>Bloom 3 #32416 BUBBLE GUM</t>
  </si>
  <si>
    <t>Bloom 3 #32416 DURBAN OG</t>
  </si>
  <si>
    <t>Bloom 3 #32416 GHOST COOKIES</t>
  </si>
  <si>
    <t>Bloom 3 #32416 GIRL SCOUT COOKIES</t>
  </si>
  <si>
    <t>Bloom 3 #32416 HEADCASE</t>
  </si>
  <si>
    <t>Bloom 3 #32416 ISS</t>
  </si>
  <si>
    <t>Bloom 3 #32416 JACK FLASH</t>
  </si>
  <si>
    <t>Bloom 3 #32416 PLATNIUM KUSH</t>
  </si>
  <si>
    <t>Bloom 3 #32416 SOUR DIESEL</t>
  </si>
  <si>
    <t>Bloom 3 #32416 TANGERINE DREAM</t>
  </si>
  <si>
    <t>Section 1&amp;4 #32616 BUBBLE GUM</t>
  </si>
  <si>
    <t>Section 1&amp;4 #32616 DURBAN OG</t>
  </si>
  <si>
    <t xml:space="preserve">Section 1&amp;4 #32616 DURBAN </t>
  </si>
  <si>
    <t>Section 1&amp;4 #32616 FRUIT OF THE GODS</t>
  </si>
  <si>
    <t>Section 1&amp;4 #32616 HEADBAND</t>
  </si>
  <si>
    <t>Section 1&amp;4 #32616 HEADCASE</t>
  </si>
  <si>
    <t>Section 1&amp;4 #32616 LARRY OG</t>
  </si>
  <si>
    <t>Section 1&amp;4 #32616 PLATNIUM KUSH</t>
  </si>
  <si>
    <t>Section 1&amp;4 #32616 SOUR DIESEL</t>
  </si>
  <si>
    <t>Section 1&amp;4 #32616 SOUR KUSH</t>
  </si>
  <si>
    <t>Section 1&amp;4 #32616 TANGERINE DREAM</t>
  </si>
  <si>
    <t>Section 2 #41416 BANANA</t>
  </si>
  <si>
    <t>Section 2 #41416 BLACK BUBBA</t>
  </si>
  <si>
    <t>Section 2 #41416 BLUE DREAM</t>
  </si>
  <si>
    <t>Section 2 #41416 BUBBLE GUM</t>
  </si>
  <si>
    <t>Section 2 #41416 DURBAN OG</t>
  </si>
  <si>
    <t>Section 2 #41416 GIRL SCOUT COOKIES</t>
  </si>
  <si>
    <t>Section 2 #41416 HEADBAND</t>
  </si>
  <si>
    <t>Section 2 #41416 HEROJUANA</t>
  </si>
  <si>
    <t>Section 2 #41416 JACK FLASH</t>
  </si>
  <si>
    <t>Section 2 #41416 KOSHER KUSH</t>
  </si>
  <si>
    <t>Section 2 #41416 LARRY OG</t>
  </si>
  <si>
    <t>Section 2 #41416 MANGO KUSH</t>
  </si>
  <si>
    <t>Section 2 #41416 MTF</t>
  </si>
  <si>
    <t>Section 2 #41416 PLATNIUM KUSH</t>
  </si>
  <si>
    <t>Section 2 #41416 SOUR DIESEL</t>
  </si>
  <si>
    <t>Section 2 #41416 SUPER LEMON HAZE</t>
  </si>
  <si>
    <t>Section 2 #41416 TANGERINE DREAM</t>
  </si>
  <si>
    <t>CO4262026</t>
  </si>
  <si>
    <t>Room A Harvest 8/16/16</t>
  </si>
  <si>
    <t>402-00542</t>
  </si>
  <si>
    <t xml:space="preserve">403-00382 </t>
  </si>
  <si>
    <t>Room B Harvest 7/25/16</t>
  </si>
  <si>
    <t>Room C Harvest 6/21/16</t>
  </si>
  <si>
    <t>Room C Harvest 6/29/16</t>
  </si>
  <si>
    <t>CO4262627</t>
  </si>
  <si>
    <t>2016-07-29-06963 girl scout cookies (2)</t>
  </si>
  <si>
    <t>402-00484</t>
  </si>
  <si>
    <t>403-00719</t>
  </si>
  <si>
    <t>2016-08-11-07009 Critical Mass (3)</t>
  </si>
  <si>
    <t>2016-08-12-06991 Mountain Guerilla</t>
  </si>
  <si>
    <t>2016-08-12-07015 Pineapple Express B</t>
  </si>
  <si>
    <t>2016-08-12-07020 Pineapple Express B</t>
  </si>
  <si>
    <t>2016-08-12-07041 The Church</t>
  </si>
  <si>
    <t>2016-08-12-07060 Purple Haze (2)</t>
  </si>
  <si>
    <t>2016-08-13-06990 Critical Mass(3)</t>
  </si>
  <si>
    <t>2016-08-13-06998 Wappa (2)</t>
  </si>
  <si>
    <t>2016-08-13-07042 Church</t>
  </si>
  <si>
    <t>2016-08-13-07055 Wreckage (3)</t>
  </si>
  <si>
    <t>2016-08-15-07039 golden goat (2)</t>
  </si>
  <si>
    <t>2016-08-15-07118 ADHB P-SEED</t>
  </si>
  <si>
    <t>2016-08-16-07065 Alien Dog Headband (2)</t>
  </si>
  <si>
    <t>2016-08-16-07098 Girl Scout Cookies</t>
  </si>
  <si>
    <t>2016-08-16-07099 Girl Scout Cookies (3)</t>
  </si>
  <si>
    <t>2016-08-16-07101 Girl Scout Cookies (2)</t>
  </si>
  <si>
    <t>2016-08-16-07104 Girl Scout Cookies (2)</t>
  </si>
  <si>
    <t>2016-08-17-07103 Girl Scout Cookies (2)</t>
  </si>
  <si>
    <t>2016-08-17-07107 Holy Grail Kush (2)</t>
  </si>
  <si>
    <t>2016-08-17-07110 Pineapple Express A (2)</t>
  </si>
  <si>
    <t>2016-08-17-07173 Blue Dream (2)</t>
  </si>
  <si>
    <t>2016-08-18-07121 Jilly Bean (2)</t>
  </si>
  <si>
    <t>2016-08-18-07202 Jilly Bean (2)</t>
  </si>
  <si>
    <t>2016-08-18-07209 Jilly Bean (2)</t>
  </si>
  <si>
    <t>2016-08-19-06863 Pineapple Express</t>
  </si>
  <si>
    <t>2016-08-19-06894 Raw Diesel (3)</t>
  </si>
  <si>
    <t>2016-08-19-06956 Gorilla Glue (4)</t>
  </si>
  <si>
    <t>2016-08-19-07109 Pineapple Express (2)</t>
  </si>
  <si>
    <t>2016-08-19-07195 Snuffy</t>
  </si>
  <si>
    <t>2016-08-20-06995 Lemon G#13 (2)</t>
  </si>
  <si>
    <t>2016-08-20-07191 Sage B</t>
  </si>
  <si>
    <t>2016-08-20-07194 Snuffy (2)</t>
  </si>
  <si>
    <t>2016-08-20-07198 Snuffy (2)</t>
  </si>
  <si>
    <t>2016-08-21-07132 Chem Dawg # 4 (4)</t>
  </si>
  <si>
    <t>2016-08-21-07147 Mountain Guerilla (5)</t>
  </si>
  <si>
    <t>2016-08-21-07168 Watermelon Man</t>
  </si>
  <si>
    <t>2016-08-21-07201 Snuffy</t>
  </si>
  <si>
    <t>2016-08-22-06871 P. EXP.</t>
  </si>
  <si>
    <t>2016-08-22-07119 Alien Dawg Headband</t>
  </si>
  <si>
    <t>2016-08-22-07136 Chem Dawg #4</t>
  </si>
  <si>
    <t>2016-08-22-07159 LSD (2)</t>
  </si>
  <si>
    <t>2016-08-22-07175 Blue Dream (2)</t>
  </si>
  <si>
    <t>2016-08-23-06947 Jilly Bean (2)</t>
  </si>
  <si>
    <t>2016-08-23-06992 LSD (3)</t>
  </si>
  <si>
    <t>2016-08-23-07216 Maui Wowie</t>
  </si>
  <si>
    <t>2016-08-24-06816 Jilly Bean B (2)</t>
  </si>
  <si>
    <t>2016-08-24-06948 Jilly Bean B (2)</t>
  </si>
  <si>
    <t>2016-08-24-07131 Chem Dawg #4 (6)</t>
  </si>
  <si>
    <t>2016-08-24-07229 Blue Dream</t>
  </si>
  <si>
    <t>2016-08-25-06970 Chem Dawg #4 (5)</t>
  </si>
  <si>
    <t>2016-08-25-07127 Chem Dawg #4 (3)</t>
  </si>
  <si>
    <t>2016-08-25-07135 Chem Dawg #4 (4)</t>
  </si>
  <si>
    <t>2016-08-25-07172 Cindy 99 (2)</t>
  </si>
  <si>
    <t>2016-08-25-07178 The Church</t>
  </si>
  <si>
    <t>2016-08-26-06965 Critical Haze (3)</t>
  </si>
  <si>
    <t>2016-08-26-07161 LSD (2)</t>
  </si>
  <si>
    <t>2016-08-26-07177 The Church (2)</t>
  </si>
  <si>
    <t>2016-08-27-06944 Jilly Bean B</t>
  </si>
  <si>
    <t>2016-08-27-06968 Chem Dawg #4 (2)</t>
  </si>
  <si>
    <t>2016-08-27-06993 LSD</t>
  </si>
  <si>
    <t>2016-08-27-07169 Sour Diesel</t>
  </si>
  <si>
    <t>CO4262628</t>
  </si>
  <si>
    <t>RM 3 Jedi s 5/4</t>
  </si>
  <si>
    <t>402-00060</t>
  </si>
  <si>
    <t xml:space="preserve">403-00081 </t>
  </si>
  <si>
    <t>RM 3 Dali Lama 5/2</t>
  </si>
  <si>
    <t>CO4263629</t>
  </si>
  <si>
    <t>Room A 091716</t>
  </si>
  <si>
    <t>402-00492</t>
  </si>
  <si>
    <t>403-01486</t>
  </si>
  <si>
    <t>CO4263630</t>
  </si>
  <si>
    <t>Room 7 Solaris 6/23</t>
  </si>
  <si>
    <t>403R-00596</t>
  </si>
  <si>
    <t>Room 7 Robert Plant 6/23</t>
  </si>
  <si>
    <t>Room 7 Rez Sour Diesel 6/23</t>
  </si>
  <si>
    <t>Room 7 Rebel God Smoke 6/23</t>
  </si>
  <si>
    <t>Room 7 Mob Boss 6/23</t>
  </si>
  <si>
    <t>Room 7 Med Man 6/23</t>
  </si>
  <si>
    <t>Room Larry OG 6/23</t>
  </si>
  <si>
    <t>Room 7 Herijuana 6/23</t>
  </si>
  <si>
    <t>Room 7 Flo 6/23</t>
  </si>
  <si>
    <t>Room 7 Durban Posion 6/23</t>
  </si>
  <si>
    <t>Room 7 Czl 6/23</t>
  </si>
  <si>
    <t>Room 7 Bruce Banner 6/23</t>
  </si>
  <si>
    <t>Room 7 Alaskan Ice</t>
  </si>
  <si>
    <t>CO4266231</t>
  </si>
  <si>
    <t>AD 10/10</t>
  </si>
  <si>
    <t>402-00791</t>
  </si>
  <si>
    <t>403-01197</t>
  </si>
  <si>
    <t>AD 9/5</t>
  </si>
  <si>
    <t>BAN 10/3</t>
  </si>
  <si>
    <t>BAN 8/29</t>
  </si>
  <si>
    <t>Ban 8/3</t>
  </si>
  <si>
    <t>CK 10/3</t>
  </si>
  <si>
    <t>CK 9/13</t>
  </si>
  <si>
    <t>CK 9/19</t>
  </si>
  <si>
    <t>DP 9/12</t>
  </si>
  <si>
    <t>DT 6/13</t>
  </si>
  <si>
    <t>DT 9/12</t>
  </si>
  <si>
    <t>DT 9/19</t>
  </si>
  <si>
    <t>DT 9/26</t>
  </si>
  <si>
    <t>HP 10/10</t>
  </si>
  <si>
    <t>HP 10/3</t>
  </si>
  <si>
    <t>HP 9/13</t>
  </si>
  <si>
    <t>HP 9/19</t>
  </si>
  <si>
    <t>HP 9/26</t>
  </si>
  <si>
    <t>LOG 10/3</t>
  </si>
  <si>
    <t>MA 9/19</t>
  </si>
  <si>
    <t>MA 9/26</t>
  </si>
  <si>
    <t>MA 9/5</t>
  </si>
  <si>
    <t>MB 10/10</t>
  </si>
  <si>
    <t>MB 9/12</t>
  </si>
  <si>
    <t>MB 9/19</t>
  </si>
  <si>
    <t>MD 9/19</t>
  </si>
  <si>
    <t>OGK 10/3</t>
  </si>
  <si>
    <t>OGK 9/19</t>
  </si>
  <si>
    <t>SD 10/3</t>
  </si>
  <si>
    <t>SD 9/19</t>
  </si>
  <si>
    <t>SD 9/26</t>
  </si>
  <si>
    <t>CO4285132</t>
  </si>
  <si>
    <t>B11H15.041317-Headband</t>
  </si>
  <si>
    <t>402-00736</t>
  </si>
  <si>
    <t xml:space="preserve"> 403-01116</t>
  </si>
  <si>
    <t>B11H15.041317-Night Terror OG</t>
  </si>
  <si>
    <t>B11H15.041217-Citrix</t>
  </si>
  <si>
    <t>CO4285133</t>
  </si>
  <si>
    <t>403-01122</t>
  </si>
  <si>
    <t>402-00738</t>
  </si>
  <si>
    <t>CO4294034</t>
  </si>
  <si>
    <t>CT 7/11</t>
  </si>
  <si>
    <t>402-00597</t>
  </si>
  <si>
    <t>403-00892</t>
  </si>
  <si>
    <t>bd 7/11</t>
  </si>
  <si>
    <t>GH 7/11</t>
  </si>
  <si>
    <t>Glue 7/11</t>
  </si>
  <si>
    <t>sensi 7/10</t>
  </si>
  <si>
    <t>goblin 7/10</t>
  </si>
  <si>
    <t>bk 7/10</t>
  </si>
  <si>
    <t>CM 7/4</t>
  </si>
  <si>
    <t>BD 7/3</t>
  </si>
  <si>
    <t>Glue 7/3</t>
  </si>
  <si>
    <t>GH 7/3</t>
  </si>
  <si>
    <t>Grease 7/3</t>
  </si>
  <si>
    <t>SLH 7/3</t>
  </si>
  <si>
    <t>Sensi 7/3</t>
  </si>
  <si>
    <t>CO4294035</t>
  </si>
  <si>
    <t>CBD 7/12</t>
  </si>
  <si>
    <t>402-00602</t>
  </si>
  <si>
    <t>403-00899</t>
  </si>
  <si>
    <t>god 7/11</t>
  </si>
  <si>
    <t>MOB 7/11</t>
  </si>
  <si>
    <t>LY 7/10</t>
  </si>
  <si>
    <t>Chem 7/4</t>
  </si>
  <si>
    <t>Chunk 7/4</t>
  </si>
  <si>
    <t>GS 7/4</t>
  </si>
  <si>
    <t>CO4300036</t>
  </si>
  <si>
    <t>r206goldenkush9.11.17</t>
  </si>
  <si>
    <t>403R-00180</t>
  </si>
  <si>
    <t>m206larryog9.11.17</t>
  </si>
  <si>
    <t>CO4304237</t>
  </si>
  <si>
    <t>Agent Orange 9.8.17</t>
  </si>
  <si>
    <t>402-00443</t>
  </si>
  <si>
    <t>403-00664</t>
  </si>
  <si>
    <t>Blue Dream 10.16.17</t>
  </si>
  <si>
    <t>Blue Dream 10.2.17</t>
  </si>
  <si>
    <t>Blue Dream 4.8.17</t>
  </si>
  <si>
    <t>Blue Dream 8.14.17</t>
  </si>
  <si>
    <t>Blue Dream 9.1.17</t>
  </si>
  <si>
    <t>Blue Dream 9.21.17</t>
  </si>
  <si>
    <t>Blue Dream 9.8.17</t>
  </si>
  <si>
    <t>Buddah Tahoe 7.1.17</t>
  </si>
  <si>
    <t>Buddah Tahoe 8.14.17</t>
  </si>
  <si>
    <t>Cali Orange 10.2.17</t>
  </si>
  <si>
    <t>Cali Orange 5.23.17</t>
  </si>
  <si>
    <t>Cali Orange 8.1.17</t>
  </si>
  <si>
    <t>Celemntine 10.17.17</t>
  </si>
  <si>
    <t>Chewbacca 10.17.17</t>
  </si>
  <si>
    <t>Chewbacca 8.14.17</t>
  </si>
  <si>
    <t>Chewbacca 9.8.17</t>
  </si>
  <si>
    <t>Critical Mass 7.1.17</t>
  </si>
  <si>
    <t>Critical Mass 9.1.17</t>
  </si>
  <si>
    <t>Durban Poison 7.31.17</t>
  </si>
  <si>
    <t>Durban Poison 8.14.17</t>
  </si>
  <si>
    <t>Durban Poison 9.1.17</t>
  </si>
  <si>
    <t>Durban Poison 9.27.17</t>
  </si>
  <si>
    <t>Fluffhead 7.19.17</t>
  </si>
  <si>
    <t>Fruity Pebbles 7.19.17</t>
  </si>
  <si>
    <t>Fruity Pebbles 8.1.17</t>
  </si>
  <si>
    <t>ICE 9.8.17</t>
  </si>
  <si>
    <t>Lemon Diesel 3.23.17</t>
  </si>
  <si>
    <t>Lemon Diesel 9.22.17</t>
  </si>
  <si>
    <t>Lemon Diesel 9.8.17</t>
  </si>
  <si>
    <t>Nightmare Cookies 7.19.17</t>
  </si>
  <si>
    <t>Nightmare Cookies 9.8.17</t>
  </si>
  <si>
    <t>Northern Lights 10.16.17</t>
  </si>
  <si>
    <t>Northern Lights 10.2.17</t>
  </si>
  <si>
    <t>Northern Lights 7.31.17</t>
  </si>
  <si>
    <t>Northern Lights 8.14.17</t>
  </si>
  <si>
    <t>Northern Lights 9.1.17</t>
  </si>
  <si>
    <t>Pink Kush 7.19.17</t>
  </si>
  <si>
    <t>Pink Kush 8.14.17</t>
  </si>
  <si>
    <t>Pooty Tang 10.16.17</t>
  </si>
  <si>
    <t>Pooty Tang 9.1.17</t>
  </si>
  <si>
    <t>Pooty Tang 9.21.17</t>
  </si>
  <si>
    <t>Pooty Tang 9.8.17</t>
  </si>
  <si>
    <t>Purple Headband 10.2.17</t>
  </si>
  <si>
    <t>https://drive.google.com/file/d/1YHAR9H4TClbzgUXNwLn8q3uh-NAxVoG8/view</t>
  </si>
  <si>
    <t>Purple Headband 10.23.17</t>
  </si>
  <si>
    <t>Purple Headband 9.1.17</t>
  </si>
  <si>
    <t>Purple Headband 9.8.17</t>
  </si>
  <si>
    <t>Purple Urkel 7.19.17</t>
  </si>
  <si>
    <t>Purple Urkel 7.31.17</t>
  </si>
  <si>
    <t>Purple Urkel 9.1.17</t>
  </si>
  <si>
    <t>Purple VooDoo 7.31.17</t>
  </si>
  <si>
    <t>Purple VooDoo 9.1.17</t>
  </si>
  <si>
    <t>Purple VooDoo 9.21.17</t>
  </si>
  <si>
    <t>Snaxland</t>
  </si>
  <si>
    <t>Sour Kush 7.1.17</t>
  </si>
  <si>
    <t>NOCO Farm LLC,</t>
  </si>
  <si>
    <t>Sour Kush 9.1.17</t>
  </si>
  <si>
    <t>White Bubba 10.16.17</t>
  </si>
  <si>
    <t>White Bubba 7.31.17</t>
  </si>
  <si>
    <t>White Bubba 9.22.17</t>
  </si>
  <si>
    <t>White Bubba 9.8.17</t>
  </si>
  <si>
    <t>XXX Diesel 10.16.17</t>
  </si>
  <si>
    <t>XXX Diesel 10.2.17</t>
  </si>
  <si>
    <t>XXX Diesel 8.14.17</t>
  </si>
  <si>
    <t>XXX Diesel 9.8.17</t>
  </si>
  <si>
    <t>CO4305638</t>
  </si>
  <si>
    <t>R1-11-17-PT</t>
  </si>
  <si>
    <t xml:space="preserve"> 403R-00027</t>
  </si>
  <si>
    <t>R2-10-17-818</t>
  </si>
  <si>
    <t>R3-10-17-PHB</t>
  </si>
  <si>
    <t>R2-10-17-BD</t>
  </si>
  <si>
    <t>2017-09-28-Cure Room-H</t>
  </si>
  <si>
    <t>R2-9-17-KD</t>
  </si>
  <si>
    <t>R3-9-17-PHB</t>
  </si>
  <si>
    <t>R3-9-17-PV</t>
  </si>
  <si>
    <t>R3-9-17-KD</t>
  </si>
  <si>
    <t>R3-9-17-PT</t>
  </si>
  <si>
    <t>CO4306139</t>
  </si>
  <si>
    <t>GB102417</t>
  </si>
  <si>
    <t>402-00123</t>
  </si>
  <si>
    <t>https://drive.google.com/file/d/11ZQK6nVV01HHHKjuJM-_leTDFSiPbLFn/view</t>
  </si>
  <si>
    <t>403-01328</t>
  </si>
  <si>
    <t>CW102417</t>
  </si>
  <si>
    <t>WW102417</t>
  </si>
  <si>
    <t>ST102417</t>
  </si>
  <si>
    <t>MB102417</t>
  </si>
  <si>
    <t>GQ102417</t>
  </si>
  <si>
    <t>Kuma.</t>
  </si>
  <si>
    <t>GL102417</t>
  </si>
  <si>
    <t>Wild Horse Enterprises,</t>
  </si>
  <si>
    <t>CH102417</t>
  </si>
  <si>
    <t>BG102417</t>
  </si>
  <si>
    <t>TOG102417</t>
  </si>
  <si>
    <t>NY102417</t>
  </si>
  <si>
    <t>BD102417</t>
  </si>
  <si>
    <t>MB8217</t>
  </si>
  <si>
    <t>CO4312440</t>
  </si>
  <si>
    <t>404R-00198</t>
  </si>
  <si>
    <t>CO4342541</t>
  </si>
  <si>
    <t>Alegria 10/5 F1</t>
  </si>
  <si>
    <t>402-00059</t>
  </si>
  <si>
    <t>403-00080</t>
  </si>
  <si>
    <t>Alegria 6216</t>
  </si>
  <si>
    <t>Alegria 6221</t>
  </si>
  <si>
    <t>BC 10/12 F2</t>
  </si>
  <si>
    <t>BC 10/18 F2</t>
  </si>
  <si>
    <t>BC 6286</t>
  </si>
  <si>
    <t>BC 6287</t>
  </si>
  <si>
    <t>BC F1 10/22</t>
  </si>
  <si>
    <t>BD 10/20 F2</t>
  </si>
  <si>
    <t>BD 10/21 F2</t>
  </si>
  <si>
    <t>BH 10/19 F2</t>
  </si>
  <si>
    <t>BH 6329</t>
  </si>
  <si>
    <t>BH 6330</t>
  </si>
  <si>
    <t>BH 6331</t>
  </si>
  <si>
    <t>State press release</t>
  </si>
  <si>
    <t>BH 6332</t>
  </si>
  <si>
    <t>BH 6333</t>
  </si>
  <si>
    <t>BH 6334</t>
  </si>
  <si>
    <t>BH F2 10/26</t>
  </si>
  <si>
    <t>CVK 10/15 F2</t>
  </si>
  <si>
    <t>Fab 10/18 F1</t>
  </si>
  <si>
    <t>Fab 10/19 F1</t>
  </si>
  <si>
    <t>Fab 5509</t>
  </si>
  <si>
    <t>ISS 10/18 F2</t>
  </si>
  <si>
    <t>ISS 6061</t>
  </si>
  <si>
    <t>ISS 6062</t>
  </si>
  <si>
    <t>ISS 6064</t>
  </si>
  <si>
    <t>ISS 6065</t>
  </si>
  <si>
    <t>ISS 6066</t>
  </si>
  <si>
    <t>ISS 6071</t>
  </si>
  <si>
    <t>LA 10/24 F2</t>
  </si>
  <si>
    <t>LA 6300</t>
  </si>
  <si>
    <t>LA 6301</t>
  </si>
  <si>
    <t>LA 6303</t>
  </si>
  <si>
    <t>LA 6304</t>
  </si>
  <si>
    <t>LA 6305</t>
  </si>
  <si>
    <t>LA 6306</t>
  </si>
  <si>
    <t>LA 6307</t>
  </si>
  <si>
    <t>LA F2 10/24</t>
  </si>
  <si>
    <t>OG 6052</t>
  </si>
  <si>
    <t>OG 6227</t>
  </si>
  <si>
    <t>OG 6346</t>
  </si>
  <si>
    <t>OG 6347</t>
  </si>
  <si>
    <t>OG 6348</t>
  </si>
  <si>
    <t>OG 6349</t>
  </si>
  <si>
    <t>OG 6351</t>
  </si>
  <si>
    <t>OG 6352</t>
  </si>
  <si>
    <t>OG 6353</t>
  </si>
  <si>
    <t>OG 6354</t>
  </si>
  <si>
    <t>Ringo 11/8 F1</t>
  </si>
  <si>
    <t>SD 6357</t>
  </si>
  <si>
    <t>SD 6358</t>
  </si>
  <si>
    <t>SD 6359</t>
  </si>
  <si>
    <t>SD 6360</t>
  </si>
  <si>
    <t>SD 6361</t>
  </si>
  <si>
    <t>SD 6362</t>
  </si>
  <si>
    <t>SD 6363</t>
  </si>
  <si>
    <t>SD 6364</t>
  </si>
  <si>
    <t>WC 5797</t>
  </si>
  <si>
    <t>WC 6244</t>
  </si>
  <si>
    <t>WC 6245</t>
  </si>
  <si>
    <t>WC 6246</t>
  </si>
  <si>
    <t>WC 6247</t>
  </si>
  <si>
    <t>WC 6248</t>
  </si>
  <si>
    <t>WTH 10/18 F1</t>
  </si>
  <si>
    <t>WTH 10/22 F1</t>
  </si>
  <si>
    <t>WTH 10/5 F1</t>
  </si>
  <si>
    <t>Xmas 10/31 F1</t>
  </si>
  <si>
    <t>Xmas F1 10/24</t>
  </si>
  <si>
    <t>CO4343242</t>
  </si>
  <si>
    <t>#JUL2018H.M2.FLO.7.27.18</t>
  </si>
  <si>
    <t>403-00325</t>
  </si>
  <si>
    <t>#JUL2018H.M2.PK.7.27.18</t>
  </si>
  <si>
    <t>#JUN2018H.M2.DP.6.19.18</t>
  </si>
  <si>
    <t>#JUN2018H.M2.MSS.6.19.18</t>
  </si>
  <si>
    <t>#JUN2018H.M3.BBSD.6.11.18</t>
  </si>
  <si>
    <t>#JUN2018H.M3.YB.6.11.18</t>
  </si>
  <si>
    <t>CO4356643</t>
  </si>
  <si>
    <t>N2-GG030619-A</t>
  </si>
  <si>
    <t>402-00288</t>
  </si>
  <si>
    <t xml:space="preserve"> 403-00426</t>
  </si>
  <si>
    <t>N2-WW030619-A</t>
  </si>
  <si>
    <t>N2-GG040219-AR</t>
  </si>
  <si>
    <t>403R-00023</t>
  </si>
  <si>
    <t>N2-GC040219-AR</t>
  </si>
  <si>
    <t>N2-BY040219-AR</t>
  </si>
  <si>
    <t>N2-CT031919-AR</t>
  </si>
  <si>
    <t>N2-JF030619-AR</t>
  </si>
  <si>
    <t>N2-GC030619-AR</t>
  </si>
  <si>
    <t>N2-GG030619-AR</t>
  </si>
  <si>
    <t>CO4369344</t>
  </si>
  <si>
    <t>Lemon Train (07/09/19)</t>
  </si>
  <si>
    <t>402-00698</t>
  </si>
  <si>
    <t>403-01050</t>
  </si>
  <si>
    <t>King Jack (07/01/19)</t>
  </si>
  <si>
    <t>Chernobyl (07/01/19)</t>
  </si>
  <si>
    <t>Sunburn (6/28/19)</t>
  </si>
  <si>
    <t>Jesus OG (6/28/19)</t>
  </si>
  <si>
    <t>Bruce Banner (5/23/19)</t>
  </si>
  <si>
    <t xml:space="preserve">Cannabis Control Commision </t>
  </si>
  <si>
    <t>Wedding Cake (5/23/19)</t>
  </si>
  <si>
    <t>King Jack (5/21/19)</t>
  </si>
  <si>
    <t>Cookies &amp; Dream (5/21/19)</t>
  </si>
  <si>
    <t>Sour Diesel (5/13/19)</t>
  </si>
  <si>
    <t>Black Medallion (5/13/19)</t>
  </si>
  <si>
    <t>Lemon Train (05/06/19)</t>
  </si>
  <si>
    <t>Jesus OG (3/18/19)</t>
  </si>
  <si>
    <t>The Animal</t>
  </si>
  <si>
    <t>CO4369344b</t>
  </si>
  <si>
    <t>Wedding Cake (05/06/19)</t>
  </si>
  <si>
    <t>Sour Diesel (04/17/19)</t>
  </si>
  <si>
    <t>Pandora's Box (3/18/19)</t>
  </si>
  <si>
    <t>Black Medallion 3/5/19</t>
  </si>
  <si>
    <t>Deep Purple 2/5/19</t>
  </si>
  <si>
    <t>Qleaner 2/5/19</t>
  </si>
  <si>
    <t>Gorilla Glue #4 2/5/19</t>
  </si>
  <si>
    <t>Lemon Train 2/5/19</t>
  </si>
  <si>
    <t>Commerce City Kush 1/18/19</t>
  </si>
  <si>
    <t>Cotton Candy X Sour Diesel 1/2/19</t>
  </si>
  <si>
    <t>Pineapple Express 12/31/18</t>
  </si>
  <si>
    <t>Chocolopez 12/31/18</t>
  </si>
  <si>
    <t>Chocolopez (7/16/19)</t>
  </si>
  <si>
    <t>Bruce Banner (7/16/19)</t>
  </si>
  <si>
    <t>Lemon Train (7/15/19)</t>
  </si>
  <si>
    <t>Chernobyl (07/02/19)</t>
  </si>
  <si>
    <t>Jesus OG (07/01/19)</t>
  </si>
  <si>
    <t>Wedding Cake (06/28/19)</t>
  </si>
  <si>
    <t>Lemon Train (06/27/19)</t>
  </si>
  <si>
    <t>Commerce City Kush (06/26/19)</t>
  </si>
  <si>
    <t>King Jack (6/26/19)</t>
  </si>
  <si>
    <t>Chernobyl (6/26/19)</t>
  </si>
  <si>
    <t>Jesus OG (06/26/19)</t>
  </si>
  <si>
    <t>Pineapple Express (6/25/19)</t>
  </si>
  <si>
    <t>Jack The Ripper (06/25/19)</t>
  </si>
  <si>
    <t>King Jack (6/25/19)</t>
  </si>
  <si>
    <t>Lemon Train (6/4/19)</t>
  </si>
  <si>
    <t>Lemon Train (5/30/19)</t>
  </si>
  <si>
    <t>Biesel (5/24/19)</t>
  </si>
  <si>
    <t>Chernobyl (5/24/19)</t>
  </si>
  <si>
    <t>King Jack (5/23/19)</t>
  </si>
  <si>
    <t>Lemon Train (5/21/19)</t>
  </si>
  <si>
    <t>Dairy Queen (5/20/19)</t>
  </si>
  <si>
    <t>Wedding Cake (5/14/19)</t>
  </si>
  <si>
    <t>Commerce City Kush (04/17/19)</t>
  </si>
  <si>
    <t>Chocolopez (04/03/19)</t>
  </si>
  <si>
    <t>Tribal Delight (3/27/19)</t>
  </si>
  <si>
    <t>King Jack 2/26/19</t>
  </si>
  <si>
    <t>Wedding Cake (6/5/19)</t>
  </si>
  <si>
    <t>Blueberry Snow x Brutha Hood</t>
  </si>
  <si>
    <t>(5/24/19)</t>
  </si>
  <si>
    <t>Jesus OG (5/22/19)</t>
  </si>
  <si>
    <t>Sour Diesel (5/14/19)</t>
  </si>
  <si>
    <t>Jack Skellington (05/06/19)</t>
  </si>
  <si>
    <t>Jacks Cleaner (05/06/19)</t>
  </si>
  <si>
    <t>Sweetest Peach (05/06/19)</t>
  </si>
  <si>
    <t>Jack Skellington (04/30/19)</t>
  </si>
  <si>
    <t>Sunburn (04/29/19)</t>
  </si>
  <si>
    <t>Jack The Ripper (04/29/19)</t>
  </si>
  <si>
    <t>Lemon Train (04/29/19)</t>
  </si>
  <si>
    <t>Boss Hog (04/18/19)</t>
  </si>
  <si>
    <t>Cinderella 99 (04/18/19)</t>
  </si>
  <si>
    <t>Chem Thai (04/18/19)</t>
  </si>
  <si>
    <t>Jack The Ripper (04/18/19)</t>
  </si>
  <si>
    <t>Sunburn (04/18/19)</t>
  </si>
  <si>
    <t>Tangberry Blue (04/18/19)</t>
  </si>
  <si>
    <t>Boss Hog (4/17/19)</t>
  </si>
  <si>
    <t>Jack The Ripper (04/12/19)</t>
  </si>
  <si>
    <t>Ripped Bubba (04/04/19)</t>
  </si>
  <si>
    <t>Red Headed Stranger 3/5/19</t>
  </si>
  <si>
    <t>Lemon Train 2/26/19</t>
  </si>
  <si>
    <t>Agent Orange 2/26/19</t>
  </si>
  <si>
    <t>Commerce City Kush 2/26/19</t>
  </si>
  <si>
    <t>Jack the Ripper 2/26/19</t>
  </si>
  <si>
    <t>Sour Diesel 1/16/19</t>
  </si>
  <si>
    <t>Red Rocket 1/15/19</t>
  </si>
  <si>
    <t>Sour Diesel 1/15/19</t>
  </si>
  <si>
    <t>Gorilla Glue 1/15/19</t>
  </si>
  <si>
    <t>Pineapple Express 1/15/19</t>
  </si>
  <si>
    <t>Jack the Ripper #10 1/10/19</t>
  </si>
  <si>
    <t>Pre 98 Bubba 1/10/19</t>
  </si>
  <si>
    <t>Grape Inferno #1 1/10/19</t>
  </si>
  <si>
    <t>Jesus OG 1/9/19</t>
  </si>
  <si>
    <t>Agent Orange 1/9/19</t>
  </si>
  <si>
    <t>Durban Poison 1/9/19</t>
  </si>
  <si>
    <t>Grape Inferno 1/9/19</t>
  </si>
  <si>
    <t>Pre 98 Bubba</t>
  </si>
  <si>
    <t>Jack the Ripper 1/9/19</t>
  </si>
  <si>
    <t>Chernobyl 1/9/19</t>
  </si>
  <si>
    <t>Brightberry Cookies 1/8/19</t>
  </si>
  <si>
    <t>Sunburn 1/3/19</t>
  </si>
  <si>
    <t>Cotton Candy X Sour Diesel 1/3/19</t>
  </si>
  <si>
    <t>CO4379145</t>
  </si>
  <si>
    <t>Blue Dream 10/14/19</t>
  </si>
  <si>
    <t>402-00390</t>
  </si>
  <si>
    <t>403-01850</t>
  </si>
  <si>
    <t>402-01201</t>
  </si>
  <si>
    <t>N26-9LB Hammer 10/8 T4</t>
  </si>
  <si>
    <t>402-01064,</t>
  </si>
  <si>
    <t>403-01657</t>
  </si>
  <si>
    <t>402-00867,</t>
  </si>
  <si>
    <t>Super Lemon Haze 10/8/19</t>
  </si>
  <si>
    <t>402-01066</t>
  </si>
  <si>
    <t>403-01467</t>
  </si>
  <si>
    <t>GCK.F8.100719</t>
  </si>
  <si>
    <t>403R-00314</t>
  </si>
  <si>
    <t>402R-00600,</t>
  </si>
  <si>
    <t>Grape Ape – 10.17.2019.</t>
  </si>
  <si>
    <t>403R-01092</t>
  </si>
  <si>
    <t>402R-00477,</t>
  </si>
  <si>
    <t>SB-F2-101619</t>
  </si>
  <si>
    <t>403R-00373, 403R-00182</t>
  </si>
  <si>
    <t>402R-00138,</t>
  </si>
  <si>
    <t>402R-00038,</t>
  </si>
  <si>
    <t>CO4389446</t>
  </si>
  <si>
    <t>“Cannxtra Indica CXvapes” (No Batch Specified in Notice for MCT Vaporizers)</t>
  </si>
  <si>
    <t>404-00280</t>
  </si>
  <si>
    <t>“Fuehl” (No Batch Specified in Notice for MCT Vaporizers)</t>
  </si>
  <si>
    <t>404R-00196</t>
  </si>
  <si>
    <t>“Pax Pods” (No Batch Specified in Notice for MCT Vaporizers)</t>
  </si>
  <si>
    <t>404R-00008</t>
  </si>
  <si>
    <t>“Pure Oil” (No Batch Specified in Notice for MCT Vaporizers)</t>
  </si>
  <si>
    <t>404R-00003</t>
  </si>
  <si>
    <t>“Pure Vibe- All in one – Vape Pen” (No Batch Specified in Notice for MCT Vaporizers)</t>
  </si>
  <si>
    <t>404R-00219</t>
  </si>
  <si>
    <t>“Pure Vibe Vape Pen Cartridge” (No Batch Specified in Notice for MCT Vaporizers)</t>
  </si>
  <si>
    <t>“The Clear Classic” (No Batch Specified in Notice for MCT Vaporizers)</t>
  </si>
  <si>
    <t>404-00340, 404R-00073</t>
  </si>
  <si>
    <t>“The Clear Cartridge” (No Batch Specified in Notice for MCT Vaporizers)</t>
  </si>
  <si>
    <t>“The Lab” (No Batch Specified in Notice for MCT Vaporizers)</t>
  </si>
  <si>
    <t>404-00046</t>
  </si>
  <si>
    <t>“Tumbleweed Vapes” (No Batch Specified in Notice for MCT Vaporizers)</t>
  </si>
  <si>
    <t>404R-00017</t>
  </si>
  <si>
    <t>CO4402247</t>
  </si>
  <si>
    <t>BlueDream021720</t>
  </si>
  <si>
    <t>403R-00378</t>
  </si>
  <si>
    <t>MaiTaiFR11292020</t>
  </si>
  <si>
    <t>CO4406948</t>
  </si>
  <si>
    <t>ZP Batch 251</t>
  </si>
  <si>
    <t>403R-00109</t>
  </si>
  <si>
    <t>PX Batch 251</t>
  </si>
  <si>
    <t>ZP Batch 252</t>
  </si>
  <si>
    <t>KF Batch 254</t>
  </si>
  <si>
    <t>CB Batch 251</t>
  </si>
  <si>
    <t>TP Batch 251</t>
  </si>
  <si>
    <t>RC Batch 251</t>
  </si>
  <si>
    <t>GEL Batch 251</t>
  </si>
  <si>
    <t>JF Batch 254</t>
  </si>
  <si>
    <t>GB7 Batch 251</t>
  </si>
  <si>
    <t>PHB Batch 251</t>
  </si>
  <si>
    <t>CM Batch 254</t>
  </si>
  <si>
    <t>GA Batch 254</t>
  </si>
  <si>
    <t>CO4406948b</t>
  </si>
  <si>
    <t>BUB Batch 248</t>
  </si>
  <si>
    <t>MMB Batch 249</t>
  </si>
  <si>
    <t>W99 Batch 251</t>
  </si>
  <si>
    <t>GRC Batch 253</t>
  </si>
  <si>
    <t>PIN Batch 248</t>
  </si>
  <si>
    <t>PIN Batch 249</t>
  </si>
  <si>
    <t>BK Batch 251</t>
  </si>
  <si>
    <t>JF Batch 253</t>
  </si>
  <si>
    <t>BOO Batch 248</t>
  </si>
  <si>
    <t>PHB Batch 249</t>
  </si>
  <si>
    <t>FP Batch 251</t>
  </si>
  <si>
    <t>BOO Batch 253</t>
  </si>
  <si>
    <t>MMB Batch 248</t>
  </si>
  <si>
    <t>W99 Batch 249</t>
  </si>
  <si>
    <t>BC Batch 251</t>
  </si>
  <si>
    <t>PT Batch 253</t>
  </si>
  <si>
    <t>WC Batch 248</t>
  </si>
  <si>
    <t>PC Batch 249</t>
  </si>
  <si>
    <t>PS4 Batch 251</t>
  </si>
  <si>
    <t>BHB Batch 253</t>
  </si>
  <si>
    <t>BC Batch 248</t>
  </si>
  <si>
    <t>RC Batch 249</t>
  </si>
  <si>
    <t>BK Batch 252</t>
  </si>
  <si>
    <t>PHF Batch 253</t>
  </si>
  <si>
    <t>CHP Batch 248</t>
  </si>
  <si>
    <t>BMG Batch 250</t>
  </si>
  <si>
    <t>CB Batch 252</t>
  </si>
  <si>
    <t>RC Batch 253</t>
  </si>
  <si>
    <t>GRC Batch 248</t>
  </si>
  <si>
    <t>BC Batch 250</t>
  </si>
  <si>
    <t>PX Batch 252</t>
  </si>
  <si>
    <t>BK Batch 254</t>
  </si>
  <si>
    <t>FP Batch 248</t>
  </si>
  <si>
    <t>BK Batch 250</t>
  </si>
  <si>
    <t>WC Batch 252</t>
  </si>
  <si>
    <t>IG Batch 254</t>
  </si>
  <si>
    <t>IG Batch 248</t>
  </si>
  <si>
    <t>FP Batch 250</t>
  </si>
  <si>
    <t>PHF Batch 252</t>
  </si>
  <si>
    <t>SH Batch 254</t>
  </si>
  <si>
    <t>MAC Batch 248</t>
  </si>
  <si>
    <t>GEL Batch 250</t>
  </si>
  <si>
    <t>W99 Batch 252</t>
  </si>
  <si>
    <t>GRC Batch 254</t>
  </si>
  <si>
    <t>PHB Batch 248</t>
  </si>
  <si>
    <t>PHB Batch 250</t>
  </si>
  <si>
    <t>BK Batch 253</t>
  </si>
  <si>
    <t>GK Batch 254</t>
  </si>
  <si>
    <t>TP Batch 248</t>
  </si>
  <si>
    <t>TP Batch 250</t>
  </si>
  <si>
    <t>GK Batch 253</t>
  </si>
  <si>
    <t>MMB Batch 254</t>
  </si>
  <si>
    <t>BOO Batch 249</t>
  </si>
  <si>
    <t>BUB Batch 250</t>
  </si>
  <si>
    <t>TP Batch 253</t>
  </si>
  <si>
    <t>PC Batch 254</t>
  </si>
  <si>
    <t>GA Batch 249</t>
  </si>
  <si>
    <t>PX Batch 250</t>
  </si>
  <si>
    <t>SH Batch 253</t>
  </si>
  <si>
    <t>CHP Batch 254</t>
  </si>
  <si>
    <t>MAC Batch 249</t>
  </si>
  <si>
    <t>BOO Batch 250</t>
  </si>
  <si>
    <t>BMG Batch 253</t>
  </si>
  <si>
    <t>TP Batch 254</t>
  </si>
  <si>
    <t>SH Batch 249</t>
  </si>
  <si>
    <t>WC Batch 250</t>
  </si>
  <si>
    <t>BC Batch 253</t>
  </si>
  <si>
    <t>CB Batch 254</t>
  </si>
  <si>
    <t>BMG Batch 249</t>
  </si>
  <si>
    <t>PT Batch 250</t>
  </si>
  <si>
    <t>BUB Batch 253</t>
  </si>
  <si>
    <t>FP Batch 254</t>
  </si>
  <si>
    <t>BK Batch 249</t>
  </si>
  <si>
    <t>PHF Batch 250</t>
  </si>
  <si>
    <t>PX Batch 253</t>
  </si>
  <si>
    <t>BUB Batch 254</t>
  </si>
  <si>
    <t>BUB Batch 249</t>
  </si>
  <si>
    <t>IG Batch 250</t>
  </si>
  <si>
    <t>PS4 Batch 253</t>
  </si>
  <si>
    <t>PIN Batch 254</t>
  </si>
  <si>
    <t>BC Batch 249</t>
  </si>
  <si>
    <t>KTW Batch 250</t>
  </si>
  <si>
    <t>WC Batch 253</t>
  </si>
  <si>
    <t>FP Batch 249</t>
  </si>
  <si>
    <t>PHF Batch 251</t>
  </si>
  <si>
    <t>FP Batch 253</t>
  </si>
  <si>
    <t>CO4411249b</t>
  </si>
  <si>
    <t>6-18-20 Cherry Pie</t>
  </si>
  <si>
    <t>403R-00603</t>
  </si>
  <si>
    <t>6-22-20 Donatello</t>
  </si>
  <si>
    <t>6-24-20 Orange Chemsicle</t>
  </si>
  <si>
    <t>7-10-20 Skunkberry</t>
  </si>
  <si>
    <t>7-15-20 Wife</t>
  </si>
  <si>
    <t>7-3-20 Chemmiwinks</t>
  </si>
  <si>
    <t>7-3-20 Tahoe OG</t>
  </si>
  <si>
    <t>6-22-20 Emperor’s Breath</t>
  </si>
  <si>
    <t>CO4411249</t>
  </si>
  <si>
    <t>6-30-20 Cookie Confundo</t>
  </si>
  <si>
    <t>7-15-20 Orange Obliviate</t>
  </si>
  <si>
    <t>CO4414050</t>
  </si>
  <si>
    <t>GT05202020F1</t>
  </si>
  <si>
    <t>403-01905</t>
  </si>
  <si>
    <t>BAN07202020F1</t>
  </si>
  <si>
    <t>TESS07202020F1</t>
  </si>
  <si>
    <t>GM08032020F2</t>
  </si>
  <si>
    <t>CO4420451</t>
  </si>
  <si>
    <t xml:space="preserve">3H345-GRZ </t>
  </si>
  <si>
    <t>403R-00063</t>
  </si>
  <si>
    <t>4H346-BKZ</t>
  </si>
  <si>
    <t>CO4423752</t>
  </si>
  <si>
    <t>CHY259R14820230B</t>
  </si>
  <si>
    <t>404R-00012</t>
  </si>
  <si>
    <t>CO4428653</t>
  </si>
  <si>
    <t xml:space="preserve">Pie Walker #2 1/21/2021 </t>
  </si>
  <si>
    <t>403R-00123</t>
  </si>
  <si>
    <t>402R-00095</t>
  </si>
  <si>
    <t xml:space="preserve">Strawberry Fields 2/5/21 </t>
  </si>
  <si>
    <t>Nina's Web 2/4/21</t>
  </si>
  <si>
    <t>Kimbo Kush 11/17/20</t>
  </si>
  <si>
    <t>Kimbo Kush 11-17-2020</t>
  </si>
  <si>
    <t>Kimbo Kush 12/14/20</t>
  </si>
  <si>
    <t>Kimbo Kush 11/17/2020</t>
  </si>
  <si>
    <t>Kimbo Kush 11-17-20</t>
  </si>
  <si>
    <t>Pie Walker #2 1/21/21</t>
  </si>
  <si>
    <t>The Juice Man #3 2/5/21</t>
  </si>
  <si>
    <t>CO4430554</t>
  </si>
  <si>
    <t>SS 12/27</t>
  </si>
  <si>
    <t>402-01058</t>
  </si>
  <si>
    <t xml:space="preserve"> 403-01652</t>
  </si>
  <si>
    <t>OZ 12/27</t>
  </si>
  <si>
    <t>FM 12/27</t>
  </si>
  <si>
    <t>CO4430554b</t>
  </si>
  <si>
    <t>CO4448455</t>
  </si>
  <si>
    <t>Strawberry Blonde 5-10-21</t>
  </si>
  <si>
    <t>403-01604</t>
  </si>
  <si>
    <t>Agent Orange 5-21-21</t>
  </si>
  <si>
    <t>Agent Orange 6-1-21</t>
  </si>
  <si>
    <t>Durban Kush 6-1-21</t>
  </si>
  <si>
    <t>Lemon Skunk 6-1-21</t>
  </si>
  <si>
    <t>Mountain Thunder 6-1-21</t>
  </si>
  <si>
    <t>Rise N Shine 6-1-21</t>
  </si>
  <si>
    <t>Kaboom 6-1-21</t>
  </si>
  <si>
    <t>403R-00879</t>
  </si>
  <si>
    <t>CO4448455b</t>
  </si>
  <si>
    <t>Lilac Diesel 6-1-21</t>
  </si>
  <si>
    <t>CO4448455c</t>
  </si>
  <si>
    <t>Afghani 5-10-21</t>
  </si>
  <si>
    <t>State regulatory agency press release</t>
  </si>
  <si>
    <t>Blue Head OG 5-10-21</t>
  </si>
  <si>
    <t>Chemdawg 5-10-21</t>
  </si>
  <si>
    <t>East Coast Sour Diesel 5-10-21</t>
  </si>
  <si>
    <t>Golden Strawberry 5-10-21</t>
  </si>
  <si>
    <t>Lilac Diesel 5-10-21</t>
  </si>
  <si>
    <t>Rise N Shine 5-10-21</t>
  </si>
  <si>
    <t>Wedding Cake 5-10-21</t>
  </si>
  <si>
    <t>Witches Weed 5-10-21</t>
  </si>
  <si>
    <t>Glue #4 5-21-21</t>
  </si>
  <si>
    <t>Lemon Skunk 5-21-21</t>
  </si>
  <si>
    <t>Rise N Shine 5-21-21</t>
  </si>
  <si>
    <t>Sour Berry Blue 5-21-21</t>
  </si>
  <si>
    <t>Strawberry Blonde 5-21-21</t>
  </si>
  <si>
    <t>Wedding Cake 5-21-21</t>
  </si>
  <si>
    <t>Afghani 5-21-21</t>
  </si>
  <si>
    <t>Blue Head OG 5-21-21</t>
  </si>
  <si>
    <t>Blue Lemon Thai 5-21-21</t>
  </si>
  <si>
    <t>Golden Strawberry 5-21-21</t>
  </si>
  <si>
    <t>Afghani 6-1-21</t>
  </si>
  <si>
    <t>East Coast Sour Diesel 6-1-21</t>
  </si>
  <si>
    <t>Glue #4 6-1-21</t>
  </si>
  <si>
    <t>Humdinger 6-1-21</t>
  </si>
  <si>
    <t>Sour Berry Blue 6-1-21</t>
  </si>
  <si>
    <t>Space Berry 6-1-21</t>
  </si>
  <si>
    <t>Wedding Cake 6-1-21</t>
  </si>
  <si>
    <t>Witches Weed 6-1-21</t>
  </si>
  <si>
    <t>Dairy Queen 5-10-21</t>
  </si>
  <si>
    <t>Queen Mother Goji 5-10-21</t>
  </si>
  <si>
    <t>Sour Berry Blue 5-10-21</t>
  </si>
  <si>
    <t>Durban Kush 5-21-21</t>
  </si>
  <si>
    <t>Space Berry 5-21-21</t>
  </si>
  <si>
    <t>Blue Lemon Thai 6-1-21</t>
  </si>
  <si>
    <t>Jack’s Cleaner 6-1-21</t>
  </si>
  <si>
    <t>Queen Mother Goji 6-1-21</t>
  </si>
  <si>
    <t>CO4451856</t>
  </si>
  <si>
    <t>6/13/21 SD</t>
  </si>
  <si>
    <t>403-01609</t>
  </si>
  <si>
    <t>6/18/21 LDP</t>
  </si>
  <si>
    <t>8.10.21 RAZ</t>
  </si>
  <si>
    <t>8/10/21 GFS</t>
  </si>
  <si>
    <t>8/10/21 KL</t>
  </si>
  <si>
    <t>8/10/21 LAC</t>
  </si>
  <si>
    <t>8/10/21 MK</t>
  </si>
  <si>
    <t>8/10/21 SB</t>
  </si>
  <si>
    <t>8/10/21 SC</t>
  </si>
  <si>
    <t>8/10/21 SWT</t>
  </si>
  <si>
    <t>8/10/21 WR</t>
  </si>
  <si>
    <t>CO4453857</t>
  </si>
  <si>
    <t>10/18/20 Outdoor</t>
  </si>
  <si>
    <t>403R-01153</t>
  </si>
  <si>
    <t>10/19/20 Outdoor 1</t>
  </si>
  <si>
    <t>10/20/20 Outdoor 1</t>
  </si>
  <si>
    <t>10/18/20 Outdoor 3</t>
  </si>
  <si>
    <t>10/19/20 Outdoor 2</t>
  </si>
  <si>
    <t>10/25/20 Indoor</t>
  </si>
  <si>
    <t>CO4453857b</t>
  </si>
  <si>
    <t>021521-A</t>
  </si>
  <si>
    <t>021521-B</t>
  </si>
  <si>
    <t>092321LEMONOG</t>
  </si>
  <si>
    <t>34-Z</t>
  </si>
  <si>
    <t>BF002-1.1 Crude Run 1</t>
  </si>
  <si>
    <t>BF002-5DP</t>
  </si>
  <si>
    <t>CWCOMBO 10/15/21</t>
  </si>
  <si>
    <t>CWCOMBO09/15/21</t>
  </si>
  <si>
    <t>DIstillate 11-10A</t>
  </si>
  <si>
    <t>Disty 9-29</t>
  </si>
  <si>
    <t>GM-36894</t>
  </si>
  <si>
    <t>GM-46493</t>
  </si>
  <si>
    <t>GS-062421-3</t>
  </si>
  <si>
    <t>HSH - 2527</t>
  </si>
  <si>
    <t>LH030221B741</t>
  </si>
  <si>
    <t>RV007 - Crude</t>
  </si>
  <si>
    <t>RV008 - Crude</t>
  </si>
  <si>
    <t>Shake 7.30.21</t>
  </si>
  <si>
    <t>SKD1620</t>
  </si>
  <si>
    <t>TB-42553</t>
  </si>
  <si>
    <t>WW002-1 Lemon OG Haze (H)</t>
  </si>
  <si>
    <t>WW003-1 Citrus Sunrise</t>
  </si>
  <si>
    <t>WW004-1 Lemon OG Haze (SH)</t>
  </si>
  <si>
    <t>Active Gummies 4/15/21 E042</t>
  </si>
  <si>
    <t>BF002-1TT</t>
  </si>
  <si>
    <t>BF002-2TT</t>
  </si>
  <si>
    <t>BF002-2V</t>
  </si>
  <si>
    <t>BF002-3V1</t>
  </si>
  <si>
    <t>BF002-3V2</t>
  </si>
  <si>
    <t>Chill Gummies- Blue Raspberry</t>
  </si>
  <si>
    <t>HSH 6.3.21 - 2324</t>
  </si>
  <si>
    <t>Hybrid-116R</t>
  </si>
  <si>
    <t>LS185-B1</t>
  </si>
  <si>
    <t>RV007 - Distillate</t>
  </si>
  <si>
    <t>RV007 - Tails</t>
  </si>
  <si>
    <t>RV007-2</t>
  </si>
  <si>
    <t>RV007-3</t>
  </si>
  <si>
    <t>RV007-4</t>
  </si>
  <si>
    <t>RV007-5R3D1</t>
  </si>
  <si>
    <t>RV007-5R3D2</t>
  </si>
  <si>
    <t>RV007-5R3T2</t>
  </si>
  <si>
    <t>RV007-6R1D</t>
  </si>
  <si>
    <t>RV007-6R1T</t>
  </si>
  <si>
    <t>RV007-6R2D</t>
  </si>
  <si>
    <t>RV007-6R2T</t>
  </si>
  <si>
    <t>RV007-6R3D</t>
  </si>
  <si>
    <t>RV007-6R3T</t>
  </si>
  <si>
    <t>Sativa-139R</t>
  </si>
  <si>
    <t>Unscented Cream-035R</t>
  </si>
  <si>
    <t>WEED-39723</t>
  </si>
  <si>
    <t>WW003-2 OG Citrus Haze (SH)</t>
  </si>
  <si>
    <t>WW4-T2</t>
  </si>
  <si>
    <t>WW-T1</t>
  </si>
  <si>
    <t>BF Material 1</t>
  </si>
  <si>
    <t>BF002-B1</t>
  </si>
  <si>
    <t>BF002-B2</t>
  </si>
  <si>
    <t>BF002-B3</t>
  </si>
  <si>
    <t>BF002-V1</t>
  </si>
  <si>
    <t>BF003-4D3 Wedding Cake</t>
  </si>
  <si>
    <t>LS185-V1</t>
  </si>
  <si>
    <t>LS186-B1</t>
  </si>
  <si>
    <t>LS187-B1</t>
  </si>
  <si>
    <t>BF003.4D3 Wedding Cake (IH)</t>
  </si>
  <si>
    <t>LS186-V1</t>
  </si>
  <si>
    <t>LS187-B2</t>
  </si>
  <si>
    <t>LS187-D1</t>
  </si>
  <si>
    <t>LS187-D2</t>
  </si>
  <si>
    <t>RV009.1</t>
  </si>
  <si>
    <t>BF002-SS Strawberry Shortcake</t>
  </si>
  <si>
    <t>KSH005BNRV-WOG Watermelon OG</t>
  </si>
  <si>
    <t>LS187-B3</t>
  </si>
  <si>
    <t>LS187-B4</t>
  </si>
  <si>
    <t>LS187-B5</t>
  </si>
  <si>
    <t>LS187-D3</t>
  </si>
  <si>
    <t>LS187-D4</t>
  </si>
  <si>
    <t>LS187-D5</t>
  </si>
  <si>
    <t>LS188 RAW</t>
  </si>
  <si>
    <t>RV009.1 Crude</t>
  </si>
  <si>
    <t>RV009-B7</t>
  </si>
  <si>
    <t>RV009-D5</t>
  </si>
  <si>
    <t>RV009-R1D2CL Clementine</t>
  </si>
  <si>
    <t>RV009-R1D2WC Wedding Cake</t>
  </si>
  <si>
    <t>RV009-R2B1</t>
  </si>
  <si>
    <t>RV009-R2B2</t>
  </si>
  <si>
    <t>RV009-R2D1</t>
  </si>
  <si>
    <t>RV009-R2D1BM Banana Mimosa</t>
  </si>
  <si>
    <t>Page 2 of 3</t>
  </si>
  <si>
    <t>RV009-R2D1SM Strawberry Mimosa</t>
  </si>
  <si>
    <t>RV009-R2D2</t>
  </si>
  <si>
    <t>ZK005</t>
  </si>
  <si>
    <t>LS188-OS Orange Soda</t>
  </si>
  <si>
    <t>LS188-PP Purple Punch</t>
  </si>
  <si>
    <t>LS189-D6SP Sour Pebbles</t>
  </si>
  <si>
    <t>ZK005-D1BD Blueberry Donut</t>
  </si>
  <si>
    <t>ZK005-D1GC Gelato Cake</t>
  </si>
  <si>
    <t>ZK005-D1WC Wedding Cake</t>
  </si>
  <si>
    <t>Chill Gummies- Blue Raspberry 4/15/21</t>
  </si>
  <si>
    <t>E043</t>
  </si>
  <si>
    <t>unapproved testing and sampling</t>
  </si>
  <si>
    <t>CO4454458</t>
  </si>
  <si>
    <t>no Batch listed - please pull all batches</t>
  </si>
  <si>
    <t>404-00615</t>
  </si>
  <si>
    <t>404R-00338</t>
  </si>
  <si>
    <t>404R-00355</t>
  </si>
  <si>
    <t>CO4459459b</t>
  </si>
  <si>
    <t>IKP-PAP-1/13/21</t>
  </si>
  <si>
    <t xml:space="preserve">404R-00072 </t>
  </si>
  <si>
    <t>IKP-BSK-4/6/21</t>
  </si>
  <si>
    <t>IKP-PLV-4/6/21</t>
  </si>
  <si>
    <t>IKP-DSM-5/3/21</t>
  </si>
  <si>
    <t>IKP-(2021)</t>
  </si>
  <si>
    <t>IKP-PLV-6/29/21</t>
  </si>
  <si>
    <t>LSS-MAC-7/15/21</t>
  </si>
  <si>
    <t>IKP-BSK-7/26/21</t>
  </si>
  <si>
    <t>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</si>
  <si>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IKP-BSK-8/4/21</t>
  </si>
  <si>
    <t>IKP-PLV-9/9/21</t>
  </si>
  <si>
    <t>CO4459459</t>
  </si>
  <si>
    <t>CO4462060</t>
  </si>
  <si>
    <t>403R-00509</t>
  </si>
  <si>
    <t>402R-00108</t>
  </si>
  <si>
    <t>CO4463161</t>
  </si>
  <si>
    <t>GELCAK#1F35B10/18/21.0252</t>
  </si>
  <si>
    <t>403R-00252</t>
  </si>
  <si>
    <t>CO4467162</t>
  </si>
  <si>
    <t>A73 122821 BP (dry)</t>
  </si>
  <si>
    <t>403R-00250</t>
  </si>
  <si>
    <t>A73 122821 BZ (dry)</t>
  </si>
  <si>
    <t>A73 122821 EC (dry)</t>
  </si>
  <si>
    <t>A73 122821 GEL (dry)</t>
  </si>
  <si>
    <t>A73 122821 LOG (dry)</t>
  </si>
  <si>
    <t>A73 122821 MO (DRY)</t>
  </si>
  <si>
    <t>A73 122821 MSS (dry)</t>
  </si>
  <si>
    <t>A73 122821 NS (DRY)</t>
  </si>
  <si>
    <t>A73 122821 PK4 (dry)</t>
  </si>
  <si>
    <t>A73 122821 RHS (DRY)</t>
  </si>
  <si>
    <t>A73 122821 SD (dry)</t>
  </si>
  <si>
    <t>A73 122821 VG (dry)</t>
  </si>
  <si>
    <t>B74 011222 AFG - Dry</t>
  </si>
  <si>
    <t>B74 011222 BP - Dry</t>
  </si>
  <si>
    <t>B74 011222 CHW</t>
  </si>
  <si>
    <t>B74 011222 ES - Dry</t>
  </si>
  <si>
    <t>B74 011222 JF - Dry</t>
  </si>
  <si>
    <t>B74 011222 MB - Dry</t>
  </si>
  <si>
    <t>B74 011222 PPM - Dry</t>
  </si>
  <si>
    <t>B74 011222 SC - Dry</t>
  </si>
  <si>
    <t>B74 011222 SLH - Dry</t>
  </si>
  <si>
    <t>B74 011222 SMT - Dry</t>
  </si>
  <si>
    <t>B74 011222 WC - Dry</t>
  </si>
  <si>
    <t>C75 02/03/22 - AFG</t>
  </si>
  <si>
    <t>C75 02/03/22 - BC</t>
  </si>
  <si>
    <t>C75 02/03/22 - BP</t>
  </si>
  <si>
    <t>C75 02/03/22 - DD</t>
  </si>
  <si>
    <t>C75 02/03/22 - DP</t>
  </si>
  <si>
    <t>C75 02/03/22 - ES</t>
  </si>
  <si>
    <t>C75 02/03/22 - JF</t>
  </si>
  <si>
    <t>C75 02/03/22 - MO</t>
  </si>
  <si>
    <t>C75 02/03/22 - PK</t>
  </si>
  <si>
    <t>C75 02/03/22 - SC</t>
  </si>
  <si>
    <t>C75 02/03/22 - SLH</t>
  </si>
  <si>
    <t>C75 02/03/22 - SMT</t>
  </si>
  <si>
    <t>C75 02/03/22 - WC</t>
  </si>
  <si>
    <t>CO4468463</t>
  </si>
  <si>
    <t>Did not specify the store that the Medical Marijuana was purchased from or list a harvest batch; therefore, any marijuana flower (buds, shake, pre-rolled marijuana) purchased from Canna Meds Wellness Center LLC should be considered to be contaminated.</t>
  </si>
  <si>
    <t>402-00272, 402-01026</t>
  </si>
  <si>
    <t>CO4469964</t>
  </si>
  <si>
    <t>Recall expanded to include all batches from Fresh
Baked, LLC. - no batches specified</t>
  </si>
  <si>
    <t>CO4475665</t>
  </si>
  <si>
    <t>2021-09-22-Drying/Curing-H</t>
  </si>
  <si>
    <t>403R-00850</t>
  </si>
  <si>
    <t>F2.5.13.21.BZ</t>
  </si>
  <si>
    <t>F1.11.15.21.95</t>
  </si>
  <si>
    <t>F2.5.13.21.CC</t>
  </si>
  <si>
    <t>F1.11.15.21.ZK</t>
  </si>
  <si>
    <t>F2.5.13.21.CD</t>
  </si>
  <si>
    <t>F2.10.14.21.LJ</t>
  </si>
  <si>
    <t>F2.5.13.21.GC</t>
  </si>
  <si>
    <t>FLWR-GH3.BZ</t>
  </si>
  <si>
    <t>F2.5.13.21.PK</t>
  </si>
  <si>
    <t>FLWR-GH3.CC</t>
  </si>
  <si>
    <t>F2.5.13.21.RO</t>
  </si>
  <si>
    <t>FLWR-GH3.GC</t>
  </si>
  <si>
    <t>F2.5.13.21.TG</t>
  </si>
  <si>
    <t>FLWR-GH3.ZX</t>
  </si>
  <si>
    <t>F1.6.22.21.95</t>
  </si>
  <si>
    <t>GH1.11.10.21.95</t>
  </si>
  <si>
    <t>F1.6.22.21.BZ</t>
  </si>
  <si>
    <t>https://www.michigan.gov/cra/-/media/Project/Websites/cra/bulletin/health-safety/Public-Health-and-Safety-Advisory---Voluntary-Recall---SBCMI_-FINAL.pdf?rev=a8116ff5facd4c8fb0edfc3804c651f0&amp;hash=13F0C4155A6C4FE4BE2E178F68DE1A1F</t>
  </si>
  <si>
    <t>GH1.11.10.21.LJ</t>
  </si>
  <si>
    <t>F1.6.22.21.MB</t>
  </si>
  <si>
    <t>GH1.11.10.21.MB</t>
  </si>
  <si>
    <t>GH3.7.9.21.95</t>
  </si>
  <si>
    <t>GH2.10.27.21.SB</t>
  </si>
  <si>
    <t>Shango</t>
  </si>
  <si>
    <t>SBCMI, LLC</t>
  </si>
  <si>
    <t>GH3.7.9.21.BZ</t>
  </si>
  <si>
    <t>F2.1.20.21.GG4</t>
  </si>
  <si>
    <t>GH3.7.9.21.CC</t>
  </si>
  <si>
    <t>F2.1.20.21.MC</t>
  </si>
  <si>
    <t>GH3.7.9.21.CD</t>
  </si>
  <si>
    <t>https://www.michigan.gov/cra/-/media/Project/Websites/cra/bulletin/1Public-Health-an-Safety-Advisory/RecallBulletin110823FINAL.pdf?rev=ce7bc38437e94cab9f10ff967d1d4886&amp;hash=E22EA5B355923BEFA6E6E134E1052B76</t>
  </si>
  <si>
    <t>GH2.1.20.21.CC</t>
  </si>
  <si>
    <t>GH3.7.9.21.GC</t>
  </si>
  <si>
    <t>F1.2.16.21.95O</t>
  </si>
  <si>
    <t>GH3.7.9.21.LJ</t>
  </si>
  <si>
    <t>Armada Cannabis Co. Cannabis Apple Cider</t>
  </si>
  <si>
    <t>VBJG Mt. Clemens, LLC</t>
  </si>
  <si>
    <t>F1.2.16.21.BR</t>
  </si>
  <si>
    <t>GH3.7.9.21.MS</t>
  </si>
  <si>
    <t>F1.2.16.21.GG4</t>
  </si>
  <si>
    <t>GH3.7.9.21.PK</t>
  </si>
  <si>
    <t>F1.2.16.21.RC</t>
  </si>
  <si>
    <t>GH3.7.9.21.SB</t>
  </si>
  <si>
    <t>F2.3.13.21.BZ</t>
  </si>
  <si>
    <t>https://www.michigan.gov/cra/-/media/Project/Websites/cra/bulletin/1Public-Health-an-Safety-Advisory/Recall-Bulletin-112023---FINAL.pdf?rev=747ba59d2b4349bcbae99420672cf590&amp;hash=C7DEB9EBB5AF04BCD47AF8E7DD307BCA</t>
  </si>
  <si>
    <t>GH3.7.9.21.TG</t>
  </si>
  <si>
    <t>F2.3.13.21.TG</t>
  </si>
  <si>
    <t>Sweet Cheeks White Chocolate</t>
  </si>
  <si>
    <t>F2.7.22.21.MB</t>
  </si>
  <si>
    <t>F2.3.13.21.LJ</t>
  </si>
  <si>
    <t>F2.7.22.21.MC</t>
  </si>
  <si>
    <t>F2.3.13.21.SB</t>
  </si>
  <si>
    <t>F2.7.22.21.MS</t>
  </si>
  <si>
    <t>https://www.michigan.gov/cra/-/media/Project/Websites/cra/bulletin/1Public-Health-an-Safety-Advisory/Recall-Bulletin---Flavor-Galaxy---FINAL.pdf?rev=b8a5df78c4b94b47b0dc9874cd7beedc&amp;hash=AD8FF73EE3D0A44A976381C012110C63</t>
  </si>
  <si>
    <t>F1.4.19.21.95</t>
  </si>
  <si>
    <t>F1.8.27.21.MS</t>
  </si>
  <si>
    <t>Flavor Galaxy LLC (many Products)</t>
  </si>
  <si>
    <t>Flavor Galaxy LLC</t>
  </si>
  <si>
    <t>F1.4.19.21.RC</t>
  </si>
  <si>
    <t>2021-09-22-Drying/CuringH</t>
  </si>
  <si>
    <t>F1.4.19.21.ZK</t>
  </si>
  <si>
    <t>FLWR-GH3.GG</t>
  </si>
  <si>
    <t>F2.5.13.21.95</t>
  </si>
  <si>
    <t>FLWR-GH3.95</t>
  </si>
  <si>
    <t>FLWR-GH3.TG</t>
  </si>
  <si>
    <t>FLWR-GH3.MS</t>
  </si>
  <si>
    <t>FLWR-GH3.SB</t>
  </si>
  <si>
    <t>F2.10.14.21.BR</t>
  </si>
  <si>
    <t>F2.10.14.21.WC</t>
  </si>
  <si>
    <t>GH1.11.10.21.ZK</t>
  </si>
  <si>
    <t>GH2.10.27.21.MC</t>
  </si>
  <si>
    <t>GH1.11.10.21.PK</t>
  </si>
  <si>
    <t>GH1.11.10.21.BZ</t>
  </si>
  <si>
    <t>GH2.10.27.21.CC</t>
  </si>
  <si>
    <t>GH2.10.27.21.RC</t>
  </si>
  <si>
    <t>LD.12.15.21.CC</t>
  </si>
  <si>
    <t>F2.12.22.21.PT</t>
  </si>
  <si>
    <t>CO4476466</t>
  </si>
  <si>
    <t>Informational bulletin did not include batch information</t>
  </si>
  <si>
    <t>404R-00187, 404-00515</t>
  </si>
  <si>
    <t>CO4484667</t>
  </si>
  <si>
    <t>KOSH#1W1A06/14/22.0573</t>
  </si>
  <si>
    <t>403-00573</t>
  </si>
  <si>
    <t>CO4486068</t>
  </si>
  <si>
    <t>Ice Cream Cake 6/3/22</t>
  </si>
  <si>
    <t>402-01057</t>
  </si>
  <si>
    <t>403-01649</t>
  </si>
  <si>
    <t>UK Cheese 7/2/22</t>
  </si>
  <si>
    <t>Cookies 4/21/22</t>
  </si>
  <si>
    <t>Crazy Glue 3/18/22</t>
  </si>
  <si>
    <t>Mai Tai 7/2/22</t>
  </si>
  <si>
    <t>Cookies 7/2/22</t>
  </si>
  <si>
    <t>Warrens Wonder 08/08/22</t>
  </si>
  <si>
    <t>Ice Cream Cake 08/08/22</t>
  </si>
  <si>
    <t>Hollands Hope 08/08/22</t>
  </si>
  <si>
    <t>CO4486068b</t>
  </si>
  <si>
    <t>Grape 7/2/22</t>
  </si>
  <si>
    <t>Jlm 7/5/22</t>
  </si>
  <si>
    <t>The White 7/2/22</t>
  </si>
  <si>
    <t>Hollands 6/16/22</t>
  </si>
  <si>
    <t>GMO 6/16/22</t>
  </si>
  <si>
    <t>Bubba Gum Kush 6/16/22</t>
  </si>
  <si>
    <t>Star Pebbles 08/08/22</t>
  </si>
  <si>
    <t>The White 08/08/22</t>
  </si>
  <si>
    <t>Punch Breath 8/27/22</t>
  </si>
  <si>
    <t>Jim OG 08/08/22</t>
  </si>
  <si>
    <t>Mai Tai 08/08/22</t>
  </si>
  <si>
    <t>UK Cheese 8/27/22</t>
  </si>
  <si>
    <t>Blue Dream 08/08/22</t>
  </si>
  <si>
    <t>CO4486068c</t>
  </si>
  <si>
    <t>Hollands Hope 7/2/22</t>
  </si>
  <si>
    <t>Bubba 7/2/22</t>
  </si>
  <si>
    <t>Star Pebbles 7/2/22</t>
  </si>
  <si>
    <t>Warrens OG 7/2/22</t>
  </si>
  <si>
    <t>Ghost Train Haze 7/2/22</t>
  </si>
  <si>
    <t>JIm 7/2/22</t>
  </si>
  <si>
    <t>Tre Star 7/2/22</t>
  </si>
  <si>
    <t>Warrens 6/16/22</t>
  </si>
  <si>
    <t>Ice Cream Cake 6/16/22</t>
  </si>
  <si>
    <t>UK Cheese 6/16/22</t>
  </si>
  <si>
    <t>Star Pebbles 6/16/2</t>
  </si>
  <si>
    <t>2022-06-16-Harvest/Cure-H</t>
  </si>
  <si>
    <t>Cookie 6/16/22</t>
  </si>
  <si>
    <t>Snow Monster 6/3/22</t>
  </si>
  <si>
    <t>Star Pebbles 6/3/22</t>
  </si>
  <si>
    <t>Tre Star 6/3/22</t>
  </si>
  <si>
    <t>Mai Tai 6/3/22</t>
  </si>
  <si>
    <t>GMO 6/3/22</t>
  </si>
  <si>
    <t>Blue Dream 6/3/22</t>
  </si>
  <si>
    <t>Punch Breath 6/3/22</t>
  </si>
  <si>
    <t>Grape Pie 6/3/22</t>
  </si>
  <si>
    <t>Tre Star 4/21/22</t>
  </si>
  <si>
    <t>Ghost Train Haze 4/21/22</t>
  </si>
  <si>
    <t>Ice Cream Cake 4/21/22</t>
  </si>
  <si>
    <t>Killer Queen 4/21/22</t>
  </si>
  <si>
    <t>BGK 4/21/22</t>
  </si>
  <si>
    <t>Snow Monster 4/21/22</t>
  </si>
  <si>
    <t>Warrens Wonder 4/21/22</t>
  </si>
  <si>
    <t>Star Pebbles 4/7/22</t>
  </si>
  <si>
    <t>Kush Mintz 4/7/22</t>
  </si>
  <si>
    <t>Jim OG 4/7/22</t>
  </si>
  <si>
    <t>Grape Pie 4/7/22</t>
  </si>
  <si>
    <t>Tre Star 3/18/22</t>
  </si>
  <si>
    <t>ICC 3/18/22</t>
  </si>
  <si>
    <t>Star Pebbles 3/18/22</t>
  </si>
  <si>
    <t>Jim 3/18/22</t>
  </si>
  <si>
    <t>GTH 3/18/22</t>
  </si>
  <si>
    <t>Blue Dream 3/18/22</t>
  </si>
  <si>
    <t>Punch Breath 3/18/22</t>
  </si>
  <si>
    <t>Cookies 3/18/22</t>
  </si>
  <si>
    <t>Warrens Wonder OG 3/18/22</t>
  </si>
  <si>
    <t>Gorilla Breath 3/18/22</t>
  </si>
  <si>
    <t>GMO 3/18/22</t>
  </si>
  <si>
    <t>Blue Dream 2-28-22</t>
  </si>
  <si>
    <t>Star Pebbles 2.28.22</t>
  </si>
  <si>
    <t>Jim OG 2.28.22</t>
  </si>
  <si>
    <t>GTH 2-17-22</t>
  </si>
  <si>
    <t>Mac n cheese 2-17-22</t>
  </si>
  <si>
    <t>Warrens 1-26-22</t>
  </si>
  <si>
    <t>Mai Tai 1-26-22</t>
  </si>
  <si>
    <t>The White 1-26-22</t>
  </si>
  <si>
    <t>Cookies &amp; cream 1-26-22</t>
  </si>
  <si>
    <t>Tre Star 1-26-22</t>
  </si>
  <si>
    <t>Star Pebble 1-26-22</t>
  </si>
  <si>
    <t>Ice Cream Cake 1/12/22</t>
  </si>
  <si>
    <t>Hollands 1/12/22</t>
  </si>
  <si>
    <t>GMO 1/12/22</t>
  </si>
  <si>
    <t>Glueball 1/12/22</t>
  </si>
  <si>
    <t>Cookies 1/12/22</t>
  </si>
  <si>
    <t>Ghost Train Haze 1/12/22</t>
  </si>
  <si>
    <t>Kush Mintz 1/12/22</t>
  </si>
  <si>
    <t>Bubba Gum Kush 1/12/22</t>
  </si>
  <si>
    <t>Star P 1/12/22</t>
  </si>
  <si>
    <t>Gorilla Breath 1/12/22</t>
  </si>
  <si>
    <t>Tre Star 12/31/21</t>
  </si>
  <si>
    <t>Strawberry Cream 12/31/21</t>
  </si>
  <si>
    <t>Space Ghost 12/31/21</t>
  </si>
  <si>
    <t>Lime Og 12/31/21</t>
  </si>
  <si>
    <t>Lilac Diesel 12/31/21</t>
  </si>
  <si>
    <t>Honeydew 12/31/21</t>
  </si>
  <si>
    <t>Cheesy Rider 12/31/21</t>
  </si>
  <si>
    <t>Gorilla Glue #4 12/31/21</t>
  </si>
  <si>
    <t>BEK 12/31/21</t>
  </si>
  <si>
    <t>The White 12/8/21</t>
  </si>
  <si>
    <t>Mai Tai 12/8/21</t>
  </si>
  <si>
    <t>BGK 12/8/21</t>
  </si>
  <si>
    <t>BBHB 12/8/21</t>
  </si>
  <si>
    <t>Warrens Wonder Og 12/8/21</t>
  </si>
  <si>
    <t>Tre Star 12/8/21</t>
  </si>
  <si>
    <t>Snow Monster 12/8/21</t>
  </si>
  <si>
    <t>Mac &amp; Cheese 12/8/21</t>
  </si>
  <si>
    <t>Killer Queen 12/8/21</t>
  </si>
  <si>
    <t>Ice Cream Cake 12/8/21</t>
  </si>
  <si>
    <t>Gorilla Glue 12/8/21</t>
  </si>
  <si>
    <t>Lime og 12/8/21</t>
  </si>
  <si>
    <t>Crazy Glue 12/8/21</t>
  </si>
  <si>
    <t>Cookies 12/8/21</t>
  </si>
  <si>
    <t>Black eyed katie 12/8/21</t>
  </si>
  <si>
    <t>Gorilla Breath 12/8/21</t>
  </si>
  <si>
    <t>Gmo 12/8/21</t>
  </si>
  <si>
    <t>Jim og 12/8/21</t>
  </si>
  <si>
    <t>Honeydew 12/8/21</t>
  </si>
  <si>
    <t>https://ccb.nv.gov/wp-content/uploads/2024/06/Public-Safety-and-Health-Bulletin-2024-01.pdf</t>
  </si>
  <si>
    <t>Grape pie 12/8/21</t>
  </si>
  <si>
    <t>Glueball 12/8/21</t>
  </si>
  <si>
    <t>Uk Cheese 12/8/21</t>
  </si>
  <si>
    <t>Tropsanto 12/8/21</t>
  </si>
  <si>
    <t>Star Pebbles 12/8/21</t>
  </si>
  <si>
    <t>Kynd Balance Black Cherry</t>
  </si>
  <si>
    <t>Space Ghost 12/8/21</t>
  </si>
  <si>
    <t>Kynd LLC</t>
  </si>
  <si>
    <t>Lilac Diesel 12/8/21</t>
  </si>
  <si>
    <t>Kush Mintz 12/8/21</t>
  </si>
  <si>
    <t>Tre Star 11/24/21</t>
  </si>
  <si>
    <t>SNC 11/24/21</t>
  </si>
  <si>
    <t>Warrens Wonder OG 11/24/21</t>
  </si>
  <si>
    <t>The White 11/24/21</t>
  </si>
  <si>
    <t>Crazy Glue 11/24/21</t>
  </si>
  <si>
    <t>Mai Tai 11/24/21</t>
  </si>
  <si>
    <t>Grape Pie 11/24/21</t>
  </si>
  <si>
    <t>BGK 11/24/21</t>
  </si>
  <si>
    <t>Glueball 11/24/21</t>
  </si>
  <si>
    <t>Kush Mintz 11/10/21</t>
  </si>
  <si>
    <t>Warrens 11/10/21</t>
  </si>
  <si>
    <t>Uk Cheese 11/10/21</t>
  </si>
  <si>
    <t>Tropsantos 11/10/21</t>
  </si>
  <si>
    <t>Star Pebbles 11/10/21</t>
  </si>
  <si>
    <t>Tre Star 11/10/21</t>
  </si>
  <si>
    <t>SNC 11/10/21</t>
  </si>
  <si>
    <t>Snow Monster 11/10/21</t>
  </si>
  <si>
    <t>Lime OG 11/10/21</t>
  </si>
  <si>
    <t>Lilac Diesel 11/10/21</t>
  </si>
  <si>
    <t>Jim OG 11/10/21</t>
  </si>
  <si>
    <t>Hollands Hope 11/10/21</t>
  </si>
  <si>
    <t>Gorilla Glue 11/10/21</t>
  </si>
  <si>
    <t>Ghost Train Haze 11/10/21</t>
  </si>
  <si>
    <t>Ice cream Cake 11/10/21</t>
  </si>
  <si>
    <t>Gorilla Breath 11/10/21</t>
  </si>
  <si>
    <t>Cookie 11/10/21</t>
  </si>
  <si>
    <t>BBHB 11/10/21</t>
  </si>
  <si>
    <t>BGK 11/10/21</t>
  </si>
  <si>
    <t>Black eyed Katie 11/10/21</t>
  </si>
  <si>
    <t>The White 11/10/21</t>
  </si>
  <si>
    <t>Spicy disco 11/10/21</t>
  </si>
  <si>
    <t>Killer Queen 11/10/21</t>
  </si>
  <si>
    <t>GMO 11/10/21</t>
  </si>
  <si>
    <t>Crazy Glue 11/10/21</t>
  </si>
  <si>
    <t>Tropsantos 10/27/21</t>
  </si>
  <si>
    <t>Ice Cream cake 10/27/21</t>
  </si>
  <si>
    <t>Gorilla Breath 10/27/21</t>
  </si>
  <si>
    <t>Glueball 10/27/21</t>
  </si>
  <si>
    <t>Kush Mintz 10/27/21</t>
  </si>
  <si>
    <t>Lilac Diesel 10/27/21</t>
  </si>
  <si>
    <t>Gorilla Glue 10/27/21</t>
  </si>
  <si>
    <t>Cheesy Rider 10/27/21</t>
  </si>
  <si>
    <t>Tre Star 9/16/21</t>
  </si>
  <si>
    <t>https://ccb.nv.gov/wp-content/uploads/2024/07/Public-Safety-and-Health-Bulletin-2024-02.pdf</t>
  </si>
  <si>
    <t>Hollands Hope 9/16/21</t>
  </si>
  <si>
    <t>Gorilla Glue 9/16/21</t>
  </si>
  <si>
    <t>Uk Cheese 9/16/21</t>
  </si>
  <si>
    <t>warrens 9/16/21</t>
  </si>
  <si>
    <t>GMO 9/16/21</t>
  </si>
  <si>
    <t>CO4488869</t>
  </si>
  <si>
    <t>Kynd Energy Sour Green Apple (S)</t>
  </si>
  <si>
    <t>Silver Mountain 9.14.22</t>
  </si>
  <si>
    <t>403R-00287</t>
  </si>
  <si>
    <t>CO4488869b</t>
  </si>
  <si>
    <t>Afghan Peach 2.9.22</t>
  </si>
  <si>
    <t>Afghan Peach 2.16.22</t>
  </si>
  <si>
    <t>Afghan Peach 2.23.22</t>
  </si>
  <si>
    <t>Afghan Peach 6.1.2022</t>
  </si>
  <si>
    <t>Afghan Peach 6.8.2022</t>
  </si>
  <si>
    <t>Afghan Peach 7.27.22</t>
  </si>
  <si>
    <t>Afghan Peach 9.14.22</t>
  </si>
  <si>
    <t>Afghan Peach 11.3.21</t>
  </si>
  <si>
    <t>Afghan Peach 11.10.21</t>
  </si>
  <si>
    <t>Afghan Peach 11.24.21</t>
  </si>
  <si>
    <t>Artificial Red 6.8.2022</t>
  </si>
  <si>
    <t>Artificial Red 6.15.2022</t>
  </si>
  <si>
    <t>Artificial Red 9.14.22</t>
  </si>
  <si>
    <t>Black Garlic 3.23.22</t>
  </si>
  <si>
    <t>Black Garlic 4.13.2022</t>
  </si>
  <si>
    <t>Black Garlic 4.20.2022</t>
  </si>
  <si>
    <t>Black Garlic 6.1.2022</t>
  </si>
  <si>
    <t>Black Garlic 7.27.22</t>
  </si>
  <si>
    <t>Black Garlic 8.3.22</t>
  </si>
  <si>
    <t>https://ccb.nv.gov/wp-content/uploads/2024/07/Public-Safety-and-Health-Bulletin-2024-03.pdf</t>
  </si>
  <si>
    <t>Black Garlic 8.10.22</t>
  </si>
  <si>
    <t>Black Garlic 8.17.22</t>
  </si>
  <si>
    <t>Black Garlic 8.31.22</t>
  </si>
  <si>
    <t>Black Garlic 10.27.21</t>
  </si>
  <si>
    <t>Blue Dream 12.8.21</t>
  </si>
  <si>
    <t>Bruce Banner 11.10.21</t>
  </si>
  <si>
    <t>Daywrecker OG 3.30.22</t>
  </si>
  <si>
    <t>Mutliple</t>
  </si>
  <si>
    <t>Daywrecker OG 4.20.2022</t>
  </si>
  <si>
    <t>Daywrecker OG 4.27.2022</t>
  </si>
  <si>
    <t>Daywrecker OG 5.4.2022</t>
  </si>
  <si>
    <t>Daywrecker OG 5.11.2022</t>
  </si>
  <si>
    <t>Daywrecker OG 5.18.2022</t>
  </si>
  <si>
    <t>Daywrecker OG 6.29.22</t>
  </si>
  <si>
    <t>Daywrecker OG 6.8.2022</t>
  </si>
  <si>
    <t>Daywrecker OG 7.6.22</t>
  </si>
  <si>
    <t>Daywrecker OG 8.10.22</t>
  </si>
  <si>
    <t>Daywrecker OG 8.31.22</t>
  </si>
  <si>
    <t>Daywrecker OG 11.24.21</t>
  </si>
  <si>
    <t>Daywrecker OG 12.22.21</t>
  </si>
  <si>
    <t>Extreme Cream 3.30.22</t>
  </si>
  <si>
    <t>Extreme Cream 4.13.2022</t>
  </si>
  <si>
    <t>Extreme Cream 4.20.2022</t>
  </si>
  <si>
    <t>Extreme Cream 5.4.2022</t>
  </si>
  <si>
    <t>Extreme Cream 6.15.2022</t>
  </si>
  <si>
    <t>Extreme Cream 6.22.2022</t>
  </si>
  <si>
    <t>Extreme Cream 6.29.22</t>
  </si>
  <si>
    <t>Extreme Cream 7.6.22</t>
  </si>
  <si>
    <t>Extreme Cream 7.13.22</t>
  </si>
  <si>
    <t>Extreme Cream 7.20.22</t>
  </si>
  <si>
    <t>Extreme Cream 7.27.22</t>
  </si>
  <si>
    <t>Extreme Cream 8.3.22</t>
  </si>
  <si>
    <t>Extreme Cream 8.10.22</t>
  </si>
  <si>
    <t>Extreme Cream 8.17.22</t>
  </si>
  <si>
    <t>Extreme Cream 8.31.22</t>
  </si>
  <si>
    <t>Extreme Cream 12.22.21</t>
  </si>
  <si>
    <t>Falcon Berry 11.10.21</t>
  </si>
  <si>
    <t>Falcon Berry 11.24.21</t>
  </si>
  <si>
    <t>Falcon Berry 12.1.21</t>
  </si>
  <si>
    <t>Fritter Glitter 8.17.22</t>
  </si>
  <si>
    <t>Gary Poppins 8.17.22</t>
  </si>
  <si>
    <t>Golden Goat 11.24.21</t>
  </si>
  <si>
    <t>Gorilla Glue 2.9.22</t>
  </si>
  <si>
    <t>Gorilla Glue 2.16.22</t>
  </si>
  <si>
    <t>Gorilla Glue 10.27.21</t>
  </si>
  <si>
    <t>Gorilla Glue 11.24.21</t>
  </si>
  <si>
    <t>Grease Monkey 2.9.22</t>
  </si>
  <si>
    <t>Grease Monkey 2.16.22</t>
  </si>
  <si>
    <t>Grease Monkey 2.23.22</t>
  </si>
  <si>
    <t>Grease Monkey 3.2.22</t>
  </si>
  <si>
    <t>Grease Monkey 3.9.22</t>
  </si>
  <si>
    <t>Grease Monkey 4.6.2022</t>
  </si>
  <si>
    <t>https://nj.gov//cannabis/documents/Advisories/Recalls/Consumer%20Advisory%20Notice_Green%20Medicine.pdf</t>
  </si>
  <si>
    <t>Grease Monkey 4.13.2022</t>
  </si>
  <si>
    <t>Grease Monkey 4.27.2022</t>
  </si>
  <si>
    <t>Grease Monkey 5.11.2022</t>
  </si>
  <si>
    <t>Grease Monkey 5.18.2022</t>
  </si>
  <si>
    <t>Grease Monkey 6.8.2022</t>
  </si>
  <si>
    <t>Grease Monkey 8.24.22</t>
  </si>
  <si>
    <t>Grease Monkey 8.31.22</t>
  </si>
  <si>
    <t>Grease Monkey 10.13.21</t>
  </si>
  <si>
    <t>Green Joy</t>
  </si>
  <si>
    <t>Grease Monkey 10.27.21</t>
  </si>
  <si>
    <t>Green Medicine NJ</t>
  </si>
  <si>
    <t>Gummies 8.3.22</t>
  </si>
  <si>
    <t>Gummies 8.10.22</t>
  </si>
  <si>
    <t>Harlesin 2.9.22</t>
  </si>
  <si>
    <t>Harlesin 6.1.2022</t>
  </si>
  <si>
    <t>Harlesin 10.20.21</t>
  </si>
  <si>
    <t>Harlesin 10.27.21</t>
  </si>
  <si>
    <t>Harlesin 11.17.21</t>
  </si>
  <si>
    <t>Harlesin 11.24.21</t>
  </si>
  <si>
    <t>Harlesin 12.1.21</t>
  </si>
  <si>
    <t>Hype Train 5.4.2022</t>
  </si>
  <si>
    <t>Hype Train 5.11.2022</t>
  </si>
  <si>
    <t>Hype Train 5.18.2022</t>
  </si>
  <si>
    <t>Hype Train 5.25.2022</t>
  </si>
  <si>
    <t>Hype Train 6.8.2022</t>
  </si>
  <si>
    <t>Hype Train 8.17.22</t>
  </si>
  <si>
    <t>Hype Train 8.24.22</t>
  </si>
  <si>
    <t>Hype Train 8.31.22</t>
  </si>
  <si>
    <t>https://web.archive.org/web/20220617160150/https://ccd.rld.state.nm.us/wp-content/uploads/2022/03/Sacred-Garden.pdf</t>
  </si>
  <si>
    <t>Jack Frost 11.17.21</t>
  </si>
  <si>
    <t>Jack Frost 11.24.21</t>
  </si>
  <si>
    <t>Jack Frost 12.8.21</t>
  </si>
  <si>
    <t>Lemon Chem 11.10.21</t>
  </si>
  <si>
    <t>Lemon Chem 12.15.21</t>
  </si>
  <si>
    <t>Lemon OG 8.3.22</t>
  </si>
  <si>
    <t>Lemon OG 8.10.22</t>
  </si>
  <si>
    <t>Maroon Baboon 2.2.22</t>
  </si>
  <si>
    <t>Maroon Baboon 2.16.22</t>
  </si>
  <si>
    <t>Maroon Baboon 3.2.22</t>
  </si>
  <si>
    <t>Maroon Baboon 3.9.22</t>
  </si>
  <si>
    <t>Maroon Baboon 3.16.2022</t>
  </si>
  <si>
    <t>Maroon Baboon 3.30.22</t>
  </si>
  <si>
    <t>Maroon Baboon 4.13.2022</t>
  </si>
  <si>
    <t>Maroon Baboon 4.20.2022</t>
  </si>
  <si>
    <t>Maroon Baboon 5.4.2022</t>
  </si>
  <si>
    <t>Maroon Baboon 5.11.2022</t>
  </si>
  <si>
    <t>Maroon Baboon 6.1.2022</t>
  </si>
  <si>
    <t>Maroon Baboon 6.8.2022</t>
  </si>
  <si>
    <t>Maroon Baboon 7.27.22</t>
  </si>
  <si>
    <t>Maroon Baboon 8.3.22</t>
  </si>
  <si>
    <t>Maroon Baboon 9.7.22</t>
  </si>
  <si>
    <t>Maroon Baboon 12.1.21</t>
  </si>
  <si>
    <t>Maroon Baboon 12.8.21</t>
  </si>
  <si>
    <t>Miami Heat 10.27.21</t>
  </si>
  <si>
    <t>Military Chocolate 8.3.22</t>
  </si>
  <si>
    <t>Military Chocolate 8.10.22</t>
  </si>
  <si>
    <t>Military Chocolate 8.17.22</t>
  </si>
  <si>
    <t>Military Chocolate 8.24.22</t>
  </si>
  <si>
    <t>Nitro Cookies 2.9.22</t>
  </si>
  <si>
    <t>Nitro Cookies 2.23.22</t>
  </si>
  <si>
    <t>https://www.rld.nm.gov/2024/03/22/consumer-health-and-safety-advisory-cannabis-control-division-recalls-cannabis-concentrates-sold-at-got-greens/#:~:text=Products%20subject%20to%20this%20recall,Diamonds%2C%20and%20OG%20Kush%20Shatter.</t>
  </si>
  <si>
    <t>Nitro Cookies 3.9.22</t>
  </si>
  <si>
    <t>Nitro Cookies 6.1.2022</t>
  </si>
  <si>
    <t>Nitro Cookies 6.8.2022</t>
  </si>
  <si>
    <t>Nitro Cookies 6.15.2022</t>
  </si>
  <si>
    <t>Nitro Cookies 6.22.2022</t>
  </si>
  <si>
    <t>Nitro Cookies 6.29.22</t>
  </si>
  <si>
    <t>Nitro Cookies 7.13.22</t>
  </si>
  <si>
    <t>Nitro Cookies 7.20.22</t>
  </si>
  <si>
    <t>Nitro Cookies 7.27.22</t>
  </si>
  <si>
    <t>Purple Kush Live Sugar, Cali Dream Live Sugar, Jigglers Live Diamonds, and OG Kush Shatter.</t>
  </si>
  <si>
    <t>Nitro Cookies 8.3.22</t>
  </si>
  <si>
    <t>Cowboy RX, Sandia Botanicals, and Seven Clover,</t>
  </si>
  <si>
    <t>Nitro Cookies 9.7.22</t>
  </si>
  <si>
    <t>Nitro Cookies 9.14.22</t>
  </si>
  <si>
    <t>Nitro Cookies 10.27.21</t>
  </si>
  <si>
    <t>Poontang Pie 3.9.22</t>
  </si>
  <si>
    <t>Poontang Pie 3.16.2022</t>
  </si>
  <si>
    <t>Poontang Pie 3.23.22</t>
  </si>
  <si>
    <t>Poontang Pie 4.6.2022</t>
  </si>
  <si>
    <t>Poontang Pie 7.6.22</t>
  </si>
  <si>
    <t>Poontang Pie 9.7.22</t>
  </si>
  <si>
    <t>Poontang Pie 11.17.21</t>
  </si>
  <si>
    <t>Poontang Pie 12.8.21</t>
  </si>
  <si>
    <t>Purple Fire 8.3.22</t>
  </si>
  <si>
    <t>Purple Fire 8.10.22</t>
  </si>
  <si>
    <t>Rawtton 2.9.22</t>
  </si>
  <si>
    <t>Rawtton 2.16.22</t>
  </si>
  <si>
    <t>Rawtton 2.23.22</t>
  </si>
  <si>
    <t>Rawtton 3.2.22</t>
  </si>
  <si>
    <t>Rawtton 3.16.2022</t>
  </si>
  <si>
    <t>Rawtton 4.6.2022</t>
  </si>
  <si>
    <t>Rawtton 5.25.2022</t>
  </si>
  <si>
    <t>Rawtton 6.1.2022</t>
  </si>
  <si>
    <t>Rawtton 6.8.2022</t>
  </si>
  <si>
    <t>Rawtton 10.20.21</t>
  </si>
  <si>
    <t>Rawtton 11.3.21</t>
  </si>
  <si>
    <t>Silver Mountain 2.2.22</t>
  </si>
  <si>
    <t>Silver Mountain 2.23.22</t>
  </si>
  <si>
    <t>Silver Mountain 3.2.22</t>
  </si>
  <si>
    <t>Silver Mountain 3.9.22</t>
  </si>
  <si>
    <t>Silver Mountain 3.16.2022</t>
  </si>
  <si>
    <t>Silver Mountain 3.23.22</t>
  </si>
  <si>
    <t>Silver Mountain 4.6.2022</t>
  </si>
  <si>
    <t>Silver Mountain 4.13.2022</t>
  </si>
  <si>
    <t>Silver Mountain 4.20.2022</t>
  </si>
  <si>
    <t>Silver Mountain 6.8.2022</t>
  </si>
  <si>
    <t>Silver Mountain 6.22.2022</t>
  </si>
  <si>
    <t>Silver Mountain 7.13.22</t>
  </si>
  <si>
    <t>Silver Mountain 8.3.22</t>
  </si>
  <si>
    <t>Silver Mountain 8.10.22</t>
  </si>
  <si>
    <t>Silver Mountain 8.17.22</t>
  </si>
  <si>
    <t>Silver Mountain 11.10.21</t>
  </si>
  <si>
    <t>Silver Mountain 11.24.21</t>
  </si>
  <si>
    <t>Silver Mountain 12.1.21</t>
  </si>
  <si>
    <t>Silver Mountain 12.8.21</t>
  </si>
  <si>
    <t>Spritzeer 5.11.2022</t>
  </si>
  <si>
    <t>Spritzer 4.13.2022</t>
  </si>
  <si>
    <t>Spritzer 4.20.2022</t>
  </si>
  <si>
    <t>Spritzer 4.27.2022</t>
  </si>
  <si>
    <t>Spritzer 5.4.2022</t>
  </si>
  <si>
    <t>Spritzer 5.18.2022</t>
  </si>
  <si>
    <t>Spritzer 6.1.2022</t>
  </si>
  <si>
    <t>Spritzer 6.8.2022</t>
  </si>
  <si>
    <t>Spritzer 6.15.2022</t>
  </si>
  <si>
    <t>Spritzer 7.13.22</t>
  </si>
  <si>
    <t>Spritzer 7.20.22</t>
  </si>
  <si>
    <t>Spritzer 8.3.22</t>
  </si>
  <si>
    <t>Spritzer 8.31.22</t>
  </si>
  <si>
    <t>Spritzer 9.7.22</t>
  </si>
  <si>
    <t>Spritzer 10.27.21</t>
  </si>
  <si>
    <t>Spritzer 12.1.21</t>
  </si>
  <si>
    <t>Tally Man 3.30.22</t>
  </si>
  <si>
    <t>Tally Man 7.6.22</t>
  </si>
  <si>
    <t>Tally Man 7.13.22</t>
  </si>
  <si>
    <t>Tally Man 7.27.22</t>
  </si>
  <si>
    <t>Tally Man 8.31.22</t>
  </si>
  <si>
    <t>Tally Man 9.7.22</t>
  </si>
  <si>
    <t>Tally Man 12.1.21</t>
  </si>
  <si>
    <t>Tally Man 12.8.21</t>
  </si>
  <si>
    <t>Tally Mon 7.20.22</t>
  </si>
  <si>
    <t>Tangie Power 2.9.22</t>
  </si>
  <si>
    <t>Tangie Power 2.16.22</t>
  </si>
  <si>
    <t>Tangie Power 3.2.22</t>
  </si>
  <si>
    <t>Tangie Power 3.9.22</t>
  </si>
  <si>
    <t>Tangie Power 5.4.2022</t>
  </si>
  <si>
    <t>Tangie Power 5.11.2022</t>
  </si>
  <si>
    <t>Tangie Power 5.25.2022</t>
  </si>
  <si>
    <t>Tangie Power 6.8.2022</t>
  </si>
  <si>
    <t>Tangie Power 6.15.2022</t>
  </si>
  <si>
    <t>https://web.archive.org/web/20220513012729/https://medicalmarijuana.ohio.gov/documents/recalls/recall%20notices%20and%20summaries/archived%20recall%20notices/archived%20recall%20notices.pdf</t>
  </si>
  <si>
    <t>Tangie Power 6.22.2022</t>
  </si>
  <si>
    <t>Tangie Power 7.6.22</t>
  </si>
  <si>
    <t>Tangie Power 7.27.22</t>
  </si>
  <si>
    <t>Tangie Power 8.3.22</t>
  </si>
  <si>
    <t>Tangie Power 8.10.22</t>
  </si>
  <si>
    <t>Tangie Power 9.14.22</t>
  </si>
  <si>
    <t>Tangie Power 12.1.21</t>
  </si>
  <si>
    <t>Tangie Power 12.8.21</t>
  </si>
  <si>
    <t>Tangie Power 12.15.21</t>
  </si>
  <si>
    <t>Tangie Power 12.22.21</t>
  </si>
  <si>
    <t>Tarts 3.23.22</t>
  </si>
  <si>
    <t>Tarts 4.6.2022</t>
  </si>
  <si>
    <t>Tarts 6.15.2022</t>
  </si>
  <si>
    <t>Tarts 6.22.2022</t>
  </si>
  <si>
    <t>Tarts 6.29.22</t>
  </si>
  <si>
    <t>Tarts 7.6.22</t>
  </si>
  <si>
    <t>Tarts 7.13.22</t>
  </si>
  <si>
    <t>Tarts 7.20.22</t>
  </si>
  <si>
    <t>Tarts 7.27.22</t>
  </si>
  <si>
    <t>Tarts 8.3.22</t>
  </si>
  <si>
    <t>Tarts 8.10.22</t>
  </si>
  <si>
    <t>Tarts 8.31.22</t>
  </si>
  <si>
    <t>Tarts 11.10.21</t>
  </si>
  <si>
    <t>Tarts 11.17.21</t>
  </si>
  <si>
    <t>Tarts 12.8.21</t>
  </si>
  <si>
    <t>Tarts 12.15.21</t>
  </si>
  <si>
    <t>Treasure Island 6.15.2022</t>
  </si>
  <si>
    <t>Treasure Island 7.6.22</t>
  </si>
  <si>
    <t>Treasure Island 10.20.21</t>
  </si>
  <si>
    <t>Treasure Island 12.15.21</t>
  </si>
  <si>
    <t>Treasure Island 12.22.21</t>
  </si>
  <si>
    <t>White Fire Alien 2.9.22</t>
  </si>
  <si>
    <t>White Fire Alien 2.16.22</t>
  </si>
  <si>
    <t>White Fire Alien 5.18.2022</t>
  </si>
  <si>
    <t>White Fire Alien 5.25.2022</t>
  </si>
  <si>
    <t>White Fire Alien 6.8.2022</t>
  </si>
  <si>
    <t>White Fire Alien 9.7.22</t>
  </si>
  <si>
    <t>White Fire Alien 10.27.21</t>
  </si>
  <si>
    <t>White Fire Alien 11.17.21</t>
  </si>
  <si>
    <t>White Fire Alien 11.24.21</t>
  </si>
  <si>
    <t>White Fire Alien 12.1.21</t>
  </si>
  <si>
    <t>White Fire Alien 12.8.21</t>
  </si>
  <si>
    <t>CO4491070</t>
  </si>
  <si>
    <t>DurbanKush220816</t>
  </si>
  <si>
    <t>403R-01197</t>
  </si>
  <si>
    <t>SuperBoof220907</t>
  </si>
  <si>
    <t>CO4493171</t>
  </si>
  <si>
    <t>20220927-RAINBOW BELTS-H</t>
  </si>
  <si>
    <t>CO4493172</t>
  </si>
  <si>
    <t>MAC10.27.22Rita</t>
  </si>
  <si>
    <t>403-00840</t>
  </si>
  <si>
    <t>CO4493172b</t>
  </si>
  <si>
    <t>Monkey Spunk4.21.22Rita</t>
  </si>
  <si>
    <t>Cotton C Romulan8.11.22Ziggy</t>
  </si>
  <si>
    <t>Tropsanto #512.29.21Bob</t>
  </si>
  <si>
    <t>Colin OG4.7.22Ziggy</t>
  </si>
  <si>
    <t>Mandarin Sunset10.13.22Ziggy</t>
  </si>
  <si>
    <t>Golden Goat10.13.22Ziggy</t>
  </si>
  <si>
    <t>Citral Skunk11.10.22Bob</t>
  </si>
  <si>
    <t>Lilac Diesel10.13.22Ziggy</t>
  </si>
  <si>
    <t>Super Boof8.25.22Rita</t>
  </si>
  <si>
    <t>OG Bubba Kush9.22.22Damian</t>
  </si>
  <si>
    <t>Member OG5.5.22Bob</t>
  </si>
  <si>
    <t>Member OG10.13.22Ziggy</t>
  </si>
  <si>
    <t>Tropicana Banana4.21.22Rita</t>
  </si>
  <si>
    <t>Monkey Spunk9.8.22Bob</t>
  </si>
  <si>
    <t>Mandarin Cookies 4.21.22Rita</t>
  </si>
  <si>
    <t>Crescendo4.7.22Ziggy</t>
  </si>
  <si>
    <t>Rotten Rozay8.11.22Ziggy</t>
  </si>
  <si>
    <t>MAC10.13.22Ziggy</t>
  </si>
  <si>
    <t>Gelato Cake10.13.22Ziggy</t>
  </si>
  <si>
    <t>Rotten Rozay10.13.22Ziggy</t>
  </si>
  <si>
    <t>Citral Skunk9.8.22Bob</t>
  </si>
  <si>
    <t>Mandarin Cookies9.8.22Bob</t>
  </si>
  <si>
    <t>Colin OG7.21.22Damian</t>
  </si>
  <si>
    <t>Monkey Spunk10.13.22Ziggy</t>
  </si>
  <si>
    <t>Crunchberry10.13.22Ziggy</t>
  </si>
  <si>
    <t>Citral Skunk4.21.22Rita</t>
  </si>
  <si>
    <t>Lilac Diesel9.22.22Damian</t>
  </si>
  <si>
    <t>Mandarin Cookies9.22.22Damian</t>
  </si>
  <si>
    <t>Tropicana Banana8.11.22Zigg</t>
  </si>
  <si>
    <t>Golden Goat10.20.22Q1</t>
  </si>
  <si>
    <t>Rotten Rozay10.20.22Q1</t>
  </si>
  <si>
    <t>Crescendo10.20.22Q1</t>
  </si>
  <si>
    <t>Crescendo12.9.21Q1</t>
  </si>
  <si>
    <t>Tangerine Kush12.9.21Q1</t>
  </si>
  <si>
    <t>Crunchberry12.29.21Bob</t>
  </si>
  <si>
    <t>GG#410.7.21Q1</t>
  </si>
  <si>
    <t>BlueDream10.7.21Q1</t>
  </si>
  <si>
    <t>Tropicana Banana9.15.22Q3</t>
  </si>
  <si>
    <t>Crunchberry12.9.21Q1</t>
  </si>
  <si>
    <t>Sweet Purple4.14.22Q1</t>
  </si>
  <si>
    <t>CottonCRomulan12.2.21Ziggy</t>
  </si>
  <si>
    <t>King Kush12.9.21Q1</t>
  </si>
  <si>
    <t>Super Boof10.27.22Rita</t>
  </si>
  <si>
    <t>Grease Monkey6.9.22Ziggy</t>
  </si>
  <si>
    <t>MAC9.15.22Q3</t>
  </si>
  <si>
    <t>Crunchberry9.30.21Ziggy</t>
  </si>
  <si>
    <t>Bruce Banner12.9.21Q1</t>
  </si>
  <si>
    <t>Grease Monkey8.25.22Rita</t>
  </si>
  <si>
    <t>Black Fire OG4.14.22Q1</t>
  </si>
  <si>
    <t>ColinOG12.2.21Ziggy</t>
  </si>
  <si>
    <t>Bruce Banner5.26.22Q4</t>
  </si>
  <si>
    <t>Super Boof8.18.22Q1</t>
  </si>
  <si>
    <t>Crunchberry11.18.21Q4</t>
  </si>
  <si>
    <t>Lilac Diesel4.21.22Rita</t>
  </si>
  <si>
    <t>MAC3.10.22Q3</t>
  </si>
  <si>
    <t>Grease Monkey12.22.21Q2</t>
  </si>
  <si>
    <t>Tropsanto #512.9.21Q1</t>
  </si>
  <si>
    <t>Cotton C Romulan12.9.21Q1</t>
  </si>
  <si>
    <t>Crunchberry11.4.21Q3</t>
  </si>
  <si>
    <t>Page 2 of 4</t>
  </si>
  <si>
    <t>Citral Skunk12.22.21Q2</t>
  </si>
  <si>
    <t>Tropsanto #512.22.21Q2</t>
  </si>
  <si>
    <t>Mandarin Cookies 3.10.22Q3</t>
  </si>
  <si>
    <t>Blue Dream3.10.22Q3</t>
  </si>
  <si>
    <t>Grease Monkey12.9.21Q1</t>
  </si>
  <si>
    <t>Mandarin Cookies12.22.21Q2</t>
  </si>
  <si>
    <t>Super Lemon Haze01.06.22Q3</t>
  </si>
  <si>
    <t>Green Crack9.29.22Q4</t>
  </si>
  <si>
    <t>Member OG9.1.22Q2</t>
  </si>
  <si>
    <t>Lilac Diesel #224.14.22Q1</t>
  </si>
  <si>
    <t>Lilac Diesel #224.28.22Q2</t>
  </si>
  <si>
    <t>Sweet Purple3.10.22Q3</t>
  </si>
  <si>
    <t>Grease Monkey8.18.22Q1</t>
  </si>
  <si>
    <t>Mandarin Cookies9.15.22Q3</t>
  </si>
  <si>
    <t>Golden Goat12.22.21Q2</t>
  </si>
  <si>
    <t>Mandarin Sunset12.22.21Q2</t>
  </si>
  <si>
    <t>Lilac Diesel4.7.22Ziggy</t>
  </si>
  <si>
    <t>Golden Goat4.14.22Q1</t>
  </si>
  <si>
    <t>Crunchberry12.22.21Q2</t>
  </si>
  <si>
    <t>Mandarin Sunset10.20.22Q1</t>
  </si>
  <si>
    <t>Mandarin Cookies10.27.22Rita</t>
  </si>
  <si>
    <t>Cotton C Romulan3.10.22Q3</t>
  </si>
  <si>
    <t>BlackFireOG12.9.21Q1</t>
  </si>
  <si>
    <t>BruceBanner9.2.21Q3</t>
  </si>
  <si>
    <t>Colin OG6.23.22Rita</t>
  </si>
  <si>
    <t>King Kush12.22.21Q2</t>
  </si>
  <si>
    <t>Colin OG4.14.22Q1</t>
  </si>
  <si>
    <t>Crescendo8.18.22Q1</t>
  </si>
  <si>
    <t>Green Crack4.28.22Q2</t>
  </si>
  <si>
    <t>Monkey Spunk12.22.21Q2</t>
  </si>
  <si>
    <t>Garlicane8.18.22Q1</t>
  </si>
  <si>
    <t>Black Fire OG4.28.22Q2</t>
  </si>
  <si>
    <t>Monkey Spunk9.29.22Q4</t>
  </si>
  <si>
    <t>MAC10.20.22Q1</t>
  </si>
  <si>
    <t>Garlicane8.25.22Rita</t>
  </si>
  <si>
    <t>Garlicane10.20.22Q1</t>
  </si>
  <si>
    <t>Sweet Purple10.20.22Q1</t>
  </si>
  <si>
    <t>Crunchberry7.21.22Damian</t>
  </si>
  <si>
    <t>GreaseMonkey11.4.21Q3</t>
  </si>
  <si>
    <t>Grease Monkey9.29.22Q4</t>
  </si>
  <si>
    <t>Garlicane9.8.22Bob</t>
  </si>
  <si>
    <t>Lilac Diesel7.28.22Q4</t>
  </si>
  <si>
    <t>Tropicana Banana8.11.22Ziggy</t>
  </si>
  <si>
    <t>Cotton C Romulan10.20.22Q1</t>
  </si>
  <si>
    <t>Crunchberry5.26.22Q4</t>
  </si>
  <si>
    <t>CO4495373</t>
  </si>
  <si>
    <t>MAC AND PUNCH 052622F11</t>
  </si>
  <si>
    <t>403-01905, 403-00955</t>
  </si>
  <si>
    <t>403R-00309, 403R-00192</t>
  </si>
  <si>
    <t>CO4495373b</t>
  </si>
  <si>
    <t>GLTI032422F11</t>
  </si>
  <si>
    <t>APPLE FRITTER 7722F7</t>
  </si>
  <si>
    <t>CO4495373d</t>
  </si>
  <si>
    <t>GA021022F7</t>
  </si>
  <si>
    <t>CO4495373c</t>
  </si>
  <si>
    <t>2020-10-05-Drying</t>
  </si>
  <si>
    <t>Room-H</t>
  </si>
  <si>
    <t>AF012722F12</t>
  </si>
  <si>
    <t>AF022422</t>
  </si>
  <si>
    <t>AF031022F5</t>
  </si>
  <si>
    <t>AF042122F1</t>
  </si>
  <si>
    <t>AF051222F5</t>
  </si>
  <si>
    <t>AF06032021F1</t>
  </si>
  <si>
    <t>AF06102021F5</t>
  </si>
  <si>
    <t>AF07262021F3</t>
  </si>
  <si>
    <t>AF080521F7</t>
  </si>
  <si>
    <t>AF081122F4</t>
  </si>
  <si>
    <t>AF081221F5</t>
  </si>
  <si>
    <t>AF09132021F1</t>
  </si>
  <si>
    <t>AF09272021</t>
  </si>
  <si>
    <t>AF101421F5</t>
  </si>
  <si>
    <t>AF110421F5</t>
  </si>
  <si>
    <t>AF111821F3</t>
  </si>
  <si>
    <t>AF120921F7</t>
  </si>
  <si>
    <t>AF121621F5</t>
  </si>
  <si>
    <t>AF122321F10</t>
  </si>
  <si>
    <t>AG03042020F4</t>
  </si>
  <si>
    <t>Total Yeast And Mold</t>
  </si>
  <si>
    <t>AG04272020F3</t>
  </si>
  <si>
    <t>AG05112020F4</t>
  </si>
  <si>
    <t>APPLE FRITTER 050622</t>
  </si>
  <si>
    <t>F7</t>
  </si>
  <si>
    <t>APPLE FRITTER 050722</t>
  </si>
  <si>
    <t>APPLE FRITTER</t>
  </si>
  <si>
    <t>062322F10</t>
  </si>
  <si>
    <t>42922F12</t>
  </si>
  <si>
    <t>63022F12</t>
  </si>
  <si>
    <t>72122F5</t>
  </si>
  <si>
    <t>https://www.wfmj.com/story/50287035/ohio-medical-marijuana-control-program-recalls-edible-medical-marijuana-products</t>
  </si>
  <si>
    <t>81822F10</t>
  </si>
  <si>
    <t>AR1202F3</t>
  </si>
  <si>
    <t>AT03042020F4</t>
  </si>
  <si>
    <t>AT03172020F1</t>
  </si>
  <si>
    <t>AT06022020F2</t>
  </si>
  <si>
    <t>AT10202020F5</t>
  </si>
  <si>
    <t>BAN 12212020F5</t>
  </si>
  <si>
    <t>BAN02042020F5</t>
  </si>
  <si>
    <t>BAN03042020F4</t>
  </si>
  <si>
    <t>BAN05112020F4</t>
  </si>
  <si>
    <t>BAN08172020F5</t>
  </si>
  <si>
    <t>BAN10202020F5</t>
  </si>
  <si>
    <t>BD020322F4</t>
  </si>
  <si>
    <t>Smokiez Sweet Tropical Fruit Gummies</t>
  </si>
  <si>
    <t>BD04042022</t>
  </si>
  <si>
    <t>BeneLeaves Limited</t>
  </si>
  <si>
    <t>BD040722F4</t>
  </si>
  <si>
    <t>BD05242021F3</t>
  </si>
  <si>
    <t>BD07152021F3</t>
  </si>
  <si>
    <t>BD07262021F3</t>
  </si>
  <si>
    <t>BD080521F7</t>
  </si>
  <si>
    <t>BD081221F5</t>
  </si>
  <si>
    <t>BD091621F3</t>
  </si>
  <si>
    <t>BD110421F5</t>
  </si>
  <si>
    <t>BD111821F3</t>
  </si>
  <si>
    <t>BD120221F3</t>
  </si>
  <si>
    <t>BD120921F7</t>
  </si>
  <si>
    <t>BD121621F5</t>
  </si>
  <si>
    <t>BD12212020F5</t>
  </si>
  <si>
    <t>BD122321F2</t>
  </si>
  <si>
    <t>BLU01212020F2</t>
  </si>
  <si>
    <t>BLU01242020F2</t>
  </si>
  <si>
    <t>BLU02182020F3</t>
  </si>
  <si>
    <t>BLU07012020F3</t>
  </si>
  <si>
    <t>BLU10052020f2</t>
  </si>
  <si>
    <t>BLU10202020F5</t>
  </si>
  <si>
    <t>BLU12072020F2</t>
  </si>
  <si>
    <t>BLUE RAZZICLE</t>
  </si>
  <si>
    <t>061622F4</t>
  </si>
  <si>
    <t>CAP020322F4</t>
  </si>
  <si>
    <t>CAP021022F1</t>
  </si>
  <si>
    <t>CAP100121F4</t>
  </si>
  <si>
    <t>CB120921F7</t>
  </si>
  <si>
    <t>CD122721F2</t>
  </si>
  <si>
    <t>CHD010622F5</t>
  </si>
  <si>
    <t>CHD042122F1</t>
  </si>
  <si>
    <t>CHD051222F5</t>
  </si>
  <si>
    <t>CHD080521F1</t>
  </si>
  <si>
    <t>CHD08092021F4</t>
  </si>
  <si>
    <t>CHD120221F4</t>
  </si>
  <si>
    <t>CHD120921F1</t>
  </si>
  <si>
    <t>CHD122321F2</t>
  </si>
  <si>
    <t>CK02042020F5</t>
  </si>
  <si>
    <t>CK03042020F4</t>
  </si>
  <si>
    <t>CK03252020F2</t>
  </si>
  <si>
    <t>CON01142020F4</t>
  </si>
  <si>
    <t>CON032020F3</t>
  </si>
  <si>
    <t>CON04072020F2</t>
  </si>
  <si>
    <t>CRC120921F7</t>
  </si>
  <si>
    <t>CREAMSIZZLE</t>
  </si>
  <si>
    <t>DDGP071822F1</t>
  </si>
  <si>
    <t>DEVIL DRIVER</t>
  </si>
  <si>
    <t>DOG PATCH 72822F11</t>
  </si>
  <si>
    <t>DOG PATCH 81822F10</t>
  </si>
  <si>
    <t>DS051222F5</t>
  </si>
  <si>
    <t>DS07012021F5</t>
  </si>
  <si>
    <t>DS080521F1</t>
  </si>
  <si>
    <t>DS10252021F2</t>
  </si>
  <si>
    <t>DS112921F3</t>
  </si>
  <si>
    <t>DSD03252021F4</t>
  </si>
  <si>
    <t>DSI042822F2</t>
  </si>
  <si>
    <t>DSI110421F5</t>
  </si>
  <si>
    <t>DSI111821F3</t>
  </si>
  <si>
    <t>GA030722</t>
  </si>
  <si>
    <t>GA090221F5</t>
  </si>
  <si>
    <t>GAR03252021F4</t>
  </si>
  <si>
    <t>GEL01042021F3</t>
  </si>
  <si>
    <t>GEL01062021F7</t>
  </si>
  <si>
    <t>GEL01222021F3</t>
  </si>
  <si>
    <t>GEL02042021F5</t>
  </si>
  <si>
    <t>GEL02082021F4</t>
  </si>
  <si>
    <t>GEL021022F7</t>
  </si>
  <si>
    <t>GEL02252021F8</t>
  </si>
  <si>
    <t>GEL03082021F1</t>
  </si>
  <si>
    <t>GEL03112021F3</t>
  </si>
  <si>
    <t>GEL04082021F5</t>
  </si>
  <si>
    <t>GEL04162021F10</t>
  </si>
  <si>
    <t>GEL051222F5</t>
  </si>
  <si>
    <t>GEL05242021F3</t>
  </si>
  <si>
    <t>GEL06102021F5</t>
  </si>
  <si>
    <t>GEL07152021F3</t>
  </si>
  <si>
    <t>GEL081921F10</t>
  </si>
  <si>
    <t>GEL10022020F4</t>
  </si>
  <si>
    <t>GEL10082021F7</t>
  </si>
  <si>
    <t>GEL10142020F7</t>
  </si>
  <si>
    <t>GEL11042020F5</t>
  </si>
  <si>
    <t>GEL111821F3</t>
  </si>
  <si>
    <t>https://oklahoma.gov/omma/embargoed-and-recalled-products/product-recall-nov-3-2023.html#recall-product-and-business-list</t>
  </si>
  <si>
    <t>GEL11202020F3</t>
  </si>
  <si>
    <t>GEL11252020F9</t>
  </si>
  <si>
    <t>GEL12182020F2</t>
  </si>
  <si>
    <t>GELLO 050622 F7</t>
  </si>
  <si>
    <t>GELLO 051922F5</t>
  </si>
  <si>
    <t>GG010622F5</t>
  </si>
  <si>
    <t>GG01142020F4</t>
  </si>
  <si>
    <t>GG02222021F2</t>
  </si>
  <si>
    <t>GG04162021F10</t>
  </si>
  <si>
    <t>GG04212020F1</t>
  </si>
  <si>
    <t>GG04292021F5</t>
  </si>
  <si>
    <t>GG05102021F1</t>
  </si>
  <si>
    <t>GG05272021F4</t>
  </si>
  <si>
    <t>GG06032021F7</t>
  </si>
  <si>
    <t>GG06092021F4</t>
  </si>
  <si>
    <t>GG06172021F10FF</t>
  </si>
  <si>
    <t>GG111521F1</t>
  </si>
  <si>
    <t>GG120921F7</t>
  </si>
  <si>
    <t>GG121621F5</t>
  </si>
  <si>
    <t>GG12312020F1</t>
  </si>
  <si>
    <t>GG402082021F4</t>
  </si>
  <si>
    <t>GG405072020F3</t>
  </si>
  <si>
    <t>GG405272020F4</t>
  </si>
  <si>
    <t>GG406112020F2</t>
  </si>
  <si>
    <t>GG407012020F3</t>
  </si>
  <si>
    <t>GG407302020F4</t>
  </si>
  <si>
    <t>GG408132020F2</t>
  </si>
  <si>
    <t>GG408272020F1</t>
  </si>
  <si>
    <t>GG409142020F4</t>
  </si>
  <si>
    <t>GG410022020F4</t>
  </si>
  <si>
    <t>https://oklahoma.gov/omma/embargoed-and-recalled-products/product-recall-june-10-2024.html</t>
  </si>
  <si>
    <t>GG410302020F1</t>
  </si>
  <si>
    <t>GG411162020F4</t>
  </si>
  <si>
    <t>GG412182020F2</t>
  </si>
  <si>
    <t>GGG11022020F3</t>
  </si>
  <si>
    <t>GLT02042021F5</t>
  </si>
  <si>
    <t>GLT04012021F7</t>
  </si>
  <si>
    <t>GLT04022021F1</t>
  </si>
  <si>
    <t>GLT040722F4</t>
  </si>
  <si>
    <t>Graves Farm Organics LLC</t>
  </si>
  <si>
    <t>GLT051222F5</t>
  </si>
  <si>
    <t>GLT09182020F3</t>
  </si>
  <si>
    <t>GLT093021F3</t>
  </si>
  <si>
    <t>GLT10142020F7</t>
  </si>
  <si>
    <t>GLT11042020F5</t>
  </si>
  <si>
    <t>GLTI01042021F3</t>
  </si>
  <si>
    <t>GLTI02252021F8</t>
  </si>
  <si>
    <t>GLTI05092022F2</t>
  </si>
  <si>
    <t>GLTI05132021F3</t>
  </si>
  <si>
    <t>GLTI06032021F7</t>
  </si>
  <si>
    <t>GLTI081921F10</t>
  </si>
  <si>
    <t>GLTI101421F5</t>
  </si>
  <si>
    <t>GM010622F5</t>
  </si>
  <si>
    <t>GM012022F3</t>
  </si>
  <si>
    <t>GM020322F4</t>
  </si>
  <si>
    <t>GM022422F2</t>
  </si>
  <si>
    <t>GM03042020F4</t>
  </si>
  <si>
    <t>GM04152021F2</t>
  </si>
  <si>
    <t>GM05202020F1</t>
  </si>
  <si>
    <t>GM05242021F3</t>
  </si>
  <si>
    <t>GM062322F1</t>
  </si>
  <si>
    <t>GM071422F5</t>
  </si>
  <si>
    <t>GM081221F5</t>
  </si>
  <si>
    <t>https://web.archive.org/web/20170326224431/https://www.oregon.gov/olcc/Docs/news/news_releases/2017/nr_03_18_17_Emerald_Wave_recall.pdf</t>
  </si>
  <si>
    <t>GM090221F5</t>
  </si>
  <si>
    <t>GM100121F4</t>
  </si>
  <si>
    <t>GM101421F5</t>
  </si>
  <si>
    <t>GM10202020F5</t>
  </si>
  <si>
    <t>GM121621F5</t>
  </si>
  <si>
    <t>GM12212020F5</t>
  </si>
  <si>
    <t>GMO COOKIES</t>
  </si>
  <si>
    <t>GMO COOKIES 72122F5</t>
  </si>
  <si>
    <t>GMO01062021F7</t>
  </si>
  <si>
    <t>GMO01182021F7</t>
  </si>
  <si>
    <t>GMO02042021F5</t>
  </si>
  <si>
    <t>GMO02112020F1</t>
  </si>
  <si>
    <t>GMO03252020F4</t>
  </si>
  <si>
    <t>GMO04012021F7</t>
  </si>
  <si>
    <t>GMO04082021F5</t>
  </si>
  <si>
    <t>GMO04132020F5</t>
  </si>
  <si>
    <t>GMO04162021F10</t>
  </si>
  <si>
    <t>GMO04212020F1</t>
  </si>
  <si>
    <t>GMO04272020F3</t>
  </si>
  <si>
    <t>GMO04292021F5</t>
  </si>
  <si>
    <t>GMO05132021F3</t>
  </si>
  <si>
    <t>GMO05242021F3</t>
  </si>
  <si>
    <t>GMO05272021F4</t>
  </si>
  <si>
    <t>GMO06032021F1</t>
  </si>
  <si>
    <t>GMO06032021F7</t>
  </si>
  <si>
    <t>GMO060922F4</t>
  </si>
  <si>
    <t>GMO06152020F5</t>
  </si>
  <si>
    <t>GMO07012020F3</t>
  </si>
  <si>
    <t>GMO07142020F3</t>
  </si>
  <si>
    <t>GMO080521F7</t>
  </si>
  <si>
    <t>GMO08272020F1</t>
  </si>
  <si>
    <t>GMO09142020F4</t>
  </si>
  <si>
    <t>GMO10052020F2</t>
  </si>
  <si>
    <t>GMO10142020F7</t>
  </si>
  <si>
    <t>GMO10162020F2</t>
  </si>
  <si>
    <t>GMO11022020F3</t>
  </si>
  <si>
    <t>GMO11162020F3</t>
  </si>
  <si>
    <t>GMO1125/2020F9</t>
  </si>
  <si>
    <t>GMO12042020F4</t>
  </si>
  <si>
    <t>GMO121621F5</t>
  </si>
  <si>
    <t>GMO12182020F2</t>
  </si>
  <si>
    <t>GMO12212020F5</t>
  </si>
  <si>
    <t>GMO12312020F1</t>
  </si>
  <si>
    <t>GOG02042020F5</t>
  </si>
  <si>
    <t>GOG02182020F3</t>
  </si>
  <si>
    <t>GOG03172020F1</t>
  </si>
  <si>
    <t>GOG03252020F2</t>
  </si>
  <si>
    <t>GOG05112020F4</t>
  </si>
  <si>
    <t>GS02042020F5</t>
  </si>
  <si>
    <t>GS03042020F4</t>
  </si>
  <si>
    <t>GS03172020F1</t>
  </si>
  <si>
    <t>GT02112021F2</t>
  </si>
  <si>
    <t>GT02262021F5</t>
  </si>
  <si>
    <t>GT03042020F4</t>
  </si>
  <si>
    <t>GT03172020F1</t>
  </si>
  <si>
    <t>GT03252020F2</t>
  </si>
  <si>
    <t>GT10082021F7</t>
  </si>
  <si>
    <t>GTH022422F5</t>
  </si>
  <si>
    <t>GUA01062021F7</t>
  </si>
  <si>
    <t>GUA01222021F3</t>
  </si>
  <si>
    <t>GUA02042021F5</t>
  </si>
  <si>
    <t>GUA02082021F4</t>
  </si>
  <si>
    <t>GUA02222021F2</t>
  </si>
  <si>
    <t>GUA02262021F5</t>
  </si>
  <si>
    <t>GUA03042021F9</t>
  </si>
  <si>
    <t>GUA03112021F3</t>
  </si>
  <si>
    <t>GUA03222021F3</t>
  </si>
  <si>
    <t>GUA04012021F7</t>
  </si>
  <si>
    <t>GUA04022021F7</t>
  </si>
  <si>
    <t>GUA04162021F10</t>
  </si>
  <si>
    <t>GUA04292021F5</t>
  </si>
  <si>
    <t>GUA05242021F3</t>
  </si>
  <si>
    <t>GUA06032021F7</t>
  </si>
  <si>
    <t>GUA06092021F4</t>
  </si>
  <si>
    <t>GUA07152021F3</t>
  </si>
  <si>
    <t>GUA07292021F4</t>
  </si>
  <si>
    <t>GUA093021F3</t>
  </si>
  <si>
    <t>GUA10022020F4</t>
  </si>
  <si>
    <t>GUA10082021F7</t>
  </si>
  <si>
    <t>GUA10142020F7</t>
  </si>
  <si>
    <t>GUA10162020F2</t>
  </si>
  <si>
    <t>GUA11022020F5</t>
  </si>
  <si>
    <t>GUA11182020F8</t>
  </si>
  <si>
    <t>GUA11202020F3</t>
  </si>
  <si>
    <t>GUA12042020F4</t>
  </si>
  <si>
    <t>GUA12182020F2</t>
  </si>
  <si>
    <t>GUA12312020F1</t>
  </si>
  <si>
    <t>Guav022422F5.A</t>
  </si>
  <si>
    <t>Guav022422F5.B</t>
  </si>
  <si>
    <t>GUAV07262021F3</t>
  </si>
  <si>
    <t>Guav080521F7</t>
  </si>
  <si>
    <t>Guav081221F5</t>
  </si>
  <si>
    <t>GUAV101421F5</t>
  </si>
  <si>
    <t>GUAV111821F3</t>
  </si>
  <si>
    <t>Guav121621F5</t>
  </si>
  <si>
    <t>GUAVA 051922F5</t>
  </si>
  <si>
    <t>GUAVA 062322F10</t>
  </si>
  <si>
    <t>GUAVA 42922F12</t>
  </si>
  <si>
    <t>GUAVA 43022F12</t>
  </si>
  <si>
    <t>GUAVA 63022F12</t>
  </si>
  <si>
    <t>GUAVA 72122F5</t>
  </si>
  <si>
    <t>GUAVA 72822F11</t>
  </si>
  <si>
    <t>GUAVA 72922F3</t>
  </si>
  <si>
    <t>GUAVA 7722F7</t>
  </si>
  <si>
    <t>GUAVA 81822F10</t>
  </si>
  <si>
    <t>GUAVA 82522F3</t>
  </si>
  <si>
    <t>Guava Primary Harvest 21</t>
  </si>
  <si>
    <t>GUV01042021F3</t>
  </si>
  <si>
    <t>GV071422F5</t>
  </si>
  <si>
    <t>GV081122F4</t>
  </si>
  <si>
    <t>HA071822F1</t>
  </si>
  <si>
    <t>HD122321F10</t>
  </si>
  <si>
    <t>HF02112021F2</t>
  </si>
  <si>
    <t>HF032422F11</t>
  </si>
  <si>
    <t>HF093021F3</t>
  </si>
  <si>
    <t>HF10202020F5</t>
  </si>
  <si>
    <t>HULK FRUIT 41822F10</t>
  </si>
  <si>
    <t>IP01242020F2</t>
  </si>
  <si>
    <t>IP04212020F1</t>
  </si>
  <si>
    <t>IP07012020F3</t>
  </si>
  <si>
    <t>IP09212020F1</t>
  </si>
  <si>
    <t>JM022422F5</t>
  </si>
  <si>
    <t>JR03252020F4</t>
  </si>
  <si>
    <t>KEY LIME MINTS</t>
  </si>
  <si>
    <t>KEY LIME PIE 051922F5</t>
  </si>
  <si>
    <t>KEY LIME PIE</t>
  </si>
  <si>
    <t>052622F11</t>
  </si>
  <si>
    <t>KEY LIME PIE 42922F12</t>
  </si>
  <si>
    <t>KLM010622F5</t>
  </si>
  <si>
    <t>KLM012722F12</t>
  </si>
  <si>
    <t>KLM020322F4</t>
  </si>
  <si>
    <t>KLM022422F2</t>
  </si>
  <si>
    <t>KLM052622F3</t>
  </si>
  <si>
    <t>KLM06032021F1</t>
  </si>
  <si>
    <t>KLM06102021F5</t>
  </si>
  <si>
    <t>KLM07262021F3</t>
  </si>
  <si>
    <t>KLM081221F5</t>
  </si>
  <si>
    <t>KLM100721F1</t>
  </si>
  <si>
    <t>KLM102121RM2</t>
  </si>
  <si>
    <t>KLM10252021F2</t>
  </si>
  <si>
    <t>KLM110421F5</t>
  </si>
  <si>
    <t>KLM120921F7</t>
  </si>
  <si>
    <t>KLM7262021F3</t>
  </si>
  <si>
    <t>KLP01042021F3</t>
  </si>
  <si>
    <t>KLP01092020F1</t>
  </si>
  <si>
    <t>KLP01212020F2</t>
  </si>
  <si>
    <t>KLP02112021F2</t>
  </si>
  <si>
    <t>KLP03042020F4</t>
  </si>
  <si>
    <t>KLP03112021F3</t>
  </si>
  <si>
    <t>KLP04042022F3</t>
  </si>
  <si>
    <t>KLP04072020F2</t>
  </si>
  <si>
    <t>KLP04162021F10</t>
  </si>
  <si>
    <t>KLP04292021F5</t>
  </si>
  <si>
    <t>KLP06112020F2</t>
  </si>
  <si>
    <t>KLP06152020F5</t>
  </si>
  <si>
    <t>KLP07262021F3</t>
  </si>
  <si>
    <t>KLP08172020F5</t>
  </si>
  <si>
    <t>KLP10202020F5</t>
  </si>
  <si>
    <t>KLP11022020F3</t>
  </si>
  <si>
    <t>KLP120921F7</t>
  </si>
  <si>
    <t>KM022422F2</t>
  </si>
  <si>
    <t>KM032422F11</t>
  </si>
  <si>
    <t>KM042822F2</t>
  </si>
  <si>
    <t>KM05092022F2</t>
  </si>
  <si>
    <t>KM063022F2</t>
  </si>
  <si>
    <t>KM110421F5</t>
  </si>
  <si>
    <t>KUSH MINTS 050722 F7</t>
  </si>
  <si>
    <t>KUSH MINTS 052622F11</t>
  </si>
  <si>
    <t>KUSH MINTS 061622F4</t>
  </si>
  <si>
    <t>KUSH MINTS 062322F10</t>
  </si>
  <si>
    <t>KUSH MINTS 42922F12</t>
  </si>
  <si>
    <t>KUSH MINTS 72822F11</t>
  </si>
  <si>
    <t>KUSH MINTS 7722F7</t>
  </si>
  <si>
    <t>LC0127222F12</t>
  </si>
  <si>
    <t>LC021022F1</t>
  </si>
  <si>
    <t>LC021022F7</t>
  </si>
  <si>
    <t>LC022422F2</t>
  </si>
  <si>
    <t>LC022422F5</t>
  </si>
  <si>
    <t>LC03112021F3</t>
  </si>
  <si>
    <t>LC04162021F10</t>
  </si>
  <si>
    <t>LC07012021F5</t>
  </si>
  <si>
    <t>LC07292021F4</t>
  </si>
  <si>
    <t>LC080521F7</t>
  </si>
  <si>
    <t>LC08232021F2</t>
  </si>
  <si>
    <t>LC09132021F1</t>
  </si>
  <si>
    <t>LC1202F3</t>
  </si>
  <si>
    <t>LC120921F7</t>
  </si>
  <si>
    <t>LC6172021F2</t>
  </si>
  <si>
    <t>LIME OG 050622 F7</t>
  </si>
  <si>
    <t>LKP022422F5</t>
  </si>
  <si>
    <t>LOG01062021F7</t>
  </si>
  <si>
    <t>LOG010622F5</t>
  </si>
  <si>
    <t>LOG01182021F4</t>
  </si>
  <si>
    <t>LOG01252021F1</t>
  </si>
  <si>
    <t>LOG012722F12</t>
  </si>
  <si>
    <t>LOG02042021F5</t>
  </si>
  <si>
    <t>LOG02262021F5</t>
  </si>
  <si>
    <t>LOG03042021F9</t>
  </si>
  <si>
    <t>LOG04022021F1</t>
  </si>
  <si>
    <t>LOG0420201F2</t>
  </si>
  <si>
    <t>LOG04202021F2</t>
  </si>
  <si>
    <t>LOG05132021F3</t>
  </si>
  <si>
    <t>LOG05242021F3</t>
  </si>
  <si>
    <t>LOG06032021F7</t>
  </si>
  <si>
    <t>LOG07122021F1</t>
  </si>
  <si>
    <t>LOG10022020F4</t>
  </si>
  <si>
    <t>LOG10082021F7</t>
  </si>
  <si>
    <t>LOG10142020F7</t>
  </si>
  <si>
    <t>LOG111521F1</t>
  </si>
  <si>
    <t>LOG11182020F8</t>
  </si>
  <si>
    <t>LOG11202020F3</t>
  </si>
  <si>
    <t>LOG1202F3</t>
  </si>
  <si>
    <t>LOG121621F5</t>
  </si>
  <si>
    <t>LOG12312020F1</t>
  </si>
  <si>
    <t>LOST TRIBE 062322F10</t>
  </si>
  <si>
    <t>LOST TRIBE 63022F12</t>
  </si>
  <si>
    <t>LT012022F3</t>
  </si>
  <si>
    <t>LT021022F1</t>
  </si>
  <si>
    <t>LT022422F5</t>
  </si>
  <si>
    <t>LT031022F5</t>
  </si>
  <si>
    <t>LT062322F1</t>
  </si>
  <si>
    <t>LT063022F2</t>
  </si>
  <si>
    <t>LT090221F5</t>
  </si>
  <si>
    <t>LT091621F3</t>
  </si>
  <si>
    <t>LUC01142020F4</t>
  </si>
  <si>
    <t>LUC02222021F2</t>
  </si>
  <si>
    <t>LUC03252020F4</t>
  </si>
  <si>
    <t>LUC04072020F2</t>
  </si>
  <si>
    <t>LUC05072020F3</t>
  </si>
  <si>
    <t>LUC08272020F1</t>
  </si>
  <si>
    <t>LUC10052020F2</t>
  </si>
  <si>
    <t>LUC10302020F1</t>
  </si>
  <si>
    <t>LUC11162020F4</t>
  </si>
  <si>
    <t>LUC12182020F2</t>
  </si>
  <si>
    <t>LUC12312020F1</t>
  </si>
  <si>
    <t>LUCKY CHARMS</t>
  </si>
  <si>
    <t>051922F5</t>
  </si>
  <si>
    <t>72822F11</t>
  </si>
  <si>
    <t>81122F4</t>
  </si>
  <si>
    <t>82522F3</t>
  </si>
  <si>
    <t>M&amp;P021022F1</t>
  </si>
  <si>
    <t>M&amp;P05272021F4</t>
  </si>
  <si>
    <t>M&amp;P090221F5</t>
  </si>
  <si>
    <t>M&amp;P100721F1</t>
  </si>
  <si>
    <t>M&amp;P102121RM2</t>
  </si>
  <si>
    <t>MAC AND PUNCH</t>
  </si>
  <si>
    <t>MAC020322F4</t>
  </si>
  <si>
    <t>MAC031022F5</t>
  </si>
  <si>
    <t>MAI TAI 050622 F7</t>
  </si>
  <si>
    <t>MAI TAI 050722 F7</t>
  </si>
  <si>
    <t>MAI TAI 061622F4</t>
  </si>
  <si>
    <t>MAI TAI 062322F10</t>
  </si>
  <si>
    <t>MAI TAI 41822F10</t>
  </si>
  <si>
    <t>MAI TAI 41922F10</t>
  </si>
  <si>
    <t>MAI TAI 42922F12</t>
  </si>
  <si>
    <t>MAI TAI 63022F12</t>
  </si>
  <si>
    <t>MAI TAI 72122F5</t>
  </si>
  <si>
    <t>MAI TAI 72922F3</t>
  </si>
  <si>
    <t>MAI TAI 7722F7</t>
  </si>
  <si>
    <t>MAI02082021F4</t>
  </si>
  <si>
    <t>MAI03022020F3</t>
  </si>
  <si>
    <t>MAI04132020F5</t>
  </si>
  <si>
    <t>MAI04212020F1</t>
  </si>
  <si>
    <t>MAI06022020F2</t>
  </si>
  <si>
    <t>MAI06112020F2</t>
  </si>
  <si>
    <t>MAI07302020F4</t>
  </si>
  <si>
    <t>MAI09182020F3</t>
  </si>
  <si>
    <t>MAI10052020F2</t>
  </si>
  <si>
    <t>MAI10202020F5</t>
  </si>
  <si>
    <t>MAI12042020F4</t>
  </si>
  <si>
    <t>MAITAI91522F5</t>
  </si>
  <si>
    <t>MAITAI9822F7</t>
  </si>
  <si>
    <t>MANDARINE CREAM</t>
  </si>
  <si>
    <t>PIE 051922F5</t>
  </si>
  <si>
    <t>MANDERINE CREAM</t>
  </si>
  <si>
    <t>PIE 052622F11</t>
  </si>
  <si>
    <t>MB071422F5</t>
  </si>
  <si>
    <t>MCP021022F7</t>
  </si>
  <si>
    <t>MCP031022F5</t>
  </si>
  <si>
    <t>MCP032422F11</t>
  </si>
  <si>
    <t>MCP04182022F4</t>
  </si>
  <si>
    <t>MCP06172021F2.</t>
  </si>
  <si>
    <t>MCP062322F1</t>
  </si>
  <si>
    <t>MCP100721F1</t>
  </si>
  <si>
    <t>MCP102121RM2</t>
  </si>
  <si>
    <t>MEL012722F12</t>
  </si>
  <si>
    <t>MEL013122F3</t>
  </si>
  <si>
    <t>MEL022422F5</t>
  </si>
  <si>
    <t>MEL02262021F5</t>
  </si>
  <si>
    <t>MEL042122F1</t>
  </si>
  <si>
    <t>MEL052622F3</t>
  </si>
  <si>
    <t>MEL06032021F7</t>
  </si>
  <si>
    <t>MEL06172021F2</t>
  </si>
  <si>
    <t>MEL07152021F3</t>
  </si>
  <si>
    <t>MEL09132021F1</t>
  </si>
  <si>
    <t>MEL09252021F3</t>
  </si>
  <si>
    <t>MEL100721F1</t>
  </si>
  <si>
    <t>MEL10082021F7</t>
  </si>
  <si>
    <t>MEL102121RM2</t>
  </si>
  <si>
    <t>MEL111821F3</t>
  </si>
  <si>
    <t>MEL120221F4</t>
  </si>
  <si>
    <t>MELONADE 051922F5</t>
  </si>
  <si>
    <t>MELONADE 052622F11</t>
  </si>
  <si>
    <t>MELONADE 72122F5</t>
  </si>
  <si>
    <t>MGMO1202F3</t>
  </si>
  <si>
    <t>MH02112021F2</t>
  </si>
  <si>
    <t>MH04022021F1</t>
  </si>
  <si>
    <t>MH051222F5</t>
  </si>
  <si>
    <t>MH06032021F1</t>
  </si>
  <si>
    <t>MH07012021F5</t>
  </si>
  <si>
    <t>MH081921F2</t>
  </si>
  <si>
    <t>MH090221F5</t>
  </si>
  <si>
    <t>MH120221F4</t>
  </si>
  <si>
    <t>MNP10112021F4</t>
  </si>
  <si>
    <t>MOO04072020F2</t>
  </si>
  <si>
    <t>MOO11022020F3</t>
  </si>
  <si>
    <t>MOTOR BREATH</t>
  </si>
  <si>
    <t>MP04152021F2</t>
  </si>
  <si>
    <t>MP121321</t>
  </si>
  <si>
    <t>MP122721F2</t>
  </si>
  <si>
    <t>MT011722</t>
  </si>
  <si>
    <t>MT042822F2</t>
  </si>
  <si>
    <t>MT05272021F4</t>
  </si>
  <si>
    <t>MT06152020F5</t>
  </si>
  <si>
    <t>MT06172021F2</t>
  </si>
  <si>
    <t>MT071422F5</t>
  </si>
  <si>
    <t>MT09212020F1</t>
  </si>
  <si>
    <t>MT11252020F1</t>
  </si>
  <si>
    <t>MT4040722F4</t>
  </si>
  <si>
    <t>MT407152021F3</t>
  </si>
  <si>
    <t>MT4091621F3</t>
  </si>
  <si>
    <t>MT4100121F4</t>
  </si>
  <si>
    <t>MT4111821F3</t>
  </si>
  <si>
    <t>MT4120221F4</t>
  </si>
  <si>
    <t>OG02112020F1</t>
  </si>
  <si>
    <t>PA02262021F5</t>
  </si>
  <si>
    <t>PA030722</t>
  </si>
  <si>
    <t>PA032422F3</t>
  </si>
  <si>
    <t>PA04292021F5</t>
  </si>
  <si>
    <t>PA07132020F4</t>
  </si>
  <si>
    <t>PA071422F5</t>
  </si>
  <si>
    <t>PA090221F5</t>
  </si>
  <si>
    <t>PA09132021F1</t>
  </si>
  <si>
    <t>PA09212020F1</t>
  </si>
  <si>
    <t>PA09272021F3</t>
  </si>
  <si>
    <t>PA100121F4</t>
  </si>
  <si>
    <t>PA11162020F4</t>
  </si>
  <si>
    <t>PA11252020F1</t>
  </si>
  <si>
    <t>PA12072020F2</t>
  </si>
  <si>
    <t>PAP012022F3</t>
  </si>
  <si>
    <t>PAP012722F12</t>
  </si>
  <si>
    <t>PAP020322F4</t>
  </si>
  <si>
    <t>PAP032422F11</t>
  </si>
  <si>
    <t>PAP060922F4</t>
  </si>
  <si>
    <t>PAP090221F5</t>
  </si>
  <si>
    <t>PAP121621</t>
  </si>
  <si>
    <t>PAP122321F2</t>
  </si>
  <si>
    <t>PAPAYA 41822F10</t>
  </si>
  <si>
    <t>PC01032020F3</t>
  </si>
  <si>
    <t>PC01212020F2</t>
  </si>
  <si>
    <t>PC03042020F4</t>
  </si>
  <si>
    <t>PC03252020F2</t>
  </si>
  <si>
    <t>PC04132020F5</t>
  </si>
  <si>
    <t>PJ02-03-22F4</t>
  </si>
  <si>
    <t>PJ032122F1</t>
  </si>
  <si>
    <t>PJ04042022F3</t>
  </si>
  <si>
    <t>PJ040722F4</t>
  </si>
  <si>
    <t>PJ051222F5</t>
  </si>
  <si>
    <t>PJ081921F2</t>
  </si>
  <si>
    <t>PJ090221F5</t>
  </si>
  <si>
    <t>PJ122321F2</t>
  </si>
  <si>
    <t>PJG022422F5.A</t>
  </si>
  <si>
    <t>PJG08232021F2</t>
  </si>
  <si>
    <t>PJP121621F5</t>
  </si>
  <si>
    <t>PP010622F5</t>
  </si>
  <si>
    <t>PP012022F3</t>
  </si>
  <si>
    <t>PP01222021F3</t>
  </si>
  <si>
    <t>PP01252021F1</t>
  </si>
  <si>
    <t>PP03022020F3</t>
  </si>
  <si>
    <t>PP031022F5</t>
  </si>
  <si>
    <t>PP03222021F3</t>
  </si>
  <si>
    <t>PP04012021F7</t>
  </si>
  <si>
    <t>PP04042022F3</t>
  </si>
  <si>
    <t>PP04152021F2</t>
  </si>
  <si>
    <t>PP04202021F2</t>
  </si>
  <si>
    <t>PP04212020F1</t>
  </si>
  <si>
    <t>PP04272020F3</t>
  </si>
  <si>
    <t>PP05102021F1</t>
  </si>
  <si>
    <t>PP051222F5</t>
  </si>
  <si>
    <t>PP05242021F3</t>
  </si>
  <si>
    <t>PP052622F3</t>
  </si>
  <si>
    <t>PP05272020F4</t>
  </si>
  <si>
    <t>PP081122F4</t>
  </si>
  <si>
    <t>PP081921F2</t>
  </si>
  <si>
    <t>PP08272020F1</t>
  </si>
  <si>
    <t>PP090221F5</t>
  </si>
  <si>
    <t>PP091621F3</t>
  </si>
  <si>
    <t>PP09182020F3</t>
  </si>
  <si>
    <t>PP10052020F2</t>
  </si>
  <si>
    <t>PP10142020F7</t>
  </si>
  <si>
    <t>PP10162020F2</t>
  </si>
  <si>
    <t>PP10302020F1</t>
  </si>
  <si>
    <t>PP11022020F3</t>
  </si>
  <si>
    <t>PP11042020F5</t>
  </si>
  <si>
    <t>PP12072020F2</t>
  </si>
  <si>
    <t>PP120921F1</t>
  </si>
  <si>
    <t>PP121321</t>
  </si>
  <si>
    <t>PP12212020F5</t>
  </si>
  <si>
    <t>PP122321F2</t>
  </si>
  <si>
    <t>PRK071422F5</t>
  </si>
  <si>
    <t>PS060922F4</t>
  </si>
  <si>
    <t>PUR01092020F1</t>
  </si>
  <si>
    <t>PUR03022020F3</t>
  </si>
  <si>
    <t>PUR03172020F1</t>
  </si>
  <si>
    <t>PUR03252020F2</t>
  </si>
  <si>
    <t>PUR10202020F5</t>
  </si>
  <si>
    <t>PURPLE JAHGOO</t>
  </si>
  <si>
    <t>PURPLE PUNCH</t>
  </si>
  <si>
    <t>72922F3</t>
  </si>
  <si>
    <t>RC031022F5</t>
  </si>
  <si>
    <t>RC032422F3</t>
  </si>
  <si>
    <t>RC042822F2</t>
  </si>
  <si>
    <t>RC05232022F1</t>
  </si>
  <si>
    <t>RC110421F5</t>
  </si>
  <si>
    <t>RC122321F2</t>
  </si>
  <si>
    <t>RM021022F1</t>
  </si>
  <si>
    <t>RM031022F5</t>
  </si>
  <si>
    <t>RM04042022F3</t>
  </si>
  <si>
    <t>RM052622F3</t>
  </si>
  <si>
    <t>RM100121F4</t>
  </si>
  <si>
    <t>RM102121RM2</t>
  </si>
  <si>
    <t>RM1202F3</t>
  </si>
  <si>
    <t>RM6172021F2</t>
  </si>
  <si>
    <t>RNT03252021F4</t>
  </si>
  <si>
    <t>RTZ022422F5</t>
  </si>
  <si>
    <t>RUM CAKE 051922F5</t>
  </si>
  <si>
    <t>RUM CAKE 052622F11</t>
  </si>
  <si>
    <t>RUM CAKE 061622F4</t>
  </si>
  <si>
    <t>RUM CAKE 062322F10</t>
  </si>
  <si>
    <t>RUM CAKE 42922F12</t>
  </si>
  <si>
    <t>RUM CAKE 43022F12</t>
  </si>
  <si>
    <t>RUM CAKE 81122F4</t>
  </si>
  <si>
    <t>RZ010622F5</t>
  </si>
  <si>
    <t>State Recall page</t>
  </si>
  <si>
    <t>RZ020322F4</t>
  </si>
  <si>
    <t>RZ063022F2</t>
  </si>
  <si>
    <t>RZ080521F1</t>
  </si>
  <si>
    <t>SD031022F5</t>
  </si>
  <si>
    <t>SD032122F1</t>
  </si>
  <si>
    <t>SD032422F3</t>
  </si>
  <si>
    <t>SD03252021F4</t>
  </si>
  <si>
    <t>SD040722F4</t>
  </si>
  <si>
    <t>SD042122F1</t>
  </si>
  <si>
    <t>SD070121F5</t>
  </si>
  <si>
    <t>SD07292021F4</t>
  </si>
  <si>
    <t>SD080521F7</t>
  </si>
  <si>
    <t>SD110421F5</t>
  </si>
  <si>
    <t>SD120221F4</t>
  </si>
  <si>
    <t>SD120921F7</t>
  </si>
  <si>
    <t>SD122321F10</t>
  </si>
  <si>
    <t>SDU021022F7</t>
  </si>
  <si>
    <t>SDU122321F10</t>
  </si>
  <si>
    <t>SN021022F1</t>
  </si>
  <si>
    <t>SN032122F1</t>
  </si>
  <si>
    <t>SN07012021F5</t>
  </si>
  <si>
    <t>SN080521F7</t>
  </si>
  <si>
    <t>SN112921F3</t>
  </si>
  <si>
    <t>SO122321F10</t>
  </si>
  <si>
    <t>SOUR DEUCE 72222F5</t>
  </si>
  <si>
    <t>SOUR DEUCE 72922F11</t>
  </si>
  <si>
    <t>SOUR DEUCE 81822F10</t>
  </si>
  <si>
    <t>SR121621F5</t>
  </si>
  <si>
    <t>STR01142020F4</t>
  </si>
  <si>
    <t>STR04072020F2</t>
  </si>
  <si>
    <t>STR06112020F2</t>
  </si>
  <si>
    <t>STR06152020F5</t>
  </si>
  <si>
    <t>STR06252020F1</t>
  </si>
  <si>
    <t>STR08132020F2</t>
  </si>
  <si>
    <t>STR09142020F4</t>
  </si>
  <si>
    <t>STR09182020F3</t>
  </si>
  <si>
    <t>STR10052020F2</t>
  </si>
  <si>
    <t>STR10302020F1</t>
  </si>
  <si>
    <t>STR11252020F1</t>
  </si>
  <si>
    <t>STR12042020F4</t>
  </si>
  <si>
    <t>SUNDAE DRIVER</t>
  </si>
  <si>
    <t>050622 F7</t>
  </si>
  <si>
    <t>TAN01032020F3</t>
  </si>
  <si>
    <t>TAN01142020F4</t>
  </si>
  <si>
    <t>TAN04212020F1</t>
  </si>
  <si>
    <t>TAN05072020F3</t>
  </si>
  <si>
    <t>TAN07142020F3</t>
  </si>
  <si>
    <t>TAN10162020F2</t>
  </si>
  <si>
    <t>TAN11202020F3</t>
  </si>
  <si>
    <t>TAN12042020F4</t>
  </si>
  <si>
    <t>TAN12182020F2</t>
  </si>
  <si>
    <t>TAN12312020F1</t>
  </si>
  <si>
    <t>TANG10162020F2</t>
  </si>
  <si>
    <t>TB012022F3</t>
  </si>
  <si>
    <t>TB022422F5</t>
  </si>
  <si>
    <t>TES04022021F1</t>
  </si>
  <si>
    <t>TES051222F5</t>
  </si>
  <si>
    <t>TES08232021F2</t>
  </si>
  <si>
    <t>TES090221F5</t>
  </si>
  <si>
    <t>TES120221F4</t>
  </si>
  <si>
    <t>TESS012022F3</t>
  </si>
  <si>
    <t>TESS02182020F3</t>
  </si>
  <si>
    <t>TESS032422F11</t>
  </si>
  <si>
    <t>TESS080521F1</t>
  </si>
  <si>
    <t>TESS080521F7</t>
  </si>
  <si>
    <t>TESS081921F10</t>
  </si>
  <si>
    <t>TESS081921F2</t>
  </si>
  <si>
    <t>TESS09212020F1</t>
  </si>
  <si>
    <t>TESS10202020F5</t>
  </si>
  <si>
    <t>TESS122321F2</t>
  </si>
  <si>
    <t>TESSARACT Primary</t>
  </si>
  <si>
    <t>Harvest 21 Oct 2021</t>
  </si>
  <si>
    <t>TESSERACT 050622 F7</t>
  </si>
  <si>
    <t>TESSERACT 062322F10</t>
  </si>
  <si>
    <t>TK06032021F1</t>
  </si>
  <si>
    <t>TK06032021F7</t>
  </si>
  <si>
    <t>TK06102021F5</t>
  </si>
  <si>
    <t>TK07012021F5</t>
  </si>
  <si>
    <t>TK07012021F5FF</t>
  </si>
  <si>
    <t>TK07292021F4</t>
  </si>
  <si>
    <t>TK100121F4</t>
  </si>
  <si>
    <t>TK111821F3</t>
  </si>
  <si>
    <t>TK122721F2</t>
  </si>
  <si>
    <t>TOX01242020F2</t>
  </si>
  <si>
    <t>TROP090221F5</t>
  </si>
  <si>
    <t>TROPICANNA BANANA</t>
  </si>
  <si>
    <t>07042022F2</t>
  </si>
  <si>
    <t>VS01092020F1</t>
  </si>
  <si>
    <t>VS02042020F5</t>
  </si>
  <si>
    <t>VS02182020F3</t>
  </si>
  <si>
    <t>WAS01032020F3</t>
  </si>
  <si>
    <t>WAS01242020F2</t>
  </si>
  <si>
    <t>WAS04132020F5</t>
  </si>
  <si>
    <t>WC01062021F7</t>
  </si>
  <si>
    <t>WC010622F5</t>
  </si>
  <si>
    <t>WC011722</t>
  </si>
  <si>
    <t>WC01182021F4</t>
  </si>
  <si>
    <t>WC01252021F1</t>
  </si>
  <si>
    <t>https://www.oregon.gov/olcc/Docs/Dr-Jollys-Recall-9.22.2023.pdf</t>
  </si>
  <si>
    <t>WC012722F12</t>
  </si>
  <si>
    <t>WC02082021F4</t>
  </si>
  <si>
    <t>WC02112020F1</t>
  </si>
  <si>
    <t>WC021422F4</t>
  </si>
  <si>
    <t>WC02222021F2</t>
  </si>
  <si>
    <t>WC022422F5.A</t>
  </si>
  <si>
    <t>WC02262021F5</t>
  </si>
  <si>
    <t>WC032422F3</t>
  </si>
  <si>
    <t>WC03252020F4</t>
  </si>
  <si>
    <t>WC04072020F2</t>
  </si>
  <si>
    <t>Dr. Jolly's Tincture</t>
  </si>
  <si>
    <t>WC04082021F5</t>
  </si>
  <si>
    <t>Dr. Jolly's</t>
  </si>
  <si>
    <t>WC04132020F5</t>
  </si>
  <si>
    <t>WC04152021F2</t>
  </si>
  <si>
    <t>WC04202021F2</t>
  </si>
  <si>
    <t>WC042822F2</t>
  </si>
  <si>
    <t>WC05102021F1</t>
  </si>
  <si>
    <t>WC05132021F3</t>
  </si>
  <si>
    <t>WC05242021F3</t>
  </si>
  <si>
    <t>WC05272021F4</t>
  </si>
  <si>
    <t>WC06022020F2</t>
  </si>
  <si>
    <t>WC06032021F1</t>
  </si>
  <si>
    <t>WC060922F4</t>
  </si>
  <si>
    <t>WC06252020F1</t>
  </si>
  <si>
    <t>WC063022F2</t>
  </si>
  <si>
    <t>WC07012020F3</t>
  </si>
  <si>
    <t>WC07012021F5</t>
  </si>
  <si>
    <t>WC07122021F1</t>
  </si>
  <si>
    <t>WC07292021F4</t>
  </si>
  <si>
    <t>WC081122F4</t>
  </si>
  <si>
    <t>WC081221F5</t>
  </si>
  <si>
    <t>WC08132020F2</t>
  </si>
  <si>
    <t>WC08272020F1</t>
  </si>
  <si>
    <t>WC09142020F4</t>
  </si>
  <si>
    <t>WC10022020F4</t>
  </si>
  <si>
    <t>WC10142020F7</t>
  </si>
  <si>
    <t>WC10162020F2</t>
  </si>
  <si>
    <t>WC10202020F5</t>
  </si>
  <si>
    <t>WC11042020F5</t>
  </si>
  <si>
    <t>WC110421F5</t>
  </si>
  <si>
    <t>WC11162020F4</t>
  </si>
  <si>
    <t>WC11202020F3</t>
  </si>
  <si>
    <t>WC12042020F4</t>
  </si>
  <si>
    <t>WC120921F1</t>
  </si>
  <si>
    <t>Holland Cannabis Company</t>
  </si>
  <si>
    <t>WC122321F2</t>
  </si>
  <si>
    <t>WC12312020F1</t>
  </si>
  <si>
    <t>WC6172021F2</t>
  </si>
  <si>
    <t>WEDDING CAKE 050722</t>
  </si>
  <si>
    <t>WEDDING CAKE</t>
  </si>
  <si>
    <t>43022F12</t>
  </si>
  <si>
    <t>7722F7</t>
  </si>
  <si>
    <t>WP01242020F2</t>
  </si>
  <si>
    <t>WP03252020F2</t>
  </si>
  <si>
    <t>WP06152020F5</t>
  </si>
  <si>
    <t>ZS022422F5</t>
  </si>
  <si>
    <t>CO4499474</t>
  </si>
  <si>
    <t>HBR2Cherrypunch11262022</t>
  </si>
  <si>
    <t>403-01933</t>
  </si>
  <si>
    <t>CO4499474b</t>
  </si>
  <si>
    <t>WaffleconeR4HB10312022</t>
  </si>
  <si>
    <t>CO4499474c</t>
  </si>
  <si>
    <t>HB081522LAKushCake</t>
  </si>
  <si>
    <t>HB08112022AokiBerry</t>
  </si>
  <si>
    <t>403R-01199</t>
  </si>
  <si>
    <t>CO4500575</t>
  </si>
  <si>
    <t>#454-PR (Pre-roll)</t>
  </si>
  <si>
    <t>403R-00869</t>
  </si>
  <si>
    <t>#454-BT (Blunt)</t>
  </si>
  <si>
    <t>https://ccb.vermont.gov/consumer-protection-warning-holland-cannabis-company-0</t>
  </si>
  <si>
    <t>#454-BB (Bubble Blunt)</t>
  </si>
  <si>
    <t>CO4500575b</t>
  </si>
  <si>
    <t>#477-PR (Pre-roll)</t>
  </si>
  <si>
    <t>CO4500575c</t>
  </si>
  <si>
    <t>#477-BT (Blunt)</t>
  </si>
  <si>
    <t>#454-BHP(Bubble Pre-roll)</t>
  </si>
  <si>
    <t>CO4500876</t>
  </si>
  <si>
    <t>All marijuana with a Harvest Batch number between the range of XXXH4-XXX through XXXH291-XXX</t>
  </si>
  <si>
    <t>403-01381</t>
  </si>
  <si>
    <t>All marijuana with a Harvest Batch number between the range of XH275-XXX through XXH488-XXX</t>
  </si>
  <si>
    <t>All marijuana with a Harvest Batch number between the range of XXXH3-XXX through XXXH291-XXX</t>
  </si>
  <si>
    <t>CO4502877</t>
  </si>
  <si>
    <t>2067 Hoku Moku</t>
  </si>
  <si>
    <t>403-00790</t>
  </si>
  <si>
    <t>3205 Rotten Rozay</t>
  </si>
  <si>
    <t>3235 Meat Breath</t>
  </si>
  <si>
    <t>B3305 Don Carlos</t>
  </si>
  <si>
    <t>3049 Nina's Web</t>
  </si>
  <si>
    <t>3214 Meat Breath</t>
  </si>
  <si>
    <t>3239 Rotten Rozay</t>
  </si>
  <si>
    <t>B3306 Strawberry Guava</t>
  </si>
  <si>
    <t>3065 Gelato</t>
  </si>
  <si>
    <t>3218 Strawberry Guava</t>
  </si>
  <si>
    <t>3291 Light of Venus</t>
  </si>
  <si>
    <t>B3307 Headband</t>
  </si>
  <si>
    <t>3139 Durban Poison</t>
  </si>
  <si>
    <t>3232 Robert Plant</t>
  </si>
  <si>
    <t>3292 Strawberry Guava</t>
  </si>
  <si>
    <t>B3308 Meatbreath</t>
  </si>
  <si>
    <t>3171 Ukulele</t>
  </si>
  <si>
    <t>3233 Don Carlos</t>
  </si>
  <si>
    <t>3293 GhanDaddy 11</t>
  </si>
  <si>
    <t>B3309 Tropicana Cookies</t>
  </si>
  <si>
    <t>CO4502877b</t>
  </si>
  <si>
    <t>B 511 Golden Goat</t>
  </si>
  <si>
    <t>403R-00312 and 403R-01399</t>
  </si>
  <si>
    <t>B305 Headband</t>
  </si>
  <si>
    <t>B422 Nina's Web</t>
  </si>
  <si>
    <t>B567 Super Lemon Haze</t>
  </si>
  <si>
    <t>B181 Lost Tribe</t>
  </si>
  <si>
    <t>B306 Karl Malone</t>
  </si>
  <si>
    <t>B423 Durban Poison</t>
  </si>
  <si>
    <t>B568 Mandarin Cookies</t>
  </si>
  <si>
    <t>B182 Headband</t>
  </si>
  <si>
    <t>B308 Mr. E</t>
  </si>
  <si>
    <t>B424 Gelato Cake</t>
  </si>
  <si>
    <t>B569 Durban Poison</t>
  </si>
  <si>
    <t>B183 Blueberry Headband</t>
  </si>
  <si>
    <t>B309 Mujica Suave</t>
  </si>
  <si>
    <t>B425 Golden Goat</t>
  </si>
  <si>
    <t>B570 Lost Tribe</t>
  </si>
  <si>
    <t>B185 Mandarin Cookies</t>
  </si>
  <si>
    <t>B310 Nina Limone</t>
  </si>
  <si>
    <t>B426 Grape Lean</t>
  </si>
  <si>
    <t>B571 Mandarin Cookies</t>
  </si>
  <si>
    <t>B186 Snowball</t>
  </si>
  <si>
    <t>B311 Pure Moods</t>
  </si>
  <si>
    <t>B427 Headband</t>
  </si>
  <si>
    <t>B572 Mandarin Sunset</t>
  </si>
  <si>
    <t>B187 Gelato Cake</t>
  </si>
  <si>
    <t>B312 Purple Cake Daddy</t>
  </si>
  <si>
    <t>B428 Lost Tribe</t>
  </si>
  <si>
    <t>B573 Quattro Kush</t>
  </si>
  <si>
    <t>B188 Kimbo</t>
  </si>
  <si>
    <t>B315 Runtz</t>
  </si>
  <si>
    <t>B429 Mandarin Cookies</t>
  </si>
  <si>
    <t>B574 Snowball</t>
  </si>
  <si>
    <t>B189 Frodo Baggins</t>
  </si>
  <si>
    <t>B316 Snowball</t>
  </si>
  <si>
    <t>B430 Mandarin Sunset</t>
  </si>
  <si>
    <t>B575 Strawberry Guava</t>
  </si>
  <si>
    <t>B192 Gelato Cake</t>
  </si>
  <si>
    <t>B317 Sour Tangerine Smoothie</t>
  </si>
  <si>
    <t>B431 Rotten Rozay</t>
  </si>
  <si>
    <t>B576 Super Lemon Haze</t>
  </si>
  <si>
    <t>B193 Purple Cake Daddy</t>
  </si>
  <si>
    <t>B318 Lost Tribe</t>
  </si>
  <si>
    <t>B432 Tangerine Snowday</t>
  </si>
  <si>
    <t>B577 Skunk #1</t>
  </si>
  <si>
    <t>B194 Karl Malone</t>
  </si>
  <si>
    <t>B319 Afternoon Delight</t>
  </si>
  <si>
    <t>B433 Quattro Kush</t>
  </si>
  <si>
    <t>B578 Mandarin Cookies</t>
  </si>
  <si>
    <t>B195 Heaven Sativa</t>
  </si>
  <si>
    <t>B320 Blueberry Headband</t>
  </si>
  <si>
    <t>B434 Lost Tribe</t>
  </si>
  <si>
    <t>B579 Snowball</t>
  </si>
  <si>
    <t>B196 Mr. E</t>
  </si>
  <si>
    <t>B321 Gelato Cake</t>
  </si>
  <si>
    <t>B435 Gelato</t>
  </si>
  <si>
    <t>B580 Don Carlos</t>
  </si>
  <si>
    <t>B197 Royal Huckleberry Kush</t>
  </si>
  <si>
    <t>B322 Golden Goat</t>
  </si>
  <si>
    <t>B436 Gelato Cake</t>
  </si>
  <si>
    <t>B581 Crescendo</t>
  </si>
  <si>
    <t>B198 Silver Nina</t>
  </si>
  <si>
    <t>B324 Lilac Diesel</t>
  </si>
  <si>
    <t>B437 Runtz</t>
  </si>
  <si>
    <t>B582 Durban Poison</t>
  </si>
  <si>
    <t>B199 Kush Rise</t>
  </si>
  <si>
    <t>B326 Mujica Suave</t>
  </si>
  <si>
    <t>B438 Snowball</t>
  </si>
  <si>
    <t>B583 Golden Goat</t>
  </si>
  <si>
    <t>B202 Pure Moods</t>
  </si>
  <si>
    <t>B327 Nina Limone</t>
  </si>
  <si>
    <t>B439 Rotten Rozay</t>
  </si>
  <si>
    <t>B584 Lost Tribe</t>
  </si>
  <si>
    <t>B204 Crescendo</t>
  </si>
  <si>
    <t>B328 Purple Punch</t>
  </si>
  <si>
    <t>B456 Blueberry Headband</t>
  </si>
  <si>
    <t>B585 Meatbreath</t>
  </si>
  <si>
    <t>B205 Sour Tangerine Smoothie</t>
  </si>
  <si>
    <t>B329 Suncakes</t>
  </si>
  <si>
    <t>B457 Gelato Cake</t>
  </si>
  <si>
    <t>B586 Robert Plant</t>
  </si>
  <si>
    <t>B206 Golden Goat</t>
  </si>
  <si>
    <t>B330 Tropicana Cookies</t>
  </si>
  <si>
    <t>B458 Golden Goat</t>
  </si>
  <si>
    <t>B588 Crescendo</t>
  </si>
  <si>
    <t>B207 Gelato Cake</t>
  </si>
  <si>
    <t>B331 Durban Poison</t>
  </si>
  <si>
    <t>B459 Grape Lean</t>
  </si>
  <si>
    <t>B589 Durban Poison</t>
  </si>
  <si>
    <t>B208 Mujica Suave</t>
  </si>
  <si>
    <t>B332 Gelato Cake</t>
  </si>
  <si>
    <t>B460 Lost Tribe</t>
  </si>
  <si>
    <t>B590 Skunk #1</t>
  </si>
  <si>
    <t>B209 Afternoon Delight</t>
  </si>
  <si>
    <t>B333 Headband</t>
  </si>
  <si>
    <t>B461 Headband</t>
  </si>
  <si>
    <t>B591 Snowball</t>
  </si>
  <si>
    <t>B210 Mr. E</t>
  </si>
  <si>
    <t>B334 Lost Tribe</t>
  </si>
  <si>
    <t>B462 Lilac Diesel</t>
  </si>
  <si>
    <t>B592 Strawberry Cheesecake</t>
  </si>
  <si>
    <t>B211 Royal Huckleberry Kush</t>
  </si>
  <si>
    <t>B335 Mandarin Cookies</t>
  </si>
  <si>
    <t>B463 Mandarin Sunset</t>
  </si>
  <si>
    <t>B593 Strawberry Guava</t>
  </si>
  <si>
    <t>B212 Purple Punch</t>
  </si>
  <si>
    <t>B336 Mandarin Sunset</t>
  </si>
  <si>
    <t>B464 Meatbreath</t>
  </si>
  <si>
    <t>B594 Tangerine Snow Day</t>
  </si>
  <si>
    <t>B214 Quattro Kush</t>
  </si>
  <si>
    <t>B337 Nina's Web</t>
  </si>
  <si>
    <t>B465 Nina's Web</t>
  </si>
  <si>
    <t>B595 Hella Jelly</t>
  </si>
  <si>
    <t>B215 Durban Poison</t>
  </si>
  <si>
    <t>B338 Quattro Kush</t>
  </si>
  <si>
    <t>B466 Rotten Rozay</t>
  </si>
  <si>
    <t>B596 Cheetah Piss</t>
  </si>
  <si>
    <t>B216 Mandarin Sunset</t>
  </si>
  <si>
    <t>B339 Quattro Kush</t>
  </si>
  <si>
    <t>B467 Skunk #1</t>
  </si>
  <si>
    <t>B597 Bitters</t>
  </si>
  <si>
    <t>B218 Nina's Web</t>
  </si>
  <si>
    <t>B340 Snowball</t>
  </si>
  <si>
    <t>B468 Tropicana Cookies</t>
  </si>
  <si>
    <t>B598 Crescendo</t>
  </si>
  <si>
    <t>B219 Girl Scout Cookies</t>
  </si>
  <si>
    <t>B341 Doobiebird Daydream</t>
  </si>
  <si>
    <t>B469 Grape Lean</t>
  </si>
  <si>
    <t>B599 Don Carlos</t>
  </si>
  <si>
    <t>B220 Gelato Cake</t>
  </si>
  <si>
    <t>B342 Gelato Cake</t>
  </si>
  <si>
    <t>B470 Bubblegum</t>
  </si>
  <si>
    <t>B600 Headband</t>
  </si>
  <si>
    <t>B221 Suncakes</t>
  </si>
  <si>
    <t>B343 Karl Malone</t>
  </si>
  <si>
    <t>B471 Rotten Rozay</t>
  </si>
  <si>
    <t>B601 Lost Tribe</t>
  </si>
  <si>
    <t>B222 Gorilla Glue #4</t>
  </si>
  <si>
    <t>B344 Mr. E</t>
  </si>
  <si>
    <t>B472 Lost Tribe</t>
  </si>
  <si>
    <t>B602 Meatbreath</t>
  </si>
  <si>
    <t>B224 Lilac Diesel</t>
  </si>
  <si>
    <t>B345 Nina's Web</t>
  </si>
  <si>
    <t>B473 Lilac Diesel</t>
  </si>
  <si>
    <t>B603 Strawberry Cheesecake</t>
  </si>
  <si>
    <t>B225 Headband</t>
  </si>
  <si>
    <t>B346 Purple Cake Daddy</t>
  </si>
  <si>
    <t>B474 Blueberry Headband</t>
  </si>
  <si>
    <t>B604 Strawberry Guava</t>
  </si>
  <si>
    <t>B226 Lost Tribe</t>
  </si>
  <si>
    <t>B347 Rotten Rozay</t>
  </si>
  <si>
    <t>B475 Robert Plant</t>
  </si>
  <si>
    <t>B605 Tropicana Cookies</t>
  </si>
  <si>
    <t>B227 Snowball</t>
  </si>
  <si>
    <t>B348 Royal Huckleberry Kush</t>
  </si>
  <si>
    <t>B476 Tangerine Snowday</t>
  </si>
  <si>
    <t>B607 Mandarin Cookies</t>
  </si>
  <si>
    <t>B230 Mandarin Cookies</t>
  </si>
  <si>
    <t>B350 Silver Nina</t>
  </si>
  <si>
    <t>B477 Tropicana Cookies</t>
  </si>
  <si>
    <t>B608 Mandarin Sunset</t>
  </si>
  <si>
    <t>B231 Blueberry Headband</t>
  </si>
  <si>
    <t>B351 Snowball</t>
  </si>
  <si>
    <t>B478 Gelato Cake</t>
  </si>
  <si>
    <t>B609 Skunk #1</t>
  </si>
  <si>
    <t>B232 Runtz</t>
  </si>
  <si>
    <t>B354 Bubblegum</t>
  </si>
  <si>
    <t>B479 Don Carlos</t>
  </si>
  <si>
    <t>B610 Bubblegum</t>
  </si>
  <si>
    <t>B233 Meatbreath</t>
  </si>
  <si>
    <t>B355 Colombian Gold</t>
  </si>
  <si>
    <t>B480 Mandarin Cookies</t>
  </si>
  <si>
    <t>B611 Durban Poison</t>
  </si>
  <si>
    <t>B234 Runtz</t>
  </si>
  <si>
    <t>B356 Crescendo</t>
  </si>
  <si>
    <t>B481 Golden Goat</t>
  </si>
  <si>
    <t>B612 Meatbreath</t>
  </si>
  <si>
    <t>B235 Meatbreath</t>
  </si>
  <si>
    <t>B357 Doobiebird Daydream</t>
  </si>
  <si>
    <t>B482 Quattro Kush</t>
  </si>
  <si>
    <t>B613 Rotten Rozay</t>
  </si>
  <si>
    <t>B236 Kush Rise</t>
  </si>
  <si>
    <t>B358 Gelato</t>
  </si>
  <si>
    <t>B484 Tangerine Snowday</t>
  </si>
  <si>
    <t>B614 Snowball</t>
  </si>
  <si>
    <t>B237 Gelato Cake</t>
  </si>
  <si>
    <t>B359 Gelato Cake</t>
  </si>
  <si>
    <t>B485 Super Lemon Haze</t>
  </si>
  <si>
    <t>B615 Crescendo</t>
  </si>
  <si>
    <t>B238 Nina Limone</t>
  </si>
  <si>
    <t>B360 Golden Goat</t>
  </si>
  <si>
    <t>B486 Rotten Rozay</t>
  </si>
  <si>
    <t>B616 Don Carlos</t>
  </si>
  <si>
    <t>B239 Bubblegum</t>
  </si>
  <si>
    <t>B361 Gorilla Glue #4</t>
  </si>
  <si>
    <t>B487 Lost Tribe</t>
  </si>
  <si>
    <t>B617 Durban Poison</t>
  </si>
  <si>
    <t>B240 Mujica Suave</t>
  </si>
  <si>
    <t>B362 Kush Rise</t>
  </si>
  <si>
    <t>B488 Crescendo</t>
  </si>
  <si>
    <t>B618 GhanDaddy</t>
  </si>
  <si>
    <t>B241 Silver Nina</t>
  </si>
  <si>
    <t>B363 Mujica Suave</t>
  </si>
  <si>
    <t>B489 Robert Plant</t>
  </si>
  <si>
    <t>B619 Golden Goat</t>
  </si>
  <si>
    <t>B242 Sour Tangerine Smoothie</t>
  </si>
  <si>
    <t>B365 Nina's Web</t>
  </si>
  <si>
    <t>B490 Blueberry Headband</t>
  </si>
  <si>
    <t>B620 Lost Tribe</t>
  </si>
  <si>
    <t>B243 Mr. E</t>
  </si>
  <si>
    <t>B366 Pure Moods</t>
  </si>
  <si>
    <t>B491 Crescendo</t>
  </si>
  <si>
    <t>B621 Mandarin Cookies</t>
  </si>
  <si>
    <t>B244 Heaven Sativa</t>
  </si>
  <si>
    <t>B367 Quattro Kush</t>
  </si>
  <si>
    <t>B492 Durban Poison</t>
  </si>
  <si>
    <t>B622 Meatbreath</t>
  </si>
  <si>
    <t>B245 Royal Huckleberry Kush</t>
  </si>
  <si>
    <t>B368 Rotten Rozay</t>
  </si>
  <si>
    <t>B493 Golden Goat</t>
  </si>
  <si>
    <t>B623 Quattro Kush</t>
  </si>
  <si>
    <t>B246 Purple Cake Daddy</t>
  </si>
  <si>
    <t>B369 Runtz</t>
  </si>
  <si>
    <t>B494 Grape Lean</t>
  </si>
  <si>
    <t>B624 Robert Plant</t>
  </si>
  <si>
    <t>B247 Karl Malone</t>
  </si>
  <si>
    <t>B370 Snowball</t>
  </si>
  <si>
    <t>B495 Headband</t>
  </si>
  <si>
    <t>B625 Skunk #1</t>
  </si>
  <si>
    <t>B248 Kush Rise</t>
  </si>
  <si>
    <t>B371 Sour Tangerine Smoothie</t>
  </si>
  <si>
    <t>B496 Lilac Diesel</t>
  </si>
  <si>
    <t>B626 Smoothie</t>
  </si>
  <si>
    <t>B249 Gelato Cake</t>
  </si>
  <si>
    <t>B372 Afternoon Delight</t>
  </si>
  <si>
    <t>B497 Lost Tribe</t>
  </si>
  <si>
    <t>B627 Strawberry Cheesecake</t>
  </si>
  <si>
    <t>B250 Nina Limone</t>
  </si>
  <si>
    <t>B373 Blueberry Headband</t>
  </si>
  <si>
    <t>B498 Mandarin Sunset</t>
  </si>
  <si>
    <t>B628 Strawberry Guava</t>
  </si>
  <si>
    <t>B251 Bubblegum</t>
  </si>
  <si>
    <t>B374 Gelato Cake</t>
  </si>
  <si>
    <t>B499 Meatbreath</t>
  </si>
  <si>
    <t>B629 Super Lemon Haze</t>
  </si>
  <si>
    <t>B252 Silver Nina</t>
  </si>
  <si>
    <t>B375 Headband</t>
  </si>
  <si>
    <t>B500 Nina's Web</t>
  </si>
  <si>
    <t>B630 Snowball</t>
  </si>
  <si>
    <t>B253 Mujica Suave</t>
  </si>
  <si>
    <t>B376 Lilac Diesel</t>
  </si>
  <si>
    <t>B501 Robert Plant</t>
  </si>
  <si>
    <t>B632 Banana OG</t>
  </si>
  <si>
    <t>B255 Golden Goat</t>
  </si>
  <si>
    <t>B377 Lost Tribe</t>
  </si>
  <si>
    <t>B502 Rotten Rozay</t>
  </si>
  <si>
    <t>B633 Crescendo</t>
  </si>
  <si>
    <t>B256 Sour Tangerine Smoothie</t>
  </si>
  <si>
    <t>B378 Meatbreath</t>
  </si>
  <si>
    <t>B503 Skunk #1</t>
  </si>
  <si>
    <t>B634 Don Carlos</t>
  </si>
  <si>
    <t>B257 Pure Moods</t>
  </si>
  <si>
    <t>B379 Afternoon Delight</t>
  </si>
  <si>
    <t>B507 Lost Tribe</t>
  </si>
  <si>
    <t>B635 Headband</t>
  </si>
  <si>
    <t>B259 Mr. E</t>
  </si>
  <si>
    <t>B380 Blueberry Headband</t>
  </si>
  <si>
    <t>B507 Mendo Purps F2</t>
  </si>
  <si>
    <t>B260 Afternoon Delight</t>
  </si>
  <si>
    <t>B381 Gelato Cake</t>
  </si>
  <si>
    <t>B508 Bubblegum</t>
  </si>
  <si>
    <t>B261 Purple Punch</t>
  </si>
  <si>
    <t>B382 Golden Goat</t>
  </si>
  <si>
    <t>B509 Meatbreath</t>
  </si>
  <si>
    <t>B638 Snowball</t>
  </si>
  <si>
    <t>B262 Karl Malone</t>
  </si>
  <si>
    <t>B383 Headband</t>
  </si>
  <si>
    <t>B510 Grape Lean</t>
  </si>
  <si>
    <t>B639 Strawberry Cheesecake #17</t>
  </si>
  <si>
    <t>B263 Heaven Sativa</t>
  </si>
  <si>
    <t>B384 Lilac Diesel</t>
  </si>
  <si>
    <t>B512 Headband</t>
  </si>
  <si>
    <t>B641 Bitters</t>
  </si>
  <si>
    <t>B264 Runtz</t>
  </si>
  <si>
    <t>B385 Mandarin Cookies</t>
  </si>
  <si>
    <t>B513 Mendo Purps</t>
  </si>
  <si>
    <t>B642 Cheetah Piss</t>
  </si>
  <si>
    <t>B265 Meatbreath</t>
  </si>
  <si>
    <t>B386 Mandarin Sunset</t>
  </si>
  <si>
    <t>B532 Crescendo</t>
  </si>
  <si>
    <t>B643 Don Carlos</t>
  </si>
  <si>
    <t>B266 Purple Cake Daddy</t>
  </si>
  <si>
    <t>B387 Meatbreath</t>
  </si>
  <si>
    <t>B533 Durban Poison</t>
  </si>
  <si>
    <t>B644 Hella Jelly</t>
  </si>
  <si>
    <t>B269 Mandarin Sunset</t>
  </si>
  <si>
    <t>B388 Nina's Web</t>
  </si>
  <si>
    <t>B534 Golden Goat</t>
  </si>
  <si>
    <t>B645 Honey Banana</t>
  </si>
  <si>
    <t>B270 Quattro Kush</t>
  </si>
  <si>
    <t>B389 Quattro Kush</t>
  </si>
  <si>
    <t>B536 Lost Tribe</t>
  </si>
  <si>
    <t>B271 Meatbreath</t>
  </si>
  <si>
    <t>B390 Snowball</t>
  </si>
  <si>
    <t>B537 Mandarin Cookies</t>
  </si>
  <si>
    <t>B647 Mandarin Cookies</t>
  </si>
  <si>
    <t>B272 Suncakes</t>
  </si>
  <si>
    <t>B391 Suncakes</t>
  </si>
  <si>
    <t>B538 Meatbreath</t>
  </si>
  <si>
    <t>B648 Oreoz</t>
  </si>
  <si>
    <t>B273 Nina's Web</t>
  </si>
  <si>
    <t>B393 Rotten Rozay</t>
  </si>
  <si>
    <t>B539 Skunk #1</t>
  </si>
  <si>
    <t>B649 Pancakes</t>
  </si>
  <si>
    <t>B274 Durban Poison</t>
  </si>
  <si>
    <t>B394 Gelato Cake</t>
  </si>
  <si>
    <t>B540 Snowball</t>
  </si>
  <si>
    <t>B650 Skunk #1</t>
  </si>
  <si>
    <t>B278 Lost Tribe</t>
  </si>
  <si>
    <t>B395 Gelato</t>
  </si>
  <si>
    <t>B541 Strawberry Cheesecake</t>
  </si>
  <si>
    <t>B651 Smoothie</t>
  </si>
  <si>
    <t>B279 Gelato Cake</t>
  </si>
  <si>
    <t>B396 Mandarin Cookies</t>
  </si>
  <si>
    <t>B542 Strawberry Guava</t>
  </si>
  <si>
    <t>B652 Strawberry Cheesecake</t>
  </si>
  <si>
    <t>B280 Lilac Diesel</t>
  </si>
  <si>
    <t>B397 Lost Tribe</t>
  </si>
  <si>
    <t>B543 Super Lemon Haze</t>
  </si>
  <si>
    <t>B653 Strawberry Guava</t>
  </si>
  <si>
    <t>B281 Headband</t>
  </si>
  <si>
    <t>B398 Doobiebird Daydream</t>
  </si>
  <si>
    <t>B544 Tangerine Snow Day</t>
  </si>
  <si>
    <t>B658 Strawberry Guava</t>
  </si>
  <si>
    <t>B282 Mandarin Cookies</t>
  </si>
  <si>
    <t>B399 Runtz</t>
  </si>
  <si>
    <t>B545 Lilac Diesel</t>
  </si>
  <si>
    <t>B659 Durban Poison</t>
  </si>
  <si>
    <t>B283 Runtz</t>
  </si>
  <si>
    <t>B400 Snowball</t>
  </si>
  <si>
    <t>B546 Rotten Rozay</t>
  </si>
  <si>
    <t>B660 Headband</t>
  </si>
  <si>
    <t>B284 Snowball</t>
  </si>
  <si>
    <t>B401 Durban Poison</t>
  </si>
  <si>
    <t>B547 Mandarin Cookies</t>
  </si>
  <si>
    <t>B285 Nina's Web</t>
  </si>
  <si>
    <t>B402 Gelato Cake</t>
  </si>
  <si>
    <t>B548 Snowball</t>
  </si>
  <si>
    <t>B662 Rotten Rozay</t>
  </si>
  <si>
    <t>B286 Mandarin Sunset</t>
  </si>
  <si>
    <t>B403 Crescendo</t>
  </si>
  <si>
    <t>B550 Robert Plant</t>
  </si>
  <si>
    <t>B663 Smoothie</t>
  </si>
  <si>
    <t>B287 Quattro Kush</t>
  </si>
  <si>
    <t>B404 Durban Poison</t>
  </si>
  <si>
    <t>B551 Lost Tribe</t>
  </si>
  <si>
    <t>B665 Banana OG</t>
  </si>
  <si>
    <t>B288 Royal Huckleberry Kush</t>
  </si>
  <si>
    <t>B405 Gelato</t>
  </si>
  <si>
    <t>B552 Headband</t>
  </si>
  <si>
    <t>B666 Bubblegum</t>
  </si>
  <si>
    <t>B289 Headband</t>
  </si>
  <si>
    <t>B406 Gorilla Glue #4</t>
  </si>
  <si>
    <t>B553 Don Carlos</t>
  </si>
  <si>
    <t>B667 Don Carlos</t>
  </si>
  <si>
    <t>B290 Meatbreath</t>
  </si>
  <si>
    <t>B408 Golden Goat</t>
  </si>
  <si>
    <t>B554 Meatbreath</t>
  </si>
  <si>
    <t>B668 GhanDaddy</t>
  </si>
  <si>
    <t>B291 Runtz</t>
  </si>
  <si>
    <t>B409 Lost Tribe</t>
  </si>
  <si>
    <t>B555 Mendo Purps</t>
  </si>
  <si>
    <t>B669 Golden Goat</t>
  </si>
  <si>
    <t>B292 Mandarin Sunset</t>
  </si>
  <si>
    <t>B410 Meatbreath</t>
  </si>
  <si>
    <t>B556 Bubblegum</t>
  </si>
  <si>
    <t>B670 Headband</t>
  </si>
  <si>
    <t>B293 Purple Cake Daddy</t>
  </si>
  <si>
    <t>B411 Nina's Web</t>
  </si>
  <si>
    <t>B557 Crescendo</t>
  </si>
  <si>
    <t>B671 Hindu Kush</t>
  </si>
  <si>
    <t>B294 Snowball</t>
  </si>
  <si>
    <t>B412 Pure Moods</t>
  </si>
  <si>
    <t>B558 Golden Goat</t>
  </si>
  <si>
    <t>B672 Lost Tribe</t>
  </si>
  <si>
    <t>B295 Karl Malone</t>
  </si>
  <si>
    <t>B413 Golden Goat</t>
  </si>
  <si>
    <t>B559 Grape Lean</t>
  </si>
  <si>
    <t>B673 Mandarin Sunset</t>
  </si>
  <si>
    <t>B296 Gelato Cake</t>
  </si>
  <si>
    <t>B414 Lost Tribe</t>
  </si>
  <si>
    <t>B560 Headband</t>
  </si>
  <si>
    <t>B674 Quattro Kush</t>
  </si>
  <si>
    <t>B297 Purple Punch</t>
  </si>
  <si>
    <t>B415 Headband</t>
  </si>
  <si>
    <t>B561 Lilac Diesel</t>
  </si>
  <si>
    <t>B676 Skunk #1</t>
  </si>
  <si>
    <t>B298 Silver Nina</t>
  </si>
  <si>
    <t>B416 Lilac Diesel</t>
  </si>
  <si>
    <t>B562 Lost Tribe</t>
  </si>
  <si>
    <t>B677 Smoothie</t>
  </si>
  <si>
    <t>B299 Mandarin Cookies</t>
  </si>
  <si>
    <t>B417 Blueberry Headband</t>
  </si>
  <si>
    <t>B563 Meatbreath</t>
  </si>
  <si>
    <t>B678 Snowball</t>
  </si>
  <si>
    <t>B300 Crescendo</t>
  </si>
  <si>
    <t>B418 Tropicana Cookies</t>
  </si>
  <si>
    <t>B564 Robert Plant</t>
  </si>
  <si>
    <t>B679 Strawberry Cheesecake</t>
  </si>
  <si>
    <t>B301 Gelato</t>
  </si>
  <si>
    <t>B419 Bubblegum</t>
  </si>
  <si>
    <t>B565 Skunk #1</t>
  </si>
  <si>
    <t>B680 Strawberry Guava</t>
  </si>
  <si>
    <t>B302 Gelato Cake</t>
  </si>
  <si>
    <t>B420 Afternoon Delight</t>
  </si>
  <si>
    <t>B566 Strawberry Guava</t>
  </si>
  <si>
    <t>B681 Super Lemon Haze</t>
  </si>
  <si>
    <t>B303 Girl Scout Cookies B</t>
  </si>
  <si>
    <t>0013 Smoothie</t>
  </si>
  <si>
    <t>B51 Meatbreath</t>
  </si>
  <si>
    <t>B446 Grape Lean</t>
  </si>
  <si>
    <t>B631 Mendo Purps</t>
  </si>
  <si>
    <t>0029 Don Carlos</t>
  </si>
  <si>
    <t>B54 Headband</t>
  </si>
  <si>
    <t>B447 Rotten Rozay</t>
  </si>
  <si>
    <t>B688 Hindu Kush</t>
  </si>
  <si>
    <t>0037 Lost Tribe</t>
  </si>
  <si>
    <t>B56 Don Carlos</t>
  </si>
  <si>
    <t>B454 Super Lemon Haze</t>
  </si>
  <si>
    <t>B689 Oreoz</t>
  </si>
  <si>
    <t>0040 Ghan Daddy</t>
  </si>
  <si>
    <t>B67 DonCarlos</t>
  </si>
  <si>
    <t>B517 Snowball</t>
  </si>
  <si>
    <t>B698 Don Carlos</t>
  </si>
  <si>
    <t>0041 Meat Breath</t>
  </si>
  <si>
    <t>B441 Mandarin Sunset</t>
  </si>
  <si>
    <t>B529 Rotten Rozay</t>
  </si>
  <si>
    <t>421 Mandarin Sunset</t>
  </si>
  <si>
    <t>1530 Cindy 99</t>
  </si>
  <si>
    <t>1695 Lucy</t>
  </si>
  <si>
    <t>1938 Cherry Lime Haze</t>
  </si>
  <si>
    <t>3022 Tangerine Snow Day</t>
  </si>
  <si>
    <t>1531 Blueberry Headband</t>
  </si>
  <si>
    <t>1696 Tangerine Sunrise</t>
  </si>
  <si>
    <t>1939 Robert Plant</t>
  </si>
  <si>
    <t>3024 Gelato</t>
  </si>
  <si>
    <t>1532 Bubblegum</t>
  </si>
  <si>
    <t>1697 Pakistani</t>
  </si>
  <si>
    <t>1940 Gelato</t>
  </si>
  <si>
    <t>3025 Rotten Rozay</t>
  </si>
  <si>
    <t>1533 Mandarin Cookies</t>
  </si>
  <si>
    <t>1698 Golden Goat</t>
  </si>
  <si>
    <t>1941 Blueberry Headband</t>
  </si>
  <si>
    <t>3026 Bubblegum</t>
  </si>
  <si>
    <t>1534 Cannatonic</t>
  </si>
  <si>
    <t>1699 Purple Train</t>
  </si>
  <si>
    <t>1943 Lilac Diesel</t>
  </si>
  <si>
    <t>3027 Tropicana Cookies</t>
  </si>
  <si>
    <t>1535 Hibiscus Sunrise</t>
  </si>
  <si>
    <t>1700 Hibiscus Sunrise</t>
  </si>
  <si>
    <t>1944 Cheese Quake</t>
  </si>
  <si>
    <t>3029 Meat Breath</t>
  </si>
  <si>
    <t>1536 Blue Dream</t>
  </si>
  <si>
    <t>1701 Gelato</t>
  </si>
  <si>
    <t>1945 Gelato Cake</t>
  </si>
  <si>
    <t>3031 Ukulele</t>
  </si>
  <si>
    <t>1537 Lost Tribe</t>
  </si>
  <si>
    <t>1703 Cherry Lime Haze</t>
  </si>
  <si>
    <t>1946 Mandarin Cookies</t>
  </si>
  <si>
    <t>3044 Grape Lean</t>
  </si>
  <si>
    <t>1538 Tangerine Snowday</t>
  </si>
  <si>
    <t>1704 Bubblegum</t>
  </si>
  <si>
    <t>1947 Chunky Berry Sorbet</t>
  </si>
  <si>
    <t>3048 Meat Breath</t>
  </si>
  <si>
    <t>1539 Lucy</t>
  </si>
  <si>
    <t>1705 Gelato Cake</t>
  </si>
  <si>
    <t>1948 Golden Goat</t>
  </si>
  <si>
    <t>3052 Tropicana Cookies</t>
  </si>
  <si>
    <t>1540 Golden Goat</t>
  </si>
  <si>
    <t>1706 Gupta</t>
  </si>
  <si>
    <t>1950 Cherry Lime Haze</t>
  </si>
  <si>
    <t>3054 Gelato Cake</t>
  </si>
  <si>
    <t>1541 Cherry Lime Haze</t>
  </si>
  <si>
    <t>1707 Blueberry Headband</t>
  </si>
  <si>
    <t>1951 Mandarin Cookies</t>
  </si>
  <si>
    <t>3060 Bubblegum</t>
  </si>
  <si>
    <t>1543 Green Crack</t>
  </si>
  <si>
    <t>1708 Crescendo</t>
  </si>
  <si>
    <t>1952 Bubblegum</t>
  </si>
  <si>
    <t>3062 Smoothie</t>
  </si>
  <si>
    <t>1544 Cheese Quake</t>
  </si>
  <si>
    <t>1709 Cheese Quake</t>
  </si>
  <si>
    <t>1953 Lilac Diesel</t>
  </si>
  <si>
    <t>3063 Rotten Rozay</t>
  </si>
  <si>
    <t>1545 Hoku Moku</t>
  </si>
  <si>
    <t>1710 Thelonius Skunk</t>
  </si>
  <si>
    <t>1954 Gelato Cake</t>
  </si>
  <si>
    <t>3064 Afternoon Delight</t>
  </si>
  <si>
    <t>1546 Mile High Purps</t>
  </si>
  <si>
    <t>1720 Hoku Moku</t>
  </si>
  <si>
    <t>1955 Robert Plant</t>
  </si>
  <si>
    <t>3066 Meat Breath</t>
  </si>
  <si>
    <t>1547 Girl Scout Cookie</t>
  </si>
  <si>
    <t>1721 Robert Plant</t>
  </si>
  <si>
    <t>1956 Afternoon Delight</t>
  </si>
  <si>
    <t>3067 Robert Plant</t>
  </si>
  <si>
    <t>1548 Gupta</t>
  </si>
  <si>
    <t>1722 Cherry Lime Haze</t>
  </si>
  <si>
    <t>1958 Gelato</t>
  </si>
  <si>
    <t>3068 Super Lemon Haze</t>
  </si>
  <si>
    <t>1549 Afternoon Delight</t>
  </si>
  <si>
    <t>1723 Bubblegum</t>
  </si>
  <si>
    <t>1959 Super Lemon Haze</t>
  </si>
  <si>
    <t>3069 Blueberry Headband</t>
  </si>
  <si>
    <t>1550 Pakistani</t>
  </si>
  <si>
    <t>1724 Mandarin Sunset</t>
  </si>
  <si>
    <t>1960 Robert Plant</t>
  </si>
  <si>
    <t>3070 Tropicana Cookies</t>
  </si>
  <si>
    <t>1551 Robert Plant</t>
  </si>
  <si>
    <t>1726 Pakistani</t>
  </si>
  <si>
    <t>1961 Ukulele</t>
  </si>
  <si>
    <t>3071 Cheese Quake</t>
  </si>
  <si>
    <t>1552 Super Lemon Haze</t>
  </si>
  <si>
    <t>1727 Blueberry Headband</t>
  </si>
  <si>
    <t>1962 Lilac Diesel</t>
  </si>
  <si>
    <t>3072 Tangerine Snow Day</t>
  </si>
  <si>
    <t>1554 San Fernando Valley</t>
  </si>
  <si>
    <t>1728 Gelato Cake</t>
  </si>
  <si>
    <t>1964 Gelato Cake</t>
  </si>
  <si>
    <t>3080 Meat Breath</t>
  </si>
  <si>
    <t>1555 Crescendo</t>
  </si>
  <si>
    <t>1730 Tangerine Snowday</t>
  </si>
  <si>
    <t>1965 Bubblegum</t>
  </si>
  <si>
    <t>3081 Tangerine Snow Day</t>
  </si>
  <si>
    <t>1556 Glueball</t>
  </si>
  <si>
    <t>1731 Purple Train</t>
  </si>
  <si>
    <t>1966 Gupta Kush</t>
  </si>
  <si>
    <t>3082 Rotten Rozay</t>
  </si>
  <si>
    <t>1557 Gelato</t>
  </si>
  <si>
    <t>1733 Super Lemon Haze</t>
  </si>
  <si>
    <t>1967 Chunky Berry Sorbet</t>
  </si>
  <si>
    <t>3083 Lost Tribe</t>
  </si>
  <si>
    <t>1558 Gelato Cake</t>
  </si>
  <si>
    <t>1734 Cheese Quake</t>
  </si>
  <si>
    <t>1970 Afternoon Delight</t>
  </si>
  <si>
    <t>3084 Afternoon Delight</t>
  </si>
  <si>
    <t>1559 Thelonius Skunk</t>
  </si>
  <si>
    <t>1735 Lucy</t>
  </si>
  <si>
    <t>1971 Blueberry Headband</t>
  </si>
  <si>
    <t>3085 Grape Lean</t>
  </si>
  <si>
    <t>1560 Island Sweet Skunk</t>
  </si>
  <si>
    <t>1736 Island Sweet Skunk</t>
  </si>
  <si>
    <t>1972 Bubblegum</t>
  </si>
  <si>
    <t>3086 Robert Plant</t>
  </si>
  <si>
    <t>1570 Blue Dream</t>
  </si>
  <si>
    <t>1737 Crescendo</t>
  </si>
  <si>
    <t>1973 Cherry Lime Haze</t>
  </si>
  <si>
    <t>3087 Bubblegum</t>
  </si>
  <si>
    <t>1571 Bubblegum</t>
  </si>
  <si>
    <t>1738 Gupta</t>
  </si>
  <si>
    <t>1974 Chunky Berry Sorbet</t>
  </si>
  <si>
    <t>3088 Super Lemon Haze</t>
  </si>
  <si>
    <t>1572 Cheese Quake</t>
  </si>
  <si>
    <t>1739 Mandarin Cookies</t>
  </si>
  <si>
    <t>1975 Gelato</t>
  </si>
  <si>
    <t>3089 Tropicana Cookies</t>
  </si>
  <si>
    <t>1573 Gelato</t>
  </si>
  <si>
    <t>1751 Gelato Cake</t>
  </si>
  <si>
    <t>1976 Gelato Cake</t>
  </si>
  <si>
    <t>3090 Meat Breath</t>
  </si>
  <si>
    <t>1574 Pakistani</t>
  </si>
  <si>
    <t>1752 Hibiscus Sunrise</t>
  </si>
  <si>
    <t>1977 Gupta Kush</t>
  </si>
  <si>
    <t>3091 Blueberry Headband</t>
  </si>
  <si>
    <t>1575 Cannatonic</t>
  </si>
  <si>
    <t>1753 Cherry Lime Haze</t>
  </si>
  <si>
    <t>1979 Lilac Diesel</t>
  </si>
  <si>
    <t>3092 Rotten Rozay</t>
  </si>
  <si>
    <t>1576 Lucy</t>
  </si>
  <si>
    <t>1755 Super Lemon Haze</t>
  </si>
  <si>
    <t>1980 Mandarin Cookies</t>
  </si>
  <si>
    <t>3093 Robert Plant</t>
  </si>
  <si>
    <t>1577 Lost Tribe</t>
  </si>
  <si>
    <t>1756 Pakistan</t>
  </si>
  <si>
    <t>1981 Robert Plant</t>
  </si>
  <si>
    <t>3094 Gupta</t>
  </si>
  <si>
    <t>1578 Mandarin Cookies</t>
  </si>
  <si>
    <t>1756 Pakistani</t>
  </si>
  <si>
    <t>1982 Super Lemon Haze</t>
  </si>
  <si>
    <t>3095 Super Lemon Haze</t>
  </si>
  <si>
    <t>1579 Girl Scout Cookie</t>
  </si>
  <si>
    <t>1757 Mandarin Cookies</t>
  </si>
  <si>
    <t>1983 Tangerine Snowday</t>
  </si>
  <si>
    <t>3096 Bubblegum</t>
  </si>
  <si>
    <t>1580 Golden Goat</t>
  </si>
  <si>
    <t>1758 Golden Goat</t>
  </si>
  <si>
    <t>1985 Afternoon Delight 3097 Grape Lean</t>
  </si>
  <si>
    <t>1581 Robert Plant</t>
  </si>
  <si>
    <t>1759 Cheese Quake</t>
  </si>
  <si>
    <t>1986 Blueberry Headband</t>
  </si>
  <si>
    <t>3098 Tropicana Cookies</t>
  </si>
  <si>
    <t>1582 Cindy 99</t>
  </si>
  <si>
    <t>1760 Afternoon Delight</t>
  </si>
  <si>
    <t>1987 Bubblegum</t>
  </si>
  <si>
    <t>3099 Tangerine Snow Day</t>
  </si>
  <si>
    <t>1583 Thelonius Skunk</t>
  </si>
  <si>
    <t>1761 Crescendo</t>
  </si>
  <si>
    <t>1989 Cherry Lime Haze</t>
  </si>
  <si>
    <t>3150 Headband</t>
  </si>
  <si>
    <t>1584 Tangerine Snowday</t>
  </si>
  <si>
    <t>1762 Bubblegum</t>
  </si>
  <si>
    <t>1990 Chunky Berry Sorbet</t>
  </si>
  <si>
    <t>3151 Strawberry Guava</t>
  </si>
  <si>
    <t>1585 Super Lemon Haze</t>
  </si>
  <si>
    <t>1763 Chunky Pineapple Sorbet</t>
  </si>
  <si>
    <t>1991 Gelato</t>
  </si>
  <si>
    <t>3152 Robert Plant</t>
  </si>
  <si>
    <t>1586 Hibiscus Sunrise</t>
  </si>
  <si>
    <t>1765 Gupta</t>
  </si>
  <si>
    <t>1992 Gelato Cake</t>
  </si>
  <si>
    <t>3153 Golden Goat</t>
  </si>
  <si>
    <t>1587 Tangerine Sunrise</t>
  </si>
  <si>
    <t>1769 Blueberry Headband</t>
  </si>
  <si>
    <t>1993 Golden Goat</t>
  </si>
  <si>
    <t>3154 Bubba's Sis</t>
  </si>
  <si>
    <t>1588 Cherry Lime Haze</t>
  </si>
  <si>
    <t>1771 Gelato</t>
  </si>
  <si>
    <t>1994 Gupta Kush</t>
  </si>
  <si>
    <t>3155 Smoothie</t>
  </si>
  <si>
    <t>1589 Scepter</t>
  </si>
  <si>
    <t>1773 Island Sweet Skunk</t>
  </si>
  <si>
    <t>1995 Lilac Diesel</t>
  </si>
  <si>
    <t>3156 Durban Poison</t>
  </si>
  <si>
    <t>1591 Glueball</t>
  </si>
  <si>
    <t>1780 Cheese Quake</t>
  </si>
  <si>
    <t>1996 Mandarin Cookies</t>
  </si>
  <si>
    <t>3157 Meat Breath</t>
  </si>
  <si>
    <t>1592 Crescendo</t>
  </si>
  <si>
    <t>1781 Blueberry Headband</t>
  </si>
  <si>
    <t>1997 Robert Plant</t>
  </si>
  <si>
    <t>3158 Bubblegum</t>
  </si>
  <si>
    <t>1593 Island Sweet Skunk</t>
  </si>
  <si>
    <t>1782 Bubblegum</t>
  </si>
  <si>
    <t>1998 Super Lemon Haze</t>
  </si>
  <si>
    <t>3159 Lost Tribe</t>
  </si>
  <si>
    <t>1594 Afternoon Delight</t>
  </si>
  <si>
    <t>1783 Gelato</t>
  </si>
  <si>
    <t>1999 Tropicana Cookies</t>
  </si>
  <si>
    <t>3160 Tangerine Snow Day</t>
  </si>
  <si>
    <t>1600 Cheese Quake</t>
  </si>
  <si>
    <t>1784 Gelato Cake</t>
  </si>
  <si>
    <t>2000 Lilac Diesel</t>
  </si>
  <si>
    <t>3170 Nina's Web</t>
  </si>
  <si>
    <t>1601 Lucy 1785 Sour Diesel 2001 Robert Plant 3172 Skunk</t>
  </si>
  <si>
    <t>1602 Tangerine Sunrise</t>
  </si>
  <si>
    <t>1786 Lilac Diesel</t>
  </si>
  <si>
    <t>2002 Hoku Moku</t>
  </si>
  <si>
    <t>3173 Super Lemon Dragon</t>
  </si>
  <si>
    <t>1603 Girl Scout Cookie</t>
  </si>
  <si>
    <t>1787 Robert Plant</t>
  </si>
  <si>
    <t>2003 Mandarin Cookies</t>
  </si>
  <si>
    <t>3174 Deaths Breath</t>
  </si>
  <si>
    <t>1604 Bubblegum</t>
  </si>
  <si>
    <t>1789 Crescendo</t>
  </si>
  <si>
    <t>2004 Gupta Kush</t>
  </si>
  <si>
    <t>3175 Cheese Quake</t>
  </si>
  <si>
    <t>1605 Gupta</t>
  </si>
  <si>
    <t>1790 Purple Train</t>
  </si>
  <si>
    <t>2005 Cherry Lime Haze</t>
  </si>
  <si>
    <t>3176 Meat Breath</t>
  </si>
  <si>
    <t>1606 Blueberry Headband</t>
  </si>
  <si>
    <t>1791 Super Lemon Haze</t>
  </si>
  <si>
    <t>2006 Gelato Cake</t>
  </si>
  <si>
    <t>3178 Tropicana Cookies</t>
  </si>
  <si>
    <t>1607 San Fernando Valley</t>
  </si>
  <si>
    <t>1800 Cheese Quake</t>
  </si>
  <si>
    <t>2007 Bubblegum</t>
  </si>
  <si>
    <t>3179 Golden Goat</t>
  </si>
  <si>
    <t>1608 Pakistani</t>
  </si>
  <si>
    <t>1801 Gelato Cake</t>
  </si>
  <si>
    <t>2010 Ukulele</t>
  </si>
  <si>
    <t>3180 Smoothie</t>
  </si>
  <si>
    <t>1609 Robert Plant</t>
  </si>
  <si>
    <t>1802 Robert Plant</t>
  </si>
  <si>
    <t>2011 Bubblegum</t>
  </si>
  <si>
    <t>3181 Bubba's Sis</t>
  </si>
  <si>
    <t>1610 Hibiscus Sunrise</t>
  </si>
  <si>
    <t>1803 Cherry Lime Haze</t>
  </si>
  <si>
    <t>2013 Cherry Lime Haze</t>
  </si>
  <si>
    <t>3182 Strawberry Guava</t>
  </si>
  <si>
    <t>1611 Scepter</t>
  </si>
  <si>
    <t>1804 Crescendo</t>
  </si>
  <si>
    <t>2014 Gelato Cake</t>
  </si>
  <si>
    <t>3183 Robert Plant</t>
  </si>
  <si>
    <t>1612 Super Lemon Haze</t>
  </si>
  <si>
    <t>1806 Blueberry Headband</t>
  </si>
  <si>
    <t>2015 Cheese Quake</t>
  </si>
  <si>
    <t>3184 Tangerine Snow Day</t>
  </si>
  <si>
    <t>1613 Lost Tribe</t>
  </si>
  <si>
    <t>1807 Mandarin Cookies</t>
  </si>
  <si>
    <t>2016 Robert Plant</t>
  </si>
  <si>
    <t>3185 Headband</t>
  </si>
  <si>
    <t>1614 Gelato</t>
  </si>
  <si>
    <t>1808 Super Lemon Haze</t>
  </si>
  <si>
    <t>2017 Afternoon Delight</t>
  </si>
  <si>
    <t>3186 Durban Poison</t>
  </si>
  <si>
    <t>1615 Gelato Cake</t>
  </si>
  <si>
    <t>1809 Gelato</t>
  </si>
  <si>
    <t>2018 Mandarin Cookies</t>
  </si>
  <si>
    <t>3187 Super Lemon Haze</t>
  </si>
  <si>
    <t>1616 Thelonius Skunk</t>
  </si>
  <si>
    <t>1810 Bubblegum</t>
  </si>
  <si>
    <t>2019 Gelato</t>
  </si>
  <si>
    <t>3190 Jack Herer</t>
  </si>
  <si>
    <t>1617 Tangerine Snowday</t>
  </si>
  <si>
    <t>1811 Nina's Web</t>
  </si>
  <si>
    <t>2020 Blueberry Headband</t>
  </si>
  <si>
    <t>3191 Robert Plant</t>
  </si>
  <si>
    <t>1618 Afternoon Delight</t>
  </si>
  <si>
    <t>1814 Afternoon Delight</t>
  </si>
  <si>
    <t>2021 Lilac Diesel</t>
  </si>
  <si>
    <t>3192 Headband</t>
  </si>
  <si>
    <t>1619 Golden Goat</t>
  </si>
  <si>
    <t>1815 Tangerine Snowday</t>
  </si>
  <si>
    <t>2022 Hoku Moku</t>
  </si>
  <si>
    <t>3194 Meat Breath</t>
  </si>
  <si>
    <t>1620 Island Sweet Skunk</t>
  </si>
  <si>
    <t>1816 Purple Train</t>
  </si>
  <si>
    <t>2023 Runtz</t>
  </si>
  <si>
    <t>3195 Strawberry Guava</t>
  </si>
  <si>
    <t>1621 Mile High Purps 1&amp;2</t>
  </si>
  <si>
    <t>1820 Krishna</t>
  </si>
  <si>
    <t>2024 Meat Breath</t>
  </si>
  <si>
    <t>3197 Smoothie</t>
  </si>
  <si>
    <t>1622 Green Crack 123</t>
  </si>
  <si>
    <t>1821 Hibiscus Sunrise</t>
  </si>
  <si>
    <t>2026 Tangerine Snowday</t>
  </si>
  <si>
    <t>3198 Afternoon Delight</t>
  </si>
  <si>
    <t>1623 Mandarin Cookies</t>
  </si>
  <si>
    <t>1822 Cheese Quake</t>
  </si>
  <si>
    <t>2027 Gupta</t>
  </si>
  <si>
    <t>3199 Durban Poison</t>
  </si>
  <si>
    <t>1630 Hoku Moku</t>
  </si>
  <si>
    <t>1823 Hoku Moku</t>
  </si>
  <si>
    <t>2030 Blueberry Headband</t>
  </si>
  <si>
    <t>3200 Golden Goat</t>
  </si>
  <si>
    <t>1631 Thelonius Skunk</t>
  </si>
  <si>
    <t>1824 Gelato Cake</t>
  </si>
  <si>
    <t>2031 Gelato Cake</t>
  </si>
  <si>
    <t>3201 Rotten Rozay</t>
  </si>
  <si>
    <t>1632 Lucy</t>
  </si>
  <si>
    <t>1825 Afternoon Delight</t>
  </si>
  <si>
    <t>2032 Super Lemon Haze</t>
  </si>
  <si>
    <t>3202 Gupta Kush</t>
  </si>
  <si>
    <t>1633 Krishna</t>
  </si>
  <si>
    <t>1826 Golden Goat</t>
  </si>
  <si>
    <t>2033 Karl Malone</t>
  </si>
  <si>
    <t>3203 Tangerine Snow Day</t>
  </si>
  <si>
    <t>1634 Robert Plant</t>
  </si>
  <si>
    <t>1827 Cherry Lime Haze</t>
  </si>
  <si>
    <t>2035 Robert Plant</t>
  </si>
  <si>
    <t>3206 Durban Poison</t>
  </si>
  <si>
    <t>1635 Super Lemon Haze</t>
  </si>
  <si>
    <t>1828 Super Lemon Haze</t>
  </si>
  <si>
    <t>2036 Cherry Lime Haze</t>
  </si>
  <si>
    <t>3207 Super Lemon Haze</t>
  </si>
  <si>
    <t>1636 Cherry Lime Haze</t>
  </si>
  <si>
    <t>1829 Blueberry Headband</t>
  </si>
  <si>
    <t>2038 Tangerine Snowday</t>
  </si>
  <si>
    <t>3208 Bubblegum</t>
  </si>
  <si>
    <t>1637 Cheese Quake</t>
  </si>
  <si>
    <t>1830 Robert Plant</t>
  </si>
  <si>
    <t>2039 Golden Goat</t>
  </si>
  <si>
    <t>3210 Lost Tribe</t>
  </si>
  <si>
    <t>1638 Bubblegum</t>
  </si>
  <si>
    <t>1831 Crescendo</t>
  </si>
  <si>
    <t>2040 Gelato</t>
  </si>
  <si>
    <t>3211 Light of Venus</t>
  </si>
  <si>
    <t>1639 Mandarin Cookies</t>
  </si>
  <si>
    <t>1832 Mandarin Sunset</t>
  </si>
  <si>
    <t>2041 Meat Breath</t>
  </si>
  <si>
    <t>3212 Don Carlos</t>
  </si>
  <si>
    <t>1640 Pakistani</t>
  </si>
  <si>
    <t>1833 Mandarin Cookies</t>
  </si>
  <si>
    <t>2042 Runtz</t>
  </si>
  <si>
    <t>3213 Tropicana Cookies</t>
  </si>
  <si>
    <t>1641 Tangerine Snowday</t>
  </si>
  <si>
    <t>1835 Bubblegum</t>
  </si>
  <si>
    <t>2043 Mandarin Cookies</t>
  </si>
  <si>
    <t>3216 Robert Plant</t>
  </si>
  <si>
    <t>1642 Gelato</t>
  </si>
  <si>
    <t>1842 Cheese Quake</t>
  </si>
  <si>
    <t>2050 Hoku Moku</t>
  </si>
  <si>
    <t>3217 Headband</t>
  </si>
  <si>
    <t>1643 Gelato Cake</t>
  </si>
  <si>
    <t>1847 Purple Train</t>
  </si>
  <si>
    <t>2051 Super Lemon Haze</t>
  </si>
  <si>
    <t>3219 Ghan Daddy</t>
  </si>
  <si>
    <t>1644 Cannatonic</t>
  </si>
  <si>
    <t>1852 Crescendo</t>
  </si>
  <si>
    <t>2053 Cheese Quake</t>
  </si>
  <si>
    <t>3220 Smoothie</t>
  </si>
  <si>
    <t>1646 Island Sweet Skunk</t>
  </si>
  <si>
    <t>1852 Ukulele</t>
  </si>
  <si>
    <t>2054 Runtz</t>
  </si>
  <si>
    <t>3231 Tangerine Snow Day</t>
  </si>
  <si>
    <t>1647 Blueberry Headband</t>
  </si>
  <si>
    <t>1854 Tangerine Snowday</t>
  </si>
  <si>
    <t>2055 Blueberry Headband</t>
  </si>
  <si>
    <t>3234 Headband</t>
  </si>
  <si>
    <t>1648 Tangerine Sunrise</t>
  </si>
  <si>
    <t>1861 Gelato</t>
  </si>
  <si>
    <t>2056 Gelato Cake</t>
  </si>
  <si>
    <t>3236 Smoothie</t>
  </si>
  <si>
    <t>1649 Lost Tribe</t>
  </si>
  <si>
    <t>1862 Lilac Diesel</t>
  </si>
  <si>
    <t>Washington Bud Company</t>
  </si>
  <si>
    <t>2057 Rotten Rozay</t>
  </si>
  <si>
    <t>3237 Afternoon Delight</t>
  </si>
  <si>
    <t>1650 Afternoon Delight</t>
  </si>
  <si>
    <t>1863 Cherry Lime Haze</t>
  </si>
  <si>
    <t>2058 Meat Breath</t>
  </si>
  <si>
    <t>3238 Strawberry Guava</t>
  </si>
  <si>
    <t>1661 Bubblegum</t>
  </si>
  <si>
    <t>1864 Blueberry Headband</t>
  </si>
  <si>
    <t>2059 Tangerine Snow Day</t>
  </si>
  <si>
    <t>3240 Durban Poison</t>
  </si>
  <si>
    <t>1662 Gupta</t>
  </si>
  <si>
    <t>1865 Gelato Cake</t>
  </si>
  <si>
    <t>2060 Nina's Web</t>
  </si>
  <si>
    <t>3241 Lost Tribe</t>
  </si>
  <si>
    <t>1663 Hibiscus Sunrise</t>
  </si>
  <si>
    <t>1866 Crescendo</t>
  </si>
  <si>
    <t>2065 Afternoon Delight</t>
  </si>
  <si>
    <t>3250 Meat Breath</t>
  </si>
  <si>
    <t>1664 Crescendo</t>
  </si>
  <si>
    <t>https://www.thecannabist.co/2015/12/04/pesticide-pot-recall-list-marijuana/44711/</t>
  </si>
  <si>
    <t>1868 Bubblegum</t>
  </si>
  <si>
    <t>2066 Cheese Quake</t>
  </si>
  <si>
    <t>3251 Robert Plant</t>
  </si>
  <si>
    <t>1665 Tangerine Sunrise</t>
  </si>
  <si>
    <t>1869 Mandarin Cookies</t>
  </si>
  <si>
    <t>2068 Super Lemon Haze</t>
  </si>
  <si>
    <t>3252 Rotten Rozay</t>
  </si>
  <si>
    <t>1666 Robert Plant</t>
  </si>
  <si>
    <t>Mountain High Suckers</t>
  </si>
  <si>
    <t>1900 Mandarin Cookies</t>
  </si>
  <si>
    <t>2069 Robert Plant</t>
  </si>
  <si>
    <t>3253 Don Carlos</t>
  </si>
  <si>
    <t>1667 Ukulele</t>
  </si>
  <si>
    <t>1901 Afternoon Delight</t>
  </si>
  <si>
    <t>2070 Ukulele</t>
  </si>
  <si>
    <t>3254 Tangerine Snow Day</t>
  </si>
  <si>
    <t>1668 Girl Scout Cookie</t>
  </si>
  <si>
    <t>1902 Gupta</t>
  </si>
  <si>
    <t>2071 Gupta</t>
  </si>
  <si>
    <t>City Recall Page</t>
  </si>
  <si>
    <t>3255 Super Lemon Haze</t>
  </si>
  <si>
    <t>1669 Cannatonic</t>
  </si>
  <si>
    <t>1905 Bubblegum</t>
  </si>
  <si>
    <t>2072 Blueberry Headband</t>
  </si>
  <si>
    <t>3256 Smoothie</t>
  </si>
  <si>
    <t>1670 Pakistani</t>
  </si>
  <si>
    <t>1906 Gelato</t>
  </si>
  <si>
    <t>2073 Lilac Diesel</t>
  </si>
  <si>
    <t>3257 Death's Breath</t>
  </si>
  <si>
    <t>1671 Super Lemon Haze</t>
  </si>
  <si>
    <t>1907 Cheese Quake</t>
  </si>
  <si>
    <t>2074 Gelato</t>
  </si>
  <si>
    <t>3258 Headband</t>
  </si>
  <si>
    <t>1672 Scepter</t>
  </si>
  <si>
    <t>EdiPure</t>
  </si>
  <si>
    <t>1908 Golden Goat</t>
  </si>
  <si>
    <t>2076 Bubblegum</t>
  </si>
  <si>
    <t>3260 Super Lemon Dragon</t>
  </si>
  <si>
    <t>1674 Golden Goat</t>
  </si>
  <si>
    <t>1910 Super Lemon Haze</t>
  </si>
  <si>
    <t>2077 Tangerine Snow Day</t>
  </si>
  <si>
    <t>3262 Nina's Web</t>
  </si>
  <si>
    <t>1675 Lost Tribe</t>
  </si>
  <si>
    <t>1911 Crescendo</t>
  </si>
  <si>
    <t>2079 Meat Breath</t>
  </si>
  <si>
    <t>3263 Skunk</t>
  </si>
  <si>
    <t>1676 Afternoon Delight</t>
  </si>
  <si>
    <t>1912 Robert Plant</t>
  </si>
  <si>
    <t>3000 Super Lemon Haze</t>
  </si>
  <si>
    <t>3264 Durban Poison</t>
  </si>
  <si>
    <t>1677 Mandarin Cookies</t>
  </si>
  <si>
    <t>1920 Hoku Moku</t>
  </si>
  <si>
    <t>Caviar Kings, Neos, RevTec</t>
  </si>
  <si>
    <t>3001 Meat Breath</t>
  </si>
  <si>
    <t>3265 Golden Goat</t>
  </si>
  <si>
    <t>1678 Glueball</t>
  </si>
  <si>
    <t>1922 Pineapple Whip</t>
  </si>
  <si>
    <t>3002 Gelato</t>
  </si>
  <si>
    <t>3271 Headband</t>
  </si>
  <si>
    <t>1679 Cherry Lime Haze</t>
  </si>
  <si>
    <t>1923 Chunky Berry Sorbet</t>
  </si>
  <si>
    <t>3004 Gelato Cake</t>
  </si>
  <si>
    <t>3272 Strawberry Guava</t>
  </si>
  <si>
    <t>1680 Thelonius Skunk</t>
  </si>
  <si>
    <t>1924 Gelato Cake</t>
  </si>
  <si>
    <t>3005 Rotten Rozay</t>
  </si>
  <si>
    <t>3273 Ghan Daddy</t>
  </si>
  <si>
    <t>1681 Gelato</t>
  </si>
  <si>
    <t>1926 Cheese Quake</t>
  </si>
  <si>
    <t>3006 Blueberry Headband</t>
  </si>
  <si>
    <t>3274 Light of Venus</t>
  </si>
  <si>
    <t>1682 Gelato Cake</t>
  </si>
  <si>
    <t>Advanced Medical Alternatives</t>
  </si>
  <si>
    <t>1927 Golden Goat</t>
  </si>
  <si>
    <t>3007 Tangerine Snow Day</t>
  </si>
  <si>
    <t>3281 Super Lemon Haze</t>
  </si>
  <si>
    <t>1683 Island Sweet Skunk</t>
  </si>
  <si>
    <t>1928 Krishna</t>
  </si>
  <si>
    <t>3008 Robert Plant</t>
  </si>
  <si>
    <t>3282 Smoothie</t>
  </si>
  <si>
    <t>1684 Nina's Web</t>
  </si>
  <si>
    <t>1930 Blueberry Headband</t>
  </si>
  <si>
    <t>3012 Tangerine Snowday</t>
  </si>
  <si>
    <t>3290 Bubblegum</t>
  </si>
  <si>
    <t>1685 Tangerine Snow Day</t>
  </si>
  <si>
    <t>1931 Mandarin Cookies</t>
  </si>
  <si>
    <t>3015 Gelato</t>
  </si>
  <si>
    <t>3291 LIght of Venus</t>
  </si>
  <si>
    <t>1691 Glue Ball</t>
  </si>
  <si>
    <t>1933 Bubblegum</t>
  </si>
  <si>
    <t>3017 Gelato Cake</t>
  </si>
  <si>
    <t>B3296 Jack Herer</t>
  </si>
  <si>
    <t>1692 Super Lemon Haze</t>
  </si>
  <si>
    <t>1935 Afternoon Delight</t>
  </si>
  <si>
    <t>3018 Gupta</t>
  </si>
  <si>
    <t>B3298 Light of Venus</t>
  </si>
  <si>
    <t>1693 Mandarin Cookies</t>
  </si>
  <si>
    <t>1936 Tangerine Snowday</t>
  </si>
  <si>
    <t>3020 Afternoon Delight</t>
  </si>
  <si>
    <t>B3299 GhanDaddy</t>
  </si>
  <si>
    <t>1694 Mandarin Sunset</t>
  </si>
  <si>
    <t>1937 Pineapple Whip</t>
  </si>
  <si>
    <t>3021 Blueberry Headband</t>
  </si>
  <si>
    <t>B3300 SuperLemonHaze</t>
  </si>
  <si>
    <t>B3302 Jack Herer</t>
  </si>
  <si>
    <t>B3311 Super Lemon Haze</t>
  </si>
  <si>
    <t>B3312 Ghandaddy</t>
  </si>
  <si>
    <t>B3313 Banana OG</t>
  </si>
  <si>
    <t>B3314 Honey Banana</t>
  </si>
  <si>
    <t>B-11</t>
  </si>
  <si>
    <t>B-20</t>
  </si>
  <si>
    <t>B-29</t>
  </si>
  <si>
    <t>B-38</t>
  </si>
  <si>
    <t>B-48</t>
  </si>
  <si>
    <t>B-326</t>
  </si>
  <si>
    <t>B-12</t>
  </si>
  <si>
    <t>B-21</t>
  </si>
  <si>
    <t>B-30</t>
  </si>
  <si>
    <t>B-39</t>
  </si>
  <si>
    <t>B-49</t>
  </si>
  <si>
    <t>B-331</t>
  </si>
  <si>
    <t>B-13</t>
  </si>
  <si>
    <t>B-22</t>
  </si>
  <si>
    <t>B-31</t>
  </si>
  <si>
    <t>B-40</t>
  </si>
  <si>
    <t>B-50</t>
  </si>
  <si>
    <t>B-335</t>
  </si>
  <si>
    <t>B-14</t>
  </si>
  <si>
    <t>B-23</t>
  </si>
  <si>
    <t>B-32</t>
  </si>
  <si>
    <t>B-41</t>
  </si>
  <si>
    <t>B-51</t>
  </si>
  <si>
    <t>B-15</t>
  </si>
  <si>
    <t>B-24</t>
  </si>
  <si>
    <t>B-33</t>
  </si>
  <si>
    <t>https://web.archive.org/web/20160913215642/https://www.denvergov.org/content/denvergov/en/environmental-health/about-us/news-room/2015/edipure-recalls-marijuana-products-due-to-pesticide-residues.html</t>
  </si>
  <si>
    <t>B-42</t>
  </si>
  <si>
    <t>B-298</t>
  </si>
  <si>
    <t>B-336</t>
  </si>
  <si>
    <t>B-16</t>
  </si>
  <si>
    <t>B-25</t>
  </si>
  <si>
    <t>B-34</t>
  </si>
  <si>
    <t>B-43</t>
  </si>
  <si>
    <t>B-304</t>
  </si>
  <si>
    <t>B-338</t>
  </si>
  <si>
    <t>B-17</t>
  </si>
  <si>
    <t>B-26</t>
  </si>
  <si>
    <r>
      <rPr>
        <rFont val="tahoma, arial, helvetica, sans-serif"/>
        <color rgb="FF58595B"/>
        <sz val="9.0"/>
      </rPr>
      <t>Myclobutanil, Avermectin, and Imidacloprid</t>
    </r>
  </si>
  <si>
    <t>B-35</t>
  </si>
  <si>
    <t>B-44</t>
  </si>
  <si>
    <t>B-305</t>
  </si>
  <si>
    <t>B-339</t>
  </si>
  <si>
    <t>B-18</t>
  </si>
  <si>
    <t>B-27</t>
  </si>
  <si>
    <t>B-36</t>
  </si>
  <si>
    <t>B-45</t>
  </si>
  <si>
    <t>B-310</t>
  </si>
  <si>
    <t>B-341</t>
  </si>
  <si>
    <t>B-19</t>
  </si>
  <si>
    <t>B-28</t>
  </si>
  <si>
    <t>https://web.archive.org/web/20151216222102/http://www.denvergov.org/content/denvergov/en/environmental-health/about-us/news-room/2015/gaia_s-garden-recalls-marijuana-products-due-to-possible-pestici.html</t>
  </si>
  <si>
    <t>B-37</t>
  </si>
  <si>
    <t>B-46</t>
  </si>
  <si>
    <t>B-321</t>
  </si>
  <si>
    <t>B-344</t>
  </si>
  <si>
    <t>CO4502878</t>
  </si>
  <si>
    <t>1/18/23 Pineapple Express B5-6</t>
  </si>
  <si>
    <t>403-01526</t>
  </si>
  <si>
    <t>CO4502879b</t>
  </si>
  <si>
    <t>Scoops of Chem</t>
  </si>
  <si>
    <t>403R-00753</t>
  </si>
  <si>
    <t>Skunk</t>
  </si>
  <si>
    <r>
      <rPr>
        <rFont val="Lora, Georgia, Times, serif"/>
        <b/>
        <color rgb="FF222222"/>
        <sz val="13.0"/>
      </rPr>
      <t>Gaia’s Garden</t>
    </r>
  </si>
  <si>
    <t>CO4502879</t>
  </si>
  <si>
    <r>
      <rPr>
        <rFont val="Lora, Georgia, Times, serif"/>
        <b/>
        <color rgb="FF222222"/>
        <sz val="13.0"/>
      </rPr>
      <t>Gaia’s Garden</t>
    </r>
  </si>
  <si>
    <t>Scoops of Cream</t>
  </si>
  <si>
    <t>CO4503380</t>
  </si>
  <si>
    <t>Pablo Revenge Indoor 9/15/2022</t>
  </si>
  <si>
    <t>403-01096</t>
  </si>
  <si>
    <t>Runtz Indoor 9/15/2022</t>
  </si>
  <si>
    <t>Oreo Cake Indoor 9/15/2022</t>
  </si>
  <si>
    <t>Zero Gravity Indoor 9/15/2022</t>
  </si>
  <si>
    <t>Oatmeal Cookie 10/3/2022 OD</t>
  </si>
  <si>
    <t>CO4503380b</t>
  </si>
  <si>
    <t>A&amp;B Big Room 5/12/2022</t>
  </si>
  <si>
    <t>Oreoz Big Room 5/12/2022</t>
  </si>
  <si>
    <t>White Runtz Big Room 5/12/2022</t>
  </si>
  <si>
    <t>Blu Ivy Big Room 5/12/2022</t>
  </si>
  <si>
    <t>Snowman Big Room 5/12/2022</t>
  </si>
  <si>
    <t>Crush Berries Big Room 5/13/2022</t>
  </si>
  <si>
    <t>CO4505481</t>
  </si>
  <si>
    <t>F2 Biscotti Pancakes 2.8.2023</t>
  </si>
  <si>
    <t>403-01617</t>
  </si>
  <si>
    <t>F2 Blizzard 2.8.2023</t>
  </si>
  <si>
    <t>CO4505481b</t>
  </si>
  <si>
    <t>https://web.archive.org/web/20151205052712/https://www.denvergov.org/content/denvergov/en/environmental-health/about-us/news-room/2015/Marijuana-product-recall.html</t>
  </si>
  <si>
    <t>CO4505582</t>
  </si>
  <si>
    <t>082823WCZ.F</t>
  </si>
  <si>
    <t>403R-00691</t>
  </si>
  <si>
    <t>082823ZP.F</t>
  </si>
  <si>
    <t>082823KLM.F</t>
  </si>
  <si>
    <t>082823JJ.F</t>
  </si>
  <si>
    <t>082823FIZZ.F</t>
  </si>
  <si>
    <t>Lab710 Concentrates</t>
  </si>
  <si>
    <t>081523MC.B</t>
  </si>
  <si>
    <t>081523GMO.B</t>
  </si>
  <si>
    <t>081523SB.B</t>
  </si>
  <si>
    <t>08152023CP.B</t>
  </si>
  <si>
    <r>
      <rPr>
        <rFont val="proxima-nova, Arial, sans-serif"/>
        <color rgb="FF58595B"/>
        <sz val="11.0"/>
      </rPr>
      <t>Imidacloprid</t>
    </r>
  </si>
  <si>
    <t>080123CP.A</t>
  </si>
  <si>
    <t>080123FC.A</t>
  </si>
  <si>
    <t>Page 1 of 4</t>
  </si>
  <si>
    <t>080123JM.A</t>
  </si>
  <si>
    <t>080123JJ.A</t>
  </si>
  <si>
    <t>080123PC.A</t>
  </si>
  <si>
    <t>080123KLM.A</t>
  </si>
  <si>
    <t>072423JJ.C</t>
  </si>
  <si>
    <t>072423WCZ.C</t>
  </si>
  <si>
    <t>072423GMO.C</t>
  </si>
  <si>
    <t>072423SB.C</t>
  </si>
  <si>
    <t>071023PC.D</t>
  </si>
  <si>
    <t>https://web.archive.org/web/20160731234447/http://www.denvergov.org/content/denvergov/en/environmental-health/about-us/news-room/2015/gaia_s-garden-recalls-marijuana-products-due-to-possible-pestici.html</t>
  </si>
  <si>
    <t>2023-07-10- DRY ROOM-H</t>
  </si>
  <si>
    <t>071023KLM.D</t>
  </si>
  <si>
    <t>071023MC.D</t>
  </si>
  <si>
    <t>062623KLM.F</t>
  </si>
  <si>
    <t>062623GCT.F</t>
  </si>
  <si>
    <t>062623GMO.F</t>
  </si>
  <si>
    <t>061223PC.B</t>
  </si>
  <si>
    <t>Gaia’s Garden</t>
  </si>
  <si>
    <t>061223WCZ.B</t>
  </si>
  <si>
    <t>061223MC.B</t>
  </si>
  <si>
    <t>053123FJ2.A</t>
  </si>
  <si>
    <t>053123FJ.A</t>
  </si>
  <si>
    <t>053123FJ1.A</t>
  </si>
  <si>
    <t>053123AD.A</t>
  </si>
  <si>
    <t>2023-05-31- DRY ROOM-H</t>
  </si>
  <si>
    <t>053123GST.A</t>
  </si>
  <si>
    <t>053123PC.A</t>
  </si>
  <si>
    <t>053123MC.A</t>
  </si>
  <si>
    <t>052223BC.C</t>
  </si>
  <si>
    <t>052223GST.C</t>
  </si>
  <si>
    <t>052223PC.C</t>
  </si>
  <si>
    <t>052223GCT.C</t>
  </si>
  <si>
    <t>https://web.archive.org/web/20180429040251/http://www.denvergov.org/content/denvergov/en/environmental-health/about-us/news-room/2015/green-cross-recalls-marijuana-products-due-to-possible-pesticide.html</t>
  </si>
  <si>
    <t>052223PG.D</t>
  </si>
  <si>
    <t>050823KLM.D</t>
  </si>
  <si>
    <t>050823CR.D</t>
  </si>
  <si>
    <t>05082023PG.D</t>
  </si>
  <si>
    <t>042423CP.F</t>
  </si>
  <si>
    <t>042423WZ.F</t>
  </si>
  <si>
    <t>EdiPure/Green Cross</t>
  </si>
  <si>
    <t>042423BC.F</t>
  </si>
  <si>
    <t>041023PG.B</t>
  </si>
  <si>
    <t>41023SB.B</t>
  </si>
  <si>
    <t>41023KLM.B</t>
  </si>
  <si>
    <t>041023KLM.B</t>
  </si>
  <si>
    <t>041023SB.B</t>
  </si>
  <si>
    <t>041023JJ.B</t>
  </si>
  <si>
    <t>41023CR.B</t>
  </si>
  <si>
    <t>041023CR.B</t>
  </si>
  <si>
    <t>CO4505582b</t>
  </si>
  <si>
    <t>CO4505582c</t>
  </si>
  <si>
    <t>053123MC.</t>
  </si>
  <si>
    <t>CO4506983</t>
  </si>
  <si>
    <t>E2900 Glittles (Sold as Bud-E2900 Glittles)</t>
  </si>
  <si>
    <t>https://web.archive.org/web/20160913223522/https://www.denvergov.org/content/denvergov/en/environmental-health/about-us/news-room/2015/nature_s-cure-recalls-marijuana-products-due-to-possible-pestici.html</t>
  </si>
  <si>
    <t>MR179 Jam Sandwich (Sold as Popcorn - MR179 Jam Sandwich)</t>
  </si>
  <si>
    <t>HR1464 Axilla (Sold as Bud-LR 1464 Axilla)</t>
  </si>
  <si>
    <t>csc 221123 f1 (sold as Bud-Crescendo Sour Cookies)</t>
  </si>
  <si>
    <t>CO4508984</t>
  </si>
  <si>
    <t>Modified Grapes 12-13-22</t>
  </si>
  <si>
    <t>Mac n Cheese 12-13-22</t>
  </si>
  <si>
    <t>Phantom Cookies 10-14-22</t>
  </si>
  <si>
    <t>Lemon Hash Sour Diesel 4-12-23B (bud and sold as KCC Singles pre-rolls)</t>
  </si>
  <si>
    <t>Nature’s Cure/Colfax Pot Shop</t>
  </si>
  <si>
    <t>CO4509985b</t>
  </si>
  <si>
    <t>RGcane1/9/23</t>
  </si>
  <si>
    <t>403R-00179</t>
  </si>
  <si>
    <t>Member1.25</t>
  </si>
  <si>
    <t>Macncheese1/25</t>
  </si>
  <si>
    <r>
      <rPr>
        <rFont val="proxima-nova, Arial, sans-serif"/>
        <color rgb="FF58595B"/>
        <sz val="11.0"/>
      </rPr>
      <t>Spiromefesin</t>
    </r>
  </si>
  <si>
    <t>R13TRCK11.3.22</t>
  </si>
  <si>
    <t>RLilacD1/22/23</t>
  </si>
  <si>
    <t>CO4509985</t>
  </si>
  <si>
    <t>RGcake1/11/23</t>
  </si>
  <si>
    <t>CO4509985c</t>
  </si>
  <si>
    <t>R13NSM6.27.22</t>
  </si>
  <si>
    <t>R13CKCRS8.3.22</t>
  </si>
  <si>
    <t>R13GLCK8.9.22</t>
  </si>
  <si>
    <t>R13TRCK8.16.22</t>
  </si>
  <si>
    <t>R13LD2.14.22FF</t>
  </si>
  <si>
    <t>R13GBreath10.19</t>
  </si>
  <si>
    <t>https://web.archive.org/web/20160913222800/https://www.denvergov.org/content/denvergov/en/environmental-health/about-us/news-room/2015/two-denver-cultivation-facilities-recall-marijuana-products--due.html</t>
  </si>
  <si>
    <t>R13GRSH10/26/22</t>
  </si>
  <si>
    <t>R13GLBL11.3.22</t>
  </si>
  <si>
    <t>Gcake11/9/22</t>
  </si>
  <si>
    <t>Trop11.9.22</t>
  </si>
  <si>
    <t>TruCannabis/Colorado Care Facility</t>
  </si>
  <si>
    <t>CHTRP11/23</t>
  </si>
  <si>
    <t>Rmember12.12.22</t>
  </si>
  <si>
    <t>Rvixen12/16/22</t>
  </si>
  <si>
    <t>RGLBL1/2/23</t>
  </si>
  <si>
    <t>RGRSH1/2/23</t>
  </si>
  <si>
    <t>RTRCK1/9/23FF</t>
  </si>
  <si>
    <t>CHTRP1/17/2</t>
  </si>
  <si>
    <t>M13TRPCK8.16.22</t>
  </si>
  <si>
    <t>403-00117</t>
  </si>
  <si>
    <t>https://web.archive.org/web/20160913211656/https://www.denvergov.org/content/denvergov/en/environmental-health/about-us/news-room/2015/TwoBusinessesRecallMarijuanaProducts.html</t>
  </si>
  <si>
    <t>M13GRBR8.1.22</t>
  </si>
  <si>
    <t>M13CKCRS8.3.22</t>
  </si>
  <si>
    <t>M13GLCK8.9.22</t>
  </si>
  <si>
    <t>M13GLBL9.7.22</t>
  </si>
  <si>
    <t>M13SD9.8.22</t>
  </si>
  <si>
    <t>Sacred Seed</t>
  </si>
  <si>
    <t>CO4516286</t>
  </si>
  <si>
    <t>RNZ 1/4/23</t>
  </si>
  <si>
    <t>403-01300</t>
  </si>
  <si>
    <t>GC 2/8/23</t>
  </si>
  <si>
    <t>GC 2/22/23</t>
  </si>
  <si>
    <t>GP 2/8/23</t>
  </si>
  <si>
    <t>GP 1/4/23</t>
  </si>
  <si>
    <t>WMG 2/8/23</t>
  </si>
  <si>
    <t>CO4516286b</t>
  </si>
  <si>
    <t>DM 1/25/23</t>
  </si>
  <si>
    <t>MAC 1/25/23</t>
  </si>
  <si>
    <t>WMG 8/31/22</t>
  </si>
  <si>
    <t>DM 11/23/22</t>
  </si>
  <si>
    <t>MAC 11/23/22</t>
  </si>
  <si>
    <t>WRZ 11/23/22</t>
  </si>
  <si>
    <t>DXG 10/19/22</t>
  </si>
  <si>
    <t>MAC 9/21/22</t>
  </si>
  <si>
    <t>WRZ 3/29/23</t>
  </si>
  <si>
    <t>Denver-Rec</t>
  </si>
  <si>
    <t>GC 8/31/22</t>
  </si>
  <si>
    <t>RNZ 10/5/22</t>
  </si>
  <si>
    <t>WRZ 9/21/22</t>
  </si>
  <si>
    <t>GP 10/05/22</t>
  </si>
  <si>
    <t>RNZ 12/21/22</t>
  </si>
  <si>
    <t>ZZZ 8/31/22</t>
  </si>
  <si>
    <t>GP 11/2/22</t>
  </si>
  <si>
    <t>RNZ 3/8/23</t>
  </si>
  <si>
    <t>GP 8/31/22</t>
  </si>
  <si>
    <t>STZ 8/31/22</t>
  </si>
  <si>
    <t>JFG 8/31/22</t>
  </si>
  <si>
    <t>SWT 9/21/22</t>
  </si>
  <si>
    <t>JFG 10/5/22</t>
  </si>
  <si>
    <t>SWT 1/25/23</t>
  </si>
  <si>
    <t>https://web.archive.org/web/20160913223139/https://www.denvergov.org/content/denvergov/en/environmental-health/about-us/news-room/2015/mahatma-concentrates-recalls-marijuana-product-due-to-possible-p.html</t>
  </si>
  <si>
    <t>JP 10/19/22</t>
  </si>
  <si>
    <t>WMG 10/19/22</t>
  </si>
  <si>
    <t>CO4524687</t>
  </si>
  <si>
    <t>10-18-21FB</t>
  </si>
  <si>
    <t>403R-00953</t>
  </si>
  <si>
    <t>9-21-21PP</t>
  </si>
  <si>
    <t>10-10-21 I-95</t>
  </si>
  <si>
    <t>10-18-21SPOG</t>
  </si>
  <si>
    <t>CO4524687b</t>
  </si>
  <si>
    <t>10-18-21GOB</t>
  </si>
  <si>
    <t>Mahatma Concentrates</t>
  </si>
  <si>
    <t>10-17-21TWGB</t>
  </si>
  <si>
    <t>10-18-21TK</t>
  </si>
  <si>
    <t>10-11-21FBX</t>
  </si>
  <si>
    <t>10-18-21ICC</t>
  </si>
  <si>
    <t>CO4524688</t>
  </si>
  <si>
    <t>9-30-20I95</t>
  </si>
  <si>
    <t>403R-00467</t>
  </si>
  <si>
    <t>10-19-21Maui</t>
  </si>
  <si>
    <t>CO4524688c</t>
  </si>
  <si>
    <t>9-29-20DB</t>
  </si>
  <si>
    <t>10-5-20DI4</t>
  </si>
  <si>
    <t>10-5-20JU3</t>
  </si>
  <si>
    <t>10-9-20KK</t>
  </si>
  <si>
    <t>CO4524688b</t>
  </si>
  <si>
    <t xml:space="preserve">10-19-21SPOG </t>
  </si>
  <si>
    <t>10-13-21KK</t>
  </si>
  <si>
    <t>CO4526689</t>
  </si>
  <si>
    <t>I1570 22.02.01 MI</t>
  </si>
  <si>
    <t>403-01570</t>
  </si>
  <si>
    <t>I1570 22.07.26 DC</t>
  </si>
  <si>
    <t>I1570 22.07.26 SC</t>
  </si>
  <si>
    <t>I1570 22.07.26 OG</t>
  </si>
  <si>
    <t>I1570 22.12.13 TF</t>
  </si>
  <si>
    <t>I1570 22.07.26 OK</t>
  </si>
  <si>
    <t>CO4526689b</t>
  </si>
  <si>
    <t xml:space="preserve">I1570 22.07.26 BD </t>
  </si>
  <si>
    <t>I1570 22.06.21 SC</t>
  </si>
  <si>
    <t>CO4526689c</t>
  </si>
  <si>
    <t>I1570 21.12.28 BD</t>
  </si>
  <si>
    <t>Mammoth Distribution, Heavy Hitters</t>
  </si>
  <si>
    <t>I1570 22.02.25 CH</t>
  </si>
  <si>
    <t>I1570 22.05.17 PD</t>
  </si>
  <si>
    <t>I1570 21.12.28 CH</t>
  </si>
  <si>
    <t>I1570 22.02.25 DC</t>
  </si>
  <si>
    <t>I1570 22.05.17 SC</t>
  </si>
  <si>
    <t>I1570 21.12.28 DC</t>
  </si>
  <si>
    <t>I1570 22.02.25 DM</t>
  </si>
  <si>
    <t>I1570 22.06.21 DC</t>
  </si>
  <si>
    <t>I1570 21.12.28 DM</t>
  </si>
  <si>
    <t>I1570 22.02.25 DT</t>
  </si>
  <si>
    <t>I1570 22.06.21 DM</t>
  </si>
  <si>
    <t>I1570 21.12.28 DT</t>
  </si>
  <si>
    <t>I1570 22.02.25 GO</t>
  </si>
  <si>
    <t>I1570 22.06.21 GO</t>
  </si>
  <si>
    <t>I1570 21.12.28 GO</t>
  </si>
  <si>
    <t>I1570 22.02.25 IO</t>
  </si>
  <si>
    <t>I1570 22.06.21 JO</t>
  </si>
  <si>
    <t>https://recalls.cannabis.ca.gov/recalls/676060ab2dec600a5fdab838</t>
  </si>
  <si>
    <t>I1570 21.12.28 IO</t>
  </si>
  <si>
    <t>I1570 22.02.25 JO</t>
  </si>
  <si>
    <t>I1570 22.06.21 LS</t>
  </si>
  <si>
    <t>I1570 21.12.28 JO</t>
  </si>
  <si>
    <t>I1570 22.02.25 LC</t>
  </si>
  <si>
    <t>I1570 22.06.21 MI</t>
  </si>
  <si>
    <t>I1570 21.12.28 LC</t>
  </si>
  <si>
    <t>Glass House Farms Cannabis Flower Pre-Roll</t>
  </si>
  <si>
    <t>I1570 22.02.25 LS</t>
  </si>
  <si>
    <t>I1570 21.12.28 LS</t>
  </si>
  <si>
    <t>I1570 22.02.25 MI</t>
  </si>
  <si>
    <t>I1570 22.07.26 BB</t>
  </si>
  <si>
    <t>I1570 21.12.28 MI</t>
  </si>
  <si>
    <t>I1570 22.02.25 OG</t>
  </si>
  <si>
    <t>I1570 21.12.28 OG</t>
  </si>
  <si>
    <t>I1570 22.02.25 OK</t>
  </si>
  <si>
    <t>I1570 22.07.26 DM</t>
  </si>
  <si>
    <t>I1570 21.12.28 OK</t>
  </si>
  <si>
    <t>I1570 22.02.25 PD</t>
  </si>
  <si>
    <t>I1570 22.07.26 DT</t>
  </si>
  <si>
    <t>I1570 21.12.28 PD-A</t>
  </si>
  <si>
    <t>I1570 22.02.25 SC</t>
  </si>
  <si>
    <t>https://recalls.cannabis.ca.gov/recalls/67607b92e7333c2117ce13b7</t>
  </si>
  <si>
    <t>I1570 22.07.26 GO</t>
  </si>
  <si>
    <t>I1570 21.12.28 SC</t>
  </si>
  <si>
    <t>I1570 22.02.25 SF</t>
  </si>
  <si>
    <t>I1570 22.07.26 IP</t>
  </si>
  <si>
    <t>I1570 21.12.28 SF</t>
  </si>
  <si>
    <t>Flor Flower</t>
  </si>
  <si>
    <t>I1570 22.02.25 SK</t>
  </si>
  <si>
    <t>Purple Star MD Collective</t>
  </si>
  <si>
    <t>I1570 22.07.26 LC</t>
  </si>
  <si>
    <t>I1570 21.12.28 SK</t>
  </si>
  <si>
    <t>I1570 22.02.25 SN</t>
  </si>
  <si>
    <t>I1570 22.07.26 LS</t>
  </si>
  <si>
    <t>I1570 21.12.28 SN</t>
  </si>
  <si>
    <t>I1570 22.02.25 TF</t>
  </si>
  <si>
    <t>I1570 22.07.26 MI</t>
  </si>
  <si>
    <t>I1570 21.12.28 TF</t>
  </si>
  <si>
    <t>I1570 22.02.25 WW</t>
  </si>
  <si>
    <t>I1570 22.07.26 PD</t>
  </si>
  <si>
    <t>I1570 21.12.28 WW</t>
  </si>
  <si>
    <t>I1570 22.04.12 BB</t>
  </si>
  <si>
    <t>I1570 22.02.01 BB</t>
  </si>
  <si>
    <t>https://recalls.cannabis.ca.gov/recalls/67607b87e7333c2117ce13b5</t>
  </si>
  <si>
    <t>I1570 22.04.12 BD</t>
  </si>
  <si>
    <t>I1570 22.07.26 SK</t>
  </si>
  <si>
    <t>I1570 22.02.01 BD</t>
  </si>
  <si>
    <t>I1570 22.04.12 DC</t>
  </si>
  <si>
    <t>NHPR Flower</t>
  </si>
  <si>
    <t>I1570 22.07.26 SN</t>
  </si>
  <si>
    <t>BTD, Inc.</t>
  </si>
  <si>
    <t>I1570 22.02.01 CH</t>
  </si>
  <si>
    <t>I1570 22.04.12 DM</t>
  </si>
  <si>
    <t>I1570 22.08.30 BB</t>
  </si>
  <si>
    <t>https://recalls.cannabis.ca.gov/recalls/676061d02dec600a5fdab847</t>
  </si>
  <si>
    <t>West Coast Cure Live Resin Diamonds Concentrate</t>
  </si>
  <si>
    <t>https://recalls.cannabis.ca.gov/recalls/67607a8ce7333c2117ce13b0</t>
  </si>
  <si>
    <t>Vape Cartridges</t>
  </si>
  <si>
    <t>CUREpen Premium THC Oil Vape Cartridge</t>
  </si>
  <si>
    <t>I1570 22.02.01 DC</t>
  </si>
  <si>
    <t>I1570 22.04.12 DT</t>
  </si>
  <si>
    <t>I1570 22.08.30 BD</t>
  </si>
  <si>
    <t>I1570 22.02.01 DM</t>
  </si>
  <si>
    <t>I1570 22.04.12 GO</t>
  </si>
  <si>
    <t>I1570 22.08.30 CH</t>
  </si>
  <si>
    <t>I1570 22.02.01 DT</t>
  </si>
  <si>
    <t>I1570 22.04.12 IO</t>
  </si>
  <si>
    <t>I1570 22.08.30 DC</t>
  </si>
  <si>
    <t>I1570 22.02.01 GO</t>
  </si>
  <si>
    <t>I1570 22.04.12 JO</t>
  </si>
  <si>
    <t>I1570 22.08.30 DM</t>
  </si>
  <si>
    <t>I1570 22.02.01 IO</t>
  </si>
  <si>
    <t>I1570 22.04.12 LS</t>
  </si>
  <si>
    <t>I1570 22.08.30 DT</t>
  </si>
  <si>
    <t>I1570 22.02.01 JO</t>
  </si>
  <si>
    <t>https://recalls.cannabis.ca.gov/recalls/6760641e2dec600a5fdab874</t>
  </si>
  <si>
    <t>I1570 22.04.12 OG</t>
  </si>
  <si>
    <t>I1570 22.08.30 GO</t>
  </si>
  <si>
    <t>I1570 22.02.01 LC</t>
  </si>
  <si>
    <t>I1570 22.04.12 OK</t>
  </si>
  <si>
    <t>I1570 22.08.30 IO</t>
  </si>
  <si>
    <t>Cloud Cannabis Oil Vaporizer Vape Cartridge</t>
  </si>
  <si>
    <t>I1570 22.02.01 LS</t>
  </si>
  <si>
    <t>K.U.S.H. COLLECTIVE</t>
  </si>
  <si>
    <t>I1570 22.04.12 PD-A</t>
  </si>
  <si>
    <t>I1570 22.08.30 IP</t>
  </si>
  <si>
    <t>I1570 22.04.12 SC</t>
  </si>
  <si>
    <t>I1570 22.08.30 JO</t>
  </si>
  <si>
    <t>I1570 22.02.01 OG</t>
  </si>
  <si>
    <t>I1570 22.04.12 TF</t>
  </si>
  <si>
    <t>I1570 22.08.30 LS</t>
  </si>
  <si>
    <t>I1570 22.02.01 PD-A</t>
  </si>
  <si>
    <t>I1570 22.05.17 BB</t>
  </si>
  <si>
    <t>I1570 22.08.30 OK</t>
  </si>
  <si>
    <t>I1570 22.02.01 SC</t>
  </si>
  <si>
    <t>I1570 22.05.17 BD</t>
  </si>
  <si>
    <t>I1570 22.08.30 PD</t>
  </si>
  <si>
    <t>https://recalls.cannabis.ca.gov/recalls/676071c2348fc6641c270943</t>
  </si>
  <si>
    <t>I1570 22.02.01 SF</t>
  </si>
  <si>
    <t>I1570 22.05.17 DM</t>
  </si>
  <si>
    <t>I1570 22.08.30 SC</t>
  </si>
  <si>
    <t>I1570 22.02.01 SK</t>
  </si>
  <si>
    <t>I1570 22.05.17 IO</t>
  </si>
  <si>
    <t>I1570 22.08.30 SK</t>
  </si>
  <si>
    <t>Circles Cannabis Oil Vaporizer Vape Cartridge</t>
  </si>
  <si>
    <t>I1570 22.02.01 SN</t>
  </si>
  <si>
    <t>I1570 22.05.17 IP</t>
  </si>
  <si>
    <t>I1570 22.08.30 SN</t>
  </si>
  <si>
    <t>I1570 22.02.01 TF</t>
  </si>
  <si>
    <t>I1570 22.05.17 LS</t>
  </si>
  <si>
    <t>I1570 22.08.30 TF</t>
  </si>
  <si>
    <t>I1570 22.02.01 WW</t>
  </si>
  <si>
    <t>I1570 22.05.17 MI</t>
  </si>
  <si>
    <t>I1570 22.11.08. SN</t>
  </si>
  <si>
    <t>I1570 22.02.25 BB</t>
  </si>
  <si>
    <t>I1570 22.05.17 OG</t>
  </si>
  <si>
    <t>I1570 22.05.17 OK</t>
  </si>
  <si>
    <t>CO4533790</t>
  </si>
  <si>
    <t>https://recalls.cannabis.ca.gov/recalls/676078ffe7333c2117ce13a3</t>
  </si>
  <si>
    <t>Retro Hits Premium Cannabis Distillate Vape Cartridge</t>
  </si>
  <si>
    <t>https://recalls.cannabis.ca.gov/recalls/675cd072db9d2f38e6a8bfc9</t>
  </si>
  <si>
    <t>CLSICS 10 Hash Infused Dog Walkers Infused Pre-Roll</t>
  </si>
  <si>
    <t>Scislc, LLC</t>
  </si>
  <si>
    <t>https://recalls.cannabis.ca.gov/recalls/675c9df9d777de57d7f3a530</t>
  </si>
  <si>
    <t>Lime Ready to Roll Infused Flower</t>
  </si>
  <si>
    <t>LVLUP MANUFACTURING LLC</t>
  </si>
  <si>
    <t>https://recalls.cannabis.ca.gov/recalls/676062d92dec600a5fdab858</t>
  </si>
  <si>
    <t>CO4533790b</t>
  </si>
  <si>
    <t xml:space="preserve">052223PG.D </t>
  </si>
  <si>
    <t>Lime Ultra 5 Pack Infused Pre-Roll</t>
  </si>
  <si>
    <t>053123MC</t>
  </si>
  <si>
    <t>LVLUP Manufacturing LLC</t>
  </si>
  <si>
    <t>CO4533790c</t>
  </si>
  <si>
    <t>CO4534391</t>
  </si>
  <si>
    <t>CPNH08023R</t>
  </si>
  <si>
    <t>403R-01183</t>
  </si>
  <si>
    <t>TRFL06143R</t>
  </si>
  <si>
    <t>CO4534391b</t>
  </si>
  <si>
    <t>GRCN05033R</t>
  </si>
  <si>
    <t>GBAL06073R</t>
  </si>
  <si>
    <t>RNRY05313R</t>
  </si>
  <si>
    <t>CO4534391c</t>
  </si>
  <si>
    <t>GOCK07123R</t>
  </si>
  <si>
    <t>WGCK08023R</t>
  </si>
  <si>
    <t>SRBF07193R</t>
  </si>
  <si>
    <t>ICCK07263R</t>
  </si>
  <si>
    <t>CPNH06073R</t>
  </si>
  <si>
    <t>https://recalls.cannabis.ca.gov/recalls/67606ff62dec600a5fdab8c0</t>
  </si>
  <si>
    <t>TBAN07053R</t>
  </si>
  <si>
    <t>SPIE05243R</t>
  </si>
  <si>
    <t>BLGC10192R</t>
  </si>
  <si>
    <t>GRCN06143R</t>
  </si>
  <si>
    <t>Mary Mary Premium Cannabis Pre-Roll</t>
  </si>
  <si>
    <t>GYPN05173R</t>
  </si>
  <si>
    <t>3L Distribution, Inc.</t>
  </si>
  <si>
    <t>AMNT08093R</t>
  </si>
  <si>
    <t>TRFL05033R</t>
  </si>
  <si>
    <t>OIPS06283R</t>
  </si>
  <si>
    <t>VFOG04123R</t>
  </si>
  <si>
    <t>DINF08093R</t>
  </si>
  <si>
    <t>GPGS07193R</t>
  </si>
  <si>
    <t>GBAL07123R</t>
  </si>
  <si>
    <t>https://recalls.cannabis.ca.gov/recalls/67607231348fc6641c27094a</t>
  </si>
  <si>
    <t>RPKI07193R</t>
  </si>
  <si>
    <t>OIPS05243R</t>
  </si>
  <si>
    <t>AFTR07053R</t>
  </si>
  <si>
    <t>All natural Henry's Original Premium Cannabis Smokes Pre-Roll</t>
  </si>
  <si>
    <t>WTMN07123R</t>
  </si>
  <si>
    <t>Event Horizon Technologies, Inc.</t>
  </si>
  <si>
    <t>VFOG07053R</t>
  </si>
  <si>
    <t>OREO04053R</t>
  </si>
  <si>
    <t>GYPN03083R</t>
  </si>
  <si>
    <t>CPNH02223R</t>
  </si>
  <si>
    <t>SBCK07263R</t>
  </si>
  <si>
    <t>WTMN05173R</t>
  </si>
  <si>
    <t>TBAN03153R</t>
  </si>
  <si>
    <t>DINF02153R</t>
  </si>
  <si>
    <t>SRBF04053R</t>
  </si>
  <si>
    <t>https://recalls.cannabis.ca.gov/recalls/676321559f9bcc32fed462a9</t>
  </si>
  <si>
    <t>PHBH03223R</t>
  </si>
  <si>
    <t>Flower products packaged by Higher Ground Holdings, LLC Flower</t>
  </si>
  <si>
    <t>Higher Ground Holdings, LLC</t>
  </si>
  <si>
    <t>TRFL03083R</t>
  </si>
  <si>
    <t>SBCK06283R</t>
  </si>
  <si>
    <t>WDGP07053R</t>
  </si>
  <si>
    <t>RPKI08023R</t>
  </si>
  <si>
    <t>DINF04053R</t>
  </si>
  <si>
    <t>GRCN02223R</t>
  </si>
  <si>
    <t>DVPT05033R</t>
  </si>
  <si>
    <t>https://recalls.cannabis.ca.gov/recalls/6761e5bc66acba23980354d6</t>
  </si>
  <si>
    <t>GOCK05313R</t>
  </si>
  <si>
    <t>RNRY03083R</t>
  </si>
  <si>
    <t>WTMN06073R</t>
  </si>
  <si>
    <t>SRBF06143R</t>
  </si>
  <si>
    <t>West Coast Cure Pre-Roll, Integrated Vaporizer, and Vape Cartridge</t>
  </si>
  <si>
    <t>GPGS04123R</t>
  </si>
  <si>
    <t>SBCK03223R</t>
  </si>
  <si>
    <t>https://recalls.cannabis.ca.gov/recalls/6761ec9694a546fcd1a88412</t>
  </si>
  <si>
    <t>CO4535792</t>
  </si>
  <si>
    <t>Fall 2023 MF</t>
  </si>
  <si>
    <t>403R-01004</t>
  </si>
  <si>
    <t>Cali Heights Integrated Vaporizer and Vape Cartridge</t>
  </si>
  <si>
    <t>Green Leaf Caregivers</t>
  </si>
  <si>
    <t>https://recalls.cannabis.ca.gov/recalls/67605ca02dec600a5fdab80d</t>
  </si>
  <si>
    <t>Project Moonwalk Cannabis Infused THC Sorbet Edible</t>
  </si>
  <si>
    <t>SW Ventures LLC</t>
  </si>
  <si>
    <t>https://recalls.cannabis.ca.gov/recalls/6761f01694a546fcd1a88422</t>
  </si>
  <si>
    <t>Embargo alert for products manufactured by K.U.S.H. Collective - Integrated Vaporizer and Vape Cartridge</t>
  </si>
  <si>
    <t>https://recalls.cannabis.ca.gov/recalls/676052bb754559745e2d2bf5</t>
  </si>
  <si>
    <t>Josh Wax Pre Roll Multipack Pre-Roll</t>
  </si>
  <si>
    <t>ZASP</t>
  </si>
  <si>
    <t>https://recalls.cannabis.ca.gov/recalls/675cda3e89feb03b44eca7ca</t>
  </si>
  <si>
    <t>Phire Premium Concentrate Vape Cartridge</t>
  </si>
  <si>
    <t>Phire Laboratories &amp; Distribution Inc.</t>
  </si>
  <si>
    <t>https://recalls.cannabis.ca.gov/recalls/675cd92adb9d2f38e6a8bfd9</t>
  </si>
  <si>
    <t>Rove Drink Loud THC Shot Beverage</t>
  </si>
  <si>
    <t>Aureus LLC</t>
  </si>
  <si>
    <t>https://recalls.cannabis.ca.gov/recalls/675cd52bdb9d2f38e6a8bfd2</t>
  </si>
  <si>
    <t>Flav Vape Cartridge and Integrated Vaporizer</t>
  </si>
  <si>
    <t>DGU LLC</t>
  </si>
  <si>
    <t xml:space="preserve">October 16, 2023  </t>
  </si>
  <si>
    <t>https://recalls.cannabis.ca.gov/recalls/675cd7eadb9d2f38e6a8bfd7</t>
  </si>
  <si>
    <t>Kind Republic Vape Cartridge</t>
  </si>
  <si>
    <t>MBM Kosher</t>
  </si>
  <si>
    <t>https://recalls.cannabis.ca.gov/recalls/675cd698db9d2f38e6a8bfd4</t>
  </si>
  <si>
    <t>CRU Pre-Roll</t>
  </si>
  <si>
    <t>Industrial Court L11, LLC</t>
  </si>
  <si>
    <t>https://recalls.cannabis.ca.gov/recalls/6761ac09d62cebee0c5c993f</t>
  </si>
  <si>
    <t>CRU Integrated Vaporizer</t>
  </si>
  <si>
    <t>https://recalls.cannabis.ca.gov/recalls/675ca701d777de57d7f3a540</t>
  </si>
  <si>
    <t>STIIIZY Premium THC Pods Vape Cartridge</t>
  </si>
  <si>
    <t>Ironworks Collective Inc.</t>
  </si>
  <si>
    <t>https://recalls.cannabis.ca.gov/recalls/6761f90394a546fcd1a8843a</t>
  </si>
  <si>
    <t>Connected Flower</t>
  </si>
  <si>
    <t>2JC LLC</t>
  </si>
  <si>
    <t>https://recalls.cannabis.ca.gov/recalls/6761fe8594a546fcd1a88447</t>
  </si>
  <si>
    <t>Dixie Elixir Beverage</t>
  </si>
  <si>
    <t>https://recalls.cannabis.ca.gov/recalls/6761c1de449a15805975db10</t>
  </si>
  <si>
    <t>Connected Flower and Pre-Roll</t>
  </si>
  <si>
    <t>https://recalls.cannabis.ca.gov/recalls/676352eb82281c7c02888fb4</t>
  </si>
  <si>
    <t>Flavorz Integrated Vaporizer</t>
  </si>
  <si>
    <t>Saints Place, LLC</t>
  </si>
  <si>
    <t>https://recalls.cannabis.ca.gov/recalls/67743be120de76de169418b0</t>
  </si>
  <si>
    <t>Cream of the Crop Flower</t>
  </si>
  <si>
    <t>NLT NCA LC – 5851, LLC</t>
  </si>
  <si>
    <t>https://recalls.cannabis.ca.gov/recalls/677c1ce27b818645f37d81b5</t>
  </si>
  <si>
    <t>Alien Labs Flower</t>
  </si>
  <si>
    <t>https://recalls.cannabis.ca.gov/recalls/678a9dcd3820f840e8dab8d9</t>
  </si>
  <si>
    <t>Noah's Premium Live Rosin Diamond Infused Pre-Roll</t>
  </si>
  <si>
    <t>Lucky Family Brands Inc.</t>
  </si>
  <si>
    <t>https://recalls.cannabis.ca.gov/recalls/67995807ff1d541902f51156</t>
  </si>
  <si>
    <t>Top Shelf Cultivation Flower</t>
  </si>
  <si>
    <t>The Back House</t>
  </si>
  <si>
    <t>https://recalls.cannabis.ca.gov/recalls/679aa03c6c2cf8a3a782d944</t>
  </si>
  <si>
    <t>Jeeter and Baby Jeeter Pre-Roll</t>
  </si>
  <si>
    <t>Med for America Inc.</t>
  </si>
  <si>
    <t>https://recalls.cannabis.ca.gov/recalls/67a26199d7bedce43a97eac8</t>
  </si>
  <si>
    <t>Canna America live resin Integrated Vaporizer</t>
  </si>
  <si>
    <t>Chico California Cannabis Co.</t>
  </si>
  <si>
    <t>https://recalls.cannabis.ca.gov/recalls/67a3ed7d027ff9b39bd5c651</t>
  </si>
  <si>
    <t>Tonik Beverage</t>
  </si>
  <si>
    <t>Baked Betty’s LLC</t>
  </si>
  <si>
    <t>https://recalls.cannabis.ca.gov/recalls/67b65de006adb198f38bbd2a</t>
  </si>
  <si>
    <t>West Coast Cure Diamond Infused Flower</t>
  </si>
  <si>
    <t>Shield Management Group LLC</t>
  </si>
  <si>
    <t>https://recalls.cannabis.ca.gov/recalls/67b8bf5feee6bdf8bdc4f05d</t>
  </si>
  <si>
    <t>Black Pearl Infused Flower</t>
  </si>
  <si>
    <t>https://recalls.cannabis.ca.gov/recalls/67b8d224dcf312eab06ec3c9</t>
  </si>
  <si>
    <t>Culture Cannabis and The Drop Infused Flower</t>
  </si>
  <si>
    <t>Therapeutic Health Collective Inc</t>
  </si>
  <si>
    <t>https://recalls.cannabis.ca.gov/recalls/67b7be7906f27bfc532c0345</t>
  </si>
  <si>
    <t>American Weed Co., Yum Yumz and High 90's Infused Flower</t>
  </si>
  <si>
    <t>Alkhemists LLC</t>
  </si>
  <si>
    <t>https://recalls.cannabis.ca.gov/recalls/67c0a8966a1df8e2aab2a805</t>
  </si>
  <si>
    <t>https://recalls.cannabis.ca.gov/recalls/67c7586fb3647b7230d6851d</t>
  </si>
  <si>
    <t>go NXT LVL</t>
  </si>
  <si>
    <t>https://recalls.cannabis.ca.gov/recalls/67c63ac9abf1dacdb9277769</t>
  </si>
  <si>
    <t>Herbarium and Dona Pablo Pre-Roll</t>
  </si>
  <si>
    <t>Little Cottage Caregivers LLC</t>
  </si>
  <si>
    <t>https://recalls.cannabis.ca.gov/recalls/67c8a860cb103f654b157bf9</t>
  </si>
  <si>
    <t>Hard Eighth Infused Flower</t>
  </si>
  <si>
    <t>45723Lucky Family Brands Inc.2</t>
  </si>
  <si>
    <t>https://recalls.cannabis.ca.gov/recalls/67ca15a2d3e118305ac6204e</t>
  </si>
  <si>
    <t>Noah's Premium Pre-Roll and Infused Pre-Roll</t>
  </si>
  <si>
    <t>45723Lucky Family Brands Inc.3</t>
  </si>
  <si>
    <t>https://recalls.cannabis.ca.gov/recalls/67ca292d29119e4c62d9f0bd</t>
  </si>
  <si>
    <t>Lucky Family Brands Inc. Pre-Roll</t>
  </si>
  <si>
    <t>https://recalls.cannabis.ca.gov/recalls/67cb5ccd9b4d75e795d8ead3</t>
  </si>
  <si>
    <t>Kingston Royal VS1 Infused Flower</t>
  </si>
  <si>
    <t>The Green Zone Inc.</t>
  </si>
  <si>
    <t>https://recalls.cannabis.ca.gov/recalls/67cb5ddc9b4d75e795d8ead5</t>
  </si>
  <si>
    <t>https://recalls.cannabis.ca.gov/recalls/67cf2bf64e313b143eeeefaf</t>
  </si>
  <si>
    <t>Vintage Cannabis Infused Flower</t>
  </si>
  <si>
    <t>Broadway Alliance LLC</t>
  </si>
  <si>
    <t>https://recalls.cannabis.ca.gov/recalls/67cb5f3e9b4d75e795d8ead7</t>
  </si>
  <si>
    <t>Caps Apothecary Inc. Infused Flower and Infused Pre-Roll</t>
  </si>
  <si>
    <t>Bare Dispensary</t>
  </si>
  <si>
    <t>https://recalls.cannabis.ca.gov/recalls/67d09f9f5c03fd67e1699304</t>
  </si>
  <si>
    <t>Poppy Flower Roll-Ups Infused Flower</t>
  </si>
  <si>
    <t>Med Care Farms 2.0 LLC</t>
  </si>
  <si>
    <t>https://recalls.cannabis.ca.gov/recalls/67e1c59a764a2b6664808b45</t>
  </si>
  <si>
    <t>Ape Vape Cartridge and Integrated Vaporizer</t>
  </si>
  <si>
    <t>Artisan Canna Cigars LLC</t>
  </si>
  <si>
    <t>https://recalls.cannabis.ca.gov/recalls/67d4467a4106f28998de60cc</t>
  </si>
  <si>
    <t>Tree of Life Flower</t>
  </si>
  <si>
    <t>Redwood Herbal Alliance</t>
  </si>
  <si>
    <t>https://recalls.cannabis.ca.gov/recalls/67e2f72be1d586b2abb40828</t>
  </si>
  <si>
    <t>Secrets by Cream of the Crop Infused Pre-Roll</t>
  </si>
  <si>
    <t>Terpx Inc.</t>
  </si>
  <si>
    <t>https://recalls.cannabis.ca.gov/recalls/67d9a58bee53fc0e4a85cfd0</t>
  </si>
  <si>
    <t>Connected and Alien Labs Flower</t>
  </si>
  <si>
    <t>https://recalls.cannabis.ca.gov/recalls/67edaf9003fb5784226ca7f3</t>
  </si>
  <si>
    <t>Pearl Pharma Flower</t>
  </si>
  <si>
    <t>Kanaplya LLC</t>
  </si>
  <si>
    <t>https://recalls.cannabis.ca.gov/recalls/67edb9ef03fb5784226ca7f7</t>
  </si>
  <si>
    <t>Tyson Jab Jar Infused Pre-Roll</t>
  </si>
  <si>
    <t>3L Distribution Inc.</t>
  </si>
  <si>
    <t>https://recalls.cannabis.ca.gov/recalls/67edc40ed271b2cd4fb6700b</t>
  </si>
  <si>
    <t>Brite Flower</t>
  </si>
  <si>
    <t>Golden State Recycling Collective Inc.</t>
  </si>
  <si>
    <t>https://recalls.cannabis.ca.gov/recalls/67eecc81eeed9a2d044639f6</t>
  </si>
  <si>
    <t>ERB Flower</t>
  </si>
  <si>
    <t>Greenfield Distribution Inc.</t>
  </si>
  <si>
    <t>https://recalls.cannabis.ca.gov/recalls/67cb60539b4d75e795d8eada</t>
  </si>
  <si>
    <t>Awesome Dope Edible and Honey Edible</t>
  </si>
  <si>
    <t>Zasp</t>
  </si>
  <si>
    <t>https://recalls.cannabis.ca.gov/recalls/67eef04f7e45d7785194736a</t>
  </si>
  <si>
    <t>Nice Guys Flower and Infused Pre-Roll</t>
  </si>
  <si>
    <t>DBM Industries LLC</t>
  </si>
  <si>
    <t>https://recalls.cannabis.ca.gov/recalls/67f044164c8fed4662b01b99</t>
  </si>
  <si>
    <t>Rollers Delight Infused Pre-Roll</t>
  </si>
  <si>
    <t>https://recalls.cannabis.ca.gov/recalls/67ec59be4becf15d41092d3b</t>
  </si>
  <si>
    <t>Oakfruitland (OFL) Pre-Roll</t>
  </si>
  <si>
    <t>Oak2Fruitland Inc.</t>
  </si>
  <si>
    <t>https://recalls.cannabis.ca.gov/recalls/67f44320ef33cec4b8c75618</t>
  </si>
  <si>
    <t>Honey Edible</t>
  </si>
  <si>
    <t>I.O.N. Distribution LLC</t>
  </si>
  <si>
    <t>https://recalls.cannabis.ca.gov/recalls/67f93629a6af6c345158589b</t>
  </si>
  <si>
    <t>Nug Flower</t>
  </si>
  <si>
    <t>https://recalls.cannabis.ca.gov/recalls/67f42df6ef33cec4b8c75611</t>
  </si>
  <si>
    <t>Alien Labs Flower and Pre-Roll</t>
  </si>
  <si>
    <t>457622JC LLC 2</t>
  </si>
  <si>
    <t>https://recalls.cannabis.ca.gov/recalls/67fd4d20f04bba13cf57a67a</t>
  </si>
  <si>
    <t>457622JC LLC 3</t>
  </si>
  <si>
    <t>https://recalls.cannabis.ca.gov/recalls/67fd4fdff04bba13cf57a683</t>
  </si>
  <si>
    <t>Smoken Promises Flower and Pre-Roll</t>
  </si>
  <si>
    <t>https://recalls.cannabis.ca.gov/recalls/67f6dd47ad69398ae71adddf</t>
  </si>
  <si>
    <t>Smartweed Flower</t>
  </si>
  <si>
    <t>Valley Holistic Caregivers Inc.</t>
  </si>
  <si>
    <t>https://recalls.cannabis.ca.gov/recalls/68080bb50a02d94b409051c1</t>
  </si>
  <si>
    <t>Hi Pre-Roll</t>
  </si>
  <si>
    <t>https://recalls.cannabis.ca.gov/recalls/68110cdec31741749dfed970</t>
  </si>
  <si>
    <t>N'Refused Edible</t>
  </si>
  <si>
    <t>Crafton Select LLC</t>
  </si>
  <si>
    <t>45777Crafton Select LLC 2</t>
  </si>
  <si>
    <t>https://recalls.cannabis.ca.gov/recalls/68111fa2c31741749dfed972</t>
  </si>
  <si>
    <t>Personals Flower</t>
  </si>
  <si>
    <t>45777Crafton Select LLC 3</t>
  </si>
  <si>
    <t>https://recalls.cannabis.ca.gov/recalls/6814ee606c27402413d2d041</t>
  </si>
  <si>
    <t>Grasshoppers Peanut Butter Cups Edible</t>
  </si>
  <si>
    <t>https://recalls.cannabis.ca.gov/recalls/6813b5e2171a2609a7b46d63</t>
  </si>
  <si>
    <t>Moods Liquid Dab Tincture</t>
  </si>
  <si>
    <t>Collective Minds LLC</t>
  </si>
  <si>
    <t>https://recalls.cannabis.ca.gov/recalls/6815444781aae3b8cf89b805</t>
  </si>
  <si>
    <t>She's Baked Lemonade Stand Edible</t>
  </si>
  <si>
    <t>Magic Show LLC</t>
  </si>
  <si>
    <t>45783Magic Show LLC 2</t>
  </si>
  <si>
    <t>https://recalls.cannabis.ca.gov/recalls/681a690ede8dfd7993fb4d2d</t>
  </si>
  <si>
    <t>Mainstage Edible</t>
  </si>
  <si>
    <t>https://recalls.cannabis.ca.gov/recalls/68263e4690232c8644ea388d</t>
  </si>
  <si>
    <t>Brite Beverage</t>
  </si>
  <si>
    <t>United Medical Alliance LLC</t>
  </si>
  <si>
    <t>https://recalls.cannabis.ca.gov/recalls/6826696d651df98cac943a90</t>
  </si>
  <si>
    <t>Legion of Dank Delights Edible</t>
  </si>
  <si>
    <t>Full Spectrum Group Inc.</t>
  </si>
  <si>
    <t>https://recalls.cannabis.ca.gov/recalls/6830b01b19b3195b7d15ab2c</t>
  </si>
  <si>
    <t>45804Crafton Select LLC 2</t>
  </si>
  <si>
    <t>https://recalls.cannabis.ca.gov/recalls/6830bace19b3195b7d15ab32</t>
  </si>
  <si>
    <t>45804Crafton Select LLC 3</t>
  </si>
  <si>
    <t>https://recalls.cannabis.ca.gov/recalls/6830c47e19b3195b7d15ab3c</t>
  </si>
  <si>
    <t>https://recalls.cannabis.ca.gov/recalls/6830e5eedc244dc5ad4cd0fa</t>
  </si>
  <si>
    <t>Quickies Flower, Pre-Roll, Infused Pre-Roll, and Vape Cartridge</t>
  </si>
  <si>
    <t>https://recalls.cannabis.ca.gov/recalls/68430a9c756a3425f6e09241</t>
  </si>
  <si>
    <t>https://recalls.cannabis.ca.gov/recalls/685085643f86ce0b7a6948f5</t>
  </si>
  <si>
    <t>Rove Ice Packs Infused Pre-Roll</t>
  </si>
  <si>
    <t>https://recalls.cannabis.ca.gov/recalls/68508fed3f86ce0b7a6948f8</t>
  </si>
  <si>
    <t>Golden Nuggets and Solis Flower</t>
  </si>
  <si>
    <t>COMMERCE C1 LLC</t>
  </si>
  <si>
    <t>https://recalls.cannabis.ca.gov/recalls/6859c1263ac16dd9b79d4d6e</t>
  </si>
  <si>
    <t>Moca Pre-Roll</t>
  </si>
  <si>
    <t>Mheka LLC</t>
  </si>
  <si>
    <t>https://recalls.cannabis.ca.gov/recalls/67d9957f61812ef297c873ce</t>
  </si>
  <si>
    <t>https://recalls.cannabis.ca.gov/recalls/6859b52b6240f323aa90f91f</t>
  </si>
  <si>
    <t>Sluggers Flower and Pre-Roll</t>
  </si>
  <si>
    <t>Natura Distribution LLC</t>
  </si>
  <si>
    <t>https://recalls.cannabis.ca.gov/recalls/685dc1eda34dbb6517647c95</t>
  </si>
  <si>
    <t>Pop's Weed Infused Flower</t>
  </si>
  <si>
    <t>Quality Buds LLC</t>
  </si>
  <si>
    <t>https://recalls.cannabis.ca.gov/recalls/68644cffda2ab8a7147f8fde</t>
  </si>
  <si>
    <t>Tablet</t>
  </si>
  <si>
    <t>Emerald Bay Extracts Tablet</t>
  </si>
  <si>
    <t>Emerald Bay Wellness</t>
  </si>
  <si>
    <t>https://recalls.cannabis.ca.gov/recalls/685ef369cc5cc22033bf6c62</t>
  </si>
  <si>
    <t>Almora Naturally Better Pre-Roll</t>
  </si>
  <si>
    <t>Fluids Manufacturing Inc.</t>
  </si>
  <si>
    <t>https://recalls.cannabis.ca.gov/recalls/68659c06bf883c279db9fda7</t>
  </si>
  <si>
    <t>High Power Beverage</t>
  </si>
  <si>
    <t>S&amp;J Manufacturing LLC</t>
  </si>
  <si>
    <t>https://recalls.cannabis.ca.gov/recalls/68645cbcc770556dd1eedc84</t>
  </si>
  <si>
    <t>Malibu Skateboards Infused Pre-Roll</t>
  </si>
  <si>
    <t>TKC Group Inc.</t>
  </si>
  <si>
    <t>https://recalls.cannabis.ca.gov/recalls/686d9e7c2c808b9976ca6035</t>
  </si>
  <si>
    <t>Rollers Delight Infused Flower and Infused Pre-Roll</t>
  </si>
  <si>
    <t>https://recalls.cannabis.ca.gov/recalls/685ac399a5767e9bd4299cf3</t>
  </si>
  <si>
    <t>https://recalls.cannabis.ca.gov/recalls/686eebe4e18974d667a1250e</t>
  </si>
  <si>
    <t>17k Muskrat 2 Inc.</t>
  </si>
  <si>
    <t>https://recalls.cannabis.ca.gov/recalls/688931563e687541be28d909</t>
  </si>
  <si>
    <t>Konez Vape Cartridge</t>
  </si>
  <si>
    <t>City Compassionate Caregivers Inc.</t>
  </si>
  <si>
    <t>https://recalls.cannabis.ca.gov/recalls/688a598cfb4b11aeefd90243</t>
  </si>
  <si>
    <t>California Love and Megan's Brand Flower</t>
  </si>
  <si>
    <t>Coastal Business Distribution LLC</t>
  </si>
  <si>
    <t>https://recalls.cannabis.ca.gov/recalls/688d39f0608329d100bd15b9</t>
  </si>
  <si>
    <t>Sluggers Infused Pre-Roll</t>
  </si>
  <si>
    <t>Natura Manufacturing LLC</t>
  </si>
  <si>
    <t>45874Natura Manufacturing LLC 2</t>
  </si>
  <si>
    <t>https://recalls.cannabis.ca.gov/recalls/688d39f9608329d100bd15bc</t>
  </si>
  <si>
    <t>Iced Infused Flower and Infused Pre-Roll</t>
  </si>
  <si>
    <t>https://recalls.cannabis.ca.gov/recalls/689a0f741ddade6d2bbbdb25</t>
  </si>
  <si>
    <t>Himalaya Vape Cartridge</t>
  </si>
  <si>
    <t>Korben Labs LLC</t>
  </si>
  <si>
    <t>https://recalls.cannabis.ca.gov/recalls/6896301db1a1dbf6ed2660e4</t>
  </si>
  <si>
    <t>8-Track Pre-Roll</t>
  </si>
  <si>
    <t>Young Bulls LLC</t>
  </si>
  <si>
    <t>https://recalls.cannabis.ca.gov/recalls/68a38a94a2543acbbf481d07</t>
  </si>
  <si>
    <t>Mr. Zips Vape Cartridge</t>
  </si>
  <si>
    <t>https://recalls.cannabis.ca.gov/recalls/68af7d32f9fe68d804e858be</t>
  </si>
  <si>
    <t>Punch Vape Cartridge</t>
  </si>
  <si>
    <t>Punch Media LLC</t>
  </si>
  <si>
    <t>https://recalls.cannabis.ca.gov/recalls/68bb3c9f277fb53dceadb5f7</t>
  </si>
  <si>
    <t>Olala Beverage</t>
  </si>
  <si>
    <t>Euphoric Life Inc.</t>
  </si>
  <si>
    <t>45909Euphoric Life Inc.2</t>
  </si>
  <si>
    <t>https://recalls.cannabis.ca.gov/recalls/68bb3fdd277fb53dceadb5fd</t>
  </si>
  <si>
    <t>Reefresh Beverage</t>
  </si>
  <si>
    <t>45909Euphoric Life Inc.3</t>
  </si>
  <si>
    <t>https://recalls.cannabis.ca.gov/recalls/68bb4102277fb53dceadb600</t>
  </si>
  <si>
    <t>Voila Beverage</t>
  </si>
  <si>
    <t>45909Euphoric Life Inc.4</t>
  </si>
  <si>
    <t>https://recalls.cannabis.ca.gov/recalls/68bb4247277fb53dceadb603</t>
  </si>
  <si>
    <t>Live Oro Beverage</t>
  </si>
  <si>
    <t>https://recalls.cannabis.ca.gov/recalls/68c9eaf9ee3f253d00cfa2be</t>
  </si>
  <si>
    <t>Terpys Infused Flower</t>
  </si>
  <si>
    <t>Crème de Canna Collective</t>
  </si>
  <si>
    <t>https://recalls.cannabis.ca.gov/recalls/68cd9bbc430614b40340b9ca</t>
  </si>
  <si>
    <t>Catalyst Pre-Roll</t>
  </si>
  <si>
    <t>Odyssey Agricultural Development LLC</t>
  </si>
  <si>
    <t>https://recalls.cannabis.ca.gov/recalls/68dc1e41372f5d5e380d20f1</t>
  </si>
  <si>
    <t>Zurpz Integrated Vaporizer</t>
  </si>
  <si>
    <t>https://recalls.cannabis.ca.gov/recalls/68f01187a1ea37801c910981</t>
  </si>
  <si>
    <t>Cities Pre-Roll</t>
  </si>
  <si>
    <t>Mar Bay Gardens</t>
  </si>
  <si>
    <t>https://recalls.cannabis.ca.gov/recalls/691508e4bfd28f115bd1da13</t>
  </si>
  <si>
    <t>Humble Bounty Flower</t>
  </si>
  <si>
    <t>PJC Wellness LLC</t>
  </si>
  <si>
    <t>https://recalls.cannabis.ca.gov/recalls/680813de0a02d94b409051cb</t>
  </si>
  <si>
    <t>Caviar Gold Infused Pre-Roll</t>
  </si>
  <si>
    <t>The Distillate Company LLC</t>
  </si>
  <si>
    <t>https://recalls.cannabis.ca.gov/recalls/6924e7173e31dcbd909c9f63</t>
  </si>
  <si>
    <t>CLSICS Edible</t>
  </si>
  <si>
    <t>Scislc LLC</t>
  </si>
  <si>
    <t>https://recalls.cannabis.ca.gov/recalls/691f827fb0f55be0f7377c9b</t>
  </si>
  <si>
    <t>PotShot Beverage</t>
  </si>
  <si>
    <t>https://recalls.cannabis.ca.gov/recalls/6925e7cc4fdb2651d21000be</t>
  </si>
  <si>
    <t>Zurpz Connoisseur Integrated Vaporizer</t>
  </si>
  <si>
    <t>Crown Genetics LLC</t>
  </si>
  <si>
    <t>https://recalls.cannabis.ca.gov/recalls/6926012c57a72c517a7927fc</t>
  </si>
  <si>
    <t>Pure Beauty Flower</t>
  </si>
  <si>
    <t>Fluids Manufacturing Inc</t>
  </si>
  <si>
    <t>https://recalls.cannabis.ca.gov/recalls/69263e87a4fa6eedebd6c039</t>
  </si>
  <si>
    <t>Honey King Infused Pre-Roll</t>
  </si>
  <si>
    <t>TKC Group</t>
  </si>
  <si>
    <t>https://recalls.cannabis.ca.gov/recalls/692de8526885e3b780908abf</t>
  </si>
  <si>
    <t>Coastal Sun Greenhouse Flower</t>
  </si>
  <si>
    <t>Strong Agronomy Management Inc.</t>
  </si>
  <si>
    <t>https://recalls.cannabis.ca.gov/recalls/69449011220ee0d97a09e7c2</t>
  </si>
  <si>
    <t>Vibe Flower</t>
  </si>
  <si>
    <t>Sacramento Confidential Delivery Inc.</t>
  </si>
  <si>
    <t>https://recalls.cannabis.ca.gov/recalls/6949c333275295130057a2b5</t>
  </si>
  <si>
    <t>Herba-Lean THC MCT Tincture</t>
  </si>
  <si>
    <t>McHenry Business Services LLC</t>
  </si>
  <si>
    <t>46014McHenry Business Services LLC 2</t>
  </si>
  <si>
    <t>https://recalls.cannabis.ca.gov/recalls/6949c49c275295130057a2b9</t>
  </si>
  <si>
    <t>Canna-Lean THC Tincture</t>
  </si>
  <si>
    <t>https://recalls.cannabis.ca.gov/recalls/69612a25c92173ffea4e8179</t>
  </si>
  <si>
    <t>Blazrade Integrated Vaporizer</t>
  </si>
  <si>
    <t>Arbala Weed LLC</t>
  </si>
  <si>
    <t>https://recalls.cannabis.ca.gov/recalls/69851e0f298cd056cfb16d79</t>
  </si>
  <si>
    <t>Punch Bar Edible</t>
  </si>
  <si>
    <t>https://recalls.cannabis.ca.gov/recalls/6998af38ba87ca08bd8caba5</t>
  </si>
  <si>
    <t>Tiny Fires Flower</t>
  </si>
  <si>
    <t>Commerce C1 LLC</t>
  </si>
  <si>
    <t>https://recalls.cannabis.ca.gov/recalls/69a205cb8fa6fba508b1b4fb</t>
  </si>
  <si>
    <t>West Coast Cure Pre-Roll</t>
  </si>
  <si>
    <t>https://recalls.cannabis.ca.gov/recalls/69a21d3f96df1c8b70f43527</t>
  </si>
  <si>
    <t>Left Coast Flower</t>
  </si>
  <si>
    <t>Left Coast LLC</t>
  </si>
  <si>
    <t>https://recalls.cannabis.ca.gov/recalls/69a85ce32d19d8796b0803db</t>
  </si>
  <si>
    <t>Punch Edibles &amp; Extracts</t>
  </si>
  <si>
    <t>https://med.colorado.gov/sites/med/files/documents/240830_SLOW_BURN_FARM_%20LLC_2024-0127_HSA_MEMO.pdf</t>
  </si>
  <si>
    <t>Non-Voluntary</t>
  </si>
  <si>
    <t>SLOW BURN FARMS, LLC</t>
  </si>
  <si>
    <t>https://drive.google.com/file/d/19WkOCu8hxtPrD_NbEIiARDM6r6TAv91B/view</t>
  </si>
  <si>
    <t>Wyld 2:1 Gummies</t>
  </si>
  <si>
    <t>https://drive.google.com/file/d/1Ouz0dMZyAoBPFFfo9cKvW7RWSfsX92Ea/view</t>
  </si>
  <si>
    <t>Bloom County</t>
  </si>
  <si>
    <t>RR Services, LLC</t>
  </si>
  <si>
    <t>https://drive.google.com/file/d/1_wFzm3GOJfzE6tmSqIhIcyvtI8ocZJDf/view</t>
  </si>
  <si>
    <t>Levels IV Inc and SKL Holdings III LLC</t>
  </si>
  <si>
    <t>https://drive.google.com/file/d/1idBqkIEOYMygYTyIrTMjdJZgRSjlyX_O/view</t>
  </si>
  <si>
    <t>Bud &amp; Mary's Cannabis</t>
  </si>
  <si>
    <t>Medpharm Holdings, LLC</t>
  </si>
  <si>
    <t>https://docs.google.com/spreadsheets/d/10YkN4Rqg58UGLMEH5R_pS1_9uNAoTdNG2UDLxc21FXs/edit?gid=0#gid=0</t>
  </si>
  <si>
    <t>Denver Dab Company</t>
  </si>
  <si>
    <t>Luminescence Labs Inc</t>
  </si>
  <si>
    <t>https://drive.google.com/file/d/1-8eWEfr3zRc4GI3VXz5GTGJHl-Am0P1W/view</t>
  </si>
  <si>
    <t>Fox Street Wellness, LLC</t>
  </si>
  <si>
    <t>https://drive.google.com/file/d/1iAnXF7p_mCzCHRMVsxGmuYuGdA7lrBwR/view</t>
  </si>
  <si>
    <t>Purplebee’s.</t>
  </si>
  <si>
    <t>PBS HOLDCO LLC</t>
  </si>
  <si>
    <t>https://drive.google.com/file/d/1XjvXw1cBy9RUUsRO95g9YQVBYN2aPKP4/view</t>
  </si>
  <si>
    <t>Magic City Farms 1 LLC.</t>
  </si>
  <si>
    <t>https://drive.google.com/file/d/1S-DzTLFKhdxm9scoC-EgZSoyHluy3oCm/view</t>
  </si>
  <si>
    <t>Dadirri</t>
  </si>
  <si>
    <t>Verv LLC</t>
  </si>
  <si>
    <t>https://drive.google.com/file/d/1uTORm-zZZvUK2YC_Tbh59h_0rcQZPjjT/view</t>
  </si>
  <si>
    <t>Smokiez.</t>
  </si>
  <si>
    <t>C&amp;R Colorado LLC</t>
  </si>
  <si>
    <t>https://drive.google.com/file/d/1CiIaN9i_LaRfkPphezsddl7jz6QYva7p/view</t>
  </si>
  <si>
    <t>Clearview Industries, LLC.</t>
  </si>
  <si>
    <t>https://drive.google.com/file/d/1PXcEnUUvJ0FhKHSGMPAdqc7xq6oSlZPJ/view</t>
  </si>
  <si>
    <t>Flower and Pre-Roll</t>
  </si>
  <si>
    <t>710 Labs.</t>
  </si>
  <si>
    <t>CSV CO LLC and Jolet Ventures LLC,</t>
  </si>
  <si>
    <t>https://drive.google.com/file/d/1Fv-ODcgUshxPwdKn31ODct8y0ZZ4n_gN/view</t>
  </si>
  <si>
    <t>Pre-Rolls and Concentrates</t>
  </si>
  <si>
    <t>TS Labs Recreational</t>
  </si>
  <si>
    <t>Checker Six, LLC</t>
  </si>
  <si>
    <t>https://drive.google.com/file/d/1BHySC8XCeVLWUZPjUgiyYtlaRfJC5Pin/view</t>
  </si>
  <si>
    <t>RRSA, LLC</t>
  </si>
  <si>
    <t>https://drive.google.com/file/d/1d9dxbbcp38qhitq_nnBXNGXx8tihY-eu/view</t>
  </si>
  <si>
    <t>Phoneix Farmstead, LLC</t>
  </si>
  <si>
    <t>Concentrates and Vape Cartridges</t>
  </si>
  <si>
    <t>Karing Kind.</t>
  </si>
  <si>
    <t>Karing Kind, LLC,</t>
  </si>
  <si>
    <t>https://drive.google.com/file/d/1wxGzfS5E5CvpSdIl0p3_wpaUGOVlg7-O/view</t>
  </si>
  <si>
    <t>1:11.</t>
  </si>
  <si>
    <t>1-11 LLC,</t>
  </si>
  <si>
    <t>https://drive.google.com/file/d/1UAGSwwkSjaNBMT4_55iNo-xjhiBuTt4H/view</t>
  </si>
  <si>
    <t>Double C Farms LLC.</t>
  </si>
  <si>
    <t>Vaporizer Cartridges, Infused Pre-Rolls</t>
  </si>
  <si>
    <t>Stash House CO.</t>
  </si>
  <si>
    <t>CC Brands, LLC,</t>
  </si>
  <si>
    <t>45987Karing Kind, LLCe1</t>
  </si>
  <si>
    <t>https://drive.google.com/file/d/155K5itnbbcG9r6nxemU_8UHDu709cMJB/view</t>
  </si>
  <si>
    <t>https://drive.google.com/file/d/19q__x77AyU7ZTTrhGXGGMJNjWyJ9R5Sj/view</t>
  </si>
  <si>
    <t>Rotation.</t>
  </si>
  <si>
    <t>Rotation, LLC,</t>
  </si>
  <si>
    <t>https://drive.google.com/file/d/1hVBxJXY-_7ZXrCz3yI0J7CENF9eas4Dy/view</t>
  </si>
  <si>
    <t>Egozi Ventures, LLC.</t>
  </si>
  <si>
    <t>https://drive.google.com/file/d/1GKnyLFccnLupVkDLLZwADODi7o8x40Cd/view</t>
  </si>
  <si>
    <t>Not Specified (Flower presumed)</t>
  </si>
  <si>
    <t>Higher Grade</t>
  </si>
  <si>
    <t>HG LTD</t>
  </si>
  <si>
    <t>https://drive.google.com/file/d/1KvyOhoFc8TmE6_A6Tn_8_pEVBsfHd8Yc/view</t>
  </si>
  <si>
    <t>Skin and Body Products</t>
  </si>
  <si>
    <t>My brothers flower.</t>
  </si>
  <si>
    <t>MBF Labs</t>
  </si>
  <si>
    <t>https://drive.google.com/file/d/1r3Tyzturym13Qc6BjpToStviBvOOtUwk/view</t>
  </si>
  <si>
    <t>Morganic Concentrates.</t>
  </si>
  <si>
    <t>Dutch Botanicals LLC</t>
  </si>
  <si>
    <t>45987Karing Kind, LLCe2</t>
  </si>
  <si>
    <t>https://drive.google.com/file/d/1pD-nht94Id2_tmp6-WDPiFNciH67jxVq/view</t>
  </si>
  <si>
    <t>https://drive.google.com/file/d/13YLI15IZ7lGFeVAnZES8vw1jlCuMczC5/view</t>
  </si>
  <si>
    <t>Sweetwater Cannabis.</t>
  </si>
  <si>
    <t>Sweetwater Group, LLC,</t>
  </si>
  <si>
    <t>46044HG LTD e1</t>
  </si>
  <si>
    <t>https://drive.google.com/file/d/1WFrJsUtGrK0J9CibBjMAwK4i_kXtlpvK/view</t>
  </si>
  <si>
    <t>https://drive.google.com/file/d/1eNsw8cITFVIFlTvpF1KXNHiFP1jWxaJB/view</t>
  </si>
  <si>
    <t>High Octane.</t>
  </si>
  <si>
    <t>RMRC LLC</t>
  </si>
  <si>
    <t>February 26, 2026 -</t>
  </si>
  <si>
    <t>https://drive.google.com/file/d/1s5YrlVCaIsEywcYMU-ughAiXbQnLFe0V/view</t>
  </si>
  <si>
    <t>https://www.ctinsider.com/cannabis/article/curaleaf-medical-cannabis-product-recall-ct-20322956.php</t>
  </si>
  <si>
    <t>https://www.reddit.com/r/Connecticut/comments/1qemph5/recall_on_brix_cannabis/#lightbox</t>
  </si>
  <si>
    <t>Brix</t>
  </si>
  <si>
    <t>Reddit, Leak</t>
  </si>
  <si>
    <t>https://www.maine.gov/dafs/ocp/recalls/cannabis-cured-9-2024</t>
  </si>
  <si>
    <t>Cannabis Cured</t>
  </si>
  <si>
    <t>https://www.maine.gov/dafs/ocp/recalls/nova-farms-10-2024</t>
  </si>
  <si>
    <t>Flower, Pre-Rolls, Blunts</t>
  </si>
  <si>
    <t>Nova Farms</t>
  </si>
  <si>
    <t>https://www.maine.gov/dafs/ocp/recalls/leb-city-11-2024</t>
  </si>
  <si>
    <t>Leb City Greeneries</t>
  </si>
  <si>
    <t>https://www.maine.gov/dafs/ocp/recalls/norco-10-2025</t>
  </si>
  <si>
    <t>NorCO Outdoor Cannabis</t>
  </si>
  <si>
    <t>45957NorCO Outdoor Cannabis e1</t>
  </si>
  <si>
    <t>45576Nova Farms e1</t>
  </si>
  <si>
    <t>https://www.maine.gov/dafs/ocp/recalls/norco-12-2025</t>
  </si>
  <si>
    <t>https://www.maine.gov/dafs/ocp/recalls/marijuanaville-1-2026</t>
  </si>
  <si>
    <t>MarijuanaVille</t>
  </si>
  <si>
    <t>https://cannabis.maryland.gov/Documents/2025_PDF_Files/Bulletins/Recall%20Notification.pdf</t>
  </si>
  <si>
    <t xml:space="preserve">Not Specified </t>
  </si>
  <si>
    <t>Hi Color Max Chocolate Milk</t>
  </si>
  <si>
    <t>Not Specified, Locations Listed</t>
  </si>
  <si>
    <t>https://masscannabiscontrol.com/2025/02/notice-massachusetts-cannabis-control-commission-public-health-and-safety-advisory-potentially-contaminated-marijuana-products-sold-between-may-31-2024-and-january-23-2025-february-3-2025/</t>
  </si>
  <si>
    <t>https://masscannabiscontrol.com/2025/02/notice-massachusetts-cannabis-control-commission-public-health-and-safety-advisory-potentially-contaminated-marijuana-products-sold-between-september-18-2024-and-january-30-2025-february-3/</t>
  </si>
  <si>
    <t>Not Specified, No Locations Listed</t>
  </si>
  <si>
    <t>https://www.michigan.gov/cra/-/media/Project/Websites/cra/bulletin/1Public-Health-an-Safety-Advisory/Public-Health-and-Safety-Advisory---Flavor-Galaxy---FINAL.pdf?rev=d3953bd7527247d2bb6222398c814499&amp;hash=36B9C6D838E469CC999978762560FDC5</t>
  </si>
  <si>
    <t>Pre-Rolls, Infused Pre-Rolls, and Vape Carts</t>
  </si>
  <si>
    <t>Flavor Galaxy</t>
  </si>
  <si>
    <t>https://www.michigan.gov/cra/-/media/Project/Websites/cra/bulletin/1Public-Health-an-Safety-Advisory/Recall-Bulletin---Flavor-Galaxy---FINAL.pdf?rev=b8a5df78c4b94b47b0dc9874cd7beedc&amp;hash=7682C403EE558A9A77BB33095E8DC10B</t>
  </si>
  <si>
    <t xml:space="preserve">Platinum Vape </t>
  </si>
  <si>
    <t>RWB Michigan LLC</t>
  </si>
  <si>
    <t>https://www.michigan.gov/cra/-/media/Project/Websites/cra/bulletin/1Public-Health-an-Safety-Advisory/Exhale-Public-health-and-Safety-Bulletin-021125.pdf?rev=1421222a965141769356ce7980221106&amp;hash=B8BB13DDB11F7190506481172C79E4A4</t>
  </si>
  <si>
    <t>Exhale Systems Inc (</t>
  </si>
  <si>
    <t>Exhale Systems Inc</t>
  </si>
  <si>
    <t>https://www.michigan.gov/cra/-/media/Project/Websites/cra/bulletin/1Public-Health-an-Safety-Advisory/Voluntary-Product-Recall-Sky-Cannabis-LLC.pdf?rev=d484c2a12e614cefa7bf45ee9688e617&amp;hash=233AE731E64AAA2A206459E2E8E17743</t>
  </si>
  <si>
    <t>Sky Cannabis LLC</t>
  </si>
  <si>
    <t>https://www.michigan.gov/cra/-/media/Project/Websites/cra/bulletin/1Public-Health-an-Safety-Advisory/9225-Press-Release--CRA-Announces-Voluntary-Vape-Recall-House-Brands-Distro.pdf?rev=eaaa4828c3dc47d19936b92e581f1615&amp;hash=E1AD671E04BBECA360ED1F72AD8DA752</t>
  </si>
  <si>
    <t>House Brands Distro</t>
  </si>
  <si>
    <t>IVP Holding, LLC</t>
  </si>
  <si>
    <t>Kelly’s Green</t>
  </si>
  <si>
    <t>https://health.mo.gov/safety/cannabis/pdf/notice-of-product-recall041025.pdf</t>
  </si>
  <si>
    <t>Infused Pre-Rolls, Vape Cartridges, Blunts</t>
  </si>
  <si>
    <t>Delta Extraction, LLC,</t>
  </si>
  <si>
    <t>https://health.mo.gov/safety/cannabis/pdf/notice-of-product-recall080624.pdf</t>
  </si>
  <si>
    <t>NGWMO, LLC</t>
  </si>
  <si>
    <t>https://health.mo.gov/safety/cannabis/pdf/notice-of-product-recall080824-508.pdf</t>
  </si>
  <si>
    <t>Flower, Concentrates, Vape Cartridges</t>
  </si>
  <si>
    <t xml:space="preserve"> C&amp;C Manufacturing, LLC,</t>
  </si>
  <si>
    <t>https://health.mo.gov/safety/cannabis/pdf/notice-of-product-recall083024.pdf</t>
  </si>
  <si>
    <t>Flower, Concentrates, Vape Cartridges, Edibles</t>
  </si>
  <si>
    <t>Blue Sky Health &amp; Wellness, LLC</t>
  </si>
  <si>
    <t>Flower, Pre-Rolls, Cartridges, Concentrates</t>
  </si>
  <si>
    <t>ClearWater Science, LLC</t>
  </si>
  <si>
    <t>https://health.mo.gov/safety/cannabis/pdf/notice-of-product-recall1115524.pdf</t>
  </si>
  <si>
    <t>Edibles, Beverages</t>
  </si>
  <si>
    <t>Noah’s Arc Foundation MAN97, LLC</t>
  </si>
  <si>
    <t>https://health.mo.gov/safety/cannabis/pdf/man-044-notice-of-product-recall-041825.pdf</t>
  </si>
  <si>
    <t>Extract</t>
  </si>
  <si>
    <t>Honey Green, LLC</t>
  </si>
  <si>
    <t>https://health.mo.gov/safety/cannabis/pdf/man-10-notice-of-product-recall-041825-ada.pdf</t>
  </si>
  <si>
    <t>1913 Carrollton Manufacturing LLC</t>
  </si>
  <si>
    <t>https://health.mo.gov/safety/cannabis/pdf/notice-of-product-recall-042925-508.pdf</t>
  </si>
  <si>
    <t>Nodaway Holdings LLC</t>
  </si>
  <si>
    <t>https://health.mo.gov/safety/cannabis/pdf/notice-of-product-recall-070125-ada.pdf</t>
  </si>
  <si>
    <t>Bootheel CannaCare Columbia LLC</t>
  </si>
  <si>
    <t>https://revenuefiles.mt.gov/files/Cannabis/Cannabis-Product-Recalls/Broughton_aka_Starrbuds_Item_Recall.pdf</t>
  </si>
  <si>
    <t>Concentrate, Pre-Roll, Vape Cartridges, Edibles</t>
  </si>
  <si>
    <t xml:space="preserve">BROUGHTON, Inc., </t>
  </si>
  <si>
    <t>https://revenuefiles.mt.gov/files/Cannabis/Cannabis-Product-Recalls/Marijuana-Product-Recall-SJ-Strategic-Enterprises.pdf</t>
  </si>
  <si>
    <t>S&amp;J Strategic Enterprises</t>
  </si>
  <si>
    <t>Kynd Balance Black Cherry (</t>
  </si>
  <si>
    <t>KYND</t>
  </si>
  <si>
    <t>Kynd Energy Sour Green Apple</t>
  </si>
  <si>
    <t>https://ccb.nv.gov/wp-content/uploads/2024/11/Public-Health-Safety-Bulletin-2024-04-for-release-11-05-24.pdf</t>
  </si>
  <si>
    <t>cannabis flower, shake/trim and uninfused pre-rolls, infused edibles, infused flower, infused pre-rolls, or cannabis concentrates.</t>
  </si>
  <si>
    <t xml:space="preserve">Various </t>
  </si>
  <si>
    <t xml:space="preserve"> Redwood Warehouse, LLC </t>
  </si>
  <si>
    <t>https://ccb.nv.gov/wp-content/uploads/2025/09/Public-Health-and-Safety-Bulletin-2025-01.pdf</t>
  </si>
  <si>
    <t>uninfused pre-rolls and whole flower</t>
  </si>
  <si>
    <t>December 12th, 2025</t>
  </si>
  <si>
    <t>https://ccb.nv.gov/wp-content/uploads/2025/12/Public-Health-and-Safety-Bulletin-2025-02-Amended-.pdf</t>
  </si>
  <si>
    <t>Greenway Medical, LLC</t>
  </si>
  <si>
    <t>https://www.rld.nm.gov/2026/02/26/state-recalls-medical-cannabis-edible/</t>
  </si>
  <si>
    <t>GH Kush Pops</t>
  </si>
  <si>
    <t>GH LLC</t>
  </si>
  <si>
    <t>https://www.rld.nm.gov/wp-content/uploads/2024/11/24.11.RC_.MANU-2022-0060-Recall-Order-Final.pdf</t>
  </si>
  <si>
    <t>Pre-rolls and roll-your-own products</t>
  </si>
  <si>
    <t>Stash House</t>
  </si>
  <si>
    <t>JBS Technologies NM, LLC</t>
  </si>
  <si>
    <t>https://www.rld.nm.gov/wp-content/uploads/2024/11/Recall-Notification-9.4.24.pdf</t>
  </si>
  <si>
    <t>Maggie’s Farm</t>
  </si>
  <si>
    <t>WH Agriculture, LLC</t>
  </si>
  <si>
    <t>https://www.rld.nm.gov/wp-content/uploads/2024/04/3.22.2024-Recall-Details.pdf</t>
  </si>
  <si>
    <t>Got Greens </t>
  </si>
  <si>
    <t>https://cannabis.ny.gov/current-recalls</t>
  </si>
  <si>
    <t>Flower, Pre-Roll, Infused Pre-Roll, Edible</t>
  </si>
  <si>
    <t>Keystone State Testing New York.</t>
  </si>
  <si>
    <t>https://cannabis.ny.gov/past-recalls</t>
  </si>
  <si>
    <t>IndoGro LLC</t>
  </si>
  <si>
    <t>East End Flower Farm LTD</t>
  </si>
  <si>
    <t>https://com.ohio.gov/divisions-and-programs/cannabis-control/product-safety/TT-Product-Recall-2026-03</t>
  </si>
  <si>
    <t xml:space="preserve">Modern Flower Minis </t>
  </si>
  <si>
    <t>Harvest Grows, LLC,</t>
  </si>
  <si>
    <t>https://com.ohio.gov/divisions-and-programs/cannabis-control/product-safety/TTT-Product-Recall-2026-02</t>
  </si>
  <si>
    <t>Harvest Processing, LLC</t>
  </si>
  <si>
    <t>https://com.ohio.gov/divisions-and-programs/cannabis-control/product-safety/U-Product-Recall-2026-01</t>
  </si>
  <si>
    <t>Marichron Pharma LLC</t>
  </si>
  <si>
    <t xml:space="preserve">Marichron Pharma LLC </t>
  </si>
  <si>
    <t>https://com.ohio.gov/divisions-and-programs/cannabis-control/product-safety/UU-Product-Alert-2025-07-Standard-Farms</t>
  </si>
  <si>
    <t>Standard Farms Ohio LLC</t>
  </si>
  <si>
    <t>https://com.ohio.gov/divisions-and-programs/cannabis-control/product-safety/V-Product-Recall-2025-09-Hundred-Percent-Labs</t>
  </si>
  <si>
    <t>Hundred Percent Labs</t>
  </si>
  <si>
    <t>https://com.ohio.gov/divisions-and-programs/cannabis-control/product-safety/VV-Product-Recall-2025-08-Curaleaf</t>
  </si>
  <si>
    <t>Curaleaf OGT, Inc.</t>
  </si>
  <si>
    <t>https://com.ohio.gov/divisions-and-programs/cannabis-control/product-safety/VVV-Product-Recall-2025-07-GTI</t>
  </si>
  <si>
    <t>GTI Ohio, LLC</t>
  </si>
  <si>
    <t>https://com.ohio.gov/divisions-and-programs/cannabis-control/product-safety/W-Product-Recall-2025-06-Klutch-Processing</t>
  </si>
  <si>
    <t>Klutch Processing, LLC</t>
  </si>
  <si>
    <t>https://com.ohio.gov/divisions-and-programs/cannabis-control/product-safety/WW-Product-Recall-2025-05-Green-Investment-Partners</t>
  </si>
  <si>
    <t xml:space="preserve">Green Investment Partners, LLC </t>
  </si>
  <si>
    <t>https://com.ohio.gov/divisions-and-programs/cannabis-control/product-safety/WWW-product-recall-2025-04</t>
  </si>
  <si>
    <t>Ohio Processing Plant LLC</t>
  </si>
  <si>
    <t xml:space="preserve">Ohio Processing Plant LLC </t>
  </si>
  <si>
    <t>https://com.ohio.gov/divisions-and-programs/cannabis-control/product-safety/X-Product-Recall-Beneleaves-Chocolate</t>
  </si>
  <si>
    <t xml:space="preserve">Koala Bars Koala Classic </t>
  </si>
  <si>
    <t>Beneleaves Limited,</t>
  </si>
  <si>
    <t>https://com.ohio.gov/divisions-and-programs/cannabis-control/product-safety/YProduct-Recall-2025-02-Beneleaves</t>
  </si>
  <si>
    <t>Various Capsules, Vape Products, and Edibles</t>
  </si>
  <si>
    <t>Beneleaves Limited –</t>
  </si>
  <si>
    <t>pril 13, 2023</t>
  </si>
  <si>
    <t>https://com.ohio.gov/divisions-and-programs/cannabis-control/product-safety/yyy-product-recall-2024-04</t>
  </si>
  <si>
    <t>Paragon Premium Cannabis</t>
  </si>
  <si>
    <t>Paragon Development Group, LLC</t>
  </si>
  <si>
    <t>https://com.ohio.gov/divisions-and-programs/cannabis-control/product-safety/zzz-product-recall-2024-01</t>
  </si>
  <si>
    <t>Standard Farms Carrot Cake Fudge 2-pk</t>
  </si>
  <si>
    <t xml:space="preserve"> Standard Farms Ohio, LLC </t>
  </si>
  <si>
    <t>https://oklahoma.gov/omma/recalls/embargoed-and-recalled-products/product-recall-june-10-2024.html</t>
  </si>
  <si>
    <t>https://oklahoma.gov/omma/recalls/embargoed-and-recalled-products.html#accordion-08efa350b5-item-4d4e4ec992</t>
  </si>
  <si>
    <t>Payzos Flower &amp; Buds</t>
  </si>
  <si>
    <t>PAK Family Farm, LL</t>
  </si>
  <si>
    <t>Oct. 10, 2025,</t>
  </si>
  <si>
    <t>https://oklahoma.gov/omma/recalls/embargoed-and-recalled-products/product-recall-october-10-2025.html</t>
  </si>
  <si>
    <t>Pre-Roll, Infused Pre-Roll, Edibles,</t>
  </si>
  <si>
    <t>Rocking R Cannabis</t>
  </si>
  <si>
    <t>Michael William Redus</t>
  </si>
  <si>
    <t>Oct. 13, 2025,</t>
  </si>
  <si>
    <t>https://oklahoma.gov/omma/recalls/embargoed-and-recalled-products/product-recall-october-23-2025.html</t>
  </si>
  <si>
    <t>Vape Catridges, Infused Pre-Rolls</t>
  </si>
  <si>
    <t>Ruby Mae’s LLC</t>
  </si>
  <si>
    <t xml:space="preserve">Ruby Mae’s LLC </t>
  </si>
  <si>
    <t>https://oklahoma.gov/omma/recalls/embargoed-and-recalled-products/product-recall-october-24-2025.html</t>
  </si>
  <si>
    <t>Green Delight 2 LLC</t>
  </si>
  <si>
    <t>https://oklahoma.gov/omma/recalls/embargoed-and-recalled-products/product-recall-novober-25-2025.html</t>
  </si>
  <si>
    <t>Vice Capital Extraction, LLC</t>
  </si>
  <si>
    <t>https://oklahoma.gov/omma/recalls/embargoed-and-recalled-products/product-recall-december-23-2025.html</t>
  </si>
  <si>
    <t>Carter County Extracts, Inc.</t>
  </si>
  <si>
    <t>https://www.oregon.gov/olcc/Docs/news/news_releases/2025/MJ-Cookie-Recall.pdf</t>
  </si>
  <si>
    <t>Lissa’s Fresh Baked Cookie Bites</t>
  </si>
  <si>
    <t>C&amp;R Oregon Corporation or Green Box MFG LLC</t>
  </si>
  <si>
    <t>https://www.oregon.gov/olcc/Docs/news/news_releases/2025/nr012325%20Elitextrx-Recall.pdf</t>
  </si>
  <si>
    <t>Elitextrx 1:1 Crispy</t>
  </si>
  <si>
    <t>ELITEXTRX, LLC</t>
  </si>
  <si>
    <t>https://content.govdelivery.com/accounts/OLCC/bulletins/3c9046e</t>
  </si>
  <si>
    <t>Gary Payton Flower</t>
  </si>
  <si>
    <t>Atlas Farms (Lopaka Farms LLC)</t>
  </si>
  <si>
    <t>IMIDACLOPRID</t>
  </si>
  <si>
    <t>https://www.oregon.gov/olcc/marijuana/Documents/LTRMN-Beacoup-Gummy-Recall.pdf</t>
  </si>
  <si>
    <t>Beaucoup Gummies</t>
  </si>
  <si>
    <t>LTRMN Inc</t>
  </si>
  <si>
    <t>https://www.oregon.gov/olcc/marijuana/Documents/Epoch-Investments-Quality-Drugs-Fruit-Chews-Recall.pdf</t>
  </si>
  <si>
    <t>Quality Drugs</t>
  </si>
  <si>
    <t>Epoch Investments LLC</t>
  </si>
  <si>
    <t>https://www.pa.gov/content/dam/copapwp-pagov/en/health/documents/topics/documents/programs/medical-marijuana/DOH%20-%20Withdraw%20of%20Products%20Containing%20Additives%20Not%20Approved%20for%20Inhalation%20by%20the%20FDA.pdf</t>
  </si>
  <si>
    <t xml:space="preserve">Press </t>
  </si>
  <si>
    <t>Pre-Rolls</t>
  </si>
  <si>
    <t>Big Frank</t>
  </si>
  <si>
    <t>ALKI HERBAL 412371</t>
  </si>
  <si>
    <t xml:space="preserve">Edible, Infused Pre-Roll, </t>
  </si>
  <si>
    <t>GTO Oil</t>
  </si>
  <si>
    <t>Green Bluff Orchards</t>
  </si>
  <si>
    <t>Northwest Cannabis Solutions</t>
  </si>
  <si>
    <t>Orange State</t>
  </si>
  <si>
    <t xml:space="preserve"> Orange State </t>
  </si>
  <si>
    <t>Green Bluff Greenhouse</t>
  </si>
  <si>
    <t>Magenta Hasplant</t>
  </si>
  <si>
    <t>Vert Corporation</t>
  </si>
  <si>
    <t>Titty Sprinkles</t>
  </si>
  <si>
    <t xml:space="preserve">Playa Grande </t>
  </si>
  <si>
    <t>https://arizonastatecannabis.org/news-25oct2025</t>
  </si>
  <si>
    <t>Elba Holdings</t>
  </si>
  <si>
    <t>https://www.fox10phoenix.com/news/arizona-announces-marijuana-recall-amid-contamination-worries-heres-what-know</t>
  </si>
  <si>
    <t>Concentrate, Edibles</t>
  </si>
  <si>
    <t>Pressd / Baked Bros</t>
  </si>
  <si>
    <t xml:space="preserve">Spinosad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</si>
</sst>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/d/yyyy"/>
    <numFmt numFmtId="165" formatCode="m/yyyy"/>
    <numFmt numFmtId="166" formatCode="M/d/yyyy"/>
    <numFmt numFmtId="167" formatCode="mm/dd/yyyy"/>
    <numFmt numFmtId="168" formatCode="m/d/yy"/>
    <numFmt numFmtId="169" formatCode="m/d"/>
    <numFmt numFmtId="170" formatCode="mm/dd/yy"/>
    <numFmt numFmtId="171" formatCode="m-d-yyyy"/>
    <numFmt numFmtId="172" formatCode="mmm yyyy"/>
    <numFmt numFmtId="173" formatCode="mmmm d, yyyy"/>
    <numFmt numFmtId="174" formatCode="mmm. d, yyyy"/>
  </numFmts>
  <fonts count="8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2.0"/>
      <color rgb="FF000000"/>
      <name val="Poppins"/>
    </font>
    <font>
      <color theme="1"/>
      <name val="Arial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</font>
    <font>
      <b/>
      <color theme="1"/>
      <name val="Arial"/>
    </font>
    <font>
      <sz val="13.0"/>
      <color theme="1"/>
      <name val="Arial"/>
      <scheme val="minor"/>
    </font>
    <font>
      <color rgb="FF000000"/>
      <name val="Arial"/>
    </font>
    <font>
      <u/>
      <color rgb="FF0000FF"/>
    </font>
    <font>
      <sz val="11.0"/>
      <color theme="1"/>
      <name val="Arial"/>
    </font>
    <font>
      <color rgb="FFFFFFFF"/>
      <name val="Arial"/>
    </font>
    <font>
      <u/>
      <color rgb="FF0000FF"/>
    </font>
    <font>
      <u/>
      <color rgb="FF1155CC"/>
      <name val="Arial"/>
    </font>
    <font>
      <u/>
      <color rgb="FF1155CC"/>
      <name val="Arial"/>
    </font>
    <font>
      <color theme="1"/>
      <name val="Sans-serif"/>
    </font>
    <font>
      <sz val="9.0"/>
      <color rgb="FF1F1F1F"/>
      <name val="&quot;Google Sans&quot;"/>
    </font>
    <font>
      <sz val="14.0"/>
      <color rgb="FF464646"/>
      <name val="&quot;Open Sans&quot;"/>
    </font>
    <font>
      <sz val="12.0"/>
      <color rgb="FF333333"/>
      <name val="Montserrat"/>
    </font>
    <font>
      <sz val="11.0"/>
      <color rgb="FF666666"/>
      <name val="&quot;Open Sans&quot;"/>
    </font>
    <font>
      <sz val="12.0"/>
      <color rgb="FFFFFFFF"/>
      <name val="&quot;Google Sans&quot;"/>
    </font>
    <font>
      <sz val="11.0"/>
      <color rgb="FF58595B"/>
      <name val="Proxima-nova"/>
    </font>
    <font>
      <sz val="9.0"/>
      <color rgb="FF58595B"/>
      <name val="Tahoma"/>
    </font>
    <font>
      <sz val="9.0"/>
      <color rgb="FF58595B"/>
      <name val="Arial"/>
    </font>
    <font>
      <sz val="12.0"/>
      <color rgb="FF000000"/>
      <name val="Poppins"/>
    </font>
    <font>
      <b/>
      <sz val="14.0"/>
      <color rgb="FF141414"/>
      <name val="&quot;Helvetica Neue&quot;"/>
    </font>
    <font>
      <color rgb="FF141414"/>
      <name val="&quot;Helvetica Neue&quot;"/>
    </font>
    <font>
      <b/>
      <sz val="12.0"/>
      <color rgb="FFEEF0FF"/>
      <name val="&quot;Google Sans&quot;"/>
    </font>
    <font>
      <sz val="12.0"/>
      <color rgb="FF0F0F0F"/>
      <name val="Arial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u/>
      <sz val="12.0"/>
      <color rgb="FF1155CC"/>
      <name val="Trebuchet MS"/>
    </font>
    <font>
      <sz val="11.0"/>
      <color rgb="FF333333"/>
      <name val="Arial"/>
    </font>
    <font>
      <u/>
      <color rgb="FF0000FF"/>
      <name val="Arial"/>
    </font>
    <font>
      <sz val="12.0"/>
      <color theme="1"/>
      <name val="Trebuchet MS"/>
    </font>
    <font>
      <sz val="14.0"/>
      <color rgb="FF000000"/>
      <name val="Lato"/>
    </font>
    <font>
      <u/>
      <color rgb="FF0000FF"/>
      <name val="Arial"/>
    </font>
    <font>
      <sz val="12.0"/>
      <color rgb="FF000000"/>
      <name val="&quot;Open Sans&quot;"/>
    </font>
    <font>
      <b/>
      <u/>
      <sz val="11.0"/>
      <color rgb="FF376091"/>
      <name val="Arial"/>
    </font>
    <font>
      <sz val="14.0"/>
      <color rgb="FF2A2A2A"/>
      <name val="Georgia"/>
    </font>
    <font>
      <u/>
      <color rgb="FF1155CC"/>
      <name val="Arial"/>
    </font>
    <font>
      <b/>
      <color rgb="FF000000"/>
      <name val="&quot;Public Sans&quot;"/>
    </font>
    <font>
      <sz val="11.0"/>
      <color rgb="FF000000"/>
      <name val="&quot;Trebuchet MS&quot;"/>
    </font>
    <font>
      <b/>
      <sz val="24.0"/>
      <color rgb="FF6D7278"/>
      <name val="Raleway"/>
    </font>
    <font>
      <u/>
      <color rgb="FF1155CC"/>
      <name val="Arial"/>
    </font>
    <font>
      <sz val="13.0"/>
      <color rgb="FF212529"/>
      <name val="&quot;PT Serif&quot;"/>
    </font>
    <font>
      <sz val="15.0"/>
      <color rgb="FF000000"/>
      <name val="&quot;Public Sans&quot;"/>
    </font>
    <font>
      <sz val="12.0"/>
      <color rgb="FF1C2E36"/>
      <name val="&quot;times new roman&quot;"/>
    </font>
    <font>
      <b/>
      <color rgb="FF045625"/>
      <name val="Recoleta"/>
    </font>
    <font>
      <sz val="11.0"/>
      <color rgb="FF374151"/>
      <name val="Poppins"/>
    </font>
    <font>
      <sz val="12.0"/>
      <color rgb="FF141414"/>
      <name val="&quot;Helvetica Neue&quot;"/>
    </font>
    <font>
      <u/>
      <color rgb="FF0000FF"/>
      <name val="Arial"/>
    </font>
    <font>
      <sz val="12.0"/>
      <color rgb="FF212529"/>
      <name val="Roboto"/>
    </font>
    <font>
      <u/>
      <color rgb="FF0000FF"/>
      <name val="Arial"/>
    </font>
    <font>
      <b/>
      <color rgb="FF000000"/>
      <name val="Poppins"/>
    </font>
    <font>
      <sz val="11.0"/>
      <color rgb="FF1F1F1F"/>
      <name val="&quot;Google Sans&quot;"/>
    </font>
    <font>
      <u/>
      <sz val="12.0"/>
      <color rgb="FF1155CC"/>
      <name val="Trebuchet MS"/>
    </font>
    <font>
      <color theme="1"/>
      <name val="Serif"/>
    </font>
    <font>
      <b/>
      <sz val="11.0"/>
      <color rgb="FF376091"/>
      <name val="Arial"/>
    </font>
    <font>
      <b/>
      <u/>
      <sz val="11.0"/>
      <color rgb="FF376091"/>
      <name val="Arial"/>
    </font>
    <font>
      <sz val="11.0"/>
      <color theme="1"/>
      <name val="Trebuchet MS"/>
    </font>
    <font>
      <b/>
      <i/>
      <sz val="12.0"/>
      <color rgb="FF000000"/>
      <name val="&quot;Times New Roman&quot;"/>
    </font>
    <font>
      <b/>
      <sz val="12.0"/>
      <color rgb="FF000000"/>
      <name val="&quot;Times New Roman&quot;"/>
    </font>
    <font>
      <sz val="12.0"/>
      <color rgb="FF000000"/>
      <name val="&quot;Times New Roman&quot;"/>
    </font>
    <font>
      <b/>
      <sz val="24.0"/>
      <color rgb="FF6D7278"/>
      <name val="Arial"/>
    </font>
    <font>
      <sz val="14.0"/>
      <color rgb="FF313131"/>
      <name val="Roboto"/>
    </font>
    <font>
      <sz val="16.0"/>
      <color rgb="FF313131"/>
      <name val="Roboto"/>
    </font>
    <font>
      <sz val="11.0"/>
      <color rgb="FF444444"/>
      <name val="&quot;Helvetica Neue&quot;"/>
    </font>
    <font>
      <b/>
      <sz val="13.0"/>
      <color rgb="FF222222"/>
      <name val="Lora"/>
    </font>
    <font>
      <u/>
      <color rgb="FF0000FF"/>
      <name val="Arial"/>
    </font>
    <font>
      <color rgb="FF374151"/>
      <name val="Poppins"/>
    </font>
    <font>
      <color rgb="FF000000"/>
      <name val="Poppins"/>
    </font>
    <font>
      <b/>
      <sz val="12.0"/>
      <color rgb="FF1C2E36"/>
      <name val="&quot;times new roman&quot;"/>
    </font>
    <font>
      <sz val="11.0"/>
      <color rgb="FF333333"/>
      <name val="Tahoma"/>
    </font>
    <font>
      <sz val="14.0"/>
      <color rgb="FF000000"/>
      <name val="&quot;Proxima Nova&quot;"/>
    </font>
    <font>
      <b/>
      <sz val="14.0"/>
      <color rgb="FF000000"/>
      <name val="&quot;Proxima Nova&quot;"/>
    </font>
    <font>
      <sz val="12.0"/>
      <color rgb="FF4A4A4A"/>
      <name val="&quot;Source Sans Pro&quot;"/>
    </font>
    <font>
      <b/>
      <sz val="14.0"/>
      <color rgb="FF464646"/>
      <name val="Arial"/>
      <scheme val="minor"/>
    </font>
    <font>
      <sz val="11.0"/>
      <color rgb="FF333333"/>
      <name val="Helvetica"/>
    </font>
    <font>
      <b/>
      <sz val="12.0"/>
      <color rgb="FF0F0F0F"/>
      <name val="Arial"/>
    </font>
  </fonts>
  <fills count="2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93C47D"/>
        <bgColor rgb="FF93C47D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000000"/>
        <bgColor rgb="FF000000"/>
      </patternFill>
    </fill>
    <fill>
      <patternFill patternType="solid">
        <fgColor rgb="FF22242A"/>
        <bgColor rgb="FF22242A"/>
      </patternFill>
    </fill>
    <fill>
      <patternFill patternType="solid">
        <fgColor rgb="FFEFEFEF"/>
        <bgColor rgb="FFEFEFEF"/>
      </patternFill>
    </fill>
    <fill>
      <patternFill patternType="solid">
        <fgColor rgb="FFF5F5F5"/>
        <bgColor rgb="FFF5F5F5"/>
      </patternFill>
    </fill>
    <fill>
      <patternFill patternType="solid">
        <fgColor rgb="FFF5F4F1"/>
        <bgColor rgb="FFF5F4F1"/>
      </patternFill>
    </fill>
    <fill>
      <patternFill patternType="solid">
        <fgColor rgb="FFF6F6F6"/>
        <bgColor rgb="FFF6F6F6"/>
      </patternFill>
    </fill>
    <fill>
      <patternFill patternType="solid">
        <fgColor rgb="FFEEEEEE"/>
        <bgColor rgb="FFEEEEEE"/>
      </patternFill>
    </fill>
    <fill>
      <patternFill patternType="solid">
        <fgColor rgb="FFFAFAFA"/>
        <bgColor rgb="FFFAFAFA"/>
      </patternFill>
    </fill>
    <fill>
      <patternFill patternType="solid">
        <fgColor rgb="FFF7F7F7"/>
        <bgColor rgb="FFF7F7F7"/>
      </patternFill>
    </fill>
    <fill>
      <patternFill patternType="solid">
        <fgColor rgb="FFF8F8F8"/>
        <bgColor rgb="FFF8F8F8"/>
      </patternFill>
    </fill>
  </fills>
  <borders count="3">
    <border/>
    <border>
      <top style="thin">
        <color rgb="FFDDDDDD"/>
      </top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</borders>
  <cellStyleXfs count="1">
    <xf borderId="0" fillId="0" fontId="0" numFmtId="0" applyAlignment="1" applyFont="1"/>
  </cellStyleXfs>
  <cellXfs count="322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2" fontId="1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3" fontId="3" numFmtId="0" xfId="0" applyAlignment="1" applyFill="1" applyFont="1">
      <alignment horizontal="left" readingOrder="0"/>
    </xf>
    <xf borderId="0" fillId="0" fontId="2" numFmtId="0" xfId="0" applyAlignment="1" applyFont="1">
      <alignment readingOrder="0"/>
    </xf>
    <xf borderId="0" fillId="3" fontId="4" numFmtId="0" xfId="0" applyAlignment="1" applyFont="1">
      <alignment vertical="bottom"/>
    </xf>
    <xf borderId="0" fillId="0" fontId="2" numFmtId="0" xfId="0" applyFont="1"/>
    <xf borderId="0" fillId="0" fontId="4" numFmtId="164" xfId="0" applyAlignment="1" applyFont="1" applyNumberFormat="1">
      <alignment horizontal="right" vertical="bottom"/>
    </xf>
    <xf borderId="0" fillId="2" fontId="5" numFmtId="0" xfId="0" applyAlignment="1" applyFont="1">
      <alignment readingOrder="0"/>
    </xf>
    <xf borderId="0" fillId="3" fontId="6" numFmtId="165" xfId="0" applyAlignment="1" applyFont="1" applyNumberFormat="1">
      <alignment vertical="bottom"/>
    </xf>
    <xf borderId="0" fillId="0" fontId="1" numFmtId="0" xfId="0" applyFont="1"/>
    <xf borderId="0" fillId="2" fontId="1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bottom" wrapText="0"/>
    </xf>
    <xf borderId="0" fillId="2" fontId="8" numFmtId="0" xfId="0" applyFont="1"/>
    <xf borderId="0" fillId="0" fontId="9" numFmtId="164" xfId="0" applyAlignment="1" applyFont="1" applyNumberFormat="1">
      <alignment horizontal="right" vertical="bottom"/>
    </xf>
    <xf borderId="0" fillId="2" fontId="10" numFmtId="0" xfId="0" applyAlignment="1" applyFont="1">
      <alignment readingOrder="0"/>
    </xf>
    <xf borderId="0" fillId="4" fontId="1" numFmtId="0" xfId="0" applyFill="1" applyFont="1"/>
    <xf borderId="0" fillId="3" fontId="4" numFmtId="165" xfId="0" applyAlignment="1" applyFont="1" applyNumberFormat="1">
      <alignment vertical="bottom"/>
    </xf>
    <xf borderId="0" fillId="0" fontId="1" numFmtId="0" xfId="0" applyAlignment="1" applyFont="1">
      <alignment readingOrder="0"/>
    </xf>
    <xf borderId="0" fillId="5" fontId="4" numFmtId="0" xfId="0" applyAlignment="1" applyFill="1" applyFont="1">
      <alignment horizontal="left" readingOrder="0" shrinkToFit="0" vertical="bottom" wrapText="0"/>
    </xf>
    <xf borderId="0" fillId="6" fontId="11" numFmtId="0" xfId="0" applyAlignment="1" applyFill="1" applyFont="1">
      <alignment horizontal="left" readingOrder="0" shrinkToFit="0" vertical="bottom" wrapText="0"/>
    </xf>
    <xf borderId="0" fillId="2" fontId="12" numFmtId="0" xfId="0" applyAlignment="1" applyFont="1">
      <alignment readingOrder="0"/>
    </xf>
    <xf borderId="0" fillId="7" fontId="11" numFmtId="0" xfId="0" applyAlignment="1" applyFill="1" applyFont="1">
      <alignment horizontal="left" readingOrder="0" shrinkToFit="0" vertical="bottom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9" fontId="1" numFmtId="0" xfId="0" applyFill="1" applyFont="1"/>
    <xf borderId="0" fillId="7" fontId="11" numFmtId="49" xfId="0" applyAlignment="1" applyFont="1" applyNumberFormat="1">
      <alignment horizontal="left" readingOrder="0" shrinkToFit="0" vertical="bottom" wrapText="0"/>
    </xf>
    <xf borderId="0" fillId="0" fontId="14" numFmtId="0" xfId="0" applyAlignment="1" applyFont="1">
      <alignment horizontal="left" readingOrder="0" shrinkToFit="0" vertical="bottom" wrapText="0"/>
    </xf>
    <xf borderId="0" fillId="10" fontId="1" numFmtId="0" xfId="0" applyFill="1" applyFont="1"/>
    <xf borderId="0" fillId="11" fontId="11" numFmtId="0" xfId="0" applyAlignment="1" applyFill="1" applyFont="1">
      <alignment horizontal="left" readingOrder="0" shrinkToFit="0" vertical="bottom" wrapText="0"/>
    </xf>
    <xf borderId="0" fillId="0" fontId="15" numFmtId="0" xfId="0" applyAlignment="1" applyFont="1">
      <alignment readingOrder="0"/>
    </xf>
    <xf borderId="0" fillId="12" fontId="4" numFmtId="166" xfId="0" applyAlignment="1" applyFill="1" applyFont="1" applyNumberFormat="1">
      <alignment horizontal="left" readingOrder="0" shrinkToFit="0" vertical="bottom" wrapText="0"/>
    </xf>
    <xf borderId="0" fillId="12" fontId="4" numFmtId="0" xfId="0" applyAlignment="1" applyFont="1">
      <alignment horizontal="left" readingOrder="0" shrinkToFit="0" vertical="bottom" wrapText="0"/>
    </xf>
    <xf borderId="0" fillId="13" fontId="11" numFmtId="0" xfId="0" applyAlignment="1" applyFill="1" applyFont="1">
      <alignment horizontal="left" readingOrder="0" shrinkToFit="0" vertical="bottom" wrapText="0"/>
    </xf>
    <xf borderId="0" fillId="3" fontId="4" numFmtId="0" xfId="0" applyAlignment="1" applyFont="1">
      <alignment readingOrder="0" vertical="bottom"/>
    </xf>
    <xf borderId="0" fillId="13" fontId="11" numFmtId="0" xfId="0" applyAlignment="1" applyFont="1">
      <alignment horizontal="left" readingOrder="0" shrinkToFit="0" vertical="bottom" wrapText="0"/>
    </xf>
    <xf borderId="0" fillId="13" fontId="11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vertical="bottom"/>
    </xf>
    <xf borderId="0" fillId="6" fontId="4" numFmtId="167" xfId="0" applyAlignment="1" applyFont="1" applyNumberFormat="1">
      <alignment horizontal="left" shrinkToFit="0" vertical="bottom" wrapText="0"/>
    </xf>
    <xf borderId="0" fillId="7" fontId="4" numFmtId="0" xfId="0" applyAlignment="1" applyFont="1">
      <alignment shrinkToFit="0" vertical="bottom" wrapText="0"/>
    </xf>
    <xf borderId="0" fillId="8" fontId="16" numFmtId="0" xfId="0" applyAlignment="1" applyFont="1">
      <alignment shrinkToFit="0" vertical="bottom" wrapText="0"/>
    </xf>
    <xf borderId="0" fillId="3" fontId="11" numFmtId="0" xfId="0" applyAlignment="1" applyFont="1">
      <alignment readingOrder="0" vertical="bottom"/>
    </xf>
    <xf borderId="0" fillId="0" fontId="13" numFmtId="0" xfId="0" applyAlignment="1" applyFont="1">
      <alignment shrinkToFit="0" vertical="bottom" wrapText="0"/>
    </xf>
    <xf borderId="0" fillId="7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11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13" fontId="4" numFmtId="0" xfId="0" applyAlignment="1" applyFont="1">
      <alignment shrinkToFit="0" vertical="bottom" wrapText="0"/>
    </xf>
    <xf borderId="0" fillId="13" fontId="4" numFmtId="0" xfId="0" applyAlignment="1" applyFont="1">
      <alignment readingOrder="0" shrinkToFit="0" vertical="bottom" wrapText="0"/>
    </xf>
    <xf borderId="0" fillId="13" fontId="4" numFmtId="0" xfId="0" applyAlignment="1" applyFont="1">
      <alignment readingOrder="0" shrinkToFit="0" vertical="bottom" wrapText="0"/>
    </xf>
    <xf borderId="0" fillId="8" fontId="17" numFmtId="0" xfId="0" applyAlignment="1" applyFont="1">
      <alignment readingOrder="0" shrinkToFit="0" vertical="bottom" wrapText="0"/>
    </xf>
    <xf borderId="0" fillId="3" fontId="4" numFmtId="0" xfId="0" applyAlignment="1" applyFont="1">
      <alignment vertical="bottom"/>
    </xf>
    <xf borderId="0" fillId="0" fontId="18" numFmtId="0" xfId="0" applyAlignment="1" applyFont="1">
      <alignment shrinkToFit="0" vertical="bottom" wrapText="0"/>
    </xf>
    <xf borderId="0" fillId="2" fontId="4" numFmtId="0" xfId="0" applyAlignment="1" applyFont="1">
      <alignment vertical="bottom"/>
    </xf>
    <xf borderId="0" fillId="13" fontId="4" numFmtId="0" xfId="0" applyAlignment="1" applyFont="1">
      <alignment shrinkToFit="0" vertical="bottom" wrapText="0"/>
    </xf>
    <xf borderId="0" fillId="0" fontId="19" numFmtId="0" xfId="0" applyAlignment="1" applyFont="1">
      <alignment readingOrder="0"/>
    </xf>
    <xf borderId="0" fillId="0" fontId="20" numFmtId="0" xfId="0" applyAlignment="1" applyFont="1">
      <alignment horizontal="left" readingOrder="0"/>
    </xf>
    <xf borderId="0" fillId="0" fontId="21" numFmtId="0" xfId="0" applyAlignment="1" applyFont="1">
      <alignment horizontal="left" readingOrder="0"/>
    </xf>
    <xf borderId="0" fillId="0" fontId="4" numFmtId="0" xfId="0" applyAlignment="1" applyFont="1">
      <alignment readingOrder="0" vertical="bottom"/>
    </xf>
    <xf borderId="0" fillId="0" fontId="22" numFmtId="0" xfId="0" applyAlignment="1" applyFont="1">
      <alignment readingOrder="0" shrinkToFit="0" vertical="center" wrapText="0"/>
    </xf>
    <xf borderId="0" fillId="11" fontId="4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14" fontId="23" numFmtId="0" xfId="0" applyAlignment="1" applyFill="1" applyFont="1">
      <alignment readingOrder="0"/>
    </xf>
    <xf borderId="0" fillId="3" fontId="24" numFmtId="0" xfId="0" applyAlignment="1" applyFont="1">
      <alignment readingOrder="0"/>
    </xf>
    <xf borderId="0" fillId="3" fontId="25" numFmtId="0" xfId="0" applyAlignment="1" applyFont="1">
      <alignment readingOrder="0"/>
    </xf>
    <xf borderId="0" fillId="3" fontId="26" numFmtId="0" xfId="0" applyAlignment="1" applyFont="1">
      <alignment readingOrder="0"/>
    </xf>
    <xf borderId="0" fillId="7" fontId="4" numFmtId="0" xfId="0" applyAlignment="1" applyFont="1">
      <alignment readingOrder="0"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0" fontId="24" numFmtId="0" xfId="0" applyAlignment="1" applyFont="1">
      <alignment readingOrder="0"/>
    </xf>
    <xf borderId="0" fillId="3" fontId="27" numFmtId="0" xfId="0" applyAlignment="1" applyFont="1">
      <alignment horizontal="left" readingOrder="0"/>
    </xf>
    <xf borderId="0" fillId="13" fontId="4" numFmtId="0" xfId="0" applyAlignment="1" applyFont="1">
      <alignment readingOrder="0" vertical="bottom"/>
    </xf>
    <xf borderId="0" fillId="3" fontId="28" numFmtId="0" xfId="0" applyAlignment="1" applyFont="1">
      <alignment horizontal="center" readingOrder="0"/>
    </xf>
    <xf borderId="0" fillId="3" fontId="29" numFmtId="0" xfId="0" applyAlignment="1" applyFont="1">
      <alignment readingOrder="0" vertical="top"/>
    </xf>
    <xf borderId="0" fillId="0" fontId="28" numFmtId="0" xfId="0" applyAlignment="1" applyFont="1">
      <alignment horizontal="center" readingOrder="0"/>
    </xf>
    <xf borderId="0" fillId="15" fontId="30" numFmtId="0" xfId="0" applyAlignment="1" applyFill="1" applyFont="1">
      <alignment readingOrder="0"/>
    </xf>
    <xf borderId="0" fillId="16" fontId="20" numFmtId="0" xfId="0" applyAlignment="1" applyFill="1" applyFont="1">
      <alignment horizontal="left" readingOrder="0"/>
    </xf>
    <xf borderId="0" fillId="3" fontId="20" numFmtId="0" xfId="0" applyAlignment="1" applyFont="1">
      <alignment horizontal="left" readingOrder="0"/>
    </xf>
    <xf borderId="0" fillId="13" fontId="4" numFmtId="0" xfId="0" applyAlignment="1" applyFont="1">
      <alignment readingOrder="0" vertical="bottom"/>
    </xf>
    <xf borderId="0" fillId="3" fontId="31" numFmtId="0" xfId="0" applyAlignment="1" applyFont="1">
      <alignment readingOrder="0"/>
    </xf>
    <xf borderId="0" fillId="0" fontId="4" numFmtId="0" xfId="0" applyAlignment="1" applyFont="1">
      <alignment horizontal="left" vertical="bottom"/>
    </xf>
    <xf borderId="0" fillId="0" fontId="13" numFmtId="0" xfId="0" applyAlignment="1" applyFont="1">
      <alignment vertical="bottom"/>
    </xf>
    <xf borderId="0" fillId="0" fontId="4" numFmtId="167" xfId="0" applyAlignment="1" applyFont="1" applyNumberFormat="1">
      <alignment horizontal="left" readingOrder="0" vertical="bottom"/>
    </xf>
    <xf borderId="0" fillId="0" fontId="32" numFmtId="0" xfId="0" applyAlignment="1" applyFont="1">
      <alignment readingOrder="0" vertical="bottom"/>
    </xf>
    <xf borderId="0" fillId="0" fontId="33" numFmtId="0" xfId="0" applyAlignment="1" applyFont="1">
      <alignment readingOrder="0" vertical="bottom"/>
    </xf>
    <xf borderId="0" fillId="3" fontId="22" numFmtId="166" xfId="0" applyAlignment="1" applyFont="1" applyNumberFormat="1">
      <alignment readingOrder="0" shrinkToFit="0" vertical="center" wrapText="0"/>
    </xf>
    <xf borderId="0" fillId="0" fontId="4" numFmtId="167" xfId="0" applyAlignment="1" applyFont="1" applyNumberFormat="1">
      <alignment horizontal="left" vertical="bottom"/>
    </xf>
    <xf borderId="0" fillId="0" fontId="34" numFmtId="0" xfId="0" applyAlignment="1" applyFont="1">
      <alignment vertical="bottom"/>
    </xf>
    <xf borderId="0" fillId="0" fontId="4" numFmtId="164" xfId="0" applyAlignment="1" applyFont="1" applyNumberFormat="1">
      <alignment horizontal="left" vertical="bottom"/>
    </xf>
    <xf borderId="0" fillId="0" fontId="4" numFmtId="164" xfId="0" applyAlignment="1" applyFont="1" applyNumberFormat="1">
      <alignment horizontal="left" readingOrder="0" vertical="bottom"/>
    </xf>
    <xf borderId="0" fillId="0" fontId="4" numFmtId="0" xfId="0" applyAlignment="1" applyFont="1">
      <alignment readingOrder="0" shrinkToFit="0" vertical="bottom" wrapText="0"/>
    </xf>
    <xf borderId="0" fillId="0" fontId="4" numFmtId="166" xfId="0" applyAlignment="1" applyFont="1" applyNumberFormat="1">
      <alignment readingOrder="0" shrinkToFit="0" vertical="bottom" wrapText="0"/>
    </xf>
    <xf borderId="0" fillId="11" fontId="22" numFmtId="0" xfId="0" applyAlignment="1" applyFont="1">
      <alignment readingOrder="0" shrinkToFit="0" vertical="center" wrapText="0"/>
    </xf>
    <xf borderId="0" fillId="0" fontId="35" numFmtId="0" xfId="0" applyAlignment="1" applyFont="1">
      <alignment vertical="bottom"/>
    </xf>
    <xf borderId="0" fillId="0" fontId="18" numFmtId="0" xfId="0" applyAlignment="1" applyFont="1">
      <alignment readingOrder="0" vertical="bottom"/>
    </xf>
    <xf borderId="0" fillId="0" fontId="36" numFmtId="0" xfId="0" applyAlignment="1" applyFont="1">
      <alignment readingOrder="0"/>
    </xf>
    <xf borderId="0" fillId="0" fontId="11" numFmtId="0" xfId="0" applyAlignment="1" applyFont="1">
      <alignment readingOrder="0" vertical="bottom"/>
    </xf>
    <xf borderId="0" fillId="8" fontId="37" numFmtId="0" xfId="0" applyAlignment="1" applyFont="1">
      <alignment readingOrder="0" shrinkToFit="0" vertical="bottom" wrapText="0"/>
    </xf>
    <xf borderId="0" fillId="0" fontId="38" numFmtId="168" xfId="0" applyAlignment="1" applyFont="1" applyNumberFormat="1">
      <alignment horizontal="left" readingOrder="0" vertical="bottom"/>
    </xf>
    <xf borderId="0" fillId="0" fontId="13" numFmtId="0" xfId="0" applyAlignment="1" applyFont="1">
      <alignment readingOrder="0" vertical="bottom"/>
    </xf>
    <xf borderId="0" fillId="3" fontId="39" numFmtId="0" xfId="0" applyAlignment="1" applyFont="1">
      <alignment readingOrder="0"/>
    </xf>
    <xf borderId="1" fillId="0" fontId="22" numFmtId="0" xfId="0" applyAlignment="1" applyBorder="1" applyFont="1">
      <alignment readingOrder="0" shrinkToFit="0" vertical="top" wrapText="0"/>
    </xf>
    <xf borderId="0" fillId="0" fontId="4" numFmtId="166" xfId="0" applyAlignment="1" applyFont="1" applyNumberFormat="1">
      <alignment horizontal="left" vertical="bottom"/>
    </xf>
    <xf borderId="0" fillId="3" fontId="22" numFmtId="166" xfId="0" applyAlignment="1" applyFont="1" applyNumberFormat="1">
      <alignment readingOrder="0" shrinkToFit="0" vertical="top" wrapText="0"/>
    </xf>
    <xf borderId="0" fillId="13" fontId="4" numFmtId="0" xfId="0" applyAlignment="1" applyFont="1">
      <alignment readingOrder="0" shrinkToFit="0" vertical="bottom" wrapText="0"/>
    </xf>
    <xf borderId="0" fillId="8" fontId="40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3" fontId="41" numFmtId="0" xfId="0" applyAlignment="1" applyFont="1">
      <alignment horizontal="left" readingOrder="0"/>
    </xf>
    <xf borderId="0" fillId="3" fontId="22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17" fontId="22" numFmtId="166" xfId="0" applyAlignment="1" applyFill="1" applyFont="1" applyNumberFormat="1">
      <alignment readingOrder="0" shrinkToFit="0" vertical="center" wrapText="0"/>
    </xf>
    <xf borderId="2" fillId="0" fontId="22" numFmtId="0" xfId="0" applyAlignment="1" applyBorder="1" applyFont="1">
      <alignment readingOrder="0" shrinkToFit="0" vertical="top" wrapText="0"/>
    </xf>
    <xf borderId="2" fillId="11" fontId="22" numFmtId="0" xfId="0" applyAlignment="1" applyBorder="1" applyFont="1">
      <alignment readingOrder="0" shrinkToFit="0" vertical="top" wrapText="0"/>
    </xf>
    <xf borderId="0" fillId="3" fontId="42" numFmtId="0" xfId="0" applyAlignment="1" applyFont="1">
      <alignment horizontal="left" readingOrder="0"/>
    </xf>
    <xf borderId="0" fillId="3" fontId="43" numFmtId="0" xfId="0" applyAlignment="1" applyFont="1">
      <alignment readingOrder="0"/>
    </xf>
    <xf borderId="0" fillId="0" fontId="38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vertical="bottom"/>
    </xf>
    <xf borderId="0" fillId="0" fontId="44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45" numFmtId="0" xfId="0" applyAlignment="1" applyFont="1">
      <alignment readingOrder="0" shrinkToFit="0" wrapText="1"/>
    </xf>
    <xf borderId="0" fillId="11" fontId="39" numFmtId="0" xfId="0" applyAlignment="1" applyFont="1">
      <alignment readingOrder="0" shrinkToFit="0" vertical="center" wrapText="0"/>
    </xf>
    <xf borderId="0" fillId="0" fontId="46" numFmtId="0" xfId="0" applyAlignment="1" applyFont="1">
      <alignment readingOrder="0"/>
    </xf>
    <xf borderId="0" fillId="7" fontId="4" numFmtId="0" xfId="0" applyAlignment="1" applyFont="1">
      <alignment shrinkToFit="0" vertical="bottom" wrapText="0"/>
    </xf>
    <xf borderId="0" fillId="3" fontId="47" numFmtId="0" xfId="0" applyAlignment="1" applyFont="1">
      <alignment readingOrder="0"/>
    </xf>
    <xf borderId="0" fillId="8" fontId="48" numFmtId="0" xfId="0" applyAlignment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7" fontId="45" numFmtId="0" xfId="0" applyAlignment="1" applyFont="1">
      <alignment readingOrder="0" shrinkToFit="0" vertical="center" wrapText="1"/>
    </xf>
    <xf borderId="0" fillId="0" fontId="45" numFmtId="0" xfId="0" applyAlignment="1" applyFont="1">
      <alignment readingOrder="0" shrinkToFit="0" vertical="center" wrapText="1"/>
    </xf>
    <xf borderId="0" fillId="11" fontId="45" numFmtId="0" xfId="0" applyAlignment="1" applyFont="1">
      <alignment readingOrder="0" shrinkToFit="0" vertical="center" wrapText="1"/>
    </xf>
    <xf borderId="0" fillId="0" fontId="45" numFmtId="0" xfId="0" applyAlignment="1" applyFont="1">
      <alignment readingOrder="0" shrinkToFit="0" vertical="center" wrapText="1"/>
    </xf>
    <xf borderId="0" fillId="0" fontId="45" numFmtId="166" xfId="0" applyAlignment="1" applyFont="1" applyNumberFormat="1">
      <alignment readingOrder="0" shrinkToFit="0" vertical="center" wrapText="1"/>
    </xf>
    <xf borderId="0" fillId="13" fontId="4" numFmtId="0" xfId="0" applyAlignment="1" applyFont="1">
      <alignment shrinkToFit="0" vertical="bottom" wrapText="0"/>
    </xf>
    <xf borderId="0" fillId="3" fontId="49" numFmtId="0" xfId="0" applyAlignment="1" applyFont="1">
      <alignment readingOrder="0"/>
    </xf>
    <xf borderId="0" fillId="0" fontId="4" numFmtId="169" xfId="0" applyAlignment="1" applyFont="1" applyNumberFormat="1">
      <alignment horizontal="left" vertical="bottom"/>
    </xf>
    <xf borderId="0" fillId="0" fontId="38" numFmtId="168" xfId="0" applyAlignment="1" applyFont="1" applyNumberFormat="1">
      <alignment horizontal="left" vertical="bottom"/>
    </xf>
    <xf borderId="0" fillId="0" fontId="50" numFmtId="0" xfId="0" applyAlignment="1" applyFont="1">
      <alignment readingOrder="0" shrinkToFit="0" vertical="center" wrapText="0"/>
    </xf>
    <xf borderId="0" fillId="3" fontId="51" numFmtId="0" xfId="0" applyAlignment="1" applyFont="1">
      <alignment readingOrder="0"/>
    </xf>
    <xf borderId="0" fillId="3" fontId="22" numFmtId="0" xfId="0" applyAlignment="1" applyFont="1">
      <alignment readingOrder="0"/>
    </xf>
    <xf borderId="0" fillId="0" fontId="18" numFmtId="0" xfId="0" applyAlignment="1" applyFont="1">
      <alignment shrinkToFit="0" vertical="bottom" wrapText="0"/>
    </xf>
    <xf borderId="0" fillId="3" fontId="27" numFmtId="0" xfId="0" applyAlignment="1" applyFont="1">
      <alignment horizontal="left"/>
    </xf>
    <xf borderId="0" fillId="18" fontId="52" numFmtId="0" xfId="0" applyAlignment="1" applyFill="1" applyFont="1">
      <alignment readingOrder="0"/>
    </xf>
    <xf borderId="0" fillId="3" fontId="27" numFmtId="0" xfId="0" applyAlignment="1" applyFont="1">
      <alignment readingOrder="0"/>
    </xf>
    <xf borderId="0" fillId="3" fontId="27" numFmtId="0" xfId="0" applyFont="1"/>
    <xf borderId="0" fillId="3" fontId="53" numFmtId="0" xfId="0" applyAlignment="1" applyFont="1">
      <alignment readingOrder="0" shrinkToFit="0" vertical="center" wrapText="0"/>
    </xf>
    <xf borderId="0" fillId="0" fontId="18" numFmtId="0" xfId="0" applyAlignment="1" applyFont="1">
      <alignment readingOrder="0" shrinkToFit="0" vertical="bottom" wrapText="0"/>
    </xf>
    <xf borderId="0" fillId="11" fontId="18" numFmtId="0" xfId="0" applyAlignment="1" applyFont="1">
      <alignment readingOrder="0" shrinkToFit="0" vertical="bottom" wrapText="0"/>
    </xf>
    <xf borderId="0" fillId="0" fontId="18" numFmtId="166" xfId="0" applyAlignment="1" applyFont="1" applyNumberFormat="1">
      <alignment readingOrder="0" shrinkToFit="0" vertical="bottom" wrapText="0"/>
    </xf>
    <xf borderId="0" fillId="3" fontId="54" numFmtId="0" xfId="0" applyAlignment="1" applyFont="1">
      <alignment readingOrder="0"/>
    </xf>
    <xf borderId="0" fillId="0" fontId="4" numFmtId="166" xfId="0" applyAlignment="1" applyFont="1" applyNumberFormat="1">
      <alignment horizontal="left" readingOrder="0" vertical="bottom"/>
    </xf>
    <xf borderId="0" fillId="0" fontId="55" numFmtId="0" xfId="0" applyAlignment="1" applyFont="1">
      <alignment readingOrder="0" vertical="bottom"/>
    </xf>
    <xf borderId="0" fillId="19" fontId="56" numFmtId="0" xfId="0" applyAlignment="1" applyFill="1" applyFont="1">
      <alignment horizontal="left" readingOrder="0"/>
    </xf>
    <xf borderId="0" fillId="13" fontId="11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3" fontId="19" numFmtId="0" xfId="0" applyAlignment="1" applyFont="1">
      <alignment readingOrder="0"/>
    </xf>
    <xf borderId="0" fillId="0" fontId="4" numFmtId="164" xfId="0" applyAlignment="1" applyFont="1" applyNumberFormat="1">
      <alignment vertical="bottom"/>
    </xf>
    <xf borderId="0" fillId="8" fontId="57" numFmtId="0" xfId="0" applyAlignment="1" applyFont="1">
      <alignment readingOrder="0" shrinkToFit="0" vertical="bottom" wrapText="0"/>
    </xf>
    <xf borderId="0" fillId="11" fontId="58" numFmtId="0" xfId="0" applyAlignment="1" applyFont="1">
      <alignment horizontal="left" readingOrder="0" shrinkToFit="0" vertical="center" wrapText="0"/>
    </xf>
    <xf borderId="0" fillId="7" fontId="1" numFmtId="0" xfId="0" applyAlignment="1" applyFont="1">
      <alignment readingOrder="0" shrinkToFit="0" vertical="center" wrapText="0"/>
    </xf>
    <xf borderId="0" fillId="3" fontId="59" numFmtId="0" xfId="0" applyAlignment="1" applyFont="1">
      <alignment readingOrder="0"/>
    </xf>
    <xf borderId="0" fillId="8" fontId="60" numFmtId="0" xfId="0" applyAlignment="1" applyFont="1">
      <alignment shrinkToFit="0" vertical="bottom" wrapText="0"/>
    </xf>
    <xf borderId="0" fillId="0" fontId="4" numFmtId="167" xfId="0" applyAlignment="1" applyFont="1" applyNumberFormat="1">
      <alignment vertical="bottom"/>
    </xf>
    <xf borderId="0" fillId="7" fontId="4" numFmtId="0" xfId="0" applyAlignment="1" applyFont="1">
      <alignment readingOrder="0" shrinkToFit="0" vertical="bottom" wrapText="0"/>
    </xf>
    <xf borderId="0" fillId="0" fontId="4" numFmtId="169" xfId="0" applyAlignment="1" applyFont="1" applyNumberFormat="1">
      <alignment vertical="bottom"/>
    </xf>
    <xf borderId="0" fillId="0" fontId="38" numFmtId="168" xfId="0" applyAlignment="1" applyFont="1" applyNumberFormat="1">
      <alignment vertical="bottom"/>
    </xf>
    <xf borderId="0" fillId="0" fontId="61" numFmtId="0" xfId="0" applyAlignment="1" applyFont="1">
      <alignment shrinkToFit="0" vertical="bottom" wrapText="0"/>
    </xf>
    <xf borderId="0" fillId="7" fontId="62" numFmtId="0" xfId="0" applyAlignment="1" applyFont="1">
      <alignment readingOrder="0" shrinkToFit="0" vertical="center" wrapText="0"/>
    </xf>
    <xf borderId="0" fillId="0" fontId="62" numFmtId="0" xfId="0" applyAlignment="1" applyFont="1">
      <alignment horizontal="left" readingOrder="0" shrinkToFit="0" vertical="center" wrapText="0"/>
    </xf>
    <xf borderId="0" fillId="11" fontId="63" numFmtId="0" xfId="0" applyAlignment="1" applyFont="1">
      <alignment horizontal="left" readingOrder="0" shrinkToFit="0" vertical="center" wrapText="0"/>
    </xf>
    <xf borderId="0" fillId="3" fontId="62" numFmtId="0" xfId="0" applyAlignment="1" applyFont="1">
      <alignment readingOrder="0" shrinkToFit="0" vertical="center" wrapText="0"/>
    </xf>
    <xf borderId="0" fillId="3" fontId="62" numFmtId="166" xfId="0" applyAlignment="1" applyFont="1" applyNumberFormat="1">
      <alignment horizontal="left" readingOrder="0" shrinkToFit="0" vertical="center" wrapText="0"/>
    </xf>
    <xf borderId="0" fillId="3" fontId="62" numFmtId="166" xfId="0" applyAlignment="1" applyFont="1" applyNumberFormat="1">
      <alignment readingOrder="0" shrinkToFit="0" vertical="center" wrapText="0"/>
    </xf>
    <xf borderId="0" fillId="7" fontId="46" numFmtId="0" xfId="0" applyAlignment="1" applyFont="1">
      <alignment readingOrder="0" shrinkToFit="0" vertical="center" wrapText="0"/>
    </xf>
    <xf borderId="0" fillId="0" fontId="46" numFmtId="0" xfId="0" applyAlignment="1" applyFont="1">
      <alignment readingOrder="0" shrinkToFit="0" vertical="center" wrapText="0"/>
    </xf>
    <xf borderId="0" fillId="11" fontId="46" numFmtId="0" xfId="0" applyAlignment="1" applyFont="1">
      <alignment readingOrder="0" shrinkToFit="0" vertical="center" wrapText="0"/>
    </xf>
    <xf borderId="0" fillId="0" fontId="64" numFmtId="0" xfId="0" applyAlignment="1" applyFont="1">
      <alignment shrinkToFit="0" vertical="bottom" wrapText="0"/>
    </xf>
    <xf borderId="0" fillId="0" fontId="46" numFmtId="0" xfId="0" applyAlignment="1" applyFont="1">
      <alignment readingOrder="0" shrinkToFit="0" vertical="center" wrapText="0"/>
    </xf>
    <xf borderId="0" fillId="0" fontId="46" numFmtId="166" xfId="0" applyAlignment="1" applyFont="1" applyNumberFormat="1">
      <alignment readingOrder="0" shrinkToFit="0" vertical="center" wrapText="0"/>
    </xf>
    <xf borderId="0" fillId="0" fontId="1" numFmtId="168" xfId="0" applyAlignment="1" applyFont="1" applyNumberFormat="1">
      <alignment readingOrder="0"/>
    </xf>
    <xf borderId="0" fillId="0" fontId="1" numFmtId="170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0" fontId="65" numFmtId="0" xfId="0" applyAlignment="1" applyFont="1">
      <alignment readingOrder="0"/>
    </xf>
    <xf borderId="0" fillId="0" fontId="66" numFmtId="0" xfId="0" applyAlignment="1" applyFont="1">
      <alignment readingOrder="0"/>
    </xf>
    <xf borderId="0" fillId="0" fontId="67" numFmtId="0" xfId="0" applyAlignment="1" applyFont="1">
      <alignment readingOrder="0"/>
    </xf>
    <xf borderId="0" fillId="0" fontId="1" numFmtId="169" xfId="0" applyAlignment="1" applyFont="1" applyNumberFormat="1">
      <alignment readingOrder="0"/>
    </xf>
    <xf borderId="0" fillId="0" fontId="61" numFmtId="0" xfId="0" applyAlignment="1" applyFont="1">
      <alignment shrinkToFit="0" vertical="bottom" wrapText="0"/>
    </xf>
    <xf borderId="0" fillId="0" fontId="1" numFmtId="171" xfId="0" applyAlignment="1" applyFont="1" applyNumberFormat="1">
      <alignment readingOrder="0"/>
    </xf>
    <xf borderId="0" fillId="0" fontId="61" numFmtId="0" xfId="0" applyAlignment="1" applyFont="1">
      <alignment readingOrder="0" shrinkToFit="0" vertical="bottom" wrapText="0"/>
    </xf>
    <xf borderId="0" fillId="7" fontId="41" numFmtId="0" xfId="0" applyAlignment="1" applyFont="1">
      <alignment readingOrder="0" shrinkToFit="0" vertical="center" wrapText="0"/>
    </xf>
    <xf borderId="0" fillId="0" fontId="41" numFmtId="0" xfId="0" applyAlignment="1" applyFont="1">
      <alignment horizontal="left" readingOrder="0" shrinkToFit="0" vertical="center" wrapText="0"/>
    </xf>
    <xf borderId="0" fillId="11" fontId="41" numFmtId="0" xfId="0" applyAlignment="1" applyFont="1">
      <alignment horizontal="left" readingOrder="0" shrinkToFit="0" vertical="center" wrapText="0"/>
    </xf>
    <xf borderId="0" fillId="3" fontId="41" numFmtId="0" xfId="0" applyAlignment="1" applyFont="1">
      <alignment readingOrder="0" shrinkToFit="0" vertical="center" wrapText="0"/>
    </xf>
    <xf borderId="0" fillId="3" fontId="41" numFmtId="166" xfId="0" applyAlignment="1" applyFont="1" applyNumberFormat="1">
      <alignment horizontal="left" readingOrder="0" shrinkToFit="0" vertical="center" wrapText="0"/>
    </xf>
    <xf borderId="0" fillId="3" fontId="41" numFmtId="166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7" fontId="43" numFmtId="0" xfId="0" applyAlignment="1" applyFont="1">
      <alignment readingOrder="0" shrinkToFit="0" vertical="center" wrapText="0"/>
    </xf>
    <xf borderId="0" fillId="0" fontId="43" numFmtId="0" xfId="0" applyAlignment="1" applyFont="1">
      <alignment readingOrder="0" shrinkToFit="0" vertical="center" wrapText="0"/>
    </xf>
    <xf borderId="0" fillId="11" fontId="43" numFmtId="0" xfId="0" applyAlignment="1" applyFont="1">
      <alignment readingOrder="0" shrinkToFit="0" vertical="center" wrapText="0"/>
    </xf>
    <xf borderId="0" fillId="3" fontId="43" numFmtId="0" xfId="0" applyAlignment="1" applyFont="1">
      <alignment readingOrder="0" shrinkToFit="0" vertical="center" wrapText="0"/>
    </xf>
    <xf borderId="0" fillId="3" fontId="43" numFmtId="166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7" fontId="68" numFmtId="0" xfId="0" applyAlignment="1" applyFont="1">
      <alignment readingOrder="0" shrinkToFit="0" vertical="center" wrapText="0"/>
    </xf>
    <xf borderId="0" fillId="0" fontId="47" numFmtId="0" xfId="0" applyAlignment="1" applyFont="1">
      <alignment readingOrder="0" shrinkToFit="0" vertical="center" wrapText="0"/>
    </xf>
    <xf borderId="0" fillId="11" fontId="47" numFmtId="0" xfId="0" applyAlignment="1" applyFont="1">
      <alignment readingOrder="0" shrinkToFit="0" vertical="center" wrapText="0"/>
    </xf>
    <xf borderId="0" fillId="3" fontId="68" numFmtId="0" xfId="0" applyAlignment="1" applyFont="1">
      <alignment readingOrder="0" shrinkToFit="0" vertical="center" wrapText="0"/>
    </xf>
    <xf borderId="0" fillId="3" fontId="47" numFmtId="166" xfId="0" applyAlignment="1" applyFont="1" applyNumberFormat="1">
      <alignment readingOrder="0" shrinkToFit="0" vertical="center" wrapText="0"/>
    </xf>
    <xf borderId="0" fillId="7" fontId="51" numFmtId="0" xfId="0" applyAlignment="1" applyFont="1">
      <alignment readingOrder="0" shrinkToFit="0" vertical="center" wrapText="0"/>
    </xf>
    <xf borderId="0" fillId="0" fontId="51" numFmtId="0" xfId="0" applyAlignment="1" applyFont="1">
      <alignment readingOrder="0" shrinkToFit="0" vertical="center" wrapText="0"/>
    </xf>
    <xf borderId="0" fillId="11" fontId="51" numFmtId="0" xfId="0" applyAlignment="1" applyFont="1">
      <alignment readingOrder="0" shrinkToFit="0" vertical="center" wrapText="0"/>
    </xf>
    <xf borderId="0" fillId="3" fontId="51" numFmtId="0" xfId="0" applyAlignment="1" applyFont="1">
      <alignment readingOrder="0" shrinkToFit="0" vertical="center" wrapText="0"/>
    </xf>
    <xf borderId="0" fillId="3" fontId="51" numFmtId="166" xfId="0" applyAlignment="1" applyFont="1" applyNumberFormat="1">
      <alignment readingOrder="0" shrinkToFit="0" vertical="center" wrapText="0"/>
    </xf>
    <xf borderId="0" fillId="7" fontId="36" numFmtId="0" xfId="0" applyAlignment="1" applyFont="1">
      <alignment readingOrder="0" shrinkToFit="0" vertical="center" wrapText="0"/>
    </xf>
    <xf borderId="0" fillId="0" fontId="36" numFmtId="0" xfId="0" applyAlignment="1" applyFont="1">
      <alignment readingOrder="0" shrinkToFit="0" vertical="center" wrapText="0"/>
    </xf>
    <xf borderId="0" fillId="11" fontId="36" numFmtId="0" xfId="0" applyAlignment="1" applyFont="1">
      <alignment readingOrder="0" shrinkToFit="0" vertical="center" wrapText="0"/>
    </xf>
    <xf borderId="0" fillId="0" fontId="36" numFmtId="0" xfId="0" applyAlignment="1" applyFont="1">
      <alignment readingOrder="0" shrinkToFit="0" vertical="center" wrapText="0"/>
    </xf>
    <xf borderId="0" fillId="0" fontId="36" numFmtId="166" xfId="0" applyAlignment="1" applyFont="1" applyNumberFormat="1">
      <alignment readingOrder="0" shrinkToFit="0" vertical="center" wrapText="0"/>
    </xf>
    <xf borderId="0" fillId="11" fontId="49" numFmtId="0" xfId="0" applyAlignment="1" applyFont="1">
      <alignment readingOrder="0" shrinkToFit="0" vertical="center" wrapText="0"/>
    </xf>
    <xf borderId="0" fillId="7" fontId="49" numFmtId="0" xfId="0" applyAlignment="1" applyFont="1">
      <alignment readingOrder="0" shrinkToFit="0" vertical="center" wrapText="0"/>
    </xf>
    <xf borderId="0" fillId="0" fontId="49" numFmtId="0" xfId="0" applyAlignment="1" applyFont="1">
      <alignment readingOrder="0" shrinkToFit="0" vertical="center" wrapText="0"/>
    </xf>
    <xf borderId="0" fillId="3" fontId="49" numFmtId="0" xfId="0" applyAlignment="1" applyFont="1">
      <alignment readingOrder="0" shrinkToFit="0" vertical="center" wrapText="0"/>
    </xf>
    <xf borderId="0" fillId="3" fontId="49" numFmtId="166" xfId="0" applyAlignment="1" applyFont="1" applyNumberFormat="1">
      <alignment readingOrder="0" shrinkToFit="0" vertical="center" wrapText="0"/>
    </xf>
    <xf borderId="0" fillId="7" fontId="21" numFmtId="0" xfId="0" applyAlignment="1" applyFont="1">
      <alignment readingOrder="0" shrinkToFit="0" vertical="center" wrapText="0"/>
    </xf>
    <xf borderId="0" fillId="0" fontId="21" numFmtId="0" xfId="0" applyAlignment="1" applyFont="1">
      <alignment horizontal="left" readingOrder="0" shrinkToFit="0" vertical="center" wrapText="0"/>
    </xf>
    <xf borderId="0" fillId="11" fontId="21" numFmtId="0" xfId="0" applyAlignment="1" applyFont="1">
      <alignment horizontal="left" readingOrder="0" shrinkToFit="0" vertical="center" wrapText="0"/>
    </xf>
    <xf borderId="0" fillId="3" fontId="21" numFmtId="0" xfId="0" applyAlignment="1" applyFont="1">
      <alignment readingOrder="0" shrinkToFit="0" vertical="center" wrapText="0"/>
    </xf>
    <xf borderId="0" fillId="3" fontId="21" numFmtId="166" xfId="0" applyAlignment="1" applyFont="1" applyNumberFormat="1">
      <alignment horizontal="left" readingOrder="0" shrinkToFit="0" vertical="center" wrapText="0"/>
    </xf>
    <xf borderId="0" fillId="3" fontId="21" numFmtId="166" xfId="0" applyAlignment="1" applyFont="1" applyNumberFormat="1">
      <alignment readingOrder="0" shrinkToFit="0" vertical="center" wrapText="0"/>
    </xf>
    <xf borderId="0" fillId="7" fontId="69" numFmtId="0" xfId="0" applyAlignment="1" applyFont="1">
      <alignment readingOrder="0" shrinkToFit="0" vertical="center" wrapText="0"/>
    </xf>
    <xf borderId="0" fillId="0" fontId="69" numFmtId="0" xfId="0" applyAlignment="1" applyFont="1">
      <alignment readingOrder="0" shrinkToFit="0" vertical="center" wrapText="0"/>
    </xf>
    <xf borderId="0" fillId="11" fontId="70" numFmtId="0" xfId="0" applyAlignment="1" applyFont="1">
      <alignment readingOrder="0" shrinkToFit="0" vertical="center" wrapText="0"/>
    </xf>
    <xf borderId="0" fillId="3" fontId="69" numFmtId="0" xfId="0" applyAlignment="1" applyFont="1">
      <alignment readingOrder="0" shrinkToFit="0" vertical="center" wrapText="0"/>
    </xf>
    <xf borderId="0" fillId="3" fontId="69" numFmtId="166" xfId="0" applyAlignment="1" applyFont="1" applyNumberFormat="1">
      <alignment readingOrder="0" shrinkToFit="0" vertical="center" wrapText="0"/>
    </xf>
    <xf borderId="0" fillId="7" fontId="11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11" fontId="11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11" numFmtId="166" xfId="0" applyAlignment="1" applyFont="1" applyNumberFormat="1">
      <alignment readingOrder="0" shrinkToFit="0" vertical="bottom" wrapText="0"/>
    </xf>
    <xf borderId="0" fillId="7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readingOrder="0" shrinkToFit="0" vertical="center" wrapText="0"/>
    </xf>
    <xf borderId="0" fillId="11" fontId="20" numFmtId="0" xfId="0" applyAlignment="1" applyFont="1">
      <alignment horizontal="left" readingOrder="0" shrinkToFit="0" vertical="center" wrapText="0"/>
    </xf>
    <xf borderId="0" fillId="3" fontId="20" numFmtId="0" xfId="0" applyAlignment="1" applyFont="1">
      <alignment readingOrder="0" shrinkToFit="0" vertical="center" wrapText="0"/>
    </xf>
    <xf borderId="0" fillId="3" fontId="20" numFmtId="166" xfId="0" applyAlignment="1" applyFont="1" applyNumberFormat="1">
      <alignment horizontal="left" readingOrder="0" shrinkToFit="0" vertical="center" wrapText="0"/>
    </xf>
    <xf borderId="0" fillId="3" fontId="20" numFmtId="166" xfId="0" applyAlignment="1" applyFont="1" applyNumberFormat="1">
      <alignment readingOrder="0" shrinkToFit="0" vertical="center" wrapText="0"/>
    </xf>
    <xf borderId="0" fillId="0" fontId="1" numFmtId="172" xfId="0" applyAlignment="1" applyFont="1" applyNumberFormat="1">
      <alignment readingOrder="0"/>
    </xf>
    <xf borderId="0" fillId="7" fontId="71" numFmtId="0" xfId="0" applyAlignment="1" applyFont="1">
      <alignment readingOrder="0" shrinkToFit="0" vertical="center" wrapText="0"/>
    </xf>
    <xf borderId="0" fillId="0" fontId="71" numFmtId="0" xfId="0" applyAlignment="1" applyFont="1">
      <alignment readingOrder="0" shrinkToFit="0" vertical="center" wrapText="0"/>
    </xf>
    <xf borderId="0" fillId="11" fontId="71" numFmtId="0" xfId="0" applyAlignment="1" applyFont="1">
      <alignment readingOrder="0" shrinkToFit="0" vertical="center" wrapText="0"/>
    </xf>
    <xf borderId="0" fillId="3" fontId="71" numFmtId="0" xfId="0" applyAlignment="1" applyFont="1">
      <alignment readingOrder="0" shrinkToFit="0" vertical="center" wrapText="0"/>
    </xf>
    <xf borderId="0" fillId="3" fontId="71" numFmtId="166" xfId="0" applyAlignment="1" applyFont="1" applyNumberFormat="1">
      <alignment readingOrder="0" shrinkToFit="0" vertical="center" wrapText="0"/>
    </xf>
    <xf borderId="0" fillId="0" fontId="72" numFmtId="0" xfId="0" applyAlignment="1" applyFont="1">
      <alignment readingOrder="0" shrinkToFit="0" vertical="center" wrapText="0"/>
    </xf>
    <xf borderId="0" fillId="11" fontId="72" numFmtId="0" xfId="0" applyAlignment="1" applyFont="1">
      <alignment readingOrder="0" shrinkToFit="0" vertical="center" wrapText="0"/>
    </xf>
    <xf borderId="0" fillId="3" fontId="4" numFmtId="166" xfId="0" applyAlignment="1" applyFont="1" applyNumberFormat="1">
      <alignment shrinkToFit="0" vertical="bottom" wrapText="0"/>
    </xf>
    <xf borderId="0" fillId="13" fontId="73" numFmtId="0" xfId="0" applyAlignment="1" applyFont="1">
      <alignment shrinkToFit="0" vertical="bottom" wrapText="0"/>
    </xf>
    <xf borderId="0" fillId="7" fontId="36" numFmtId="0" xfId="0" applyAlignment="1" applyFont="1">
      <alignment readingOrder="0" shrinkToFit="0" vertical="center" wrapText="0"/>
    </xf>
    <xf borderId="0" fillId="0" fontId="72" numFmtId="0" xfId="0" applyAlignment="1" applyFont="1">
      <alignment shrinkToFit="0" vertical="bottom" wrapText="0"/>
    </xf>
    <xf borderId="0" fillId="11" fontId="72" numFmtId="0" xfId="0" applyAlignment="1" applyFont="1">
      <alignment shrinkToFit="0" vertical="bottom" wrapText="0"/>
    </xf>
    <xf borderId="0" fillId="3" fontId="72" numFmtId="166" xfId="0" applyAlignment="1" applyFont="1" applyNumberFormat="1">
      <alignment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74" numFmtId="0" xfId="0" applyAlignment="1" applyFont="1">
      <alignment readingOrder="0" shrinkToFit="0" vertical="center" wrapText="0"/>
    </xf>
    <xf borderId="0" fillId="11" fontId="74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36" numFmtId="0" xfId="0" applyAlignment="1" applyFont="1">
      <alignment readingOrder="0" shrinkToFit="0" vertical="center" wrapText="0"/>
    </xf>
    <xf borderId="0" fillId="20" fontId="75" numFmtId="166" xfId="0" applyAlignment="1" applyFill="1" applyFont="1" applyNumberFormat="1">
      <alignment readingOrder="0" shrinkToFit="0" vertical="center" wrapText="0"/>
    </xf>
    <xf borderId="0" fillId="3" fontId="53" numFmtId="0" xfId="0" applyAlignment="1" applyFont="1">
      <alignment readingOrder="0" shrinkToFit="0" vertical="center" wrapText="0"/>
    </xf>
    <xf borderId="0" fillId="0" fontId="58" numFmtId="0" xfId="0" applyAlignment="1" applyFont="1">
      <alignment horizontal="left" readingOrder="0" shrinkToFit="0" vertical="center" wrapText="0"/>
    </xf>
    <xf borderId="0" fillId="0" fontId="75" numFmtId="166" xfId="0" applyAlignment="1" applyFont="1" applyNumberFormat="1">
      <alignment readingOrder="0" shrinkToFit="0" vertical="center" wrapText="1"/>
    </xf>
    <xf borderId="0" fillId="21" fontId="75" numFmtId="166" xfId="0" applyAlignment="1" applyFill="1" applyFont="1" applyNumberFormat="1">
      <alignment readingOrder="0" shrinkToFit="0" vertical="center" wrapText="0"/>
    </xf>
    <xf borderId="0" fillId="3" fontId="75" numFmtId="166" xfId="0" applyAlignment="1" applyFont="1" applyNumberFormat="1">
      <alignment readingOrder="0" shrinkToFit="0" vertical="center" wrapText="0"/>
    </xf>
    <xf borderId="0" fillId="3" fontId="74" numFmtId="0" xfId="0" applyAlignment="1" applyFont="1">
      <alignment readingOrder="0" shrinkToFit="0" vertical="center" wrapText="0"/>
    </xf>
    <xf borderId="0" fillId="3" fontId="27" numFmtId="0" xfId="0" applyAlignment="1" applyFont="1">
      <alignment readingOrder="0" shrinkToFit="0" vertical="center" wrapText="0"/>
    </xf>
    <xf borderId="0" fillId="21" fontId="75" numFmtId="173" xfId="0" applyAlignment="1" applyFont="1" applyNumberFormat="1">
      <alignment readingOrder="0" shrinkToFit="0" vertical="center" wrapText="0"/>
    </xf>
    <xf borderId="0" fillId="3" fontId="74" numFmtId="164" xfId="0" applyAlignment="1" applyFont="1" applyNumberFormat="1">
      <alignment readingOrder="0" shrinkToFit="0" vertical="center" wrapText="0"/>
    </xf>
    <xf borderId="0" fillId="6" fontId="4" numFmtId="164" xfId="0" applyAlignment="1" applyFont="1" applyNumberFormat="1">
      <alignment horizontal="left" readingOrder="0" shrinkToFit="0" vertical="bottom" wrapText="0"/>
    </xf>
    <xf borderId="0" fillId="7" fontId="74" numFmtId="0" xfId="0" applyAlignment="1" applyFont="1">
      <alignment readingOrder="0" shrinkToFit="0" vertical="center" wrapText="0"/>
    </xf>
    <xf borderId="0" fillId="7" fontId="53" numFmtId="0" xfId="0" applyAlignment="1" applyFont="1">
      <alignment readingOrder="0" shrinkToFit="0" vertical="center" wrapText="0"/>
    </xf>
    <xf borderId="0" fillId="3" fontId="74" numFmtId="166" xfId="0" applyAlignment="1" applyFont="1" applyNumberFormat="1">
      <alignment readingOrder="0" shrinkToFit="0" vertical="center" wrapText="0"/>
    </xf>
    <xf borderId="0" fillId="3" fontId="27" numFmtId="166" xfId="0" applyAlignment="1" applyFont="1" applyNumberFormat="1">
      <alignment readingOrder="0" shrinkToFit="0" vertical="center" wrapText="0"/>
    </xf>
    <xf borderId="0" fillId="11" fontId="27" numFmtId="0" xfId="0" applyAlignment="1" applyFont="1">
      <alignment readingOrder="0" shrinkToFit="0" vertical="center" wrapText="0"/>
    </xf>
    <xf borderId="0" fillId="7" fontId="27" numFmtId="0" xfId="0" applyAlignment="1" applyFont="1">
      <alignment readingOrder="0" shrinkToFit="0" vertical="center" wrapText="0"/>
    </xf>
    <xf borderId="0" fillId="0" fontId="53" numFmtId="0" xfId="0" applyAlignment="1" applyFont="1">
      <alignment readingOrder="0" shrinkToFit="0" vertical="center" wrapText="0"/>
    </xf>
    <xf borderId="0" fillId="3" fontId="27" numFmtId="0" xfId="0" applyAlignment="1" applyFont="1">
      <alignment shrinkToFit="0" vertical="center" wrapText="0"/>
    </xf>
    <xf borderId="0" fillId="0" fontId="4" numFmtId="166" xfId="0" applyAlignment="1" applyFont="1" applyNumberFormat="1">
      <alignment shrinkToFit="0" vertical="bottom" wrapText="0"/>
    </xf>
    <xf borderId="0" fillId="0" fontId="4" numFmtId="0" xfId="0" applyAlignment="1" applyFont="1">
      <alignment horizontal="left" shrinkToFit="0" vertical="bottom" wrapText="0"/>
    </xf>
    <xf borderId="0" fillId="0" fontId="27" numFmtId="0" xfId="0" applyAlignment="1" applyFont="1">
      <alignment readingOrder="0" shrinkToFit="0" vertical="center" wrapText="0"/>
    </xf>
    <xf borderId="0" fillId="3" fontId="27" numFmtId="164" xfId="0" applyAlignment="1" applyFont="1" applyNumberForma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horizontal="left" readingOrder="0" shrinkToFit="0" vertical="bottom" wrapText="0"/>
    </xf>
    <xf borderId="0" fillId="3" fontId="54" numFmtId="0" xfId="0" applyAlignment="1" applyFont="1">
      <alignment readingOrder="0" shrinkToFit="0" vertical="center" wrapText="0"/>
    </xf>
    <xf borderId="0" fillId="3" fontId="76" numFmtId="166" xfId="0" applyAlignment="1" applyFont="1" applyNumberFormat="1">
      <alignment readingOrder="0" shrinkToFit="0" vertical="center" wrapText="0"/>
    </xf>
    <xf borderId="0" fillId="3" fontId="77" numFmtId="0" xfId="0" applyAlignment="1" applyFont="1">
      <alignment readingOrder="0" shrinkToFit="0" vertical="center" wrapText="0"/>
    </xf>
    <xf borderId="0" fillId="3" fontId="21" numFmtId="0" xfId="0" applyAlignment="1" applyFont="1">
      <alignment horizontal="left" readingOrder="0" shrinkToFit="0" vertical="center" wrapText="0"/>
    </xf>
    <xf borderId="0" fillId="22" fontId="21" numFmtId="0" xfId="0" applyAlignment="1" applyFill="1" applyFont="1">
      <alignment horizontal="left" readingOrder="0" shrinkToFit="0" vertical="center" wrapText="0"/>
    </xf>
    <xf borderId="0" fillId="0" fontId="78" numFmtId="173" xfId="0" applyAlignment="1" applyFont="1" applyNumberFormat="1">
      <alignment readingOrder="0" shrinkToFit="0" vertical="center" wrapText="0"/>
    </xf>
    <xf borderId="0" fillId="0" fontId="79" numFmtId="0" xfId="0" applyAlignment="1" applyFont="1">
      <alignment readingOrder="0" shrinkToFit="0" vertical="center" wrapText="0"/>
    </xf>
    <xf borderId="0" fillId="0" fontId="4" numFmtId="173" xfId="0" applyAlignment="1" applyFont="1" applyNumberFormat="1">
      <alignment horizontal="left" readingOrder="0" shrinkToFit="0" vertical="bottom" wrapText="0"/>
    </xf>
    <xf borderId="0" fillId="23" fontId="80" numFmtId="0" xfId="0" applyAlignment="1" applyFill="1" applyFont="1">
      <alignment readingOrder="0" shrinkToFit="0" vertical="center" wrapText="0"/>
    </xf>
    <xf borderId="0" fillId="23" fontId="80" numFmtId="166" xfId="0" applyAlignment="1" applyFont="1" applyNumberFormat="1">
      <alignment readingOrder="0" shrinkToFit="0" vertical="center" wrapText="0"/>
    </xf>
    <xf borderId="0" fillId="16" fontId="20" numFmtId="0" xfId="0" applyAlignment="1" applyFont="1">
      <alignment horizontal="left" readingOrder="0" shrinkToFit="0" vertical="center" wrapText="0"/>
    </xf>
    <xf borderId="0" fillId="3" fontId="20" numFmtId="0" xfId="0" applyAlignment="1" applyFont="1">
      <alignment horizontal="left" readingOrder="0" shrinkToFit="0" vertical="center" wrapText="0"/>
    </xf>
    <xf borderId="0" fillId="3" fontId="20" numFmtId="174" xfId="0" applyAlignment="1" applyFont="1" applyNumberFormat="1">
      <alignment horizontal="left" readingOrder="0" shrinkToFit="0" vertical="center" wrapText="0"/>
    </xf>
    <xf borderId="0" fillId="3" fontId="81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0"/>
    </xf>
    <xf borderId="0" fillId="3" fontId="82" numFmtId="0" xfId="0" applyAlignment="1" applyFont="1">
      <alignment horizontal="left" readingOrder="0" shrinkToFit="0" vertical="center" wrapText="0"/>
    </xf>
    <xf borderId="0" fillId="13" fontId="11" numFmtId="0" xfId="0" applyAlignment="1" applyFont="1">
      <alignment readingOrder="0" shrinkToFit="0" vertical="bottom" wrapText="0"/>
    </xf>
    <xf borderId="0" fillId="3" fontId="83" numFmtId="0" xfId="0" applyAlignment="1" applyFont="1">
      <alignment readingOrder="0" shrinkToFit="0" vertical="center" wrapText="0"/>
    </xf>
    <xf borderId="0" fillId="3" fontId="31" numFmtId="0" xfId="0" applyAlignment="1" applyFont="1">
      <alignment readingOrder="0" shrinkToFit="0" vertical="center" wrapText="0"/>
    </xf>
    <xf borderId="0" fillId="6" fontId="4" numFmtId="164" xfId="0" applyAlignment="1" applyFont="1" applyNumberFormat="1">
      <alignment readingOrder="0" shrinkToFit="0" vertical="bottom" wrapText="0"/>
    </xf>
    <xf borderId="0" fillId="13" fontId="4" numFmtId="0" xfId="0" applyAlignment="1" applyFont="1">
      <alignment shrinkToFit="0" vertical="bottom" wrapText="0"/>
    </xf>
    <xf borderId="0" fillId="6" fontId="4" numFmtId="0" xfId="0" applyAlignment="1" applyFont="1">
      <alignment shrinkToFit="0" vertical="bottom" wrapText="0"/>
    </xf>
    <xf borderId="0" fillId="8" fontId="4" numFmtId="0" xfId="0" applyAlignment="1" applyFont="1">
      <alignment shrinkToFit="0" vertical="bottom" wrapText="0"/>
    </xf>
    <xf borderId="0" fillId="7" fontId="4" numFmtId="0" xfId="0" applyAlignment="1" applyFont="1">
      <alignment shrinkToFit="0" vertical="bottom" wrapText="0"/>
    </xf>
    <xf borderId="0" fillId="11" fontId="4" numFmtId="0" xfId="0" applyAlignment="1" applyFont="1">
      <alignment shrinkToFit="0" vertical="bottom" wrapText="0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0" fillId="8" fontId="4" numFmtId="0" xfId="0" applyAlignment="1" applyFont="1">
      <alignment vertical="bottom"/>
    </xf>
    <xf borderId="0" fillId="11" fontId="4" numFmtId="0" xfId="0" applyAlignment="1" applyFont="1">
      <alignment vertical="bottom"/>
    </xf>
    <xf borderId="0" fillId="0" fontId="4" numFmtId="166" xfId="0" applyAlignment="1" applyFont="1" applyNumberFormat="1">
      <alignment vertical="bottom"/>
    </xf>
    <xf borderId="0" fillId="13" fontId="4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2" pivot="0" name="Categorizations-style">
      <tableStyleElement dxfId="3" type="firstRowStripe"/>
      <tableStyleElement dxfId="2" type="secondRowStripe"/>
    </tableStyle>
    <tableStyle count="4" pivot="0" name="Recall Lis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Pesticides-style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omewhat Cyclops" id="{cd6122f0-9944-4428-a83b-6a497548b35f}" providerId="google-sheets"/>
</x18tc:personList>
</file>

<file path=xl/tables/table1.xml><?xml version="1.0" encoding="utf-8"?>
<table xmlns="http://schemas.openxmlformats.org/spreadsheetml/2006/main" ref="A1:Q892" displayName="Recalls" name="Recalls" id="1">
  <tableColumns count="17">
    <tableColumn name="ID" id="1"/>
    <tableColumn name="Business Recall Date" id="2"/>
    <tableColumn name="Reg Recall Ann" id="3"/>
    <tableColumn name="State" id="4"/>
    <tableColumn name="Doc Link" id="5"/>
    <tableColumn name="Type" id="6"/>
    <tableColumn name="Product Type" id="7"/>
    <tableColumn name="Brand Name / Product Name" id="8"/>
    <tableColumn name="Company / Producer" id="9"/>
    <tableColumn name="MSO" id="10"/>
    <tableColumn name="Dated?" id="11"/>
    <tableColumn name="Harvest or Package Date" id="12"/>
    <tableColumn name="Sale Date" id="13"/>
    <tableColumn name="Reason" id="14"/>
    <tableColumn name="Source" id="15"/>
    <tableColumn name="Category" id="16"/>
    <tableColumn name="Column 1" id="17"/>
  </tableColumns>
  <tableStyleInfo name="Recall List-style" showColumnStripes="0" showFirstColumn="1" showLastColumn="1" showRowStripes="1"/>
</table>
</file>

<file path=xl/tables/table2.xml><?xml version="1.0" encoding="utf-8"?>
<table xmlns="http://schemas.openxmlformats.org/spreadsheetml/2006/main" headerRowCount="0" ref="A281:C286" displayName="Table_1" name="Table_1" id="2">
  <tableColumns count="3">
    <tableColumn name="Column1" id="1"/>
    <tableColumn name="Column2" id="2"/>
    <tableColumn name="Column3" id="3"/>
  </tableColumns>
  <tableStyleInfo name="Categorizations-style" showColumnStripes="0" showFirstColumn="1" showLastColumn="1" showRowStripes="1"/>
</table>
</file>

<file path=xl/tables/table3.xml><?xml version="1.0" encoding="utf-8"?>
<table xmlns="http://schemas.openxmlformats.org/spreadsheetml/2006/main" headerRowCount="0" ref="A115:B116" displayName="Table_2" name="Table_2" id="3">
  <tableColumns count="2">
    <tableColumn name="Column1" id="1"/>
    <tableColumn name="Column2" id="2"/>
  </tableColumns>
  <tableStyleInfo name="Pesticid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M1" dT="2024-08-25T15:45:58.00" personId="{cd6122f0-9944-4428-a83b-6a497548b35f}" id="{3de11c0d-3db6-4700-ad42-06dd71cc82cd}" done="0">
    <x18tc:text xml:space="preserve">Earliest Date on Recalled Product</x18tc:text>
  </x18tc:threadedComment>
  <x18tc:threadedComment ref="L1" dT="2024-08-25T15:46:15.00" personId="{cd6122f0-9944-4428-a83b-6a497548b35f}" id="{4d233135-144d-4563-86ee-4d170d1a7e25}" done="0">
    <x18tc:text xml:space="preserve">Earliest Date on Recalled product</x18tc:text>
  </x18tc:threadedComment>
  <x18tc:threadedComment ref="B1" dT="2026-03-17T21:24:34.00" personId="{cd6122f0-9944-4428-a83b-6a497548b35f}" id="{5a0cd1a2-1c32-4ee5-bada-5e36a81fa78d}" done="0">
    <x18tc:text xml:space="preserve">"embargo date' in OK, in some states 'business recall date (CO), or the difference between the date the state was aware and the date they made the announcement.</x18tc:text>
  </x18tc:threadedComment>
  <x18tc:threadedComment ref="G332" dT="2026-03-16T19:06:14.00" personId="{cd6122f0-9944-4428-a83b-6a497548b35f}" id="{d69d08e7-34c4-4f85-ae52-70d92fa77533}" done="0">
    <x18tc:text xml:space="preserve">Possibly Wax Infused</x18tc:text>
  </x18tc:threadedComment>
  <x18tc:threadedComment ref="F1" dT="2026-03-17T17:02:12.00" personId="{cd6122f0-9944-4428-a83b-6a497548b35f}" id="{97e9dfa5-3640-4c19-bca5-096382dc7a7a}" done="0">
    <x18tc:text xml:space="preserve">Mandatory: indicated Mandatory; Voluntary indicated Voluntary; Non-Voluntary in a state that records voluntary but has not indicated this one is voluntary, null - no type listed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ecalls.cannabis.ca.gov/recalls/6761c1de449a15805975db10)" TargetMode="External"/><Relationship Id="rId2" Type="http://schemas.openxmlformats.org/officeDocument/2006/relationships/hyperlink" Target="https://drive.google.com/file/d/1_wFzm3GOJfzE6tmSqIhIcyvtI8ocZJDf/view" TargetMode="External"/><Relationship Id="rId3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4" Type="http://schemas.openxmlformats.org/officeDocument/2006/relationships/hyperlink" Target="https://content.govdelivery.com/accounts/OLCC/bulletins/3c9046e" TargetMode="External"/><Relationship Id="rId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2.xml"/><Relationship Id="rId11" Type="http://schemas.openxmlformats.org/officeDocument/2006/relationships/hyperlink" Target="https://revenue.mt.gov/card/cannabis/cannabis-product-recalls" TargetMode="External"/><Relationship Id="rId10" Type="http://schemas.openxmlformats.org/officeDocument/2006/relationships/hyperlink" Target="https://health.mo.gov/safety/cannabis/recalls.php" TargetMode="External"/><Relationship Id="rId13" Type="http://schemas.openxmlformats.org/officeDocument/2006/relationships/hyperlink" Target="https://www.nj.gov/cannabis/adult-personal/recalls/" TargetMode="External"/><Relationship Id="rId12" Type="http://schemas.openxmlformats.org/officeDocument/2006/relationships/hyperlink" Target="https://ccb.nv.gov/guidance/" TargetMode="External"/><Relationship Id="rId1" Type="http://schemas.openxmlformats.org/officeDocument/2006/relationships/hyperlink" Target="https://www.commerce.alaska.gov/web/amco/" TargetMode="External"/><Relationship Id="rId2" Type="http://schemas.openxmlformats.org/officeDocument/2006/relationships/hyperlink" Target="https://www.azdhs.gov/director/public-information-office/index.php" TargetMode="External"/><Relationship Id="rId3" Type="http://schemas.openxmlformats.org/officeDocument/2006/relationships/hyperlink" Target="https://www.cannabis.ca.gov/consumers/cannabis-recalls-and-safety-notices/" TargetMode="External"/><Relationship Id="rId4" Type="http://schemas.openxmlformats.org/officeDocument/2006/relationships/hyperlink" Target="https://sbg.colorado.gov/med/health-and-safety-advisories" TargetMode="External"/><Relationship Id="rId9" Type="http://schemas.openxmlformats.org/officeDocument/2006/relationships/hyperlink" Target="https://www.mmcp.ms.gov/compliance/compliance-bulletins-announcements" TargetMode="External"/><Relationship Id="rId15" Type="http://schemas.openxmlformats.org/officeDocument/2006/relationships/hyperlink" Target="https://cannabis.ny.gov/recalls" TargetMode="External"/><Relationship Id="rId14" Type="http://schemas.openxmlformats.org/officeDocument/2006/relationships/hyperlink" Target="https://www.rld.nm.gov/cannabis/data-news/cannabis-recalls/" TargetMode="External"/><Relationship Id="rId17" Type="http://schemas.openxmlformats.org/officeDocument/2006/relationships/hyperlink" Target="https://oklahoma.gov/omma/recalls/embargoed-and-recalled-products.html" TargetMode="External"/><Relationship Id="rId16" Type="http://schemas.openxmlformats.org/officeDocument/2006/relationships/hyperlink" Target="https://com.ohio.gov/divisions-and-programs/cannabis-control/product-safety" TargetMode="External"/><Relationship Id="rId5" Type="http://schemas.openxmlformats.org/officeDocument/2006/relationships/hyperlink" Target="https://www.maine.gov/dafs/ocp/resources/recalls" TargetMode="External"/><Relationship Id="rId19" Type="http://schemas.openxmlformats.org/officeDocument/2006/relationships/hyperlink" Target="https://lcb.wa.gov/examiners/recalls" TargetMode="External"/><Relationship Id="rId6" Type="http://schemas.openxmlformats.org/officeDocument/2006/relationships/hyperlink" Target="https://masscannabiscontrol.com/news/public-health-and-safety-advisories/" TargetMode="External"/><Relationship Id="rId18" Type="http://schemas.openxmlformats.org/officeDocument/2006/relationships/hyperlink" Target="https://www.oregon.gov/olcc/Pages/product-recalls.aspx" TargetMode="External"/><Relationship Id="rId7" Type="http://schemas.openxmlformats.org/officeDocument/2006/relationships/hyperlink" Target="https://www.michigan.gov/cra/bulletins" TargetMode="External"/><Relationship Id="rId8" Type="http://schemas.openxmlformats.org/officeDocument/2006/relationships/hyperlink" Target="https://mn.gov/ocm/businesses/recalls.jsp" TargetMode="Externa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194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193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192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191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187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186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185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184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189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188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183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182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181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180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176" Type="http://schemas.openxmlformats.org/officeDocument/2006/relationships/hyperlink" Target="https://www.floridahealth.gov/newsroom/2020/08/081820-ommu-press-release.pr.html" TargetMode="External"/><Relationship Id="rId297" Type="http://schemas.openxmlformats.org/officeDocument/2006/relationships/hyperlink" Target="https://lcb.wa.gov/marj/notice_of_recalls" TargetMode="External"/><Relationship Id="rId175" Type="http://schemas.openxmlformats.org/officeDocument/2006/relationships/hyperlink" Target="https://drive.google.com/file/d/11ZQK6nVV01HHHKjuJM-_leTDFSiPbLFn/view" TargetMode="External"/><Relationship Id="rId296" Type="http://schemas.openxmlformats.org/officeDocument/2006/relationships/hyperlink" Target="https://lcb.wa.gov/marj/notice_of_recalls" TargetMode="External"/><Relationship Id="rId174" Type="http://schemas.openxmlformats.org/officeDocument/2006/relationships/hyperlink" Target="https://drive.google.com/file/d/1YHAR9H4TClbzgUXNwLn8q3uh-NAxVoG8/view" TargetMode="External"/><Relationship Id="rId295" Type="http://schemas.openxmlformats.org/officeDocument/2006/relationships/hyperlink" Target="https://lcb.wa.gov/marj/notice_of_recalls" TargetMode="External"/><Relationship Id="rId173" Type="http://schemas.openxmlformats.org/officeDocument/2006/relationships/hyperlink" Target="https://sbg.colorado.gov/sites/sbg/files/documents/230824%20P2C3%2C%20LLC%20HSA%20%20Revised.pdf" TargetMode="External"/><Relationship Id="rId294" Type="http://schemas.openxmlformats.org/officeDocument/2006/relationships/hyperlink" Target="https://lcb.wa.gov/marj/notice_of_recalls" TargetMode="External"/><Relationship Id="rId179" Type="http://schemas.openxmlformats.org/officeDocument/2006/relationships/hyperlink" Target="https://www.centralmaine.com/2015/09/05/wellness-connection-of-maine-recalls-two-strains-of-medical-marijuana/" TargetMode="External"/><Relationship Id="rId178" Type="http://schemas.openxmlformats.org/officeDocument/2006/relationships/hyperlink" Target="https://chicago.suntimes.com/2021/12/10/22821308/marijuana-regulation-illinois-legal-weed-mag-landrace-consumers-cannabis-industry" TargetMode="External"/><Relationship Id="rId299" Type="http://schemas.openxmlformats.org/officeDocument/2006/relationships/hyperlink" Target="https://lcb.wa.gov/marj/notice_of_recalls" TargetMode="External"/><Relationship Id="rId177" Type="http://schemas.openxmlformats.org/officeDocument/2006/relationships/hyperlink" Target="https://www.floridahealth.gov/_documents/newsroom/press-releases/2021/11/20211108-cur-press-release.pdf" TargetMode="External"/><Relationship Id="rId298" Type="http://schemas.openxmlformats.org/officeDocument/2006/relationships/hyperlink" Target="https://lcb.wa.gov/marj/notice_of_recalls" TargetMode="External"/><Relationship Id="rId198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197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196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195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199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150" Type="http://schemas.openxmlformats.org/officeDocument/2006/relationships/hyperlink" Target="https://sbg.colorado.gov/sites/sbg/files/220518_Fresh_Baked_LLC_403R-00250_HSA_2.pdf" TargetMode="External"/><Relationship Id="rId271" Type="http://schemas.openxmlformats.org/officeDocument/2006/relationships/hyperlink" Target="https://lcb.wa.gov/marj/notice_of_recalls" TargetMode="External"/><Relationship Id="rId392" Type="http://schemas.openxmlformats.org/officeDocument/2006/relationships/hyperlink" Target="https://recalls.cannabis.ca.gov/recalls/68111fa2c31741749dfed972" TargetMode="External"/><Relationship Id="rId270" Type="http://schemas.openxmlformats.org/officeDocument/2006/relationships/hyperlink" Target="https://lcb.wa.gov/marj/notice_of_recalls" TargetMode="External"/><Relationship Id="rId391" Type="http://schemas.openxmlformats.org/officeDocument/2006/relationships/hyperlink" Target="https://recalls.cannabis.ca.gov/recalls/68110cdec31741749dfed970" TargetMode="External"/><Relationship Id="rId390" Type="http://schemas.openxmlformats.org/officeDocument/2006/relationships/hyperlink" Target="https://recalls.cannabis.ca.gov/recalls/68080bb50a02d94b409051c1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149" Type="http://schemas.openxmlformats.org/officeDocument/2006/relationships/hyperlink" Target="https://sbg.colorado.gov/sites/sbg/files/220503_HSA_Canna_Meds_Wellness_Center_LLC.pdf" TargetMode="External"/><Relationship Id="rId4" Type="http://schemas.openxmlformats.org/officeDocument/2006/relationships/hyperlink" Target="https://www.commerce.alaska.gov/web/Portals/9/pub/MCB/Minutes/2020/01.23/Tab6.pdf" TargetMode="External"/><Relationship Id="rId148" Type="http://schemas.openxmlformats.org/officeDocument/2006/relationships/hyperlink" Target="https://sbg.colorado.gov/sites/sbg/files/documents/220420Final_Fresh_Baked_LLC_403R-00250_HSA.pdf" TargetMode="External"/><Relationship Id="rId269" Type="http://schemas.openxmlformats.org/officeDocument/2006/relationships/hyperlink" Target="https://lcb.wa.gov/marj/notice_of_recalls" TargetMode="External"/><Relationship Id="rId9" Type="http://schemas.openxmlformats.org/officeDocument/2006/relationships/hyperlink" Target="https://www.azdhs.gov/director/public-information-office/index.php" TargetMode="External"/><Relationship Id="rId143" Type="http://schemas.openxmlformats.org/officeDocument/2006/relationships/hyperlink" Target="https://sbg.colorado.gov/sites/sbg/files/documents/Health_and_Safety_Advisory_Tree_Farmers_LLC_211208.pdf" TargetMode="External"/><Relationship Id="rId264" Type="http://schemas.openxmlformats.org/officeDocument/2006/relationships/hyperlink" Target="https://ccb.vermont.gov/consumer-protection-warning-holland-cannabis-company-0" TargetMode="External"/><Relationship Id="rId385" Type="http://schemas.openxmlformats.org/officeDocument/2006/relationships/hyperlink" Target="https://recalls.cannabis.ca.gov/recalls/67f93629a6af6c345158589b" TargetMode="External"/><Relationship Id="rId142" Type="http://schemas.openxmlformats.org/officeDocument/2006/relationships/hyperlink" Target="https://codor.mylicense.com/MED_Verification/Details.aspx?result=0e6b0f87-acc7-4f89-b7d6-04bcc788c841" TargetMode="External"/><Relationship Id="rId263" Type="http://schemas.openxmlformats.org/officeDocument/2006/relationships/hyperlink" Target="https://ccb.vermont.gov/consumer-protection-warning-holland-cannabis-company" TargetMode="External"/><Relationship Id="rId384" Type="http://schemas.openxmlformats.org/officeDocument/2006/relationships/hyperlink" Target="https://recalls.cannabis.ca.gov/recalls/67f44320ef33cec4b8c75618" TargetMode="External"/><Relationship Id="rId141" Type="http://schemas.openxmlformats.org/officeDocument/2006/relationships/hyperlink" Target="https://drive.google.com/file/d/1ap4Pkw4aJxhvzy9G0tbZNkViwE69_6Ry/view?usp=sharing" TargetMode="External"/><Relationship Id="rId262" Type="http://schemas.openxmlformats.org/officeDocument/2006/relationships/hyperlink" Target="https://www.oregon.gov/olcc/Docs/Dr-Jollys-Recall-9.22.2023.pdf" TargetMode="External"/><Relationship Id="rId383" Type="http://schemas.openxmlformats.org/officeDocument/2006/relationships/hyperlink" Target="https://recalls.cannabis.ca.gov/recalls/67ec59be4becf15d41092d3b" TargetMode="External"/><Relationship Id="rId140" Type="http://schemas.openxmlformats.org/officeDocument/2006/relationships/hyperlink" Target="https://sbg.colorado.gov/sites/sbg/files/Health_and_Safety_Advisory_The_Chronic_Factory_LLC.pdf" TargetMode="External"/><Relationship Id="rId261" Type="http://schemas.openxmlformats.org/officeDocument/2006/relationships/hyperlink" Target="https://www.oregon.gov/olcc/Docs/news/news_releases/2023/nr071323-Cannabis-Arsenic-Recall.pdf" TargetMode="External"/><Relationship Id="rId382" Type="http://schemas.openxmlformats.org/officeDocument/2006/relationships/hyperlink" Target="https://recalls.cannabis.ca.gov/recalls/67f044164c8fed4662b01b99" TargetMode="External"/><Relationship Id="rId5" Type="http://schemas.openxmlformats.org/officeDocument/2006/relationships/hyperlink" Target="https://www.commerce.alaska.gov/web/Portals/9/pub/HomePage/Press%20Release/Director%20Advisory.administrativehold.3.2.23.final%20(2).pdf" TargetMode="External"/><Relationship Id="rId147" Type="http://schemas.openxmlformats.org/officeDocument/2006/relationships/hyperlink" Target="https://sbg.colorado.gov/sites/sbg/files/Health_and_Safety_Advisory_LivWell_I_LLC_403R-00252.pdf" TargetMode="External"/><Relationship Id="rId268" Type="http://schemas.openxmlformats.org/officeDocument/2006/relationships/hyperlink" Target="https://lcb.wa.gov/marj/notice_of_recalls" TargetMode="External"/><Relationship Id="rId389" Type="http://schemas.openxmlformats.org/officeDocument/2006/relationships/hyperlink" Target="https://recalls.cannabis.ca.gov/recalls/67f6dd47ad69398ae71adddf" TargetMode="External"/><Relationship Id="rId6" Type="http://schemas.openxmlformats.org/officeDocument/2006/relationships/hyperlink" Target="https://www.azdhs.gov/director/public-information-office/index.php" TargetMode="External"/><Relationship Id="rId146" Type="http://schemas.openxmlformats.org/officeDocument/2006/relationships/hyperlink" Target="https://drive.google.com/file/d/1I-nbQQyv4UKLNghmjmbliC_WVa8fkpeJ/view" TargetMode="External"/><Relationship Id="rId267" Type="http://schemas.openxmlformats.org/officeDocument/2006/relationships/hyperlink" Target="https://lcb.wa.gov/marj/notice_of_recalls" TargetMode="External"/><Relationship Id="rId388" Type="http://schemas.openxmlformats.org/officeDocument/2006/relationships/hyperlink" Target="https://recalls.cannabis.ca.gov/recalls/67fd4fdff04bba13cf57a683" TargetMode="External"/><Relationship Id="rId7" Type="http://schemas.openxmlformats.org/officeDocument/2006/relationships/hyperlink" Target="https://www.azdhs.gov/director/public-information-office/index.php" TargetMode="External"/><Relationship Id="rId145" Type="http://schemas.openxmlformats.org/officeDocument/2006/relationships/hyperlink" Target="https://docs.google.com/document/d/1S_40b2SJe9L_ZeHc-fK7Klq19YMnDROTX3cy81itYks/edit" TargetMode="External"/><Relationship Id="rId266" Type="http://schemas.openxmlformats.org/officeDocument/2006/relationships/hyperlink" Target="https://lcb.wa.gov/marj/notice_of_recalls" TargetMode="External"/><Relationship Id="rId387" Type="http://schemas.openxmlformats.org/officeDocument/2006/relationships/hyperlink" Target="https://recalls.cannabis.ca.gov/recalls/67fd4d20f04bba13cf57a67a" TargetMode="External"/><Relationship Id="rId8" Type="http://schemas.openxmlformats.org/officeDocument/2006/relationships/hyperlink" Target="https://www.azdhs.gov/director/public-information-office/index.php" TargetMode="External"/><Relationship Id="rId144" Type="http://schemas.openxmlformats.org/officeDocument/2006/relationships/hyperlink" Target="https://sbg.colorado.gov/sites/sbg/files/documents/Health_and_Safety_Advisory_211214_REVISED_HSA_Innovative_Fusion_LLC.pdf" TargetMode="External"/><Relationship Id="rId265" Type="http://schemas.openxmlformats.org/officeDocument/2006/relationships/hyperlink" Target="https://lcb.wa.gov/marj/notice_of_recalls" TargetMode="External"/><Relationship Id="rId386" Type="http://schemas.openxmlformats.org/officeDocument/2006/relationships/hyperlink" Target="https://recalls.cannabis.ca.gov/recalls/67f42df6ef33cec4b8c75611" TargetMode="External"/><Relationship Id="rId260" Type="http://schemas.openxmlformats.org/officeDocument/2006/relationships/hyperlink" Target="https://www.oregon.gov/olcc/Docs/news/news_releases/2023/nr071323-Cannabis-Arsenic-Recall.pdf" TargetMode="External"/><Relationship Id="rId381" Type="http://schemas.openxmlformats.org/officeDocument/2006/relationships/hyperlink" Target="https://recalls.cannabis.ca.gov/recalls/67eef04f7e45d7785194736a" TargetMode="External"/><Relationship Id="rId380" Type="http://schemas.openxmlformats.org/officeDocument/2006/relationships/hyperlink" Target="https://recalls.cannabis.ca.gov/recalls/67cb60539b4d75e795d8eada" TargetMode="External"/><Relationship Id="rId139" Type="http://schemas.openxmlformats.org/officeDocument/2006/relationships/hyperlink" Target="https://sbg.colorado.gov/sites/sbg/files/documents/210419%20HSA%20Primal%20LLC%20402-01058%20Final.pdf" TargetMode="External"/><Relationship Id="rId138" Type="http://schemas.openxmlformats.org/officeDocument/2006/relationships/hyperlink" Target="https://sbg.colorado.gov/sites/sbg/files/documents/20210330%20TZ%20Financial%20LLC%20403R-00123%20HSA%20Final.pdf" TargetMode="External"/><Relationship Id="rId259" Type="http://schemas.openxmlformats.org/officeDocument/2006/relationships/hyperlink" Target="https://www.oregon.gov/olcc/Docs/news/news_releases/2023/nr062623-Cannabis-Recall.pdf" TargetMode="External"/><Relationship Id="rId137" Type="http://schemas.openxmlformats.org/officeDocument/2006/relationships/hyperlink" Target="https://sbg.colorado.gov/sites/sbg/files/documents/210210%20FINAL%20Medically%20Correct%20HSA.pdf" TargetMode="External"/><Relationship Id="rId258" Type="http://schemas.openxmlformats.org/officeDocument/2006/relationships/hyperlink" Target="https://www.oregon.gov/olcc/marijuana/Documents/Recall-Notice-Covert-Extracts.pdf" TargetMode="External"/><Relationship Id="rId379" Type="http://schemas.openxmlformats.org/officeDocument/2006/relationships/hyperlink" Target="https://recalls.cannabis.ca.gov/recalls/67eecc81eeed9a2d044639f6" TargetMode="External"/><Relationship Id="rId132" Type="http://schemas.openxmlformats.org/officeDocument/2006/relationships/hyperlink" Target="https://drive.google.com/file/d/1fA2Md16UM1sp028SKLWjIme7_Cvc_3Qs/view" TargetMode="External"/><Relationship Id="rId253" Type="http://schemas.openxmlformats.org/officeDocument/2006/relationships/hyperlink" Target="https://www.oregon.gov/olcc/Docs/news/news_releases/2023/nr012623-Recall-Notice-Cannabis-PREE-Labs.pdf" TargetMode="External"/><Relationship Id="rId374" Type="http://schemas.openxmlformats.org/officeDocument/2006/relationships/hyperlink" Target="https://recalls.cannabis.ca.gov/recalls/67e2f72be1d586b2abb40828" TargetMode="External"/><Relationship Id="rId495" Type="http://schemas.openxmlformats.org/officeDocument/2006/relationships/hyperlink" Target="https://www.michigan.gov/cra/-/media/Project/Websites/cra/bulletin/1Public-Health-an-Safety-Advisory/Public-Health-and-Safety-Advisory---Flavor-Galaxy---FINAL.pdf?rev=d3953bd7527247d2bb6222398c814499&amp;hash=36B9C6D838E469CC999978762560FDC5" TargetMode="External"/><Relationship Id="rId131" Type="http://schemas.openxmlformats.org/officeDocument/2006/relationships/hyperlink" Target="https://drive.google.com/open?id=1oZxftn0twX4egl0ZPGDbIi0UL12ey3uS" TargetMode="External"/><Relationship Id="rId252" Type="http://schemas.openxmlformats.org/officeDocument/2006/relationships/hyperlink" Target="https://www.oregon.gov/olcc/Docs/news/news_releases/2023/nr011223-Cannabis-Product-Recall-Firefly.pdf" TargetMode="External"/><Relationship Id="rId373" Type="http://schemas.openxmlformats.org/officeDocument/2006/relationships/hyperlink" Target="https://recalls.cannabis.ca.gov/recalls/67d4467a4106f28998de60cc" TargetMode="External"/><Relationship Id="rId494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130" Type="http://schemas.openxmlformats.org/officeDocument/2006/relationships/hyperlink" Target="https://drive.google.com/open?id=1RJSbwmD5DzoI-E09vDshbUATjN9wvx6h" TargetMode="External"/><Relationship Id="rId251" Type="http://schemas.openxmlformats.org/officeDocument/2006/relationships/hyperlink" Target="https://www.oregon.gov/olcc/Docs/Recall-Notice-Oregon-Original-Chocowana-Bar.pdf" TargetMode="External"/><Relationship Id="rId372" Type="http://schemas.openxmlformats.org/officeDocument/2006/relationships/hyperlink" Target="https://recalls.cannabis.ca.gov/recalls/67e1c59a764a2b6664808b45" TargetMode="External"/><Relationship Id="rId493" Type="http://schemas.openxmlformats.org/officeDocument/2006/relationships/hyperlink" Target="https://masscannabiscontrol.com/2025/02/notice-massachusetts-cannabis-control-commission-public-health-and-safety-advisory-potentially-contaminated-marijuana-products-sold-between-september-18-2024-and-january-30-2025-february-3/" TargetMode="External"/><Relationship Id="rId250" Type="http://schemas.openxmlformats.org/officeDocument/2006/relationships/hyperlink" Target="https://www.oregon.gov/olcc/Docs/news/news_releases/2022/nr120222-Cannabis-Product-Recall-Pesticide-Bobsled-QuantumAlchemy.pdf" TargetMode="External"/><Relationship Id="rId371" Type="http://schemas.openxmlformats.org/officeDocument/2006/relationships/hyperlink" Target="https://recalls.cannabis.ca.gov/recalls/67d09f9f5c03fd67e1699304" TargetMode="External"/><Relationship Id="rId492" Type="http://schemas.openxmlformats.org/officeDocument/2006/relationships/hyperlink" Target="https://masscannabiscontrol.com/2025/02/notice-massachusetts-cannabis-control-commission-public-health-and-safety-advisory-potentially-contaminated-marijuana-products-sold-between-may-31-2024-and-january-23-2025-february-3-2025/" TargetMode="External"/><Relationship Id="rId136" Type="http://schemas.openxmlformats.org/officeDocument/2006/relationships/hyperlink" Target="https://sbg.colorado.gov/sites/sbg/files/documents/Health%20and%20Safety%20Advisory%20-%20Carrick-Harvest%20LLC.pdf" TargetMode="External"/><Relationship Id="rId257" Type="http://schemas.openxmlformats.org/officeDocument/2006/relationships/hyperlink" Target="https://www.oregon.gov/olcc/marijuana/Documents/Recall-Notice-Crumble-Apple-Crisp.pdf" TargetMode="External"/><Relationship Id="rId378" Type="http://schemas.openxmlformats.org/officeDocument/2006/relationships/hyperlink" Target="https://recalls.cannabis.ca.gov/recalls/67edc40ed271b2cd4fb6700b" TargetMode="External"/><Relationship Id="rId499" Type="http://schemas.openxmlformats.org/officeDocument/2006/relationships/hyperlink" Target="https://www.michigan.gov/cra/-/media/Project/Websites/cra/bulletin/1Public-Health-an-Safety-Advisory/9225-Press-Release--CRA-Announces-Voluntary-Vape-Recall-House-Brands-Distro.pdf?rev=eaaa4828c3dc47d19936b92e581f1615&amp;hash=E1AD671E04BBECA360ED1F72AD8DA752" TargetMode="External"/><Relationship Id="rId135" Type="http://schemas.openxmlformats.org/officeDocument/2006/relationships/hyperlink" Target="https://sbg.colorado.gov/sites/sbg/files/201105%20HSA%20Physician%20Preferred%20Products%20LLC%20403-01905.pdf" TargetMode="External"/><Relationship Id="rId256" Type="http://schemas.openxmlformats.org/officeDocument/2006/relationships/hyperlink" Target="https://www.oregon.gov/olcc/marijuana/Documents/Recall-Notice-Hapy-Kitchen.pdf" TargetMode="External"/><Relationship Id="rId377" Type="http://schemas.openxmlformats.org/officeDocument/2006/relationships/hyperlink" Target="https://recalls.cannabis.ca.gov/recalls/67edb9ef03fb5784226ca7f7" TargetMode="External"/><Relationship Id="rId498" Type="http://schemas.openxmlformats.org/officeDocument/2006/relationships/hyperlink" Target="https://www.michigan.gov/cra/-/media/Project/Websites/cra/bulletin/1Public-Health-an-Safety-Advisory/Voluntary-Product-Recall-Sky-Cannabis-LLC.pdf?rev=d484c2a12e614cefa7bf45ee9688e617&amp;hash=233AE731E64AAA2A206459E2E8E17743" TargetMode="External"/><Relationship Id="rId134" Type="http://schemas.openxmlformats.org/officeDocument/2006/relationships/hyperlink" Target="https://drive.google.com/file/d/1xowig7vPtl-lz_xUAALt3DIxeGua1xY6/view?usp=sharing" TargetMode="External"/><Relationship Id="rId255" Type="http://schemas.openxmlformats.org/officeDocument/2006/relationships/hyperlink" Target="https://www.oregon.gov/olcc/marijuana/Documents/Avitas-Recall-Notice.pdf" TargetMode="External"/><Relationship Id="rId376" Type="http://schemas.openxmlformats.org/officeDocument/2006/relationships/hyperlink" Target="https://recalls.cannabis.ca.gov/recalls/67edaf9003fb5784226ca7f3" TargetMode="External"/><Relationship Id="rId497" Type="http://schemas.openxmlformats.org/officeDocument/2006/relationships/hyperlink" Target="https://www.michigan.gov/cra/-/media/Project/Websites/cra/bulletin/1Public-Health-an-Safety-Advisory/Exhale-Public-health-and-Safety-Bulletin-021125.pdf?rev=1421222a965141769356ce7980221106&amp;hash=B8BB13DDB11F7190506481172C79E4A4" TargetMode="External"/><Relationship Id="rId133" Type="http://schemas.openxmlformats.org/officeDocument/2006/relationships/hyperlink" Target="https://drive.google.com/file/d/15p7-15uOMGjz84uqEYz5hpUljx-oP62p/view" TargetMode="External"/><Relationship Id="rId254" Type="http://schemas.openxmlformats.org/officeDocument/2006/relationships/hyperlink" Target="https://www.oregon.gov/olcc/Docs/news/news_releases/2023/nr021423-Cannabis-Product-Recall-Firefly-Expansion.pdf" TargetMode="External"/><Relationship Id="rId375" Type="http://schemas.openxmlformats.org/officeDocument/2006/relationships/hyperlink" Target="https://recalls.cannabis.ca.gov/recalls/67d9a58bee53fc0e4a85cfd0" TargetMode="External"/><Relationship Id="rId496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7682C403EE558A9A77BB33095E8DC10B" TargetMode="External"/><Relationship Id="rId172" Type="http://schemas.openxmlformats.org/officeDocument/2006/relationships/hyperlink" Target="https://sbg.colorado.gov/sites/sbg/files/documents/230622%20Tumbleweed%20Steamboat%20LLC%20HSA%20memo.pdf" TargetMode="External"/><Relationship Id="rId293" Type="http://schemas.openxmlformats.org/officeDocument/2006/relationships/hyperlink" Target="https://lcb.wa.gov/marj/notice_of_recalls" TargetMode="External"/><Relationship Id="rId171" Type="http://schemas.openxmlformats.org/officeDocument/2006/relationships/hyperlink" Target="https://sbg.colorado.gov/sites/sbg/files/documents/230612%20HSA%20Kind%20Care%20of%20Colorado%20LLC%20402-00841%20%26%20402R-00516.pdf" TargetMode="External"/><Relationship Id="rId292" Type="http://schemas.openxmlformats.org/officeDocument/2006/relationships/hyperlink" Target="https://lcb.wa.gov/marj/notice_of_recalls" TargetMode="External"/><Relationship Id="rId170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291" Type="http://schemas.openxmlformats.org/officeDocument/2006/relationships/hyperlink" Target="https://lcb.wa.gov/marj/notice_of_recalls" TargetMode="External"/><Relationship Id="rId290" Type="http://schemas.openxmlformats.org/officeDocument/2006/relationships/hyperlink" Target="https://lcb.wa.gov/marj/notice_of_recalls" TargetMode="External"/><Relationship Id="rId165" Type="http://schemas.openxmlformats.org/officeDocument/2006/relationships/hyperlink" Target="https://sbg.colorado.gov/sites/sbg/files/documents/230412_Trinidad_Cultivation_Services_HSA.pdf" TargetMode="External"/><Relationship Id="rId286" Type="http://schemas.openxmlformats.org/officeDocument/2006/relationships/hyperlink" Target="https://lcb.wa.gov/marj/notice_of_recalls" TargetMode="External"/><Relationship Id="rId164" Type="http://schemas.openxmlformats.org/officeDocument/2006/relationships/hyperlink" Target="https://sbg.colorado.gov/sites/sbg/files/documents/230412_COS_Investments_LLC_HSA.pdf" TargetMode="External"/><Relationship Id="rId285" Type="http://schemas.openxmlformats.org/officeDocument/2006/relationships/hyperlink" Target="https://lcb.wa.gov/marj/notice_of_recalls" TargetMode="External"/><Relationship Id="rId163" Type="http://schemas.openxmlformats.org/officeDocument/2006/relationships/hyperlink" Target="https://sbg.colorado.gov/sites/sbg/files/documents/230412_BBM_Enterprises_LLC_HSA.pdf" TargetMode="External"/><Relationship Id="rId284" Type="http://schemas.openxmlformats.org/officeDocument/2006/relationships/hyperlink" Target="https://lcb.wa.gov/marj/notice_of_recalls" TargetMode="External"/><Relationship Id="rId162" Type="http://schemas.openxmlformats.org/officeDocument/2006/relationships/hyperlink" Target="https://sbg.colorado.gov/sites/sbg/files/documents/230322_Updated_HSA_Carrick-Harvest.docx.pdf" TargetMode="External"/><Relationship Id="rId283" Type="http://schemas.openxmlformats.org/officeDocument/2006/relationships/hyperlink" Target="https://lcb.wa.gov/marj/notice_of_recalls" TargetMode="External"/><Relationship Id="rId169" Type="http://schemas.openxmlformats.org/officeDocument/2006/relationships/hyperlink" Target="https://sbg.colorado.gov/sites/sbg/files/documents/230523_GT_Retail_LLC_HSA.pdf" TargetMode="External"/><Relationship Id="rId168" Type="http://schemas.openxmlformats.org/officeDocument/2006/relationships/hyperlink" Target="https://sbg.colorado.gov/sites/sbg/files/documents/230509_MJ_Durango_HSA.pdf" TargetMode="External"/><Relationship Id="rId289" Type="http://schemas.openxmlformats.org/officeDocument/2006/relationships/hyperlink" Target="https://lcb.wa.gov/marj/notice_of_recalls" TargetMode="External"/><Relationship Id="rId167" Type="http://schemas.openxmlformats.org/officeDocument/2006/relationships/hyperlink" Target="https://sbg.colorado.gov/sites/sbg/files/documents/230508_Big_Mountain_Organics_LLC_HSA.docx.pdf" TargetMode="External"/><Relationship Id="rId288" Type="http://schemas.openxmlformats.org/officeDocument/2006/relationships/hyperlink" Target="https://lcb.wa.gov/marj/notice_of_recalls" TargetMode="External"/><Relationship Id="rId166" Type="http://schemas.openxmlformats.org/officeDocument/2006/relationships/hyperlink" Target="https://sbg.colorado.gov/sites/sbg/files/documents/230417_Long_Gone_Farms_HSA.pdf" TargetMode="External"/><Relationship Id="rId287" Type="http://schemas.openxmlformats.org/officeDocument/2006/relationships/hyperlink" Target="https://lcb.wa.gov/marj/notice_of_recalls" TargetMode="External"/><Relationship Id="rId161" Type="http://schemas.openxmlformats.org/officeDocument/2006/relationships/hyperlink" Target="https://sbg.colorado.gov/sites/sbg/files/documents/230320_HSA_MJ_Durango.pdf" TargetMode="External"/><Relationship Id="rId282" Type="http://schemas.openxmlformats.org/officeDocument/2006/relationships/hyperlink" Target="https://lcb.wa.gov/marj/notice_of_recalls" TargetMode="External"/><Relationship Id="rId160" Type="http://schemas.openxmlformats.org/officeDocument/2006/relationships/hyperlink" Target="https://sbg.colorado.gov/sites/sbg/files/230309_CORRECTED_Health_and_Safety_Advisory_Green_Street_LLC.pdf" TargetMode="External"/><Relationship Id="rId281" Type="http://schemas.openxmlformats.org/officeDocument/2006/relationships/hyperlink" Target="https://lcb.wa.gov/marj/notice_of_recalls" TargetMode="External"/><Relationship Id="rId280" Type="http://schemas.openxmlformats.org/officeDocument/2006/relationships/hyperlink" Target="https://lcb.wa.gov/marj/notice_of_recalls" TargetMode="External"/><Relationship Id="rId159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154" Type="http://schemas.openxmlformats.org/officeDocument/2006/relationships/hyperlink" Target="https://sbg.colorado.gov/sites/sbg/files/221026_SDJ_LLC_HSA.docx.pdf" TargetMode="External"/><Relationship Id="rId275" Type="http://schemas.openxmlformats.org/officeDocument/2006/relationships/hyperlink" Target="https://lcb.wa.gov/marj/notice_of_recalls" TargetMode="External"/><Relationship Id="rId396" Type="http://schemas.openxmlformats.org/officeDocument/2006/relationships/hyperlink" Target="https://recalls.cannabis.ca.gov/recalls/681a690ede8dfd7993fb4d2d" TargetMode="External"/><Relationship Id="rId153" Type="http://schemas.openxmlformats.org/officeDocument/2006/relationships/hyperlink" Target="https://sbg.colorado.gov/sites/sbg/files/221012_HSA_Beyond_Broadway_LLC.pdf" TargetMode="External"/><Relationship Id="rId274" Type="http://schemas.openxmlformats.org/officeDocument/2006/relationships/hyperlink" Target="https://lcb.wa.gov/marj/notice_of_recalls" TargetMode="External"/><Relationship Id="rId395" Type="http://schemas.openxmlformats.org/officeDocument/2006/relationships/hyperlink" Target="https://recalls.cannabis.ca.gov/recalls/6815444781aae3b8cf89b805" TargetMode="External"/><Relationship Id="rId152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273" Type="http://schemas.openxmlformats.org/officeDocument/2006/relationships/hyperlink" Target="https://lcb.wa.gov/marj/notice_of_recalls" TargetMode="External"/><Relationship Id="rId394" Type="http://schemas.openxmlformats.org/officeDocument/2006/relationships/hyperlink" Target="https://recalls.cannabis.ca.gov/recalls/6813b5e2171a2609a7b46d63" TargetMode="External"/><Relationship Id="rId151" Type="http://schemas.openxmlformats.org/officeDocument/2006/relationships/hyperlink" Target="https://sbg.colorado.gov/sites/sbg/files/220714_Dune_Valley_Farms_LLC_403R-00850_HSA.pdf" TargetMode="External"/><Relationship Id="rId272" Type="http://schemas.openxmlformats.org/officeDocument/2006/relationships/hyperlink" Target="https://lcb.wa.gov/marj/notice_of_recalls" TargetMode="External"/><Relationship Id="rId393" Type="http://schemas.openxmlformats.org/officeDocument/2006/relationships/hyperlink" Target="https://recalls.cannabis.ca.gov/recalls/6814ee606c27402413d2d041" TargetMode="External"/><Relationship Id="rId158" Type="http://schemas.openxmlformats.org/officeDocument/2006/relationships/hyperlink" Target="https://sbg.colorado.gov/sites/sbg/files/FINAL_HSA_Sissco_LLC_403-00840_403R-00333.pdf" TargetMode="External"/><Relationship Id="rId279" Type="http://schemas.openxmlformats.org/officeDocument/2006/relationships/hyperlink" Target="https://lcb.wa.gov/marj/notice_of_recalls" TargetMode="External"/><Relationship Id="rId157" Type="http://schemas.openxmlformats.org/officeDocument/2006/relationships/hyperlink" Target="https://sbg.colorado.gov/sites/sbg/files/FINAL_HSA_Jolet_Ventures_403R-00132.pdf" TargetMode="External"/><Relationship Id="rId278" Type="http://schemas.openxmlformats.org/officeDocument/2006/relationships/hyperlink" Target="https://lcb.wa.gov/marj/notice_of_recalls" TargetMode="External"/><Relationship Id="rId399" Type="http://schemas.openxmlformats.org/officeDocument/2006/relationships/hyperlink" Target="https://recalls.cannabis.ca.gov/recalls/6830b01b19b3195b7d15ab2c" TargetMode="External"/><Relationship Id="rId156" Type="http://schemas.openxmlformats.org/officeDocument/2006/relationships/hyperlink" Target="https://sbg.colorado.gov/sites/sbg/files/221215_HSA_240_Arthur_Avenue_LLC.pdf" TargetMode="External"/><Relationship Id="rId277" Type="http://schemas.openxmlformats.org/officeDocument/2006/relationships/hyperlink" Target="https://lcb.wa.gov/marj/notice_of_recalls" TargetMode="External"/><Relationship Id="rId398" Type="http://schemas.openxmlformats.org/officeDocument/2006/relationships/hyperlink" Target="https://recalls.cannabis.ca.gov/recalls/6826696d651df98cac943a90" TargetMode="External"/><Relationship Id="rId155" Type="http://schemas.openxmlformats.org/officeDocument/2006/relationships/hyperlink" Target="https://sbg.colorado.gov/sites/sbg/files/221123_HSA_Beddor_Claude_LLC.docx.pdf" TargetMode="External"/><Relationship Id="rId276" Type="http://schemas.openxmlformats.org/officeDocument/2006/relationships/hyperlink" Target="https://lcb.wa.gov/marj/notice_of_recalls" TargetMode="External"/><Relationship Id="rId397" Type="http://schemas.openxmlformats.org/officeDocument/2006/relationships/hyperlink" Target="https://recalls.cannabis.ca.gov/recalls/68263e4690232c8644ea388d" TargetMode="External"/><Relationship Id="rId40" Type="http://schemas.openxmlformats.org/officeDocument/2006/relationships/hyperlink" Target="https://www.azdhs.gov/documents/policy-intergovernmental-affairs/public-information/news-releases/news-release-for-recall-7-10-24.pdf" TargetMode="External"/><Relationship Id="rId42" Type="http://schemas.openxmlformats.org/officeDocument/2006/relationships/hyperlink" Target="https://cannabis.ca.gov/resources/cannabis-recalls-and-safety-notices/" TargetMode="External"/><Relationship Id="rId41" Type="http://schemas.openxmlformats.org/officeDocument/2006/relationships/hyperlink" Target="https://www.upi.com/Top_News/US/2018/12/24/California-marijuana-recall-threatens-state-cannabis-industry/3001545673498/" TargetMode="External"/><Relationship Id="rId44" Type="http://schemas.openxmlformats.org/officeDocument/2006/relationships/hyperlink" Target="https://cannabis.ca.gov/resources/cannabis-recalls-and-safety-notices/" TargetMode="External"/><Relationship Id="rId43" Type="http://schemas.openxmlformats.org/officeDocument/2006/relationships/hyperlink" Target="https://cannabis.ca.gov/resources/cannabis-recalls-and-safety-notices/" TargetMode="External"/><Relationship Id="rId46" Type="http://schemas.openxmlformats.org/officeDocument/2006/relationships/hyperlink" Target="https://cannabis.ca.gov/resources/cannabis-recalls-and-safety-notices/" TargetMode="External"/><Relationship Id="rId45" Type="http://schemas.openxmlformats.org/officeDocument/2006/relationships/hyperlink" Target="https://cannabis.ca.gov/resources/cannabis-recalls-and-safety-notices/" TargetMode="External"/><Relationship Id="rId509" Type="http://schemas.openxmlformats.org/officeDocument/2006/relationships/hyperlink" Target="https://health.mo.gov/safety/cannabis/pdf/notice-of-product-recall-042925-508.pdf" TargetMode="External"/><Relationship Id="rId508" Type="http://schemas.openxmlformats.org/officeDocument/2006/relationships/hyperlink" Target="https://health.mo.gov/safety/cannabis/pdf/man-10-notice-of-product-recall-041825-ada.pdf" TargetMode="External"/><Relationship Id="rId503" Type="http://schemas.openxmlformats.org/officeDocument/2006/relationships/hyperlink" Target="https://health.mo.gov/safety/cannabis/pdf/notice-of-product-recall080824-508.pdf" TargetMode="External"/><Relationship Id="rId502" Type="http://schemas.openxmlformats.org/officeDocument/2006/relationships/hyperlink" Target="https://health.mo.gov/safety/cannabis/pdf/notice-of-product-recall080624.pdf" TargetMode="External"/><Relationship Id="rId501" Type="http://schemas.openxmlformats.org/officeDocument/2006/relationships/hyperlink" Target="https://health.mo.gov/safety/cannabis/pdf/notice-of-product-recall041025.pdf" TargetMode="External"/><Relationship Id="rId500" Type="http://schemas.openxmlformats.org/officeDocument/2006/relationships/hyperlink" Target="https://www.mmcp.ms.gov/compliance/compliance-bulletins-announcements" TargetMode="External"/><Relationship Id="rId507" Type="http://schemas.openxmlformats.org/officeDocument/2006/relationships/hyperlink" Target="https://health.mo.gov/safety/cannabis/pdf/man-044-notice-of-product-recall-041825.pdf" TargetMode="External"/><Relationship Id="rId506" Type="http://schemas.openxmlformats.org/officeDocument/2006/relationships/hyperlink" Target="https://health.mo.gov/safety/cannabis/pdf/notice-of-product-recall1115524.pdf" TargetMode="External"/><Relationship Id="rId505" Type="http://schemas.openxmlformats.org/officeDocument/2006/relationships/hyperlink" Target="https://health.mo.gov/safety/cannabis/pdf/notice-of-product-recall083024.pdf" TargetMode="External"/><Relationship Id="rId504" Type="http://schemas.openxmlformats.org/officeDocument/2006/relationships/hyperlink" Target="https://health.mo.gov/safety/cannabis/pdf/notice-of-product-recall083024.pdf" TargetMode="External"/><Relationship Id="rId48" Type="http://schemas.openxmlformats.org/officeDocument/2006/relationships/hyperlink" Target="https://cannabis.ca.gov/resources/cannabis-recalls-and-safety-notices/left-coast-llc-lil-leftys/" TargetMode="External"/><Relationship Id="rId47" Type="http://schemas.openxmlformats.org/officeDocument/2006/relationships/hyperlink" Target="https://cannabis.ca.gov/2023/07/voluntary-recall-last-minute-venture-llc-cannalean-brand-products/" TargetMode="External"/><Relationship Id="rId49" Type="http://schemas.openxmlformats.org/officeDocument/2006/relationships/hyperlink" Target="https://cannabis.ca.gov/resources/cannabis-recalls-and-safety-notices/grizzly-peak-farms-llc-zoap-cannabis-flower/" TargetMode="External"/><Relationship Id="rId31" Type="http://schemas.openxmlformats.org/officeDocument/2006/relationships/hyperlink" Target="https://www.azdhs.gov/policy-intergovernmental-affairs/index.php" TargetMode="External"/><Relationship Id="rId30" Type="http://schemas.openxmlformats.org/officeDocument/2006/relationships/hyperlink" Target="https://www.azdhs.gov/policy-intergovernmental-affairs/index.php" TargetMode="External"/><Relationship Id="rId33" Type="http://schemas.openxmlformats.org/officeDocument/2006/relationships/hyperlink" Target="https://www.azdhs.gov/policy-intergovernmental-affairs/index.php" TargetMode="External"/><Relationship Id="rId32" Type="http://schemas.openxmlformats.org/officeDocument/2006/relationships/hyperlink" Target="https://www.azdhs.gov/policy-intergovernmental-affairs/index.php" TargetMode="External"/><Relationship Id="rId35" Type="http://schemas.openxmlformats.org/officeDocument/2006/relationships/hyperlink" Target="https://www.azdhs.gov/policy-intergovernmental-affairs/index.php" TargetMode="External"/><Relationship Id="rId34" Type="http://schemas.openxmlformats.org/officeDocument/2006/relationships/hyperlink" Target="https://www.azdhs.gov/policy-intergovernmental-affairs/index.php" TargetMode="External"/><Relationship Id="rId37" Type="http://schemas.openxmlformats.org/officeDocument/2006/relationships/hyperlink" Target="https://www.azdhs.gov/policy-intergovernmental-affairs/index.php" TargetMode="External"/><Relationship Id="rId36" Type="http://schemas.openxmlformats.org/officeDocument/2006/relationships/hyperlink" Target="https://www.azdhs.gov/policy-intergovernmental-affairs/index.php" TargetMode="External"/><Relationship Id="rId39" Type="http://schemas.openxmlformats.org/officeDocument/2006/relationships/hyperlink" Target="https://www.azdhs.gov/policy-intergovernmental-affairs/index.php" TargetMode="External"/><Relationship Id="rId38" Type="http://schemas.openxmlformats.org/officeDocument/2006/relationships/hyperlink" Target="https://www.azdhs.gov/policy-intergovernmental-affairs/index.php" TargetMode="External"/><Relationship Id="rId20" Type="http://schemas.openxmlformats.org/officeDocument/2006/relationships/hyperlink" Target="https://www.azdhs.gov/director/public-information-office/index.php" TargetMode="External"/><Relationship Id="rId22" Type="http://schemas.openxmlformats.org/officeDocument/2006/relationships/hyperlink" Target="https://www.azdhs.gov/policy-intergovernmental-affairs/index.php" TargetMode="External"/><Relationship Id="rId21" Type="http://schemas.openxmlformats.org/officeDocument/2006/relationships/hyperlink" Target="https://www.azdhs.gov/director/public-information-office/index.php" TargetMode="External"/><Relationship Id="rId24" Type="http://schemas.openxmlformats.org/officeDocument/2006/relationships/hyperlink" Target="https://www.azdhs.gov/director/public-information-office/index.php" TargetMode="External"/><Relationship Id="rId23" Type="http://schemas.openxmlformats.org/officeDocument/2006/relationships/hyperlink" Target="https://www.azdhs.gov/director/public-information-office/index.php" TargetMode="External"/><Relationship Id="rId409" Type="http://schemas.openxmlformats.org/officeDocument/2006/relationships/hyperlink" Target="https://recalls.cannabis.ca.gov/recalls/685dc1eda34dbb6517647c95" TargetMode="External"/><Relationship Id="rId404" Type="http://schemas.openxmlformats.org/officeDocument/2006/relationships/hyperlink" Target="https://recalls.cannabis.ca.gov/recalls/685085643f86ce0b7a6948f5" TargetMode="External"/><Relationship Id="rId525" Type="http://schemas.openxmlformats.org/officeDocument/2006/relationships/hyperlink" Target="https://cannabis.ny.gov/past-recalls" TargetMode="External"/><Relationship Id="rId403" Type="http://schemas.openxmlformats.org/officeDocument/2006/relationships/hyperlink" Target="https://recalls.cannabis.ca.gov/recalls/68430a9c756a3425f6e09241" TargetMode="External"/><Relationship Id="rId524" Type="http://schemas.openxmlformats.org/officeDocument/2006/relationships/hyperlink" Target="https://cannabis.ny.gov/past-recalls" TargetMode="External"/><Relationship Id="rId402" Type="http://schemas.openxmlformats.org/officeDocument/2006/relationships/hyperlink" Target="https://recalls.cannabis.ca.gov/recalls/6830e5eedc244dc5ad4cd0fa" TargetMode="External"/><Relationship Id="rId523" Type="http://schemas.openxmlformats.org/officeDocument/2006/relationships/hyperlink" Target="https://cannabis.ny.gov/current-recalls" TargetMode="External"/><Relationship Id="rId401" Type="http://schemas.openxmlformats.org/officeDocument/2006/relationships/hyperlink" Target="https://recalls.cannabis.ca.gov/recalls/6830c47e19b3195b7d15ab3c" TargetMode="External"/><Relationship Id="rId522" Type="http://schemas.openxmlformats.org/officeDocument/2006/relationships/hyperlink" Target="https://www.rld.nm.gov/wp-content/uploads/2024/04/3.22.2024-Recall-Details.pdf" TargetMode="External"/><Relationship Id="rId408" Type="http://schemas.openxmlformats.org/officeDocument/2006/relationships/hyperlink" Target="https://recalls.cannabis.ca.gov/recalls/6859b52b6240f323aa90f91f" TargetMode="External"/><Relationship Id="rId529" Type="http://schemas.openxmlformats.org/officeDocument/2006/relationships/hyperlink" Target="https://com.ohio.gov/divisions-and-programs/cannabis-control/product-safety/UU-Product-Alert-2025-07-Standard-Farms" TargetMode="External"/><Relationship Id="rId407" Type="http://schemas.openxmlformats.org/officeDocument/2006/relationships/hyperlink" Target="https://recalls.cannabis.ca.gov/recalls/67d9957f61812ef297c873ce" TargetMode="External"/><Relationship Id="rId528" Type="http://schemas.openxmlformats.org/officeDocument/2006/relationships/hyperlink" Target="https://com.ohio.gov/divisions-and-programs/cannabis-control/product-safety/U-Product-Recall-2026-01" TargetMode="External"/><Relationship Id="rId406" Type="http://schemas.openxmlformats.org/officeDocument/2006/relationships/hyperlink" Target="https://recalls.cannabis.ca.gov/recalls/6859c1263ac16dd9b79d4d6e" TargetMode="External"/><Relationship Id="rId527" Type="http://schemas.openxmlformats.org/officeDocument/2006/relationships/hyperlink" Target="https://com.ohio.gov/divisions-and-programs/cannabis-control/product-safety/TTT-Product-Recall-2026-02" TargetMode="External"/><Relationship Id="rId405" Type="http://schemas.openxmlformats.org/officeDocument/2006/relationships/hyperlink" Target="https://recalls.cannabis.ca.gov/recalls/68508fed3f86ce0b7a6948f8" TargetMode="External"/><Relationship Id="rId526" Type="http://schemas.openxmlformats.org/officeDocument/2006/relationships/hyperlink" Target="https://com.ohio.gov/divisions-and-programs/cannabis-control/product-safety/TT-Product-Recall-2026-03" TargetMode="External"/><Relationship Id="rId26" Type="http://schemas.openxmlformats.org/officeDocument/2006/relationships/hyperlink" Target="https://www.azdhs.gov/director/public-information-office/index.php" TargetMode="External"/><Relationship Id="rId25" Type="http://schemas.openxmlformats.org/officeDocument/2006/relationships/hyperlink" Target="https://www.azdhs.gov/director/public-information-office/index.php" TargetMode="External"/><Relationship Id="rId28" Type="http://schemas.openxmlformats.org/officeDocument/2006/relationships/hyperlink" Target="https://www.azdhs.gov/policy-intergovernmental-affairs/index.php" TargetMode="External"/><Relationship Id="rId27" Type="http://schemas.openxmlformats.org/officeDocument/2006/relationships/hyperlink" Target="https://www.azdhs.gov/policy-intergovernmental-affairs/index.php" TargetMode="External"/><Relationship Id="rId400" Type="http://schemas.openxmlformats.org/officeDocument/2006/relationships/hyperlink" Target="https://recalls.cannabis.ca.gov/recalls/6830bace19b3195b7d15ab32" TargetMode="External"/><Relationship Id="rId521" Type="http://schemas.openxmlformats.org/officeDocument/2006/relationships/hyperlink" Target="https://www.rld.nm.gov/wp-content/uploads/2024/11/Recall-Notification-9.4.24.pdf" TargetMode="External"/><Relationship Id="rId29" Type="http://schemas.openxmlformats.org/officeDocument/2006/relationships/hyperlink" Target="https://www.azdhs.gov/policy-intergovernmental-affairs/index.php" TargetMode="External"/><Relationship Id="rId520" Type="http://schemas.openxmlformats.org/officeDocument/2006/relationships/hyperlink" Target="https://www.rld.nm.gov/wp-content/uploads/2024/11/24.11.RC_.MANU-2022-0060-Recall-Order-Final.pdf" TargetMode="External"/><Relationship Id="rId11" Type="http://schemas.openxmlformats.org/officeDocument/2006/relationships/hyperlink" Target="https://www.azdhs.gov/director/public-information-office/index.php" TargetMode="External"/><Relationship Id="rId10" Type="http://schemas.openxmlformats.org/officeDocument/2006/relationships/hyperlink" Target="https://www.azdhs.gov/director/public-information-office/index.php" TargetMode="External"/><Relationship Id="rId13" Type="http://schemas.openxmlformats.org/officeDocument/2006/relationships/hyperlink" Target="https://www.azdhs.gov/director/public-information-office/index.php" TargetMode="External"/><Relationship Id="rId12" Type="http://schemas.openxmlformats.org/officeDocument/2006/relationships/hyperlink" Target="https://www.azdhs.gov/director/public-information-office/index.php" TargetMode="External"/><Relationship Id="rId519" Type="http://schemas.openxmlformats.org/officeDocument/2006/relationships/hyperlink" Target="https://www.rld.nm.gov/2026/02/26/state-recalls-medical-cannabis-edible/" TargetMode="External"/><Relationship Id="rId514" Type="http://schemas.openxmlformats.org/officeDocument/2006/relationships/hyperlink" Target="https://ccb.nv.gov/wp-content/uploads/2024/07/Public-Safety-and-Health-Bulletin-2024-03.pdf" TargetMode="External"/><Relationship Id="rId513" Type="http://schemas.openxmlformats.org/officeDocument/2006/relationships/hyperlink" Target="https://ccb.nv.gov/wp-content/uploads/2024/06/Public-Safety-and-Health-Bulletin-2024-01.pdf" TargetMode="External"/><Relationship Id="rId512" Type="http://schemas.openxmlformats.org/officeDocument/2006/relationships/hyperlink" Target="https://revenuefiles.mt.gov/files/Cannabis/Cannabis-Product-Recalls/Marijuana-Product-Recall-SJ-Strategic-Enterprises.pdf" TargetMode="External"/><Relationship Id="rId511" Type="http://schemas.openxmlformats.org/officeDocument/2006/relationships/hyperlink" Target="https://revenuefiles.mt.gov/files/Cannabis/Cannabis-Product-Recalls/Broughton_aka_Starrbuds_Item_Recall.pdf" TargetMode="External"/><Relationship Id="rId518" Type="http://schemas.openxmlformats.org/officeDocument/2006/relationships/hyperlink" Target="https://ccb.nv.gov/wp-content/uploads/2025/12/Public-Health-and-Safety-Bulletin-2025-02-Amended-.pdf" TargetMode="External"/><Relationship Id="rId517" Type="http://schemas.openxmlformats.org/officeDocument/2006/relationships/hyperlink" Target="https://ccb.nv.gov/wp-content/uploads/2025/09/Public-Health-and-Safety-Bulletin-2025-01.pdf" TargetMode="External"/><Relationship Id="rId516" Type="http://schemas.openxmlformats.org/officeDocument/2006/relationships/hyperlink" Target="https://ccb.nv.gov/wp-content/uploads/2024/11/Public-Health-Safety-Bulletin-2024-04-for-release-11-05-24.pdf" TargetMode="External"/><Relationship Id="rId515" Type="http://schemas.openxmlformats.org/officeDocument/2006/relationships/hyperlink" Target="https://ccb.nv.gov/wp-content/uploads/2024/07/Public-Safety-and-Health-Bulletin-2024-03.pdf" TargetMode="External"/><Relationship Id="rId15" Type="http://schemas.openxmlformats.org/officeDocument/2006/relationships/hyperlink" Target="https://www.azdhs.gov/director/public-information-office/index.php" TargetMode="External"/><Relationship Id="rId14" Type="http://schemas.openxmlformats.org/officeDocument/2006/relationships/hyperlink" Target="https://www.azdhs.gov/director/public-information-office/index.php" TargetMode="External"/><Relationship Id="rId17" Type="http://schemas.openxmlformats.org/officeDocument/2006/relationships/hyperlink" Target="https://www.azdhs.gov/director/public-information-office/index.php" TargetMode="External"/><Relationship Id="rId16" Type="http://schemas.openxmlformats.org/officeDocument/2006/relationships/hyperlink" Target="https://www.azdhs.gov/director/public-information-office/index.php" TargetMode="External"/><Relationship Id="rId19" Type="http://schemas.openxmlformats.org/officeDocument/2006/relationships/hyperlink" Target="https://www.azdhs.gov/director/public-information-office/index.php" TargetMode="External"/><Relationship Id="rId510" Type="http://schemas.openxmlformats.org/officeDocument/2006/relationships/hyperlink" Target="https://health.mo.gov/safety/cannabis/pdf/notice-of-product-recall-070125-ada.pdf" TargetMode="External"/><Relationship Id="rId18" Type="http://schemas.openxmlformats.org/officeDocument/2006/relationships/hyperlink" Target="https://www.azdhs.gov/director/public-information-office/index.php" TargetMode="External"/><Relationship Id="rId84" Type="http://schemas.openxmlformats.org/officeDocument/2006/relationships/hyperlink" Target="https://cannabis.ca.gov/resources/cannabis-recalls-and-safety-notices/lowell-35s-10-tall-pre-roll/" TargetMode="External"/><Relationship Id="rId83" Type="http://schemas.openxmlformats.org/officeDocument/2006/relationships/hyperlink" Target="https://cannabis.ca.gov/resources/cannabis-recalls-and-safety-notices/kush-creaturz-flower/" TargetMode="External"/><Relationship Id="rId86" Type="http://schemas.openxmlformats.org/officeDocument/2006/relationships/hyperlink" Target="https://sbg.colorado.gov/sites/sbg/files/MED%20Levity%20Advisory%2002192016_1_1.pdf" TargetMode="External"/><Relationship Id="rId85" Type="http://schemas.openxmlformats.org/officeDocument/2006/relationships/hyperlink" Target="https://recalls.cannabis.ca.gov/recalls/67607f00e7333c2117ce13bd" TargetMode="External"/><Relationship Id="rId88" Type="http://schemas.openxmlformats.org/officeDocument/2006/relationships/hyperlink" Target="https://sbg.colorado.gov/sites/sbg/files/2.23.16%20XG%20Platinum%20HSA_1_1.pdf" TargetMode="External"/><Relationship Id="rId87" Type="http://schemas.openxmlformats.org/officeDocument/2006/relationships/hyperlink" Target="https://sbg.colorado.gov/sites/sbg/files/MED%20Dr.%20Releaf%20Advisory%2002192016_1_1.pdf" TargetMode="External"/><Relationship Id="rId89" Type="http://schemas.openxmlformats.org/officeDocument/2006/relationships/hyperlink" Target="https://sbg.colorado.gov/sites/sbg/files/Health%20%26%20Safety%20Advisory%20-%20RMO%202-24-16%20Final_1_1.pdf" TargetMode="External"/><Relationship Id="rId80" Type="http://schemas.openxmlformats.org/officeDocument/2006/relationships/hyperlink" Target="https://cannabis.ca.gov/resources/cannabis-recalls-and-safety-notices/kush-creaturz-flower/" TargetMode="External"/><Relationship Id="rId82" Type="http://schemas.openxmlformats.org/officeDocument/2006/relationships/hyperlink" Target="https://cannabis.ca.gov/resources/cannabis-recalls-and-safety-notices/kush-creaturz-flower/" TargetMode="External"/><Relationship Id="rId81" Type="http://schemas.openxmlformats.org/officeDocument/2006/relationships/hyperlink" Target="https://cannabis.ca.gov/resources/cannabis-recalls-and-safety-notices/kush-creaturz-flower/" TargetMode="External"/><Relationship Id="rId73" Type="http://schemas.openxmlformats.org/officeDocument/2006/relationships/hyperlink" Target="https://cannabis.ca.gov/resources/cannabis-recalls-and-safety-notices/west-coast-cure-live-resin-vape-cartridge/" TargetMode="External"/><Relationship Id="rId72" Type="http://schemas.openxmlformats.org/officeDocument/2006/relationships/hyperlink" Target="https://recalls.cannabis.ca.gov/recalls/67607a66e7333c2117ce13ab" TargetMode="External"/><Relationship Id="rId75" Type="http://schemas.openxmlformats.org/officeDocument/2006/relationships/hyperlink" Target="https://cannabis.ca.gov/resources/cannabis-recalls-and-safety-notices/backpackboyz-premium-vape/" TargetMode="External"/><Relationship Id="rId74" Type="http://schemas.openxmlformats.org/officeDocument/2006/relationships/hyperlink" Target="https://cannabis.ca.gov/resources/cannabis-recalls-and-safety-notices/west-coast-cure-curepen-vape-cartridge/" TargetMode="External"/><Relationship Id="rId77" Type="http://schemas.openxmlformats.org/officeDocument/2006/relationships/hyperlink" Target="https://recalls.cannabis.ca.gov/recalls/67608170e7333c2117ce13c5" TargetMode="External"/><Relationship Id="rId76" Type="http://schemas.openxmlformats.org/officeDocument/2006/relationships/hyperlink" Target="https://cannabis.ca.gov/resources/cannabis-recalls-and-safety-notices/circles-cannabis-oil-vaporizer/" TargetMode="External"/><Relationship Id="rId79" Type="http://schemas.openxmlformats.org/officeDocument/2006/relationships/hyperlink" Target="https://cannabis.ca.gov/resources/cannabis-recalls-and-safety-notices/kush-creaturz-flower/" TargetMode="External"/><Relationship Id="rId78" Type="http://schemas.openxmlformats.org/officeDocument/2006/relationships/hyperlink" Target="https://cannabis.ca.gov/resources/cannabis-recalls-and-safety-notices/kush-creaturz-flower/" TargetMode="External"/><Relationship Id="rId71" Type="http://schemas.openxmlformats.org/officeDocument/2006/relationships/hyperlink" Target="https://recalls.cannabis.ca.gov/recalls/67608d79141ebf4b23e92757" TargetMode="External"/><Relationship Id="rId70" Type="http://schemas.openxmlformats.org/officeDocument/2006/relationships/hyperlink" Target="https://recalls.cannabis.ca.gov/recalls/67608282141ebf4b23e92734" TargetMode="External"/><Relationship Id="rId62" Type="http://schemas.openxmlformats.org/officeDocument/2006/relationships/hyperlink" Target="https://recalls.cannabis.ca.gov/recalls/6761b362449a15805975daf9" TargetMode="External"/><Relationship Id="rId61" Type="http://schemas.openxmlformats.org/officeDocument/2006/relationships/hyperlink" Target="https://recalls.cannabis.ca.gov/recalls/6761b4b3449a15805975dafe" TargetMode="External"/><Relationship Id="rId64" Type="http://schemas.openxmlformats.org/officeDocument/2006/relationships/hyperlink" Target="https://recalls.cannabis.ca.gov/recalls/6761bc23449a15805975db04" TargetMode="External"/><Relationship Id="rId63" Type="http://schemas.openxmlformats.org/officeDocument/2006/relationships/hyperlink" Target="https://cannabis.ca.gov/resources/cannabis-recalls-and-safety-notices/8-track-pre-roll/" TargetMode="External"/><Relationship Id="rId66" Type="http://schemas.openxmlformats.org/officeDocument/2006/relationships/hyperlink" Target="https://cannabis.ca.gov/resources/cannabis-recalls-and-safety-notices/cali-kosher-flower/" TargetMode="External"/><Relationship Id="rId65" Type="http://schemas.openxmlformats.org/officeDocument/2006/relationships/hyperlink" Target="https://cannabis.ca.gov/resources/cannabis-recalls-and-safety-notices/canndescent-california-100-whole-flower-pre-rolls/" TargetMode="External"/><Relationship Id="rId68" Type="http://schemas.openxmlformats.org/officeDocument/2006/relationships/hyperlink" Target="https://recalls.cannabis.ca.gov/recalls/67607f90e7333c2117ce13c2" TargetMode="External"/><Relationship Id="rId67" Type="http://schemas.openxmlformats.org/officeDocument/2006/relationships/hyperlink" Target="https://cannabis.ca.gov/resources/cannabis-recalls-and-safety-notices/lax-packs-premium-flower/" TargetMode="External"/><Relationship Id="rId60" Type="http://schemas.openxmlformats.org/officeDocument/2006/relationships/hyperlink" Target="https://recalls.cannabis.ca.gov/recalls/6761bccb449a15805975db06" TargetMode="External"/><Relationship Id="rId69" Type="http://schemas.openxmlformats.org/officeDocument/2006/relationships/hyperlink" Target="https://recalls.cannabis.ca.gov/recalls/676075d467bff701781d9596" TargetMode="External"/><Relationship Id="rId51" Type="http://schemas.openxmlformats.org/officeDocument/2006/relationships/hyperlink" Target="https://cannabis.ca.gov/resources/cannabis-recalls-and-safety-notices/urban-therapies-distribution-llc/" TargetMode="External"/><Relationship Id="rId50" Type="http://schemas.openxmlformats.org/officeDocument/2006/relationships/hyperlink" Target="https://cannabis.ca.gov/resources/cannabis-recalls-and-safety-notices/echsen-industries/" TargetMode="External"/><Relationship Id="rId53" Type="http://schemas.openxmlformats.org/officeDocument/2006/relationships/hyperlink" Target="https://cannabis.ca.gov/resources/cannabis-recalls-and-safety-notices/roundtrip-pistachio-flower/" TargetMode="External"/><Relationship Id="rId52" Type="http://schemas.openxmlformats.org/officeDocument/2006/relationships/hyperlink" Target="https://recalls.cannabis.ca.gov/recalls/6761bc0d449a15805975db02" TargetMode="External"/><Relationship Id="rId55" Type="http://schemas.openxmlformats.org/officeDocument/2006/relationships/hyperlink" Target="https://cannabis.ca.gov/resources/cannabis-recalls-and-safety-notices/grizzly-peak-premium-indoor-flower/" TargetMode="External"/><Relationship Id="rId54" Type="http://schemas.openxmlformats.org/officeDocument/2006/relationships/hyperlink" Target="https://cannabis.ca.gov/resources/cannabis-recalls-and-safety-notices/lowell-big-buds/" TargetMode="External"/><Relationship Id="rId57" Type="http://schemas.openxmlformats.org/officeDocument/2006/relationships/hyperlink" Target="https://recalls.cannabis.ca.gov/recalls/6761aeec449a15805975dae9" TargetMode="External"/><Relationship Id="rId56" Type="http://schemas.openxmlformats.org/officeDocument/2006/relationships/hyperlink" Target="https://cannabis.ca.gov/resources/cannabis-recalls-and-safety-notices/panda-pen/" TargetMode="External"/><Relationship Id="rId59" Type="http://schemas.openxmlformats.org/officeDocument/2006/relationships/hyperlink" Target="https://recalls.cannabis.ca.gov/recalls/6761abdbd62cebee0c5c993d" TargetMode="External"/><Relationship Id="rId58" Type="http://schemas.openxmlformats.org/officeDocument/2006/relationships/hyperlink" Target="https://recalls.cannabis.ca.gov/recalls/6761acd7d62cebee0c5c9943" TargetMode="External"/><Relationship Id="rId107" Type="http://schemas.openxmlformats.org/officeDocument/2006/relationships/hyperlink" Target="https://sbg.colorado.gov/sites/sbg/files/Kazimer%20HSA%20%2004162016_1_1.pdf" TargetMode="External"/><Relationship Id="rId228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49" Type="http://schemas.openxmlformats.org/officeDocument/2006/relationships/hyperlink" Target="https://recalls.cannabis.ca.gov/recalls/676352eb82281c7c02888fb4" TargetMode="External"/><Relationship Id="rId106" Type="http://schemas.openxmlformats.org/officeDocument/2006/relationships/hyperlink" Target="https://sbg.colorado.gov/sites/sbg/files/Medicine%20Man%20HSA%2004222016_1.pdf" TargetMode="External"/><Relationship Id="rId227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48" Type="http://schemas.openxmlformats.org/officeDocument/2006/relationships/hyperlink" Target="https://recalls.cannabis.ca.gov/recalls/6761c1de449a15805975db10" TargetMode="External"/><Relationship Id="rId469" Type="http://schemas.openxmlformats.org/officeDocument/2006/relationships/hyperlink" Target="https://docs.google.com/spreadsheets/d/10YkN4Rqg58UGLMEH5R_pS1_9uNAoTdNG2UDLxc21FXs/edit?gid=0" TargetMode="External"/><Relationship Id="rId105" Type="http://schemas.openxmlformats.org/officeDocument/2006/relationships/hyperlink" Target="https://sbg.colorado.gov/sites/sbg/files/Grow%20Life%20HSA%2004212016_1_1.pdf" TargetMode="External"/><Relationship Id="rId226" Type="http://schemas.openxmlformats.org/officeDocument/2006/relationships/hyperlink" Target="https://www.syracuse.com/marijuana/2022/10/curaleaf-recalls-over-marijuana-labeling-piling-up-in-new-york.html" TargetMode="External"/><Relationship Id="rId347" Type="http://schemas.openxmlformats.org/officeDocument/2006/relationships/hyperlink" Target="https://recalls.cannabis.ca.gov/recalls/6761fe8594a546fcd1a88447" TargetMode="External"/><Relationship Id="rId468" Type="http://schemas.openxmlformats.org/officeDocument/2006/relationships/hyperlink" Target="https://drive.google.com/file/d/1UAGSwwkSjaNBMT4_55iNo-xjhiBuTt4H/view" TargetMode="External"/><Relationship Id="rId104" Type="http://schemas.openxmlformats.org/officeDocument/2006/relationships/hyperlink" Target="https://sbg.colorado.gov/sites/sbg/files/J%20and%20J%2004072016_1_1.pdf" TargetMode="External"/><Relationship Id="rId225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346" Type="http://schemas.openxmlformats.org/officeDocument/2006/relationships/hyperlink" Target="https://recalls.cannabis.ca.gov/recalls/6761f90394a546fcd1a8843a" TargetMode="External"/><Relationship Id="rId467" Type="http://schemas.openxmlformats.org/officeDocument/2006/relationships/hyperlink" Target="https://drive.google.com/file/d/1wxGzfS5E5CvpSdIl0p3_wpaUGOVlg7-O/view" TargetMode="External"/><Relationship Id="rId109" Type="http://schemas.openxmlformats.org/officeDocument/2006/relationships/hyperlink" Target="https://sbg.colorado.gov/sites/sbg/files/Biomeds%20HSA%2005232016_1_1.pdf" TargetMode="External"/><Relationship Id="rId108" Type="http://schemas.openxmlformats.org/officeDocument/2006/relationships/hyperlink" Target="https://sbg.colorado.gov/sites/sbg/files/Best%20Budz%20HSA%2005232016_1_1.pdf" TargetMode="External"/><Relationship Id="rId229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220" Type="http://schemas.openxmlformats.org/officeDocument/2006/relationships/hyperlink" Target="https://ccb.nv.gov/wp-content/uploads/2024/07/Public-Safety-and-Health-Bulletin-2024-03.pdf" TargetMode="External"/><Relationship Id="rId341" Type="http://schemas.openxmlformats.org/officeDocument/2006/relationships/hyperlink" Target="https://recalls.cannabis.ca.gov/recalls/675cd52bdb9d2f38e6a8bfd2" TargetMode="External"/><Relationship Id="rId462" Type="http://schemas.openxmlformats.org/officeDocument/2006/relationships/hyperlink" Target="https://drive.google.com/file/d/1PXcEnUUvJ0FhKHSGMPAdqc7xq6oSlZPJ/view" TargetMode="External"/><Relationship Id="rId340" Type="http://schemas.openxmlformats.org/officeDocument/2006/relationships/hyperlink" Target="https://recalls.cannabis.ca.gov/recalls/675cd92adb9d2f38e6a8bfd9" TargetMode="External"/><Relationship Id="rId461" Type="http://schemas.openxmlformats.org/officeDocument/2006/relationships/hyperlink" Target="https://drive.google.com/file/d/1CiIaN9i_LaRfkPphezsddl7jz6QYva7p/view" TargetMode="External"/><Relationship Id="rId460" Type="http://schemas.openxmlformats.org/officeDocument/2006/relationships/hyperlink" Target="https://drive.google.com/file/d/1uTORm-zZZvUK2YC_Tbh59h_0rcQZPjjT/view" TargetMode="External"/><Relationship Id="rId103" Type="http://schemas.openxmlformats.org/officeDocument/2006/relationships/hyperlink" Target="https://sbg.colorado.gov/sites/sbg/files/Flower%20Power%20HSA%2004072016_1_1.pdf" TargetMode="External"/><Relationship Id="rId224" Type="http://schemas.openxmlformats.org/officeDocument/2006/relationships/hyperlink" Target="https://www.rld.nm.gov/2024/03/22/consumer-health-and-safety-advisory-cannabis-control-division-recalls-cannabis-concentrates-sold-at-got-greens/" TargetMode="External"/><Relationship Id="rId345" Type="http://schemas.openxmlformats.org/officeDocument/2006/relationships/hyperlink" Target="https://recalls.cannabis.ca.gov/recalls/675ca701d777de57d7f3a540" TargetMode="External"/><Relationship Id="rId466" Type="http://schemas.openxmlformats.org/officeDocument/2006/relationships/hyperlink" Target="https://docs.google.com/spreadsheets/d/10YkN4Rqg58UGLMEH5R_pS1_9uNAoTdNG2UDLxc21FXs/edit?gid=0" TargetMode="External"/><Relationship Id="rId102" Type="http://schemas.openxmlformats.org/officeDocument/2006/relationships/hyperlink" Target="https://sbg.colorado.gov/sites/sbg/files/ACME%20Healing%20Center%20of%20Ridgway%20LLC%2004052016_1_1.pdf" TargetMode="External"/><Relationship Id="rId223" Type="http://schemas.openxmlformats.org/officeDocument/2006/relationships/hyperlink" Target="https://web.archive.org/web/20220617160150/https://ccd.rld.state.nm.us/wp-content/uploads/2022/03/Sacred-Garden.pdf" TargetMode="External"/><Relationship Id="rId344" Type="http://schemas.openxmlformats.org/officeDocument/2006/relationships/hyperlink" Target="https://recalls.cannabis.ca.gov/recalls/6761ac09d62cebee0c5c993f" TargetMode="External"/><Relationship Id="rId465" Type="http://schemas.openxmlformats.org/officeDocument/2006/relationships/hyperlink" Target="https://drive.google.com/file/d/1d9dxbbcp38qhitq_nnBXNGXx8tihY-eu/view" TargetMode="External"/><Relationship Id="rId101" Type="http://schemas.openxmlformats.org/officeDocument/2006/relationships/hyperlink" Target="https://sbg.colorado.gov/sites/sbg/files/Wanna%20LLC%2004012016_1_1.pdf" TargetMode="External"/><Relationship Id="rId222" Type="http://schemas.openxmlformats.org/officeDocument/2006/relationships/hyperlink" Target="https://nj.gov//cannabis/documents/Advisories/Recalls/Consumer%20Advisory%20Notice_Green%20Medicine.pdf" TargetMode="External"/><Relationship Id="rId343" Type="http://schemas.openxmlformats.org/officeDocument/2006/relationships/hyperlink" Target="https://recalls.cannabis.ca.gov/recalls/675cd698db9d2f38e6a8bfd4" TargetMode="External"/><Relationship Id="rId464" Type="http://schemas.openxmlformats.org/officeDocument/2006/relationships/hyperlink" Target="https://drive.google.com/file/d/1BHySC8XCeVLWUZPjUgiyYtlaRfJC5Pin/view" TargetMode="External"/><Relationship Id="rId100" Type="http://schemas.openxmlformats.org/officeDocument/2006/relationships/hyperlink" Target="https://sbg.colorado.gov/sites/sbg/files/Health%20Depot%20LLC%2004012016_1_1.pdf" TargetMode="External"/><Relationship Id="rId221" Type="http://schemas.openxmlformats.org/officeDocument/2006/relationships/hyperlink" Target="https://headynj.com/recall-of-moldy-curaleaf-cannabis-sold-by-curaleaf-gti-rise-issued/" TargetMode="External"/><Relationship Id="rId342" Type="http://schemas.openxmlformats.org/officeDocument/2006/relationships/hyperlink" Target="https://recalls.cannabis.ca.gov/recalls/675cd7eadb9d2f38e6a8bfd7" TargetMode="External"/><Relationship Id="rId463" Type="http://schemas.openxmlformats.org/officeDocument/2006/relationships/hyperlink" Target="https://drive.google.com/file/d/1Fv-ODcgUshxPwdKn31ODct8y0ZZ4n_gN/view" TargetMode="External"/><Relationship Id="rId217" Type="http://schemas.openxmlformats.org/officeDocument/2006/relationships/hyperlink" Target="https://ccb.nv.gov/wp-content/uploads/2024/06/Public-Safety-and-Health-Bulletin-2024-01.pdf" TargetMode="External"/><Relationship Id="rId338" Type="http://schemas.openxmlformats.org/officeDocument/2006/relationships/hyperlink" Target="https://recalls.cannabis.ca.gov/recalls/676052bb754559745e2d2bf5" TargetMode="External"/><Relationship Id="rId459" Type="http://schemas.openxmlformats.org/officeDocument/2006/relationships/hyperlink" Target="https://drive.google.com/file/d/1S-DzTLFKhdxm9scoC-EgZSoyHluy3oCm/view" TargetMode="External"/><Relationship Id="rId216" Type="http://schemas.openxmlformats.org/officeDocument/2006/relationships/hyperlink" Target="https://ccb.nv.gov/wp-content/uploads/2024/06/Public-Safety-and-Health-Bulletin-2024-01.pdf" TargetMode="External"/><Relationship Id="rId337" Type="http://schemas.openxmlformats.org/officeDocument/2006/relationships/hyperlink" Target="https://recalls.cannabis.ca.gov/recalls/6761f01694a546fcd1a88422" TargetMode="External"/><Relationship Id="rId458" Type="http://schemas.openxmlformats.org/officeDocument/2006/relationships/hyperlink" Target="https://drive.google.com/file/d/1XjvXw1cBy9RUUsRO95g9YQVBYN2aPKP4/view" TargetMode="External"/><Relationship Id="rId215" Type="http://schemas.openxmlformats.org/officeDocument/2006/relationships/hyperlink" Target="https://ccb.nv.gov/wp-content/uploads/2023/06/CCB-Public-Health-and-Safety-Bulletin-2023-03-6-23-23for-release-1.pdf" TargetMode="External"/><Relationship Id="rId336" Type="http://schemas.openxmlformats.org/officeDocument/2006/relationships/hyperlink" Target="https://recalls.cannabis.ca.gov/recalls/67605ca02dec600a5fdab80d" TargetMode="External"/><Relationship Id="rId457" Type="http://schemas.openxmlformats.org/officeDocument/2006/relationships/hyperlink" Target="https://drive.google.com/file/d/1iAnXF7p_mCzCHRMVsxGmuYuGdA7lrBwR/view" TargetMode="External"/><Relationship Id="rId214" Type="http://schemas.openxmlformats.org/officeDocument/2006/relationships/hyperlink" Target="https://ccb.nv.gov/wp-content/uploads/2023/04/Public-Health-and-Safety-Bulletin-2023-02.pdf" TargetMode="External"/><Relationship Id="rId335" Type="http://schemas.openxmlformats.org/officeDocument/2006/relationships/hyperlink" Target="https://recalls.cannabis.ca.gov/recalls/6761ec9694a546fcd1a88412" TargetMode="External"/><Relationship Id="rId456" Type="http://schemas.openxmlformats.org/officeDocument/2006/relationships/hyperlink" Target="https://drive.google.com/file/d/1-8eWEfr3zRc4GI3VXz5GTGJHl-Am0P1W/view" TargetMode="External"/><Relationship Id="rId219" Type="http://schemas.openxmlformats.org/officeDocument/2006/relationships/hyperlink" Target="https://ccb.nv.gov/wp-content/uploads/2024/07/Public-Safety-and-Health-Bulletin-2024-02.pdf" TargetMode="External"/><Relationship Id="rId218" Type="http://schemas.openxmlformats.org/officeDocument/2006/relationships/hyperlink" Target="https://ccb.nv.gov/wp-content/uploads/2024/06/Public-Safety-and-Health-Bulletin-2024-01.pdf" TargetMode="External"/><Relationship Id="rId339" Type="http://schemas.openxmlformats.org/officeDocument/2006/relationships/hyperlink" Target="https://recalls.cannabis.ca.gov/recalls/675cda3e89feb03b44eca7ca" TargetMode="External"/><Relationship Id="rId330" Type="http://schemas.openxmlformats.org/officeDocument/2006/relationships/hyperlink" Target="https://recalls.cannabis.ca.gov/recalls/676062d92dec600a5fdab858" TargetMode="External"/><Relationship Id="rId451" Type="http://schemas.openxmlformats.org/officeDocument/2006/relationships/hyperlink" Target="https://drive.google.com/file/d/19WkOCu8hxtPrD_NbEIiARDM6r6TAv91B/view" TargetMode="External"/><Relationship Id="rId450" Type="http://schemas.openxmlformats.org/officeDocument/2006/relationships/hyperlink" Target="https://med.colorado.gov/sites/med/files/documents/240830_SLOW_BURN_FARM_%20LLC_2024-0127_HSA_MEMO.pdf" TargetMode="External"/><Relationship Id="rId213" Type="http://schemas.openxmlformats.org/officeDocument/2006/relationships/hyperlink" Target="https://ccb.nv.gov/wp-content/uploads/2023/02/Public-Health-and-Safety-Bulletin-2023-01-Updated-02-09-23.pdf" TargetMode="External"/><Relationship Id="rId334" Type="http://schemas.openxmlformats.org/officeDocument/2006/relationships/hyperlink" Target="https://recalls.cannabis.ca.gov/recalls/6761e5bc66acba23980354d6" TargetMode="External"/><Relationship Id="rId455" Type="http://schemas.openxmlformats.org/officeDocument/2006/relationships/hyperlink" Target="https://docs.google.com/spreadsheets/d/10YkN4Rqg58UGLMEH5R_pS1_9uNAoTdNG2UDLxc21FXs/edit?gid=0" TargetMode="External"/><Relationship Id="rId212" Type="http://schemas.openxmlformats.org/officeDocument/2006/relationships/hyperlink" Target="https://ccbnvdev.wpengine.com/wp-content/uploads/2022/03/Public-Health-and-Safety-Bulletin-2022-02-for-release.pdf" TargetMode="External"/><Relationship Id="rId333" Type="http://schemas.openxmlformats.org/officeDocument/2006/relationships/hyperlink" Target="https://recalls.cannabis.ca.gov/recalls/676321559f9bcc32fed462a9" TargetMode="External"/><Relationship Id="rId454" Type="http://schemas.openxmlformats.org/officeDocument/2006/relationships/hyperlink" Target="https://drive.google.com/file/d/1idBqkIEOYMygYTyIrTMjdJZgRSjlyX_O/view" TargetMode="External"/><Relationship Id="rId211" Type="http://schemas.openxmlformats.org/officeDocument/2006/relationships/hyperlink" Target="https://ccbnvdev.wpengine.com/wp-content/uploads/2022/03/Public-Health-and-Safety-Bulletin-2022-01-for-release.pdf" TargetMode="External"/><Relationship Id="rId332" Type="http://schemas.openxmlformats.org/officeDocument/2006/relationships/hyperlink" Target="https://recalls.cannabis.ca.gov/recalls/67607231348fc6641c27094a" TargetMode="External"/><Relationship Id="rId453" Type="http://schemas.openxmlformats.org/officeDocument/2006/relationships/hyperlink" Target="https://drive.google.com/file/d/1_wFzm3GOJfzE6tmSqIhIcyvtI8ocZJDf/view" TargetMode="External"/><Relationship Id="rId210" Type="http://schemas.openxmlformats.org/officeDocument/2006/relationships/hyperlink" Target="https://ccbnvdev.wpengine.com/wp-content/uploads/2021/11/Public-Health-and-Safety-Bulletin-2021-2-for-release.pdf" TargetMode="External"/><Relationship Id="rId331" Type="http://schemas.openxmlformats.org/officeDocument/2006/relationships/hyperlink" Target="https://recalls.cannabis.ca.gov/recalls/67606ff62dec600a5fdab8c0" TargetMode="External"/><Relationship Id="rId452" Type="http://schemas.openxmlformats.org/officeDocument/2006/relationships/hyperlink" Target="https://drive.google.com/file/d/1Ouz0dMZyAoBPFFfo9cKvW7RWSfsX92Ea/view" TargetMode="External"/><Relationship Id="rId370" Type="http://schemas.openxmlformats.org/officeDocument/2006/relationships/hyperlink" Target="https://recalls.cannabis.ca.gov/recalls/67cb5f3e9b4d75e795d8ead7" TargetMode="External"/><Relationship Id="rId491" Type="http://schemas.openxmlformats.org/officeDocument/2006/relationships/hyperlink" Target="https://cannabis.maryland.gov/Documents/2025_PDF_Files/Bulletins/Recall%20Notification.pdf" TargetMode="External"/><Relationship Id="rId490" Type="http://schemas.openxmlformats.org/officeDocument/2006/relationships/hyperlink" Target="https://www.maine.gov/dafs/ocp/recalls/marijuanaville-1-2026" TargetMode="External"/><Relationship Id="rId129" Type="http://schemas.openxmlformats.org/officeDocument/2006/relationships/hyperlink" Target="https://sbg.colorado.gov/sites/sbg/files/documents/190816%20Public%20Health%20and%20Safety%20Advisory-%20Herbal%20Wellness%2C%20LLC.pdf" TargetMode="External"/><Relationship Id="rId128" Type="http://schemas.openxmlformats.org/officeDocument/2006/relationships/hyperlink" Target="https://sbg.colorado.gov/sites/sbg/files/HSA%20Mile%20High%20Medical%2004112019.pdf" TargetMode="External"/><Relationship Id="rId249" Type="http://schemas.openxmlformats.org/officeDocument/2006/relationships/hyperlink" Target="https://www.oregon.gov/olcc/Docs/Bubbly-Recall.pdf" TargetMode="External"/><Relationship Id="rId127" Type="http://schemas.openxmlformats.org/officeDocument/2006/relationships/hyperlink" Target="https://sbg.colorado.gov/sites/sbg/files/Crossroads%20Wellness%20HSA%20Final.pdf" TargetMode="External"/><Relationship Id="rId248" Type="http://schemas.openxmlformats.org/officeDocument/2006/relationships/hyperlink" Target="https://www.oregon.gov/olcc/Docs/news/news_releases/2022/nr081822-Cannabis-Product-Advisory-Dark-Horse.pdf" TargetMode="External"/><Relationship Id="rId369" Type="http://schemas.openxmlformats.org/officeDocument/2006/relationships/hyperlink" Target="https://recalls.cannabis.ca.gov/recalls/67cf2bf64e313b143eeeefaf" TargetMode="External"/><Relationship Id="rId126" Type="http://schemas.openxmlformats.org/officeDocument/2006/relationships/hyperlink" Target="https://sbg.colorado.gov/sites/sbg/files/181121%20HSA%20CWC.pdf" TargetMode="External"/><Relationship Id="rId247" Type="http://schemas.openxmlformats.org/officeDocument/2006/relationships/hyperlink" Target="https://www.oregon.gov/olcc/Docs/news/news_releases/2021/nr092421-Cannabis-Product-Recall-Expanded-Cura-Select-THC.pdf" TargetMode="External"/><Relationship Id="rId368" Type="http://schemas.openxmlformats.org/officeDocument/2006/relationships/hyperlink" Target="https://recalls.cannabis.ca.gov/recalls/67cb5ddc9b4d75e795d8ead5" TargetMode="External"/><Relationship Id="rId489" Type="http://schemas.openxmlformats.org/officeDocument/2006/relationships/hyperlink" Target="https://www.maine.gov/dafs/ocp/recalls/norco-12-2025" TargetMode="External"/><Relationship Id="rId121" Type="http://schemas.openxmlformats.org/officeDocument/2006/relationships/hyperlink" Target="https://drive.google.com/file/d/1ujY1WAdeo6T8TUTehRd0N3O8ayw5eAsD/view?usp=sharing" TargetMode="External"/><Relationship Id="rId242" Type="http://schemas.openxmlformats.org/officeDocument/2006/relationships/hyperlink" Target="https://web.archive.org/web/20170326224431/https://www.oregon.gov/olcc/Docs/news/news_releases/2017/nr_03_18_17_Emerald_Wave_recall.pdf" TargetMode="External"/><Relationship Id="rId363" Type="http://schemas.openxmlformats.org/officeDocument/2006/relationships/hyperlink" Target="https://recalls.cannabis.ca.gov/recalls/67c63ac9abf1dacdb9277769" TargetMode="External"/><Relationship Id="rId484" Type="http://schemas.openxmlformats.org/officeDocument/2006/relationships/hyperlink" Target="https://www.maine.gov/dafs/ocp/recalls/nova-farms-10-2024" TargetMode="External"/><Relationship Id="rId120" Type="http://schemas.openxmlformats.org/officeDocument/2006/relationships/hyperlink" Target="https://sbg.colorado.gov/sites/sbg/files/documents/Metro%20Denver%20Telluride%20HSA%2007202017.pdf" TargetMode="External"/><Relationship Id="rId241" Type="http://schemas.openxmlformats.org/officeDocument/2006/relationships/hyperlink" Target="https://oklahoma.gov/omma/embargoed-and-recalled-products/product-recall-june-10-2024.html" TargetMode="External"/><Relationship Id="rId362" Type="http://schemas.openxmlformats.org/officeDocument/2006/relationships/hyperlink" Target="https://recalls.cannabis.ca.gov/recalls/67c7586fb3647b7230d6851d" TargetMode="External"/><Relationship Id="rId483" Type="http://schemas.openxmlformats.org/officeDocument/2006/relationships/hyperlink" Target="https://www.maine.gov/dafs/ocp/recalls/cannabis-cured-9-2024" TargetMode="External"/><Relationship Id="rId240" Type="http://schemas.openxmlformats.org/officeDocument/2006/relationships/hyperlink" Target="https://oklahoma.gov/omma/embargoed-and-recalled-products/product-recall-nov-3-2023.html" TargetMode="External"/><Relationship Id="rId361" Type="http://schemas.openxmlformats.org/officeDocument/2006/relationships/hyperlink" Target="https://recalls.cannabis.ca.gov/recalls/67c0a8966a1df8e2aab2a805" TargetMode="External"/><Relationship Id="rId482" Type="http://schemas.openxmlformats.org/officeDocument/2006/relationships/hyperlink" Target="https://www.reddit.com/r/Connecticut/comments/1qemph5/recall_on_brix_cannabis/" TargetMode="External"/><Relationship Id="rId360" Type="http://schemas.openxmlformats.org/officeDocument/2006/relationships/hyperlink" Target="https://recalls.cannabis.ca.gov/recalls/67b7be7906f27bfc532c0345" TargetMode="External"/><Relationship Id="rId481" Type="http://schemas.openxmlformats.org/officeDocument/2006/relationships/hyperlink" Target="https://www.ctinsider.com/cannabis/article/curaleaf-medical-cannabis-product-recall-ct-20322956.php" TargetMode="External"/><Relationship Id="rId125" Type="http://schemas.openxmlformats.org/officeDocument/2006/relationships/hyperlink" Target="https://sbg.colorado.gov/sites/sbg/files/01242018%20Bronner%20Corp%20HSA.pdf" TargetMode="External"/><Relationship Id="rId246" Type="http://schemas.openxmlformats.org/officeDocument/2006/relationships/hyperlink" Target="https://www.oregon.gov/olcc/Docs/news/news_releases/2021/nr092121-Cannabis-Product-Recall-Cura-Select-CBD.pdf" TargetMode="External"/><Relationship Id="rId367" Type="http://schemas.openxmlformats.org/officeDocument/2006/relationships/hyperlink" Target="https://recalls.cannabis.ca.gov/recalls/67cb5ccd9b4d75e795d8ead3" TargetMode="External"/><Relationship Id="rId488" Type="http://schemas.openxmlformats.org/officeDocument/2006/relationships/hyperlink" Target="https://www.maine.gov/dafs/ocp/recalls/nova-farms-10-2024" TargetMode="External"/><Relationship Id="rId124" Type="http://schemas.openxmlformats.org/officeDocument/2006/relationships/hyperlink" Target="https://sbg.colorado.gov/sites/sbg/files/HSA%20Pikes%20Peak%20Cannabis%20Caregivers%20for%20Life%20402-00123%20and%20403-01328_1.pdf" TargetMode="External"/><Relationship Id="rId245" Type="http://schemas.openxmlformats.org/officeDocument/2006/relationships/hyperlink" Target="https://www.oregon.gov/olcc/Docs/news/news_releases/2021/nr052121_MJ_PR_Recall_Naked_Extracts.pdf" TargetMode="External"/><Relationship Id="rId366" Type="http://schemas.openxmlformats.org/officeDocument/2006/relationships/hyperlink" Target="https://recalls.cannabis.ca.gov/recalls/67ca292d29119e4c62d9f0bd" TargetMode="External"/><Relationship Id="rId487" Type="http://schemas.openxmlformats.org/officeDocument/2006/relationships/hyperlink" Target="https://www.maine.gov/dafs/ocp/recalls/norco-10-2025" TargetMode="External"/><Relationship Id="rId123" Type="http://schemas.openxmlformats.org/officeDocument/2006/relationships/hyperlink" Target="https://sbg.colorado.gov/sites/sbg/files/HSA%20Citi-Med%2011172017_2.pdf" TargetMode="External"/><Relationship Id="rId244" Type="http://schemas.openxmlformats.org/officeDocument/2006/relationships/hyperlink" Target="https://www.oregon.gov/olcc/Docs/news/news_releases/2021/nr_010621_MJ_PR_Medical_Marijuana_Recall.pdf" TargetMode="External"/><Relationship Id="rId365" Type="http://schemas.openxmlformats.org/officeDocument/2006/relationships/hyperlink" Target="https://recalls.cannabis.ca.gov/recalls/67ca15a2d3e118305ac6204e" TargetMode="External"/><Relationship Id="rId486" Type="http://schemas.openxmlformats.org/officeDocument/2006/relationships/hyperlink" Target="https://www.maine.gov/dafs/ocp/recalls/norco-10-2025" TargetMode="External"/><Relationship Id="rId122" Type="http://schemas.openxmlformats.org/officeDocument/2006/relationships/hyperlink" Target="https://sbg.colorado.gov/sites/sbg/files/HSATree%20of%20Wellness%2011032017_2.pdf" TargetMode="External"/><Relationship Id="rId243" Type="http://schemas.openxmlformats.org/officeDocument/2006/relationships/hyperlink" Target="https://www.oregon.gov/olcc/Docs/news/news_releases/2020/nr_121120_Cannabis_Product_Recall.pdf" TargetMode="External"/><Relationship Id="rId364" Type="http://schemas.openxmlformats.org/officeDocument/2006/relationships/hyperlink" Target="https://recalls.cannabis.ca.gov/recalls/67c8a860cb103f654b157bf9" TargetMode="External"/><Relationship Id="rId485" Type="http://schemas.openxmlformats.org/officeDocument/2006/relationships/hyperlink" Target="https://www.maine.gov/dafs/ocp/recalls/leb-city-11-2024" TargetMode="External"/><Relationship Id="rId95" Type="http://schemas.openxmlformats.org/officeDocument/2006/relationships/hyperlink" Target="https://sbg.colorado.gov/sites/sbg/files/AMA%20Final%2003142016_1_1.pdf" TargetMode="External"/><Relationship Id="rId94" Type="http://schemas.openxmlformats.org/officeDocument/2006/relationships/hyperlink" Target="https://sbg.colorado.gov/sites/sbg/files/SkinnyPineapple%20Final%2003102016_1_1.pdf" TargetMode="External"/><Relationship Id="rId97" Type="http://schemas.openxmlformats.org/officeDocument/2006/relationships/hyperlink" Target="https://sbg.colorado.gov/sites/sbg/files/MGI%20HSA%2003172016_1_1.pdf" TargetMode="External"/><Relationship Id="rId96" Type="http://schemas.openxmlformats.org/officeDocument/2006/relationships/hyperlink" Target="https://sbg.colorado.gov/sites/sbg/files/RR%20Services%20Final%2003142016_1_1.pdf" TargetMode="External"/><Relationship Id="rId99" Type="http://schemas.openxmlformats.org/officeDocument/2006/relationships/hyperlink" Target="https://sbg.colorado.gov/sites/sbg/files/Firehouse%20central%20final%2003232016%20%281%29_1.pdf" TargetMode="External"/><Relationship Id="rId480" Type="http://schemas.openxmlformats.org/officeDocument/2006/relationships/hyperlink" Target="https://drive.google.com/file/d/1s5YrlVCaIsEywcYMU-ughAiXbQnLFe0V/view" TargetMode="External"/><Relationship Id="rId98" Type="http://schemas.openxmlformats.org/officeDocument/2006/relationships/hyperlink" Target="https://sbg.colorado.gov/sites/sbg/files/Colorados%20Best%2003212016_1.pdf" TargetMode="External"/><Relationship Id="rId91" Type="http://schemas.openxmlformats.org/officeDocument/2006/relationships/hyperlink" Target="https://sbg.colorado.gov/sites/sbg/files/160307%20Advisory%20-%20Sunrise%20Solutions_Final%20%281%29_2_1.pdf" TargetMode="External"/><Relationship Id="rId90" Type="http://schemas.openxmlformats.org/officeDocument/2006/relationships/hyperlink" Target="https://sbg.colorado.gov/sites/sbg/files/2.25.16%20BTTG%20final_1_1.pdf" TargetMode="External"/><Relationship Id="rId93" Type="http://schemas.openxmlformats.org/officeDocument/2006/relationships/hyperlink" Target="https://sbg.colorado.gov/sites/sbg/files/Headquarters%20Emp%20HSA%20final%2003102016_1_1.pdf" TargetMode="External"/><Relationship Id="rId92" Type="http://schemas.openxmlformats.org/officeDocument/2006/relationships/hyperlink" Target="https://sbg.colorado.gov/sites/sbg/files/CNW%20Final%2003092016_1.pdf" TargetMode="External"/><Relationship Id="rId118" Type="http://schemas.openxmlformats.org/officeDocument/2006/relationships/hyperlink" Target="https://sbg.colorado.gov/sites/sbg/files/Rocky%20Mtn%20Ways%20HSA%2004262017_1_1.pdf" TargetMode="External"/><Relationship Id="rId239" Type="http://schemas.openxmlformats.org/officeDocument/2006/relationships/hyperlink" Target="https://oklahoma.gov/content/dam/ok/en/omma/docs/2022/2022.09.16_Emergency%20Order%20of%20Embargo%20and%20Recall.pdf" TargetMode="External"/><Relationship Id="rId117" Type="http://schemas.openxmlformats.org/officeDocument/2006/relationships/hyperlink" Target="https://sbg.colorado.gov/sites/sbg/files/Herbal%20Options%20HSA%2004262017_1_1.pdf" TargetMode="External"/><Relationship Id="rId238" Type="http://schemas.openxmlformats.org/officeDocument/2006/relationships/hyperlink" Target="https://oklahoma.gov/content/dam/ok/en/omma/docs/2022/2022.05.19_Recall%20Product%20List.pdf" TargetMode="External"/><Relationship Id="rId359" Type="http://schemas.openxmlformats.org/officeDocument/2006/relationships/hyperlink" Target="https://recalls.cannabis.ca.gov/recalls/67b8d224dcf312eab06ec3c9" TargetMode="External"/><Relationship Id="rId116" Type="http://schemas.openxmlformats.org/officeDocument/2006/relationships/hyperlink" Target="https://drive.google.com/file/d/1VfVYuvXn63TWF1ZzeDR83DcrX1qkO9Yt/view?usp=sharing" TargetMode="External"/><Relationship Id="rId237" Type="http://schemas.openxmlformats.org/officeDocument/2006/relationships/hyperlink" Target="https://www.wfmj.com/story/50287035/ohio-medical-marijuana-control-program-recalls-edible-medical-marijuana-products" TargetMode="External"/><Relationship Id="rId358" Type="http://schemas.openxmlformats.org/officeDocument/2006/relationships/hyperlink" Target="https://recalls.cannabis.ca.gov/recalls/67b8bf5feee6bdf8bdc4f05d" TargetMode="External"/><Relationship Id="rId479" Type="http://schemas.openxmlformats.org/officeDocument/2006/relationships/hyperlink" Target="https://drive.google.com/file/d/1eNsw8cITFVIFlTvpF1KXNHiFP1jWxaJB/view" TargetMode="External"/><Relationship Id="rId115" Type="http://schemas.openxmlformats.org/officeDocument/2006/relationships/hyperlink" Target="https://sbg.colorado.gov/sites/sbg/files/HSA%20Wash%20Park%20Boutique%20HSA%2009232016_1.pdf" TargetMode="External"/><Relationship Id="rId236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57" Type="http://schemas.openxmlformats.org/officeDocument/2006/relationships/hyperlink" Target="https://recalls.cannabis.ca.gov/recalls/67b65de006adb198f38bbd2a" TargetMode="External"/><Relationship Id="rId478" Type="http://schemas.openxmlformats.org/officeDocument/2006/relationships/hyperlink" Target="https://drive.google.com/file/d/1WFrJsUtGrK0J9CibBjMAwK4i_kXtlpvK/view" TargetMode="External"/><Relationship Id="rId119" Type="http://schemas.openxmlformats.org/officeDocument/2006/relationships/hyperlink" Target="https://sbg.colorado.gov/sites/sbg/files/documents/7.19%20Kirke.pdf" TargetMode="External"/><Relationship Id="rId110" Type="http://schemas.openxmlformats.org/officeDocument/2006/relationships/hyperlink" Target="https://sbg.colorado.gov/sites/sbg/files/9.7.16%20AMOCH%20HSA_1.pdf" TargetMode="External"/><Relationship Id="rId231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52" Type="http://schemas.openxmlformats.org/officeDocument/2006/relationships/hyperlink" Target="https://recalls.cannabis.ca.gov/recalls/678a9dcd3820f840e8dab8d9" TargetMode="External"/><Relationship Id="rId473" Type="http://schemas.openxmlformats.org/officeDocument/2006/relationships/hyperlink" Target="https://drive.google.com/file/d/1GKnyLFccnLupVkDLLZwADODi7o8x40Cd/view" TargetMode="External"/><Relationship Id="rId230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51" Type="http://schemas.openxmlformats.org/officeDocument/2006/relationships/hyperlink" Target="https://recalls.cannabis.ca.gov/recalls/677c1ce27b818645f37d81b5" TargetMode="External"/><Relationship Id="rId472" Type="http://schemas.openxmlformats.org/officeDocument/2006/relationships/hyperlink" Target="https://drive.google.com/file/d/1hVBxJXY-_7ZXrCz3yI0J7CENF9eas4Dy/view" TargetMode="External"/><Relationship Id="rId350" Type="http://schemas.openxmlformats.org/officeDocument/2006/relationships/hyperlink" Target="https://recalls.cannabis.ca.gov/recalls/67743be120de76de169418b0" TargetMode="External"/><Relationship Id="rId471" Type="http://schemas.openxmlformats.org/officeDocument/2006/relationships/hyperlink" Target="https://drive.google.com/file/d/19q__x77AyU7ZTTrhGXGGMJNjWyJ9R5Sj/view" TargetMode="External"/><Relationship Id="rId470" Type="http://schemas.openxmlformats.org/officeDocument/2006/relationships/hyperlink" Target="https://drive.google.com/file/d/155K5itnbbcG9r6nxemU_8UHDu709cMJB/view" TargetMode="External"/><Relationship Id="rId114" Type="http://schemas.openxmlformats.org/officeDocument/2006/relationships/hyperlink" Target="https://sbg.colorado.gov/sites/sbg/files/JVT%20Enterprises%20HSA%2009232016_1.pdf" TargetMode="External"/><Relationship Id="rId235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56" Type="http://schemas.openxmlformats.org/officeDocument/2006/relationships/hyperlink" Target="https://recalls.cannabis.ca.gov/recalls/67a3ed7d027ff9b39bd5c651" TargetMode="External"/><Relationship Id="rId477" Type="http://schemas.openxmlformats.org/officeDocument/2006/relationships/hyperlink" Target="https://drive.google.com/file/d/13YLI15IZ7lGFeVAnZES8vw1jlCuMczC5/view" TargetMode="External"/><Relationship Id="rId113" Type="http://schemas.openxmlformats.org/officeDocument/2006/relationships/hyperlink" Target="https://sbg.colorado.gov/sites/sbg/files/9.13.16%20The%20Tea%20Pot_1.pdf" TargetMode="External"/><Relationship Id="rId234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55" Type="http://schemas.openxmlformats.org/officeDocument/2006/relationships/hyperlink" Target="https://recalls.cannabis.ca.gov/recalls/67a26199d7bedce43a97eac8" TargetMode="External"/><Relationship Id="rId476" Type="http://schemas.openxmlformats.org/officeDocument/2006/relationships/hyperlink" Target="https://drive.google.com/file/d/1pD-nht94Id2_tmp6-WDPiFNciH67jxVq/view" TargetMode="External"/><Relationship Id="rId112" Type="http://schemas.openxmlformats.org/officeDocument/2006/relationships/hyperlink" Target="https://sbg.colorado.gov/sites/sbg/files/9.13.16%20Southern%20Colorado%20HSA_1.pdf" TargetMode="External"/><Relationship Id="rId233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54" Type="http://schemas.openxmlformats.org/officeDocument/2006/relationships/hyperlink" Target="https://recalls.cannabis.ca.gov/recalls/679aa03c6c2cf8a3a782d944" TargetMode="External"/><Relationship Id="rId475" Type="http://schemas.openxmlformats.org/officeDocument/2006/relationships/hyperlink" Target="https://drive.google.com/file/d/1r3Tyzturym13Qc6BjpToStviBvOOtUwk/view" TargetMode="External"/><Relationship Id="rId111" Type="http://schemas.openxmlformats.org/officeDocument/2006/relationships/hyperlink" Target="https://sbg.colorado.gov/sites/sbg/files/9.7.16%20Green%20Naturals%20HSA_1.pdf" TargetMode="External"/><Relationship Id="rId232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53" Type="http://schemas.openxmlformats.org/officeDocument/2006/relationships/hyperlink" Target="https://recalls.cannabis.ca.gov/recalls/67995807ff1d541902f51156" TargetMode="External"/><Relationship Id="rId474" Type="http://schemas.openxmlformats.org/officeDocument/2006/relationships/hyperlink" Target="https://drive.google.com/file/d/1KvyOhoFc8TmE6_A6Tn_8_pEVBsfHd8Yc/view" TargetMode="External"/><Relationship Id="rId305" Type="http://schemas.openxmlformats.org/officeDocument/2006/relationships/hyperlink" Target="https://www.thecannabist.co/2015/12/07/pot-pesticides-marijuana/44740/" TargetMode="External"/><Relationship Id="rId426" Type="http://schemas.openxmlformats.org/officeDocument/2006/relationships/hyperlink" Target="https://recalls.cannabis.ca.gov/recalls/68bb3fdd277fb53dceadb5fd" TargetMode="External"/><Relationship Id="rId547" Type="http://schemas.openxmlformats.org/officeDocument/2006/relationships/hyperlink" Target="https://www.oregon.gov/olcc/Docs/news/news_releases/2025/MJ-Cookie-Recall.pdf" TargetMode="External"/><Relationship Id="rId304" Type="http://schemas.openxmlformats.org/officeDocument/2006/relationships/hyperlink" Target="https://www.thecannabist.co/2015/12/04/pesticide-pot-recall-list-marijuana/44711/" TargetMode="External"/><Relationship Id="rId425" Type="http://schemas.openxmlformats.org/officeDocument/2006/relationships/hyperlink" Target="https://recalls.cannabis.ca.gov/recalls/68bb3c9f277fb53dceadb5f7" TargetMode="External"/><Relationship Id="rId546" Type="http://schemas.openxmlformats.org/officeDocument/2006/relationships/hyperlink" Target="https://oklahoma.gov/omma/recalls/embargoed-and-recalled-products/product-recall-december-23-2025.html" TargetMode="External"/><Relationship Id="rId303" Type="http://schemas.openxmlformats.org/officeDocument/2006/relationships/hyperlink" Target="https://www.thecannabist.co/2015/12/07/pot-pesticides-marijuana/44740/" TargetMode="External"/><Relationship Id="rId424" Type="http://schemas.openxmlformats.org/officeDocument/2006/relationships/hyperlink" Target="https://recalls.cannabis.ca.gov/recalls/68af7d32f9fe68d804e858be" TargetMode="External"/><Relationship Id="rId545" Type="http://schemas.openxmlformats.org/officeDocument/2006/relationships/hyperlink" Target="https://oklahoma.gov/omma/recalls/embargoed-and-recalled-products/product-recall-novober-25-2025.html" TargetMode="External"/><Relationship Id="rId302" Type="http://schemas.openxmlformats.org/officeDocument/2006/relationships/hyperlink" Target="https://www.thecannabist.co/2015/12/04/pesticide-pot-recall-list-marijuana/44711/" TargetMode="External"/><Relationship Id="rId423" Type="http://schemas.openxmlformats.org/officeDocument/2006/relationships/hyperlink" Target="https://recalls.cannabis.ca.gov/recalls/68a38a94a2543acbbf481d07" TargetMode="External"/><Relationship Id="rId544" Type="http://schemas.openxmlformats.org/officeDocument/2006/relationships/hyperlink" Target="https://oklahoma.gov/omma/recalls/embargoed-and-recalled-products/product-recall-october-24-2025.html" TargetMode="External"/><Relationship Id="rId309" Type="http://schemas.openxmlformats.org/officeDocument/2006/relationships/hyperlink" Target="https://web.archive.org/web/20160913215642/https://www.denvergov.org/content/denvergov/en/environmental-health/about-us/news-room/2015/edipure-recalls-marijuana-products-due-to-pesticide-residues.html" TargetMode="External"/><Relationship Id="rId308" Type="http://schemas.openxmlformats.org/officeDocument/2006/relationships/hyperlink" Target="https://www.thecannabist.co/2015/12/04/pesticide-pot-recall-list-marijuana/44711/" TargetMode="External"/><Relationship Id="rId429" Type="http://schemas.openxmlformats.org/officeDocument/2006/relationships/hyperlink" Target="https://recalls.cannabis.ca.gov/recalls/68c9eaf9ee3f253d00cfa2be" TargetMode="External"/><Relationship Id="rId307" Type="http://schemas.openxmlformats.org/officeDocument/2006/relationships/hyperlink" Target="https://www.thecannabist.co/2015/12/04/pesticide-pot-recall-list-marijuana/44711/" TargetMode="External"/><Relationship Id="rId428" Type="http://schemas.openxmlformats.org/officeDocument/2006/relationships/hyperlink" Target="https://recalls.cannabis.ca.gov/recalls/68bb4247277fb53dceadb603" TargetMode="External"/><Relationship Id="rId549" Type="http://schemas.openxmlformats.org/officeDocument/2006/relationships/hyperlink" Target="https://www.oregon.gov/olcc/Docs/news/news_releases/2025/nr012325%20Elitextrx-Recall.pdf" TargetMode="External"/><Relationship Id="rId306" Type="http://schemas.openxmlformats.org/officeDocument/2006/relationships/hyperlink" Target="https://www.thecannabist.co/2015/12/04/pesticide-pot-recall-list-marijuana/44711/" TargetMode="External"/><Relationship Id="rId427" Type="http://schemas.openxmlformats.org/officeDocument/2006/relationships/hyperlink" Target="https://recalls.cannabis.ca.gov/recalls/68bb4102277fb53dceadb600" TargetMode="External"/><Relationship Id="rId548" Type="http://schemas.openxmlformats.org/officeDocument/2006/relationships/hyperlink" Target="https://www.oregon.gov/olcc/Docs/news/news_releases/2025/nr012325%20Elitextrx-Recall.pdf" TargetMode="External"/><Relationship Id="rId301" Type="http://schemas.openxmlformats.org/officeDocument/2006/relationships/hyperlink" Target="https://www.thecannabist.co/2015/12/07/pot-pesticides-marijuana/44740/" TargetMode="External"/><Relationship Id="rId422" Type="http://schemas.openxmlformats.org/officeDocument/2006/relationships/hyperlink" Target="https://recalls.cannabis.ca.gov/recalls/6896301db1a1dbf6ed2660e4" TargetMode="External"/><Relationship Id="rId543" Type="http://schemas.openxmlformats.org/officeDocument/2006/relationships/hyperlink" Target="https://oklahoma.gov/omma/recalls/embargoed-and-recalled-products/product-recall-october-23-2025.html" TargetMode="External"/><Relationship Id="rId300" Type="http://schemas.openxmlformats.org/officeDocument/2006/relationships/hyperlink" Target="https://www.thecannabist.co/2015/12/04/pesticide-pot-recall-list-marijuana/44711/" TargetMode="External"/><Relationship Id="rId421" Type="http://schemas.openxmlformats.org/officeDocument/2006/relationships/hyperlink" Target="https://recalls.cannabis.ca.gov/recalls/689a0f741ddade6d2bbbdb25" TargetMode="External"/><Relationship Id="rId542" Type="http://schemas.openxmlformats.org/officeDocument/2006/relationships/hyperlink" Target="https://oklahoma.gov/omma/recalls/embargoed-and-recalled-products/product-recall-october-10-2025.html" TargetMode="External"/><Relationship Id="rId420" Type="http://schemas.openxmlformats.org/officeDocument/2006/relationships/hyperlink" Target="https://recalls.cannabis.ca.gov/recalls/688d39f9608329d100bd15bc" TargetMode="External"/><Relationship Id="rId541" Type="http://schemas.openxmlformats.org/officeDocument/2006/relationships/hyperlink" Target="https://oklahoma.gov/omma/recalls/embargoed-and-recalled-products.html" TargetMode="External"/><Relationship Id="rId540" Type="http://schemas.openxmlformats.org/officeDocument/2006/relationships/hyperlink" Target="https://oklahoma.gov/omma/recalls/embargoed-and-recalled-products/product-recall-june-10-2024.html" TargetMode="External"/><Relationship Id="rId415" Type="http://schemas.openxmlformats.org/officeDocument/2006/relationships/hyperlink" Target="https://recalls.cannabis.ca.gov/recalls/685ac399a5767e9bd4299cf3" TargetMode="External"/><Relationship Id="rId536" Type="http://schemas.openxmlformats.org/officeDocument/2006/relationships/hyperlink" Target="https://com.ohio.gov/divisions-and-programs/cannabis-control/product-safety/X-Product-Recall-Beneleaves-Chocolate" TargetMode="External"/><Relationship Id="rId414" Type="http://schemas.openxmlformats.org/officeDocument/2006/relationships/hyperlink" Target="https://recalls.cannabis.ca.gov/recalls/686d9e7c2c808b9976ca6035" TargetMode="External"/><Relationship Id="rId535" Type="http://schemas.openxmlformats.org/officeDocument/2006/relationships/hyperlink" Target="https://com.ohio.gov/divisions-and-programs/cannabis-control/product-safety/WWW-product-recall-2025-04" TargetMode="External"/><Relationship Id="rId413" Type="http://schemas.openxmlformats.org/officeDocument/2006/relationships/hyperlink" Target="https://recalls.cannabis.ca.gov/recalls/68645cbcc770556dd1eedc84" TargetMode="External"/><Relationship Id="rId534" Type="http://schemas.openxmlformats.org/officeDocument/2006/relationships/hyperlink" Target="https://com.ohio.gov/divisions-and-programs/cannabis-control/product-safety/WW-Product-Recall-2025-05-Green-Investment-Partners" TargetMode="External"/><Relationship Id="rId412" Type="http://schemas.openxmlformats.org/officeDocument/2006/relationships/hyperlink" Target="https://recalls.cannabis.ca.gov/recalls/68659c06bf883c279db9fda7" TargetMode="External"/><Relationship Id="rId533" Type="http://schemas.openxmlformats.org/officeDocument/2006/relationships/hyperlink" Target="https://com.ohio.gov/divisions-and-programs/cannabis-control/product-safety/W-Product-Recall-2025-06-Klutch-Processing" TargetMode="External"/><Relationship Id="rId419" Type="http://schemas.openxmlformats.org/officeDocument/2006/relationships/hyperlink" Target="https://recalls.cannabis.ca.gov/recalls/688d39f0608329d100bd15b9" TargetMode="External"/><Relationship Id="rId418" Type="http://schemas.openxmlformats.org/officeDocument/2006/relationships/hyperlink" Target="https://recalls.cannabis.ca.gov/recalls/688a598cfb4b11aeefd90243" TargetMode="External"/><Relationship Id="rId539" Type="http://schemas.openxmlformats.org/officeDocument/2006/relationships/hyperlink" Target="https://com.ohio.gov/divisions-and-programs/cannabis-control/product-safety/zzz-product-recall-2024-01" TargetMode="External"/><Relationship Id="rId417" Type="http://schemas.openxmlformats.org/officeDocument/2006/relationships/hyperlink" Target="https://recalls.cannabis.ca.gov/recalls/688931563e687541be28d909" TargetMode="External"/><Relationship Id="rId538" Type="http://schemas.openxmlformats.org/officeDocument/2006/relationships/hyperlink" Target="https://com.ohio.gov/divisions-and-programs/cannabis-control/product-safety/yyy-product-recall-2024-04" TargetMode="External"/><Relationship Id="rId416" Type="http://schemas.openxmlformats.org/officeDocument/2006/relationships/hyperlink" Target="https://recalls.cannabis.ca.gov/recalls/686eebe4e18974d667a1250e" TargetMode="External"/><Relationship Id="rId537" Type="http://schemas.openxmlformats.org/officeDocument/2006/relationships/hyperlink" Target="https://com.ohio.gov/divisions-and-programs/cannabis-control/product-safety/YProduct-Recall-2025-02-Beneleaves" TargetMode="External"/><Relationship Id="rId411" Type="http://schemas.openxmlformats.org/officeDocument/2006/relationships/hyperlink" Target="https://recalls.cannabis.ca.gov/recalls/685ef369cc5cc22033bf6c62" TargetMode="External"/><Relationship Id="rId532" Type="http://schemas.openxmlformats.org/officeDocument/2006/relationships/hyperlink" Target="https://com.ohio.gov/divisions-and-programs/cannabis-control/product-safety/VVV-Product-Recall-2025-07-GTI" TargetMode="External"/><Relationship Id="rId410" Type="http://schemas.openxmlformats.org/officeDocument/2006/relationships/hyperlink" Target="https://recalls.cannabis.ca.gov/recalls/68644cffda2ab8a7147f8fde" TargetMode="External"/><Relationship Id="rId531" Type="http://schemas.openxmlformats.org/officeDocument/2006/relationships/hyperlink" Target="https://com.ohio.gov/divisions-and-programs/cannabis-control/product-safety/VV-Product-Recall-2025-08-Curaleaf" TargetMode="External"/><Relationship Id="rId530" Type="http://schemas.openxmlformats.org/officeDocument/2006/relationships/hyperlink" Target="https://com.ohio.gov/divisions-and-programs/cannabis-control/product-safety/V-Product-Recall-2025-09-Hundred-Percent-Labs" TargetMode="External"/><Relationship Id="rId206" Type="http://schemas.openxmlformats.org/officeDocument/2006/relationships/hyperlink" Target="https://www.michigan.gov/cra/-/media/Project/Websites/cra/bulletin/1Public-Health-an-Safety-Advisory/Recall-Bulletin-112023---FINAL.pdf?rev=747ba59d2b4349bcbae99420672cf590&amp;hash=C7DEB9EBB5AF04BCD47AF8E7DD307BCA" TargetMode="External"/><Relationship Id="rId327" Type="http://schemas.openxmlformats.org/officeDocument/2006/relationships/hyperlink" Target="https://recalls.cannabis.ca.gov/recalls/676078ffe7333c2117ce13a3" TargetMode="External"/><Relationship Id="rId448" Type="http://schemas.openxmlformats.org/officeDocument/2006/relationships/hyperlink" Target="https://recalls.cannabis.ca.gov/recalls/69a21d3f96df1c8b70f43527" TargetMode="External"/><Relationship Id="rId205" Type="http://schemas.openxmlformats.org/officeDocument/2006/relationships/hyperlink" Target="https://www.michigan.gov/cra/-/media/Project/Websites/cra/bulletin/1Public-Health-an-Safety-Advisory/RecallBulletin110823FINAL.pdf?rev=ce7bc38437e94cab9f10ff967d1d4886&amp;hash=E22EA5B355923BEFA6E6E134E1052B76" TargetMode="External"/><Relationship Id="rId326" Type="http://schemas.openxmlformats.org/officeDocument/2006/relationships/hyperlink" Target="https://recalls.cannabis.ca.gov/recalls/676071c2348fc6641c270943" TargetMode="External"/><Relationship Id="rId447" Type="http://schemas.openxmlformats.org/officeDocument/2006/relationships/hyperlink" Target="https://recalls.cannabis.ca.gov/recalls/69a205cb8fa6fba508b1b4fb" TargetMode="External"/><Relationship Id="rId204" Type="http://schemas.openxmlformats.org/officeDocument/2006/relationships/hyperlink" Target="https://www.michigan.gov/cra/-/media/Project/Websites/cra/bulletin/health-safety/Public-Health-and-Safety-Advisory---Voluntary-Recall---SBCMI_-FINAL.pdf?rev=a8116ff5facd4c8fb0edfc3804c651f0&amp;hash=13F0C4155A6C4FE4BE2E178F68DE1A1F" TargetMode="External"/><Relationship Id="rId325" Type="http://schemas.openxmlformats.org/officeDocument/2006/relationships/hyperlink" Target="https://recalls.cannabis.ca.gov/recalls/6760641e2dec600a5fdab874" TargetMode="External"/><Relationship Id="rId446" Type="http://schemas.openxmlformats.org/officeDocument/2006/relationships/hyperlink" Target="https://recalls.cannabis.ca.gov/recalls/6998af38ba87ca08bd8caba5" TargetMode="External"/><Relationship Id="rId203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324" Type="http://schemas.openxmlformats.org/officeDocument/2006/relationships/hyperlink" Target="https://recalls.cannabis.ca.gov/recalls/67607a8ce7333c2117ce13b0" TargetMode="External"/><Relationship Id="rId445" Type="http://schemas.openxmlformats.org/officeDocument/2006/relationships/hyperlink" Target="https://recalls.cannabis.ca.gov/recalls/69851e0f298cd056cfb16d79" TargetMode="External"/><Relationship Id="rId566" Type="http://schemas.openxmlformats.org/officeDocument/2006/relationships/table" Target="../tables/table1.xml"/><Relationship Id="rId209" Type="http://schemas.openxmlformats.org/officeDocument/2006/relationships/hyperlink" Target="https://ccbnvdev.wpengine.com/wp-content/uploads/2021/07/Corrected-CCB-Public-Health-and-Safety-Bulletin-2021-1.pdf" TargetMode="External"/><Relationship Id="rId208" Type="http://schemas.openxmlformats.org/officeDocument/2006/relationships/hyperlink" Target="https://ccbnvdev.wpengine.com/wp-content/uploads/2021/02/CCB-Public-Health-and-Safety-Advisory-2021-01.pdf" TargetMode="External"/><Relationship Id="rId329" Type="http://schemas.openxmlformats.org/officeDocument/2006/relationships/hyperlink" Target="https://recalls.cannabis.ca.gov/recalls/675c9df9d777de57d7f3a530" TargetMode="External"/><Relationship Id="rId207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AD8FF73EE3D0A44A976381C012110C63" TargetMode="External"/><Relationship Id="rId328" Type="http://schemas.openxmlformats.org/officeDocument/2006/relationships/hyperlink" Target="https://recalls.cannabis.ca.gov/recalls/675cd072db9d2f38e6a8bfc9" TargetMode="External"/><Relationship Id="rId449" Type="http://schemas.openxmlformats.org/officeDocument/2006/relationships/hyperlink" Target="https://recalls.cannabis.ca.gov/recalls/69a85ce32d19d8796b0803db" TargetMode="External"/><Relationship Id="rId440" Type="http://schemas.openxmlformats.org/officeDocument/2006/relationships/hyperlink" Target="https://recalls.cannabis.ca.gov/recalls/692de8526885e3b780908abf" TargetMode="External"/><Relationship Id="rId561" Type="http://schemas.openxmlformats.org/officeDocument/2006/relationships/hyperlink" Target="https://arizonastatecannabis.org/news-25oct2025" TargetMode="External"/><Relationship Id="rId560" Type="http://schemas.openxmlformats.org/officeDocument/2006/relationships/hyperlink" Target="https://lcb.wa.gov/examiners/recalls" TargetMode="External"/><Relationship Id="rId202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323" Type="http://schemas.openxmlformats.org/officeDocument/2006/relationships/hyperlink" Target="https://recalls.cannabis.ca.gov/recalls/676061d02dec600a5fdab847" TargetMode="External"/><Relationship Id="rId444" Type="http://schemas.openxmlformats.org/officeDocument/2006/relationships/hyperlink" Target="https://recalls.cannabis.ca.gov/recalls/69612a25c92173ffea4e8179" TargetMode="External"/><Relationship Id="rId201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322" Type="http://schemas.openxmlformats.org/officeDocument/2006/relationships/hyperlink" Target="https://recalls.cannabis.ca.gov/recalls/67607b87e7333c2117ce13b5" TargetMode="External"/><Relationship Id="rId443" Type="http://schemas.openxmlformats.org/officeDocument/2006/relationships/hyperlink" Target="https://recalls.cannabis.ca.gov/recalls/6949c49c275295130057a2b9" TargetMode="External"/><Relationship Id="rId564" Type="http://schemas.openxmlformats.org/officeDocument/2006/relationships/vmlDrawing" Target="../drawings/vmlDrawing1.vml"/><Relationship Id="rId200" Type="http://schemas.openxmlformats.org/officeDocument/2006/relationships/hyperlink" Target="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321" Type="http://schemas.openxmlformats.org/officeDocument/2006/relationships/hyperlink" Target="https://recalls.cannabis.ca.gov/recalls/67607b92e7333c2117ce13b7" TargetMode="External"/><Relationship Id="rId442" Type="http://schemas.openxmlformats.org/officeDocument/2006/relationships/hyperlink" Target="https://recalls.cannabis.ca.gov/recalls/6949c333275295130057a2b5" TargetMode="External"/><Relationship Id="rId563" Type="http://schemas.openxmlformats.org/officeDocument/2006/relationships/drawing" Target="../drawings/drawing3.xml"/><Relationship Id="rId320" Type="http://schemas.openxmlformats.org/officeDocument/2006/relationships/hyperlink" Target="https://recalls.cannabis.ca.gov/recalls/676060ab2dec600a5fdab838" TargetMode="External"/><Relationship Id="rId441" Type="http://schemas.openxmlformats.org/officeDocument/2006/relationships/hyperlink" Target="https://recalls.cannabis.ca.gov/recalls/69449011220ee0d97a09e7c2" TargetMode="External"/><Relationship Id="rId562" Type="http://schemas.openxmlformats.org/officeDocument/2006/relationships/hyperlink" Target="https://www.fox10phoenix.com/news/arizona-announces-marijuana-recall-amid-contamination-worries-heres-what-know" TargetMode="External"/><Relationship Id="rId316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437" Type="http://schemas.openxmlformats.org/officeDocument/2006/relationships/hyperlink" Target="https://recalls.cannabis.ca.gov/recalls/6925e7cc4fdb2651d21000be" TargetMode="External"/><Relationship Id="rId558" Type="http://schemas.openxmlformats.org/officeDocument/2006/relationships/hyperlink" Target="https://lcb.wa.gov/examiners/recalls" TargetMode="External"/><Relationship Id="rId315" Type="http://schemas.openxmlformats.org/officeDocument/2006/relationships/hyperlink" Target="https://web.archive.org/web/20160913222800/https://www.denvergov.org/content/denvergov/en/environmental-health/about-us/news-room/2015/two-denver-cultivation-facilities-recall-marijuana-products--due.html" TargetMode="External"/><Relationship Id="rId436" Type="http://schemas.openxmlformats.org/officeDocument/2006/relationships/hyperlink" Target="https://recalls.cannabis.ca.gov/recalls/691f827fb0f55be0f7377c9b" TargetMode="External"/><Relationship Id="rId557" Type="http://schemas.openxmlformats.org/officeDocument/2006/relationships/hyperlink" Target="https://lcb.wa.gov/examiners/recalls" TargetMode="External"/><Relationship Id="rId314" Type="http://schemas.openxmlformats.org/officeDocument/2006/relationships/hyperlink" Target="https://web.archive.org/web/20160913223522/https://www.denvergov.org/content/denvergov/en/environmental-health/about-us/news-room/2015/nature_s-cure-recalls-marijuana-products-due-to-possible-pestici.html" TargetMode="External"/><Relationship Id="rId435" Type="http://schemas.openxmlformats.org/officeDocument/2006/relationships/hyperlink" Target="https://recalls.cannabis.ca.gov/recalls/6924e7173e31dcbd909c9f63" TargetMode="External"/><Relationship Id="rId556" Type="http://schemas.openxmlformats.org/officeDocument/2006/relationships/hyperlink" Target="https://lcb.wa.gov/examiners/recalls" TargetMode="External"/><Relationship Id="rId313" Type="http://schemas.openxmlformats.org/officeDocument/2006/relationships/hyperlink" Target="https://web.archive.org/web/20180429040251/http://www.denvergov.org/content/denvergov/en/environmental-health/about-us/news-room/2015/green-cross-recalls-marijuana-products-due-to-possible-pesticide.html" TargetMode="External"/><Relationship Id="rId434" Type="http://schemas.openxmlformats.org/officeDocument/2006/relationships/hyperlink" Target="https://recalls.cannabis.ca.gov/recalls/680813de0a02d94b409051cb" TargetMode="External"/><Relationship Id="rId555" Type="http://schemas.openxmlformats.org/officeDocument/2006/relationships/hyperlink" Target="https://lcb.wa.gov/examiners/recalls" TargetMode="External"/><Relationship Id="rId319" Type="http://schemas.openxmlformats.org/officeDocument/2006/relationships/hyperlink" Target="https://recalls.cannabis.ca.gov/recalls/67607f00e7333c2117ce13bd" TargetMode="External"/><Relationship Id="rId318" Type="http://schemas.openxmlformats.org/officeDocument/2006/relationships/hyperlink" Target="https://web.archive.org/web/20160913223139/https://www.denvergov.org/content/denvergov/en/environmental-health/about-us/news-room/2015/mahatma-concentrates-recalls-marijuana-product-due-to-possible-p.html" TargetMode="External"/><Relationship Id="rId439" Type="http://schemas.openxmlformats.org/officeDocument/2006/relationships/hyperlink" Target="https://recalls.cannabis.ca.gov/recalls/69263e87a4fa6eedebd6c039" TargetMode="External"/><Relationship Id="rId317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438" Type="http://schemas.openxmlformats.org/officeDocument/2006/relationships/hyperlink" Target="https://recalls.cannabis.ca.gov/recalls/6926012c57a72c517a7927fc" TargetMode="External"/><Relationship Id="rId559" Type="http://schemas.openxmlformats.org/officeDocument/2006/relationships/hyperlink" Target="https://lcb.wa.gov/examiners/recalls" TargetMode="External"/><Relationship Id="rId550" Type="http://schemas.openxmlformats.org/officeDocument/2006/relationships/hyperlink" Target="https://content.govdelivery.com/accounts/OLCC/bulletins/3c9046e" TargetMode="External"/><Relationship Id="rId312" Type="http://schemas.openxmlformats.org/officeDocument/2006/relationships/hyperlink" Target="https://web.archive.org/web/20160731234447/http://www.denvergov.org/content/denvergov/en/environmental-health/about-us/news-room/2015/gaia_s-garden-recalls-marijuana-products-due-to-possible-pestici.html" TargetMode="External"/><Relationship Id="rId433" Type="http://schemas.openxmlformats.org/officeDocument/2006/relationships/hyperlink" Target="https://recalls.cannabis.ca.gov/recalls/691508e4bfd28f115bd1da13" TargetMode="External"/><Relationship Id="rId554" Type="http://schemas.openxmlformats.org/officeDocument/2006/relationships/hyperlink" Target="https://lcb.wa.gov/examiners/recalls" TargetMode="External"/><Relationship Id="rId311" Type="http://schemas.openxmlformats.org/officeDocument/2006/relationships/hyperlink" Target="https://web.archive.org/web/20151205052712/https://www.denvergov.org/content/denvergov/en/environmental-health/about-us/news-room/2015/Marijuana-product-recall.html" TargetMode="External"/><Relationship Id="rId432" Type="http://schemas.openxmlformats.org/officeDocument/2006/relationships/hyperlink" Target="https://recalls.cannabis.ca.gov/recalls/68f01187a1ea37801c910981" TargetMode="External"/><Relationship Id="rId553" Type="http://schemas.openxmlformats.org/officeDocument/2006/relationships/hyperlink" Target="https://www.pa.gov/content/dam/copapwp-pagov/en/health/documents/topics/documents/programs/medical-marijuana/DOH%20-%20Withdraw%20of%20Products%20Containing%20Additives%20Not%20Approved%20for%20Inhalation%20by%20the%20FDA.pdf" TargetMode="External"/><Relationship Id="rId310" Type="http://schemas.openxmlformats.org/officeDocument/2006/relationships/hyperlink" Target="https://web.archive.org/web/20151216222102/http://www.denvergov.org/content/denvergov/en/environmental-health/about-us/news-room/2015/gaia_s-garden-recalls-marijuana-products-due-to-possible-pestici.html" TargetMode="External"/><Relationship Id="rId431" Type="http://schemas.openxmlformats.org/officeDocument/2006/relationships/hyperlink" Target="https://recalls.cannabis.ca.gov/recalls/68dc1e41372f5d5e380d20f1" TargetMode="External"/><Relationship Id="rId552" Type="http://schemas.openxmlformats.org/officeDocument/2006/relationships/hyperlink" Target="https://www.oregon.gov/olcc/marijuana/Documents/Epoch-Investments-Quality-Drugs-Fruit-Chews-Recall.pdf" TargetMode="External"/><Relationship Id="rId430" Type="http://schemas.openxmlformats.org/officeDocument/2006/relationships/hyperlink" Target="https://recalls.cannabis.ca.gov/recalls/68cd9bbc430614b40340b9ca" TargetMode="External"/><Relationship Id="rId551" Type="http://schemas.openxmlformats.org/officeDocument/2006/relationships/hyperlink" Target="https://www.oregon.gov/olcc/marijuana/Documents/LTRMN-Beacoup-Gummy-Recall.pdf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90" Type="http://schemas.openxmlformats.org/officeDocument/2006/relationships/hyperlink" Target="https://lcb.wa.gov/marj/notice_of_recalls" TargetMode="External"/><Relationship Id="rId194" Type="http://schemas.openxmlformats.org/officeDocument/2006/relationships/hyperlink" Target="https://lcb.wa.gov/marj/notice_of_recalls" TargetMode="External"/><Relationship Id="rId193" Type="http://schemas.openxmlformats.org/officeDocument/2006/relationships/hyperlink" Target="https://sbg.colorado.gov/sites/sbg/files/documents/230509_MJ_Durango_HSA.pdf" TargetMode="External"/><Relationship Id="rId192" Type="http://schemas.openxmlformats.org/officeDocument/2006/relationships/hyperlink" Target="https://sbg.colorado.gov/sites/sbg/files/documents/230508_Big_Mountain_Organics_LLC_HSA.docx.pdf" TargetMode="External"/><Relationship Id="rId191" Type="http://schemas.openxmlformats.org/officeDocument/2006/relationships/hyperlink" Target="https://lcb.wa.gov/marj/notice_of_recalls" TargetMode="External"/><Relationship Id="rId187" Type="http://schemas.openxmlformats.org/officeDocument/2006/relationships/hyperlink" Target="https://www.oregon.gov/olcc/marijuana/Documents/Recall-Notice-Crumble-Apple-Crisp.pdf" TargetMode="External"/><Relationship Id="rId186" Type="http://schemas.openxmlformats.org/officeDocument/2006/relationships/hyperlink" Target="https://sbg.colorado.gov/sites/sbg/files/documents/230412_Trinidad_Cultivation_Services_HSA.pdf" TargetMode="External"/><Relationship Id="rId185" Type="http://schemas.openxmlformats.org/officeDocument/2006/relationships/hyperlink" Target="https://sbg.colorado.gov/sites/sbg/files/documents/230412_COS_Investments_LLC_HSA.pdf" TargetMode="External"/><Relationship Id="rId184" Type="http://schemas.openxmlformats.org/officeDocument/2006/relationships/hyperlink" Target="https://sbg.colorado.gov/sites/sbg/files/documents/230412_BBM_Enterprises_LLC_HSA.pdf" TargetMode="External"/><Relationship Id="rId189" Type="http://schemas.openxmlformats.org/officeDocument/2006/relationships/hyperlink" Target="https://ccb.nv.gov/wp-content/uploads/2023/04/Public-Health-and-Safety-Bulletin-2023-02.pdf" TargetMode="External"/><Relationship Id="rId188" Type="http://schemas.openxmlformats.org/officeDocument/2006/relationships/hyperlink" Target="https://sbg.colorado.gov/sites/sbg/files/documents/230417_Long_Gone_Farms_HSA.pdf" TargetMode="External"/><Relationship Id="rId183" Type="http://schemas.openxmlformats.org/officeDocument/2006/relationships/hyperlink" Target="https://lcb.wa.gov/marj/notice_of_recalls" TargetMode="External"/><Relationship Id="rId182" Type="http://schemas.openxmlformats.org/officeDocument/2006/relationships/hyperlink" Target="https://lcb.wa.gov/marj/notice_of_recalls" TargetMode="External"/><Relationship Id="rId181" Type="http://schemas.openxmlformats.org/officeDocument/2006/relationships/hyperlink" Target="https://lcb.wa.gov/marj/notice_of_recalls" TargetMode="External"/><Relationship Id="rId180" Type="http://schemas.openxmlformats.org/officeDocument/2006/relationships/hyperlink" Target="https://lcb.wa.gov/marj/notice_of_recalls" TargetMode="External"/><Relationship Id="rId176" Type="http://schemas.openxmlformats.org/officeDocument/2006/relationships/hyperlink" Target="https://sbg.colorado.gov/sites/sbg/files/documents/230320_HSA_MJ_Durango.pdf" TargetMode="External"/><Relationship Id="rId175" Type="http://schemas.openxmlformats.org/officeDocument/2006/relationships/hyperlink" Target="https://www.oregon.gov/olcc/marijuana/Documents/Recall-Notice-Hapy-Kitchen.pdf" TargetMode="External"/><Relationship Id="rId174" Type="http://schemas.openxmlformats.org/officeDocument/2006/relationships/hyperlink" Target="https://sbg.colorado.gov/sites/sbg/files/230309_CORRECTED_Health_and_Safety_Advisory_Green_Street_LLC.pdf" TargetMode="External"/><Relationship Id="rId173" Type="http://schemas.openxmlformats.org/officeDocument/2006/relationships/hyperlink" Target="https://www.oregon.gov/olcc/marijuana/Documents/Avitas-Recall-Notice.pdf" TargetMode="External"/><Relationship Id="rId179" Type="http://schemas.openxmlformats.org/officeDocument/2006/relationships/hyperlink" Target="https://lcb.wa.gov/marj/notice_of_recalls" TargetMode="External"/><Relationship Id="rId178" Type="http://schemas.openxmlformats.org/officeDocument/2006/relationships/hyperlink" Target="https://sbg.colorado.gov/sites/sbg/files/documents/230322_Updated_HSA_Carrick-Harvest.docx.pdf" TargetMode="External"/><Relationship Id="rId177" Type="http://schemas.openxmlformats.org/officeDocument/2006/relationships/hyperlink" Target="https://www.azdhs.gov/director/public-information-office/index.php" TargetMode="External"/><Relationship Id="rId198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197" Type="http://schemas.openxmlformats.org/officeDocument/2006/relationships/hyperlink" Target="https://sbg.colorado.gov/sites/sbg/files/documents/230523_GT_Retail_LLC_HSA.pdf" TargetMode="External"/><Relationship Id="rId196" Type="http://schemas.openxmlformats.org/officeDocument/2006/relationships/hyperlink" Target="https://cannabis.ca.gov/resources/cannabis-recalls-and-safety-notices/" TargetMode="External"/><Relationship Id="rId195" Type="http://schemas.openxmlformats.org/officeDocument/2006/relationships/hyperlink" Target="https://lcb.wa.gov/marj/notice_of_recalls" TargetMode="External"/><Relationship Id="rId199" Type="http://schemas.openxmlformats.org/officeDocument/2006/relationships/hyperlink" Target="https://www.azdhs.gov/director/public-information-office/index.php" TargetMode="External"/><Relationship Id="rId150" Type="http://schemas.openxmlformats.org/officeDocument/2006/relationships/hyperlink" Target="https://sbg.colorado.gov/sites/sbg/files/221012_HSA_Beyond_Broadway_LLC.pdf" TargetMode="External"/><Relationship Id="rId1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2" Type="http://schemas.openxmlformats.org/officeDocument/2006/relationships/hyperlink" Target="https://medicalmarijuana.ohio.gov/Documents/PatientsCaregivers/One%20Orijin%20Rosin%20Product.pdf" TargetMode="External"/><Relationship Id="rId3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9" Type="http://schemas.openxmlformats.org/officeDocument/2006/relationships/hyperlink" Target="https://cannabis.ca.gov/resources/cannabis-recalls-and-safety-notices/" TargetMode="External"/><Relationship Id="rId4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8" Type="http://schemas.openxmlformats.org/officeDocument/2006/relationships/hyperlink" Target="https://oklahoma.gov/content/dam/ok/en/omma/docs/2022/2022.09.16_Emergency%20Order%20of%20Embargo%20and%20Recall.pdf" TargetMode="External"/><Relationship Id="rId9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3" Type="http://schemas.openxmlformats.org/officeDocument/2006/relationships/hyperlink" Target="https://sbg.colorado.gov/sites/sbg/files/220714_Dune_Valley_Farms_LLC_403R-00850_HSA.pdf" TargetMode="External"/><Relationship Id="rId142" Type="http://schemas.openxmlformats.org/officeDocument/2006/relationships/hyperlink" Target="https://oklahoma.gov/content/dam/ok/en/omma/docs/2022/2022.05.19_Recall%20Product%20List.pdf" TargetMode="External"/><Relationship Id="rId141" Type="http://schemas.openxmlformats.org/officeDocument/2006/relationships/hyperlink" Target="https://sbg.colorado.gov/sites/sbg/files/220518_Fresh_Baked_LLC_403R-00250_HSA_2.pdf" TargetMode="External"/><Relationship Id="rId140" Type="http://schemas.openxmlformats.org/officeDocument/2006/relationships/hyperlink" Target="https://sbg.colorado.gov/sites/sbg/files/220503_HSA_Canna_Meds_Wellness_Center_LLC.pdf" TargetMode="External"/><Relationship Id="rId5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7" Type="http://schemas.openxmlformats.org/officeDocument/2006/relationships/hyperlink" Target="https://lcb.wa.gov/marj/notice_of_recalls" TargetMode="External"/><Relationship Id="rId6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6" Type="http://schemas.openxmlformats.org/officeDocument/2006/relationships/hyperlink" Target="https://www.oregon.gov/olcc/Docs/news/news_releases/2022/nr081822-Cannabis-Product-Advisory-Dark-Horse.pdf" TargetMode="External"/><Relationship Id="rId7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5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8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4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139" Type="http://schemas.openxmlformats.org/officeDocument/2006/relationships/hyperlink" Target="https://sbg.colorado.gov/sites/sbg/files/documents/220420Final_Fresh_Baked_LLC_403R-00250_HSA.pdf" TargetMode="External"/><Relationship Id="rId138" Type="http://schemas.openxmlformats.org/officeDocument/2006/relationships/hyperlink" Target="https://ccbnvdev.wpengine.com/wp-content/uploads/2022/03/Public-Health-and-Safety-Bulletin-2022-02-for-release.pdf" TargetMode="External"/><Relationship Id="rId137" Type="http://schemas.openxmlformats.org/officeDocument/2006/relationships/hyperlink" Target="https://www.cannabisbusinesstimes.com/news/new-mexico-issues-recall-medical-cannabis-sacred-garden/" TargetMode="External"/><Relationship Id="rId132" Type="http://schemas.openxmlformats.org/officeDocument/2006/relationships/hyperlink" Target="https://docs.google.com/document/d/1S_40b2SJe9L_ZeHc-fK7Klq19YMnDROTX3cy81itYks/edit" TargetMode="External"/><Relationship Id="rId131" Type="http://schemas.openxmlformats.org/officeDocument/2006/relationships/hyperlink" Target="https://cannabis.ca.gov/resources/cannabis-recalls-and-safety-notices/" TargetMode="External"/><Relationship Id="rId130" Type="http://schemas.openxmlformats.org/officeDocument/2006/relationships/hyperlink" Target="https://sbg.colorado.gov/sites/sbg/files/documents/Health_and_Safety_Advisory_211214_REVISED_HSA_Innovative_Fusion_LLC.pdf" TargetMode="External"/><Relationship Id="rId136" Type="http://schemas.openxmlformats.org/officeDocument/2006/relationships/hyperlink" Target="https://sbg.colorado.gov/sites/sbg/files/Health_and_Safety_Advisory_LivWell_I_LLC_403R-00252.pdf" TargetMode="External"/><Relationship Id="rId135" Type="http://schemas.openxmlformats.org/officeDocument/2006/relationships/hyperlink" Target="https://ccbnvdev.wpengine.com/wp-content/uploads/2022/03/Public-Health-and-Safety-Bulletin-2022-01-for-release.pdf" TargetMode="External"/><Relationship Id="rId134" Type="http://schemas.openxmlformats.org/officeDocument/2006/relationships/hyperlink" Target="https://drive.google.com/file/d/1I-nbQQyv4UKLNghmjmbliC_WVa8fkpeJ/view" TargetMode="External"/><Relationship Id="rId133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172" Type="http://schemas.openxmlformats.org/officeDocument/2006/relationships/hyperlink" Target="https://www.commerce.alaska.gov/web/Portals/9/pub/HomePage/Press%20Release/Director%20Advisory.administrativehold.3.2.23.final%20(2).pdf" TargetMode="External"/><Relationship Id="rId171" Type="http://schemas.openxmlformats.org/officeDocument/2006/relationships/hyperlink" Target="https://www.oregon.gov/olcc/Docs/news/news_releases/2023/nr021423-Cannabis-Product-Recall-Firefly-Expansion.pdf" TargetMode="External"/><Relationship Id="rId170" Type="http://schemas.openxmlformats.org/officeDocument/2006/relationships/hyperlink" Target="https://ccb.vermont.gov/consumer-protection-warning-holland-cannabis-company" TargetMode="External"/><Relationship Id="rId165" Type="http://schemas.openxmlformats.org/officeDocument/2006/relationships/hyperlink" Target="https://www.oregon.gov/olcc/Docs/news/news_releases/2023/nr011223-Cannabis-Product-Recall-Firefly.pdf" TargetMode="External"/><Relationship Id="rId164" Type="http://schemas.openxmlformats.org/officeDocument/2006/relationships/hyperlink" Target="https://sbg.colorado.gov/sites/sbg/files/FINAL_HSA_Sissco_LLC_403-00840_403R-00333.pdf" TargetMode="External"/><Relationship Id="rId163" Type="http://schemas.openxmlformats.org/officeDocument/2006/relationships/hyperlink" Target="https://sbg.colorado.gov/sites/sbg/files/FINAL_HSA_Jolet_Ventures_403R-00132.pdf" TargetMode="External"/><Relationship Id="rId162" Type="http://schemas.openxmlformats.org/officeDocument/2006/relationships/hyperlink" Target="https://cannabis.ca.gov/resources/cannabis-recalls-and-safety-notices/" TargetMode="External"/><Relationship Id="rId169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168" Type="http://schemas.openxmlformats.org/officeDocument/2006/relationships/hyperlink" Target="https://www.oregon.gov/olcc/Docs/news/news_releases/2023/nr012623-Recall-Notice-Cannabis-PREE-Labs.pdf" TargetMode="External"/><Relationship Id="rId167" Type="http://schemas.openxmlformats.org/officeDocument/2006/relationships/hyperlink" Target="https://ccb.nv.gov/wp-content/uploads/2023/02/Public-Health-and-Safety-Bulletin-2023-01-Updated-02-09-23.pdf" TargetMode="External"/><Relationship Id="rId166" Type="http://schemas.openxmlformats.org/officeDocument/2006/relationships/hyperlink" Target="https://lcb.wa.gov/marj/notice_of_recalls" TargetMode="External"/><Relationship Id="rId161" Type="http://schemas.openxmlformats.org/officeDocument/2006/relationships/hyperlink" Target="https://www.oregon.gov/olcc/Docs/Recall-Notice-Oregon-Original-Chocowana-Bar.pdf" TargetMode="External"/><Relationship Id="rId160" Type="http://schemas.openxmlformats.org/officeDocument/2006/relationships/hyperlink" Target="https://sbg.colorado.gov/sites/sbg/files/221215_HSA_240_Arthur_Avenue_LLC.pdf" TargetMode="External"/><Relationship Id="rId159" Type="http://schemas.openxmlformats.org/officeDocument/2006/relationships/hyperlink" Target="https://www.oregon.gov/olcc/Docs/news/news_releases/2022/nr120222-Cannabis-Product-Recall-Pesticide-Bobsled-QuantumAlchemy.pdf" TargetMode="External"/><Relationship Id="rId154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153" Type="http://schemas.openxmlformats.org/officeDocument/2006/relationships/hyperlink" Target="https://sbg.colorado.gov/sites/sbg/files/221026_SDJ_LLC_HSA.docx.pdf" TargetMode="External"/><Relationship Id="rId152" Type="http://schemas.openxmlformats.org/officeDocument/2006/relationships/hyperlink" Target="https://www.syracuse.com/marijuana/2022/10/curaleaf-recalls-over-marijuana-labeling-piling-up-in-new-york.html" TargetMode="External"/><Relationship Id="rId151" Type="http://schemas.openxmlformats.org/officeDocument/2006/relationships/hyperlink" Target="https://cannabis.ca.gov/resources/cannabis-recalls-and-safety-notices/" TargetMode="External"/><Relationship Id="rId158" Type="http://schemas.openxmlformats.org/officeDocument/2006/relationships/hyperlink" Target="https://sbg.colorado.gov/sites/sbg/files/221123_HSA_Beddor_Claude_LLC.docx.pdf" TargetMode="External"/><Relationship Id="rId157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156" Type="http://schemas.openxmlformats.org/officeDocument/2006/relationships/hyperlink" Target="https://www.oregon.gov/olcc/Docs/Bubbly-Recall.pdf" TargetMode="External"/><Relationship Id="rId155" Type="http://schemas.openxmlformats.org/officeDocument/2006/relationships/hyperlink" Target="https://www.azdhs.gov/director/public-information-office/index.php" TargetMode="External"/><Relationship Id="rId40" Type="http://schemas.openxmlformats.org/officeDocument/2006/relationships/hyperlink" Target="https://sbg.colorado.gov/sites/sbg/files/9.13.16%20The%20Tea%20Pot_1.pdf" TargetMode="External"/><Relationship Id="rId42" Type="http://schemas.openxmlformats.org/officeDocument/2006/relationships/hyperlink" Target="https://sbg.colorado.gov/sites/sbg/files/HSA%20Wash%20Park%20Boutique%20HSA%2009232016_1.pdf" TargetMode="External"/><Relationship Id="rId41" Type="http://schemas.openxmlformats.org/officeDocument/2006/relationships/hyperlink" Target="https://sbg.colorado.gov/sites/sbg/files/JVT%20Enterprises%20HSA%2009232016_1.pdf" TargetMode="External"/><Relationship Id="rId44" Type="http://schemas.openxmlformats.org/officeDocument/2006/relationships/hyperlink" Target="https://lcb.wa.gov/marj/notice_of_recalls" TargetMode="External"/><Relationship Id="rId43" Type="http://schemas.openxmlformats.org/officeDocument/2006/relationships/hyperlink" Target="https://drive.google.com/file/d/1VfVYuvXn63TWF1ZzeDR83DcrX1qkO9Yt/view?usp=sharing" TargetMode="External"/><Relationship Id="rId46" Type="http://schemas.openxmlformats.org/officeDocument/2006/relationships/hyperlink" Target="https://sbg.colorado.gov/sites/sbg/files/Herbal%20Options%20HSA%2004262017_1_1.pdf" TargetMode="External"/><Relationship Id="rId45" Type="http://schemas.openxmlformats.org/officeDocument/2006/relationships/hyperlink" Target="https://www.oregon.gov/olcc/Docs/news/news_releases/2017/nr_03_18_17_Emerald_Wave_recall.pdf" TargetMode="External"/><Relationship Id="rId48" Type="http://schemas.openxmlformats.org/officeDocument/2006/relationships/hyperlink" Target="https://lcb.wa.gov/marj/notice_of_recalls" TargetMode="External"/><Relationship Id="rId47" Type="http://schemas.openxmlformats.org/officeDocument/2006/relationships/hyperlink" Target="https://sbg.colorado.gov/sites/sbg/files/Rocky%20Mtn%20Ways%20HSA%2004262017_1_1.pdf" TargetMode="External"/><Relationship Id="rId49" Type="http://schemas.openxmlformats.org/officeDocument/2006/relationships/hyperlink" Target="https://sbg.colorado.gov/sites/sbg/files/documents/7.19%20Kirke.pdf" TargetMode="External"/><Relationship Id="rId31" Type="http://schemas.openxmlformats.org/officeDocument/2006/relationships/hyperlink" Target="https://sbg.colorado.gov/sites/sbg/files/J%20and%20J%2004072016_1_1.pdf" TargetMode="External"/><Relationship Id="rId30" Type="http://schemas.openxmlformats.org/officeDocument/2006/relationships/hyperlink" Target="https://sbg.colorado.gov/sites/sbg/files/Flower%20Power%20HSA%2004072016_1_1.pdf" TargetMode="External"/><Relationship Id="rId33" Type="http://schemas.openxmlformats.org/officeDocument/2006/relationships/hyperlink" Target="https://sbg.colorado.gov/sites/sbg/files/Medicine%20Man%20HSA%2004222016_1.pdf" TargetMode="External"/><Relationship Id="rId32" Type="http://schemas.openxmlformats.org/officeDocument/2006/relationships/hyperlink" Target="https://sbg.colorado.gov/sites/sbg/files/Grow%20Life%20HSA%2004212016_1_1.pdf" TargetMode="External"/><Relationship Id="rId35" Type="http://schemas.openxmlformats.org/officeDocument/2006/relationships/hyperlink" Target="https://sbg.colorado.gov/sites/sbg/files/Best%20Budz%20HSA%2005232016_1_1.pdf" TargetMode="External"/><Relationship Id="rId34" Type="http://schemas.openxmlformats.org/officeDocument/2006/relationships/hyperlink" Target="https://sbg.colorado.gov/sites/sbg/files/Kazimer%20HSA%20%2004162016_1_1.pdf" TargetMode="External"/><Relationship Id="rId37" Type="http://schemas.openxmlformats.org/officeDocument/2006/relationships/hyperlink" Target="https://sbg.colorado.gov/sites/sbg/files/9.7.16%20AMOCH%20HSA_1.pdf" TargetMode="External"/><Relationship Id="rId36" Type="http://schemas.openxmlformats.org/officeDocument/2006/relationships/hyperlink" Target="https://sbg.colorado.gov/sites/sbg/files/Biomeds%20HSA%2005232016_1_1.pdf" TargetMode="External"/><Relationship Id="rId39" Type="http://schemas.openxmlformats.org/officeDocument/2006/relationships/hyperlink" Target="https://sbg.colorado.gov/sites/sbg/files/9.13.16%20Southern%20Colorado%20HSA_1.pdf" TargetMode="External"/><Relationship Id="rId38" Type="http://schemas.openxmlformats.org/officeDocument/2006/relationships/hyperlink" Target="https://sbg.colorado.gov/sites/sbg/files/9.7.16%20Green%20Naturals%20HSA_1.pdf" TargetMode="External"/><Relationship Id="rId20" Type="http://schemas.openxmlformats.org/officeDocument/2006/relationships/hyperlink" Target="https://sbg.colorado.gov/sites/sbg/files/Headquarters%20Emp%20HSA%20final%2003102016_1_1.pdf" TargetMode="External"/><Relationship Id="rId22" Type="http://schemas.openxmlformats.org/officeDocument/2006/relationships/hyperlink" Target="https://sbg.colorado.gov/sites/sbg/files/AMA%20Final%2003142016_1_1.pdf" TargetMode="External"/><Relationship Id="rId21" Type="http://schemas.openxmlformats.org/officeDocument/2006/relationships/hyperlink" Target="https://sbg.colorado.gov/sites/sbg/files/SkinnyPineapple%20Final%2003102016_1_1.pdf" TargetMode="External"/><Relationship Id="rId24" Type="http://schemas.openxmlformats.org/officeDocument/2006/relationships/hyperlink" Target="https://sbg.colorado.gov/sites/sbg/files/MGI%20HSA%2003172016_1_1.pdf" TargetMode="External"/><Relationship Id="rId23" Type="http://schemas.openxmlformats.org/officeDocument/2006/relationships/hyperlink" Target="https://sbg.colorado.gov/sites/sbg/files/RR%20Services%20Final%2003142016_1_1.pdf" TargetMode="External"/><Relationship Id="rId26" Type="http://schemas.openxmlformats.org/officeDocument/2006/relationships/hyperlink" Target="https://sbg.colorado.gov/sites/sbg/files/Firehouse%20central%20final%2003232016%20%281%29_1.pdf" TargetMode="External"/><Relationship Id="rId25" Type="http://schemas.openxmlformats.org/officeDocument/2006/relationships/hyperlink" Target="https://sbg.colorado.gov/sites/sbg/files/Colorados%20Best%2003212016_1.pdf" TargetMode="External"/><Relationship Id="rId28" Type="http://schemas.openxmlformats.org/officeDocument/2006/relationships/hyperlink" Target="https://sbg.colorado.gov/sites/sbg/files/Wanna%20LLC%2004012016_1_1.pdf" TargetMode="External"/><Relationship Id="rId27" Type="http://schemas.openxmlformats.org/officeDocument/2006/relationships/hyperlink" Target="https://sbg.colorado.gov/sites/sbg/files/Health%20Depot%20LLC%2004012016_1_1.pdf" TargetMode="External"/><Relationship Id="rId29" Type="http://schemas.openxmlformats.org/officeDocument/2006/relationships/hyperlink" Target="https://sbg.colorado.gov/sites/sbg/files/ACME%20Healing%20Center%20of%20Ridgway%20LLC%2004052016_1_1.pdf" TargetMode="External"/><Relationship Id="rId11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0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3" Type="http://schemas.openxmlformats.org/officeDocument/2006/relationships/hyperlink" Target="https://sbg.colorado.gov/sites/sbg/files/MED%20Levity%20Advisory%2002192016_1_1.pdf" TargetMode="External"/><Relationship Id="rId12" Type="http://schemas.openxmlformats.org/officeDocument/2006/relationships/hyperlink" Target="https://www.centralmaine.com/2015/09/05/wellness-connection-of-maine-recalls-two-strains-of-medical-marijuana/" TargetMode="External"/><Relationship Id="rId15" Type="http://schemas.openxmlformats.org/officeDocument/2006/relationships/hyperlink" Target="https://sbg.colorado.gov/sites/sbg/files/2.23.16%20XG%20Platinum%20HSA_1_1.pdf" TargetMode="External"/><Relationship Id="rId14" Type="http://schemas.openxmlformats.org/officeDocument/2006/relationships/hyperlink" Target="https://sbg.colorado.gov/sites/sbg/files/MED%20Dr.%20Releaf%20Advisory%2002192016_1_1.pdf" TargetMode="External"/><Relationship Id="rId17" Type="http://schemas.openxmlformats.org/officeDocument/2006/relationships/hyperlink" Target="https://sbg.colorado.gov/sites/sbg/files/2.25.16%20BTTG%20final_1_1.pdf" TargetMode="External"/><Relationship Id="rId16" Type="http://schemas.openxmlformats.org/officeDocument/2006/relationships/hyperlink" Target="https://sbg.colorado.gov/sites/sbg/files/Health%20%26%20Safety%20Advisory%20-%20RMO%202-24-16%20Final_1_1.pdf" TargetMode="External"/><Relationship Id="rId19" Type="http://schemas.openxmlformats.org/officeDocument/2006/relationships/hyperlink" Target="https://sbg.colorado.gov/sites/sbg/files/CNW%20Final%2003092016_1.pdf" TargetMode="External"/><Relationship Id="rId18" Type="http://schemas.openxmlformats.org/officeDocument/2006/relationships/hyperlink" Target="https://sbg.colorado.gov/sites/sbg/files/160307%20Advisory%20-%20Sunrise%20Solutions_Final%20%281%29_2_1.pdf" TargetMode="External"/><Relationship Id="rId84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83" Type="http://schemas.openxmlformats.org/officeDocument/2006/relationships/hyperlink" Target="https://drive.google.com/open?id=1RJSbwmD5DzoI-E09vDshbUATjN9wvx6h" TargetMode="External"/><Relationship Id="rId86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85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88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87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89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80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82" Type="http://schemas.openxmlformats.org/officeDocument/2006/relationships/hyperlink" Target="https://www.commerce.alaska.gov/web/Portals/9/pub/MCB/Minutes/2020/01.23/Tab6.pdf" TargetMode="External"/><Relationship Id="rId81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73" Type="http://schemas.openxmlformats.org/officeDocument/2006/relationships/hyperlink" Target="https://lcb.wa.gov/marj/notice_of_recalls" TargetMode="External"/><Relationship Id="rId72" Type="http://schemas.openxmlformats.org/officeDocument/2006/relationships/hyperlink" Target="https://lcb.wa.gov/marj/notice_of_recalls" TargetMode="External"/><Relationship Id="rId75" Type="http://schemas.openxmlformats.org/officeDocument/2006/relationships/hyperlink" Target="https://lcb.wa.gov/marj/notice_of_recalls" TargetMode="External"/><Relationship Id="rId74" Type="http://schemas.openxmlformats.org/officeDocument/2006/relationships/hyperlink" Target="https://lcb.wa.gov/marj/notice_of_recalls" TargetMode="External"/><Relationship Id="rId77" Type="http://schemas.openxmlformats.org/officeDocument/2006/relationships/hyperlink" Target="https://lcb.wa.gov/marj/notice_of_recalls" TargetMode="External"/><Relationship Id="rId76" Type="http://schemas.openxmlformats.org/officeDocument/2006/relationships/hyperlink" Target="https://lcb.wa.gov/marj/notice_of_recalls" TargetMode="External"/><Relationship Id="rId79" Type="http://schemas.openxmlformats.org/officeDocument/2006/relationships/hyperlink" Target="https://sbg.colorado.gov/sites/sbg/files/documents/190816%20Public%20Health%20and%20Safety%20Advisory-%20Herbal%20Wellness%2C%20LLC.pdf" TargetMode="External"/><Relationship Id="rId78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71" Type="http://schemas.openxmlformats.org/officeDocument/2006/relationships/hyperlink" Target="https://lcb.wa.gov/marj/notice_of_recalls" TargetMode="External"/><Relationship Id="rId70" Type="http://schemas.openxmlformats.org/officeDocument/2006/relationships/hyperlink" Target="https://lcb.wa.gov/marj/notice_of_recalls" TargetMode="External"/><Relationship Id="rId62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61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64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63" Type="http://schemas.openxmlformats.org/officeDocument/2006/relationships/hyperlink" Target="https://lcb.wa.gov/marj/notice_of_recalls" TargetMode="External"/><Relationship Id="rId66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65" Type="http://schemas.openxmlformats.org/officeDocument/2006/relationships/hyperlink" Target="https://sbg.colorado.gov/sites/sbg/files/HSA%20Mile%20High%20Medical%2004112019.pdf" TargetMode="External"/><Relationship Id="rId68" Type="http://schemas.openxmlformats.org/officeDocument/2006/relationships/hyperlink" Target="https://lcb.wa.gov/marj/notice_of_recalls" TargetMode="External"/><Relationship Id="rId67" Type="http://schemas.openxmlformats.org/officeDocument/2006/relationships/hyperlink" Target="https://lcb.wa.gov/marj/notice_of_recalls" TargetMode="External"/><Relationship Id="rId60" Type="http://schemas.openxmlformats.org/officeDocument/2006/relationships/hyperlink" Target="https://sbg.colorado.gov/sites/sbg/files/Crossroads%20Wellness%20HSA%20Final.pdf" TargetMode="External"/><Relationship Id="rId69" Type="http://schemas.openxmlformats.org/officeDocument/2006/relationships/hyperlink" Target="https://lcb.wa.gov/marj/notice_of_recalls" TargetMode="External"/><Relationship Id="rId51" Type="http://schemas.openxmlformats.org/officeDocument/2006/relationships/hyperlink" Target="https://lcb.wa.gov/marj/notice_of_recalls" TargetMode="External"/><Relationship Id="rId50" Type="http://schemas.openxmlformats.org/officeDocument/2006/relationships/hyperlink" Target="https://sbg.colorado.gov/sites/sbg/files/documents/Metro%20Denver%20Telluride%20HSA%2007202017.pdf" TargetMode="External"/><Relationship Id="rId53" Type="http://schemas.openxmlformats.org/officeDocument/2006/relationships/hyperlink" Target="https://sbg.colorado.gov/sites/sbg/files/HSATree%20of%20Wellness%2011032017_2.pdf" TargetMode="External"/><Relationship Id="rId52" Type="http://schemas.openxmlformats.org/officeDocument/2006/relationships/hyperlink" Target="https://drive.google.com/file/d/1ujY1WAdeo6T8TUTehRd0N3O8ayw5eAsD/view?usp=sharing" TargetMode="External"/><Relationship Id="rId55" Type="http://schemas.openxmlformats.org/officeDocument/2006/relationships/hyperlink" Target="https://sbg.colorado.gov/sites/sbg/files/HSA%20Pikes%20Peak%20Cannabis%20Caregivers%20for%20Life%20402-00123%20and%20403-01328_1.pdf" TargetMode="External"/><Relationship Id="rId54" Type="http://schemas.openxmlformats.org/officeDocument/2006/relationships/hyperlink" Target="https://sbg.colorado.gov/sites/sbg/files/HSA%20Citi-Med%2011172017_2.pdf" TargetMode="External"/><Relationship Id="rId57" Type="http://schemas.openxmlformats.org/officeDocument/2006/relationships/hyperlink" Target="https://sbg.colorado.gov/sites/sbg/files/01242018%20Bronner%20Corp%20HSA.pdf" TargetMode="External"/><Relationship Id="rId56" Type="http://schemas.openxmlformats.org/officeDocument/2006/relationships/hyperlink" Target="https://www.upi.com/Top_News/US/2018/12/24/California-marijuana-recall-threatens-state-cannabis-industry/3001545673498/" TargetMode="External"/><Relationship Id="rId59" Type="http://schemas.openxmlformats.org/officeDocument/2006/relationships/hyperlink" Target="https://sbg.colorado.gov/sites/sbg/files/181121%20HSA%20CWC.pdf" TargetMode="External"/><Relationship Id="rId58" Type="http://schemas.openxmlformats.org/officeDocument/2006/relationships/hyperlink" Target="https://lcb.wa.gov/marj/notice_of_recalls" TargetMode="External"/><Relationship Id="rId107" Type="http://schemas.openxmlformats.org/officeDocument/2006/relationships/hyperlink" Target="https://lcb.wa.gov/marj/notice_of_recalls" TargetMode="External"/><Relationship Id="rId106" Type="http://schemas.openxmlformats.org/officeDocument/2006/relationships/hyperlink" Target="https://lcb.wa.gov/marj/notice_of_recalls" TargetMode="External"/><Relationship Id="rId105" Type="http://schemas.openxmlformats.org/officeDocument/2006/relationships/hyperlink" Target="https://ccbnvdev.wpengine.com/wp-content/uploads/2021/02/CCB-Public-Health-and-Safety-Advisory-2021-01.pdf" TargetMode="External"/><Relationship Id="rId104" Type="http://schemas.openxmlformats.org/officeDocument/2006/relationships/hyperlink" Target="https://sbg.colorado.gov/sites/sbg/files/documents/210210%20FINAL%20Medically%20Correct%20HSA.pdf" TargetMode="External"/><Relationship Id="rId109" Type="http://schemas.openxmlformats.org/officeDocument/2006/relationships/hyperlink" Target="https://lcb.wa.gov/marj/notice_of_recalls" TargetMode="External"/><Relationship Id="rId108" Type="http://schemas.openxmlformats.org/officeDocument/2006/relationships/hyperlink" Target="https://sbg.colorado.gov/sites/sbg/files/documents/20210330%20TZ%20Financial%20LLC%20403R-00123%20HSA%20Final.pdf" TargetMode="External"/><Relationship Id="rId103" Type="http://schemas.openxmlformats.org/officeDocument/2006/relationships/hyperlink" Target="https://sbg.colorado.gov/sites/sbg/files/documents/Health%20and%20Safety%20Advisory%20-%20Carrick-Harvest%20LLC.pdf" TargetMode="External"/><Relationship Id="rId102" Type="http://schemas.openxmlformats.org/officeDocument/2006/relationships/hyperlink" Target="https://www.oregon.gov/olcc/Docs/news/news_releases/2021/nr_010621_MJ_PR_Medical_Marijuana_Recall.pdf" TargetMode="External"/><Relationship Id="rId101" Type="http://schemas.openxmlformats.org/officeDocument/2006/relationships/hyperlink" Target="https://www.oregon.gov/olcc/Docs/news/news_releases/2021/nr_010621_MJ_PR_Medical_Marijuana_Recall.pdf" TargetMode="External"/><Relationship Id="rId100" Type="http://schemas.openxmlformats.org/officeDocument/2006/relationships/hyperlink" Target="https://www.oregon.gov/olcc/Docs/news/news_releases/2020/nr_121120_Cannabis_Product_Recall.pdf" TargetMode="External"/><Relationship Id="rId215" Type="http://schemas.openxmlformats.org/officeDocument/2006/relationships/drawing" Target="../drawings/drawing6.xml"/><Relationship Id="rId214" Type="http://schemas.openxmlformats.org/officeDocument/2006/relationships/hyperlink" Target="https://lcb.wa.gov/marj/notice_of_recalls" TargetMode="External"/><Relationship Id="rId213" Type="http://schemas.openxmlformats.org/officeDocument/2006/relationships/hyperlink" Target="https://www.oregon.gov/olcc/Docs/news/news_releases/2023/nr071323-Cannabis-Arsenic-Recall.pdf" TargetMode="External"/><Relationship Id="rId212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211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210" Type="http://schemas.openxmlformats.org/officeDocument/2006/relationships/hyperlink" Target="https://sbg.colorado.gov/sites/sbg/files/documents/230824%20P2C3%2C%20LLC%20HSA%20%20Revised.pdf" TargetMode="External"/><Relationship Id="rId129" Type="http://schemas.openxmlformats.org/officeDocument/2006/relationships/hyperlink" Target="https://chicago.suntimes.com/2021/12/10/22821308/marijuana-regulation-illinois-legal-weed-mag-landrace-consumers-cannabis-industry" TargetMode="External"/><Relationship Id="rId128" Type="http://schemas.openxmlformats.org/officeDocument/2006/relationships/hyperlink" Target="https://sbg.colorado.gov/sites/sbg/files/documents/Health_and_Safety_Advisory_Tree_Farmers_LLC_211208.pdf" TargetMode="External"/><Relationship Id="rId127" Type="http://schemas.openxmlformats.org/officeDocument/2006/relationships/hyperlink" Target="https://codor.mylicense.com/MED_Verification/Details.aspx?result=0e6b0f87-acc7-4f89-b7d6-04bcc788c841" TargetMode="External"/><Relationship Id="rId126" Type="http://schemas.openxmlformats.org/officeDocument/2006/relationships/hyperlink" Target="https://drive.google.com/file/d/1ap4Pkw4aJxhvzy9G0tbZNkViwE69_6Ry/view?usp=sharing" TargetMode="External"/><Relationship Id="rId121" Type="http://schemas.openxmlformats.org/officeDocument/2006/relationships/hyperlink" Target="https://sbg.colorado.gov/sites/sbg/files/Health_and_Safety_Advisory_The_Chronic_Factory_LLC.pdf" TargetMode="External"/><Relationship Id="rId120" Type="http://schemas.openxmlformats.org/officeDocument/2006/relationships/hyperlink" Target="https://www.oregon.gov/olcc/Docs/news/news_releases/2021/nr092421-Cannabis-Product-Recall-Expanded-Cura-Select-THC.pdf" TargetMode="External"/><Relationship Id="rId125" Type="http://schemas.openxmlformats.org/officeDocument/2006/relationships/hyperlink" Target="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124" Type="http://schemas.openxmlformats.org/officeDocument/2006/relationships/hyperlink" Target="https://www.floridahealth.gov/_documents/newsroom/press-releases/2021/11/20211108-cur-press-release.pdf" TargetMode="External"/><Relationship Id="rId123" Type="http://schemas.openxmlformats.org/officeDocument/2006/relationships/hyperlink" Target="https://www.azdhs.gov/director/public-information-office/index.php" TargetMode="External"/><Relationship Id="rId122" Type="http://schemas.openxmlformats.org/officeDocument/2006/relationships/hyperlink" Target="https://ccbnvdev.wpengine.com/wp-content/uploads/2021/11/Public-Health-and-Safety-Bulletin-2021-2-for-release.pdf" TargetMode="External"/><Relationship Id="rId95" Type="http://schemas.openxmlformats.org/officeDocument/2006/relationships/hyperlink" Target="https://drive.google.com/file/d/15p7-15uOMGjz84uqEYz5hpUljx-oP62p/view" TargetMode="External"/><Relationship Id="rId94" Type="http://schemas.openxmlformats.org/officeDocument/2006/relationships/hyperlink" Target="https://www.floridahealth.gov/newsroom/2020/08/081820-ommu-press-release.pr.html" TargetMode="External"/><Relationship Id="rId97" Type="http://schemas.openxmlformats.org/officeDocument/2006/relationships/hyperlink" Target="https://drive.google.com/file/d/1xowig7vPtl-lz_xUAALt3DIxeGua1xY6/view?usp=sharing" TargetMode="External"/><Relationship Id="rId96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99" Type="http://schemas.openxmlformats.org/officeDocument/2006/relationships/hyperlink" Target="https://lcb.wa.gov/marj/notice_of_recalls" TargetMode="External"/><Relationship Id="rId98" Type="http://schemas.openxmlformats.org/officeDocument/2006/relationships/hyperlink" Target="https://sbg.colorado.gov/sites/sbg/files/201105%20HSA%20Physician%20Preferred%20Products%20LLC%20403-01905.pdf" TargetMode="External"/><Relationship Id="rId91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90" Type="http://schemas.openxmlformats.org/officeDocument/2006/relationships/hyperlink" Target="https://drive.google.com/open?id=1oZxftn0twX4egl0ZPGDbIi0UL12ey3uS" TargetMode="External"/><Relationship Id="rId93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92" Type="http://schemas.openxmlformats.org/officeDocument/2006/relationships/hyperlink" Target="https://drive.google.com/file/d/1fA2Md16UM1sp028SKLWjIme7_Cvc_3Qs/view" TargetMode="External"/><Relationship Id="rId118" Type="http://schemas.openxmlformats.org/officeDocument/2006/relationships/hyperlink" Target="https://www.oregon.gov/olcc/Docs/news/news_releases/2021/nr092121-Cannabis-Product-Recall-Cura-Select-CBD.pdf" TargetMode="External"/><Relationship Id="rId117" Type="http://schemas.openxmlformats.org/officeDocument/2006/relationships/hyperlink" Target="https://lcb.wa.gov/marj/notice_of_recalls" TargetMode="External"/><Relationship Id="rId116" Type="http://schemas.openxmlformats.org/officeDocument/2006/relationships/hyperlink" Target="https://lcb.wa.gov/marj/notice_of_recalls" TargetMode="External"/><Relationship Id="rId115" Type="http://schemas.openxmlformats.org/officeDocument/2006/relationships/hyperlink" Target="https://ccbnvdev.wpengine.com/wp-content/uploads/2021/07/Corrected-CCB-Public-Health-and-Safety-Bulletin-2021-1.pdf" TargetMode="External"/><Relationship Id="rId119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110" Type="http://schemas.openxmlformats.org/officeDocument/2006/relationships/hyperlink" Target="https://sbg.colorado.gov/sites/sbg/files/documents/210419%20HSA%20Primal%20LLC%20402-01058%20Final.pdf" TargetMode="External"/><Relationship Id="rId114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113" Type="http://schemas.openxmlformats.org/officeDocument/2006/relationships/hyperlink" Target="https://www.azdhs.gov/director/public-information-office/index.php" TargetMode="External"/><Relationship Id="rId112" Type="http://schemas.openxmlformats.org/officeDocument/2006/relationships/hyperlink" Target="https://www.oregon.gov/olcc/Docs/news/news_releases/2021/nr052121_MJ_PR_Recall_Naked_Extracts.pdf" TargetMode="External"/><Relationship Id="rId111" Type="http://schemas.openxmlformats.org/officeDocument/2006/relationships/hyperlink" Target="https://headynj.com/recall-of-moldy-curaleaf-cannabis-sold-by-curaleaf-gti-rise-issued/" TargetMode="External"/><Relationship Id="rId206" Type="http://schemas.openxmlformats.org/officeDocument/2006/relationships/hyperlink" Target="https://www.oregon.gov/olcc/Docs/news/news_releases/2023/nr071323-Cannabis-Arsenic-Recall.pdf" TargetMode="External"/><Relationship Id="rId205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204" Type="http://schemas.openxmlformats.org/officeDocument/2006/relationships/hyperlink" Target="https://www.oregon.gov/olcc/Docs/news/news_releases/2023/nr062623-Cannabis-Recall.pdf" TargetMode="External"/><Relationship Id="rId203" Type="http://schemas.openxmlformats.org/officeDocument/2006/relationships/hyperlink" Target="https://ccb.nv.gov/wp-content/uploads/2023/06/CCB-Public-Health-and-Safety-Bulletin-2023-03-6-23-23for-release-1.pdf" TargetMode="External"/><Relationship Id="rId209" Type="http://schemas.openxmlformats.org/officeDocument/2006/relationships/hyperlink" Target="https://cannabis.ca.gov/2023/07/voluntary-recall-last-minute-venture-llc-cannalean-brand-products/" TargetMode="External"/><Relationship Id="rId208" Type="http://schemas.openxmlformats.org/officeDocument/2006/relationships/hyperlink" Target="https://www.azdhs.gov/director/public-information-office/index.php" TargetMode="External"/><Relationship Id="rId207" Type="http://schemas.openxmlformats.org/officeDocument/2006/relationships/hyperlink" Target="https://www.azdhs.gov/director/public-information-office/index.php" TargetMode="External"/><Relationship Id="rId202" Type="http://schemas.openxmlformats.org/officeDocument/2006/relationships/hyperlink" Target="https://sbg.colorado.gov/sites/sbg/files/documents/230622%20Tumbleweed%20Steamboat%20LLC%20HSA%20memo.pdf" TargetMode="External"/><Relationship Id="rId201" Type="http://schemas.openxmlformats.org/officeDocument/2006/relationships/hyperlink" Target="https://www.oregon.gov/olcc/marijuana/Documents/Recall-Notice-Covert-Extracts.pdf" TargetMode="External"/><Relationship Id="rId200" Type="http://schemas.openxmlformats.org/officeDocument/2006/relationships/hyperlink" Target="https://sbg.colorado.gov/sites/sbg/files/documents/230612%20HSA%20Kind%20Care%20of%20Colorado%20LLC%20402-00841%20%26%20402R-00516.pdf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://f2.5.13.21.bz" TargetMode="External"/><Relationship Id="rId2" Type="http://schemas.openxmlformats.org/officeDocument/2006/relationships/hyperlink" Target="http://f2.5.13.21.cc" TargetMode="External"/><Relationship Id="rId3" Type="http://schemas.openxmlformats.org/officeDocument/2006/relationships/hyperlink" Target="http://f2.5.13.21.cd" TargetMode="External"/><Relationship Id="rId4" Type="http://schemas.openxmlformats.org/officeDocument/2006/relationships/hyperlink" Target="http://flwr-gh3.bz" TargetMode="External"/><Relationship Id="rId9" Type="http://schemas.openxmlformats.org/officeDocument/2006/relationships/hyperlink" Target="http://f1.6.22.21.bz" TargetMode="External"/><Relationship Id="rId5" Type="http://schemas.openxmlformats.org/officeDocument/2006/relationships/hyperlink" Target="http://f2.5.13.21.pk" TargetMode="External"/><Relationship Id="rId6" Type="http://schemas.openxmlformats.org/officeDocument/2006/relationships/hyperlink" Target="http://flwr-gh3.cc" TargetMode="External"/><Relationship Id="rId7" Type="http://schemas.openxmlformats.org/officeDocument/2006/relationships/hyperlink" Target="http://f2.5.13.21.ro" TargetMode="External"/><Relationship Id="rId8" Type="http://schemas.openxmlformats.org/officeDocument/2006/relationships/hyperlink" Target="http://f2.5.13.21.tg" TargetMode="External"/><Relationship Id="rId40" Type="http://schemas.openxmlformats.org/officeDocument/2006/relationships/hyperlink" Target="http://f2.12.22.21.pt" TargetMode="External"/><Relationship Id="rId41" Type="http://schemas.openxmlformats.org/officeDocument/2006/relationships/drawing" Target="../drawings/drawing8.xml"/><Relationship Id="rId31" Type="http://schemas.openxmlformats.org/officeDocument/2006/relationships/hyperlink" Target="http://flwr-gh3.ms" TargetMode="External"/><Relationship Id="rId30" Type="http://schemas.openxmlformats.org/officeDocument/2006/relationships/hyperlink" Target="http://flwr-gh3.cc" TargetMode="External"/><Relationship Id="rId33" Type="http://schemas.openxmlformats.org/officeDocument/2006/relationships/hyperlink" Target="http://f2.10.14.21.br" TargetMode="External"/><Relationship Id="rId32" Type="http://schemas.openxmlformats.org/officeDocument/2006/relationships/hyperlink" Target="http://flwr-gh3.sb" TargetMode="External"/><Relationship Id="rId35" Type="http://schemas.openxmlformats.org/officeDocument/2006/relationships/hyperlink" Target="http://gh1.11.10.21.pk" TargetMode="External"/><Relationship Id="rId34" Type="http://schemas.openxmlformats.org/officeDocument/2006/relationships/hyperlink" Target="http://gh2.10.27.21.mc" TargetMode="External"/><Relationship Id="rId37" Type="http://schemas.openxmlformats.org/officeDocument/2006/relationships/hyperlink" Target="http://gh1.11.10.21.bz" TargetMode="External"/><Relationship Id="rId36" Type="http://schemas.openxmlformats.org/officeDocument/2006/relationships/hyperlink" Target="http://gh2.10.27.21.sb" TargetMode="External"/><Relationship Id="rId39" Type="http://schemas.openxmlformats.org/officeDocument/2006/relationships/hyperlink" Target="http://ld.12.15.21.cc" TargetMode="External"/><Relationship Id="rId38" Type="http://schemas.openxmlformats.org/officeDocument/2006/relationships/hyperlink" Target="http://gh2.10.27.21.cc" TargetMode="External"/><Relationship Id="rId20" Type="http://schemas.openxmlformats.org/officeDocument/2006/relationships/hyperlink" Target="http://f2.3.13.21.bz" TargetMode="External"/><Relationship Id="rId22" Type="http://schemas.openxmlformats.org/officeDocument/2006/relationships/hyperlink" Target="http://f2.3.13.21.tg" TargetMode="External"/><Relationship Id="rId21" Type="http://schemas.openxmlformats.org/officeDocument/2006/relationships/hyperlink" Target="http://gh3.7.9.21.tg" TargetMode="External"/><Relationship Id="rId24" Type="http://schemas.openxmlformats.org/officeDocument/2006/relationships/hyperlink" Target="http://f2.3.13.21.sb" TargetMode="External"/><Relationship Id="rId23" Type="http://schemas.openxmlformats.org/officeDocument/2006/relationships/hyperlink" Target="http://f2.7.22.21.mc" TargetMode="External"/><Relationship Id="rId26" Type="http://schemas.openxmlformats.org/officeDocument/2006/relationships/hyperlink" Target="http://f1.8.27.21.ms" TargetMode="External"/><Relationship Id="rId25" Type="http://schemas.openxmlformats.org/officeDocument/2006/relationships/hyperlink" Target="http://f2.7.22.21.ms" TargetMode="External"/><Relationship Id="rId28" Type="http://schemas.openxmlformats.org/officeDocument/2006/relationships/hyperlink" Target="http://flwr-gh3.bz" TargetMode="External"/><Relationship Id="rId27" Type="http://schemas.openxmlformats.org/officeDocument/2006/relationships/hyperlink" Target="http://flwr-gh3.gg" TargetMode="External"/><Relationship Id="rId29" Type="http://schemas.openxmlformats.org/officeDocument/2006/relationships/hyperlink" Target="http://flwr-gh3.tg" TargetMode="External"/><Relationship Id="rId11" Type="http://schemas.openxmlformats.org/officeDocument/2006/relationships/hyperlink" Target="http://gh3.7.9.21.bz" TargetMode="External"/><Relationship Id="rId10" Type="http://schemas.openxmlformats.org/officeDocument/2006/relationships/hyperlink" Target="http://gh2.10.27.21.sb" TargetMode="External"/><Relationship Id="rId13" Type="http://schemas.openxmlformats.org/officeDocument/2006/relationships/hyperlink" Target="http://f2.1.20.21.mc" TargetMode="External"/><Relationship Id="rId12" Type="http://schemas.openxmlformats.org/officeDocument/2006/relationships/hyperlink" Target="http://gh3.7.9.21.cc" TargetMode="External"/><Relationship Id="rId15" Type="http://schemas.openxmlformats.org/officeDocument/2006/relationships/hyperlink" Target="http://gh2.1.20.21.cc" TargetMode="External"/><Relationship Id="rId14" Type="http://schemas.openxmlformats.org/officeDocument/2006/relationships/hyperlink" Target="http://gh3.7.9.21.cd" TargetMode="External"/><Relationship Id="rId17" Type="http://schemas.openxmlformats.org/officeDocument/2006/relationships/hyperlink" Target="http://gh3.7.9.21.ms" TargetMode="External"/><Relationship Id="rId16" Type="http://schemas.openxmlformats.org/officeDocument/2006/relationships/hyperlink" Target="http://f1.2.16.21.br" TargetMode="External"/><Relationship Id="rId19" Type="http://schemas.openxmlformats.org/officeDocument/2006/relationships/hyperlink" Target="http://gh3.7.9.21.sb" TargetMode="External"/><Relationship Id="rId18" Type="http://schemas.openxmlformats.org/officeDocument/2006/relationships/hyperlink" Target="http://gh3.7.9.21.pk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sbg.colorado.gov/sites/sbg/files/MED%20Levity%20Advisory%2002192016_1_1.pdf" TargetMode="External"/><Relationship Id="rId2" Type="http://schemas.openxmlformats.org/officeDocument/2006/relationships/hyperlink" Target="https://sbg.colorado.gov/sites/sbg/files/MED%20Dr.%20Releaf%20Advisory%2002192016_1_1.pdf" TargetMode="External"/><Relationship Id="rId3" Type="http://schemas.openxmlformats.org/officeDocument/2006/relationships/hyperlink" Target="https://sbg.colorado.gov/sites/sbg/files/2.23.16%20XG%20Platinum%20HSA_1_1.pdf" TargetMode="External"/><Relationship Id="rId4" Type="http://schemas.openxmlformats.org/officeDocument/2006/relationships/hyperlink" Target="https://sbg.colorado.gov/sites/sbg/files/Health%20%26%20Safety%20Advisory%20-%20RMO%202-24-16%20Final_1_1.pdf" TargetMode="External"/><Relationship Id="rId9" Type="http://schemas.openxmlformats.org/officeDocument/2006/relationships/hyperlink" Target="https://sbg.colorado.gov/sites/sbg/files/SkinnyPineapple%20Final%2003102016_1_1.pdf" TargetMode="External"/><Relationship Id="rId5" Type="http://schemas.openxmlformats.org/officeDocument/2006/relationships/hyperlink" Target="https://sbg.colorado.gov/sites/sbg/files/2.25.16%20BTTG%20final_1_1.pdf" TargetMode="External"/><Relationship Id="rId6" Type="http://schemas.openxmlformats.org/officeDocument/2006/relationships/hyperlink" Target="https://sbg.colorado.gov/sites/sbg/files/160307%20Advisory%20-%20Sunrise%20Solutions_Final%20%281%29_2_1.pdf" TargetMode="External"/><Relationship Id="rId7" Type="http://schemas.openxmlformats.org/officeDocument/2006/relationships/hyperlink" Target="https://sbg.colorado.gov/sites/sbg/files/CNW%20Final%2003092016_1.pdf" TargetMode="External"/><Relationship Id="rId8" Type="http://schemas.openxmlformats.org/officeDocument/2006/relationships/hyperlink" Target="https://sbg.colorado.gov/sites/sbg/files/Headquarters%20Emp%20HSA%20final%2003102016_1_1.pdf" TargetMode="External"/><Relationship Id="rId130" Type="http://schemas.openxmlformats.org/officeDocument/2006/relationships/drawing" Target="../drawings/drawing9.xml"/><Relationship Id="rId40" Type="http://schemas.openxmlformats.org/officeDocument/2006/relationships/hyperlink" Target="https://sbg.colorado.gov/sites/sbg/files/01242018%20Bronner%20Corp%20HSA.pdf" TargetMode="External"/><Relationship Id="rId42" Type="http://schemas.openxmlformats.org/officeDocument/2006/relationships/hyperlink" Target="https://sbg.colorado.gov/sites/sbg/files/Crossroads%20Wellness%20HSA%20Final.pdf" TargetMode="External"/><Relationship Id="rId41" Type="http://schemas.openxmlformats.org/officeDocument/2006/relationships/hyperlink" Target="https://sbg.colorado.gov/sites/sbg/files/181121%20HSA%20CWC.pdf" TargetMode="External"/><Relationship Id="rId44" Type="http://schemas.openxmlformats.org/officeDocument/2006/relationships/hyperlink" Target="https://sbg.colorado.gov/sites/sbg/files/documents/190816%20Public%20Health%20and%20Safety%20Advisory-%20Herbal%20Wellness%2C%20LLC.pdf" TargetMode="External"/><Relationship Id="rId43" Type="http://schemas.openxmlformats.org/officeDocument/2006/relationships/hyperlink" Target="https://sbg.colorado.gov/sites/sbg/files/HSA%20Mile%20High%20Medical%2004112019.pdf" TargetMode="External"/><Relationship Id="rId46" Type="http://schemas.openxmlformats.org/officeDocument/2006/relationships/hyperlink" Target="https://drive.google.com/open?id=1RJSbwmD5DzoI-E09vDshbUATjN9wvx6h" TargetMode="External"/><Relationship Id="rId45" Type="http://schemas.openxmlformats.org/officeDocument/2006/relationships/hyperlink" Target="https://sbg.colorado.gov/sites/sbg/files/documents/190816%20Public%20Health%20and%20Safety%20Advisory-%20Herbal%20Wellness%2C%20LLC.pdf" TargetMode="External"/><Relationship Id="rId48" Type="http://schemas.openxmlformats.org/officeDocument/2006/relationships/hyperlink" Target="https://drive.google.com/file/d/1fA2Md16UM1sp028SKLWjIme7_Cvc_3Qs/view" TargetMode="External"/><Relationship Id="rId47" Type="http://schemas.openxmlformats.org/officeDocument/2006/relationships/hyperlink" Target="https://drive.google.com/open?id=1oZxftn0twX4egl0ZPGDbIi0UL12ey3uS" TargetMode="External"/><Relationship Id="rId49" Type="http://schemas.openxmlformats.org/officeDocument/2006/relationships/hyperlink" Target="https://drive.google.com/file/d/15p7-15uOMGjz84uqEYz5hpUljx-oP62p/view" TargetMode="External"/><Relationship Id="rId31" Type="http://schemas.openxmlformats.org/officeDocument/2006/relationships/hyperlink" Target="https://drive.google.com/file/d/1VfVYuvXn63TWF1ZzeDR83DcrX1qkO9Yt/view?usp=sharing" TargetMode="External"/><Relationship Id="rId30" Type="http://schemas.openxmlformats.org/officeDocument/2006/relationships/hyperlink" Target="https://sbg.colorado.gov/sites/sbg/files/HSA%20Wash%20Park%20Boutique%20HSA%2009232016_1.pdf" TargetMode="External"/><Relationship Id="rId33" Type="http://schemas.openxmlformats.org/officeDocument/2006/relationships/hyperlink" Target="https://sbg.colorado.gov/sites/sbg/files/Rocky%20Mtn%20Ways%20HSA%2004262017_1_1.pdf" TargetMode="External"/><Relationship Id="rId32" Type="http://schemas.openxmlformats.org/officeDocument/2006/relationships/hyperlink" Target="https://sbg.colorado.gov/sites/sbg/files/Herbal%20Options%20HSA%2004262017_1_1.pdf" TargetMode="External"/><Relationship Id="rId35" Type="http://schemas.openxmlformats.org/officeDocument/2006/relationships/hyperlink" Target="https://sbg.colorado.gov/sites/sbg/files/documents/Metro%20Denver%20Telluride%20HSA%2007202017.pdf" TargetMode="External"/><Relationship Id="rId34" Type="http://schemas.openxmlformats.org/officeDocument/2006/relationships/hyperlink" Target="https://sbg.colorado.gov/sites/sbg/files/documents/7.19%20Kirke.pdf" TargetMode="External"/><Relationship Id="rId37" Type="http://schemas.openxmlformats.org/officeDocument/2006/relationships/hyperlink" Target="https://sbg.colorado.gov/sites/sbg/files/HSATree%20of%20Wellness%2011032017_2.pdf" TargetMode="External"/><Relationship Id="rId36" Type="http://schemas.openxmlformats.org/officeDocument/2006/relationships/hyperlink" Target="https://drive.google.com/file/d/1ujY1WAdeo6T8TUTehRd0N3O8ayw5eAsD/view?usp=sharing" TargetMode="External"/><Relationship Id="rId39" Type="http://schemas.openxmlformats.org/officeDocument/2006/relationships/hyperlink" Target="https://sbg.colorado.gov/sites/sbg/files/HSA%20Pikes%20Peak%20Cannabis%20Caregivers%20for%20Life%20402-00123%20and%20403-01328_1.pdf" TargetMode="External"/><Relationship Id="rId38" Type="http://schemas.openxmlformats.org/officeDocument/2006/relationships/hyperlink" Target="https://sbg.colorado.gov/sites/sbg/files/HSA%20Citi-Med%2011172017_2.pdf" TargetMode="External"/><Relationship Id="rId20" Type="http://schemas.openxmlformats.org/officeDocument/2006/relationships/hyperlink" Target="https://sbg.colorado.gov/sites/sbg/files/Grow%20Life%20HSA%2004212016_1_1.pdf" TargetMode="External"/><Relationship Id="rId22" Type="http://schemas.openxmlformats.org/officeDocument/2006/relationships/hyperlink" Target="https://sbg.colorado.gov/sites/sbg/files/Kazimer%20HSA%20%2004162016_1_1.pdf" TargetMode="External"/><Relationship Id="rId21" Type="http://schemas.openxmlformats.org/officeDocument/2006/relationships/hyperlink" Target="https://sbg.colorado.gov/sites/sbg/files/Medicine%20Man%20HSA%2004222016_1.pdf" TargetMode="External"/><Relationship Id="rId24" Type="http://schemas.openxmlformats.org/officeDocument/2006/relationships/hyperlink" Target="https://sbg.colorado.gov/sites/sbg/files/Biomeds%20HSA%2005232016_1_1.pdf" TargetMode="External"/><Relationship Id="rId23" Type="http://schemas.openxmlformats.org/officeDocument/2006/relationships/hyperlink" Target="https://sbg.colorado.gov/sites/sbg/files/Best%20Budz%20HSA%2005232016_1_1.pdf" TargetMode="External"/><Relationship Id="rId26" Type="http://schemas.openxmlformats.org/officeDocument/2006/relationships/hyperlink" Target="https://sbg.colorado.gov/sites/sbg/files/9.7.16%20Green%20Naturals%20HSA_1.pdf" TargetMode="External"/><Relationship Id="rId25" Type="http://schemas.openxmlformats.org/officeDocument/2006/relationships/hyperlink" Target="https://sbg.colorado.gov/sites/sbg/files/9.7.16%20AMOCH%20HSA_1.pdf" TargetMode="External"/><Relationship Id="rId28" Type="http://schemas.openxmlformats.org/officeDocument/2006/relationships/hyperlink" Target="https://sbg.colorado.gov/sites/sbg/files/9.13.16%20The%20Tea%20Pot_1.pdf" TargetMode="External"/><Relationship Id="rId27" Type="http://schemas.openxmlformats.org/officeDocument/2006/relationships/hyperlink" Target="https://sbg.colorado.gov/sites/sbg/files/9.13.16%20Southern%20Colorado%20HSA_1.pdf" TargetMode="External"/><Relationship Id="rId29" Type="http://schemas.openxmlformats.org/officeDocument/2006/relationships/hyperlink" Target="https://sbg.colorado.gov/sites/sbg/files/JVT%20Enterprises%20HSA%2009232016_1.pdf" TargetMode="External"/><Relationship Id="rId11" Type="http://schemas.openxmlformats.org/officeDocument/2006/relationships/hyperlink" Target="https://sbg.colorado.gov/sites/sbg/files/RR%20Services%20Final%2003142016_1_1.pdf" TargetMode="External"/><Relationship Id="rId10" Type="http://schemas.openxmlformats.org/officeDocument/2006/relationships/hyperlink" Target="https://sbg.colorado.gov/sites/sbg/files/AMA%20Final%2003142016_1_1.pdf" TargetMode="External"/><Relationship Id="rId13" Type="http://schemas.openxmlformats.org/officeDocument/2006/relationships/hyperlink" Target="https://sbg.colorado.gov/sites/sbg/files/Colorados%20Best%2003212016_1.pdf" TargetMode="External"/><Relationship Id="rId12" Type="http://schemas.openxmlformats.org/officeDocument/2006/relationships/hyperlink" Target="https://sbg.colorado.gov/sites/sbg/files/MGI%20HSA%2003172016_1_1.pdf" TargetMode="External"/><Relationship Id="rId15" Type="http://schemas.openxmlformats.org/officeDocument/2006/relationships/hyperlink" Target="https://sbg.colorado.gov/sites/sbg/files/Health%20Depot%20LLC%2004012016_1_1.pdf" TargetMode="External"/><Relationship Id="rId14" Type="http://schemas.openxmlformats.org/officeDocument/2006/relationships/hyperlink" Target="https://sbg.colorado.gov/sites/sbg/files/Firehouse%20central%20final%2003232016%20%281%29_1.pdf" TargetMode="External"/><Relationship Id="rId17" Type="http://schemas.openxmlformats.org/officeDocument/2006/relationships/hyperlink" Target="https://sbg.colorado.gov/sites/sbg/files/ACME%20Healing%20Center%20of%20Ridgway%20LLC%2004052016_1_1.pdf" TargetMode="External"/><Relationship Id="rId16" Type="http://schemas.openxmlformats.org/officeDocument/2006/relationships/hyperlink" Target="https://sbg.colorado.gov/sites/sbg/files/Wanna%20LLC%2004012016_1_1.pdf" TargetMode="External"/><Relationship Id="rId19" Type="http://schemas.openxmlformats.org/officeDocument/2006/relationships/hyperlink" Target="https://sbg.colorado.gov/sites/sbg/files/J%20and%20J%2004072016_1_1.pdf" TargetMode="External"/><Relationship Id="rId18" Type="http://schemas.openxmlformats.org/officeDocument/2006/relationships/hyperlink" Target="https://sbg.colorado.gov/sites/sbg/files/Flower%20Power%20HSA%2004072016_1_1.pdf" TargetMode="External"/><Relationship Id="rId84" Type="http://schemas.openxmlformats.org/officeDocument/2006/relationships/hyperlink" Target="https://sbg.colorado.gov/sites/sbg/files/FINAL_HSA_Sissco_LLC_403-00840_403R-00333.pdf" TargetMode="External"/><Relationship Id="rId83" Type="http://schemas.openxmlformats.org/officeDocument/2006/relationships/hyperlink" Target="https://sbg.colorado.gov/sites/sbg/files/FINAL_HSA_Sissco_LLC_403-00840_403R-00333.pdf" TargetMode="External"/><Relationship Id="rId86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85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88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87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89" Type="http://schemas.openxmlformats.org/officeDocument/2006/relationships/hyperlink" Target="https://sbg.colorado.gov/sites/sbg/files/230309_CORRECTED_Health_and_Safety_Advisory_Green_Street_LLC.pdf" TargetMode="External"/><Relationship Id="rId80" Type="http://schemas.openxmlformats.org/officeDocument/2006/relationships/hyperlink" Target="https://sbg.colorado.gov/sites/sbg/files/221123_HSA_Beddor_Claude_LLC.docx.pdf" TargetMode="External"/><Relationship Id="rId82" Type="http://schemas.openxmlformats.org/officeDocument/2006/relationships/hyperlink" Target="https://sbg.colorado.gov/sites/sbg/files/FINAL_HSA_Jolet_Ventures_403R-00132.pdf" TargetMode="External"/><Relationship Id="rId81" Type="http://schemas.openxmlformats.org/officeDocument/2006/relationships/hyperlink" Target="https://sbg.colorado.gov/sites/sbg/files/221215_HSA_240_Arthur_Avenue_LLC.pdf" TargetMode="External"/><Relationship Id="rId73" Type="http://schemas.openxmlformats.org/officeDocument/2006/relationships/hyperlink" Target="https://sbg.colorado.gov/sites/sbg/files/220714_Dune_Valley_Farms_LLC_403R-00850_HSA.pdf" TargetMode="External"/><Relationship Id="rId72" Type="http://schemas.openxmlformats.org/officeDocument/2006/relationships/hyperlink" Target="https://sbg.colorado.gov/sites/sbg/files/220518_Fresh_Baked_LLC_403R-00250_HSA_2.pdf" TargetMode="External"/><Relationship Id="rId75" Type="http://schemas.openxmlformats.org/officeDocument/2006/relationships/hyperlink" Target="https://sbg.colorado.gov/sites/sbg/files/221012_HSA_Beyond_Broadway_LLC.pdf" TargetMode="External"/><Relationship Id="rId74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77" Type="http://schemas.openxmlformats.org/officeDocument/2006/relationships/hyperlink" Target="https://sbg.colorado.gov/sites/sbg/files/221026_SDJ_LLC_HSA.docx.pdf" TargetMode="External"/><Relationship Id="rId76" Type="http://schemas.openxmlformats.org/officeDocument/2006/relationships/hyperlink" Target="https://sbg.colorado.gov/sites/sbg/files/221026_SDJ_LLC_HSA.docx.pdf" TargetMode="External"/><Relationship Id="rId79" Type="http://schemas.openxmlformats.org/officeDocument/2006/relationships/hyperlink" Target="https://sbg.colorado.gov/sites/sbg/files/221123_HSA_Beddor_Claude_LLC.docx.pdf" TargetMode="External"/><Relationship Id="rId78" Type="http://schemas.openxmlformats.org/officeDocument/2006/relationships/hyperlink" Target="https://sbg.colorado.gov/sites/sbg/files/221026_SDJ_LLC_HSA.docx.pdf" TargetMode="External"/><Relationship Id="rId71" Type="http://schemas.openxmlformats.org/officeDocument/2006/relationships/hyperlink" Target="https://sbg.colorado.gov/sites/sbg/files/220503_HSA_Canna_Meds_Wellness_Center_LLC.pdf" TargetMode="External"/><Relationship Id="rId70" Type="http://schemas.openxmlformats.org/officeDocument/2006/relationships/hyperlink" Target="https://sbg.colorado.gov/sites/sbg/files/documents/220420Final_Fresh_Baked_LLC_403R-00250_HSA.pdf" TargetMode="External"/><Relationship Id="rId62" Type="http://schemas.openxmlformats.org/officeDocument/2006/relationships/hyperlink" Target="https://drive.google.com/file/d/1ap4Pkw4aJxhvzy9G0tbZNkViwE69_6Ry/view?usp=sharing" TargetMode="External"/><Relationship Id="rId61" Type="http://schemas.openxmlformats.org/officeDocument/2006/relationships/hyperlink" Target="https://sbg.colorado.gov/sites/sbg/files/Health_and_Safety_Advisory_The_Chronic_Factory_LLC.pdf" TargetMode="External"/><Relationship Id="rId64" Type="http://schemas.openxmlformats.org/officeDocument/2006/relationships/hyperlink" Target="https://sbg.colorado.gov/sites/sbg/files/documents/Health_and_Safety_Advisory_Tree_Farmers_LLC_211208.pdf" TargetMode="External"/><Relationship Id="rId63" Type="http://schemas.openxmlformats.org/officeDocument/2006/relationships/hyperlink" Target="https://sbg.colorado.gov/sites/sbg/files/documents/Health_and_Safety_Advisory_Tree_Farmers_LLC_211208.pdf" TargetMode="External"/><Relationship Id="rId66" Type="http://schemas.openxmlformats.org/officeDocument/2006/relationships/hyperlink" Target="https://docs.google.com/document/d/1S_40b2SJe9L_ZeHc-fK7Klq19YMnDROTX3cy81itYks/edit" TargetMode="External"/><Relationship Id="rId65" Type="http://schemas.openxmlformats.org/officeDocument/2006/relationships/hyperlink" Target="https://sbg.colorado.gov/sites/sbg/files/documents/Health_and_Safety_Advisory_211214_REVISED_HSA_Innovative_Fusion_LLC.pdf" TargetMode="External"/><Relationship Id="rId68" Type="http://schemas.openxmlformats.org/officeDocument/2006/relationships/hyperlink" Target="https://drive.google.com/file/d/1I-nbQQyv4UKLNghmjmbliC_WVa8fkpeJ/view" TargetMode="External"/><Relationship Id="rId67" Type="http://schemas.openxmlformats.org/officeDocument/2006/relationships/hyperlink" Target="https://docs.google.com/document/d/1S_40b2SJe9L_ZeHc-fK7Klq19YMnDROTX3cy81itYks/edit" TargetMode="External"/><Relationship Id="rId60" Type="http://schemas.openxmlformats.org/officeDocument/2006/relationships/hyperlink" Target="https://sbg.colorado.gov/sites/sbg/files/Health_and_Safety_Advisory_The_Chronic_Factory_LLC.pdf" TargetMode="External"/><Relationship Id="rId69" Type="http://schemas.openxmlformats.org/officeDocument/2006/relationships/hyperlink" Target="https://sbg.colorado.gov/sites/sbg/files/Health_and_Safety_Advisory_LivWell_I_LLC_403R-00252.pdf" TargetMode="External"/><Relationship Id="rId51" Type="http://schemas.openxmlformats.org/officeDocument/2006/relationships/hyperlink" Target="https://drive.google.com/file/d/1xowig7vPtl-lz_xUAALt3DIxeGua1xY6/view?usp=sharing" TargetMode="External"/><Relationship Id="rId50" Type="http://schemas.openxmlformats.org/officeDocument/2006/relationships/hyperlink" Target="https://drive.google.com/file/d/15p7-15uOMGjz84uqEYz5hpUljx-oP62p/view" TargetMode="External"/><Relationship Id="rId53" Type="http://schemas.openxmlformats.org/officeDocument/2006/relationships/hyperlink" Target="https://sbg.colorado.gov/sites/sbg/files/201105%20HSA%20Physician%20Preferred%20Products%20LLC%20403-01905.pdf" TargetMode="External"/><Relationship Id="rId52" Type="http://schemas.openxmlformats.org/officeDocument/2006/relationships/hyperlink" Target="https://drive.google.com/file/d/1xowig7vPtl-lz_xUAALt3DIxeGua1xY6/view?usp=sharing" TargetMode="External"/><Relationship Id="rId55" Type="http://schemas.openxmlformats.org/officeDocument/2006/relationships/hyperlink" Target="https://sbg.colorado.gov/sites/sbg/files/documents/210210%20FINAL%20Medically%20Correct%20HSA.pdf" TargetMode="External"/><Relationship Id="rId54" Type="http://schemas.openxmlformats.org/officeDocument/2006/relationships/hyperlink" Target="https://sbg.colorado.gov/sites/sbg/files/documents/Health%20and%20Safety%20Advisory%20-%20Carrick-Harvest%20LLC.pdf" TargetMode="External"/><Relationship Id="rId57" Type="http://schemas.openxmlformats.org/officeDocument/2006/relationships/hyperlink" Target="https://sbg.colorado.gov/sites/sbg/files/documents/210419%20HSA%20Primal%20LLC%20402-01058%20Final.pdf" TargetMode="External"/><Relationship Id="rId56" Type="http://schemas.openxmlformats.org/officeDocument/2006/relationships/hyperlink" Target="https://sbg.colorado.gov/sites/sbg/files/documents/20210330%20TZ%20Financial%20LLC%20403R-00123%20HSA%20Final.pdf" TargetMode="External"/><Relationship Id="rId59" Type="http://schemas.openxmlformats.org/officeDocument/2006/relationships/hyperlink" Target="https://sbg.colorado.gov/sites/sbg/files/Health_and_Safety_Advisory_The_Chronic_Factory_LLC.pdf" TargetMode="External"/><Relationship Id="rId58" Type="http://schemas.openxmlformats.org/officeDocument/2006/relationships/hyperlink" Target="https://sbg.colorado.gov/sites/sbg/files/documents/210419%20HSA%20Primal%20LLC%20402-01058%20Final.pdf" TargetMode="External"/><Relationship Id="rId107" Type="http://schemas.openxmlformats.org/officeDocument/2006/relationships/hyperlink" Target="https://sbg.colorado.gov/sites/sbg/files/documents/230509_MJ_Durango_HSA.pdf" TargetMode="External"/><Relationship Id="rId106" Type="http://schemas.openxmlformats.org/officeDocument/2006/relationships/hyperlink" Target="https://sbg.colorado.gov/sites/sbg/files/documents/230509_MJ_Durango_HSA.pdf" TargetMode="External"/><Relationship Id="rId105" Type="http://schemas.openxmlformats.org/officeDocument/2006/relationships/hyperlink" Target="https://sbg.colorado.gov/sites/sbg/files/documents/230509_MJ_Durango_HSA.pdf" TargetMode="External"/><Relationship Id="rId104" Type="http://schemas.openxmlformats.org/officeDocument/2006/relationships/hyperlink" Target="https://sbg.colorado.gov/sites/sbg/files/documents/230508_Big_Mountain_Organics_LLC_HSA.docx.pdf" TargetMode="External"/><Relationship Id="rId109" Type="http://schemas.openxmlformats.org/officeDocument/2006/relationships/hyperlink" Target="https://sbg.colorado.gov/sites/sbg/files/documents/230612%20HSA%20Kind%20Care%20of%20Colorado%20LLC%20402-00841%20%26%20402R-00516.pdf" TargetMode="External"/><Relationship Id="rId108" Type="http://schemas.openxmlformats.org/officeDocument/2006/relationships/hyperlink" Target="https://sbg.colorado.gov/sites/sbg/files/documents/230523_GT_Retail_LLC_HSA.pdf" TargetMode="External"/><Relationship Id="rId103" Type="http://schemas.openxmlformats.org/officeDocument/2006/relationships/hyperlink" Target="https://sbg.colorado.gov/sites/sbg/files/documents/230508_Big_Mountain_Organics_LLC_HSA.docx.pdf" TargetMode="External"/><Relationship Id="rId102" Type="http://schemas.openxmlformats.org/officeDocument/2006/relationships/hyperlink" Target="https://sbg.colorado.gov/sites/sbg/files/documents/230417_Long_Gone_Farms_HSA.pdf" TargetMode="External"/><Relationship Id="rId101" Type="http://schemas.openxmlformats.org/officeDocument/2006/relationships/hyperlink" Target="https://sbg.colorado.gov/sites/sbg/files/documents/230417_Long_Gone_Farms_HSA.pdf" TargetMode="External"/><Relationship Id="rId100" Type="http://schemas.openxmlformats.org/officeDocument/2006/relationships/hyperlink" Target="https://sbg.colorado.gov/sites/sbg/files/documents/230412_Trinidad_Cultivation_Services_HSA.pdf" TargetMode="External"/><Relationship Id="rId129" Type="http://schemas.openxmlformats.org/officeDocument/2006/relationships/hyperlink" Target="https://drive.google.com/file/d/17r2cgzx1nZo0qrQfl7FQkYJGhtyKaTK2/view" TargetMode="External"/><Relationship Id="rId128" Type="http://schemas.openxmlformats.org/officeDocument/2006/relationships/hyperlink" Target="https://sbg.colorado.gov/sites/sbg/files/240221_Range%20Street%20LLC%20Health%20and%20Safety%20Advisory_0.pdf" TargetMode="External"/><Relationship Id="rId127" Type="http://schemas.openxmlformats.org/officeDocument/2006/relationships/hyperlink" Target="https://sbg.colorado.gov/sites/sbg/files/240221_Range%20Street%20LLC%20Health%20and%20Safety%20Advisory_0.pdf" TargetMode="External"/><Relationship Id="rId126" Type="http://schemas.openxmlformats.org/officeDocument/2006/relationships/hyperlink" Target="https://sbg.colorado.gov/sites/sbg/files/240221_Range%20Street%20LLC%20Health%20and%20Safety%20Advisory_0.pdf" TargetMode="External"/><Relationship Id="rId121" Type="http://schemas.openxmlformats.org/officeDocument/2006/relationships/hyperlink" Target="https://drive.google.com/file/d/1e5yHNYegtpZHk-6_T6a0lbbod9VH066P/view" TargetMode="External"/><Relationship Id="rId120" Type="http://schemas.openxmlformats.org/officeDocument/2006/relationships/hyperlink" Target="https://drive.google.com/file/d/1e5yHNYegtpZHk-6_T6a0lbbod9VH066P/view" TargetMode="External"/><Relationship Id="rId125" Type="http://schemas.openxmlformats.org/officeDocument/2006/relationships/hyperlink" Target="https://sbg.colorado.gov/sites/sbg/files/documents/240215_HSA_Melody_and_Company.docx%20%281%29.pdf" TargetMode="External"/><Relationship Id="rId124" Type="http://schemas.openxmlformats.org/officeDocument/2006/relationships/hyperlink" Target="https://sbg.colorado.gov/sites/sbg/files/documents/240215_HSA_Melody_and_Company.docx%20%281%29.pdf" TargetMode="External"/><Relationship Id="rId123" Type="http://schemas.openxmlformats.org/officeDocument/2006/relationships/hyperlink" Target="https://sbg.colorado.gov/sites/sbg/files/documents/240215_HSA_Melody_and_Company.docx%20%281%29.pdf" TargetMode="External"/><Relationship Id="rId122" Type="http://schemas.openxmlformats.org/officeDocument/2006/relationships/hyperlink" Target="https://drive.google.com/file/d/1e5yHNYegtpZHk-6_T6a0lbbod9VH066P/view" TargetMode="External"/><Relationship Id="rId95" Type="http://schemas.openxmlformats.org/officeDocument/2006/relationships/hyperlink" Target="https://sbg.colorado.gov/sites/sbg/files/documents/230322_Updated_HSA_Carrick-Harvest.docx.pdf" TargetMode="External"/><Relationship Id="rId94" Type="http://schemas.openxmlformats.org/officeDocument/2006/relationships/hyperlink" Target="https://sbg.colorado.gov/sites/sbg/files/documents/230320_HSA_MJ_Durango.pdf" TargetMode="External"/><Relationship Id="rId97" Type="http://schemas.openxmlformats.org/officeDocument/2006/relationships/hyperlink" Target="https://sbg.colorado.gov/sites/sbg/files/documents/230412_BBM_Enterprises_LLC_HSA.pdf" TargetMode="External"/><Relationship Id="rId96" Type="http://schemas.openxmlformats.org/officeDocument/2006/relationships/hyperlink" Target="https://sbg.colorado.gov/sites/sbg/files/documents/230412_BBM_Enterprises_LLC_HSA.pdf" TargetMode="External"/><Relationship Id="rId99" Type="http://schemas.openxmlformats.org/officeDocument/2006/relationships/hyperlink" Target="https://sbg.colorado.gov/sites/sbg/files/documents/230412_Trinidad_Cultivation_Services_HSA.pdf" TargetMode="External"/><Relationship Id="rId98" Type="http://schemas.openxmlformats.org/officeDocument/2006/relationships/hyperlink" Target="https://sbg.colorado.gov/sites/sbg/files/documents/230412_COS_Investments_LLC_HSA.pdf" TargetMode="External"/><Relationship Id="rId91" Type="http://schemas.openxmlformats.org/officeDocument/2006/relationships/hyperlink" Target="https://sbg.colorado.gov/sites/sbg/files/230309_CORRECTED_Health_and_Safety_Advisory_Green_Street_LLC.pdf" TargetMode="External"/><Relationship Id="rId90" Type="http://schemas.openxmlformats.org/officeDocument/2006/relationships/hyperlink" Target="https://sbg.colorado.gov/sites/sbg/files/230309_CORRECTED_Health_and_Safety_Advisory_Green_Street_LLC.pdf" TargetMode="External"/><Relationship Id="rId93" Type="http://schemas.openxmlformats.org/officeDocument/2006/relationships/hyperlink" Target="https://sbg.colorado.gov/sites/sbg/files/documents/230320_HSA_MJ_Durango.pdf" TargetMode="External"/><Relationship Id="rId92" Type="http://schemas.openxmlformats.org/officeDocument/2006/relationships/hyperlink" Target="https://sbg.colorado.gov/sites/sbg/files/documents/230320_HSA_MJ_Durango.pdf" TargetMode="External"/><Relationship Id="rId118" Type="http://schemas.openxmlformats.org/officeDocument/2006/relationships/hyperlink" Target="https://docs.google.com/document/d/1kiUXSn8BKV9WlDQQAOVe2se6oJ5K2fWF/edit" TargetMode="External"/><Relationship Id="rId117" Type="http://schemas.openxmlformats.org/officeDocument/2006/relationships/hyperlink" Target="https://docs.google.com/document/d/1kiUXSn8BKV9WlDQQAOVe2se6oJ5K2fWF/edit" TargetMode="External"/><Relationship Id="rId116" Type="http://schemas.openxmlformats.org/officeDocument/2006/relationships/hyperlink" Target="https://docs.google.com/document/d/1VgJQwU33My2RDaXukQ8yGG66YFAu_OSH/edit" TargetMode="External"/><Relationship Id="rId115" Type="http://schemas.openxmlformats.org/officeDocument/2006/relationships/hyperlink" Target="https://docs.google.com/document/d/1VgJQwU33My2RDaXukQ8yGG66YFAu_OSH/edit" TargetMode="External"/><Relationship Id="rId119" Type="http://schemas.openxmlformats.org/officeDocument/2006/relationships/hyperlink" Target="https://docs.google.com/document/d/1kiUXSn8BKV9WlDQQAOVe2se6oJ5K2fWF/edit" TargetMode="External"/><Relationship Id="rId110" Type="http://schemas.openxmlformats.org/officeDocument/2006/relationships/hyperlink" Target="https://sbg.colorado.gov/sites/sbg/files/documents/230622%20Tumbleweed%20Steamboat%20LLC%20HSA%20memo.pdf" TargetMode="External"/><Relationship Id="rId114" Type="http://schemas.openxmlformats.org/officeDocument/2006/relationships/hyperlink" Target="https://sbg.colorado.gov/sites/sbg/files/documents/230824%20P2C3%2C%20LLC%20HSA%20%20Revised.pdf" TargetMode="External"/><Relationship Id="rId113" Type="http://schemas.openxmlformats.org/officeDocument/2006/relationships/hyperlink" Target="https://sbg.colorado.gov/sites/sbg/files/documents/230824%20P2C3%2C%20LLC%20HSA%20%20Revised.pdf" TargetMode="External"/><Relationship Id="rId112" Type="http://schemas.openxmlformats.org/officeDocument/2006/relationships/hyperlink" Target="https://sbg.colorado.gov/sites/sbg/files/documents/230622%20Tumbleweed%20Steamboat%20LLC%20HSA%20memo.pdf" TargetMode="External"/><Relationship Id="rId111" Type="http://schemas.openxmlformats.org/officeDocument/2006/relationships/hyperlink" Target="https://sbg.colorado.gov/sites/sbg/files/documents/230622%20Tumbleweed%20Steamboat%20LLC%20HSA%20memo.pdf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sbg.colorado.gov/sites/sbg/files/MED%20Levity%20Advisory%2002192016_1_1.pdf" TargetMode="External"/><Relationship Id="rId2" Type="http://schemas.openxmlformats.org/officeDocument/2006/relationships/hyperlink" Target="https://sbg.colorado.gov/sites/sbg/files/MED%20Dr.%20Releaf%20Advisory%2002192016_1_1.pdf" TargetMode="External"/><Relationship Id="rId3" Type="http://schemas.openxmlformats.org/officeDocument/2006/relationships/hyperlink" Target="https://sbg.colorado.gov/sites/sbg/files/2.23.16%20XG%20Platinum%20HSA_1_1.pdf" TargetMode="External"/><Relationship Id="rId4" Type="http://schemas.openxmlformats.org/officeDocument/2006/relationships/hyperlink" Target="https://sbg.colorado.gov/sites/sbg/files/Health%20%26%20Safety%20Advisory%20-%20RMO%202-24-16%20Final_1_1.pdf" TargetMode="External"/><Relationship Id="rId9" Type="http://schemas.openxmlformats.org/officeDocument/2006/relationships/hyperlink" Target="https://sbg.colorado.gov/sites/sbg/files/SkinnyPineapple%20Final%2003102016_1_1.pdf" TargetMode="External"/><Relationship Id="rId5" Type="http://schemas.openxmlformats.org/officeDocument/2006/relationships/hyperlink" Target="https://sbg.colorado.gov/sites/sbg/files/2.25.16%20BTTG%20final_1_1.pdf" TargetMode="External"/><Relationship Id="rId6" Type="http://schemas.openxmlformats.org/officeDocument/2006/relationships/hyperlink" Target="https://sbg.colorado.gov/sites/sbg/files/160307%20Advisory%20-%20Sunrise%20Solutions_Final%20%281%29_2_1.pdf" TargetMode="External"/><Relationship Id="rId7" Type="http://schemas.openxmlformats.org/officeDocument/2006/relationships/hyperlink" Target="https://sbg.colorado.gov/sites/sbg/files/CNW%20Final%2003092016_1.pdf" TargetMode="External"/><Relationship Id="rId8" Type="http://schemas.openxmlformats.org/officeDocument/2006/relationships/hyperlink" Target="https://sbg.colorado.gov/sites/sbg/files/Headquarters%20Emp%20HSA%20final%2003102016_1_1.pdf" TargetMode="External"/><Relationship Id="rId130" Type="http://schemas.openxmlformats.org/officeDocument/2006/relationships/drawing" Target="../drawings/drawing10.xml"/><Relationship Id="rId40" Type="http://schemas.openxmlformats.org/officeDocument/2006/relationships/hyperlink" Target="https://sbg.colorado.gov/sites/sbg/files/01242018%20Bronner%20Corp%20HSA.pdf" TargetMode="External"/><Relationship Id="rId42" Type="http://schemas.openxmlformats.org/officeDocument/2006/relationships/hyperlink" Target="https://sbg.colorado.gov/sites/sbg/files/Crossroads%20Wellness%20HSA%20Final.pdf" TargetMode="External"/><Relationship Id="rId41" Type="http://schemas.openxmlformats.org/officeDocument/2006/relationships/hyperlink" Target="https://sbg.colorado.gov/sites/sbg/files/181121%20HSA%20CWC.pdf" TargetMode="External"/><Relationship Id="rId44" Type="http://schemas.openxmlformats.org/officeDocument/2006/relationships/hyperlink" Target="https://sbg.colorado.gov/sites/sbg/files/documents/190816%20Public%20Health%20and%20Safety%20Advisory-%20Herbal%20Wellness%2C%20LLC.pdf" TargetMode="External"/><Relationship Id="rId43" Type="http://schemas.openxmlformats.org/officeDocument/2006/relationships/hyperlink" Target="https://sbg.colorado.gov/sites/sbg/files/HSA%20Mile%20High%20Medical%2004112019.pdf" TargetMode="External"/><Relationship Id="rId46" Type="http://schemas.openxmlformats.org/officeDocument/2006/relationships/hyperlink" Target="https://drive.google.com/open?id=1RJSbwmD5DzoI-E09vDshbUATjN9wvx6h" TargetMode="External"/><Relationship Id="rId45" Type="http://schemas.openxmlformats.org/officeDocument/2006/relationships/hyperlink" Target="https://sbg.colorado.gov/sites/sbg/files/documents/190816%20Public%20Health%20and%20Safety%20Advisory-%20Herbal%20Wellness%2C%20LLC.pdf" TargetMode="External"/><Relationship Id="rId48" Type="http://schemas.openxmlformats.org/officeDocument/2006/relationships/hyperlink" Target="https://drive.google.com/file/d/1fA2Md16UM1sp028SKLWjIme7_Cvc_3Qs/view" TargetMode="External"/><Relationship Id="rId47" Type="http://schemas.openxmlformats.org/officeDocument/2006/relationships/hyperlink" Target="https://drive.google.com/open?id=1oZxftn0twX4egl0ZPGDbIi0UL12ey3uS" TargetMode="External"/><Relationship Id="rId49" Type="http://schemas.openxmlformats.org/officeDocument/2006/relationships/hyperlink" Target="https://drive.google.com/file/d/15p7-15uOMGjz84uqEYz5hpUljx-oP62p/view" TargetMode="External"/><Relationship Id="rId31" Type="http://schemas.openxmlformats.org/officeDocument/2006/relationships/hyperlink" Target="https://drive.google.com/file/d/1VfVYuvXn63TWF1ZzeDR83DcrX1qkO9Yt/view?usp=sharing" TargetMode="External"/><Relationship Id="rId30" Type="http://schemas.openxmlformats.org/officeDocument/2006/relationships/hyperlink" Target="https://sbg.colorado.gov/sites/sbg/files/HSA%20Wash%20Park%20Boutique%20HSA%2009232016_1.pdf" TargetMode="External"/><Relationship Id="rId33" Type="http://schemas.openxmlformats.org/officeDocument/2006/relationships/hyperlink" Target="https://sbg.colorado.gov/sites/sbg/files/Rocky%20Mtn%20Ways%20HSA%2004262017_1_1.pdf" TargetMode="External"/><Relationship Id="rId32" Type="http://schemas.openxmlformats.org/officeDocument/2006/relationships/hyperlink" Target="https://sbg.colorado.gov/sites/sbg/files/Herbal%20Options%20HSA%2004262017_1_1.pdf" TargetMode="External"/><Relationship Id="rId35" Type="http://schemas.openxmlformats.org/officeDocument/2006/relationships/hyperlink" Target="https://sbg.colorado.gov/sites/sbg/files/documents/Metro%20Denver%20Telluride%20HSA%2007202017.pdf" TargetMode="External"/><Relationship Id="rId34" Type="http://schemas.openxmlformats.org/officeDocument/2006/relationships/hyperlink" Target="https://sbg.colorado.gov/sites/sbg/files/documents/7.19%20Kirke.pdf" TargetMode="External"/><Relationship Id="rId37" Type="http://schemas.openxmlformats.org/officeDocument/2006/relationships/hyperlink" Target="https://sbg.colorado.gov/sites/sbg/files/HSATree%20of%20Wellness%2011032017_2.pdf" TargetMode="External"/><Relationship Id="rId36" Type="http://schemas.openxmlformats.org/officeDocument/2006/relationships/hyperlink" Target="https://drive.google.com/file/d/1ujY1WAdeo6T8TUTehRd0N3O8ayw5eAsD/view?usp=sharing" TargetMode="External"/><Relationship Id="rId39" Type="http://schemas.openxmlformats.org/officeDocument/2006/relationships/hyperlink" Target="https://sbg.colorado.gov/sites/sbg/files/HSA%20Pikes%20Peak%20Cannabis%20Caregivers%20for%20Life%20402-00123%20and%20403-01328_1.pdf" TargetMode="External"/><Relationship Id="rId38" Type="http://schemas.openxmlformats.org/officeDocument/2006/relationships/hyperlink" Target="https://sbg.colorado.gov/sites/sbg/files/HSA%20Citi-Med%2011172017_2.pdf" TargetMode="External"/><Relationship Id="rId20" Type="http://schemas.openxmlformats.org/officeDocument/2006/relationships/hyperlink" Target="https://sbg.colorado.gov/sites/sbg/files/Grow%20Life%20HSA%2004212016_1_1.pdf" TargetMode="External"/><Relationship Id="rId22" Type="http://schemas.openxmlformats.org/officeDocument/2006/relationships/hyperlink" Target="https://sbg.colorado.gov/sites/sbg/files/Kazimer%20HSA%20%2004162016_1_1.pdf" TargetMode="External"/><Relationship Id="rId21" Type="http://schemas.openxmlformats.org/officeDocument/2006/relationships/hyperlink" Target="https://sbg.colorado.gov/sites/sbg/files/Medicine%20Man%20HSA%2004222016_1.pdf" TargetMode="External"/><Relationship Id="rId24" Type="http://schemas.openxmlformats.org/officeDocument/2006/relationships/hyperlink" Target="https://sbg.colorado.gov/sites/sbg/files/Biomeds%20HSA%2005232016_1_1.pdf" TargetMode="External"/><Relationship Id="rId23" Type="http://schemas.openxmlformats.org/officeDocument/2006/relationships/hyperlink" Target="https://sbg.colorado.gov/sites/sbg/files/Best%20Budz%20HSA%2005232016_1_1.pdf" TargetMode="External"/><Relationship Id="rId26" Type="http://schemas.openxmlformats.org/officeDocument/2006/relationships/hyperlink" Target="https://sbg.colorado.gov/sites/sbg/files/9.7.16%20Green%20Naturals%20HSA_1.pdf" TargetMode="External"/><Relationship Id="rId25" Type="http://schemas.openxmlformats.org/officeDocument/2006/relationships/hyperlink" Target="https://sbg.colorado.gov/sites/sbg/files/9.7.16%20AMOCH%20HSA_1.pdf" TargetMode="External"/><Relationship Id="rId28" Type="http://schemas.openxmlformats.org/officeDocument/2006/relationships/hyperlink" Target="https://sbg.colorado.gov/sites/sbg/files/9.13.16%20The%20Tea%20Pot_1.pdf" TargetMode="External"/><Relationship Id="rId27" Type="http://schemas.openxmlformats.org/officeDocument/2006/relationships/hyperlink" Target="https://sbg.colorado.gov/sites/sbg/files/9.13.16%20Southern%20Colorado%20HSA_1.pdf" TargetMode="External"/><Relationship Id="rId29" Type="http://schemas.openxmlformats.org/officeDocument/2006/relationships/hyperlink" Target="https://sbg.colorado.gov/sites/sbg/files/JVT%20Enterprises%20HSA%2009232016_1.pdf" TargetMode="External"/><Relationship Id="rId11" Type="http://schemas.openxmlformats.org/officeDocument/2006/relationships/hyperlink" Target="https://sbg.colorado.gov/sites/sbg/files/RR%20Services%20Final%2003142016_1_1.pdf" TargetMode="External"/><Relationship Id="rId10" Type="http://schemas.openxmlformats.org/officeDocument/2006/relationships/hyperlink" Target="https://sbg.colorado.gov/sites/sbg/files/AMA%20Final%2003142016_1_1.pdf" TargetMode="External"/><Relationship Id="rId13" Type="http://schemas.openxmlformats.org/officeDocument/2006/relationships/hyperlink" Target="https://sbg.colorado.gov/sites/sbg/files/Colorados%20Best%2003212016_1.pdf" TargetMode="External"/><Relationship Id="rId12" Type="http://schemas.openxmlformats.org/officeDocument/2006/relationships/hyperlink" Target="https://sbg.colorado.gov/sites/sbg/files/MGI%20HSA%2003172016_1_1.pdf" TargetMode="External"/><Relationship Id="rId15" Type="http://schemas.openxmlformats.org/officeDocument/2006/relationships/hyperlink" Target="https://sbg.colorado.gov/sites/sbg/files/Health%20Depot%20LLC%2004012016_1_1.pdf" TargetMode="External"/><Relationship Id="rId14" Type="http://schemas.openxmlformats.org/officeDocument/2006/relationships/hyperlink" Target="https://sbg.colorado.gov/sites/sbg/files/Firehouse%20central%20final%2003232016%20%281%29_1.pdf" TargetMode="External"/><Relationship Id="rId17" Type="http://schemas.openxmlformats.org/officeDocument/2006/relationships/hyperlink" Target="https://sbg.colorado.gov/sites/sbg/files/ACME%20Healing%20Center%20of%20Ridgway%20LLC%2004052016_1_1.pdf" TargetMode="External"/><Relationship Id="rId16" Type="http://schemas.openxmlformats.org/officeDocument/2006/relationships/hyperlink" Target="https://sbg.colorado.gov/sites/sbg/files/Wanna%20LLC%2004012016_1_1.pdf" TargetMode="External"/><Relationship Id="rId19" Type="http://schemas.openxmlformats.org/officeDocument/2006/relationships/hyperlink" Target="https://sbg.colorado.gov/sites/sbg/files/J%20and%20J%2004072016_1_1.pdf" TargetMode="External"/><Relationship Id="rId18" Type="http://schemas.openxmlformats.org/officeDocument/2006/relationships/hyperlink" Target="https://sbg.colorado.gov/sites/sbg/files/Flower%20Power%20HSA%2004072016_1_1.pdf" TargetMode="External"/><Relationship Id="rId84" Type="http://schemas.openxmlformats.org/officeDocument/2006/relationships/hyperlink" Target="https://sbg.colorado.gov/sites/sbg/files/FINAL_HSA_Sissco_LLC_403-00840_403R-00333.pdf" TargetMode="External"/><Relationship Id="rId83" Type="http://schemas.openxmlformats.org/officeDocument/2006/relationships/hyperlink" Target="https://sbg.colorado.gov/sites/sbg/files/FINAL_HSA_Sissco_LLC_403-00840_403R-00333.pdf" TargetMode="External"/><Relationship Id="rId86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85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88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87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89" Type="http://schemas.openxmlformats.org/officeDocument/2006/relationships/hyperlink" Target="https://sbg.colorado.gov/sites/sbg/files/230309_CORRECTED_Health_and_Safety_Advisory_Green_Street_LLC.pdf" TargetMode="External"/><Relationship Id="rId80" Type="http://schemas.openxmlformats.org/officeDocument/2006/relationships/hyperlink" Target="https://sbg.colorado.gov/sites/sbg/files/221123_HSA_Beddor_Claude_LLC.docx.pdf" TargetMode="External"/><Relationship Id="rId82" Type="http://schemas.openxmlformats.org/officeDocument/2006/relationships/hyperlink" Target="https://sbg.colorado.gov/sites/sbg/files/FINAL_HSA_Jolet_Ventures_403R-00132.pdf" TargetMode="External"/><Relationship Id="rId81" Type="http://schemas.openxmlformats.org/officeDocument/2006/relationships/hyperlink" Target="https://sbg.colorado.gov/sites/sbg/files/221215_HSA_240_Arthur_Avenue_LLC.pdf" TargetMode="External"/><Relationship Id="rId73" Type="http://schemas.openxmlformats.org/officeDocument/2006/relationships/hyperlink" Target="https://sbg.colorado.gov/sites/sbg/files/220714_Dune_Valley_Farms_LLC_403R-00850_HSA.pdf" TargetMode="External"/><Relationship Id="rId72" Type="http://schemas.openxmlformats.org/officeDocument/2006/relationships/hyperlink" Target="https://sbg.colorado.gov/sites/sbg/files/220518_Fresh_Baked_LLC_403R-00250_HSA_2.pdf" TargetMode="External"/><Relationship Id="rId75" Type="http://schemas.openxmlformats.org/officeDocument/2006/relationships/hyperlink" Target="https://sbg.colorado.gov/sites/sbg/files/221012_HSA_Beyond_Broadway_LLC.pdf" TargetMode="External"/><Relationship Id="rId74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77" Type="http://schemas.openxmlformats.org/officeDocument/2006/relationships/hyperlink" Target="https://sbg.colorado.gov/sites/sbg/files/221026_SDJ_LLC_HSA.docx.pdf" TargetMode="External"/><Relationship Id="rId76" Type="http://schemas.openxmlformats.org/officeDocument/2006/relationships/hyperlink" Target="https://sbg.colorado.gov/sites/sbg/files/221026_SDJ_LLC_HSA.docx.pdf" TargetMode="External"/><Relationship Id="rId79" Type="http://schemas.openxmlformats.org/officeDocument/2006/relationships/hyperlink" Target="https://sbg.colorado.gov/sites/sbg/files/221123_HSA_Beddor_Claude_LLC.docx.pdf" TargetMode="External"/><Relationship Id="rId78" Type="http://schemas.openxmlformats.org/officeDocument/2006/relationships/hyperlink" Target="https://sbg.colorado.gov/sites/sbg/files/221026_SDJ_LLC_HSA.docx.pdf" TargetMode="External"/><Relationship Id="rId71" Type="http://schemas.openxmlformats.org/officeDocument/2006/relationships/hyperlink" Target="https://sbg.colorado.gov/sites/sbg/files/220503_HSA_Canna_Meds_Wellness_Center_LLC.pdf" TargetMode="External"/><Relationship Id="rId70" Type="http://schemas.openxmlformats.org/officeDocument/2006/relationships/hyperlink" Target="https://sbg.colorado.gov/sites/sbg/files/documents/220420Final_Fresh_Baked_LLC_403R-00250_HSA.pdf" TargetMode="External"/><Relationship Id="rId62" Type="http://schemas.openxmlformats.org/officeDocument/2006/relationships/hyperlink" Target="https://drive.google.com/file/d/1ap4Pkw4aJxhvzy9G0tbZNkViwE69_6Ry/view?usp=sharing" TargetMode="External"/><Relationship Id="rId61" Type="http://schemas.openxmlformats.org/officeDocument/2006/relationships/hyperlink" Target="https://sbg.colorado.gov/sites/sbg/files/Health_and_Safety_Advisory_The_Chronic_Factory_LLC.pdf" TargetMode="External"/><Relationship Id="rId64" Type="http://schemas.openxmlformats.org/officeDocument/2006/relationships/hyperlink" Target="https://sbg.colorado.gov/sites/sbg/files/documents/Health_and_Safety_Advisory_Tree_Farmers_LLC_211208.pdf" TargetMode="External"/><Relationship Id="rId63" Type="http://schemas.openxmlformats.org/officeDocument/2006/relationships/hyperlink" Target="https://sbg.colorado.gov/sites/sbg/files/documents/Health_and_Safety_Advisory_Tree_Farmers_LLC_211208.pdf" TargetMode="External"/><Relationship Id="rId66" Type="http://schemas.openxmlformats.org/officeDocument/2006/relationships/hyperlink" Target="https://docs.google.com/document/d/1S_40b2SJe9L_ZeHc-fK7Klq19YMnDROTX3cy81itYks/edit" TargetMode="External"/><Relationship Id="rId65" Type="http://schemas.openxmlformats.org/officeDocument/2006/relationships/hyperlink" Target="https://sbg.colorado.gov/sites/sbg/files/documents/Health_and_Safety_Advisory_211214_REVISED_HSA_Innovative_Fusion_LLC.pdf" TargetMode="External"/><Relationship Id="rId68" Type="http://schemas.openxmlformats.org/officeDocument/2006/relationships/hyperlink" Target="https://drive.google.com/file/d/1I-nbQQyv4UKLNghmjmbliC_WVa8fkpeJ/view" TargetMode="External"/><Relationship Id="rId67" Type="http://schemas.openxmlformats.org/officeDocument/2006/relationships/hyperlink" Target="https://docs.google.com/document/d/1S_40b2SJe9L_ZeHc-fK7Klq19YMnDROTX3cy81itYks/edit" TargetMode="External"/><Relationship Id="rId60" Type="http://schemas.openxmlformats.org/officeDocument/2006/relationships/hyperlink" Target="https://sbg.colorado.gov/sites/sbg/files/Health_and_Safety_Advisory_The_Chronic_Factory_LLC.pdf" TargetMode="External"/><Relationship Id="rId69" Type="http://schemas.openxmlformats.org/officeDocument/2006/relationships/hyperlink" Target="https://sbg.colorado.gov/sites/sbg/files/Health_and_Safety_Advisory_LivWell_I_LLC_403R-00252.pdf" TargetMode="External"/><Relationship Id="rId51" Type="http://schemas.openxmlformats.org/officeDocument/2006/relationships/hyperlink" Target="https://drive.google.com/file/d/1xowig7vPtl-lz_xUAALt3DIxeGua1xY6/view?usp=sharing" TargetMode="External"/><Relationship Id="rId50" Type="http://schemas.openxmlformats.org/officeDocument/2006/relationships/hyperlink" Target="https://drive.google.com/file/d/15p7-15uOMGjz84uqEYz5hpUljx-oP62p/view" TargetMode="External"/><Relationship Id="rId53" Type="http://schemas.openxmlformats.org/officeDocument/2006/relationships/hyperlink" Target="https://sbg.colorado.gov/sites/sbg/files/201105%20HSA%20Physician%20Preferred%20Products%20LLC%20403-01905.pdf" TargetMode="External"/><Relationship Id="rId52" Type="http://schemas.openxmlformats.org/officeDocument/2006/relationships/hyperlink" Target="https://drive.google.com/file/d/1xowig7vPtl-lz_xUAALt3DIxeGua1xY6/view?usp=sharing" TargetMode="External"/><Relationship Id="rId55" Type="http://schemas.openxmlformats.org/officeDocument/2006/relationships/hyperlink" Target="https://sbg.colorado.gov/sites/sbg/files/documents/210210%20FINAL%20Medically%20Correct%20HSA.pdf" TargetMode="External"/><Relationship Id="rId54" Type="http://schemas.openxmlformats.org/officeDocument/2006/relationships/hyperlink" Target="https://sbg.colorado.gov/sites/sbg/files/documents/Health%20and%20Safety%20Advisory%20-%20Carrick-Harvest%20LLC.pdf" TargetMode="External"/><Relationship Id="rId57" Type="http://schemas.openxmlformats.org/officeDocument/2006/relationships/hyperlink" Target="https://sbg.colorado.gov/sites/sbg/files/documents/210419%20HSA%20Primal%20LLC%20402-01058%20Final.pdf" TargetMode="External"/><Relationship Id="rId56" Type="http://schemas.openxmlformats.org/officeDocument/2006/relationships/hyperlink" Target="https://sbg.colorado.gov/sites/sbg/files/documents/20210330%20TZ%20Financial%20LLC%20403R-00123%20HSA%20Final.pdf" TargetMode="External"/><Relationship Id="rId59" Type="http://schemas.openxmlformats.org/officeDocument/2006/relationships/hyperlink" Target="https://sbg.colorado.gov/sites/sbg/files/Health_and_Safety_Advisory_The_Chronic_Factory_LLC.pdf" TargetMode="External"/><Relationship Id="rId58" Type="http://schemas.openxmlformats.org/officeDocument/2006/relationships/hyperlink" Target="https://sbg.colorado.gov/sites/sbg/files/documents/210419%20HSA%20Primal%20LLC%20402-01058%20Final.pdf" TargetMode="External"/><Relationship Id="rId107" Type="http://schemas.openxmlformats.org/officeDocument/2006/relationships/hyperlink" Target="https://sbg.colorado.gov/sites/sbg/files/documents/230509_MJ_Durango_HSA.pdf" TargetMode="External"/><Relationship Id="rId106" Type="http://schemas.openxmlformats.org/officeDocument/2006/relationships/hyperlink" Target="https://sbg.colorado.gov/sites/sbg/files/documents/230509_MJ_Durango_HSA.pdf" TargetMode="External"/><Relationship Id="rId105" Type="http://schemas.openxmlformats.org/officeDocument/2006/relationships/hyperlink" Target="https://sbg.colorado.gov/sites/sbg/files/documents/230509_MJ_Durango_HSA.pdf" TargetMode="External"/><Relationship Id="rId104" Type="http://schemas.openxmlformats.org/officeDocument/2006/relationships/hyperlink" Target="https://sbg.colorado.gov/sites/sbg/files/documents/230508_Big_Mountain_Organics_LLC_HSA.docx.pdf" TargetMode="External"/><Relationship Id="rId109" Type="http://schemas.openxmlformats.org/officeDocument/2006/relationships/hyperlink" Target="https://sbg.colorado.gov/sites/sbg/files/documents/230612%20HSA%20Kind%20Care%20of%20Colorado%20LLC%20402-00841%20%26%20402R-00516.pdf" TargetMode="External"/><Relationship Id="rId108" Type="http://schemas.openxmlformats.org/officeDocument/2006/relationships/hyperlink" Target="https://sbg.colorado.gov/sites/sbg/files/documents/230523_GT_Retail_LLC_HSA.pdf" TargetMode="External"/><Relationship Id="rId103" Type="http://schemas.openxmlformats.org/officeDocument/2006/relationships/hyperlink" Target="https://sbg.colorado.gov/sites/sbg/files/documents/230508_Big_Mountain_Organics_LLC_HSA.docx.pdf" TargetMode="External"/><Relationship Id="rId102" Type="http://schemas.openxmlformats.org/officeDocument/2006/relationships/hyperlink" Target="https://sbg.colorado.gov/sites/sbg/files/documents/230417_Long_Gone_Farms_HSA.pdf" TargetMode="External"/><Relationship Id="rId101" Type="http://schemas.openxmlformats.org/officeDocument/2006/relationships/hyperlink" Target="https://sbg.colorado.gov/sites/sbg/files/documents/230417_Long_Gone_Farms_HSA.pdf" TargetMode="External"/><Relationship Id="rId100" Type="http://schemas.openxmlformats.org/officeDocument/2006/relationships/hyperlink" Target="https://sbg.colorado.gov/sites/sbg/files/documents/230412_Trinidad_Cultivation_Services_HSA.pdf" TargetMode="External"/><Relationship Id="rId129" Type="http://schemas.openxmlformats.org/officeDocument/2006/relationships/hyperlink" Target="https://drive.google.com/file/d/17r2cgzx1nZo0qrQfl7FQkYJGhtyKaTK2/view" TargetMode="External"/><Relationship Id="rId128" Type="http://schemas.openxmlformats.org/officeDocument/2006/relationships/hyperlink" Target="https://sbg.colorado.gov/sites/sbg/files/240221_Range%20Street%20LLC%20Health%20and%20Safety%20Advisory_0.pdf" TargetMode="External"/><Relationship Id="rId127" Type="http://schemas.openxmlformats.org/officeDocument/2006/relationships/hyperlink" Target="https://sbg.colorado.gov/sites/sbg/files/240221_Range%20Street%20LLC%20Health%20and%20Safety%20Advisory_0.pdf" TargetMode="External"/><Relationship Id="rId126" Type="http://schemas.openxmlformats.org/officeDocument/2006/relationships/hyperlink" Target="https://sbg.colorado.gov/sites/sbg/files/240221_Range%20Street%20LLC%20Health%20and%20Safety%20Advisory_0.pdf" TargetMode="External"/><Relationship Id="rId121" Type="http://schemas.openxmlformats.org/officeDocument/2006/relationships/hyperlink" Target="https://drive.google.com/file/d/1e5yHNYegtpZHk-6_T6a0lbbod9VH066P/view" TargetMode="External"/><Relationship Id="rId120" Type="http://schemas.openxmlformats.org/officeDocument/2006/relationships/hyperlink" Target="https://drive.google.com/file/d/1e5yHNYegtpZHk-6_T6a0lbbod9VH066P/view" TargetMode="External"/><Relationship Id="rId125" Type="http://schemas.openxmlformats.org/officeDocument/2006/relationships/hyperlink" Target="https://sbg.colorado.gov/sites/sbg/files/documents/240215_HSA_Melody_and_Company.docx%20%281%29.pdf" TargetMode="External"/><Relationship Id="rId124" Type="http://schemas.openxmlformats.org/officeDocument/2006/relationships/hyperlink" Target="https://sbg.colorado.gov/sites/sbg/files/documents/240215_HSA_Melody_and_Company.docx%20%281%29.pdf" TargetMode="External"/><Relationship Id="rId123" Type="http://schemas.openxmlformats.org/officeDocument/2006/relationships/hyperlink" Target="https://sbg.colorado.gov/sites/sbg/files/documents/240215_HSA_Melody_and_Company.docx%20%281%29.pdf" TargetMode="External"/><Relationship Id="rId122" Type="http://schemas.openxmlformats.org/officeDocument/2006/relationships/hyperlink" Target="https://drive.google.com/file/d/1e5yHNYegtpZHk-6_T6a0lbbod9VH066P/view" TargetMode="External"/><Relationship Id="rId95" Type="http://schemas.openxmlformats.org/officeDocument/2006/relationships/hyperlink" Target="https://sbg.colorado.gov/sites/sbg/files/documents/230322_Updated_HSA_Carrick-Harvest.docx.pdf" TargetMode="External"/><Relationship Id="rId94" Type="http://schemas.openxmlformats.org/officeDocument/2006/relationships/hyperlink" Target="https://sbg.colorado.gov/sites/sbg/files/documents/230320_HSA_MJ_Durango.pdf" TargetMode="External"/><Relationship Id="rId97" Type="http://schemas.openxmlformats.org/officeDocument/2006/relationships/hyperlink" Target="https://sbg.colorado.gov/sites/sbg/files/documents/230412_BBM_Enterprises_LLC_HSA.pdf" TargetMode="External"/><Relationship Id="rId96" Type="http://schemas.openxmlformats.org/officeDocument/2006/relationships/hyperlink" Target="https://sbg.colorado.gov/sites/sbg/files/documents/230412_BBM_Enterprises_LLC_HSA.pdf" TargetMode="External"/><Relationship Id="rId99" Type="http://schemas.openxmlformats.org/officeDocument/2006/relationships/hyperlink" Target="https://sbg.colorado.gov/sites/sbg/files/documents/230412_Trinidad_Cultivation_Services_HSA.pdf" TargetMode="External"/><Relationship Id="rId98" Type="http://schemas.openxmlformats.org/officeDocument/2006/relationships/hyperlink" Target="https://sbg.colorado.gov/sites/sbg/files/documents/230412_COS_Investments_LLC_HSA.pdf" TargetMode="External"/><Relationship Id="rId91" Type="http://schemas.openxmlformats.org/officeDocument/2006/relationships/hyperlink" Target="https://sbg.colorado.gov/sites/sbg/files/230309_CORRECTED_Health_and_Safety_Advisory_Green_Street_LLC.pdf" TargetMode="External"/><Relationship Id="rId90" Type="http://schemas.openxmlformats.org/officeDocument/2006/relationships/hyperlink" Target="https://sbg.colorado.gov/sites/sbg/files/230309_CORRECTED_Health_and_Safety_Advisory_Green_Street_LLC.pdf" TargetMode="External"/><Relationship Id="rId93" Type="http://schemas.openxmlformats.org/officeDocument/2006/relationships/hyperlink" Target="https://sbg.colorado.gov/sites/sbg/files/documents/230320_HSA_MJ_Durango.pdf" TargetMode="External"/><Relationship Id="rId92" Type="http://schemas.openxmlformats.org/officeDocument/2006/relationships/hyperlink" Target="https://sbg.colorado.gov/sites/sbg/files/documents/230320_HSA_MJ_Durango.pdf" TargetMode="External"/><Relationship Id="rId118" Type="http://schemas.openxmlformats.org/officeDocument/2006/relationships/hyperlink" Target="https://docs.google.com/document/d/1kiUXSn8BKV9WlDQQAOVe2se6oJ5K2fWF/edit" TargetMode="External"/><Relationship Id="rId117" Type="http://schemas.openxmlformats.org/officeDocument/2006/relationships/hyperlink" Target="https://docs.google.com/document/d/1kiUXSn8BKV9WlDQQAOVe2se6oJ5K2fWF/edit" TargetMode="External"/><Relationship Id="rId116" Type="http://schemas.openxmlformats.org/officeDocument/2006/relationships/hyperlink" Target="https://docs.google.com/document/d/1VgJQwU33My2RDaXukQ8yGG66YFAu_OSH/edit" TargetMode="External"/><Relationship Id="rId115" Type="http://schemas.openxmlformats.org/officeDocument/2006/relationships/hyperlink" Target="https://docs.google.com/document/d/1VgJQwU33My2RDaXukQ8yGG66YFAu_OSH/edit" TargetMode="External"/><Relationship Id="rId119" Type="http://schemas.openxmlformats.org/officeDocument/2006/relationships/hyperlink" Target="https://docs.google.com/document/d/1kiUXSn8BKV9WlDQQAOVe2se6oJ5K2fWF/edit" TargetMode="External"/><Relationship Id="rId110" Type="http://schemas.openxmlformats.org/officeDocument/2006/relationships/hyperlink" Target="https://sbg.colorado.gov/sites/sbg/files/documents/230622%20Tumbleweed%20Steamboat%20LLC%20HSA%20memo.pdf" TargetMode="External"/><Relationship Id="rId114" Type="http://schemas.openxmlformats.org/officeDocument/2006/relationships/hyperlink" Target="https://sbg.colorado.gov/sites/sbg/files/documents/230824%20P2C3%2C%20LLC%20HSA%20%20Revised.pdf" TargetMode="External"/><Relationship Id="rId113" Type="http://schemas.openxmlformats.org/officeDocument/2006/relationships/hyperlink" Target="https://sbg.colorado.gov/sites/sbg/files/documents/230824%20P2C3%2C%20LLC%20HSA%20%20Revised.pdf" TargetMode="External"/><Relationship Id="rId112" Type="http://schemas.openxmlformats.org/officeDocument/2006/relationships/hyperlink" Target="https://sbg.colorado.gov/sites/sbg/files/documents/230622%20Tumbleweed%20Steamboat%20LLC%20HSA%20memo.pdf" TargetMode="External"/><Relationship Id="rId111" Type="http://schemas.openxmlformats.org/officeDocument/2006/relationships/hyperlink" Target="https://sbg.colorado.gov/sites/sbg/files/documents/230622%20Tumbleweed%20Steamboat%20LLC%20HSA%20memo.pdf" TargetMode="Externa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://f2.5.13.21.bz" TargetMode="External"/><Relationship Id="rId2" Type="http://schemas.openxmlformats.org/officeDocument/2006/relationships/hyperlink" Target="http://f2.5.13.21.cc" TargetMode="External"/><Relationship Id="rId3" Type="http://schemas.openxmlformats.org/officeDocument/2006/relationships/hyperlink" Target="http://f2.5.13.21.cd" TargetMode="External"/><Relationship Id="rId4" Type="http://schemas.openxmlformats.org/officeDocument/2006/relationships/hyperlink" Target="http://flwr-gh3.bz" TargetMode="External"/><Relationship Id="rId9" Type="http://schemas.openxmlformats.org/officeDocument/2006/relationships/hyperlink" Target="http://f1.6.22.21.bz" TargetMode="External"/><Relationship Id="rId5" Type="http://schemas.openxmlformats.org/officeDocument/2006/relationships/hyperlink" Target="http://f2.5.13.21.pk" TargetMode="External"/><Relationship Id="rId6" Type="http://schemas.openxmlformats.org/officeDocument/2006/relationships/hyperlink" Target="http://flwr-gh3.cc" TargetMode="External"/><Relationship Id="rId7" Type="http://schemas.openxmlformats.org/officeDocument/2006/relationships/hyperlink" Target="http://f2.5.13.21.ro" TargetMode="External"/><Relationship Id="rId8" Type="http://schemas.openxmlformats.org/officeDocument/2006/relationships/hyperlink" Target="http://f2.5.13.21.tg" TargetMode="External"/><Relationship Id="rId40" Type="http://schemas.openxmlformats.org/officeDocument/2006/relationships/hyperlink" Target="http://f2.12.22.21.pt" TargetMode="External"/><Relationship Id="rId41" Type="http://schemas.openxmlformats.org/officeDocument/2006/relationships/drawing" Target="../drawings/drawing11.xml"/><Relationship Id="rId31" Type="http://schemas.openxmlformats.org/officeDocument/2006/relationships/hyperlink" Target="http://flwr-gh3.ms" TargetMode="External"/><Relationship Id="rId30" Type="http://schemas.openxmlformats.org/officeDocument/2006/relationships/hyperlink" Target="http://flwr-gh3.cc" TargetMode="External"/><Relationship Id="rId33" Type="http://schemas.openxmlformats.org/officeDocument/2006/relationships/hyperlink" Target="http://f2.10.14.21.br" TargetMode="External"/><Relationship Id="rId32" Type="http://schemas.openxmlformats.org/officeDocument/2006/relationships/hyperlink" Target="http://flwr-gh3.sb" TargetMode="External"/><Relationship Id="rId35" Type="http://schemas.openxmlformats.org/officeDocument/2006/relationships/hyperlink" Target="http://gh1.11.10.21.pk" TargetMode="External"/><Relationship Id="rId34" Type="http://schemas.openxmlformats.org/officeDocument/2006/relationships/hyperlink" Target="http://gh2.10.27.21.mc" TargetMode="External"/><Relationship Id="rId37" Type="http://schemas.openxmlformats.org/officeDocument/2006/relationships/hyperlink" Target="http://gh1.11.10.21.bz" TargetMode="External"/><Relationship Id="rId36" Type="http://schemas.openxmlformats.org/officeDocument/2006/relationships/hyperlink" Target="http://gh2.10.27.21.sb" TargetMode="External"/><Relationship Id="rId39" Type="http://schemas.openxmlformats.org/officeDocument/2006/relationships/hyperlink" Target="http://ld.12.15.21.cc" TargetMode="External"/><Relationship Id="rId38" Type="http://schemas.openxmlformats.org/officeDocument/2006/relationships/hyperlink" Target="http://gh2.10.27.21.cc" TargetMode="External"/><Relationship Id="rId20" Type="http://schemas.openxmlformats.org/officeDocument/2006/relationships/hyperlink" Target="http://f2.3.13.21.bz" TargetMode="External"/><Relationship Id="rId22" Type="http://schemas.openxmlformats.org/officeDocument/2006/relationships/hyperlink" Target="http://f2.3.13.21.tg" TargetMode="External"/><Relationship Id="rId21" Type="http://schemas.openxmlformats.org/officeDocument/2006/relationships/hyperlink" Target="http://gh3.7.9.21.tg" TargetMode="External"/><Relationship Id="rId24" Type="http://schemas.openxmlformats.org/officeDocument/2006/relationships/hyperlink" Target="http://f2.3.13.21.sb" TargetMode="External"/><Relationship Id="rId23" Type="http://schemas.openxmlformats.org/officeDocument/2006/relationships/hyperlink" Target="http://f2.7.22.21.mc" TargetMode="External"/><Relationship Id="rId26" Type="http://schemas.openxmlformats.org/officeDocument/2006/relationships/hyperlink" Target="http://f1.8.27.21.ms" TargetMode="External"/><Relationship Id="rId25" Type="http://schemas.openxmlformats.org/officeDocument/2006/relationships/hyperlink" Target="http://f2.7.22.21.ms" TargetMode="External"/><Relationship Id="rId28" Type="http://schemas.openxmlformats.org/officeDocument/2006/relationships/hyperlink" Target="http://flwr-gh3.bz" TargetMode="External"/><Relationship Id="rId27" Type="http://schemas.openxmlformats.org/officeDocument/2006/relationships/hyperlink" Target="http://flwr-gh3.gg" TargetMode="External"/><Relationship Id="rId29" Type="http://schemas.openxmlformats.org/officeDocument/2006/relationships/hyperlink" Target="http://flwr-gh3.tg" TargetMode="External"/><Relationship Id="rId11" Type="http://schemas.openxmlformats.org/officeDocument/2006/relationships/hyperlink" Target="http://gh3.7.9.21.bz" TargetMode="External"/><Relationship Id="rId10" Type="http://schemas.openxmlformats.org/officeDocument/2006/relationships/hyperlink" Target="http://gh2.10.27.21.sb" TargetMode="External"/><Relationship Id="rId13" Type="http://schemas.openxmlformats.org/officeDocument/2006/relationships/hyperlink" Target="http://f2.1.20.21.mc" TargetMode="External"/><Relationship Id="rId12" Type="http://schemas.openxmlformats.org/officeDocument/2006/relationships/hyperlink" Target="http://gh3.7.9.21.cc" TargetMode="External"/><Relationship Id="rId15" Type="http://schemas.openxmlformats.org/officeDocument/2006/relationships/hyperlink" Target="http://gh2.1.20.21.cc" TargetMode="External"/><Relationship Id="rId14" Type="http://schemas.openxmlformats.org/officeDocument/2006/relationships/hyperlink" Target="http://gh3.7.9.21.cd" TargetMode="External"/><Relationship Id="rId17" Type="http://schemas.openxmlformats.org/officeDocument/2006/relationships/hyperlink" Target="http://gh3.7.9.21.ms" TargetMode="External"/><Relationship Id="rId16" Type="http://schemas.openxmlformats.org/officeDocument/2006/relationships/hyperlink" Target="http://f1.2.16.21.br" TargetMode="External"/><Relationship Id="rId19" Type="http://schemas.openxmlformats.org/officeDocument/2006/relationships/hyperlink" Target="http://gh3.7.9.21.sb" TargetMode="External"/><Relationship Id="rId18" Type="http://schemas.openxmlformats.org/officeDocument/2006/relationships/hyperlink" Target="http://gh3.7.9.21.p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7.13"/>
  </cols>
  <sheetData>
    <row r="1">
      <c r="A1" s="1">
        <v>46097.0</v>
      </c>
      <c r="B1" s="2" t="s">
        <v>1</v>
      </c>
      <c r="C1" s="2" t="s">
        <v>2</v>
      </c>
    </row>
    <row r="2">
      <c r="A2" s="1">
        <v>46097.0</v>
      </c>
      <c r="B2" s="2" t="s">
        <v>3</v>
      </c>
      <c r="C2" s="2" t="s">
        <v>2</v>
      </c>
    </row>
    <row r="3">
      <c r="A3" s="4">
        <v>46097.0</v>
      </c>
      <c r="B3" s="6" t="s">
        <v>5</v>
      </c>
      <c r="C3" s="7" t="s">
        <v>2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">
        <v>46097.0</v>
      </c>
      <c r="B4" s="2" t="s">
        <v>12</v>
      </c>
      <c r="C4" s="2" t="s">
        <v>2</v>
      </c>
    </row>
    <row r="5">
      <c r="A5" s="10">
        <v>46097.0</v>
      </c>
      <c r="B5" s="15" t="s">
        <v>16</v>
      </c>
      <c r="C5" s="2" t="s">
        <v>2</v>
      </c>
    </row>
    <row r="6">
      <c r="A6" s="10">
        <v>46097.0</v>
      </c>
      <c r="B6" s="2" t="s">
        <v>23</v>
      </c>
    </row>
    <row r="7">
      <c r="A7" s="10">
        <v>46097.0</v>
      </c>
      <c r="B7" s="2" t="s">
        <v>26</v>
      </c>
    </row>
    <row r="8">
      <c r="A8" s="10">
        <v>46097.0</v>
      </c>
      <c r="B8" s="2" t="s">
        <v>27</v>
      </c>
    </row>
    <row r="9">
      <c r="A9" s="10">
        <v>46097.0</v>
      </c>
      <c r="B9" s="2" t="s">
        <v>28</v>
      </c>
    </row>
    <row r="10">
      <c r="A10" s="10">
        <v>46097.0</v>
      </c>
      <c r="B10" s="2" t="s">
        <v>29</v>
      </c>
    </row>
    <row r="11">
      <c r="A11" s="10">
        <v>46097.0</v>
      </c>
      <c r="B11" s="2" t="s">
        <v>31</v>
      </c>
    </row>
    <row r="12">
      <c r="A12" s="18">
        <v>46097.0</v>
      </c>
      <c r="B12" s="7" t="s">
        <v>33</v>
      </c>
    </row>
    <row r="13">
      <c r="A13" s="18">
        <v>46098.0</v>
      </c>
      <c r="B13" s="7" t="s">
        <v>35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10">
        <v>46098.0</v>
      </c>
      <c r="B14" s="15" t="s">
        <v>40</v>
      </c>
    </row>
    <row r="15">
      <c r="A15" s="10">
        <v>46098.0</v>
      </c>
      <c r="B15" s="2" t="s">
        <v>45</v>
      </c>
    </row>
    <row r="16">
      <c r="A16" s="10">
        <v>46098.0</v>
      </c>
      <c r="B16" s="2" t="s">
        <v>47</v>
      </c>
    </row>
    <row r="17">
      <c r="A17" s="10">
        <v>46098.0</v>
      </c>
      <c r="B17" s="2" t="s">
        <v>48</v>
      </c>
    </row>
    <row r="18">
      <c r="A18" s="10">
        <v>46098.0</v>
      </c>
      <c r="B18" s="2" t="s">
        <v>49</v>
      </c>
    </row>
    <row r="19">
      <c r="A19" s="10">
        <v>46098.0</v>
      </c>
      <c r="B19" s="2" t="s">
        <v>51</v>
      </c>
    </row>
    <row r="20">
      <c r="A20" s="10">
        <v>46098.0</v>
      </c>
      <c r="B20" s="2" t="s">
        <v>52</v>
      </c>
    </row>
    <row r="21">
      <c r="A21" s="10">
        <v>46098.0</v>
      </c>
      <c r="B21" s="34" t="s">
        <v>58</v>
      </c>
    </row>
    <row r="22">
      <c r="B22" s="2" t="s">
        <v>70</v>
      </c>
    </row>
    <row r="23">
      <c r="B23" s="2" t="s">
        <v>72</v>
      </c>
    </row>
    <row r="24">
      <c r="B24" s="15" t="s">
        <v>75</v>
      </c>
    </row>
    <row r="25">
      <c r="B25" s="2" t="s">
        <v>81</v>
      </c>
    </row>
    <row r="28">
      <c r="B28" s="2" t="s">
        <v>84</v>
      </c>
    </row>
    <row r="29">
      <c r="B29" s="2" t="s">
        <v>85</v>
      </c>
    </row>
    <row r="30">
      <c r="B30" s="2" t="s">
        <v>90</v>
      </c>
    </row>
    <row r="31">
      <c r="B31" s="2" t="s">
        <v>91</v>
      </c>
    </row>
    <row r="32">
      <c r="B32" s="2" t="s">
        <v>92</v>
      </c>
    </row>
    <row r="33">
      <c r="B33" s="2" t="s">
        <v>93</v>
      </c>
    </row>
  </sheetData>
  <hyperlinks>
    <hyperlink r:id="rId1" ref="B5"/>
    <hyperlink r:id="rId2" ref="B14"/>
    <hyperlink r:id="rId3" ref="B21"/>
    <hyperlink r:id="rId4" ref="B24"/>
  </hyperlink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hidden="1" min="2" max="2" width="12.63"/>
    <col customWidth="1" min="3" max="3" width="41.0"/>
    <col customWidth="1" min="4" max="5" width="11.75"/>
    <col customWidth="1" min="6" max="6" width="146.0"/>
  </cols>
  <sheetData>
    <row r="1">
      <c r="A1" s="3" t="s">
        <v>0</v>
      </c>
      <c r="B1" s="5" t="s">
        <v>4</v>
      </c>
      <c r="C1" s="5" t="s">
        <v>6</v>
      </c>
      <c r="D1" s="8" t="s">
        <v>6</v>
      </c>
      <c r="E1" s="5" t="s">
        <v>7</v>
      </c>
      <c r="F1" s="3" t="s">
        <v>8</v>
      </c>
    </row>
    <row r="2">
      <c r="A2" s="3" t="s">
        <v>9</v>
      </c>
      <c r="B2" s="5" t="s">
        <v>10</v>
      </c>
      <c r="C2" s="11" t="s">
        <v>11</v>
      </c>
      <c r="D2" s="12"/>
      <c r="E2" s="14">
        <v>46082.0</v>
      </c>
      <c r="F2" s="5" t="s">
        <v>19</v>
      </c>
    </row>
    <row r="3">
      <c r="A3" s="3" t="s">
        <v>20</v>
      </c>
      <c r="B3" s="5" t="s">
        <v>21</v>
      </c>
      <c r="C3" s="17" t="s">
        <v>22</v>
      </c>
      <c r="D3" s="12"/>
      <c r="E3" s="14">
        <v>46083.0</v>
      </c>
      <c r="F3" s="19"/>
    </row>
    <row r="4">
      <c r="A4" s="20" t="s">
        <v>34</v>
      </c>
      <c r="B4" s="5" t="s">
        <v>10</v>
      </c>
      <c r="C4" s="3"/>
      <c r="D4" s="21"/>
      <c r="E4" s="14">
        <v>46084.0</v>
      </c>
      <c r="F4" s="3"/>
    </row>
    <row r="5">
      <c r="A5" s="3" t="s">
        <v>36</v>
      </c>
      <c r="B5" s="5" t="s">
        <v>21</v>
      </c>
      <c r="C5" s="25" t="s">
        <v>38</v>
      </c>
      <c r="D5" s="12"/>
      <c r="E5" s="14">
        <v>46085.0</v>
      </c>
      <c r="F5" s="5" t="s">
        <v>41</v>
      </c>
    </row>
    <row r="6">
      <c r="A6" s="3" t="s">
        <v>42</v>
      </c>
      <c r="B6" s="5" t="s">
        <v>21</v>
      </c>
      <c r="C6" s="17" t="s">
        <v>43</v>
      </c>
      <c r="D6" s="12"/>
      <c r="E6" s="14">
        <v>46086.0</v>
      </c>
      <c r="F6" s="5" t="s">
        <v>53</v>
      </c>
    </row>
    <row r="7">
      <c r="A7" s="3" t="s">
        <v>54</v>
      </c>
      <c r="B7" s="5" t="s">
        <v>10</v>
      </c>
      <c r="C7" s="5" t="s">
        <v>56</v>
      </c>
      <c r="D7" s="21"/>
      <c r="E7" s="14">
        <v>46087.0</v>
      </c>
      <c r="F7" s="3"/>
    </row>
    <row r="8">
      <c r="A8" s="29" t="s">
        <v>59</v>
      </c>
      <c r="B8" s="5" t="s">
        <v>10</v>
      </c>
      <c r="C8" s="3"/>
      <c r="D8" s="21"/>
      <c r="E8" s="14">
        <v>46088.0</v>
      </c>
      <c r="F8" s="3"/>
    </row>
    <row r="9">
      <c r="A9" s="3" t="s">
        <v>61</v>
      </c>
      <c r="B9" s="5" t="s">
        <v>10</v>
      </c>
      <c r="C9" s="3"/>
      <c r="D9" s="21"/>
      <c r="E9" s="14">
        <v>46089.0</v>
      </c>
      <c r="F9" s="3"/>
    </row>
    <row r="10">
      <c r="A10" s="29" t="s">
        <v>62</v>
      </c>
      <c r="B10" s="5" t="s">
        <v>10</v>
      </c>
      <c r="C10" s="3"/>
      <c r="D10" s="21"/>
      <c r="E10" s="14">
        <v>46089.0</v>
      </c>
      <c r="F10" s="3"/>
    </row>
    <row r="11">
      <c r="A11" s="32" t="s">
        <v>65</v>
      </c>
      <c r="B11" s="5" t="s">
        <v>10</v>
      </c>
      <c r="C11" s="3"/>
      <c r="D11" s="21"/>
      <c r="E11" s="14">
        <v>46089.0</v>
      </c>
      <c r="F11" s="3"/>
    </row>
    <row r="12">
      <c r="A12" s="3" t="s">
        <v>67</v>
      </c>
      <c r="B12" s="5" t="s">
        <v>10</v>
      </c>
      <c r="C12" s="3"/>
      <c r="D12" s="21"/>
      <c r="E12" s="14">
        <v>46089.0</v>
      </c>
      <c r="F12" s="3"/>
    </row>
    <row r="13">
      <c r="A13" s="32" t="s">
        <v>69</v>
      </c>
      <c r="B13" s="5" t="s">
        <v>10</v>
      </c>
      <c r="C13" s="3"/>
      <c r="D13" s="21"/>
      <c r="E13" s="14">
        <v>46089.0</v>
      </c>
      <c r="F13" s="3"/>
    </row>
    <row r="14">
      <c r="A14" s="32" t="s">
        <v>74</v>
      </c>
      <c r="B14" s="5" t="s">
        <v>10</v>
      </c>
      <c r="C14" s="3"/>
      <c r="D14" s="21"/>
      <c r="E14" s="14">
        <v>46089.0</v>
      </c>
      <c r="F14" s="3"/>
    </row>
    <row r="15">
      <c r="A15" s="3" t="s">
        <v>76</v>
      </c>
      <c r="B15" s="5" t="s">
        <v>10</v>
      </c>
      <c r="C15" s="11" t="s">
        <v>77</v>
      </c>
      <c r="D15" s="38" t="s">
        <v>82</v>
      </c>
      <c r="E15" s="14">
        <v>46089.0</v>
      </c>
      <c r="F15" s="3"/>
    </row>
    <row r="16">
      <c r="A16" s="3" t="s">
        <v>83</v>
      </c>
      <c r="B16" s="5" t="s">
        <v>10</v>
      </c>
      <c r="C16" s="5" t="s">
        <v>56</v>
      </c>
      <c r="D16" s="21"/>
      <c r="E16" s="14">
        <v>46089.0</v>
      </c>
      <c r="F16" s="3"/>
    </row>
    <row r="17">
      <c r="A17" s="3" t="s">
        <v>86</v>
      </c>
      <c r="B17" s="5" t="s">
        <v>10</v>
      </c>
      <c r="C17" s="11" t="s">
        <v>88</v>
      </c>
      <c r="D17" s="38" t="s">
        <v>82</v>
      </c>
      <c r="E17" s="14">
        <v>46089.0</v>
      </c>
      <c r="F17" s="3"/>
    </row>
    <row r="18">
      <c r="A18" s="3" t="s">
        <v>94</v>
      </c>
      <c r="B18" s="5" t="s">
        <v>21</v>
      </c>
      <c r="C18" s="17" t="s">
        <v>96</v>
      </c>
      <c r="D18" s="12"/>
      <c r="E18" s="14">
        <v>46089.0</v>
      </c>
      <c r="F18" s="3"/>
    </row>
    <row r="19">
      <c r="A19" s="32" t="s">
        <v>98</v>
      </c>
      <c r="B19" s="5" t="s">
        <v>10</v>
      </c>
      <c r="C19" s="11" t="s">
        <v>99</v>
      </c>
      <c r="D19" s="21"/>
      <c r="E19" s="14">
        <v>46089.0</v>
      </c>
      <c r="F19" s="5" t="s">
        <v>102</v>
      </c>
    </row>
    <row r="20">
      <c r="A20" s="3" t="s">
        <v>103</v>
      </c>
      <c r="B20" s="5" t="s">
        <v>10</v>
      </c>
      <c r="C20" s="11" t="s">
        <v>104</v>
      </c>
      <c r="D20" s="21"/>
      <c r="E20" s="14">
        <v>46089.0</v>
      </c>
      <c r="F20" s="3"/>
    </row>
    <row r="21">
      <c r="A21" s="3" t="s">
        <v>106</v>
      </c>
      <c r="B21" s="5" t="s">
        <v>10</v>
      </c>
      <c r="C21" s="11" t="s">
        <v>107</v>
      </c>
      <c r="D21" s="45" t="s">
        <v>82</v>
      </c>
      <c r="E21" s="14">
        <v>46089.0</v>
      </c>
      <c r="F21" s="3"/>
    </row>
    <row r="22">
      <c r="A22" s="3" t="s">
        <v>110</v>
      </c>
      <c r="B22" s="5" t="s">
        <v>21</v>
      </c>
      <c r="C22" s="11" t="s">
        <v>111</v>
      </c>
      <c r="D22" s="45" t="s">
        <v>82</v>
      </c>
      <c r="E22" s="14">
        <v>46089.0</v>
      </c>
      <c r="F22" s="3" t="s">
        <v>115</v>
      </c>
    </row>
    <row r="23">
      <c r="A23" s="3" t="s">
        <v>117</v>
      </c>
      <c r="B23" s="5" t="s">
        <v>21</v>
      </c>
      <c r="C23" s="11" t="s">
        <v>119</v>
      </c>
      <c r="D23" s="12"/>
      <c r="E23" s="14">
        <v>46089.0</v>
      </c>
      <c r="F23" s="3"/>
    </row>
    <row r="24">
      <c r="A24" s="29" t="s">
        <v>121</v>
      </c>
      <c r="B24" s="5" t="s">
        <v>10</v>
      </c>
      <c r="C24" s="3"/>
      <c r="D24" s="21"/>
      <c r="E24" s="14">
        <v>46089.0</v>
      </c>
      <c r="F24" s="3"/>
    </row>
    <row r="25">
      <c r="A25" s="3" t="s">
        <v>123</v>
      </c>
      <c r="B25" s="5" t="s">
        <v>21</v>
      </c>
      <c r="C25" s="11" t="s">
        <v>124</v>
      </c>
      <c r="D25" s="12"/>
      <c r="E25" s="14">
        <v>46089.0</v>
      </c>
      <c r="F25" s="3" t="s">
        <v>127</v>
      </c>
    </row>
    <row r="26">
      <c r="A26" s="3" t="s">
        <v>128</v>
      </c>
      <c r="B26" s="5" t="s">
        <v>21</v>
      </c>
      <c r="C26" s="11" t="s">
        <v>130</v>
      </c>
      <c r="D26" s="12"/>
      <c r="E26" s="14">
        <v>46089.0</v>
      </c>
      <c r="F26" s="3"/>
    </row>
    <row r="27">
      <c r="A27" s="3" t="s">
        <v>132</v>
      </c>
      <c r="B27" s="5" t="s">
        <v>10</v>
      </c>
      <c r="C27" s="11" t="s">
        <v>133</v>
      </c>
      <c r="D27" s="38" t="s">
        <v>82</v>
      </c>
      <c r="E27" s="14">
        <v>46089.0</v>
      </c>
      <c r="F27" s="5" t="s">
        <v>135</v>
      </c>
    </row>
    <row r="28">
      <c r="A28" s="32" t="s">
        <v>136</v>
      </c>
      <c r="B28" s="5" t="s">
        <v>10</v>
      </c>
      <c r="C28" s="3"/>
      <c r="D28" s="21"/>
      <c r="E28" s="14">
        <v>46089.0</v>
      </c>
      <c r="F28" s="3"/>
    </row>
    <row r="29">
      <c r="A29" s="3" t="s">
        <v>137</v>
      </c>
      <c r="B29" s="5" t="s">
        <v>21</v>
      </c>
      <c r="C29" s="11" t="s">
        <v>138</v>
      </c>
      <c r="D29" s="12"/>
      <c r="E29" s="14">
        <v>46089.0</v>
      </c>
      <c r="F29" s="5" t="s">
        <v>140</v>
      </c>
    </row>
    <row r="30">
      <c r="A30" s="3" t="s">
        <v>141</v>
      </c>
      <c r="B30" s="5" t="s">
        <v>21</v>
      </c>
      <c r="C30" s="11" t="s">
        <v>142</v>
      </c>
      <c r="D30" s="12"/>
      <c r="E30" s="14">
        <v>46089.0</v>
      </c>
      <c r="F30" s="3"/>
    </row>
    <row r="31">
      <c r="A31" s="3" t="s">
        <v>145</v>
      </c>
      <c r="B31" s="5" t="s">
        <v>21</v>
      </c>
      <c r="C31" s="17" t="s">
        <v>146</v>
      </c>
      <c r="D31" s="12"/>
      <c r="E31" s="14">
        <v>46089.0</v>
      </c>
      <c r="F31" s="3"/>
    </row>
    <row r="32">
      <c r="A32" s="3" t="s">
        <v>149</v>
      </c>
      <c r="B32" s="5" t="s">
        <v>10</v>
      </c>
      <c r="C32" s="3"/>
      <c r="D32" s="21"/>
      <c r="E32" s="14">
        <v>46089.0</v>
      </c>
      <c r="F32" s="3"/>
    </row>
    <row r="33">
      <c r="A33" s="29" t="s">
        <v>150</v>
      </c>
      <c r="B33" s="5" t="s">
        <v>10</v>
      </c>
      <c r="C33" s="3"/>
      <c r="D33" s="21"/>
      <c r="E33" s="14">
        <v>46089.0</v>
      </c>
      <c r="F33" s="3"/>
    </row>
    <row r="34">
      <c r="A34" s="29" t="s">
        <v>151</v>
      </c>
      <c r="B34" s="5" t="s">
        <v>10</v>
      </c>
      <c r="C34" s="3"/>
      <c r="D34" s="21"/>
      <c r="E34" s="14">
        <v>46089.0</v>
      </c>
      <c r="F34" s="3"/>
    </row>
    <row r="35">
      <c r="A35" s="3" t="s">
        <v>152</v>
      </c>
      <c r="B35" s="5" t="s">
        <v>10</v>
      </c>
      <c r="C35" s="3"/>
      <c r="D35" s="21"/>
      <c r="E35" s="14">
        <v>46089.0</v>
      </c>
      <c r="F35" s="3"/>
    </row>
    <row r="36">
      <c r="A36" s="3" t="s">
        <v>153</v>
      </c>
      <c r="B36" s="5" t="s">
        <v>21</v>
      </c>
      <c r="C36" s="25" t="s">
        <v>154</v>
      </c>
      <c r="D36" s="12"/>
      <c r="E36" s="14">
        <v>46089.0</v>
      </c>
      <c r="F36" s="3"/>
    </row>
    <row r="37">
      <c r="A37" s="29" t="s">
        <v>156</v>
      </c>
      <c r="B37" s="5" t="s">
        <v>10</v>
      </c>
      <c r="C37" s="3"/>
      <c r="D37" s="21"/>
      <c r="E37" s="14">
        <v>46089.0</v>
      </c>
      <c r="F37" s="3"/>
    </row>
    <row r="38">
      <c r="A38" s="29" t="s">
        <v>158</v>
      </c>
      <c r="B38" s="5" t="s">
        <v>10</v>
      </c>
      <c r="C38" s="3"/>
      <c r="D38" s="21"/>
      <c r="E38" s="14">
        <v>46089.0</v>
      </c>
      <c r="F38" s="3"/>
    </row>
    <row r="39">
      <c r="A39" s="3"/>
      <c r="B39" s="3"/>
      <c r="C39" s="3"/>
      <c r="D39" s="57"/>
      <c r="E39" s="3"/>
      <c r="F39" s="3"/>
    </row>
    <row r="40">
      <c r="A40" s="59"/>
      <c r="B40" s="59"/>
      <c r="C40" s="59"/>
      <c r="D40" s="57"/>
      <c r="E40" s="59"/>
      <c r="F40" s="59"/>
    </row>
    <row r="41">
      <c r="A41" s="59"/>
      <c r="B41" s="59"/>
      <c r="C41" s="59"/>
      <c r="D41" s="57"/>
      <c r="E41" s="59"/>
      <c r="F41" s="59"/>
    </row>
    <row r="42">
      <c r="A42" s="59"/>
      <c r="B42" s="59"/>
      <c r="C42" s="59"/>
      <c r="D42" s="57"/>
      <c r="E42" s="59"/>
      <c r="F42" s="59"/>
    </row>
    <row r="43">
      <c r="A43" s="59"/>
      <c r="B43" s="59"/>
      <c r="C43" s="59"/>
      <c r="D43" s="57"/>
      <c r="E43" s="59"/>
      <c r="F43" s="59"/>
    </row>
    <row r="44">
      <c r="A44" s="59"/>
      <c r="B44" s="59"/>
      <c r="C44" s="59"/>
      <c r="D44" s="57"/>
      <c r="E44" s="59"/>
      <c r="F44" s="59"/>
    </row>
    <row r="45">
      <c r="A45" s="59"/>
      <c r="B45" s="59"/>
      <c r="C45" s="59"/>
      <c r="D45" s="57"/>
      <c r="E45" s="59"/>
      <c r="F45" s="59"/>
    </row>
    <row r="46">
      <c r="A46" s="59"/>
      <c r="B46" s="59"/>
      <c r="C46" s="59"/>
      <c r="D46" s="57"/>
      <c r="E46" s="59"/>
      <c r="F46" s="59"/>
    </row>
    <row r="47">
      <c r="A47" s="59"/>
      <c r="B47" s="59"/>
      <c r="C47" s="59"/>
      <c r="D47" s="57"/>
      <c r="E47" s="59"/>
      <c r="F47" s="59"/>
    </row>
    <row r="48">
      <c r="A48" s="59"/>
      <c r="B48" s="59"/>
      <c r="C48" s="59"/>
      <c r="D48" s="57"/>
      <c r="E48" s="59"/>
      <c r="F48" s="59"/>
    </row>
    <row r="49">
      <c r="A49" s="59"/>
      <c r="B49" s="59"/>
      <c r="C49" s="59"/>
      <c r="D49" s="57"/>
      <c r="E49" s="59"/>
      <c r="F49" s="59"/>
    </row>
    <row r="50">
      <c r="A50" s="59"/>
      <c r="B50" s="59"/>
      <c r="C50" s="59"/>
      <c r="D50" s="57"/>
      <c r="E50" s="59"/>
      <c r="F50" s="59"/>
    </row>
    <row r="51">
      <c r="A51" s="59"/>
      <c r="B51" s="59"/>
      <c r="C51" s="59"/>
      <c r="D51" s="57"/>
      <c r="E51" s="59"/>
      <c r="F51" s="59"/>
    </row>
    <row r="52">
      <c r="A52" s="59"/>
      <c r="B52" s="59"/>
      <c r="C52" s="59"/>
      <c r="D52" s="57"/>
      <c r="E52" s="59"/>
      <c r="F52" s="59"/>
    </row>
    <row r="53">
      <c r="A53" s="59"/>
      <c r="B53" s="59"/>
      <c r="C53" s="59"/>
      <c r="D53" s="57"/>
      <c r="E53" s="59"/>
      <c r="F53" s="59"/>
    </row>
    <row r="54">
      <c r="A54" s="59"/>
      <c r="B54" s="59"/>
      <c r="C54" s="59"/>
      <c r="D54" s="57"/>
      <c r="E54" s="59"/>
      <c r="F54" s="59"/>
    </row>
    <row r="55">
      <c r="A55" s="59"/>
      <c r="B55" s="59"/>
      <c r="C55" s="59"/>
      <c r="D55" s="57"/>
      <c r="E55" s="59"/>
      <c r="F55" s="59"/>
    </row>
    <row r="56">
      <c r="A56" s="59"/>
      <c r="B56" s="59"/>
      <c r="C56" s="59"/>
      <c r="D56" s="57"/>
      <c r="E56" s="59"/>
      <c r="F56" s="59"/>
    </row>
    <row r="57">
      <c r="A57" s="59"/>
      <c r="B57" s="59"/>
      <c r="C57" s="59"/>
      <c r="D57" s="57"/>
      <c r="E57" s="59"/>
      <c r="F57" s="59"/>
    </row>
    <row r="58">
      <c r="A58" s="59"/>
      <c r="B58" s="59"/>
      <c r="C58" s="59"/>
      <c r="D58" s="57"/>
      <c r="E58" s="59"/>
      <c r="F58" s="59"/>
    </row>
    <row r="59">
      <c r="A59" s="59"/>
      <c r="B59" s="59"/>
      <c r="C59" s="59"/>
      <c r="D59" s="57"/>
      <c r="E59" s="59"/>
      <c r="F59" s="59"/>
    </row>
    <row r="60">
      <c r="A60" s="59"/>
      <c r="B60" s="59"/>
      <c r="C60" s="59"/>
      <c r="D60" s="57"/>
      <c r="E60" s="59"/>
      <c r="F60" s="59"/>
    </row>
    <row r="61">
      <c r="A61" s="59"/>
      <c r="B61" s="59"/>
      <c r="C61" s="59"/>
      <c r="D61" s="57"/>
      <c r="E61" s="59"/>
      <c r="F61" s="59"/>
    </row>
    <row r="62">
      <c r="A62" s="59"/>
      <c r="B62" s="59"/>
      <c r="C62" s="59"/>
      <c r="D62" s="57"/>
      <c r="E62" s="59"/>
      <c r="F62" s="59"/>
    </row>
    <row r="63">
      <c r="A63" s="59"/>
      <c r="B63" s="59"/>
      <c r="C63" s="59"/>
      <c r="D63" s="57"/>
      <c r="E63" s="59"/>
      <c r="F63" s="59"/>
    </row>
    <row r="64">
      <c r="A64" s="59"/>
      <c r="B64" s="59"/>
      <c r="C64" s="59"/>
      <c r="D64" s="57"/>
      <c r="E64" s="59"/>
      <c r="F64" s="59"/>
    </row>
    <row r="65">
      <c r="A65" s="59"/>
      <c r="B65" s="59"/>
      <c r="C65" s="59"/>
      <c r="D65" s="57"/>
      <c r="E65" s="59"/>
      <c r="F65" s="59"/>
    </row>
    <row r="66">
      <c r="A66" s="59"/>
      <c r="B66" s="59"/>
      <c r="C66" s="59"/>
      <c r="D66" s="57"/>
      <c r="E66" s="59"/>
      <c r="F66" s="59"/>
    </row>
    <row r="67">
      <c r="A67" s="59"/>
      <c r="B67" s="59"/>
      <c r="C67" s="59"/>
      <c r="D67" s="57"/>
      <c r="E67" s="59"/>
      <c r="F67" s="59"/>
    </row>
    <row r="68">
      <c r="A68" s="59"/>
      <c r="B68" s="59"/>
      <c r="C68" s="59"/>
      <c r="D68" s="57"/>
      <c r="E68" s="59"/>
      <c r="F68" s="59"/>
    </row>
    <row r="69">
      <c r="A69" s="59"/>
      <c r="B69" s="59"/>
      <c r="C69" s="59"/>
      <c r="D69" s="57"/>
      <c r="E69" s="59"/>
      <c r="F69" s="59"/>
    </row>
    <row r="70">
      <c r="A70" s="59"/>
      <c r="B70" s="59"/>
      <c r="C70" s="59"/>
      <c r="D70" s="57"/>
      <c r="E70" s="59"/>
      <c r="F70" s="59"/>
    </row>
    <row r="71">
      <c r="A71" s="59"/>
      <c r="B71" s="59"/>
      <c r="C71" s="59"/>
      <c r="D71" s="57"/>
      <c r="E71" s="59"/>
      <c r="F71" s="59"/>
    </row>
    <row r="72">
      <c r="A72" s="59"/>
      <c r="B72" s="59"/>
      <c r="C72" s="59"/>
      <c r="D72" s="57"/>
      <c r="E72" s="59"/>
      <c r="F72" s="59"/>
    </row>
    <row r="73">
      <c r="A73" s="59"/>
      <c r="B73" s="59"/>
      <c r="C73" s="59"/>
      <c r="D73" s="57"/>
      <c r="E73" s="59"/>
      <c r="F73" s="59"/>
    </row>
    <row r="74">
      <c r="A74" s="59"/>
      <c r="B74" s="59"/>
      <c r="C74" s="59"/>
      <c r="D74" s="57"/>
      <c r="E74" s="59"/>
      <c r="F74" s="59"/>
    </row>
    <row r="75">
      <c r="A75" s="59"/>
      <c r="B75" s="59"/>
      <c r="C75" s="59"/>
      <c r="D75" s="57"/>
      <c r="E75" s="59"/>
      <c r="F75" s="59"/>
    </row>
    <row r="76">
      <c r="A76" s="59"/>
      <c r="B76" s="59"/>
      <c r="C76" s="59"/>
      <c r="D76" s="57"/>
      <c r="E76" s="59"/>
      <c r="F76" s="59"/>
    </row>
    <row r="77">
      <c r="A77" s="59"/>
      <c r="B77" s="59"/>
      <c r="C77" s="59"/>
      <c r="D77" s="57"/>
      <c r="E77" s="59"/>
      <c r="F77" s="59"/>
    </row>
    <row r="78">
      <c r="A78" s="59"/>
      <c r="B78" s="59"/>
      <c r="C78" s="59"/>
      <c r="D78" s="57"/>
      <c r="E78" s="59"/>
      <c r="F78" s="59"/>
    </row>
    <row r="79">
      <c r="A79" s="59"/>
      <c r="B79" s="59"/>
      <c r="C79" s="59"/>
      <c r="D79" s="57"/>
      <c r="E79" s="59"/>
      <c r="F79" s="59"/>
    </row>
    <row r="80">
      <c r="A80" s="59"/>
      <c r="B80" s="59"/>
      <c r="C80" s="59"/>
      <c r="D80" s="57"/>
      <c r="E80" s="59"/>
      <c r="F80" s="59"/>
    </row>
    <row r="81">
      <c r="A81" s="59"/>
      <c r="B81" s="59"/>
      <c r="C81" s="59"/>
      <c r="D81" s="57"/>
      <c r="E81" s="59"/>
      <c r="F81" s="59"/>
    </row>
    <row r="82">
      <c r="A82" s="59"/>
      <c r="B82" s="59"/>
      <c r="C82" s="59"/>
      <c r="D82" s="57"/>
      <c r="E82" s="59"/>
      <c r="F82" s="59"/>
    </row>
    <row r="83">
      <c r="A83" s="59"/>
      <c r="B83" s="59"/>
      <c r="C83" s="59"/>
      <c r="D83" s="57"/>
      <c r="E83" s="59"/>
      <c r="F83" s="59"/>
    </row>
    <row r="84">
      <c r="A84" s="59"/>
      <c r="B84" s="59"/>
      <c r="C84" s="59"/>
      <c r="D84" s="57"/>
      <c r="E84" s="59"/>
      <c r="F84" s="59"/>
    </row>
    <row r="85">
      <c r="A85" s="59"/>
      <c r="B85" s="59"/>
      <c r="C85" s="59"/>
      <c r="D85" s="57"/>
      <c r="E85" s="59"/>
      <c r="F85" s="59"/>
    </row>
    <row r="86">
      <c r="A86" s="59"/>
      <c r="B86" s="59"/>
      <c r="C86" s="59"/>
      <c r="D86" s="57"/>
      <c r="E86" s="59"/>
      <c r="F86" s="59"/>
    </row>
    <row r="87">
      <c r="A87" s="59"/>
      <c r="B87" s="59"/>
      <c r="C87" s="59"/>
      <c r="D87" s="57"/>
      <c r="E87" s="59"/>
      <c r="F87" s="59"/>
    </row>
    <row r="88">
      <c r="A88" s="59"/>
      <c r="B88" s="59"/>
      <c r="C88" s="59"/>
      <c r="D88" s="57"/>
      <c r="E88" s="59"/>
      <c r="F88" s="59"/>
    </row>
    <row r="89">
      <c r="A89" s="59"/>
      <c r="B89" s="59"/>
      <c r="C89" s="59"/>
      <c r="D89" s="57"/>
      <c r="E89" s="59"/>
      <c r="F89" s="59"/>
    </row>
    <row r="90">
      <c r="A90" s="59"/>
      <c r="B90" s="59"/>
      <c r="C90" s="59"/>
      <c r="D90" s="57"/>
      <c r="E90" s="59"/>
      <c r="F90" s="59"/>
    </row>
    <row r="91">
      <c r="A91" s="59"/>
      <c r="B91" s="59"/>
      <c r="C91" s="59"/>
      <c r="D91" s="57"/>
      <c r="E91" s="59"/>
      <c r="F91" s="59"/>
    </row>
    <row r="92">
      <c r="A92" s="59"/>
      <c r="B92" s="59"/>
      <c r="C92" s="59"/>
      <c r="D92" s="57"/>
      <c r="E92" s="59"/>
      <c r="F92" s="59"/>
    </row>
    <row r="93">
      <c r="A93" s="59"/>
      <c r="B93" s="59"/>
      <c r="C93" s="59"/>
      <c r="D93" s="57"/>
      <c r="E93" s="59"/>
      <c r="F93" s="59"/>
    </row>
    <row r="94">
      <c r="A94" s="59"/>
      <c r="B94" s="59"/>
      <c r="C94" s="59"/>
      <c r="D94" s="57"/>
      <c r="E94" s="59"/>
      <c r="F94" s="59"/>
    </row>
    <row r="95">
      <c r="A95" s="59"/>
      <c r="B95" s="59"/>
      <c r="C95" s="59"/>
      <c r="D95" s="57"/>
      <c r="E95" s="59"/>
      <c r="F95" s="59"/>
    </row>
    <row r="96">
      <c r="A96" s="59"/>
      <c r="B96" s="59"/>
      <c r="C96" s="59"/>
      <c r="D96" s="57"/>
      <c r="E96" s="59"/>
      <c r="F96" s="59"/>
    </row>
    <row r="97">
      <c r="A97" s="59"/>
      <c r="B97" s="59"/>
      <c r="C97" s="59"/>
      <c r="D97" s="57"/>
      <c r="E97" s="59"/>
      <c r="F97" s="59"/>
    </row>
    <row r="98">
      <c r="A98" s="59"/>
      <c r="B98" s="59"/>
      <c r="C98" s="59"/>
      <c r="D98" s="57"/>
      <c r="E98" s="59"/>
      <c r="F98" s="59"/>
    </row>
    <row r="99">
      <c r="A99" s="59"/>
      <c r="B99" s="59"/>
      <c r="C99" s="59"/>
      <c r="D99" s="57"/>
      <c r="E99" s="59"/>
      <c r="F99" s="59"/>
    </row>
    <row r="100">
      <c r="A100" s="59"/>
      <c r="B100" s="59"/>
      <c r="C100" s="59"/>
      <c r="D100" s="57"/>
      <c r="E100" s="59"/>
      <c r="F100" s="59"/>
    </row>
    <row r="101">
      <c r="A101" s="59"/>
      <c r="B101" s="59"/>
      <c r="C101" s="59"/>
      <c r="D101" s="57"/>
      <c r="E101" s="59"/>
      <c r="F101" s="59"/>
    </row>
    <row r="102">
      <c r="A102" s="59"/>
      <c r="B102" s="59"/>
      <c r="C102" s="59"/>
      <c r="D102" s="57"/>
      <c r="E102" s="59"/>
      <c r="F102" s="59"/>
    </row>
    <row r="103">
      <c r="A103" s="59"/>
      <c r="B103" s="59"/>
      <c r="C103" s="59"/>
      <c r="D103" s="57"/>
      <c r="E103" s="59"/>
      <c r="F103" s="59"/>
    </row>
    <row r="104">
      <c r="A104" s="59"/>
      <c r="B104" s="59"/>
      <c r="C104" s="59"/>
      <c r="D104" s="57"/>
      <c r="E104" s="59"/>
      <c r="F104" s="59"/>
    </row>
    <row r="105">
      <c r="A105" s="59"/>
      <c r="B105" s="59"/>
      <c r="C105" s="59"/>
      <c r="D105" s="57"/>
      <c r="E105" s="59"/>
      <c r="F105" s="59"/>
    </row>
    <row r="106">
      <c r="A106" s="59"/>
      <c r="B106" s="59"/>
      <c r="C106" s="59"/>
      <c r="D106" s="57"/>
      <c r="E106" s="59"/>
      <c r="F106" s="59"/>
    </row>
    <row r="107">
      <c r="A107" s="59"/>
      <c r="B107" s="59"/>
      <c r="C107" s="59"/>
      <c r="D107" s="57"/>
      <c r="E107" s="59"/>
      <c r="F107" s="59"/>
    </row>
    <row r="108">
      <c r="A108" s="59"/>
      <c r="B108" s="59"/>
      <c r="C108" s="59"/>
      <c r="D108" s="57"/>
      <c r="E108" s="59"/>
      <c r="F108" s="59"/>
    </row>
    <row r="109">
      <c r="A109" s="59"/>
      <c r="B109" s="59"/>
      <c r="C109" s="59"/>
      <c r="D109" s="57"/>
      <c r="E109" s="59"/>
      <c r="F109" s="59"/>
    </row>
    <row r="110">
      <c r="A110" s="59"/>
      <c r="B110" s="59"/>
      <c r="C110" s="59"/>
      <c r="D110" s="57"/>
      <c r="E110" s="59"/>
      <c r="F110" s="59"/>
    </row>
    <row r="111">
      <c r="A111" s="59"/>
      <c r="B111" s="59"/>
      <c r="C111" s="59"/>
      <c r="D111" s="57"/>
      <c r="E111" s="59"/>
      <c r="F111" s="59"/>
    </row>
    <row r="112">
      <c r="A112" s="59"/>
      <c r="B112" s="59"/>
      <c r="C112" s="59"/>
      <c r="D112" s="57"/>
      <c r="E112" s="59"/>
      <c r="F112" s="59"/>
    </row>
    <row r="113">
      <c r="A113" s="59"/>
      <c r="B113" s="59"/>
      <c r="C113" s="59"/>
      <c r="D113" s="57"/>
      <c r="E113" s="59"/>
      <c r="F113" s="59"/>
    </row>
    <row r="114">
      <c r="A114" s="59"/>
      <c r="B114" s="59"/>
      <c r="C114" s="59"/>
      <c r="D114" s="57"/>
      <c r="E114" s="59"/>
      <c r="F114" s="59"/>
    </row>
    <row r="115">
      <c r="A115" s="59"/>
      <c r="B115" s="59"/>
      <c r="C115" s="59"/>
      <c r="D115" s="57"/>
      <c r="E115" s="59"/>
      <c r="F115" s="59"/>
    </row>
    <row r="116">
      <c r="A116" s="59"/>
      <c r="B116" s="59"/>
      <c r="C116" s="59"/>
      <c r="D116" s="57"/>
      <c r="E116" s="59"/>
      <c r="F116" s="59"/>
    </row>
    <row r="117">
      <c r="A117" s="59"/>
      <c r="B117" s="59"/>
      <c r="C117" s="59"/>
      <c r="D117" s="57"/>
      <c r="E117" s="59"/>
      <c r="F117" s="59"/>
    </row>
    <row r="118">
      <c r="A118" s="59"/>
      <c r="B118" s="59"/>
      <c r="C118" s="59"/>
      <c r="D118" s="57"/>
      <c r="E118" s="59"/>
      <c r="F118" s="59"/>
    </row>
    <row r="119">
      <c r="A119" s="59"/>
      <c r="B119" s="59"/>
      <c r="C119" s="59"/>
      <c r="D119" s="57"/>
      <c r="E119" s="59"/>
      <c r="F119" s="59"/>
    </row>
    <row r="120">
      <c r="A120" s="59"/>
      <c r="B120" s="59"/>
      <c r="C120" s="59"/>
      <c r="D120" s="57"/>
      <c r="E120" s="59"/>
      <c r="F120" s="59"/>
    </row>
    <row r="121">
      <c r="A121" s="59"/>
      <c r="B121" s="59"/>
      <c r="C121" s="59"/>
      <c r="D121" s="57"/>
      <c r="E121" s="59"/>
      <c r="F121" s="59"/>
    </row>
    <row r="122">
      <c r="A122" s="59"/>
      <c r="B122" s="59"/>
      <c r="C122" s="59"/>
      <c r="D122" s="57"/>
      <c r="E122" s="59"/>
      <c r="F122" s="59"/>
    </row>
    <row r="123">
      <c r="A123" s="59"/>
      <c r="B123" s="59"/>
      <c r="C123" s="59"/>
      <c r="D123" s="57"/>
      <c r="E123" s="59"/>
      <c r="F123" s="59"/>
    </row>
    <row r="124">
      <c r="A124" s="59"/>
      <c r="B124" s="59"/>
      <c r="C124" s="59"/>
      <c r="D124" s="57"/>
      <c r="E124" s="59"/>
      <c r="F124" s="59"/>
    </row>
    <row r="125">
      <c r="A125" s="59"/>
      <c r="B125" s="59"/>
      <c r="C125" s="59"/>
      <c r="D125" s="57"/>
      <c r="E125" s="59"/>
      <c r="F125" s="59"/>
    </row>
    <row r="126">
      <c r="A126" s="59"/>
      <c r="B126" s="59"/>
      <c r="C126" s="59"/>
      <c r="D126" s="57"/>
      <c r="E126" s="59"/>
      <c r="F126" s="59"/>
    </row>
    <row r="127">
      <c r="A127" s="59"/>
      <c r="B127" s="59"/>
      <c r="C127" s="59"/>
      <c r="D127" s="57"/>
      <c r="E127" s="59"/>
      <c r="F127" s="59"/>
    </row>
    <row r="128">
      <c r="A128" s="59"/>
      <c r="B128" s="59"/>
      <c r="C128" s="59"/>
      <c r="D128" s="57"/>
      <c r="E128" s="59"/>
      <c r="F128" s="59"/>
    </row>
    <row r="129">
      <c r="A129" s="59"/>
      <c r="B129" s="59"/>
      <c r="C129" s="59"/>
      <c r="D129" s="57"/>
      <c r="E129" s="59"/>
      <c r="F129" s="59"/>
    </row>
    <row r="130">
      <c r="A130" s="59"/>
      <c r="B130" s="59"/>
      <c r="C130" s="59"/>
      <c r="D130" s="57"/>
      <c r="E130" s="59"/>
      <c r="F130" s="59"/>
    </row>
    <row r="131">
      <c r="A131" s="59"/>
      <c r="B131" s="59"/>
      <c r="C131" s="59"/>
      <c r="D131" s="57"/>
      <c r="E131" s="59"/>
      <c r="F131" s="59"/>
    </row>
    <row r="132">
      <c r="A132" s="59"/>
      <c r="B132" s="59"/>
      <c r="C132" s="59"/>
      <c r="D132" s="57"/>
      <c r="E132" s="59"/>
      <c r="F132" s="59"/>
    </row>
    <row r="133">
      <c r="A133" s="59"/>
      <c r="B133" s="59"/>
      <c r="C133" s="59"/>
      <c r="D133" s="57"/>
      <c r="E133" s="59"/>
      <c r="F133" s="59"/>
    </row>
    <row r="134">
      <c r="A134" s="59"/>
      <c r="B134" s="59"/>
      <c r="C134" s="59"/>
      <c r="D134" s="57"/>
      <c r="E134" s="59"/>
      <c r="F134" s="59"/>
    </row>
    <row r="135">
      <c r="A135" s="59"/>
      <c r="B135" s="59"/>
      <c r="C135" s="59"/>
      <c r="D135" s="57"/>
      <c r="E135" s="59"/>
      <c r="F135" s="59"/>
    </row>
    <row r="136">
      <c r="A136" s="59"/>
      <c r="B136" s="59"/>
      <c r="C136" s="59"/>
      <c r="D136" s="57"/>
      <c r="E136" s="59"/>
      <c r="F136" s="59"/>
    </row>
    <row r="137">
      <c r="A137" s="59"/>
      <c r="B137" s="59"/>
      <c r="C137" s="59"/>
      <c r="D137" s="57"/>
      <c r="E137" s="59"/>
      <c r="F137" s="59"/>
    </row>
    <row r="138">
      <c r="A138" s="59"/>
      <c r="B138" s="59"/>
      <c r="C138" s="59"/>
      <c r="D138" s="57"/>
      <c r="E138" s="59"/>
      <c r="F138" s="59"/>
    </row>
    <row r="139">
      <c r="A139" s="59"/>
      <c r="B139" s="59"/>
      <c r="C139" s="59"/>
      <c r="D139" s="57"/>
      <c r="E139" s="59"/>
      <c r="F139" s="59"/>
    </row>
    <row r="140">
      <c r="A140" s="59"/>
      <c r="B140" s="59"/>
      <c r="C140" s="59"/>
      <c r="D140" s="57"/>
      <c r="E140" s="59"/>
      <c r="F140" s="59"/>
    </row>
    <row r="141">
      <c r="A141" s="59"/>
      <c r="B141" s="59"/>
      <c r="C141" s="59"/>
      <c r="D141" s="57"/>
      <c r="E141" s="59"/>
      <c r="F141" s="59"/>
    </row>
    <row r="142">
      <c r="A142" s="59"/>
      <c r="B142" s="59"/>
      <c r="C142" s="59"/>
      <c r="D142" s="57"/>
      <c r="E142" s="59"/>
      <c r="F142" s="59"/>
    </row>
    <row r="143">
      <c r="A143" s="59"/>
      <c r="B143" s="59"/>
      <c r="C143" s="59"/>
      <c r="D143" s="57"/>
      <c r="E143" s="59"/>
      <c r="F143" s="59"/>
    </row>
    <row r="144">
      <c r="A144" s="59"/>
      <c r="B144" s="59"/>
      <c r="C144" s="59"/>
      <c r="D144" s="57"/>
      <c r="E144" s="59"/>
      <c r="F144" s="59"/>
    </row>
    <row r="145">
      <c r="A145" s="59"/>
      <c r="B145" s="59"/>
      <c r="C145" s="59"/>
      <c r="D145" s="57"/>
      <c r="E145" s="59"/>
      <c r="F145" s="59"/>
    </row>
    <row r="146">
      <c r="A146" s="59"/>
      <c r="B146" s="59"/>
      <c r="C146" s="59"/>
      <c r="D146" s="57"/>
      <c r="E146" s="59"/>
      <c r="F146" s="59"/>
    </row>
    <row r="147">
      <c r="A147" s="59"/>
      <c r="B147" s="59"/>
      <c r="C147" s="59"/>
      <c r="D147" s="57"/>
      <c r="E147" s="59"/>
      <c r="F147" s="59"/>
    </row>
    <row r="148">
      <c r="A148" s="59"/>
      <c r="B148" s="59"/>
      <c r="C148" s="59"/>
      <c r="D148" s="57"/>
      <c r="E148" s="59"/>
      <c r="F148" s="59"/>
    </row>
    <row r="149">
      <c r="A149" s="59"/>
      <c r="B149" s="59"/>
      <c r="C149" s="59"/>
      <c r="D149" s="57"/>
      <c r="E149" s="59"/>
      <c r="F149" s="59"/>
    </row>
    <row r="150">
      <c r="A150" s="59"/>
      <c r="B150" s="59"/>
      <c r="C150" s="59"/>
      <c r="D150" s="57"/>
      <c r="E150" s="59"/>
      <c r="F150" s="59"/>
    </row>
    <row r="151">
      <c r="A151" s="59"/>
      <c r="B151" s="59"/>
      <c r="C151" s="59"/>
      <c r="D151" s="57"/>
      <c r="E151" s="59"/>
      <c r="F151" s="59"/>
    </row>
    <row r="152">
      <c r="A152" s="59"/>
      <c r="B152" s="59"/>
      <c r="C152" s="59"/>
      <c r="D152" s="57"/>
      <c r="E152" s="59"/>
      <c r="F152" s="59"/>
    </row>
    <row r="153">
      <c r="A153" s="59"/>
      <c r="B153" s="59"/>
      <c r="C153" s="59"/>
      <c r="D153" s="57"/>
      <c r="E153" s="59"/>
      <c r="F153" s="59"/>
    </row>
    <row r="154">
      <c r="A154" s="59"/>
      <c r="B154" s="59"/>
      <c r="C154" s="59"/>
      <c r="D154" s="57"/>
      <c r="E154" s="59"/>
      <c r="F154" s="59"/>
    </row>
    <row r="155">
      <c r="A155" s="59"/>
      <c r="B155" s="59"/>
      <c r="C155" s="59"/>
      <c r="D155" s="57"/>
      <c r="E155" s="59"/>
      <c r="F155" s="59"/>
    </row>
    <row r="156">
      <c r="A156" s="59"/>
      <c r="B156" s="59"/>
      <c r="C156" s="59"/>
      <c r="D156" s="57"/>
      <c r="E156" s="59"/>
      <c r="F156" s="59"/>
    </row>
    <row r="157">
      <c r="A157" s="59"/>
      <c r="B157" s="59"/>
      <c r="C157" s="59"/>
      <c r="D157" s="57"/>
      <c r="E157" s="59"/>
      <c r="F157" s="59"/>
    </row>
    <row r="158">
      <c r="A158" s="59"/>
      <c r="B158" s="59"/>
      <c r="C158" s="59"/>
      <c r="D158" s="57"/>
      <c r="E158" s="59"/>
      <c r="F158" s="59"/>
    </row>
    <row r="159">
      <c r="A159" s="59"/>
      <c r="B159" s="59"/>
      <c r="C159" s="59"/>
      <c r="D159" s="57"/>
      <c r="E159" s="59"/>
      <c r="F159" s="59"/>
    </row>
    <row r="160">
      <c r="A160" s="59"/>
      <c r="B160" s="59"/>
      <c r="C160" s="59"/>
      <c r="D160" s="57"/>
      <c r="E160" s="59"/>
      <c r="F160" s="59"/>
    </row>
    <row r="161">
      <c r="A161" s="59"/>
      <c r="B161" s="59"/>
      <c r="C161" s="59"/>
      <c r="D161" s="57"/>
      <c r="E161" s="59"/>
      <c r="F161" s="59"/>
    </row>
    <row r="162">
      <c r="A162" s="59"/>
      <c r="B162" s="59"/>
      <c r="C162" s="59"/>
      <c r="D162" s="57"/>
      <c r="E162" s="59"/>
      <c r="F162" s="59"/>
    </row>
    <row r="163">
      <c r="A163" s="59"/>
      <c r="B163" s="59"/>
      <c r="C163" s="59"/>
      <c r="D163" s="57"/>
      <c r="E163" s="59"/>
      <c r="F163" s="59"/>
    </row>
    <row r="164">
      <c r="A164" s="59"/>
      <c r="B164" s="59"/>
      <c r="C164" s="59"/>
      <c r="D164" s="57"/>
      <c r="E164" s="59"/>
      <c r="F164" s="59"/>
    </row>
    <row r="165">
      <c r="A165" s="59"/>
      <c r="B165" s="59"/>
      <c r="C165" s="59"/>
      <c r="D165" s="57"/>
      <c r="E165" s="59"/>
      <c r="F165" s="59"/>
    </row>
    <row r="166">
      <c r="A166" s="59"/>
      <c r="B166" s="59"/>
      <c r="C166" s="59"/>
      <c r="D166" s="57"/>
      <c r="E166" s="59"/>
      <c r="F166" s="59"/>
    </row>
    <row r="167">
      <c r="A167" s="59"/>
      <c r="B167" s="59"/>
      <c r="C167" s="59"/>
      <c r="D167" s="57"/>
      <c r="E167" s="59"/>
      <c r="F167" s="59"/>
    </row>
    <row r="168">
      <c r="A168" s="59"/>
      <c r="B168" s="59"/>
      <c r="C168" s="59"/>
      <c r="D168" s="57"/>
      <c r="E168" s="59"/>
      <c r="F168" s="59"/>
    </row>
    <row r="169">
      <c r="A169" s="59"/>
      <c r="B169" s="59"/>
      <c r="C169" s="59"/>
      <c r="D169" s="57"/>
      <c r="E169" s="59"/>
      <c r="F169" s="59"/>
    </row>
    <row r="170">
      <c r="A170" s="59"/>
      <c r="B170" s="59"/>
      <c r="C170" s="59"/>
      <c r="D170" s="57"/>
      <c r="E170" s="59"/>
      <c r="F170" s="59"/>
    </row>
    <row r="171">
      <c r="A171" s="59"/>
      <c r="B171" s="59"/>
      <c r="C171" s="59"/>
      <c r="D171" s="57"/>
      <c r="E171" s="59"/>
      <c r="F171" s="59"/>
    </row>
    <row r="172">
      <c r="A172" s="59"/>
      <c r="B172" s="59"/>
      <c r="C172" s="59"/>
      <c r="D172" s="57"/>
      <c r="E172" s="59"/>
      <c r="F172" s="59"/>
    </row>
    <row r="173">
      <c r="A173" s="59"/>
      <c r="B173" s="59"/>
      <c r="C173" s="59"/>
      <c r="D173" s="57"/>
      <c r="E173" s="59"/>
      <c r="F173" s="59"/>
    </row>
    <row r="174">
      <c r="A174" s="59"/>
      <c r="B174" s="59"/>
      <c r="C174" s="59"/>
      <c r="D174" s="57"/>
      <c r="E174" s="59"/>
      <c r="F174" s="59"/>
    </row>
    <row r="175">
      <c r="A175" s="59"/>
      <c r="B175" s="59"/>
      <c r="C175" s="59"/>
      <c r="D175" s="57"/>
      <c r="E175" s="59"/>
      <c r="F175" s="59"/>
    </row>
    <row r="176">
      <c r="A176" s="59"/>
      <c r="B176" s="59"/>
      <c r="C176" s="59"/>
      <c r="D176" s="57"/>
      <c r="E176" s="59"/>
      <c r="F176" s="59"/>
    </row>
    <row r="177">
      <c r="A177" s="59"/>
      <c r="B177" s="59"/>
      <c r="C177" s="59"/>
      <c r="D177" s="57"/>
      <c r="E177" s="59"/>
      <c r="F177" s="59"/>
    </row>
    <row r="178">
      <c r="A178" s="59"/>
      <c r="B178" s="59"/>
      <c r="C178" s="59"/>
      <c r="D178" s="57"/>
      <c r="E178" s="59"/>
      <c r="F178" s="59"/>
    </row>
    <row r="179">
      <c r="A179" s="59"/>
      <c r="B179" s="59"/>
      <c r="C179" s="59"/>
      <c r="D179" s="57"/>
      <c r="E179" s="59"/>
      <c r="F179" s="59"/>
    </row>
    <row r="180">
      <c r="A180" s="59"/>
      <c r="B180" s="59"/>
      <c r="C180" s="59"/>
      <c r="D180" s="57"/>
      <c r="E180" s="59"/>
      <c r="F180" s="59"/>
    </row>
    <row r="181">
      <c r="A181" s="59"/>
      <c r="B181" s="59"/>
      <c r="C181" s="59"/>
      <c r="D181" s="57"/>
      <c r="E181" s="59"/>
      <c r="F181" s="59"/>
    </row>
    <row r="182">
      <c r="A182" s="59"/>
      <c r="B182" s="59"/>
      <c r="C182" s="59"/>
      <c r="D182" s="57"/>
      <c r="E182" s="59"/>
      <c r="F182" s="59"/>
    </row>
    <row r="183">
      <c r="A183" s="59"/>
      <c r="B183" s="59"/>
      <c r="C183" s="59"/>
      <c r="D183" s="57"/>
      <c r="E183" s="59"/>
      <c r="F183" s="59"/>
    </row>
    <row r="184">
      <c r="A184" s="59"/>
      <c r="B184" s="59"/>
      <c r="C184" s="59"/>
      <c r="D184" s="57"/>
      <c r="E184" s="59"/>
      <c r="F184" s="59"/>
    </row>
    <row r="185">
      <c r="A185" s="59"/>
      <c r="B185" s="59"/>
      <c r="C185" s="59"/>
      <c r="D185" s="57"/>
      <c r="E185" s="59"/>
      <c r="F185" s="59"/>
    </row>
    <row r="186">
      <c r="A186" s="59"/>
      <c r="B186" s="59"/>
      <c r="C186" s="59"/>
      <c r="D186" s="57"/>
      <c r="E186" s="59"/>
      <c r="F186" s="59"/>
    </row>
    <row r="187">
      <c r="A187" s="59"/>
      <c r="B187" s="59"/>
      <c r="C187" s="59"/>
      <c r="D187" s="57"/>
      <c r="E187" s="59"/>
      <c r="F187" s="59"/>
    </row>
    <row r="188">
      <c r="A188" s="59"/>
      <c r="B188" s="59"/>
      <c r="C188" s="59"/>
      <c r="D188" s="57"/>
      <c r="E188" s="59"/>
      <c r="F188" s="59"/>
    </row>
    <row r="189">
      <c r="A189" s="59"/>
      <c r="B189" s="59"/>
      <c r="C189" s="59"/>
      <c r="D189" s="57"/>
      <c r="E189" s="59"/>
      <c r="F189" s="59"/>
    </row>
    <row r="190">
      <c r="A190" s="59"/>
      <c r="B190" s="59"/>
      <c r="C190" s="59"/>
      <c r="D190" s="57"/>
      <c r="E190" s="59"/>
      <c r="F190" s="59"/>
    </row>
    <row r="191">
      <c r="A191" s="59"/>
      <c r="B191" s="59"/>
      <c r="C191" s="59"/>
      <c r="D191" s="57"/>
      <c r="E191" s="59"/>
      <c r="F191" s="59"/>
    </row>
    <row r="192">
      <c r="A192" s="59"/>
      <c r="B192" s="59"/>
      <c r="C192" s="59"/>
      <c r="D192" s="57"/>
      <c r="E192" s="59"/>
      <c r="F192" s="59"/>
    </row>
    <row r="193">
      <c r="A193" s="59"/>
      <c r="B193" s="59"/>
      <c r="C193" s="59"/>
      <c r="D193" s="57"/>
      <c r="E193" s="59"/>
      <c r="F193" s="59"/>
    </row>
    <row r="194">
      <c r="A194" s="59"/>
      <c r="B194" s="59"/>
      <c r="C194" s="59"/>
      <c r="D194" s="57"/>
      <c r="E194" s="59"/>
      <c r="F194" s="59"/>
    </row>
    <row r="195">
      <c r="A195" s="59"/>
      <c r="B195" s="59"/>
      <c r="C195" s="59"/>
      <c r="D195" s="57"/>
      <c r="E195" s="59"/>
      <c r="F195" s="59"/>
    </row>
    <row r="196">
      <c r="A196" s="59"/>
      <c r="B196" s="59"/>
      <c r="C196" s="59"/>
      <c r="D196" s="57"/>
      <c r="E196" s="59"/>
      <c r="F196" s="59"/>
    </row>
    <row r="197">
      <c r="A197" s="59"/>
      <c r="B197" s="59"/>
      <c r="C197" s="59"/>
      <c r="D197" s="57"/>
      <c r="E197" s="59"/>
      <c r="F197" s="59"/>
    </row>
    <row r="198">
      <c r="A198" s="59"/>
      <c r="B198" s="59"/>
      <c r="C198" s="59"/>
      <c r="D198" s="57"/>
      <c r="E198" s="59"/>
      <c r="F198" s="59"/>
    </row>
    <row r="199">
      <c r="A199" s="59"/>
      <c r="B199" s="59"/>
      <c r="C199" s="59"/>
      <c r="D199" s="57"/>
      <c r="E199" s="59"/>
      <c r="F199" s="59"/>
    </row>
    <row r="200">
      <c r="A200" s="59"/>
      <c r="B200" s="59"/>
      <c r="C200" s="59"/>
      <c r="D200" s="57"/>
      <c r="E200" s="59"/>
      <c r="F200" s="59"/>
    </row>
    <row r="201">
      <c r="A201" s="59"/>
      <c r="B201" s="59"/>
      <c r="C201" s="59"/>
      <c r="D201" s="57"/>
      <c r="E201" s="59"/>
      <c r="F201" s="59"/>
    </row>
    <row r="202">
      <c r="A202" s="59"/>
      <c r="B202" s="59"/>
      <c r="C202" s="59"/>
      <c r="D202" s="57"/>
      <c r="E202" s="59"/>
      <c r="F202" s="59"/>
    </row>
    <row r="203">
      <c r="A203" s="59"/>
      <c r="B203" s="59"/>
      <c r="C203" s="59"/>
      <c r="D203" s="57"/>
      <c r="E203" s="59"/>
      <c r="F203" s="59"/>
    </row>
    <row r="204">
      <c r="A204" s="59"/>
      <c r="B204" s="59"/>
      <c r="C204" s="59"/>
      <c r="D204" s="57"/>
      <c r="E204" s="59"/>
      <c r="F204" s="59"/>
    </row>
    <row r="205">
      <c r="A205" s="59"/>
      <c r="B205" s="59"/>
      <c r="C205" s="59"/>
      <c r="D205" s="57"/>
      <c r="E205" s="59"/>
      <c r="F205" s="59"/>
    </row>
    <row r="206">
      <c r="A206" s="59"/>
      <c r="B206" s="59"/>
      <c r="C206" s="59"/>
      <c r="D206" s="57"/>
      <c r="E206" s="59"/>
      <c r="F206" s="59"/>
    </row>
    <row r="207">
      <c r="A207" s="59"/>
      <c r="B207" s="59"/>
      <c r="C207" s="59"/>
      <c r="D207" s="57"/>
      <c r="E207" s="59"/>
      <c r="F207" s="59"/>
    </row>
    <row r="208">
      <c r="A208" s="59"/>
      <c r="B208" s="59"/>
      <c r="C208" s="59"/>
      <c r="D208" s="57"/>
      <c r="E208" s="59"/>
      <c r="F208" s="59"/>
    </row>
    <row r="209">
      <c r="A209" s="59"/>
      <c r="B209" s="59"/>
      <c r="C209" s="59"/>
      <c r="D209" s="57"/>
      <c r="E209" s="59"/>
      <c r="F209" s="59"/>
    </row>
    <row r="210">
      <c r="A210" s="59"/>
      <c r="B210" s="59"/>
      <c r="C210" s="59"/>
      <c r="D210" s="57"/>
      <c r="E210" s="59"/>
      <c r="F210" s="59"/>
    </row>
    <row r="211">
      <c r="A211" s="59"/>
      <c r="B211" s="59"/>
      <c r="C211" s="59"/>
      <c r="D211" s="57"/>
      <c r="E211" s="59"/>
      <c r="F211" s="59"/>
    </row>
    <row r="212">
      <c r="A212" s="59"/>
      <c r="B212" s="59"/>
      <c r="C212" s="59"/>
      <c r="D212" s="57"/>
      <c r="E212" s="59"/>
      <c r="F212" s="59"/>
    </row>
    <row r="213">
      <c r="A213" s="59"/>
      <c r="B213" s="59"/>
      <c r="C213" s="59"/>
      <c r="D213" s="57"/>
      <c r="E213" s="59"/>
      <c r="F213" s="59"/>
    </row>
    <row r="214">
      <c r="A214" s="59"/>
      <c r="B214" s="59"/>
      <c r="C214" s="59"/>
      <c r="D214" s="57"/>
      <c r="E214" s="59"/>
      <c r="F214" s="59"/>
    </row>
    <row r="215">
      <c r="A215" s="59"/>
      <c r="B215" s="59"/>
      <c r="C215" s="59"/>
      <c r="D215" s="57"/>
      <c r="E215" s="59"/>
      <c r="F215" s="59"/>
    </row>
    <row r="216">
      <c r="A216" s="59"/>
      <c r="B216" s="59"/>
      <c r="C216" s="59"/>
      <c r="D216" s="57"/>
      <c r="E216" s="59"/>
      <c r="F216" s="59"/>
    </row>
    <row r="217">
      <c r="A217" s="59"/>
      <c r="B217" s="59"/>
      <c r="C217" s="59"/>
      <c r="D217" s="57"/>
      <c r="E217" s="59"/>
      <c r="F217" s="59"/>
    </row>
    <row r="218">
      <c r="A218" s="59"/>
      <c r="B218" s="59"/>
      <c r="C218" s="59"/>
      <c r="D218" s="57"/>
      <c r="E218" s="59"/>
      <c r="F218" s="59"/>
    </row>
    <row r="219">
      <c r="A219" s="59"/>
      <c r="B219" s="59"/>
      <c r="C219" s="59"/>
      <c r="D219" s="57"/>
      <c r="E219" s="59"/>
      <c r="F219" s="59"/>
    </row>
    <row r="220">
      <c r="A220" s="59"/>
      <c r="B220" s="59"/>
      <c r="C220" s="59"/>
      <c r="D220" s="57"/>
      <c r="E220" s="59"/>
      <c r="F220" s="59"/>
    </row>
    <row r="221">
      <c r="A221" s="59"/>
      <c r="B221" s="59"/>
      <c r="C221" s="59"/>
      <c r="D221" s="57"/>
      <c r="E221" s="59"/>
      <c r="F221" s="59"/>
    </row>
    <row r="222">
      <c r="A222" s="59"/>
      <c r="B222" s="59"/>
      <c r="C222" s="59"/>
      <c r="D222" s="57"/>
      <c r="E222" s="59"/>
      <c r="F222" s="59"/>
    </row>
    <row r="223">
      <c r="A223" s="59"/>
      <c r="B223" s="59"/>
      <c r="C223" s="59"/>
      <c r="D223" s="57"/>
      <c r="E223" s="59"/>
      <c r="F223" s="59"/>
    </row>
    <row r="224">
      <c r="A224" s="59"/>
      <c r="B224" s="59"/>
      <c r="C224" s="59"/>
      <c r="D224" s="57"/>
      <c r="E224" s="59"/>
      <c r="F224" s="59"/>
    </row>
    <row r="225">
      <c r="A225" s="59"/>
      <c r="B225" s="59"/>
      <c r="C225" s="59"/>
      <c r="D225" s="57"/>
      <c r="E225" s="59"/>
      <c r="F225" s="59"/>
    </row>
    <row r="226">
      <c r="A226" s="59"/>
      <c r="B226" s="59"/>
      <c r="C226" s="59"/>
      <c r="D226" s="57"/>
      <c r="E226" s="59"/>
      <c r="F226" s="59"/>
    </row>
    <row r="227">
      <c r="A227" s="59"/>
      <c r="B227" s="59"/>
      <c r="C227" s="59"/>
      <c r="D227" s="57"/>
      <c r="E227" s="59"/>
      <c r="F227" s="59"/>
    </row>
    <row r="228">
      <c r="A228" s="59"/>
      <c r="B228" s="59"/>
      <c r="C228" s="59"/>
      <c r="D228" s="57"/>
      <c r="E228" s="59"/>
      <c r="F228" s="59"/>
    </row>
    <row r="229">
      <c r="A229" s="59"/>
      <c r="B229" s="59"/>
      <c r="C229" s="59"/>
      <c r="D229" s="57"/>
      <c r="E229" s="59"/>
      <c r="F229" s="59"/>
    </row>
    <row r="230">
      <c r="A230" s="59"/>
      <c r="B230" s="59"/>
      <c r="C230" s="59"/>
      <c r="D230" s="57"/>
      <c r="E230" s="59"/>
      <c r="F230" s="59"/>
    </row>
    <row r="231">
      <c r="A231" s="59"/>
      <c r="B231" s="59"/>
      <c r="C231" s="59"/>
      <c r="D231" s="57"/>
      <c r="E231" s="59"/>
      <c r="F231" s="59"/>
    </row>
    <row r="232">
      <c r="A232" s="59"/>
      <c r="B232" s="59"/>
      <c r="C232" s="59"/>
      <c r="D232" s="57"/>
      <c r="E232" s="59"/>
      <c r="F232" s="59"/>
    </row>
    <row r="233">
      <c r="A233" s="59"/>
      <c r="B233" s="59"/>
      <c r="C233" s="59"/>
      <c r="D233" s="57"/>
      <c r="E233" s="59"/>
      <c r="F233" s="59"/>
    </row>
    <row r="234">
      <c r="A234" s="59"/>
      <c r="B234" s="59"/>
      <c r="C234" s="59"/>
      <c r="D234" s="57"/>
      <c r="E234" s="59"/>
      <c r="F234" s="59"/>
    </row>
    <row r="235">
      <c r="A235" s="59"/>
      <c r="B235" s="59"/>
      <c r="C235" s="59"/>
      <c r="D235" s="57"/>
      <c r="E235" s="59"/>
      <c r="F235" s="59"/>
    </row>
    <row r="236">
      <c r="A236" s="59"/>
      <c r="B236" s="59"/>
      <c r="C236" s="59"/>
      <c r="D236" s="57"/>
      <c r="E236" s="59"/>
      <c r="F236" s="59"/>
    </row>
    <row r="237">
      <c r="A237" s="59"/>
      <c r="B237" s="59"/>
      <c r="C237" s="59"/>
      <c r="D237" s="57"/>
      <c r="E237" s="59"/>
      <c r="F237" s="59"/>
    </row>
    <row r="238">
      <c r="A238" s="59"/>
      <c r="B238" s="59"/>
      <c r="C238" s="59"/>
      <c r="D238" s="57"/>
      <c r="E238" s="59"/>
      <c r="F238" s="59"/>
    </row>
    <row r="239">
      <c r="A239" s="59"/>
      <c r="B239" s="59"/>
      <c r="C239" s="59"/>
      <c r="D239" s="57"/>
      <c r="E239" s="59"/>
      <c r="F239" s="59"/>
    </row>
    <row r="240">
      <c r="A240" s="59"/>
      <c r="B240" s="59"/>
      <c r="C240" s="59"/>
      <c r="D240" s="57"/>
      <c r="E240" s="59"/>
      <c r="F240" s="59"/>
    </row>
    <row r="241">
      <c r="A241" s="59"/>
      <c r="B241" s="59"/>
      <c r="C241" s="59"/>
      <c r="D241" s="57"/>
      <c r="E241" s="59"/>
      <c r="F241" s="59"/>
    </row>
    <row r="242">
      <c r="A242" s="59"/>
      <c r="B242" s="59"/>
      <c r="C242" s="59"/>
      <c r="D242" s="57"/>
      <c r="E242" s="59"/>
      <c r="F242" s="59"/>
    </row>
    <row r="243">
      <c r="A243" s="59"/>
      <c r="B243" s="59"/>
      <c r="C243" s="59"/>
      <c r="D243" s="57"/>
      <c r="E243" s="59"/>
      <c r="F243" s="59"/>
    </row>
    <row r="244">
      <c r="A244" s="59"/>
      <c r="B244" s="59"/>
      <c r="C244" s="59"/>
      <c r="D244" s="57"/>
      <c r="E244" s="59"/>
      <c r="F244" s="59"/>
    </row>
    <row r="245">
      <c r="A245" s="59"/>
      <c r="B245" s="59"/>
      <c r="C245" s="59"/>
      <c r="D245" s="57"/>
      <c r="E245" s="59"/>
      <c r="F245" s="59"/>
    </row>
    <row r="246">
      <c r="A246" s="59"/>
      <c r="B246" s="59"/>
      <c r="C246" s="59"/>
      <c r="D246" s="57"/>
      <c r="E246" s="59"/>
      <c r="F246" s="59"/>
    </row>
    <row r="247">
      <c r="A247" s="59"/>
      <c r="B247" s="59"/>
      <c r="C247" s="59"/>
      <c r="D247" s="57"/>
      <c r="E247" s="59"/>
      <c r="F247" s="59"/>
    </row>
    <row r="248">
      <c r="A248" s="59"/>
      <c r="B248" s="59"/>
      <c r="C248" s="59"/>
      <c r="D248" s="57"/>
      <c r="E248" s="59"/>
      <c r="F248" s="59"/>
    </row>
    <row r="249">
      <c r="A249" s="59"/>
      <c r="B249" s="59"/>
      <c r="C249" s="59"/>
      <c r="D249" s="57"/>
      <c r="E249" s="59"/>
      <c r="F249" s="59"/>
    </row>
    <row r="250">
      <c r="A250" s="59"/>
      <c r="B250" s="59"/>
      <c r="C250" s="59"/>
      <c r="D250" s="57"/>
      <c r="E250" s="59"/>
      <c r="F250" s="59"/>
    </row>
    <row r="251">
      <c r="A251" s="59"/>
      <c r="B251" s="59"/>
      <c r="C251" s="59"/>
      <c r="D251" s="57"/>
      <c r="E251" s="59"/>
      <c r="F251" s="59"/>
    </row>
    <row r="252">
      <c r="A252" s="59"/>
      <c r="B252" s="59"/>
      <c r="C252" s="59"/>
      <c r="D252" s="57"/>
      <c r="E252" s="59"/>
      <c r="F252" s="59"/>
    </row>
    <row r="253">
      <c r="A253" s="59"/>
      <c r="B253" s="59"/>
      <c r="C253" s="59"/>
      <c r="D253" s="57"/>
      <c r="E253" s="59"/>
      <c r="F253" s="59"/>
    </row>
    <row r="254">
      <c r="A254" s="59"/>
      <c r="B254" s="59"/>
      <c r="C254" s="59"/>
      <c r="D254" s="57"/>
      <c r="E254" s="59"/>
      <c r="F254" s="59"/>
    </row>
    <row r="255">
      <c r="A255" s="59"/>
      <c r="B255" s="59"/>
      <c r="C255" s="59"/>
      <c r="D255" s="57"/>
      <c r="E255" s="59"/>
      <c r="F255" s="59"/>
    </row>
    <row r="256">
      <c r="A256" s="59"/>
      <c r="B256" s="59"/>
      <c r="C256" s="59"/>
      <c r="D256" s="57"/>
      <c r="E256" s="59"/>
      <c r="F256" s="59"/>
    </row>
    <row r="257">
      <c r="A257" s="59"/>
      <c r="B257" s="59"/>
      <c r="C257" s="59"/>
      <c r="D257" s="57"/>
      <c r="E257" s="59"/>
      <c r="F257" s="59"/>
    </row>
    <row r="258">
      <c r="A258" s="59"/>
      <c r="B258" s="59"/>
      <c r="C258" s="59"/>
      <c r="D258" s="57"/>
      <c r="E258" s="59"/>
      <c r="F258" s="59"/>
    </row>
    <row r="259">
      <c r="A259" s="59"/>
      <c r="B259" s="59"/>
      <c r="C259" s="59"/>
      <c r="D259" s="57"/>
      <c r="E259" s="59"/>
      <c r="F259" s="59"/>
    </row>
    <row r="260">
      <c r="A260" s="59"/>
      <c r="B260" s="59"/>
      <c r="C260" s="59"/>
      <c r="D260" s="57"/>
      <c r="E260" s="59"/>
      <c r="F260" s="59"/>
    </row>
    <row r="261">
      <c r="A261" s="59"/>
      <c r="B261" s="59"/>
      <c r="C261" s="59"/>
      <c r="D261" s="57"/>
      <c r="E261" s="59"/>
      <c r="F261" s="59"/>
    </row>
    <row r="262">
      <c r="A262" s="59"/>
      <c r="B262" s="59"/>
      <c r="C262" s="59"/>
      <c r="D262" s="57"/>
      <c r="E262" s="59"/>
      <c r="F262" s="59"/>
    </row>
    <row r="263">
      <c r="A263" s="59"/>
      <c r="B263" s="59"/>
      <c r="C263" s="59"/>
      <c r="D263" s="57"/>
      <c r="E263" s="59"/>
      <c r="F263" s="59"/>
    </row>
    <row r="264">
      <c r="A264" s="59"/>
      <c r="B264" s="59"/>
      <c r="C264" s="59"/>
      <c r="D264" s="57"/>
      <c r="E264" s="59"/>
      <c r="F264" s="59"/>
    </row>
    <row r="265">
      <c r="A265" s="59"/>
      <c r="B265" s="59"/>
      <c r="C265" s="59"/>
      <c r="D265" s="57"/>
      <c r="E265" s="59"/>
      <c r="F265" s="59"/>
    </row>
    <row r="266">
      <c r="A266" s="59"/>
      <c r="B266" s="59"/>
      <c r="C266" s="59"/>
      <c r="D266" s="57"/>
      <c r="E266" s="59"/>
      <c r="F266" s="59"/>
    </row>
    <row r="267">
      <c r="A267" s="59"/>
      <c r="B267" s="59"/>
      <c r="C267" s="59"/>
      <c r="D267" s="57"/>
      <c r="E267" s="59"/>
      <c r="F267" s="59"/>
    </row>
    <row r="268">
      <c r="A268" s="59"/>
      <c r="B268" s="59"/>
      <c r="C268" s="59"/>
      <c r="D268" s="57"/>
      <c r="E268" s="59"/>
      <c r="F268" s="59"/>
    </row>
    <row r="269">
      <c r="A269" s="59"/>
      <c r="B269" s="59"/>
      <c r="C269" s="59"/>
      <c r="D269" s="57"/>
      <c r="E269" s="59"/>
      <c r="F269" s="59"/>
    </row>
    <row r="270">
      <c r="A270" s="59"/>
      <c r="B270" s="59"/>
      <c r="C270" s="59"/>
      <c r="D270" s="57"/>
      <c r="E270" s="59"/>
      <c r="F270" s="59"/>
    </row>
    <row r="271">
      <c r="A271" s="59"/>
      <c r="B271" s="59"/>
      <c r="C271" s="59"/>
      <c r="D271" s="57"/>
      <c r="E271" s="59"/>
      <c r="F271" s="59"/>
    </row>
    <row r="272">
      <c r="A272" s="59"/>
      <c r="B272" s="59"/>
      <c r="C272" s="59"/>
      <c r="D272" s="57"/>
      <c r="E272" s="59"/>
      <c r="F272" s="59"/>
    </row>
    <row r="273">
      <c r="A273" s="59"/>
      <c r="B273" s="59"/>
      <c r="C273" s="59"/>
      <c r="D273" s="57"/>
      <c r="E273" s="59"/>
      <c r="F273" s="59"/>
    </row>
    <row r="274">
      <c r="A274" s="59"/>
      <c r="B274" s="59"/>
      <c r="C274" s="59"/>
      <c r="D274" s="57"/>
      <c r="E274" s="59"/>
      <c r="F274" s="59"/>
    </row>
    <row r="275">
      <c r="A275" s="59"/>
      <c r="B275" s="59"/>
      <c r="C275" s="59"/>
      <c r="D275" s="57"/>
      <c r="E275" s="59"/>
      <c r="F275" s="59"/>
    </row>
    <row r="276">
      <c r="A276" s="59"/>
      <c r="B276" s="59"/>
      <c r="C276" s="59"/>
      <c r="D276" s="57"/>
      <c r="E276" s="59"/>
      <c r="F276" s="59"/>
    </row>
    <row r="277">
      <c r="A277" s="59"/>
      <c r="B277" s="59"/>
      <c r="C277" s="59"/>
      <c r="D277" s="57"/>
      <c r="E277" s="59"/>
      <c r="F277" s="59"/>
    </row>
    <row r="278">
      <c r="A278" s="59"/>
      <c r="B278" s="59"/>
      <c r="C278" s="59"/>
      <c r="D278" s="57"/>
      <c r="E278" s="59"/>
      <c r="F278" s="59"/>
    </row>
    <row r="279">
      <c r="A279" s="59"/>
      <c r="B279" s="59"/>
      <c r="C279" s="59"/>
      <c r="D279" s="57"/>
      <c r="E279" s="59"/>
      <c r="F279" s="59"/>
    </row>
    <row r="280">
      <c r="A280" s="59"/>
      <c r="B280" s="59"/>
      <c r="C280" s="59"/>
      <c r="D280" s="57"/>
      <c r="E280" s="59"/>
      <c r="F280" s="59"/>
    </row>
    <row r="281">
      <c r="A281" s="59"/>
      <c r="B281" s="59"/>
      <c r="C281" s="59"/>
      <c r="D281" s="57"/>
      <c r="E281" s="59"/>
      <c r="F281" s="59"/>
    </row>
    <row r="282">
      <c r="A282" s="59"/>
      <c r="B282" s="59"/>
      <c r="C282" s="59"/>
      <c r="D282" s="57"/>
      <c r="E282" s="59"/>
      <c r="F282" s="59"/>
    </row>
    <row r="283">
      <c r="A283" s="59"/>
      <c r="B283" s="59"/>
      <c r="C283" s="59"/>
      <c r="D283" s="57"/>
      <c r="E283" s="59"/>
      <c r="F283" s="59"/>
    </row>
    <row r="284">
      <c r="A284" s="59"/>
      <c r="B284" s="59"/>
      <c r="C284" s="59"/>
      <c r="D284" s="57"/>
      <c r="E284" s="59"/>
      <c r="F284" s="59"/>
    </row>
    <row r="285">
      <c r="A285" s="59"/>
      <c r="B285" s="59"/>
      <c r="C285" s="59"/>
      <c r="D285" s="57"/>
      <c r="E285" s="59"/>
      <c r="F285" s="59"/>
    </row>
    <row r="286">
      <c r="A286" s="59"/>
      <c r="B286" s="59"/>
      <c r="C286" s="59"/>
      <c r="D286" s="57"/>
      <c r="E286" s="59"/>
      <c r="F286" s="59"/>
    </row>
    <row r="287">
      <c r="A287" s="59"/>
      <c r="B287" s="59"/>
      <c r="C287" s="59"/>
      <c r="D287" s="57"/>
      <c r="E287" s="59"/>
      <c r="F287" s="59"/>
    </row>
    <row r="288">
      <c r="A288" s="59"/>
      <c r="B288" s="59"/>
      <c r="C288" s="59"/>
      <c r="D288" s="57"/>
      <c r="E288" s="59"/>
      <c r="F288" s="59"/>
    </row>
    <row r="289">
      <c r="A289" s="59"/>
      <c r="B289" s="59"/>
      <c r="C289" s="59"/>
      <c r="D289" s="57"/>
      <c r="E289" s="59"/>
      <c r="F289" s="59"/>
    </row>
    <row r="290">
      <c r="A290" s="59"/>
      <c r="B290" s="59"/>
      <c r="C290" s="59"/>
      <c r="D290" s="57"/>
      <c r="E290" s="59"/>
      <c r="F290" s="59"/>
    </row>
    <row r="291">
      <c r="A291" s="59"/>
      <c r="B291" s="59"/>
      <c r="C291" s="59"/>
      <c r="D291" s="57"/>
      <c r="E291" s="59"/>
      <c r="F291" s="59"/>
    </row>
    <row r="292">
      <c r="A292" s="59"/>
      <c r="B292" s="59"/>
      <c r="C292" s="59"/>
      <c r="D292" s="57"/>
      <c r="E292" s="59"/>
      <c r="F292" s="59"/>
    </row>
    <row r="293">
      <c r="A293" s="59"/>
      <c r="B293" s="59"/>
      <c r="C293" s="59"/>
      <c r="D293" s="57"/>
      <c r="E293" s="59"/>
      <c r="F293" s="59"/>
    </row>
    <row r="294">
      <c r="A294" s="59"/>
      <c r="B294" s="59"/>
      <c r="C294" s="59"/>
      <c r="D294" s="57"/>
      <c r="E294" s="59"/>
      <c r="F294" s="59"/>
    </row>
    <row r="295">
      <c r="A295" s="59"/>
      <c r="B295" s="59"/>
      <c r="C295" s="59"/>
      <c r="D295" s="57"/>
      <c r="E295" s="59"/>
      <c r="F295" s="59"/>
    </row>
    <row r="296">
      <c r="A296" s="59"/>
      <c r="B296" s="59"/>
      <c r="C296" s="59"/>
      <c r="D296" s="57"/>
      <c r="E296" s="59"/>
      <c r="F296" s="59"/>
    </row>
    <row r="297">
      <c r="A297" s="59"/>
      <c r="B297" s="59"/>
      <c r="C297" s="59"/>
      <c r="D297" s="57"/>
      <c r="E297" s="59"/>
      <c r="F297" s="59"/>
    </row>
    <row r="298">
      <c r="A298" s="59"/>
      <c r="B298" s="59"/>
      <c r="C298" s="59"/>
      <c r="D298" s="57"/>
      <c r="E298" s="59"/>
      <c r="F298" s="59"/>
    </row>
    <row r="299">
      <c r="A299" s="59"/>
      <c r="B299" s="59"/>
      <c r="C299" s="59"/>
      <c r="D299" s="57"/>
      <c r="E299" s="59"/>
      <c r="F299" s="59"/>
    </row>
    <row r="300">
      <c r="A300" s="59"/>
      <c r="B300" s="59"/>
      <c r="C300" s="59"/>
      <c r="D300" s="57"/>
      <c r="E300" s="59"/>
      <c r="F300" s="59"/>
    </row>
    <row r="301">
      <c r="A301" s="59"/>
      <c r="B301" s="59"/>
      <c r="C301" s="59"/>
      <c r="D301" s="57"/>
      <c r="E301" s="59"/>
      <c r="F301" s="59"/>
    </row>
    <row r="302">
      <c r="A302" s="59"/>
      <c r="B302" s="59"/>
      <c r="C302" s="59"/>
      <c r="D302" s="57"/>
      <c r="E302" s="59"/>
      <c r="F302" s="59"/>
    </row>
    <row r="303">
      <c r="A303" s="59"/>
      <c r="B303" s="59"/>
      <c r="C303" s="59"/>
      <c r="D303" s="57"/>
      <c r="E303" s="59"/>
      <c r="F303" s="59"/>
    </row>
    <row r="304">
      <c r="A304" s="59"/>
      <c r="B304" s="59"/>
      <c r="C304" s="59"/>
      <c r="D304" s="57"/>
      <c r="E304" s="59"/>
      <c r="F304" s="59"/>
    </row>
    <row r="305">
      <c r="A305" s="59"/>
      <c r="B305" s="59"/>
      <c r="C305" s="59"/>
      <c r="D305" s="57"/>
      <c r="E305" s="59"/>
      <c r="F305" s="59"/>
    </row>
    <row r="306">
      <c r="A306" s="59"/>
      <c r="B306" s="59"/>
      <c r="C306" s="59"/>
      <c r="D306" s="57"/>
      <c r="E306" s="59"/>
      <c r="F306" s="59"/>
    </row>
    <row r="307">
      <c r="A307" s="59"/>
      <c r="B307" s="59"/>
      <c r="C307" s="59"/>
      <c r="D307" s="57"/>
      <c r="E307" s="59"/>
      <c r="F307" s="59"/>
    </row>
    <row r="308">
      <c r="A308" s="59"/>
      <c r="B308" s="59"/>
      <c r="C308" s="59"/>
      <c r="D308" s="57"/>
      <c r="E308" s="59"/>
      <c r="F308" s="59"/>
    </row>
    <row r="309">
      <c r="A309" s="59"/>
      <c r="B309" s="59"/>
      <c r="C309" s="59"/>
      <c r="D309" s="57"/>
      <c r="E309" s="59"/>
      <c r="F309" s="59"/>
    </row>
    <row r="310">
      <c r="A310" s="59"/>
      <c r="B310" s="59"/>
      <c r="C310" s="59"/>
      <c r="D310" s="57"/>
      <c r="E310" s="59"/>
      <c r="F310" s="59"/>
    </row>
    <row r="311">
      <c r="A311" s="59"/>
      <c r="B311" s="59"/>
      <c r="C311" s="59"/>
      <c r="D311" s="57"/>
      <c r="E311" s="59"/>
      <c r="F311" s="59"/>
    </row>
    <row r="312">
      <c r="A312" s="59"/>
      <c r="B312" s="59"/>
      <c r="C312" s="59"/>
      <c r="D312" s="57"/>
      <c r="E312" s="59"/>
      <c r="F312" s="59"/>
    </row>
    <row r="313">
      <c r="A313" s="59"/>
      <c r="B313" s="59"/>
      <c r="C313" s="59"/>
      <c r="D313" s="57"/>
      <c r="E313" s="59"/>
      <c r="F313" s="59"/>
    </row>
    <row r="314">
      <c r="A314" s="59"/>
      <c r="B314" s="59"/>
      <c r="C314" s="59"/>
      <c r="D314" s="57"/>
      <c r="E314" s="59"/>
      <c r="F314" s="59"/>
    </row>
    <row r="315">
      <c r="A315" s="59"/>
      <c r="B315" s="59"/>
      <c r="C315" s="59"/>
      <c r="D315" s="57"/>
      <c r="E315" s="59"/>
      <c r="F315" s="59"/>
    </row>
    <row r="316">
      <c r="A316" s="59"/>
      <c r="B316" s="59"/>
      <c r="C316" s="59"/>
      <c r="D316" s="57"/>
      <c r="E316" s="59"/>
      <c r="F316" s="59"/>
    </row>
    <row r="317">
      <c r="A317" s="59"/>
      <c r="B317" s="59"/>
      <c r="C317" s="59"/>
      <c r="D317" s="57"/>
      <c r="E317" s="59"/>
      <c r="F317" s="59"/>
    </row>
    <row r="318">
      <c r="A318" s="59"/>
      <c r="B318" s="59"/>
      <c r="C318" s="59"/>
      <c r="D318" s="57"/>
      <c r="E318" s="59"/>
      <c r="F318" s="59"/>
    </row>
    <row r="319">
      <c r="A319" s="59"/>
      <c r="B319" s="59"/>
      <c r="C319" s="59"/>
      <c r="D319" s="57"/>
      <c r="E319" s="59"/>
      <c r="F319" s="59"/>
    </row>
    <row r="320">
      <c r="A320" s="59"/>
      <c r="B320" s="59"/>
      <c r="C320" s="59"/>
      <c r="D320" s="57"/>
      <c r="E320" s="59"/>
      <c r="F320" s="59"/>
    </row>
    <row r="321">
      <c r="A321" s="59"/>
      <c r="B321" s="59"/>
      <c r="C321" s="59"/>
      <c r="D321" s="57"/>
      <c r="E321" s="59"/>
      <c r="F321" s="59"/>
    </row>
    <row r="322">
      <c r="A322" s="59"/>
      <c r="B322" s="59"/>
      <c r="C322" s="59"/>
      <c r="D322" s="57"/>
      <c r="E322" s="59"/>
      <c r="F322" s="59"/>
    </row>
    <row r="323">
      <c r="A323" s="59"/>
      <c r="B323" s="59"/>
      <c r="C323" s="59"/>
      <c r="D323" s="57"/>
      <c r="E323" s="59"/>
      <c r="F323" s="59"/>
    </row>
    <row r="324">
      <c r="A324" s="59"/>
      <c r="B324" s="59"/>
      <c r="C324" s="59"/>
      <c r="D324" s="57"/>
      <c r="E324" s="59"/>
      <c r="F324" s="59"/>
    </row>
    <row r="325">
      <c r="A325" s="59"/>
      <c r="B325" s="59"/>
      <c r="C325" s="59"/>
      <c r="D325" s="57"/>
      <c r="E325" s="59"/>
      <c r="F325" s="59"/>
    </row>
    <row r="326">
      <c r="A326" s="59"/>
      <c r="B326" s="59"/>
      <c r="C326" s="59"/>
      <c r="D326" s="57"/>
      <c r="E326" s="59"/>
      <c r="F326" s="59"/>
    </row>
    <row r="327">
      <c r="A327" s="59"/>
      <c r="B327" s="59"/>
      <c r="C327" s="59"/>
      <c r="D327" s="57"/>
      <c r="E327" s="59"/>
      <c r="F327" s="59"/>
    </row>
    <row r="328">
      <c r="A328" s="59"/>
      <c r="B328" s="59"/>
      <c r="C328" s="59"/>
      <c r="D328" s="57"/>
      <c r="E328" s="59"/>
      <c r="F328" s="59"/>
    </row>
    <row r="329">
      <c r="A329" s="59"/>
      <c r="B329" s="59"/>
      <c r="C329" s="59"/>
      <c r="D329" s="57"/>
      <c r="E329" s="59"/>
      <c r="F329" s="59"/>
    </row>
    <row r="330">
      <c r="A330" s="59"/>
      <c r="B330" s="59"/>
      <c r="C330" s="59"/>
      <c r="D330" s="57"/>
      <c r="E330" s="59"/>
      <c r="F330" s="59"/>
    </row>
    <row r="331">
      <c r="A331" s="59"/>
      <c r="B331" s="59"/>
      <c r="C331" s="59"/>
      <c r="D331" s="57"/>
      <c r="E331" s="59"/>
      <c r="F331" s="59"/>
    </row>
    <row r="332">
      <c r="A332" s="59"/>
      <c r="B332" s="59"/>
      <c r="C332" s="59"/>
      <c r="D332" s="57"/>
      <c r="E332" s="59"/>
      <c r="F332" s="59"/>
    </row>
    <row r="333">
      <c r="A333" s="59"/>
      <c r="B333" s="59"/>
      <c r="C333" s="59"/>
      <c r="D333" s="57"/>
      <c r="E333" s="59"/>
      <c r="F333" s="59"/>
    </row>
    <row r="334">
      <c r="A334" s="59"/>
      <c r="B334" s="59"/>
      <c r="C334" s="59"/>
      <c r="D334" s="57"/>
      <c r="E334" s="59"/>
      <c r="F334" s="59"/>
    </row>
    <row r="335">
      <c r="A335" s="59"/>
      <c r="B335" s="59"/>
      <c r="C335" s="59"/>
      <c r="D335" s="57"/>
      <c r="E335" s="59"/>
      <c r="F335" s="59"/>
    </row>
    <row r="336">
      <c r="A336" s="59"/>
      <c r="B336" s="59"/>
      <c r="C336" s="59"/>
      <c r="D336" s="57"/>
      <c r="E336" s="59"/>
      <c r="F336" s="59"/>
    </row>
    <row r="337">
      <c r="A337" s="59"/>
      <c r="B337" s="59"/>
      <c r="C337" s="59"/>
      <c r="D337" s="57"/>
      <c r="E337" s="59"/>
      <c r="F337" s="59"/>
    </row>
    <row r="338">
      <c r="A338" s="59"/>
      <c r="B338" s="59"/>
      <c r="C338" s="59"/>
      <c r="D338" s="57"/>
      <c r="E338" s="59"/>
      <c r="F338" s="59"/>
    </row>
    <row r="339">
      <c r="A339" s="59"/>
      <c r="B339" s="59"/>
      <c r="C339" s="59"/>
      <c r="D339" s="57"/>
      <c r="E339" s="59"/>
      <c r="F339" s="59"/>
    </row>
    <row r="340">
      <c r="A340" s="59"/>
      <c r="B340" s="59"/>
      <c r="C340" s="59"/>
      <c r="D340" s="57"/>
      <c r="E340" s="59"/>
      <c r="F340" s="59"/>
    </row>
    <row r="341">
      <c r="A341" s="59"/>
      <c r="B341" s="59"/>
      <c r="C341" s="59"/>
      <c r="D341" s="57"/>
      <c r="E341" s="59"/>
      <c r="F341" s="59"/>
    </row>
    <row r="342">
      <c r="A342" s="59"/>
      <c r="B342" s="59"/>
      <c r="C342" s="59"/>
      <c r="D342" s="57"/>
      <c r="E342" s="59"/>
      <c r="F342" s="59"/>
    </row>
    <row r="343">
      <c r="A343" s="59"/>
      <c r="B343" s="59"/>
      <c r="C343" s="59"/>
      <c r="D343" s="57"/>
      <c r="E343" s="59"/>
      <c r="F343" s="59"/>
    </row>
    <row r="344">
      <c r="A344" s="59"/>
      <c r="B344" s="59"/>
      <c r="C344" s="59"/>
      <c r="D344" s="57"/>
      <c r="E344" s="59"/>
      <c r="F344" s="59"/>
    </row>
    <row r="345">
      <c r="A345" s="59"/>
      <c r="B345" s="59"/>
      <c r="C345" s="59"/>
      <c r="D345" s="57"/>
      <c r="E345" s="59"/>
      <c r="F345" s="59"/>
    </row>
    <row r="346">
      <c r="A346" s="59"/>
      <c r="B346" s="59"/>
      <c r="C346" s="59"/>
      <c r="D346" s="57"/>
      <c r="E346" s="59"/>
      <c r="F346" s="59"/>
    </row>
    <row r="347">
      <c r="A347" s="59"/>
      <c r="B347" s="59"/>
      <c r="C347" s="59"/>
      <c r="D347" s="57"/>
      <c r="E347" s="59"/>
      <c r="F347" s="59"/>
    </row>
    <row r="348">
      <c r="A348" s="59"/>
      <c r="B348" s="59"/>
      <c r="C348" s="59"/>
      <c r="D348" s="57"/>
      <c r="E348" s="59"/>
      <c r="F348" s="59"/>
    </row>
    <row r="349">
      <c r="A349" s="59"/>
      <c r="B349" s="59"/>
      <c r="C349" s="59"/>
      <c r="D349" s="57"/>
      <c r="E349" s="59"/>
      <c r="F349" s="59"/>
    </row>
    <row r="350">
      <c r="A350" s="59"/>
      <c r="B350" s="59"/>
      <c r="C350" s="59"/>
      <c r="D350" s="57"/>
      <c r="E350" s="59"/>
      <c r="F350" s="59"/>
    </row>
    <row r="351">
      <c r="A351" s="59"/>
      <c r="B351" s="59"/>
      <c r="C351" s="59"/>
      <c r="D351" s="57"/>
      <c r="E351" s="59"/>
      <c r="F351" s="59"/>
    </row>
    <row r="352">
      <c r="A352" s="59"/>
      <c r="B352" s="59"/>
      <c r="C352" s="59"/>
      <c r="D352" s="57"/>
      <c r="E352" s="59"/>
      <c r="F352" s="59"/>
    </row>
    <row r="353">
      <c r="A353" s="59"/>
      <c r="B353" s="59"/>
      <c r="C353" s="59"/>
      <c r="D353" s="57"/>
      <c r="E353" s="59"/>
      <c r="F353" s="59"/>
    </row>
    <row r="354">
      <c r="A354" s="59"/>
      <c r="B354" s="59"/>
      <c r="C354" s="59"/>
      <c r="D354" s="57"/>
      <c r="E354" s="59"/>
      <c r="F354" s="59"/>
    </row>
    <row r="355">
      <c r="A355" s="59"/>
      <c r="B355" s="59"/>
      <c r="C355" s="59"/>
      <c r="D355" s="57"/>
      <c r="E355" s="59"/>
      <c r="F355" s="59"/>
    </row>
    <row r="356">
      <c r="A356" s="59"/>
      <c r="B356" s="59"/>
      <c r="C356" s="59"/>
      <c r="D356" s="57"/>
      <c r="E356" s="59"/>
      <c r="F356" s="59"/>
    </row>
    <row r="357">
      <c r="A357" s="59"/>
      <c r="B357" s="59"/>
      <c r="C357" s="59"/>
      <c r="D357" s="57"/>
      <c r="E357" s="59"/>
      <c r="F357" s="59"/>
    </row>
    <row r="358">
      <c r="A358" s="59"/>
      <c r="B358" s="59"/>
      <c r="C358" s="59"/>
      <c r="D358" s="57"/>
      <c r="E358" s="59"/>
      <c r="F358" s="59"/>
    </row>
    <row r="359">
      <c r="A359" s="59"/>
      <c r="B359" s="59"/>
      <c r="C359" s="59"/>
      <c r="D359" s="57"/>
      <c r="E359" s="59"/>
      <c r="F359" s="59"/>
    </row>
    <row r="360">
      <c r="A360" s="59"/>
      <c r="B360" s="59"/>
      <c r="C360" s="59"/>
      <c r="D360" s="57"/>
      <c r="E360" s="59"/>
      <c r="F360" s="59"/>
    </row>
    <row r="361">
      <c r="A361" s="59"/>
      <c r="B361" s="59"/>
      <c r="C361" s="59"/>
      <c r="D361" s="57"/>
      <c r="E361" s="59"/>
      <c r="F361" s="59"/>
    </row>
    <row r="362">
      <c r="A362" s="59"/>
      <c r="B362" s="59"/>
      <c r="C362" s="59"/>
      <c r="D362" s="57"/>
      <c r="E362" s="59"/>
      <c r="F362" s="59"/>
    </row>
    <row r="363">
      <c r="A363" s="59"/>
      <c r="B363" s="59"/>
      <c r="C363" s="59"/>
      <c r="D363" s="57"/>
      <c r="E363" s="59"/>
      <c r="F363" s="59"/>
    </row>
    <row r="364">
      <c r="A364" s="59"/>
      <c r="B364" s="59"/>
      <c r="C364" s="59"/>
      <c r="D364" s="57"/>
      <c r="E364" s="59"/>
      <c r="F364" s="59"/>
    </row>
    <row r="365">
      <c r="A365" s="59"/>
      <c r="B365" s="59"/>
      <c r="C365" s="59"/>
      <c r="D365" s="57"/>
      <c r="E365" s="59"/>
      <c r="F365" s="59"/>
    </row>
    <row r="366">
      <c r="A366" s="59"/>
      <c r="B366" s="59"/>
      <c r="C366" s="59"/>
      <c r="D366" s="57"/>
      <c r="E366" s="59"/>
      <c r="F366" s="59"/>
    </row>
    <row r="367">
      <c r="A367" s="59"/>
      <c r="B367" s="59"/>
      <c r="C367" s="59"/>
      <c r="D367" s="57"/>
      <c r="E367" s="59"/>
      <c r="F367" s="59"/>
    </row>
    <row r="368">
      <c r="A368" s="59"/>
      <c r="B368" s="59"/>
      <c r="C368" s="59"/>
      <c r="D368" s="57"/>
      <c r="E368" s="59"/>
      <c r="F368" s="59"/>
    </row>
    <row r="369">
      <c r="A369" s="59"/>
      <c r="B369" s="59"/>
      <c r="C369" s="59"/>
      <c r="D369" s="57"/>
      <c r="E369" s="59"/>
      <c r="F369" s="59"/>
    </row>
    <row r="370">
      <c r="A370" s="59"/>
      <c r="B370" s="59"/>
      <c r="C370" s="59"/>
      <c r="D370" s="57"/>
      <c r="E370" s="59"/>
      <c r="F370" s="59"/>
    </row>
    <row r="371">
      <c r="A371" s="59"/>
      <c r="B371" s="59"/>
      <c r="C371" s="59"/>
      <c r="D371" s="57"/>
      <c r="E371" s="59"/>
      <c r="F371" s="59"/>
    </row>
    <row r="372">
      <c r="A372" s="59"/>
      <c r="B372" s="59"/>
      <c r="C372" s="59"/>
      <c r="D372" s="57"/>
      <c r="E372" s="59"/>
      <c r="F372" s="59"/>
    </row>
    <row r="373">
      <c r="A373" s="59"/>
      <c r="B373" s="59"/>
      <c r="C373" s="59"/>
      <c r="D373" s="57"/>
      <c r="E373" s="59"/>
      <c r="F373" s="59"/>
    </row>
    <row r="374">
      <c r="A374" s="59"/>
      <c r="B374" s="59"/>
      <c r="C374" s="59"/>
      <c r="D374" s="57"/>
      <c r="E374" s="59"/>
      <c r="F374" s="59"/>
    </row>
    <row r="375">
      <c r="A375" s="59"/>
      <c r="B375" s="59"/>
      <c r="C375" s="59"/>
      <c r="D375" s="57"/>
      <c r="E375" s="59"/>
      <c r="F375" s="59"/>
    </row>
    <row r="376">
      <c r="A376" s="59"/>
      <c r="B376" s="59"/>
      <c r="C376" s="59"/>
      <c r="D376" s="57"/>
      <c r="E376" s="59"/>
      <c r="F376" s="59"/>
    </row>
    <row r="377">
      <c r="A377" s="59"/>
      <c r="B377" s="59"/>
      <c r="C377" s="59"/>
      <c r="D377" s="57"/>
      <c r="E377" s="59"/>
      <c r="F377" s="59"/>
    </row>
    <row r="378">
      <c r="A378" s="59"/>
      <c r="B378" s="59"/>
      <c r="C378" s="59"/>
      <c r="D378" s="57"/>
      <c r="E378" s="59"/>
      <c r="F378" s="59"/>
    </row>
    <row r="379">
      <c r="A379" s="59"/>
      <c r="B379" s="59"/>
      <c r="C379" s="59"/>
      <c r="D379" s="57"/>
      <c r="E379" s="59"/>
      <c r="F379" s="59"/>
    </row>
    <row r="380">
      <c r="A380" s="59"/>
      <c r="B380" s="59"/>
      <c r="C380" s="59"/>
      <c r="D380" s="57"/>
      <c r="E380" s="59"/>
      <c r="F380" s="59"/>
    </row>
    <row r="381">
      <c r="A381" s="59"/>
      <c r="B381" s="59"/>
      <c r="C381" s="59"/>
      <c r="D381" s="57"/>
      <c r="E381" s="59"/>
      <c r="F381" s="59"/>
    </row>
    <row r="382">
      <c r="A382" s="59"/>
      <c r="B382" s="59"/>
      <c r="C382" s="59"/>
      <c r="D382" s="57"/>
      <c r="E382" s="59"/>
      <c r="F382" s="59"/>
    </row>
    <row r="383">
      <c r="A383" s="59"/>
      <c r="B383" s="59"/>
      <c r="C383" s="59"/>
      <c r="D383" s="57"/>
      <c r="E383" s="59"/>
      <c r="F383" s="59"/>
    </row>
    <row r="384">
      <c r="A384" s="59"/>
      <c r="B384" s="59"/>
      <c r="C384" s="59"/>
      <c r="D384" s="57"/>
      <c r="E384" s="59"/>
      <c r="F384" s="59"/>
    </row>
    <row r="385">
      <c r="A385" s="59"/>
      <c r="B385" s="59"/>
      <c r="C385" s="59"/>
      <c r="D385" s="57"/>
      <c r="E385" s="59"/>
      <c r="F385" s="59"/>
    </row>
    <row r="386">
      <c r="A386" s="59"/>
      <c r="B386" s="59"/>
      <c r="C386" s="59"/>
      <c r="D386" s="57"/>
      <c r="E386" s="59"/>
      <c r="F386" s="59"/>
    </row>
    <row r="387">
      <c r="A387" s="59"/>
      <c r="B387" s="59"/>
      <c r="C387" s="59"/>
      <c r="D387" s="57"/>
      <c r="E387" s="59"/>
      <c r="F387" s="59"/>
    </row>
    <row r="388">
      <c r="A388" s="59"/>
      <c r="B388" s="59"/>
      <c r="C388" s="59"/>
      <c r="D388" s="57"/>
      <c r="E388" s="59"/>
      <c r="F388" s="59"/>
    </row>
    <row r="389">
      <c r="A389" s="59"/>
      <c r="B389" s="59"/>
      <c r="C389" s="59"/>
      <c r="D389" s="57"/>
      <c r="E389" s="59"/>
      <c r="F389" s="59"/>
    </row>
    <row r="390">
      <c r="A390" s="59"/>
      <c r="B390" s="59"/>
      <c r="C390" s="59"/>
      <c r="D390" s="57"/>
      <c r="E390" s="59"/>
      <c r="F390" s="59"/>
    </row>
    <row r="391">
      <c r="A391" s="59"/>
      <c r="B391" s="59"/>
      <c r="C391" s="59"/>
      <c r="D391" s="57"/>
      <c r="E391" s="59"/>
      <c r="F391" s="59"/>
    </row>
    <row r="392">
      <c r="A392" s="59"/>
      <c r="B392" s="59"/>
      <c r="C392" s="59"/>
      <c r="D392" s="57"/>
      <c r="E392" s="59"/>
      <c r="F392" s="59"/>
    </row>
    <row r="393">
      <c r="A393" s="59"/>
      <c r="B393" s="59"/>
      <c r="C393" s="59"/>
      <c r="D393" s="57"/>
      <c r="E393" s="59"/>
      <c r="F393" s="59"/>
    </row>
    <row r="394">
      <c r="A394" s="59"/>
      <c r="B394" s="59"/>
      <c r="C394" s="59"/>
      <c r="D394" s="57"/>
      <c r="E394" s="59"/>
      <c r="F394" s="59"/>
    </row>
    <row r="395">
      <c r="A395" s="59"/>
      <c r="B395" s="59"/>
      <c r="C395" s="59"/>
      <c r="D395" s="57"/>
      <c r="E395" s="59"/>
      <c r="F395" s="59"/>
    </row>
    <row r="396">
      <c r="A396" s="59"/>
      <c r="B396" s="59"/>
      <c r="C396" s="59"/>
      <c r="D396" s="57"/>
      <c r="E396" s="59"/>
      <c r="F396" s="59"/>
    </row>
    <row r="397">
      <c r="A397" s="59"/>
      <c r="B397" s="59"/>
      <c r="C397" s="59"/>
      <c r="D397" s="57"/>
      <c r="E397" s="59"/>
      <c r="F397" s="59"/>
    </row>
    <row r="398">
      <c r="A398" s="59"/>
      <c r="B398" s="59"/>
      <c r="C398" s="59"/>
      <c r="D398" s="57"/>
      <c r="E398" s="59"/>
      <c r="F398" s="59"/>
    </row>
    <row r="399">
      <c r="A399" s="59"/>
      <c r="B399" s="59"/>
      <c r="C399" s="59"/>
      <c r="D399" s="57"/>
      <c r="E399" s="59"/>
      <c r="F399" s="59"/>
    </row>
    <row r="400">
      <c r="A400" s="59"/>
      <c r="B400" s="59"/>
      <c r="C400" s="59"/>
      <c r="D400" s="57"/>
      <c r="E400" s="59"/>
      <c r="F400" s="59"/>
    </row>
    <row r="401">
      <c r="A401" s="59"/>
      <c r="B401" s="59"/>
      <c r="C401" s="59"/>
      <c r="D401" s="57"/>
      <c r="E401" s="59"/>
      <c r="F401" s="59"/>
    </row>
    <row r="402">
      <c r="A402" s="59"/>
      <c r="B402" s="59"/>
      <c r="C402" s="59"/>
      <c r="D402" s="57"/>
      <c r="E402" s="59"/>
      <c r="F402" s="59"/>
    </row>
    <row r="403">
      <c r="A403" s="59"/>
      <c r="B403" s="59"/>
      <c r="C403" s="59"/>
      <c r="D403" s="57"/>
      <c r="E403" s="59"/>
      <c r="F403" s="59"/>
    </row>
    <row r="404">
      <c r="A404" s="59"/>
      <c r="B404" s="59"/>
      <c r="C404" s="59"/>
      <c r="D404" s="57"/>
      <c r="E404" s="59"/>
      <c r="F404" s="59"/>
    </row>
    <row r="405">
      <c r="A405" s="59"/>
      <c r="B405" s="59"/>
      <c r="C405" s="59"/>
      <c r="D405" s="57"/>
      <c r="E405" s="59"/>
      <c r="F405" s="59"/>
    </row>
    <row r="406">
      <c r="A406" s="59"/>
      <c r="B406" s="59"/>
      <c r="C406" s="59"/>
      <c r="D406" s="57"/>
      <c r="E406" s="59"/>
      <c r="F406" s="59"/>
    </row>
    <row r="407">
      <c r="A407" s="59"/>
      <c r="B407" s="59"/>
      <c r="C407" s="59"/>
      <c r="D407" s="57"/>
      <c r="E407" s="59"/>
      <c r="F407" s="59"/>
    </row>
    <row r="408">
      <c r="A408" s="59"/>
      <c r="B408" s="59"/>
      <c r="C408" s="59"/>
      <c r="D408" s="57"/>
      <c r="E408" s="59"/>
      <c r="F408" s="59"/>
    </row>
    <row r="409">
      <c r="A409" s="59"/>
      <c r="B409" s="59"/>
      <c r="C409" s="59"/>
      <c r="D409" s="57"/>
      <c r="E409" s="59"/>
      <c r="F409" s="59"/>
    </row>
    <row r="410">
      <c r="A410" s="59"/>
      <c r="B410" s="59"/>
      <c r="C410" s="59"/>
      <c r="D410" s="57"/>
      <c r="E410" s="59"/>
      <c r="F410" s="59"/>
    </row>
    <row r="411">
      <c r="A411" s="59"/>
      <c r="B411" s="59"/>
      <c r="C411" s="59"/>
      <c r="D411" s="57"/>
      <c r="E411" s="59"/>
      <c r="F411" s="59"/>
    </row>
    <row r="412">
      <c r="A412" s="59"/>
      <c r="B412" s="59"/>
      <c r="C412" s="59"/>
      <c r="D412" s="57"/>
      <c r="E412" s="59"/>
      <c r="F412" s="59"/>
    </row>
    <row r="413">
      <c r="A413" s="59"/>
      <c r="B413" s="59"/>
      <c r="C413" s="59"/>
      <c r="D413" s="57"/>
      <c r="E413" s="59"/>
      <c r="F413" s="59"/>
    </row>
    <row r="414">
      <c r="A414" s="59"/>
      <c r="B414" s="59"/>
      <c r="C414" s="59"/>
      <c r="D414" s="57"/>
      <c r="E414" s="59"/>
      <c r="F414" s="59"/>
    </row>
    <row r="415">
      <c r="A415" s="59"/>
      <c r="B415" s="59"/>
      <c r="C415" s="59"/>
      <c r="D415" s="57"/>
      <c r="E415" s="59"/>
      <c r="F415" s="59"/>
    </row>
    <row r="416">
      <c r="A416" s="59"/>
      <c r="B416" s="59"/>
      <c r="C416" s="59"/>
      <c r="D416" s="57"/>
      <c r="E416" s="59"/>
      <c r="F416" s="59"/>
    </row>
    <row r="417">
      <c r="A417" s="59"/>
      <c r="B417" s="59"/>
      <c r="C417" s="59"/>
      <c r="D417" s="57"/>
      <c r="E417" s="59"/>
      <c r="F417" s="59"/>
    </row>
    <row r="418">
      <c r="A418" s="59"/>
      <c r="B418" s="59"/>
      <c r="C418" s="59"/>
      <c r="D418" s="57"/>
      <c r="E418" s="59"/>
      <c r="F418" s="59"/>
    </row>
    <row r="419">
      <c r="A419" s="59"/>
      <c r="B419" s="59"/>
      <c r="C419" s="59"/>
      <c r="D419" s="57"/>
      <c r="E419" s="59"/>
      <c r="F419" s="59"/>
    </row>
    <row r="420">
      <c r="A420" s="59"/>
      <c r="B420" s="59"/>
      <c r="C420" s="59"/>
      <c r="D420" s="57"/>
      <c r="E420" s="59"/>
      <c r="F420" s="59"/>
    </row>
    <row r="421">
      <c r="A421" s="59"/>
      <c r="B421" s="59"/>
      <c r="C421" s="59"/>
      <c r="D421" s="57"/>
      <c r="E421" s="59"/>
      <c r="F421" s="59"/>
    </row>
    <row r="422">
      <c r="A422" s="59"/>
      <c r="B422" s="59"/>
      <c r="C422" s="59"/>
      <c r="D422" s="57"/>
      <c r="E422" s="59"/>
      <c r="F422" s="59"/>
    </row>
    <row r="423">
      <c r="A423" s="59"/>
      <c r="B423" s="59"/>
      <c r="C423" s="59"/>
      <c r="D423" s="57"/>
      <c r="E423" s="59"/>
      <c r="F423" s="59"/>
    </row>
    <row r="424">
      <c r="A424" s="59"/>
      <c r="B424" s="59"/>
      <c r="C424" s="59"/>
      <c r="D424" s="57"/>
      <c r="E424" s="59"/>
      <c r="F424" s="59"/>
    </row>
    <row r="425">
      <c r="A425" s="59"/>
      <c r="B425" s="59"/>
      <c r="C425" s="59"/>
      <c r="D425" s="57"/>
      <c r="E425" s="59"/>
      <c r="F425" s="59"/>
    </row>
    <row r="426">
      <c r="A426" s="59"/>
      <c r="B426" s="59"/>
      <c r="C426" s="59"/>
      <c r="D426" s="57"/>
      <c r="E426" s="59"/>
      <c r="F426" s="59"/>
    </row>
    <row r="427">
      <c r="A427" s="59"/>
      <c r="B427" s="59"/>
      <c r="C427" s="59"/>
      <c r="D427" s="57"/>
      <c r="E427" s="59"/>
      <c r="F427" s="59"/>
    </row>
    <row r="428">
      <c r="A428" s="59"/>
      <c r="B428" s="59"/>
      <c r="C428" s="59"/>
      <c r="D428" s="57"/>
      <c r="E428" s="59"/>
      <c r="F428" s="59"/>
    </row>
    <row r="429">
      <c r="A429" s="59"/>
      <c r="B429" s="59"/>
      <c r="C429" s="59"/>
      <c r="D429" s="57"/>
      <c r="E429" s="59"/>
      <c r="F429" s="59"/>
    </row>
    <row r="430">
      <c r="A430" s="59"/>
      <c r="B430" s="59"/>
      <c r="C430" s="59"/>
      <c r="D430" s="57"/>
      <c r="E430" s="59"/>
      <c r="F430" s="59"/>
    </row>
    <row r="431">
      <c r="A431" s="59"/>
      <c r="B431" s="59"/>
      <c r="C431" s="59"/>
      <c r="D431" s="57"/>
      <c r="E431" s="59"/>
      <c r="F431" s="59"/>
    </row>
    <row r="432">
      <c r="A432" s="59"/>
      <c r="B432" s="59"/>
      <c r="C432" s="59"/>
      <c r="D432" s="57"/>
      <c r="E432" s="59"/>
      <c r="F432" s="59"/>
    </row>
    <row r="433">
      <c r="A433" s="59"/>
      <c r="B433" s="59"/>
      <c r="C433" s="59"/>
      <c r="D433" s="57"/>
      <c r="E433" s="59"/>
      <c r="F433" s="59"/>
    </row>
    <row r="434">
      <c r="A434" s="59"/>
      <c r="B434" s="59"/>
      <c r="C434" s="59"/>
      <c r="D434" s="57"/>
      <c r="E434" s="59"/>
      <c r="F434" s="59"/>
    </row>
    <row r="435">
      <c r="A435" s="59"/>
      <c r="B435" s="59"/>
      <c r="C435" s="59"/>
      <c r="D435" s="57"/>
      <c r="E435" s="59"/>
      <c r="F435" s="59"/>
    </row>
    <row r="436">
      <c r="A436" s="59"/>
      <c r="B436" s="59"/>
      <c r="C436" s="59"/>
      <c r="D436" s="57"/>
      <c r="E436" s="59"/>
      <c r="F436" s="59"/>
    </row>
    <row r="437">
      <c r="A437" s="59"/>
      <c r="B437" s="59"/>
      <c r="C437" s="59"/>
      <c r="D437" s="57"/>
      <c r="E437" s="59"/>
      <c r="F437" s="59"/>
    </row>
    <row r="438">
      <c r="A438" s="59"/>
      <c r="B438" s="59"/>
      <c r="C438" s="59"/>
      <c r="D438" s="57"/>
      <c r="E438" s="59"/>
      <c r="F438" s="59"/>
    </row>
    <row r="439">
      <c r="A439" s="59"/>
      <c r="B439" s="59"/>
      <c r="C439" s="59"/>
      <c r="D439" s="57"/>
      <c r="E439" s="59"/>
      <c r="F439" s="59"/>
    </row>
    <row r="440">
      <c r="A440" s="59"/>
      <c r="B440" s="59"/>
      <c r="C440" s="59"/>
      <c r="D440" s="57"/>
      <c r="E440" s="59"/>
      <c r="F440" s="59"/>
    </row>
    <row r="441">
      <c r="A441" s="59"/>
      <c r="B441" s="59"/>
      <c r="C441" s="59"/>
      <c r="D441" s="57"/>
      <c r="E441" s="59"/>
      <c r="F441" s="59"/>
    </row>
    <row r="442">
      <c r="A442" s="59"/>
      <c r="B442" s="59"/>
      <c r="C442" s="59"/>
      <c r="D442" s="57"/>
      <c r="E442" s="59"/>
      <c r="F442" s="59"/>
    </row>
    <row r="443">
      <c r="A443" s="59"/>
      <c r="B443" s="59"/>
      <c r="C443" s="59"/>
      <c r="D443" s="57"/>
      <c r="E443" s="59"/>
      <c r="F443" s="59"/>
    </row>
    <row r="444">
      <c r="A444" s="59"/>
      <c r="B444" s="59"/>
      <c r="C444" s="59"/>
      <c r="D444" s="57"/>
      <c r="E444" s="59"/>
      <c r="F444" s="59"/>
    </row>
    <row r="445">
      <c r="A445" s="59"/>
      <c r="B445" s="59"/>
      <c r="C445" s="59"/>
      <c r="D445" s="57"/>
      <c r="E445" s="59"/>
      <c r="F445" s="59"/>
    </row>
    <row r="446">
      <c r="A446" s="59"/>
      <c r="B446" s="59"/>
      <c r="C446" s="59"/>
      <c r="D446" s="57"/>
      <c r="E446" s="59"/>
      <c r="F446" s="59"/>
    </row>
    <row r="447">
      <c r="A447" s="59"/>
      <c r="B447" s="59"/>
      <c r="C447" s="59"/>
      <c r="D447" s="57"/>
      <c r="E447" s="59"/>
      <c r="F447" s="59"/>
    </row>
    <row r="448">
      <c r="A448" s="59"/>
      <c r="B448" s="59"/>
      <c r="C448" s="59"/>
      <c r="D448" s="57"/>
      <c r="E448" s="59"/>
      <c r="F448" s="59"/>
    </row>
    <row r="449">
      <c r="A449" s="59"/>
      <c r="B449" s="59"/>
      <c r="C449" s="59"/>
      <c r="D449" s="57"/>
      <c r="E449" s="59"/>
      <c r="F449" s="59"/>
    </row>
    <row r="450">
      <c r="A450" s="59"/>
      <c r="B450" s="59"/>
      <c r="C450" s="59"/>
      <c r="D450" s="57"/>
      <c r="E450" s="59"/>
      <c r="F450" s="59"/>
    </row>
    <row r="451">
      <c r="A451" s="59"/>
      <c r="B451" s="59"/>
      <c r="C451" s="59"/>
      <c r="D451" s="57"/>
      <c r="E451" s="59"/>
      <c r="F451" s="59"/>
    </row>
    <row r="452">
      <c r="A452" s="59"/>
      <c r="B452" s="59"/>
      <c r="C452" s="59"/>
      <c r="D452" s="57"/>
      <c r="E452" s="59"/>
      <c r="F452" s="59"/>
    </row>
    <row r="453">
      <c r="A453" s="59"/>
      <c r="B453" s="59"/>
      <c r="C453" s="59"/>
      <c r="D453" s="57"/>
      <c r="E453" s="59"/>
      <c r="F453" s="59"/>
    </row>
    <row r="454">
      <c r="A454" s="59"/>
      <c r="B454" s="59"/>
      <c r="C454" s="59"/>
      <c r="D454" s="57"/>
      <c r="E454" s="59"/>
      <c r="F454" s="59"/>
    </row>
    <row r="455">
      <c r="A455" s="59"/>
      <c r="B455" s="59"/>
      <c r="C455" s="59"/>
      <c r="D455" s="57"/>
      <c r="E455" s="59"/>
      <c r="F455" s="59"/>
    </row>
    <row r="456">
      <c r="A456" s="59"/>
      <c r="B456" s="59"/>
      <c r="C456" s="59"/>
      <c r="D456" s="57"/>
      <c r="E456" s="59"/>
      <c r="F456" s="59"/>
    </row>
    <row r="457">
      <c r="A457" s="59"/>
      <c r="B457" s="59"/>
      <c r="C457" s="59"/>
      <c r="D457" s="57"/>
      <c r="E457" s="59"/>
      <c r="F457" s="59"/>
    </row>
    <row r="458">
      <c r="A458" s="59"/>
      <c r="B458" s="59"/>
      <c r="C458" s="59"/>
      <c r="D458" s="57"/>
      <c r="E458" s="59"/>
      <c r="F458" s="59"/>
    </row>
    <row r="459">
      <c r="A459" s="59"/>
      <c r="B459" s="59"/>
      <c r="C459" s="59"/>
      <c r="D459" s="57"/>
      <c r="E459" s="59"/>
      <c r="F459" s="59"/>
    </row>
    <row r="460">
      <c r="A460" s="59"/>
      <c r="B460" s="59"/>
      <c r="C460" s="59"/>
      <c r="D460" s="57"/>
      <c r="E460" s="59"/>
      <c r="F460" s="59"/>
    </row>
    <row r="461">
      <c r="A461" s="59"/>
      <c r="B461" s="59"/>
      <c r="C461" s="59"/>
      <c r="D461" s="57"/>
      <c r="E461" s="59"/>
      <c r="F461" s="59"/>
    </row>
    <row r="462">
      <c r="A462" s="59"/>
      <c r="B462" s="59"/>
      <c r="C462" s="59"/>
      <c r="D462" s="57"/>
      <c r="E462" s="59"/>
      <c r="F462" s="59"/>
    </row>
    <row r="463">
      <c r="A463" s="59"/>
      <c r="B463" s="59"/>
      <c r="C463" s="59"/>
      <c r="D463" s="57"/>
      <c r="E463" s="59"/>
      <c r="F463" s="59"/>
    </row>
    <row r="464">
      <c r="A464" s="59"/>
      <c r="B464" s="59"/>
      <c r="C464" s="59"/>
      <c r="D464" s="57"/>
      <c r="E464" s="59"/>
      <c r="F464" s="59"/>
    </row>
    <row r="465">
      <c r="A465" s="59"/>
      <c r="B465" s="59"/>
      <c r="C465" s="59"/>
      <c r="D465" s="57"/>
      <c r="E465" s="59"/>
      <c r="F465" s="59"/>
    </row>
    <row r="466">
      <c r="A466" s="59"/>
      <c r="B466" s="59"/>
      <c r="C466" s="59"/>
      <c r="D466" s="57"/>
      <c r="E466" s="59"/>
      <c r="F466" s="59"/>
    </row>
    <row r="467">
      <c r="A467" s="59"/>
      <c r="B467" s="59"/>
      <c r="C467" s="59"/>
      <c r="D467" s="57"/>
      <c r="E467" s="59"/>
      <c r="F467" s="59"/>
    </row>
    <row r="468">
      <c r="A468" s="59"/>
      <c r="B468" s="59"/>
      <c r="C468" s="59"/>
      <c r="D468" s="57"/>
      <c r="E468" s="59"/>
      <c r="F468" s="59"/>
    </row>
    <row r="469">
      <c r="A469" s="59"/>
      <c r="B469" s="59"/>
      <c r="C469" s="59"/>
      <c r="D469" s="57"/>
      <c r="E469" s="59"/>
      <c r="F469" s="59"/>
    </row>
    <row r="470">
      <c r="A470" s="59"/>
      <c r="B470" s="59"/>
      <c r="C470" s="59"/>
      <c r="D470" s="57"/>
      <c r="E470" s="59"/>
      <c r="F470" s="59"/>
    </row>
    <row r="471">
      <c r="A471" s="59"/>
      <c r="B471" s="59"/>
      <c r="C471" s="59"/>
      <c r="D471" s="57"/>
      <c r="E471" s="59"/>
      <c r="F471" s="59"/>
    </row>
    <row r="472">
      <c r="A472" s="59"/>
      <c r="B472" s="59"/>
      <c r="C472" s="59"/>
      <c r="D472" s="57"/>
      <c r="E472" s="59"/>
      <c r="F472" s="59"/>
    </row>
    <row r="473">
      <c r="A473" s="59"/>
      <c r="B473" s="59"/>
      <c r="C473" s="59"/>
      <c r="D473" s="57"/>
      <c r="E473" s="59"/>
      <c r="F473" s="59"/>
    </row>
    <row r="474">
      <c r="A474" s="59"/>
      <c r="B474" s="59"/>
      <c r="C474" s="59"/>
      <c r="D474" s="57"/>
      <c r="E474" s="59"/>
      <c r="F474" s="59"/>
    </row>
    <row r="475">
      <c r="A475" s="59"/>
      <c r="B475" s="59"/>
      <c r="C475" s="59"/>
      <c r="D475" s="57"/>
      <c r="E475" s="59"/>
      <c r="F475" s="59"/>
    </row>
    <row r="476">
      <c r="A476" s="59"/>
      <c r="B476" s="59"/>
      <c r="C476" s="59"/>
      <c r="D476" s="57"/>
      <c r="E476" s="59"/>
      <c r="F476" s="59"/>
    </row>
    <row r="477">
      <c r="A477" s="59"/>
      <c r="B477" s="59"/>
      <c r="C477" s="59"/>
      <c r="D477" s="57"/>
      <c r="E477" s="59"/>
      <c r="F477" s="59"/>
    </row>
    <row r="478">
      <c r="A478" s="59"/>
      <c r="B478" s="59"/>
      <c r="C478" s="59"/>
      <c r="D478" s="57"/>
      <c r="E478" s="59"/>
      <c r="F478" s="59"/>
    </row>
    <row r="479">
      <c r="A479" s="59"/>
      <c r="B479" s="59"/>
      <c r="C479" s="59"/>
      <c r="D479" s="57"/>
      <c r="E479" s="59"/>
      <c r="F479" s="59"/>
    </row>
    <row r="480">
      <c r="A480" s="59"/>
      <c r="B480" s="59"/>
      <c r="C480" s="59"/>
      <c r="D480" s="57"/>
      <c r="E480" s="59"/>
      <c r="F480" s="59"/>
    </row>
    <row r="481">
      <c r="A481" s="59"/>
      <c r="B481" s="59"/>
      <c r="C481" s="59"/>
      <c r="D481" s="57"/>
      <c r="E481" s="59"/>
      <c r="F481" s="59"/>
    </row>
    <row r="482">
      <c r="A482" s="59"/>
      <c r="B482" s="59"/>
      <c r="C482" s="59"/>
      <c r="D482" s="57"/>
      <c r="E482" s="59"/>
      <c r="F482" s="59"/>
    </row>
    <row r="483">
      <c r="A483" s="59"/>
      <c r="B483" s="59"/>
      <c r="C483" s="59"/>
      <c r="D483" s="57"/>
      <c r="E483" s="59"/>
      <c r="F483" s="59"/>
    </row>
    <row r="484">
      <c r="A484" s="59"/>
      <c r="B484" s="59"/>
      <c r="C484" s="59"/>
      <c r="D484" s="57"/>
      <c r="E484" s="59"/>
      <c r="F484" s="59"/>
    </row>
    <row r="485">
      <c r="A485" s="59"/>
      <c r="B485" s="59"/>
      <c r="C485" s="59"/>
      <c r="D485" s="57"/>
      <c r="E485" s="59"/>
      <c r="F485" s="59"/>
    </row>
    <row r="486">
      <c r="A486" s="59"/>
      <c r="B486" s="59"/>
      <c r="C486" s="59"/>
      <c r="D486" s="57"/>
      <c r="E486" s="59"/>
      <c r="F486" s="59"/>
    </row>
    <row r="487">
      <c r="A487" s="59"/>
      <c r="B487" s="59"/>
      <c r="C487" s="59"/>
      <c r="D487" s="57"/>
      <c r="E487" s="59"/>
      <c r="F487" s="59"/>
    </row>
    <row r="488">
      <c r="A488" s="59"/>
      <c r="B488" s="59"/>
      <c r="C488" s="59"/>
      <c r="D488" s="57"/>
      <c r="E488" s="59"/>
      <c r="F488" s="59"/>
    </row>
    <row r="489">
      <c r="A489" s="59"/>
      <c r="B489" s="59"/>
      <c r="C489" s="59"/>
      <c r="D489" s="57"/>
      <c r="E489" s="59"/>
      <c r="F489" s="59"/>
    </row>
    <row r="490">
      <c r="A490" s="59"/>
      <c r="B490" s="59"/>
      <c r="C490" s="59"/>
      <c r="D490" s="57"/>
      <c r="E490" s="59"/>
      <c r="F490" s="59"/>
    </row>
    <row r="491">
      <c r="A491" s="59"/>
      <c r="B491" s="59"/>
      <c r="C491" s="59"/>
      <c r="D491" s="57"/>
      <c r="E491" s="59"/>
      <c r="F491" s="59"/>
    </row>
    <row r="492">
      <c r="A492" s="59"/>
      <c r="B492" s="59"/>
      <c r="C492" s="59"/>
      <c r="D492" s="57"/>
      <c r="E492" s="59"/>
      <c r="F492" s="59"/>
    </row>
    <row r="493">
      <c r="A493" s="59"/>
      <c r="B493" s="59"/>
      <c r="C493" s="59"/>
      <c r="D493" s="57"/>
      <c r="E493" s="59"/>
      <c r="F493" s="59"/>
    </row>
    <row r="494">
      <c r="A494" s="59"/>
      <c r="B494" s="59"/>
      <c r="C494" s="59"/>
      <c r="D494" s="57"/>
      <c r="E494" s="59"/>
      <c r="F494" s="59"/>
    </row>
    <row r="495">
      <c r="A495" s="59"/>
      <c r="B495" s="59"/>
      <c r="C495" s="59"/>
      <c r="D495" s="57"/>
      <c r="E495" s="59"/>
      <c r="F495" s="59"/>
    </row>
    <row r="496">
      <c r="A496" s="59"/>
      <c r="B496" s="59"/>
      <c r="C496" s="59"/>
      <c r="D496" s="57"/>
      <c r="E496" s="59"/>
      <c r="F496" s="59"/>
    </row>
    <row r="497">
      <c r="A497" s="59"/>
      <c r="B497" s="59"/>
      <c r="C497" s="59"/>
      <c r="D497" s="57"/>
      <c r="E497" s="59"/>
      <c r="F497" s="59"/>
    </row>
    <row r="498">
      <c r="A498" s="59"/>
      <c r="B498" s="59"/>
      <c r="C498" s="59"/>
      <c r="D498" s="57"/>
      <c r="E498" s="59"/>
      <c r="F498" s="59"/>
    </row>
    <row r="499">
      <c r="A499" s="59"/>
      <c r="B499" s="59"/>
      <c r="C499" s="59"/>
      <c r="D499" s="57"/>
      <c r="E499" s="59"/>
      <c r="F499" s="59"/>
    </row>
    <row r="500">
      <c r="A500" s="59"/>
      <c r="B500" s="59"/>
      <c r="C500" s="59"/>
      <c r="D500" s="57"/>
      <c r="E500" s="59"/>
      <c r="F500" s="59"/>
    </row>
    <row r="501">
      <c r="A501" s="59"/>
      <c r="B501" s="59"/>
      <c r="C501" s="59"/>
      <c r="D501" s="57"/>
      <c r="E501" s="59"/>
      <c r="F501" s="59"/>
    </row>
    <row r="502">
      <c r="A502" s="59"/>
      <c r="B502" s="59"/>
      <c r="C502" s="59"/>
      <c r="D502" s="57"/>
      <c r="E502" s="59"/>
      <c r="F502" s="59"/>
    </row>
    <row r="503">
      <c r="A503" s="59"/>
      <c r="B503" s="59"/>
      <c r="C503" s="59"/>
      <c r="D503" s="57"/>
      <c r="E503" s="59"/>
      <c r="F503" s="59"/>
    </row>
    <row r="504">
      <c r="A504" s="59"/>
      <c r="B504" s="59"/>
      <c r="C504" s="59"/>
      <c r="D504" s="57"/>
      <c r="E504" s="59"/>
      <c r="F504" s="59"/>
    </row>
    <row r="505">
      <c r="A505" s="59"/>
      <c r="B505" s="59"/>
      <c r="C505" s="59"/>
      <c r="D505" s="57"/>
      <c r="E505" s="59"/>
      <c r="F505" s="59"/>
    </row>
    <row r="506">
      <c r="A506" s="59"/>
      <c r="B506" s="59"/>
      <c r="C506" s="59"/>
      <c r="D506" s="57"/>
      <c r="E506" s="59"/>
      <c r="F506" s="59"/>
    </row>
    <row r="507">
      <c r="A507" s="59"/>
      <c r="B507" s="59"/>
      <c r="C507" s="59"/>
      <c r="D507" s="57"/>
      <c r="E507" s="59"/>
      <c r="F507" s="59"/>
    </row>
    <row r="508">
      <c r="A508" s="59"/>
      <c r="B508" s="59"/>
      <c r="C508" s="59"/>
      <c r="D508" s="57"/>
      <c r="E508" s="59"/>
      <c r="F508" s="59"/>
    </row>
    <row r="509">
      <c r="A509" s="59"/>
      <c r="B509" s="59"/>
      <c r="C509" s="59"/>
      <c r="D509" s="57"/>
      <c r="E509" s="59"/>
      <c r="F509" s="59"/>
    </row>
    <row r="510">
      <c r="A510" s="59"/>
      <c r="B510" s="59"/>
      <c r="C510" s="59"/>
      <c r="D510" s="57"/>
      <c r="E510" s="59"/>
      <c r="F510" s="59"/>
    </row>
    <row r="511">
      <c r="A511" s="59"/>
      <c r="B511" s="59"/>
      <c r="C511" s="59"/>
      <c r="D511" s="57"/>
      <c r="E511" s="59"/>
      <c r="F511" s="59"/>
    </row>
    <row r="512">
      <c r="A512" s="59"/>
      <c r="B512" s="59"/>
      <c r="C512" s="59"/>
      <c r="D512" s="57"/>
      <c r="E512" s="59"/>
      <c r="F512" s="59"/>
    </row>
    <row r="513">
      <c r="A513" s="59"/>
      <c r="B513" s="59"/>
      <c r="C513" s="59"/>
      <c r="D513" s="57"/>
      <c r="E513" s="59"/>
      <c r="F513" s="59"/>
    </row>
    <row r="514">
      <c r="A514" s="59"/>
      <c r="B514" s="59"/>
      <c r="C514" s="59"/>
      <c r="D514" s="57"/>
      <c r="E514" s="59"/>
      <c r="F514" s="59"/>
    </row>
    <row r="515">
      <c r="A515" s="59"/>
      <c r="B515" s="59"/>
      <c r="C515" s="59"/>
      <c r="D515" s="57"/>
      <c r="E515" s="59"/>
      <c r="F515" s="59"/>
    </row>
    <row r="516">
      <c r="A516" s="59"/>
      <c r="B516" s="59"/>
      <c r="C516" s="59"/>
      <c r="D516" s="57"/>
      <c r="E516" s="59"/>
      <c r="F516" s="59"/>
    </row>
    <row r="517">
      <c r="A517" s="59"/>
      <c r="B517" s="59"/>
      <c r="C517" s="59"/>
      <c r="D517" s="57"/>
      <c r="E517" s="59"/>
      <c r="F517" s="59"/>
    </row>
    <row r="518">
      <c r="A518" s="59"/>
      <c r="B518" s="59"/>
      <c r="C518" s="59"/>
      <c r="D518" s="57"/>
      <c r="E518" s="59"/>
      <c r="F518" s="59"/>
    </row>
    <row r="519">
      <c r="A519" s="59"/>
      <c r="B519" s="59"/>
      <c r="C519" s="59"/>
      <c r="D519" s="57"/>
      <c r="E519" s="59"/>
      <c r="F519" s="59"/>
    </row>
    <row r="520">
      <c r="A520" s="59"/>
      <c r="B520" s="59"/>
      <c r="C520" s="59"/>
      <c r="D520" s="57"/>
      <c r="E520" s="59"/>
      <c r="F520" s="59"/>
    </row>
    <row r="521">
      <c r="A521" s="59"/>
      <c r="B521" s="59"/>
      <c r="C521" s="59"/>
      <c r="D521" s="57"/>
      <c r="E521" s="59"/>
      <c r="F521" s="59"/>
    </row>
    <row r="522">
      <c r="A522" s="59"/>
      <c r="B522" s="59"/>
      <c r="C522" s="59"/>
      <c r="D522" s="57"/>
      <c r="E522" s="59"/>
      <c r="F522" s="59"/>
    </row>
    <row r="523">
      <c r="A523" s="59"/>
      <c r="B523" s="59"/>
      <c r="C523" s="59"/>
      <c r="D523" s="57"/>
      <c r="E523" s="59"/>
      <c r="F523" s="59"/>
    </row>
    <row r="524">
      <c r="A524" s="59"/>
      <c r="B524" s="59"/>
      <c r="C524" s="59"/>
      <c r="D524" s="57"/>
      <c r="E524" s="59"/>
      <c r="F524" s="59"/>
    </row>
    <row r="525">
      <c r="A525" s="59"/>
      <c r="B525" s="59"/>
      <c r="C525" s="59"/>
      <c r="D525" s="57"/>
      <c r="E525" s="59"/>
      <c r="F525" s="59"/>
    </row>
    <row r="526">
      <c r="A526" s="59"/>
      <c r="B526" s="59"/>
      <c r="C526" s="59"/>
      <c r="D526" s="57"/>
      <c r="E526" s="59"/>
      <c r="F526" s="59"/>
    </row>
    <row r="527">
      <c r="A527" s="59"/>
      <c r="B527" s="59"/>
      <c r="C527" s="59"/>
      <c r="D527" s="57"/>
      <c r="E527" s="59"/>
      <c r="F527" s="59"/>
    </row>
    <row r="528">
      <c r="A528" s="59"/>
      <c r="B528" s="59"/>
      <c r="C528" s="59"/>
      <c r="D528" s="57"/>
      <c r="E528" s="59"/>
      <c r="F528" s="59"/>
    </row>
    <row r="529">
      <c r="A529" s="59"/>
      <c r="B529" s="59"/>
      <c r="C529" s="59"/>
      <c r="D529" s="57"/>
      <c r="E529" s="59"/>
      <c r="F529" s="59"/>
    </row>
    <row r="530">
      <c r="A530" s="59"/>
      <c r="B530" s="59"/>
      <c r="C530" s="59"/>
      <c r="D530" s="57"/>
      <c r="E530" s="59"/>
      <c r="F530" s="59"/>
    </row>
    <row r="531">
      <c r="A531" s="59"/>
      <c r="B531" s="59"/>
      <c r="C531" s="59"/>
      <c r="D531" s="57"/>
      <c r="E531" s="59"/>
      <c r="F531" s="59"/>
    </row>
    <row r="532">
      <c r="A532" s="59"/>
      <c r="B532" s="59"/>
      <c r="C532" s="59"/>
      <c r="D532" s="57"/>
      <c r="E532" s="59"/>
      <c r="F532" s="59"/>
    </row>
    <row r="533">
      <c r="A533" s="59"/>
      <c r="B533" s="59"/>
      <c r="C533" s="59"/>
      <c r="D533" s="57"/>
      <c r="E533" s="59"/>
      <c r="F533" s="59"/>
    </row>
    <row r="534">
      <c r="A534" s="59"/>
      <c r="B534" s="59"/>
      <c r="C534" s="59"/>
      <c r="D534" s="57"/>
      <c r="E534" s="59"/>
      <c r="F534" s="59"/>
    </row>
    <row r="535">
      <c r="A535" s="59"/>
      <c r="B535" s="59"/>
      <c r="C535" s="59"/>
      <c r="D535" s="57"/>
      <c r="E535" s="59"/>
      <c r="F535" s="59"/>
    </row>
    <row r="536">
      <c r="A536" s="59"/>
      <c r="B536" s="59"/>
      <c r="C536" s="59"/>
      <c r="D536" s="57"/>
      <c r="E536" s="59"/>
      <c r="F536" s="59"/>
    </row>
    <row r="537">
      <c r="A537" s="59"/>
      <c r="B537" s="59"/>
      <c r="C537" s="59"/>
      <c r="D537" s="57"/>
      <c r="E537" s="59"/>
      <c r="F537" s="59"/>
    </row>
    <row r="538">
      <c r="A538" s="59"/>
      <c r="B538" s="59"/>
      <c r="C538" s="59"/>
      <c r="D538" s="57"/>
      <c r="E538" s="59"/>
      <c r="F538" s="59"/>
    </row>
    <row r="539">
      <c r="A539" s="59"/>
      <c r="B539" s="59"/>
      <c r="C539" s="59"/>
      <c r="D539" s="57"/>
      <c r="E539" s="59"/>
      <c r="F539" s="59"/>
    </row>
    <row r="540">
      <c r="A540" s="59"/>
      <c r="B540" s="59"/>
      <c r="C540" s="59"/>
      <c r="D540" s="57"/>
      <c r="E540" s="59"/>
      <c r="F540" s="59"/>
    </row>
    <row r="541">
      <c r="A541" s="59"/>
      <c r="B541" s="59"/>
      <c r="C541" s="59"/>
      <c r="D541" s="57"/>
      <c r="E541" s="59"/>
      <c r="F541" s="59"/>
    </row>
    <row r="542">
      <c r="A542" s="59"/>
      <c r="B542" s="59"/>
      <c r="C542" s="59"/>
      <c r="D542" s="57"/>
      <c r="E542" s="59"/>
      <c r="F542" s="59"/>
    </row>
    <row r="543">
      <c r="A543" s="59"/>
      <c r="B543" s="59"/>
      <c r="C543" s="59"/>
      <c r="D543" s="57"/>
      <c r="E543" s="59"/>
      <c r="F543" s="59"/>
    </row>
    <row r="544">
      <c r="A544" s="59"/>
      <c r="B544" s="59"/>
      <c r="C544" s="59"/>
      <c r="D544" s="57"/>
      <c r="E544" s="59"/>
      <c r="F544" s="59"/>
    </row>
    <row r="545">
      <c r="A545" s="59"/>
      <c r="B545" s="59"/>
      <c r="C545" s="59"/>
      <c r="D545" s="57"/>
      <c r="E545" s="59"/>
      <c r="F545" s="59"/>
    </row>
    <row r="546">
      <c r="A546" s="59"/>
      <c r="B546" s="59"/>
      <c r="C546" s="59"/>
      <c r="D546" s="57"/>
      <c r="E546" s="59"/>
      <c r="F546" s="59"/>
    </row>
    <row r="547">
      <c r="A547" s="59"/>
      <c r="B547" s="59"/>
      <c r="C547" s="59"/>
      <c r="D547" s="57"/>
      <c r="E547" s="59"/>
      <c r="F547" s="59"/>
    </row>
    <row r="548">
      <c r="A548" s="59"/>
      <c r="B548" s="59"/>
      <c r="C548" s="59"/>
      <c r="D548" s="57"/>
      <c r="E548" s="59"/>
      <c r="F548" s="59"/>
    </row>
    <row r="549">
      <c r="A549" s="59"/>
      <c r="B549" s="59"/>
      <c r="C549" s="59"/>
      <c r="D549" s="57"/>
      <c r="E549" s="59"/>
      <c r="F549" s="59"/>
    </row>
    <row r="550">
      <c r="A550" s="59"/>
      <c r="B550" s="59"/>
      <c r="C550" s="59"/>
      <c r="D550" s="57"/>
      <c r="E550" s="59"/>
      <c r="F550" s="59"/>
    </row>
    <row r="551">
      <c r="A551" s="59"/>
      <c r="B551" s="59"/>
      <c r="C551" s="59"/>
      <c r="D551" s="57"/>
      <c r="E551" s="59"/>
      <c r="F551" s="59"/>
    </row>
    <row r="552">
      <c r="A552" s="59"/>
      <c r="B552" s="59"/>
      <c r="C552" s="59"/>
      <c r="D552" s="57"/>
      <c r="E552" s="59"/>
      <c r="F552" s="59"/>
    </row>
    <row r="553">
      <c r="A553" s="59"/>
      <c r="B553" s="59"/>
      <c r="C553" s="59"/>
      <c r="D553" s="57"/>
      <c r="E553" s="59"/>
      <c r="F553" s="59"/>
    </row>
    <row r="554">
      <c r="A554" s="59"/>
      <c r="B554" s="59"/>
      <c r="C554" s="59"/>
      <c r="D554" s="57"/>
      <c r="E554" s="59"/>
      <c r="F554" s="59"/>
    </row>
    <row r="555">
      <c r="A555" s="59"/>
      <c r="B555" s="59"/>
      <c r="C555" s="59"/>
      <c r="D555" s="57"/>
      <c r="E555" s="59"/>
      <c r="F555" s="59"/>
    </row>
    <row r="556">
      <c r="A556" s="59"/>
      <c r="B556" s="59"/>
      <c r="C556" s="59"/>
      <c r="D556" s="57"/>
      <c r="E556" s="59"/>
      <c r="F556" s="59"/>
    </row>
    <row r="557">
      <c r="A557" s="59"/>
      <c r="B557" s="59"/>
      <c r="C557" s="59"/>
      <c r="D557" s="57"/>
      <c r="E557" s="59"/>
      <c r="F557" s="59"/>
    </row>
    <row r="558">
      <c r="A558" s="59"/>
      <c r="B558" s="59"/>
      <c r="C558" s="59"/>
      <c r="D558" s="57"/>
      <c r="E558" s="59"/>
      <c r="F558" s="59"/>
    </row>
    <row r="559">
      <c r="A559" s="59"/>
      <c r="B559" s="59"/>
      <c r="C559" s="59"/>
      <c r="D559" s="57"/>
      <c r="E559" s="59"/>
      <c r="F559" s="59"/>
    </row>
    <row r="560">
      <c r="A560" s="59"/>
      <c r="B560" s="59"/>
      <c r="C560" s="59"/>
      <c r="D560" s="57"/>
      <c r="E560" s="59"/>
      <c r="F560" s="59"/>
    </row>
    <row r="561">
      <c r="A561" s="59"/>
      <c r="B561" s="59"/>
      <c r="C561" s="59"/>
      <c r="D561" s="57"/>
      <c r="E561" s="59"/>
      <c r="F561" s="59"/>
    </row>
    <row r="562">
      <c r="A562" s="59"/>
      <c r="B562" s="59"/>
      <c r="C562" s="59"/>
      <c r="D562" s="57"/>
      <c r="E562" s="59"/>
      <c r="F562" s="59"/>
    </row>
    <row r="563">
      <c r="A563" s="59"/>
      <c r="B563" s="59"/>
      <c r="C563" s="59"/>
      <c r="D563" s="57"/>
      <c r="E563" s="59"/>
      <c r="F563" s="59"/>
    </row>
    <row r="564">
      <c r="A564" s="59"/>
      <c r="B564" s="59"/>
      <c r="C564" s="59"/>
      <c r="D564" s="57"/>
      <c r="E564" s="59"/>
      <c r="F564" s="59"/>
    </row>
    <row r="565">
      <c r="A565" s="59"/>
      <c r="B565" s="59"/>
      <c r="C565" s="59"/>
      <c r="D565" s="57"/>
      <c r="E565" s="59"/>
      <c r="F565" s="59"/>
    </row>
    <row r="566">
      <c r="A566" s="59"/>
      <c r="B566" s="59"/>
      <c r="C566" s="59"/>
      <c r="D566" s="57"/>
      <c r="E566" s="59"/>
      <c r="F566" s="59"/>
    </row>
    <row r="567">
      <c r="A567" s="59"/>
      <c r="B567" s="59"/>
      <c r="C567" s="59"/>
      <c r="D567" s="57"/>
      <c r="E567" s="59"/>
      <c r="F567" s="59"/>
    </row>
    <row r="568">
      <c r="A568" s="59"/>
      <c r="B568" s="59"/>
      <c r="C568" s="59"/>
      <c r="D568" s="57"/>
      <c r="E568" s="59"/>
      <c r="F568" s="59"/>
    </row>
    <row r="569">
      <c r="A569" s="59"/>
      <c r="B569" s="59"/>
      <c r="C569" s="59"/>
      <c r="D569" s="57"/>
      <c r="E569" s="59"/>
      <c r="F569" s="59"/>
    </row>
    <row r="570">
      <c r="A570" s="59"/>
      <c r="B570" s="59"/>
      <c r="C570" s="59"/>
      <c r="D570" s="57"/>
      <c r="E570" s="59"/>
      <c r="F570" s="59"/>
    </row>
    <row r="571">
      <c r="A571" s="59"/>
      <c r="B571" s="59"/>
      <c r="C571" s="59"/>
      <c r="D571" s="57"/>
      <c r="E571" s="59"/>
      <c r="F571" s="59"/>
    </row>
    <row r="572">
      <c r="A572" s="59"/>
      <c r="B572" s="59"/>
      <c r="C572" s="59"/>
      <c r="D572" s="57"/>
      <c r="E572" s="59"/>
      <c r="F572" s="59"/>
    </row>
    <row r="573">
      <c r="A573" s="59"/>
      <c r="B573" s="59"/>
      <c r="C573" s="59"/>
      <c r="D573" s="57"/>
      <c r="E573" s="59"/>
      <c r="F573" s="59"/>
    </row>
    <row r="574">
      <c r="A574" s="59"/>
      <c r="B574" s="59"/>
      <c r="C574" s="59"/>
      <c r="D574" s="57"/>
      <c r="E574" s="59"/>
      <c r="F574" s="59"/>
    </row>
    <row r="575">
      <c r="A575" s="59"/>
      <c r="B575" s="59"/>
      <c r="C575" s="59"/>
      <c r="D575" s="57"/>
      <c r="E575" s="59"/>
      <c r="F575" s="59"/>
    </row>
    <row r="576">
      <c r="A576" s="59"/>
      <c r="B576" s="59"/>
      <c r="C576" s="59"/>
      <c r="D576" s="57"/>
      <c r="E576" s="59"/>
      <c r="F576" s="59"/>
    </row>
    <row r="577">
      <c r="A577" s="59"/>
      <c r="B577" s="59"/>
      <c r="C577" s="59"/>
      <c r="D577" s="57"/>
      <c r="E577" s="59"/>
      <c r="F577" s="59"/>
    </row>
    <row r="578">
      <c r="A578" s="59"/>
      <c r="B578" s="59"/>
      <c r="C578" s="59"/>
      <c r="D578" s="57"/>
      <c r="E578" s="59"/>
      <c r="F578" s="59"/>
    </row>
    <row r="579">
      <c r="A579" s="59"/>
      <c r="B579" s="59"/>
      <c r="C579" s="59"/>
      <c r="D579" s="57"/>
      <c r="E579" s="59"/>
      <c r="F579" s="59"/>
    </row>
    <row r="580">
      <c r="A580" s="59"/>
      <c r="B580" s="59"/>
      <c r="C580" s="59"/>
      <c r="D580" s="57"/>
      <c r="E580" s="59"/>
      <c r="F580" s="59"/>
    </row>
    <row r="581">
      <c r="A581" s="59"/>
      <c r="B581" s="59"/>
      <c r="C581" s="59"/>
      <c r="D581" s="57"/>
      <c r="E581" s="59"/>
      <c r="F581" s="59"/>
    </row>
    <row r="582">
      <c r="A582" s="59"/>
      <c r="B582" s="59"/>
      <c r="C582" s="59"/>
      <c r="D582" s="57"/>
      <c r="E582" s="59"/>
      <c r="F582" s="59"/>
    </row>
    <row r="583">
      <c r="A583" s="59"/>
      <c r="B583" s="59"/>
      <c r="C583" s="59"/>
      <c r="D583" s="57"/>
      <c r="E583" s="59"/>
      <c r="F583" s="59"/>
    </row>
    <row r="584">
      <c r="A584" s="59"/>
      <c r="B584" s="59"/>
      <c r="C584" s="59"/>
      <c r="D584" s="57"/>
      <c r="E584" s="59"/>
      <c r="F584" s="59"/>
    </row>
    <row r="585">
      <c r="A585" s="59"/>
      <c r="B585" s="59"/>
      <c r="C585" s="59"/>
      <c r="D585" s="57"/>
      <c r="E585" s="59"/>
      <c r="F585" s="59"/>
    </row>
    <row r="586">
      <c r="A586" s="59"/>
      <c r="B586" s="59"/>
      <c r="C586" s="59"/>
      <c r="D586" s="57"/>
      <c r="E586" s="59"/>
      <c r="F586" s="59"/>
    </row>
    <row r="587">
      <c r="A587" s="59"/>
      <c r="B587" s="59"/>
      <c r="C587" s="59"/>
      <c r="D587" s="57"/>
      <c r="E587" s="59"/>
      <c r="F587" s="59"/>
    </row>
    <row r="588">
      <c r="A588" s="59"/>
      <c r="B588" s="59"/>
      <c r="C588" s="59"/>
      <c r="D588" s="57"/>
      <c r="E588" s="59"/>
      <c r="F588" s="59"/>
    </row>
    <row r="589">
      <c r="A589" s="59"/>
      <c r="B589" s="59"/>
      <c r="C589" s="59"/>
      <c r="D589" s="57"/>
      <c r="E589" s="59"/>
      <c r="F589" s="59"/>
    </row>
    <row r="590">
      <c r="A590" s="59"/>
      <c r="B590" s="59"/>
      <c r="C590" s="59"/>
      <c r="D590" s="57"/>
      <c r="E590" s="59"/>
      <c r="F590" s="59"/>
    </row>
    <row r="591">
      <c r="A591" s="59"/>
      <c r="B591" s="59"/>
      <c r="C591" s="59"/>
      <c r="D591" s="57"/>
      <c r="E591" s="59"/>
      <c r="F591" s="59"/>
    </row>
    <row r="592">
      <c r="A592" s="59"/>
      <c r="B592" s="59"/>
      <c r="C592" s="59"/>
      <c r="D592" s="57"/>
      <c r="E592" s="59"/>
      <c r="F592" s="59"/>
    </row>
    <row r="593">
      <c r="A593" s="59"/>
      <c r="B593" s="59"/>
      <c r="C593" s="59"/>
      <c r="D593" s="57"/>
      <c r="E593" s="59"/>
      <c r="F593" s="59"/>
    </row>
    <row r="594">
      <c r="A594" s="59"/>
      <c r="B594" s="59"/>
      <c r="C594" s="59"/>
      <c r="D594" s="57"/>
      <c r="E594" s="59"/>
      <c r="F594" s="59"/>
    </row>
    <row r="595">
      <c r="A595" s="59"/>
      <c r="B595" s="59"/>
      <c r="C595" s="59"/>
      <c r="D595" s="57"/>
      <c r="E595" s="59"/>
      <c r="F595" s="59"/>
    </row>
    <row r="596">
      <c r="A596" s="59"/>
      <c r="B596" s="59"/>
      <c r="C596" s="59"/>
      <c r="D596" s="57"/>
      <c r="E596" s="59"/>
      <c r="F596" s="59"/>
    </row>
    <row r="597">
      <c r="A597" s="59"/>
      <c r="B597" s="59"/>
      <c r="C597" s="59"/>
      <c r="D597" s="57"/>
      <c r="E597" s="59"/>
      <c r="F597" s="59"/>
    </row>
    <row r="598">
      <c r="A598" s="59"/>
      <c r="B598" s="59"/>
      <c r="C598" s="59"/>
      <c r="D598" s="57"/>
      <c r="E598" s="59"/>
      <c r="F598" s="59"/>
    </row>
    <row r="599">
      <c r="A599" s="59"/>
      <c r="B599" s="59"/>
      <c r="C599" s="59"/>
      <c r="D599" s="57"/>
      <c r="E599" s="59"/>
      <c r="F599" s="59"/>
    </row>
    <row r="600">
      <c r="A600" s="59"/>
      <c r="B600" s="59"/>
      <c r="C600" s="59"/>
      <c r="D600" s="57"/>
      <c r="E600" s="59"/>
      <c r="F600" s="59"/>
    </row>
    <row r="601">
      <c r="A601" s="59"/>
      <c r="B601" s="59"/>
      <c r="C601" s="59"/>
      <c r="D601" s="57"/>
      <c r="E601" s="59"/>
      <c r="F601" s="59"/>
    </row>
    <row r="602">
      <c r="A602" s="59"/>
      <c r="B602" s="59"/>
      <c r="C602" s="59"/>
      <c r="D602" s="57"/>
      <c r="E602" s="59"/>
      <c r="F602" s="59"/>
    </row>
    <row r="603">
      <c r="A603" s="59"/>
      <c r="B603" s="59"/>
      <c r="C603" s="59"/>
      <c r="D603" s="57"/>
      <c r="E603" s="59"/>
      <c r="F603" s="59"/>
    </row>
    <row r="604">
      <c r="A604" s="59"/>
      <c r="B604" s="59"/>
      <c r="C604" s="59"/>
      <c r="D604" s="57"/>
      <c r="E604" s="59"/>
      <c r="F604" s="59"/>
    </row>
    <row r="605">
      <c r="A605" s="59"/>
      <c r="B605" s="59"/>
      <c r="C605" s="59"/>
      <c r="D605" s="57"/>
      <c r="E605" s="59"/>
      <c r="F605" s="59"/>
    </row>
    <row r="606">
      <c r="A606" s="59"/>
      <c r="B606" s="59"/>
      <c r="C606" s="59"/>
      <c r="D606" s="57"/>
      <c r="E606" s="59"/>
      <c r="F606" s="59"/>
    </row>
    <row r="607">
      <c r="A607" s="59"/>
      <c r="B607" s="59"/>
      <c r="C607" s="59"/>
      <c r="D607" s="57"/>
      <c r="E607" s="59"/>
      <c r="F607" s="59"/>
    </row>
    <row r="608">
      <c r="A608" s="59"/>
      <c r="B608" s="59"/>
      <c r="C608" s="59"/>
      <c r="D608" s="57"/>
      <c r="E608" s="59"/>
      <c r="F608" s="59"/>
    </row>
    <row r="609">
      <c r="A609" s="59"/>
      <c r="B609" s="59"/>
      <c r="C609" s="59"/>
      <c r="D609" s="57"/>
      <c r="E609" s="59"/>
      <c r="F609" s="59"/>
    </row>
    <row r="610">
      <c r="A610" s="59"/>
      <c r="B610" s="59"/>
      <c r="C610" s="59"/>
      <c r="D610" s="57"/>
      <c r="E610" s="59"/>
      <c r="F610" s="59"/>
    </row>
    <row r="611">
      <c r="A611" s="59"/>
      <c r="B611" s="59"/>
      <c r="C611" s="59"/>
      <c r="D611" s="57"/>
      <c r="E611" s="59"/>
      <c r="F611" s="59"/>
    </row>
    <row r="612">
      <c r="A612" s="59"/>
      <c r="B612" s="59"/>
      <c r="C612" s="59"/>
      <c r="D612" s="57"/>
      <c r="E612" s="59"/>
      <c r="F612" s="59"/>
    </row>
    <row r="613">
      <c r="A613" s="59"/>
      <c r="B613" s="59"/>
      <c r="C613" s="59"/>
      <c r="D613" s="57"/>
      <c r="E613" s="59"/>
      <c r="F613" s="59"/>
    </row>
    <row r="614">
      <c r="A614" s="59"/>
      <c r="B614" s="59"/>
      <c r="C614" s="59"/>
      <c r="D614" s="57"/>
      <c r="E614" s="59"/>
      <c r="F614" s="59"/>
    </row>
    <row r="615">
      <c r="A615" s="59"/>
      <c r="B615" s="59"/>
      <c r="C615" s="59"/>
      <c r="D615" s="57"/>
      <c r="E615" s="59"/>
      <c r="F615" s="59"/>
    </row>
    <row r="616">
      <c r="A616" s="59"/>
      <c r="B616" s="59"/>
      <c r="C616" s="59"/>
      <c r="D616" s="57"/>
      <c r="E616" s="59"/>
      <c r="F616" s="59"/>
    </row>
    <row r="617">
      <c r="A617" s="59"/>
      <c r="B617" s="59"/>
      <c r="C617" s="59"/>
      <c r="D617" s="57"/>
      <c r="E617" s="59"/>
      <c r="F617" s="59"/>
    </row>
    <row r="618">
      <c r="A618" s="59"/>
      <c r="B618" s="59"/>
      <c r="C618" s="59"/>
      <c r="D618" s="57"/>
      <c r="E618" s="59"/>
      <c r="F618" s="59"/>
    </row>
    <row r="619">
      <c r="A619" s="59"/>
      <c r="B619" s="59"/>
      <c r="C619" s="59"/>
      <c r="D619" s="57"/>
      <c r="E619" s="59"/>
      <c r="F619" s="59"/>
    </row>
    <row r="620">
      <c r="A620" s="59"/>
      <c r="B620" s="59"/>
      <c r="C620" s="59"/>
      <c r="D620" s="57"/>
      <c r="E620" s="59"/>
      <c r="F620" s="59"/>
    </row>
    <row r="621">
      <c r="A621" s="59"/>
      <c r="B621" s="59"/>
      <c r="C621" s="59"/>
      <c r="D621" s="57"/>
      <c r="E621" s="59"/>
      <c r="F621" s="59"/>
    </row>
    <row r="622">
      <c r="A622" s="59"/>
      <c r="B622" s="59"/>
      <c r="C622" s="59"/>
      <c r="D622" s="57"/>
      <c r="E622" s="59"/>
      <c r="F622" s="59"/>
    </row>
    <row r="623">
      <c r="A623" s="59"/>
      <c r="B623" s="59"/>
      <c r="C623" s="59"/>
      <c r="D623" s="57"/>
      <c r="E623" s="59"/>
      <c r="F623" s="59"/>
    </row>
    <row r="624">
      <c r="A624" s="59"/>
      <c r="B624" s="59"/>
      <c r="C624" s="59"/>
      <c r="D624" s="57"/>
      <c r="E624" s="59"/>
      <c r="F624" s="59"/>
    </row>
    <row r="625">
      <c r="A625" s="59"/>
      <c r="B625" s="59"/>
      <c r="C625" s="59"/>
      <c r="D625" s="57"/>
      <c r="E625" s="59"/>
      <c r="F625" s="59"/>
    </row>
    <row r="626">
      <c r="A626" s="59"/>
      <c r="B626" s="59"/>
      <c r="C626" s="59"/>
      <c r="D626" s="57"/>
      <c r="E626" s="59"/>
      <c r="F626" s="59"/>
    </row>
    <row r="627">
      <c r="A627" s="59"/>
      <c r="B627" s="59"/>
      <c r="C627" s="59"/>
      <c r="D627" s="57"/>
      <c r="E627" s="59"/>
      <c r="F627" s="59"/>
    </row>
    <row r="628">
      <c r="A628" s="59"/>
      <c r="B628" s="59"/>
      <c r="C628" s="59"/>
      <c r="D628" s="57"/>
      <c r="E628" s="59"/>
      <c r="F628" s="59"/>
    </row>
    <row r="629">
      <c r="A629" s="59"/>
      <c r="B629" s="59"/>
      <c r="C629" s="59"/>
      <c r="D629" s="57"/>
      <c r="E629" s="59"/>
      <c r="F629" s="59"/>
    </row>
    <row r="630">
      <c r="A630" s="59"/>
      <c r="B630" s="59"/>
      <c r="C630" s="59"/>
      <c r="D630" s="57"/>
      <c r="E630" s="59"/>
      <c r="F630" s="59"/>
    </row>
    <row r="631">
      <c r="A631" s="59"/>
      <c r="B631" s="59"/>
      <c r="C631" s="59"/>
      <c r="D631" s="57"/>
      <c r="E631" s="59"/>
      <c r="F631" s="59"/>
    </row>
    <row r="632">
      <c r="A632" s="59"/>
      <c r="B632" s="59"/>
      <c r="C632" s="59"/>
      <c r="D632" s="57"/>
      <c r="E632" s="59"/>
      <c r="F632" s="59"/>
    </row>
    <row r="633">
      <c r="A633" s="59"/>
      <c r="B633" s="59"/>
      <c r="C633" s="59"/>
      <c r="D633" s="57"/>
      <c r="E633" s="59"/>
      <c r="F633" s="59"/>
    </row>
    <row r="634">
      <c r="A634" s="59"/>
      <c r="B634" s="59"/>
      <c r="C634" s="59"/>
      <c r="D634" s="57"/>
      <c r="E634" s="59"/>
      <c r="F634" s="59"/>
    </row>
    <row r="635">
      <c r="A635" s="59"/>
      <c r="B635" s="59"/>
      <c r="C635" s="59"/>
      <c r="D635" s="57"/>
      <c r="E635" s="59"/>
      <c r="F635" s="59"/>
    </row>
    <row r="636">
      <c r="A636" s="59"/>
      <c r="B636" s="59"/>
      <c r="C636" s="59"/>
      <c r="D636" s="57"/>
      <c r="E636" s="59"/>
      <c r="F636" s="59"/>
    </row>
    <row r="637">
      <c r="A637" s="59"/>
      <c r="B637" s="59"/>
      <c r="C637" s="59"/>
      <c r="D637" s="57"/>
      <c r="E637" s="59"/>
      <c r="F637" s="59"/>
    </row>
    <row r="638">
      <c r="A638" s="59"/>
      <c r="B638" s="59"/>
      <c r="C638" s="59"/>
      <c r="D638" s="57"/>
      <c r="E638" s="59"/>
      <c r="F638" s="59"/>
    </row>
    <row r="639">
      <c r="A639" s="59"/>
      <c r="B639" s="59"/>
      <c r="C639" s="59"/>
      <c r="D639" s="57"/>
      <c r="E639" s="59"/>
      <c r="F639" s="59"/>
    </row>
    <row r="640">
      <c r="A640" s="59"/>
      <c r="B640" s="59"/>
      <c r="C640" s="59"/>
      <c r="D640" s="57"/>
      <c r="E640" s="59"/>
      <c r="F640" s="59"/>
    </row>
    <row r="641">
      <c r="A641" s="59"/>
      <c r="B641" s="59"/>
      <c r="C641" s="59"/>
      <c r="D641" s="57"/>
      <c r="E641" s="59"/>
      <c r="F641" s="59"/>
    </row>
    <row r="642">
      <c r="A642" s="59"/>
      <c r="B642" s="59"/>
      <c r="C642" s="59"/>
      <c r="D642" s="57"/>
      <c r="E642" s="59"/>
      <c r="F642" s="59"/>
    </row>
    <row r="643">
      <c r="A643" s="59"/>
      <c r="B643" s="59"/>
      <c r="C643" s="59"/>
      <c r="D643" s="57"/>
      <c r="E643" s="59"/>
      <c r="F643" s="59"/>
    </row>
    <row r="644">
      <c r="A644" s="59"/>
      <c r="B644" s="59"/>
      <c r="C644" s="59"/>
      <c r="D644" s="57"/>
      <c r="E644" s="59"/>
      <c r="F644" s="59"/>
    </row>
    <row r="645">
      <c r="A645" s="59"/>
      <c r="B645" s="59"/>
      <c r="C645" s="59"/>
      <c r="D645" s="57"/>
      <c r="E645" s="59"/>
      <c r="F645" s="59"/>
    </row>
    <row r="646">
      <c r="A646" s="59"/>
      <c r="B646" s="59"/>
      <c r="C646" s="59"/>
      <c r="D646" s="57"/>
      <c r="E646" s="59"/>
      <c r="F646" s="59"/>
    </row>
    <row r="647">
      <c r="A647" s="59"/>
      <c r="B647" s="59"/>
      <c r="C647" s="59"/>
      <c r="D647" s="57"/>
      <c r="E647" s="59"/>
      <c r="F647" s="59"/>
    </row>
    <row r="648">
      <c r="A648" s="59"/>
      <c r="B648" s="59"/>
      <c r="C648" s="59"/>
      <c r="D648" s="57"/>
      <c r="E648" s="59"/>
      <c r="F648" s="59"/>
    </row>
    <row r="649">
      <c r="A649" s="59"/>
      <c r="B649" s="59"/>
      <c r="C649" s="59"/>
      <c r="D649" s="57"/>
      <c r="E649" s="59"/>
      <c r="F649" s="59"/>
    </row>
    <row r="650">
      <c r="A650" s="59"/>
      <c r="B650" s="59"/>
      <c r="C650" s="59"/>
      <c r="D650" s="57"/>
      <c r="E650" s="59"/>
      <c r="F650" s="59"/>
    </row>
    <row r="651">
      <c r="A651" s="59"/>
      <c r="B651" s="59"/>
      <c r="C651" s="59"/>
      <c r="D651" s="57"/>
      <c r="E651" s="59"/>
      <c r="F651" s="59"/>
    </row>
    <row r="652">
      <c r="A652" s="59"/>
      <c r="B652" s="59"/>
      <c r="C652" s="59"/>
      <c r="D652" s="57"/>
      <c r="E652" s="59"/>
      <c r="F652" s="59"/>
    </row>
    <row r="653">
      <c r="A653" s="59"/>
      <c r="B653" s="59"/>
      <c r="C653" s="59"/>
      <c r="D653" s="57"/>
      <c r="E653" s="59"/>
      <c r="F653" s="59"/>
    </row>
    <row r="654">
      <c r="A654" s="59"/>
      <c r="B654" s="59"/>
      <c r="C654" s="59"/>
      <c r="D654" s="57"/>
      <c r="E654" s="59"/>
      <c r="F654" s="59"/>
    </row>
    <row r="655">
      <c r="A655" s="59"/>
      <c r="B655" s="59"/>
      <c r="C655" s="59"/>
      <c r="D655" s="57"/>
      <c r="E655" s="59"/>
      <c r="F655" s="59"/>
    </row>
    <row r="656">
      <c r="A656" s="59"/>
      <c r="B656" s="59"/>
      <c r="C656" s="59"/>
      <c r="D656" s="57"/>
      <c r="E656" s="59"/>
      <c r="F656" s="59"/>
    </row>
    <row r="657">
      <c r="A657" s="59"/>
      <c r="B657" s="59"/>
      <c r="C657" s="59"/>
      <c r="D657" s="57"/>
      <c r="E657" s="59"/>
      <c r="F657" s="59"/>
    </row>
    <row r="658">
      <c r="A658" s="59"/>
      <c r="B658" s="59"/>
      <c r="C658" s="59"/>
      <c r="D658" s="57"/>
      <c r="E658" s="59"/>
      <c r="F658" s="59"/>
    </row>
    <row r="659">
      <c r="A659" s="59"/>
      <c r="B659" s="59"/>
      <c r="C659" s="59"/>
      <c r="D659" s="57"/>
      <c r="E659" s="59"/>
      <c r="F659" s="59"/>
    </row>
    <row r="660">
      <c r="A660" s="59"/>
      <c r="B660" s="59"/>
      <c r="C660" s="59"/>
      <c r="D660" s="57"/>
      <c r="E660" s="59"/>
      <c r="F660" s="59"/>
    </row>
    <row r="661">
      <c r="A661" s="59"/>
      <c r="B661" s="59"/>
      <c r="C661" s="59"/>
      <c r="D661" s="57"/>
      <c r="E661" s="59"/>
      <c r="F661" s="59"/>
    </row>
    <row r="662">
      <c r="A662" s="59"/>
      <c r="B662" s="59"/>
      <c r="C662" s="59"/>
      <c r="D662" s="57"/>
      <c r="E662" s="59"/>
      <c r="F662" s="59"/>
    </row>
    <row r="663">
      <c r="A663" s="59"/>
      <c r="B663" s="59"/>
      <c r="C663" s="59"/>
      <c r="D663" s="57"/>
      <c r="E663" s="59"/>
      <c r="F663" s="59"/>
    </row>
    <row r="664">
      <c r="A664" s="59"/>
      <c r="B664" s="59"/>
      <c r="C664" s="59"/>
      <c r="D664" s="57"/>
      <c r="E664" s="59"/>
      <c r="F664" s="59"/>
    </row>
    <row r="665">
      <c r="A665" s="59"/>
      <c r="B665" s="59"/>
      <c r="C665" s="59"/>
      <c r="D665" s="57"/>
      <c r="E665" s="59"/>
      <c r="F665" s="59"/>
    </row>
    <row r="666">
      <c r="A666" s="59"/>
      <c r="B666" s="59"/>
      <c r="C666" s="59"/>
      <c r="D666" s="57"/>
      <c r="E666" s="59"/>
      <c r="F666" s="59"/>
    </row>
    <row r="667">
      <c r="A667" s="59"/>
      <c r="B667" s="59"/>
      <c r="C667" s="59"/>
      <c r="D667" s="57"/>
      <c r="E667" s="59"/>
      <c r="F667" s="59"/>
    </row>
    <row r="668">
      <c r="A668" s="59"/>
      <c r="B668" s="59"/>
      <c r="C668" s="59"/>
      <c r="D668" s="57"/>
      <c r="E668" s="59"/>
      <c r="F668" s="59"/>
    </row>
    <row r="669">
      <c r="A669" s="59"/>
      <c r="B669" s="59"/>
      <c r="C669" s="59"/>
      <c r="D669" s="57"/>
      <c r="E669" s="59"/>
      <c r="F669" s="59"/>
    </row>
    <row r="670">
      <c r="A670" s="59"/>
      <c r="B670" s="59"/>
      <c r="C670" s="59"/>
      <c r="D670" s="57"/>
      <c r="E670" s="59"/>
      <c r="F670" s="59"/>
    </row>
    <row r="671">
      <c r="A671" s="59"/>
      <c r="B671" s="59"/>
      <c r="C671" s="59"/>
      <c r="D671" s="57"/>
      <c r="E671" s="59"/>
      <c r="F671" s="59"/>
    </row>
    <row r="672">
      <c r="A672" s="59"/>
      <c r="B672" s="59"/>
      <c r="C672" s="59"/>
      <c r="D672" s="57"/>
      <c r="E672" s="59"/>
      <c r="F672" s="59"/>
    </row>
    <row r="673">
      <c r="A673" s="59"/>
      <c r="B673" s="59"/>
      <c r="C673" s="59"/>
      <c r="D673" s="57"/>
      <c r="E673" s="59"/>
      <c r="F673" s="59"/>
    </row>
    <row r="674">
      <c r="A674" s="59"/>
      <c r="B674" s="59"/>
      <c r="C674" s="59"/>
      <c r="D674" s="57"/>
      <c r="E674" s="59"/>
      <c r="F674" s="59"/>
    </row>
    <row r="675">
      <c r="A675" s="59"/>
      <c r="B675" s="59"/>
      <c r="C675" s="59"/>
      <c r="D675" s="57"/>
      <c r="E675" s="59"/>
      <c r="F675" s="59"/>
    </row>
    <row r="676">
      <c r="A676" s="59"/>
      <c r="B676" s="59"/>
      <c r="C676" s="59"/>
      <c r="D676" s="57"/>
      <c r="E676" s="59"/>
      <c r="F676" s="59"/>
    </row>
    <row r="677">
      <c r="A677" s="59"/>
      <c r="B677" s="59"/>
      <c r="C677" s="59"/>
      <c r="D677" s="57"/>
      <c r="E677" s="59"/>
      <c r="F677" s="59"/>
    </row>
    <row r="678">
      <c r="A678" s="59"/>
      <c r="B678" s="59"/>
      <c r="C678" s="59"/>
      <c r="D678" s="57"/>
      <c r="E678" s="59"/>
      <c r="F678" s="59"/>
    </row>
    <row r="679">
      <c r="A679" s="59"/>
      <c r="B679" s="59"/>
      <c r="C679" s="59"/>
      <c r="D679" s="57"/>
      <c r="E679" s="59"/>
      <c r="F679" s="59"/>
    </row>
    <row r="680">
      <c r="A680" s="59"/>
      <c r="B680" s="59"/>
      <c r="C680" s="59"/>
      <c r="D680" s="57"/>
      <c r="E680" s="59"/>
      <c r="F680" s="59"/>
    </row>
    <row r="681">
      <c r="A681" s="59"/>
      <c r="B681" s="59"/>
      <c r="C681" s="59"/>
      <c r="D681" s="57"/>
      <c r="E681" s="59"/>
      <c r="F681" s="59"/>
    </row>
    <row r="682">
      <c r="A682" s="59"/>
      <c r="B682" s="59"/>
      <c r="C682" s="59"/>
      <c r="D682" s="57"/>
      <c r="E682" s="59"/>
      <c r="F682" s="59"/>
    </row>
    <row r="683">
      <c r="A683" s="59"/>
      <c r="B683" s="59"/>
      <c r="C683" s="59"/>
      <c r="D683" s="57"/>
      <c r="E683" s="59"/>
      <c r="F683" s="59"/>
    </row>
    <row r="684">
      <c r="A684" s="59"/>
      <c r="B684" s="59"/>
      <c r="C684" s="59"/>
      <c r="D684" s="57"/>
      <c r="E684" s="59"/>
      <c r="F684" s="59"/>
    </row>
    <row r="685">
      <c r="A685" s="59"/>
      <c r="B685" s="59"/>
      <c r="C685" s="59"/>
      <c r="D685" s="57"/>
      <c r="E685" s="59"/>
      <c r="F685" s="59"/>
    </row>
    <row r="686">
      <c r="A686" s="59"/>
      <c r="B686" s="59"/>
      <c r="C686" s="59"/>
      <c r="D686" s="57"/>
      <c r="E686" s="59"/>
      <c r="F686" s="59"/>
    </row>
    <row r="687">
      <c r="A687" s="59"/>
      <c r="B687" s="59"/>
      <c r="C687" s="59"/>
      <c r="D687" s="57"/>
      <c r="E687" s="59"/>
      <c r="F687" s="59"/>
    </row>
    <row r="688">
      <c r="A688" s="59"/>
      <c r="B688" s="59"/>
      <c r="C688" s="59"/>
      <c r="D688" s="57"/>
      <c r="E688" s="59"/>
      <c r="F688" s="59"/>
    </row>
    <row r="689">
      <c r="A689" s="59"/>
      <c r="B689" s="59"/>
      <c r="C689" s="59"/>
      <c r="D689" s="57"/>
      <c r="E689" s="59"/>
      <c r="F689" s="59"/>
    </row>
    <row r="690">
      <c r="A690" s="59"/>
      <c r="B690" s="59"/>
      <c r="C690" s="59"/>
      <c r="D690" s="57"/>
      <c r="E690" s="59"/>
      <c r="F690" s="59"/>
    </row>
    <row r="691">
      <c r="A691" s="59"/>
      <c r="B691" s="59"/>
      <c r="C691" s="59"/>
      <c r="D691" s="57"/>
      <c r="E691" s="59"/>
      <c r="F691" s="59"/>
    </row>
    <row r="692">
      <c r="A692" s="59"/>
      <c r="B692" s="59"/>
      <c r="C692" s="59"/>
      <c r="D692" s="57"/>
      <c r="E692" s="59"/>
      <c r="F692" s="59"/>
    </row>
    <row r="693">
      <c r="A693" s="59"/>
      <c r="B693" s="59"/>
      <c r="C693" s="59"/>
      <c r="D693" s="57"/>
      <c r="E693" s="59"/>
      <c r="F693" s="59"/>
    </row>
    <row r="694">
      <c r="A694" s="59"/>
      <c r="B694" s="59"/>
      <c r="C694" s="59"/>
      <c r="D694" s="57"/>
      <c r="E694" s="59"/>
      <c r="F694" s="59"/>
    </row>
    <row r="695">
      <c r="A695" s="59"/>
      <c r="B695" s="59"/>
      <c r="C695" s="59"/>
      <c r="D695" s="57"/>
      <c r="E695" s="59"/>
      <c r="F695" s="59"/>
    </row>
    <row r="696">
      <c r="A696" s="59"/>
      <c r="B696" s="59"/>
      <c r="C696" s="59"/>
      <c r="D696" s="57"/>
      <c r="E696" s="59"/>
      <c r="F696" s="59"/>
    </row>
    <row r="697">
      <c r="A697" s="59"/>
      <c r="B697" s="59"/>
      <c r="C697" s="59"/>
      <c r="D697" s="57"/>
      <c r="E697" s="59"/>
      <c r="F697" s="59"/>
    </row>
    <row r="698">
      <c r="A698" s="59"/>
      <c r="B698" s="59"/>
      <c r="C698" s="59"/>
      <c r="D698" s="57"/>
      <c r="E698" s="59"/>
      <c r="F698" s="59"/>
    </row>
    <row r="699">
      <c r="A699" s="59"/>
      <c r="B699" s="59"/>
      <c r="C699" s="59"/>
      <c r="D699" s="57"/>
      <c r="E699" s="59"/>
      <c r="F699" s="59"/>
    </row>
    <row r="700">
      <c r="A700" s="59"/>
      <c r="B700" s="59"/>
      <c r="C700" s="59"/>
      <c r="D700" s="57"/>
      <c r="E700" s="59"/>
      <c r="F700" s="59"/>
    </row>
    <row r="701">
      <c r="A701" s="59"/>
      <c r="B701" s="59"/>
      <c r="C701" s="59"/>
      <c r="D701" s="57"/>
      <c r="E701" s="59"/>
      <c r="F701" s="59"/>
    </row>
    <row r="702">
      <c r="A702" s="59"/>
      <c r="B702" s="59"/>
      <c r="C702" s="59"/>
      <c r="D702" s="57"/>
      <c r="E702" s="59"/>
      <c r="F702" s="59"/>
    </row>
    <row r="703">
      <c r="A703" s="59"/>
      <c r="B703" s="59"/>
      <c r="C703" s="59"/>
      <c r="D703" s="57"/>
      <c r="E703" s="59"/>
      <c r="F703" s="59"/>
    </row>
    <row r="704">
      <c r="A704" s="59"/>
      <c r="B704" s="59"/>
      <c r="C704" s="59"/>
      <c r="D704" s="57"/>
      <c r="E704" s="59"/>
      <c r="F704" s="59"/>
    </row>
    <row r="705">
      <c r="A705" s="59"/>
      <c r="B705" s="59"/>
      <c r="C705" s="59"/>
      <c r="D705" s="57"/>
      <c r="E705" s="59"/>
      <c r="F705" s="59"/>
    </row>
    <row r="706">
      <c r="A706" s="59"/>
      <c r="B706" s="59"/>
      <c r="C706" s="59"/>
      <c r="D706" s="57"/>
      <c r="E706" s="59"/>
      <c r="F706" s="59"/>
    </row>
    <row r="707">
      <c r="A707" s="59"/>
      <c r="B707" s="59"/>
      <c r="C707" s="59"/>
      <c r="D707" s="57"/>
      <c r="E707" s="59"/>
      <c r="F707" s="59"/>
    </row>
    <row r="708">
      <c r="A708" s="59"/>
      <c r="B708" s="59"/>
      <c r="C708" s="59"/>
      <c r="D708" s="57"/>
      <c r="E708" s="59"/>
      <c r="F708" s="59"/>
    </row>
    <row r="709">
      <c r="A709" s="59"/>
      <c r="B709" s="59"/>
      <c r="C709" s="59"/>
      <c r="D709" s="57"/>
      <c r="E709" s="59"/>
      <c r="F709" s="59"/>
    </row>
    <row r="710">
      <c r="A710" s="59"/>
      <c r="B710" s="59"/>
      <c r="C710" s="59"/>
      <c r="D710" s="57"/>
      <c r="E710" s="59"/>
      <c r="F710" s="59"/>
    </row>
    <row r="711">
      <c r="A711" s="59"/>
      <c r="B711" s="59"/>
      <c r="C711" s="59"/>
      <c r="D711" s="57"/>
      <c r="E711" s="59"/>
      <c r="F711" s="59"/>
    </row>
    <row r="712">
      <c r="A712" s="59"/>
      <c r="B712" s="59"/>
      <c r="C712" s="59"/>
      <c r="D712" s="57"/>
      <c r="E712" s="59"/>
      <c r="F712" s="59"/>
    </row>
    <row r="713">
      <c r="A713" s="59"/>
      <c r="B713" s="59"/>
      <c r="C713" s="59"/>
      <c r="D713" s="57"/>
      <c r="E713" s="59"/>
      <c r="F713" s="59"/>
    </row>
    <row r="714">
      <c r="A714" s="59"/>
      <c r="B714" s="59"/>
      <c r="C714" s="59"/>
      <c r="D714" s="57"/>
      <c r="E714" s="59"/>
      <c r="F714" s="59"/>
    </row>
    <row r="715">
      <c r="A715" s="59"/>
      <c r="B715" s="59"/>
      <c r="C715" s="59"/>
      <c r="D715" s="57"/>
      <c r="E715" s="59"/>
      <c r="F715" s="59"/>
    </row>
    <row r="716">
      <c r="A716" s="59"/>
      <c r="B716" s="59"/>
      <c r="C716" s="59"/>
      <c r="D716" s="57"/>
      <c r="E716" s="59"/>
      <c r="F716" s="59"/>
    </row>
    <row r="717">
      <c r="A717" s="59"/>
      <c r="B717" s="59"/>
      <c r="C717" s="59"/>
      <c r="D717" s="57"/>
      <c r="E717" s="59"/>
      <c r="F717" s="59"/>
    </row>
    <row r="718">
      <c r="A718" s="59"/>
      <c r="B718" s="59"/>
      <c r="C718" s="59"/>
      <c r="D718" s="57"/>
      <c r="E718" s="59"/>
      <c r="F718" s="59"/>
    </row>
    <row r="719">
      <c r="A719" s="59"/>
      <c r="B719" s="59"/>
      <c r="C719" s="59"/>
      <c r="D719" s="57"/>
      <c r="E719" s="59"/>
      <c r="F719" s="59"/>
    </row>
    <row r="720">
      <c r="A720" s="59"/>
      <c r="B720" s="59"/>
      <c r="C720" s="59"/>
      <c r="D720" s="57"/>
      <c r="E720" s="59"/>
      <c r="F720" s="59"/>
    </row>
    <row r="721">
      <c r="A721" s="59"/>
      <c r="B721" s="59"/>
      <c r="C721" s="59"/>
      <c r="D721" s="57"/>
      <c r="E721" s="59"/>
      <c r="F721" s="59"/>
    </row>
    <row r="722">
      <c r="A722" s="59"/>
      <c r="B722" s="59"/>
      <c r="C722" s="59"/>
      <c r="D722" s="57"/>
      <c r="E722" s="59"/>
      <c r="F722" s="59"/>
    </row>
    <row r="723">
      <c r="A723" s="59"/>
      <c r="B723" s="59"/>
      <c r="C723" s="59"/>
      <c r="D723" s="57"/>
      <c r="E723" s="59"/>
      <c r="F723" s="59"/>
    </row>
    <row r="724">
      <c r="A724" s="59"/>
      <c r="B724" s="59"/>
      <c r="C724" s="59"/>
      <c r="D724" s="57"/>
      <c r="E724" s="59"/>
      <c r="F724" s="59"/>
    </row>
    <row r="725">
      <c r="A725" s="59"/>
      <c r="B725" s="59"/>
      <c r="C725" s="59"/>
      <c r="D725" s="57"/>
      <c r="E725" s="59"/>
      <c r="F725" s="59"/>
    </row>
    <row r="726">
      <c r="A726" s="59"/>
      <c r="B726" s="59"/>
      <c r="C726" s="59"/>
      <c r="D726" s="57"/>
      <c r="E726" s="59"/>
      <c r="F726" s="59"/>
    </row>
    <row r="727">
      <c r="A727" s="59"/>
      <c r="B727" s="59"/>
      <c r="C727" s="59"/>
      <c r="D727" s="57"/>
      <c r="E727" s="59"/>
      <c r="F727" s="59"/>
    </row>
    <row r="728">
      <c r="A728" s="59"/>
      <c r="B728" s="59"/>
      <c r="C728" s="59"/>
      <c r="D728" s="57"/>
      <c r="E728" s="59"/>
      <c r="F728" s="59"/>
    </row>
    <row r="729">
      <c r="A729" s="59"/>
      <c r="B729" s="59"/>
      <c r="C729" s="59"/>
      <c r="D729" s="57"/>
      <c r="E729" s="59"/>
      <c r="F729" s="59"/>
    </row>
    <row r="730">
      <c r="A730" s="59"/>
      <c r="B730" s="59"/>
      <c r="C730" s="59"/>
      <c r="D730" s="57"/>
      <c r="E730" s="59"/>
      <c r="F730" s="59"/>
    </row>
    <row r="731">
      <c r="A731" s="59"/>
      <c r="B731" s="59"/>
      <c r="C731" s="59"/>
      <c r="D731" s="57"/>
      <c r="E731" s="59"/>
      <c r="F731" s="59"/>
    </row>
    <row r="732">
      <c r="A732" s="59"/>
      <c r="B732" s="59"/>
      <c r="C732" s="59"/>
      <c r="D732" s="57"/>
      <c r="E732" s="59"/>
      <c r="F732" s="59"/>
    </row>
    <row r="733">
      <c r="A733" s="59"/>
      <c r="B733" s="59"/>
      <c r="C733" s="59"/>
      <c r="D733" s="57"/>
      <c r="E733" s="59"/>
      <c r="F733" s="59"/>
    </row>
    <row r="734">
      <c r="A734" s="59"/>
      <c r="B734" s="59"/>
      <c r="C734" s="59"/>
      <c r="D734" s="57"/>
      <c r="E734" s="59"/>
      <c r="F734" s="59"/>
    </row>
    <row r="735">
      <c r="A735" s="59"/>
      <c r="B735" s="59"/>
      <c r="C735" s="59"/>
      <c r="D735" s="57"/>
      <c r="E735" s="59"/>
      <c r="F735" s="59"/>
    </row>
    <row r="736">
      <c r="A736" s="59"/>
      <c r="B736" s="59"/>
      <c r="C736" s="59"/>
      <c r="D736" s="57"/>
      <c r="E736" s="59"/>
      <c r="F736" s="59"/>
    </row>
    <row r="737">
      <c r="A737" s="59"/>
      <c r="B737" s="59"/>
      <c r="C737" s="59"/>
      <c r="D737" s="57"/>
      <c r="E737" s="59"/>
      <c r="F737" s="59"/>
    </row>
    <row r="738">
      <c r="A738" s="59"/>
      <c r="B738" s="59"/>
      <c r="C738" s="59"/>
      <c r="D738" s="57"/>
      <c r="E738" s="59"/>
      <c r="F738" s="59"/>
    </row>
    <row r="739">
      <c r="A739" s="59"/>
      <c r="B739" s="59"/>
      <c r="C739" s="59"/>
      <c r="D739" s="57"/>
      <c r="E739" s="59"/>
      <c r="F739" s="59"/>
    </row>
    <row r="740">
      <c r="A740" s="59"/>
      <c r="B740" s="59"/>
      <c r="C740" s="59"/>
      <c r="D740" s="57"/>
      <c r="E740" s="59"/>
      <c r="F740" s="59"/>
    </row>
    <row r="741">
      <c r="A741" s="59"/>
      <c r="B741" s="59"/>
      <c r="C741" s="59"/>
      <c r="D741" s="57"/>
      <c r="E741" s="59"/>
      <c r="F741" s="59"/>
    </row>
    <row r="742">
      <c r="A742" s="59"/>
      <c r="B742" s="59"/>
      <c r="C742" s="59"/>
      <c r="D742" s="57"/>
      <c r="E742" s="59"/>
      <c r="F742" s="59"/>
    </row>
    <row r="743">
      <c r="A743" s="59"/>
      <c r="B743" s="59"/>
      <c r="C743" s="59"/>
      <c r="D743" s="57"/>
      <c r="E743" s="59"/>
      <c r="F743" s="59"/>
    </row>
    <row r="744">
      <c r="A744" s="59"/>
      <c r="B744" s="59"/>
      <c r="C744" s="59"/>
      <c r="D744" s="57"/>
      <c r="E744" s="59"/>
      <c r="F744" s="59"/>
    </row>
    <row r="745">
      <c r="A745" s="59"/>
      <c r="B745" s="59"/>
      <c r="C745" s="59"/>
      <c r="D745" s="57"/>
      <c r="E745" s="59"/>
      <c r="F745" s="59"/>
    </row>
    <row r="746">
      <c r="A746" s="59"/>
      <c r="B746" s="59"/>
      <c r="C746" s="59"/>
      <c r="D746" s="57"/>
      <c r="E746" s="59"/>
      <c r="F746" s="59"/>
    </row>
    <row r="747">
      <c r="A747" s="59"/>
      <c r="B747" s="59"/>
      <c r="C747" s="59"/>
      <c r="D747" s="57"/>
      <c r="E747" s="59"/>
      <c r="F747" s="59"/>
    </row>
    <row r="748">
      <c r="A748" s="59"/>
      <c r="B748" s="59"/>
      <c r="C748" s="59"/>
      <c r="D748" s="57"/>
      <c r="E748" s="59"/>
      <c r="F748" s="59"/>
    </row>
    <row r="749">
      <c r="A749" s="59"/>
      <c r="B749" s="59"/>
      <c r="C749" s="59"/>
      <c r="D749" s="57"/>
      <c r="E749" s="59"/>
      <c r="F749" s="59"/>
    </row>
    <row r="750">
      <c r="A750" s="59"/>
      <c r="B750" s="59"/>
      <c r="C750" s="59"/>
      <c r="D750" s="57"/>
      <c r="E750" s="59"/>
      <c r="F750" s="59"/>
    </row>
    <row r="751">
      <c r="A751" s="59"/>
      <c r="B751" s="59"/>
      <c r="C751" s="59"/>
      <c r="D751" s="57"/>
      <c r="E751" s="59"/>
      <c r="F751" s="59"/>
    </row>
    <row r="752">
      <c r="A752" s="59"/>
      <c r="B752" s="59"/>
      <c r="C752" s="59"/>
      <c r="D752" s="57"/>
      <c r="E752" s="59"/>
      <c r="F752" s="59"/>
    </row>
    <row r="753">
      <c r="A753" s="59"/>
      <c r="B753" s="59"/>
      <c r="C753" s="59"/>
      <c r="D753" s="57"/>
      <c r="E753" s="59"/>
      <c r="F753" s="59"/>
    </row>
    <row r="754">
      <c r="A754" s="59"/>
      <c r="B754" s="59"/>
      <c r="C754" s="59"/>
      <c r="D754" s="57"/>
      <c r="E754" s="59"/>
      <c r="F754" s="59"/>
    </row>
    <row r="755">
      <c r="A755" s="59"/>
      <c r="B755" s="59"/>
      <c r="C755" s="59"/>
      <c r="D755" s="57"/>
      <c r="E755" s="59"/>
      <c r="F755" s="59"/>
    </row>
    <row r="756">
      <c r="A756" s="59"/>
      <c r="B756" s="59"/>
      <c r="C756" s="59"/>
      <c r="D756" s="57"/>
      <c r="E756" s="59"/>
      <c r="F756" s="59"/>
    </row>
    <row r="757">
      <c r="A757" s="59"/>
      <c r="B757" s="59"/>
      <c r="C757" s="59"/>
      <c r="D757" s="57"/>
      <c r="E757" s="59"/>
      <c r="F757" s="59"/>
    </row>
    <row r="758">
      <c r="A758" s="59"/>
      <c r="B758" s="59"/>
      <c r="C758" s="59"/>
      <c r="D758" s="57"/>
      <c r="E758" s="59"/>
      <c r="F758" s="59"/>
    </row>
    <row r="759">
      <c r="A759" s="59"/>
      <c r="B759" s="59"/>
      <c r="C759" s="59"/>
      <c r="D759" s="57"/>
      <c r="E759" s="59"/>
      <c r="F759" s="59"/>
    </row>
    <row r="760">
      <c r="A760" s="59"/>
      <c r="B760" s="59"/>
      <c r="C760" s="59"/>
      <c r="D760" s="57"/>
      <c r="E760" s="59"/>
      <c r="F760" s="59"/>
    </row>
    <row r="761">
      <c r="A761" s="59"/>
      <c r="B761" s="59"/>
      <c r="C761" s="59"/>
      <c r="D761" s="57"/>
      <c r="E761" s="59"/>
      <c r="F761" s="59"/>
    </row>
    <row r="762">
      <c r="A762" s="59"/>
      <c r="B762" s="59"/>
      <c r="C762" s="59"/>
      <c r="D762" s="57"/>
      <c r="E762" s="59"/>
      <c r="F762" s="59"/>
    </row>
    <row r="763">
      <c r="A763" s="59"/>
      <c r="B763" s="59"/>
      <c r="C763" s="59"/>
      <c r="D763" s="57"/>
      <c r="E763" s="59"/>
      <c r="F763" s="59"/>
    </row>
    <row r="764">
      <c r="A764" s="59"/>
      <c r="B764" s="59"/>
      <c r="C764" s="59"/>
      <c r="D764" s="57"/>
      <c r="E764" s="59"/>
      <c r="F764" s="59"/>
    </row>
    <row r="765">
      <c r="A765" s="59"/>
      <c r="B765" s="59"/>
      <c r="C765" s="59"/>
      <c r="D765" s="57"/>
      <c r="E765" s="59"/>
      <c r="F765" s="59"/>
    </row>
    <row r="766">
      <c r="A766" s="59"/>
      <c r="B766" s="59"/>
      <c r="C766" s="59"/>
      <c r="D766" s="57"/>
      <c r="E766" s="59"/>
      <c r="F766" s="59"/>
    </row>
    <row r="767">
      <c r="A767" s="59"/>
      <c r="B767" s="59"/>
      <c r="C767" s="59"/>
      <c r="D767" s="57"/>
      <c r="E767" s="59"/>
      <c r="F767" s="59"/>
    </row>
    <row r="768">
      <c r="A768" s="59"/>
      <c r="B768" s="59"/>
      <c r="C768" s="59"/>
      <c r="D768" s="57"/>
      <c r="E768" s="59"/>
      <c r="F768" s="59"/>
    </row>
    <row r="769">
      <c r="A769" s="59"/>
      <c r="B769" s="59"/>
      <c r="C769" s="59"/>
      <c r="D769" s="57"/>
      <c r="E769" s="59"/>
      <c r="F769" s="59"/>
    </row>
    <row r="770">
      <c r="A770" s="59"/>
      <c r="B770" s="59"/>
      <c r="C770" s="59"/>
      <c r="D770" s="57"/>
      <c r="E770" s="59"/>
      <c r="F770" s="59"/>
    </row>
    <row r="771">
      <c r="A771" s="59"/>
      <c r="B771" s="59"/>
      <c r="C771" s="59"/>
      <c r="D771" s="57"/>
      <c r="E771" s="59"/>
      <c r="F771" s="59"/>
    </row>
    <row r="772">
      <c r="A772" s="59"/>
      <c r="B772" s="59"/>
      <c r="C772" s="59"/>
      <c r="D772" s="57"/>
      <c r="E772" s="59"/>
      <c r="F772" s="59"/>
    </row>
    <row r="773">
      <c r="A773" s="59"/>
      <c r="B773" s="59"/>
      <c r="C773" s="59"/>
      <c r="D773" s="57"/>
      <c r="E773" s="59"/>
      <c r="F773" s="59"/>
    </row>
    <row r="774">
      <c r="A774" s="59"/>
      <c r="B774" s="59"/>
      <c r="C774" s="59"/>
      <c r="D774" s="57"/>
      <c r="E774" s="59"/>
      <c r="F774" s="59"/>
    </row>
    <row r="775">
      <c r="A775" s="59"/>
      <c r="B775" s="59"/>
      <c r="C775" s="59"/>
      <c r="D775" s="57"/>
      <c r="E775" s="59"/>
      <c r="F775" s="59"/>
    </row>
    <row r="776">
      <c r="A776" s="59"/>
      <c r="B776" s="59"/>
      <c r="C776" s="59"/>
      <c r="D776" s="57"/>
      <c r="E776" s="59"/>
      <c r="F776" s="59"/>
    </row>
    <row r="777">
      <c r="A777" s="59"/>
      <c r="B777" s="59"/>
      <c r="C777" s="59"/>
      <c r="D777" s="57"/>
      <c r="E777" s="59"/>
      <c r="F777" s="59"/>
    </row>
    <row r="778">
      <c r="A778" s="59"/>
      <c r="B778" s="59"/>
      <c r="C778" s="59"/>
      <c r="D778" s="57"/>
      <c r="E778" s="59"/>
      <c r="F778" s="59"/>
    </row>
    <row r="779">
      <c r="A779" s="59"/>
      <c r="B779" s="59"/>
      <c r="C779" s="59"/>
      <c r="D779" s="57"/>
      <c r="E779" s="59"/>
      <c r="F779" s="59"/>
    </row>
    <row r="780">
      <c r="A780" s="59"/>
      <c r="B780" s="59"/>
      <c r="C780" s="59"/>
      <c r="D780" s="57"/>
      <c r="E780" s="59"/>
      <c r="F780" s="59"/>
    </row>
    <row r="781">
      <c r="A781" s="59"/>
      <c r="B781" s="59"/>
      <c r="C781" s="59"/>
      <c r="D781" s="57"/>
      <c r="E781" s="59"/>
      <c r="F781" s="59"/>
    </row>
    <row r="782">
      <c r="A782" s="59"/>
      <c r="B782" s="59"/>
      <c r="C782" s="59"/>
      <c r="D782" s="57"/>
      <c r="E782" s="59"/>
      <c r="F782" s="59"/>
    </row>
    <row r="783">
      <c r="A783" s="59"/>
      <c r="B783" s="59"/>
      <c r="C783" s="59"/>
      <c r="D783" s="57"/>
      <c r="E783" s="59"/>
      <c r="F783" s="59"/>
    </row>
    <row r="784">
      <c r="A784" s="59"/>
      <c r="B784" s="59"/>
      <c r="C784" s="59"/>
      <c r="D784" s="57"/>
      <c r="E784" s="59"/>
      <c r="F784" s="59"/>
    </row>
    <row r="785">
      <c r="A785" s="59"/>
      <c r="B785" s="59"/>
      <c r="C785" s="59"/>
      <c r="D785" s="57"/>
      <c r="E785" s="59"/>
      <c r="F785" s="59"/>
    </row>
    <row r="786">
      <c r="A786" s="59"/>
      <c r="B786" s="59"/>
      <c r="C786" s="59"/>
      <c r="D786" s="57"/>
      <c r="E786" s="59"/>
      <c r="F786" s="59"/>
    </row>
    <row r="787">
      <c r="A787" s="59"/>
      <c r="B787" s="59"/>
      <c r="C787" s="59"/>
      <c r="D787" s="57"/>
      <c r="E787" s="59"/>
      <c r="F787" s="59"/>
    </row>
    <row r="788">
      <c r="A788" s="59"/>
      <c r="B788" s="59"/>
      <c r="C788" s="59"/>
      <c r="D788" s="57"/>
      <c r="E788" s="59"/>
      <c r="F788" s="59"/>
    </row>
    <row r="789">
      <c r="A789" s="59"/>
      <c r="B789" s="59"/>
      <c r="C789" s="59"/>
      <c r="D789" s="57"/>
      <c r="E789" s="59"/>
      <c r="F789" s="59"/>
    </row>
    <row r="790">
      <c r="A790" s="59"/>
      <c r="B790" s="59"/>
      <c r="C790" s="59"/>
      <c r="D790" s="57"/>
      <c r="E790" s="59"/>
      <c r="F790" s="59"/>
    </row>
    <row r="791">
      <c r="A791" s="59"/>
      <c r="B791" s="59"/>
      <c r="C791" s="59"/>
      <c r="D791" s="57"/>
      <c r="E791" s="59"/>
      <c r="F791" s="59"/>
    </row>
    <row r="792">
      <c r="A792" s="59"/>
      <c r="B792" s="59"/>
      <c r="C792" s="59"/>
      <c r="D792" s="57"/>
      <c r="E792" s="59"/>
      <c r="F792" s="59"/>
    </row>
    <row r="793">
      <c r="A793" s="59"/>
      <c r="B793" s="59"/>
      <c r="C793" s="59"/>
      <c r="D793" s="57"/>
      <c r="E793" s="59"/>
      <c r="F793" s="59"/>
    </row>
    <row r="794">
      <c r="A794" s="59"/>
      <c r="B794" s="59"/>
      <c r="C794" s="59"/>
      <c r="D794" s="57"/>
      <c r="E794" s="59"/>
      <c r="F794" s="59"/>
    </row>
    <row r="795">
      <c r="A795" s="59"/>
      <c r="B795" s="59"/>
      <c r="C795" s="59"/>
      <c r="D795" s="57"/>
      <c r="E795" s="59"/>
      <c r="F795" s="59"/>
    </row>
    <row r="796">
      <c r="A796" s="59"/>
      <c r="B796" s="59"/>
      <c r="C796" s="59"/>
      <c r="D796" s="57"/>
      <c r="E796" s="59"/>
      <c r="F796" s="59"/>
    </row>
    <row r="797">
      <c r="A797" s="59"/>
      <c r="B797" s="59"/>
      <c r="C797" s="59"/>
      <c r="D797" s="57"/>
      <c r="E797" s="59"/>
      <c r="F797" s="59"/>
    </row>
    <row r="798">
      <c r="A798" s="59"/>
      <c r="B798" s="59"/>
      <c r="C798" s="59"/>
      <c r="D798" s="57"/>
      <c r="E798" s="59"/>
      <c r="F798" s="59"/>
    </row>
    <row r="799">
      <c r="A799" s="59"/>
      <c r="B799" s="59"/>
      <c r="C799" s="59"/>
      <c r="D799" s="57"/>
      <c r="E799" s="59"/>
      <c r="F799" s="59"/>
    </row>
    <row r="800">
      <c r="A800" s="59"/>
      <c r="B800" s="59"/>
      <c r="C800" s="59"/>
      <c r="D800" s="57"/>
      <c r="E800" s="59"/>
      <c r="F800" s="59"/>
    </row>
    <row r="801">
      <c r="A801" s="59"/>
      <c r="B801" s="59"/>
      <c r="C801" s="59"/>
      <c r="D801" s="57"/>
      <c r="E801" s="59"/>
      <c r="F801" s="59"/>
    </row>
    <row r="802">
      <c r="A802" s="59"/>
      <c r="B802" s="59"/>
      <c r="C802" s="59"/>
      <c r="D802" s="57"/>
      <c r="E802" s="59"/>
      <c r="F802" s="59"/>
    </row>
    <row r="803">
      <c r="A803" s="59"/>
      <c r="B803" s="59"/>
      <c r="C803" s="59"/>
      <c r="D803" s="57"/>
      <c r="E803" s="59"/>
      <c r="F803" s="59"/>
    </row>
    <row r="804">
      <c r="A804" s="59"/>
      <c r="B804" s="59"/>
      <c r="C804" s="59"/>
      <c r="D804" s="57"/>
      <c r="E804" s="59"/>
      <c r="F804" s="59"/>
    </row>
    <row r="805">
      <c r="A805" s="59"/>
      <c r="B805" s="59"/>
      <c r="C805" s="59"/>
      <c r="D805" s="57"/>
      <c r="E805" s="59"/>
      <c r="F805" s="59"/>
    </row>
    <row r="806">
      <c r="A806" s="59"/>
      <c r="B806" s="59"/>
      <c r="C806" s="59"/>
      <c r="D806" s="57"/>
      <c r="E806" s="59"/>
      <c r="F806" s="59"/>
    </row>
    <row r="807">
      <c r="A807" s="59"/>
      <c r="B807" s="59"/>
      <c r="C807" s="59"/>
      <c r="D807" s="57"/>
      <c r="E807" s="59"/>
      <c r="F807" s="59"/>
    </row>
    <row r="808">
      <c r="A808" s="59"/>
      <c r="B808" s="59"/>
      <c r="C808" s="59"/>
      <c r="D808" s="57"/>
      <c r="E808" s="59"/>
      <c r="F808" s="59"/>
    </row>
    <row r="809">
      <c r="A809" s="59"/>
      <c r="B809" s="59"/>
      <c r="C809" s="59"/>
      <c r="D809" s="57"/>
      <c r="E809" s="59"/>
      <c r="F809" s="59"/>
    </row>
    <row r="810">
      <c r="A810" s="59"/>
      <c r="B810" s="59"/>
      <c r="C810" s="59"/>
      <c r="D810" s="57"/>
      <c r="E810" s="59"/>
      <c r="F810" s="59"/>
    </row>
    <row r="811">
      <c r="A811" s="59"/>
      <c r="B811" s="59"/>
      <c r="C811" s="59"/>
      <c r="D811" s="57"/>
      <c r="E811" s="59"/>
      <c r="F811" s="59"/>
    </row>
    <row r="812">
      <c r="A812" s="59"/>
      <c r="B812" s="59"/>
      <c r="C812" s="59"/>
      <c r="D812" s="57"/>
      <c r="E812" s="59"/>
      <c r="F812" s="59"/>
    </row>
    <row r="813">
      <c r="A813" s="59"/>
      <c r="B813" s="59"/>
      <c r="C813" s="59"/>
      <c r="D813" s="57"/>
      <c r="E813" s="59"/>
      <c r="F813" s="59"/>
    </row>
    <row r="814">
      <c r="A814" s="59"/>
      <c r="B814" s="59"/>
      <c r="C814" s="59"/>
      <c r="D814" s="57"/>
      <c r="E814" s="59"/>
      <c r="F814" s="59"/>
    </row>
    <row r="815">
      <c r="A815" s="59"/>
      <c r="B815" s="59"/>
      <c r="C815" s="59"/>
      <c r="D815" s="57"/>
      <c r="E815" s="59"/>
      <c r="F815" s="59"/>
    </row>
    <row r="816">
      <c r="A816" s="59"/>
      <c r="B816" s="59"/>
      <c r="C816" s="59"/>
      <c r="D816" s="57"/>
      <c r="E816" s="59"/>
      <c r="F816" s="59"/>
    </row>
    <row r="817">
      <c r="A817" s="59"/>
      <c r="B817" s="59"/>
      <c r="C817" s="59"/>
      <c r="D817" s="57"/>
      <c r="E817" s="59"/>
      <c r="F817" s="59"/>
    </row>
    <row r="818">
      <c r="A818" s="59"/>
      <c r="B818" s="59"/>
      <c r="C818" s="59"/>
      <c r="D818" s="57"/>
      <c r="E818" s="59"/>
      <c r="F818" s="59"/>
    </row>
    <row r="819">
      <c r="A819" s="59"/>
      <c r="B819" s="59"/>
      <c r="C819" s="59"/>
      <c r="D819" s="57"/>
      <c r="E819" s="59"/>
      <c r="F819" s="59"/>
    </row>
    <row r="820">
      <c r="A820" s="59"/>
      <c r="B820" s="59"/>
      <c r="C820" s="59"/>
      <c r="D820" s="57"/>
      <c r="E820" s="59"/>
      <c r="F820" s="59"/>
    </row>
    <row r="821">
      <c r="A821" s="59"/>
      <c r="B821" s="59"/>
      <c r="C821" s="59"/>
      <c r="D821" s="57"/>
      <c r="E821" s="59"/>
      <c r="F821" s="59"/>
    </row>
    <row r="822">
      <c r="A822" s="59"/>
      <c r="B822" s="59"/>
      <c r="C822" s="59"/>
      <c r="D822" s="57"/>
      <c r="E822" s="59"/>
      <c r="F822" s="59"/>
    </row>
    <row r="823">
      <c r="A823" s="59"/>
      <c r="B823" s="59"/>
      <c r="C823" s="59"/>
      <c r="D823" s="57"/>
      <c r="E823" s="59"/>
      <c r="F823" s="59"/>
    </row>
    <row r="824">
      <c r="A824" s="59"/>
      <c r="B824" s="59"/>
      <c r="C824" s="59"/>
      <c r="D824" s="57"/>
      <c r="E824" s="59"/>
      <c r="F824" s="59"/>
    </row>
    <row r="825">
      <c r="A825" s="59"/>
      <c r="B825" s="59"/>
      <c r="C825" s="59"/>
      <c r="D825" s="57"/>
      <c r="E825" s="59"/>
      <c r="F825" s="59"/>
    </row>
    <row r="826">
      <c r="A826" s="59"/>
      <c r="B826" s="59"/>
      <c r="C826" s="59"/>
      <c r="D826" s="57"/>
      <c r="E826" s="59"/>
      <c r="F826" s="59"/>
    </row>
    <row r="827">
      <c r="A827" s="59"/>
      <c r="B827" s="59"/>
      <c r="C827" s="59"/>
      <c r="D827" s="57"/>
      <c r="E827" s="59"/>
      <c r="F827" s="59"/>
    </row>
    <row r="828">
      <c r="A828" s="59"/>
      <c r="B828" s="59"/>
      <c r="C828" s="59"/>
      <c r="D828" s="57"/>
      <c r="E828" s="59"/>
      <c r="F828" s="59"/>
    </row>
    <row r="829">
      <c r="A829" s="59"/>
      <c r="B829" s="59"/>
      <c r="C829" s="59"/>
      <c r="D829" s="57"/>
      <c r="E829" s="59"/>
      <c r="F829" s="59"/>
    </row>
    <row r="830">
      <c r="A830" s="59"/>
      <c r="B830" s="59"/>
      <c r="C830" s="59"/>
      <c r="D830" s="57"/>
      <c r="E830" s="59"/>
      <c r="F830" s="59"/>
    </row>
    <row r="831">
      <c r="A831" s="59"/>
      <c r="B831" s="59"/>
      <c r="C831" s="59"/>
      <c r="D831" s="57"/>
      <c r="E831" s="59"/>
      <c r="F831" s="59"/>
    </row>
    <row r="832">
      <c r="A832" s="59"/>
      <c r="B832" s="59"/>
      <c r="C832" s="59"/>
      <c r="D832" s="57"/>
      <c r="E832" s="59"/>
      <c r="F832" s="59"/>
    </row>
    <row r="833">
      <c r="A833" s="59"/>
      <c r="B833" s="59"/>
      <c r="C833" s="59"/>
      <c r="D833" s="57"/>
      <c r="E833" s="59"/>
      <c r="F833" s="59"/>
    </row>
    <row r="834">
      <c r="A834" s="59"/>
      <c r="B834" s="59"/>
      <c r="C834" s="59"/>
      <c r="D834" s="57"/>
      <c r="E834" s="59"/>
      <c r="F834" s="59"/>
    </row>
    <row r="835">
      <c r="A835" s="59"/>
      <c r="B835" s="59"/>
      <c r="C835" s="59"/>
      <c r="D835" s="57"/>
      <c r="E835" s="59"/>
      <c r="F835" s="59"/>
    </row>
    <row r="836">
      <c r="A836" s="59"/>
      <c r="B836" s="59"/>
      <c r="C836" s="59"/>
      <c r="D836" s="57"/>
      <c r="E836" s="59"/>
      <c r="F836" s="59"/>
    </row>
    <row r="837">
      <c r="A837" s="59"/>
      <c r="B837" s="59"/>
      <c r="C837" s="59"/>
      <c r="D837" s="57"/>
      <c r="E837" s="59"/>
      <c r="F837" s="59"/>
    </row>
    <row r="838">
      <c r="A838" s="59"/>
      <c r="B838" s="59"/>
      <c r="C838" s="59"/>
      <c r="D838" s="57"/>
      <c r="E838" s="59"/>
      <c r="F838" s="59"/>
    </row>
    <row r="839">
      <c r="A839" s="59"/>
      <c r="B839" s="59"/>
      <c r="C839" s="59"/>
      <c r="D839" s="57"/>
      <c r="E839" s="59"/>
      <c r="F839" s="59"/>
    </row>
    <row r="840">
      <c r="A840" s="59"/>
      <c r="B840" s="59"/>
      <c r="C840" s="59"/>
      <c r="D840" s="57"/>
      <c r="E840" s="59"/>
      <c r="F840" s="59"/>
    </row>
    <row r="841">
      <c r="A841" s="59"/>
      <c r="B841" s="59"/>
      <c r="C841" s="59"/>
      <c r="D841" s="57"/>
      <c r="E841" s="59"/>
      <c r="F841" s="59"/>
    </row>
    <row r="842">
      <c r="A842" s="59"/>
      <c r="B842" s="59"/>
      <c r="C842" s="59"/>
      <c r="D842" s="57"/>
      <c r="E842" s="59"/>
      <c r="F842" s="59"/>
    </row>
    <row r="843">
      <c r="A843" s="59"/>
      <c r="B843" s="59"/>
      <c r="C843" s="59"/>
      <c r="D843" s="57"/>
      <c r="E843" s="59"/>
      <c r="F843" s="59"/>
    </row>
    <row r="844">
      <c r="A844" s="59"/>
      <c r="B844" s="59"/>
      <c r="C844" s="59"/>
      <c r="D844" s="57"/>
      <c r="E844" s="59"/>
      <c r="F844" s="59"/>
    </row>
    <row r="845">
      <c r="A845" s="59"/>
      <c r="B845" s="59"/>
      <c r="C845" s="59"/>
      <c r="D845" s="57"/>
      <c r="E845" s="59"/>
      <c r="F845" s="59"/>
    </row>
    <row r="846">
      <c r="A846" s="59"/>
      <c r="B846" s="59"/>
      <c r="C846" s="59"/>
      <c r="D846" s="57"/>
      <c r="E846" s="59"/>
      <c r="F846" s="59"/>
    </row>
    <row r="847">
      <c r="A847" s="59"/>
      <c r="B847" s="59"/>
      <c r="C847" s="59"/>
      <c r="D847" s="57"/>
      <c r="E847" s="59"/>
      <c r="F847" s="59"/>
    </row>
    <row r="848">
      <c r="A848" s="59"/>
      <c r="B848" s="59"/>
      <c r="C848" s="59"/>
      <c r="D848" s="57"/>
      <c r="E848" s="59"/>
      <c r="F848" s="59"/>
    </row>
    <row r="849">
      <c r="A849" s="59"/>
      <c r="B849" s="59"/>
      <c r="C849" s="59"/>
      <c r="D849" s="57"/>
      <c r="E849" s="59"/>
      <c r="F849" s="59"/>
    </row>
    <row r="850">
      <c r="A850" s="59"/>
      <c r="B850" s="59"/>
      <c r="C850" s="59"/>
      <c r="D850" s="57"/>
      <c r="E850" s="59"/>
      <c r="F850" s="59"/>
    </row>
    <row r="851">
      <c r="A851" s="59"/>
      <c r="B851" s="59"/>
      <c r="C851" s="59"/>
      <c r="D851" s="57"/>
      <c r="E851" s="59"/>
      <c r="F851" s="59"/>
    </row>
    <row r="852">
      <c r="A852" s="59"/>
      <c r="B852" s="59"/>
      <c r="C852" s="59"/>
      <c r="D852" s="57"/>
      <c r="E852" s="59"/>
      <c r="F852" s="59"/>
    </row>
    <row r="853">
      <c r="A853" s="59"/>
      <c r="B853" s="59"/>
      <c r="C853" s="59"/>
      <c r="D853" s="57"/>
      <c r="E853" s="59"/>
      <c r="F853" s="59"/>
    </row>
    <row r="854">
      <c r="A854" s="59"/>
      <c r="B854" s="59"/>
      <c r="C854" s="59"/>
      <c r="D854" s="57"/>
      <c r="E854" s="59"/>
      <c r="F854" s="59"/>
    </row>
    <row r="855">
      <c r="A855" s="59"/>
      <c r="B855" s="59"/>
      <c r="C855" s="59"/>
      <c r="D855" s="57"/>
      <c r="E855" s="59"/>
      <c r="F855" s="59"/>
    </row>
    <row r="856">
      <c r="A856" s="59"/>
      <c r="B856" s="59"/>
      <c r="C856" s="59"/>
      <c r="D856" s="57"/>
      <c r="E856" s="59"/>
      <c r="F856" s="59"/>
    </row>
    <row r="857">
      <c r="A857" s="59"/>
      <c r="B857" s="59"/>
      <c r="C857" s="59"/>
      <c r="D857" s="57"/>
      <c r="E857" s="59"/>
      <c r="F857" s="59"/>
    </row>
    <row r="858">
      <c r="A858" s="59"/>
      <c r="B858" s="59"/>
      <c r="C858" s="59"/>
      <c r="D858" s="57"/>
      <c r="E858" s="59"/>
      <c r="F858" s="59"/>
    </row>
    <row r="859">
      <c r="A859" s="59"/>
      <c r="B859" s="59"/>
      <c r="C859" s="59"/>
      <c r="D859" s="57"/>
      <c r="E859" s="59"/>
      <c r="F859" s="59"/>
    </row>
    <row r="860">
      <c r="A860" s="59"/>
      <c r="B860" s="59"/>
      <c r="C860" s="59"/>
      <c r="D860" s="57"/>
      <c r="E860" s="59"/>
      <c r="F860" s="59"/>
    </row>
    <row r="861">
      <c r="A861" s="59"/>
      <c r="B861" s="59"/>
      <c r="C861" s="59"/>
      <c r="D861" s="57"/>
      <c r="E861" s="59"/>
      <c r="F861" s="59"/>
    </row>
    <row r="862">
      <c r="A862" s="59"/>
      <c r="B862" s="59"/>
      <c r="C862" s="59"/>
      <c r="D862" s="57"/>
      <c r="E862" s="59"/>
      <c r="F862" s="59"/>
    </row>
    <row r="863">
      <c r="A863" s="59"/>
      <c r="B863" s="59"/>
      <c r="C863" s="59"/>
      <c r="D863" s="57"/>
      <c r="E863" s="59"/>
      <c r="F863" s="59"/>
    </row>
    <row r="864">
      <c r="A864" s="59"/>
      <c r="B864" s="59"/>
      <c r="C864" s="59"/>
      <c r="D864" s="57"/>
      <c r="E864" s="59"/>
      <c r="F864" s="59"/>
    </row>
    <row r="865">
      <c r="A865" s="59"/>
      <c r="B865" s="59"/>
      <c r="C865" s="59"/>
      <c r="D865" s="57"/>
      <c r="E865" s="59"/>
      <c r="F865" s="59"/>
    </row>
    <row r="866">
      <c r="A866" s="59"/>
      <c r="B866" s="59"/>
      <c r="C866" s="59"/>
      <c r="D866" s="57"/>
      <c r="E866" s="59"/>
      <c r="F866" s="59"/>
    </row>
    <row r="867">
      <c r="A867" s="59"/>
      <c r="B867" s="59"/>
      <c r="C867" s="59"/>
      <c r="D867" s="57"/>
      <c r="E867" s="59"/>
      <c r="F867" s="59"/>
    </row>
    <row r="868">
      <c r="A868" s="59"/>
      <c r="B868" s="59"/>
      <c r="C868" s="59"/>
      <c r="D868" s="57"/>
      <c r="E868" s="59"/>
      <c r="F868" s="59"/>
    </row>
    <row r="869">
      <c r="A869" s="59"/>
      <c r="B869" s="59"/>
      <c r="C869" s="59"/>
      <c r="D869" s="57"/>
      <c r="E869" s="59"/>
      <c r="F869" s="59"/>
    </row>
    <row r="870">
      <c r="A870" s="59"/>
      <c r="B870" s="59"/>
      <c r="C870" s="59"/>
      <c r="D870" s="57"/>
      <c r="E870" s="59"/>
      <c r="F870" s="59"/>
    </row>
    <row r="871">
      <c r="A871" s="59"/>
      <c r="B871" s="59"/>
      <c r="C871" s="59"/>
      <c r="D871" s="57"/>
      <c r="E871" s="59"/>
      <c r="F871" s="59"/>
    </row>
    <row r="872">
      <c r="A872" s="59"/>
      <c r="B872" s="59"/>
      <c r="C872" s="59"/>
      <c r="D872" s="57"/>
      <c r="E872" s="59"/>
      <c r="F872" s="59"/>
    </row>
    <row r="873">
      <c r="A873" s="59"/>
      <c r="B873" s="59"/>
      <c r="C873" s="59"/>
      <c r="D873" s="57"/>
      <c r="E873" s="59"/>
      <c r="F873" s="59"/>
    </row>
    <row r="874">
      <c r="A874" s="59"/>
      <c r="B874" s="59"/>
      <c r="C874" s="59"/>
      <c r="D874" s="57"/>
      <c r="E874" s="59"/>
      <c r="F874" s="59"/>
    </row>
    <row r="875">
      <c r="A875" s="59"/>
      <c r="B875" s="59"/>
      <c r="C875" s="59"/>
      <c r="D875" s="57"/>
      <c r="E875" s="59"/>
      <c r="F875" s="59"/>
    </row>
    <row r="876">
      <c r="A876" s="59"/>
      <c r="B876" s="59"/>
      <c r="C876" s="59"/>
      <c r="D876" s="57"/>
      <c r="E876" s="59"/>
      <c r="F876" s="59"/>
    </row>
    <row r="877">
      <c r="A877" s="59"/>
      <c r="B877" s="59"/>
      <c r="C877" s="59"/>
      <c r="D877" s="57"/>
      <c r="E877" s="59"/>
      <c r="F877" s="59"/>
    </row>
    <row r="878">
      <c r="A878" s="59"/>
      <c r="B878" s="59"/>
      <c r="C878" s="59"/>
      <c r="D878" s="57"/>
      <c r="E878" s="59"/>
      <c r="F878" s="59"/>
    </row>
    <row r="879">
      <c r="A879" s="59"/>
      <c r="B879" s="59"/>
      <c r="C879" s="59"/>
      <c r="D879" s="57"/>
      <c r="E879" s="59"/>
      <c r="F879" s="59"/>
    </row>
    <row r="880">
      <c r="A880" s="59"/>
      <c r="B880" s="59"/>
      <c r="C880" s="59"/>
      <c r="D880" s="57"/>
      <c r="E880" s="59"/>
      <c r="F880" s="59"/>
    </row>
    <row r="881">
      <c r="A881" s="59"/>
      <c r="B881" s="59"/>
      <c r="C881" s="59"/>
      <c r="D881" s="57"/>
      <c r="E881" s="59"/>
      <c r="F881" s="59"/>
    </row>
    <row r="882">
      <c r="A882" s="59"/>
      <c r="B882" s="59"/>
      <c r="C882" s="59"/>
      <c r="D882" s="57"/>
      <c r="E882" s="59"/>
      <c r="F882" s="59"/>
    </row>
    <row r="883">
      <c r="A883" s="59"/>
      <c r="B883" s="59"/>
      <c r="C883" s="59"/>
      <c r="D883" s="57"/>
      <c r="E883" s="59"/>
      <c r="F883" s="59"/>
    </row>
    <row r="884">
      <c r="A884" s="59"/>
      <c r="B884" s="59"/>
      <c r="C884" s="59"/>
      <c r="D884" s="57"/>
      <c r="E884" s="59"/>
      <c r="F884" s="59"/>
    </row>
    <row r="885">
      <c r="A885" s="59"/>
      <c r="B885" s="59"/>
      <c r="C885" s="59"/>
      <c r="D885" s="57"/>
      <c r="E885" s="59"/>
      <c r="F885" s="59"/>
    </row>
    <row r="886">
      <c r="A886" s="59"/>
      <c r="B886" s="59"/>
      <c r="C886" s="59"/>
      <c r="D886" s="57"/>
      <c r="E886" s="59"/>
      <c r="F886" s="59"/>
    </row>
    <row r="887">
      <c r="A887" s="59"/>
      <c r="B887" s="59"/>
      <c r="C887" s="59"/>
      <c r="D887" s="57"/>
      <c r="E887" s="59"/>
      <c r="F887" s="59"/>
    </row>
    <row r="888">
      <c r="A888" s="59"/>
      <c r="B888" s="59"/>
      <c r="C888" s="59"/>
      <c r="D888" s="57"/>
      <c r="E888" s="59"/>
      <c r="F888" s="59"/>
    </row>
    <row r="889">
      <c r="A889" s="59"/>
      <c r="B889" s="59"/>
      <c r="C889" s="59"/>
      <c r="D889" s="57"/>
      <c r="E889" s="59"/>
      <c r="F889" s="59"/>
    </row>
    <row r="890">
      <c r="A890" s="59"/>
      <c r="B890" s="59"/>
      <c r="C890" s="59"/>
      <c r="D890" s="57"/>
      <c r="E890" s="59"/>
      <c r="F890" s="59"/>
    </row>
    <row r="891">
      <c r="A891" s="59"/>
      <c r="B891" s="59"/>
      <c r="C891" s="59"/>
      <c r="D891" s="57"/>
      <c r="E891" s="59"/>
      <c r="F891" s="59"/>
    </row>
    <row r="892">
      <c r="A892" s="59"/>
      <c r="B892" s="59"/>
      <c r="C892" s="59"/>
      <c r="D892" s="57"/>
      <c r="E892" s="59"/>
      <c r="F892" s="59"/>
    </row>
    <row r="893">
      <c r="A893" s="59"/>
      <c r="B893" s="59"/>
      <c r="C893" s="59"/>
      <c r="D893" s="57"/>
      <c r="E893" s="59"/>
      <c r="F893" s="59"/>
    </row>
    <row r="894">
      <c r="A894" s="59"/>
      <c r="B894" s="59"/>
      <c r="C894" s="59"/>
      <c r="D894" s="57"/>
      <c r="E894" s="59"/>
      <c r="F894" s="59"/>
    </row>
    <row r="895">
      <c r="A895" s="59"/>
      <c r="B895" s="59"/>
      <c r="C895" s="59"/>
      <c r="D895" s="57"/>
      <c r="E895" s="59"/>
      <c r="F895" s="59"/>
    </row>
    <row r="896">
      <c r="A896" s="59"/>
      <c r="B896" s="59"/>
      <c r="C896" s="59"/>
      <c r="D896" s="57"/>
      <c r="E896" s="59"/>
      <c r="F896" s="59"/>
    </row>
    <row r="897">
      <c r="A897" s="59"/>
      <c r="B897" s="59"/>
      <c r="C897" s="59"/>
      <c r="D897" s="57"/>
      <c r="E897" s="59"/>
      <c r="F897" s="59"/>
    </row>
    <row r="898">
      <c r="A898" s="59"/>
      <c r="B898" s="59"/>
      <c r="C898" s="59"/>
      <c r="D898" s="57"/>
      <c r="E898" s="59"/>
      <c r="F898" s="59"/>
    </row>
    <row r="899">
      <c r="A899" s="59"/>
      <c r="B899" s="59"/>
      <c r="C899" s="59"/>
      <c r="D899" s="57"/>
      <c r="E899" s="59"/>
      <c r="F899" s="59"/>
    </row>
    <row r="900">
      <c r="A900" s="59"/>
      <c r="B900" s="59"/>
      <c r="C900" s="59"/>
      <c r="D900" s="57"/>
      <c r="E900" s="59"/>
      <c r="F900" s="59"/>
    </row>
    <row r="901">
      <c r="A901" s="59"/>
      <c r="B901" s="59"/>
      <c r="C901" s="59"/>
      <c r="D901" s="57"/>
      <c r="E901" s="59"/>
      <c r="F901" s="59"/>
    </row>
    <row r="902">
      <c r="A902" s="59"/>
      <c r="B902" s="59"/>
      <c r="C902" s="59"/>
      <c r="D902" s="57"/>
      <c r="E902" s="59"/>
      <c r="F902" s="59"/>
    </row>
    <row r="903">
      <c r="A903" s="59"/>
      <c r="B903" s="59"/>
      <c r="C903" s="59"/>
      <c r="D903" s="57"/>
      <c r="E903" s="59"/>
      <c r="F903" s="59"/>
    </row>
    <row r="904">
      <c r="A904" s="59"/>
      <c r="B904" s="59"/>
      <c r="C904" s="59"/>
      <c r="D904" s="57"/>
      <c r="E904" s="59"/>
      <c r="F904" s="59"/>
    </row>
    <row r="905">
      <c r="A905" s="59"/>
      <c r="B905" s="59"/>
      <c r="C905" s="59"/>
      <c r="D905" s="57"/>
      <c r="E905" s="59"/>
      <c r="F905" s="59"/>
    </row>
    <row r="906">
      <c r="A906" s="59"/>
      <c r="B906" s="59"/>
      <c r="C906" s="59"/>
      <c r="D906" s="57"/>
      <c r="E906" s="59"/>
      <c r="F906" s="59"/>
    </row>
    <row r="907">
      <c r="A907" s="59"/>
      <c r="B907" s="59"/>
      <c r="C907" s="59"/>
      <c r="D907" s="57"/>
      <c r="E907" s="59"/>
      <c r="F907" s="59"/>
    </row>
    <row r="908">
      <c r="A908" s="59"/>
      <c r="B908" s="59"/>
      <c r="C908" s="59"/>
      <c r="D908" s="57"/>
      <c r="E908" s="59"/>
      <c r="F908" s="59"/>
    </row>
    <row r="909">
      <c r="A909" s="59"/>
      <c r="B909" s="59"/>
      <c r="C909" s="59"/>
      <c r="D909" s="57"/>
      <c r="E909" s="59"/>
      <c r="F909" s="59"/>
    </row>
    <row r="910">
      <c r="A910" s="59"/>
      <c r="B910" s="59"/>
      <c r="C910" s="59"/>
      <c r="D910" s="57"/>
      <c r="E910" s="59"/>
      <c r="F910" s="59"/>
    </row>
    <row r="911">
      <c r="A911" s="59"/>
      <c r="B911" s="59"/>
      <c r="C911" s="59"/>
      <c r="D911" s="57"/>
      <c r="E911" s="59"/>
      <c r="F911" s="59"/>
    </row>
    <row r="912">
      <c r="A912" s="59"/>
      <c r="B912" s="59"/>
      <c r="C912" s="59"/>
      <c r="D912" s="57"/>
      <c r="E912" s="59"/>
      <c r="F912" s="59"/>
    </row>
    <row r="913">
      <c r="A913" s="59"/>
      <c r="B913" s="59"/>
      <c r="C913" s="59"/>
      <c r="D913" s="57"/>
      <c r="E913" s="59"/>
      <c r="F913" s="59"/>
    </row>
    <row r="914">
      <c r="A914" s="59"/>
      <c r="B914" s="59"/>
      <c r="C914" s="59"/>
      <c r="D914" s="57"/>
      <c r="E914" s="59"/>
      <c r="F914" s="59"/>
    </row>
    <row r="915">
      <c r="A915" s="59"/>
      <c r="B915" s="59"/>
      <c r="C915" s="59"/>
      <c r="D915" s="57"/>
      <c r="E915" s="59"/>
      <c r="F915" s="59"/>
    </row>
    <row r="916">
      <c r="A916" s="59"/>
      <c r="B916" s="59"/>
      <c r="C916" s="59"/>
      <c r="D916" s="57"/>
      <c r="E916" s="59"/>
      <c r="F916" s="59"/>
    </row>
    <row r="917">
      <c r="A917" s="59"/>
      <c r="B917" s="59"/>
      <c r="C917" s="59"/>
      <c r="D917" s="57"/>
      <c r="E917" s="59"/>
      <c r="F917" s="59"/>
    </row>
    <row r="918">
      <c r="A918" s="59"/>
      <c r="B918" s="59"/>
      <c r="C918" s="59"/>
      <c r="D918" s="57"/>
      <c r="E918" s="59"/>
      <c r="F918" s="59"/>
    </row>
    <row r="919">
      <c r="A919" s="59"/>
      <c r="B919" s="59"/>
      <c r="C919" s="59"/>
      <c r="D919" s="57"/>
      <c r="E919" s="59"/>
      <c r="F919" s="59"/>
    </row>
    <row r="920">
      <c r="A920" s="59"/>
      <c r="B920" s="59"/>
      <c r="C920" s="59"/>
      <c r="D920" s="57"/>
      <c r="E920" s="59"/>
      <c r="F920" s="59"/>
    </row>
    <row r="921">
      <c r="A921" s="59"/>
      <c r="B921" s="59"/>
      <c r="C921" s="59"/>
      <c r="D921" s="57"/>
      <c r="E921" s="59"/>
      <c r="F921" s="59"/>
    </row>
    <row r="922">
      <c r="A922" s="59"/>
      <c r="B922" s="59"/>
      <c r="C922" s="59"/>
      <c r="D922" s="57"/>
      <c r="E922" s="59"/>
      <c r="F922" s="59"/>
    </row>
    <row r="923">
      <c r="A923" s="59"/>
      <c r="B923" s="59"/>
      <c r="C923" s="59"/>
      <c r="D923" s="57"/>
      <c r="E923" s="59"/>
      <c r="F923" s="59"/>
    </row>
    <row r="924">
      <c r="A924" s="59"/>
      <c r="B924" s="59"/>
      <c r="C924" s="59"/>
      <c r="D924" s="57"/>
      <c r="E924" s="59"/>
      <c r="F924" s="59"/>
    </row>
    <row r="925">
      <c r="A925" s="59"/>
      <c r="B925" s="59"/>
      <c r="C925" s="59"/>
      <c r="D925" s="57"/>
      <c r="E925" s="59"/>
      <c r="F925" s="59"/>
    </row>
    <row r="926">
      <c r="A926" s="59"/>
      <c r="B926" s="59"/>
      <c r="C926" s="59"/>
      <c r="D926" s="57"/>
      <c r="E926" s="59"/>
      <c r="F926" s="59"/>
    </row>
    <row r="927">
      <c r="A927" s="59"/>
      <c r="B927" s="59"/>
      <c r="C927" s="59"/>
      <c r="D927" s="57"/>
      <c r="E927" s="59"/>
      <c r="F927" s="59"/>
    </row>
    <row r="928">
      <c r="A928" s="59"/>
      <c r="B928" s="59"/>
      <c r="C928" s="59"/>
      <c r="D928" s="57"/>
      <c r="E928" s="59"/>
      <c r="F928" s="59"/>
    </row>
    <row r="929">
      <c r="A929" s="59"/>
      <c r="B929" s="59"/>
      <c r="C929" s="59"/>
      <c r="D929" s="57"/>
      <c r="E929" s="59"/>
      <c r="F929" s="59"/>
    </row>
    <row r="930">
      <c r="A930" s="59"/>
      <c r="B930" s="59"/>
      <c r="C930" s="59"/>
      <c r="D930" s="57"/>
      <c r="E930" s="59"/>
      <c r="F930" s="59"/>
    </row>
    <row r="931">
      <c r="A931" s="59"/>
      <c r="B931" s="59"/>
      <c r="C931" s="59"/>
      <c r="D931" s="57"/>
      <c r="E931" s="59"/>
      <c r="F931" s="59"/>
    </row>
    <row r="932">
      <c r="A932" s="59"/>
      <c r="B932" s="59"/>
      <c r="C932" s="59"/>
      <c r="D932" s="57"/>
      <c r="E932" s="59"/>
      <c r="F932" s="59"/>
    </row>
    <row r="933">
      <c r="A933" s="59"/>
      <c r="B933" s="59"/>
      <c r="C933" s="59"/>
      <c r="D933" s="57"/>
      <c r="E933" s="59"/>
      <c r="F933" s="59"/>
    </row>
    <row r="934">
      <c r="A934" s="59"/>
      <c r="B934" s="59"/>
      <c r="C934" s="59"/>
      <c r="D934" s="57"/>
      <c r="E934" s="59"/>
      <c r="F934" s="59"/>
    </row>
    <row r="935">
      <c r="A935" s="59"/>
      <c r="B935" s="59"/>
      <c r="C935" s="59"/>
      <c r="D935" s="57"/>
      <c r="E935" s="59"/>
      <c r="F935" s="59"/>
    </row>
    <row r="936">
      <c r="A936" s="59"/>
      <c r="B936" s="59"/>
      <c r="C936" s="59"/>
      <c r="D936" s="57"/>
      <c r="E936" s="59"/>
      <c r="F936" s="59"/>
    </row>
    <row r="937">
      <c r="A937" s="59"/>
      <c r="B937" s="59"/>
      <c r="C937" s="59"/>
      <c r="D937" s="57"/>
      <c r="E937" s="59"/>
      <c r="F937" s="59"/>
    </row>
    <row r="938">
      <c r="A938" s="59"/>
      <c r="B938" s="59"/>
      <c r="C938" s="59"/>
      <c r="D938" s="57"/>
      <c r="E938" s="59"/>
      <c r="F938" s="59"/>
    </row>
    <row r="939">
      <c r="A939" s="59"/>
      <c r="B939" s="59"/>
      <c r="C939" s="59"/>
      <c r="D939" s="57"/>
      <c r="E939" s="59"/>
      <c r="F939" s="59"/>
    </row>
    <row r="940">
      <c r="A940" s="59"/>
      <c r="B940" s="59"/>
      <c r="C940" s="59"/>
      <c r="D940" s="57"/>
      <c r="E940" s="59"/>
      <c r="F940" s="59"/>
    </row>
    <row r="941">
      <c r="A941" s="59"/>
      <c r="B941" s="59"/>
      <c r="C941" s="59"/>
      <c r="D941" s="57"/>
      <c r="E941" s="59"/>
      <c r="F941" s="59"/>
    </row>
    <row r="942">
      <c r="A942" s="59"/>
      <c r="B942" s="59"/>
      <c r="C942" s="59"/>
      <c r="D942" s="57"/>
      <c r="E942" s="59"/>
      <c r="F942" s="59"/>
    </row>
    <row r="943">
      <c r="A943" s="59"/>
      <c r="B943" s="59"/>
      <c r="C943" s="59"/>
      <c r="D943" s="57"/>
      <c r="E943" s="59"/>
      <c r="F943" s="59"/>
    </row>
    <row r="944">
      <c r="A944" s="59"/>
      <c r="B944" s="59"/>
      <c r="C944" s="59"/>
      <c r="D944" s="57"/>
      <c r="E944" s="59"/>
      <c r="F944" s="59"/>
    </row>
    <row r="945">
      <c r="A945" s="59"/>
      <c r="B945" s="59"/>
      <c r="C945" s="59"/>
      <c r="D945" s="57"/>
      <c r="E945" s="59"/>
      <c r="F945" s="59"/>
    </row>
    <row r="946">
      <c r="A946" s="59"/>
      <c r="B946" s="59"/>
      <c r="C946" s="59"/>
      <c r="D946" s="57"/>
      <c r="E946" s="59"/>
      <c r="F946" s="59"/>
    </row>
    <row r="947">
      <c r="A947" s="59"/>
      <c r="B947" s="59"/>
      <c r="C947" s="59"/>
      <c r="D947" s="57"/>
      <c r="E947" s="59"/>
      <c r="F947" s="59"/>
    </row>
    <row r="948">
      <c r="A948" s="59"/>
      <c r="B948" s="59"/>
      <c r="C948" s="59"/>
      <c r="D948" s="57"/>
      <c r="E948" s="59"/>
      <c r="F948" s="59"/>
    </row>
    <row r="949">
      <c r="A949" s="59"/>
      <c r="B949" s="59"/>
      <c r="C949" s="59"/>
      <c r="D949" s="57"/>
      <c r="E949" s="59"/>
      <c r="F949" s="59"/>
    </row>
    <row r="950">
      <c r="A950" s="59"/>
      <c r="B950" s="59"/>
      <c r="C950" s="59"/>
      <c r="D950" s="57"/>
      <c r="E950" s="59"/>
      <c r="F950" s="59"/>
    </row>
    <row r="951">
      <c r="A951" s="59"/>
      <c r="B951" s="59"/>
      <c r="C951" s="59"/>
      <c r="D951" s="57"/>
      <c r="E951" s="59"/>
      <c r="F951" s="59"/>
    </row>
    <row r="952">
      <c r="A952" s="59"/>
      <c r="B952" s="59"/>
      <c r="C952" s="59"/>
      <c r="D952" s="57"/>
      <c r="E952" s="59"/>
      <c r="F952" s="59"/>
    </row>
    <row r="953">
      <c r="A953" s="59"/>
      <c r="B953" s="59"/>
      <c r="C953" s="59"/>
      <c r="D953" s="57"/>
      <c r="E953" s="59"/>
      <c r="F953" s="59"/>
    </row>
    <row r="954">
      <c r="A954" s="59"/>
      <c r="B954" s="59"/>
      <c r="C954" s="59"/>
      <c r="D954" s="57"/>
      <c r="E954" s="59"/>
      <c r="F954" s="59"/>
    </row>
    <row r="955">
      <c r="A955" s="59"/>
      <c r="B955" s="59"/>
      <c r="C955" s="59"/>
      <c r="D955" s="57"/>
      <c r="E955" s="59"/>
      <c r="F955" s="59"/>
    </row>
    <row r="956">
      <c r="A956" s="59"/>
      <c r="B956" s="59"/>
      <c r="C956" s="59"/>
      <c r="D956" s="57"/>
      <c r="E956" s="59"/>
      <c r="F956" s="59"/>
    </row>
    <row r="957">
      <c r="A957" s="59"/>
      <c r="B957" s="59"/>
      <c r="C957" s="59"/>
      <c r="D957" s="57"/>
      <c r="E957" s="59"/>
      <c r="F957" s="59"/>
    </row>
    <row r="958">
      <c r="A958" s="59"/>
      <c r="B958" s="59"/>
      <c r="C958" s="59"/>
      <c r="D958" s="57"/>
      <c r="E958" s="59"/>
      <c r="F958" s="59"/>
    </row>
    <row r="959">
      <c r="A959" s="59"/>
      <c r="B959" s="59"/>
      <c r="C959" s="59"/>
      <c r="D959" s="57"/>
      <c r="E959" s="59"/>
      <c r="F959" s="59"/>
    </row>
    <row r="960">
      <c r="A960" s="59"/>
      <c r="B960" s="59"/>
      <c r="C960" s="59"/>
      <c r="D960" s="57"/>
      <c r="E960" s="59"/>
      <c r="F960" s="59"/>
    </row>
    <row r="961">
      <c r="A961" s="59"/>
      <c r="B961" s="59"/>
      <c r="C961" s="59"/>
      <c r="D961" s="57"/>
      <c r="E961" s="59"/>
      <c r="F961" s="59"/>
    </row>
    <row r="962">
      <c r="A962" s="59"/>
      <c r="B962" s="59"/>
      <c r="C962" s="59"/>
      <c r="D962" s="57"/>
      <c r="E962" s="59"/>
      <c r="F962" s="59"/>
    </row>
    <row r="963">
      <c r="A963" s="59"/>
      <c r="B963" s="59"/>
      <c r="C963" s="59"/>
      <c r="D963" s="57"/>
      <c r="E963" s="59"/>
      <c r="F963" s="59"/>
    </row>
    <row r="964">
      <c r="A964" s="59"/>
      <c r="B964" s="59"/>
      <c r="C964" s="59"/>
      <c r="D964" s="57"/>
      <c r="E964" s="59"/>
      <c r="F964" s="59"/>
    </row>
    <row r="965">
      <c r="A965" s="59"/>
      <c r="B965" s="59"/>
      <c r="C965" s="59"/>
      <c r="D965" s="57"/>
      <c r="E965" s="59"/>
      <c r="F965" s="59"/>
    </row>
    <row r="966">
      <c r="A966" s="59"/>
      <c r="B966" s="59"/>
      <c r="C966" s="59"/>
      <c r="D966" s="57"/>
      <c r="E966" s="59"/>
      <c r="F966" s="59"/>
    </row>
    <row r="967">
      <c r="A967" s="59"/>
      <c r="B967" s="59"/>
      <c r="C967" s="59"/>
      <c r="D967" s="57"/>
      <c r="E967" s="59"/>
      <c r="F967" s="59"/>
    </row>
    <row r="968">
      <c r="A968" s="59"/>
      <c r="B968" s="59"/>
      <c r="C968" s="59"/>
      <c r="D968" s="57"/>
      <c r="E968" s="59"/>
      <c r="F968" s="59"/>
    </row>
    <row r="969">
      <c r="A969" s="59"/>
      <c r="B969" s="59"/>
      <c r="C969" s="59"/>
      <c r="D969" s="57"/>
      <c r="E969" s="59"/>
      <c r="F969" s="59"/>
    </row>
    <row r="970">
      <c r="A970" s="59"/>
      <c r="B970" s="59"/>
      <c r="C970" s="59"/>
      <c r="D970" s="57"/>
      <c r="E970" s="59"/>
      <c r="F970" s="59"/>
    </row>
    <row r="971">
      <c r="A971" s="59"/>
      <c r="B971" s="59"/>
      <c r="C971" s="59"/>
      <c r="D971" s="57"/>
      <c r="E971" s="59"/>
      <c r="F971" s="59"/>
    </row>
    <row r="972">
      <c r="A972" s="59"/>
      <c r="B972" s="59"/>
      <c r="C972" s="59"/>
      <c r="D972" s="57"/>
      <c r="E972" s="59"/>
      <c r="F972" s="59"/>
    </row>
    <row r="973">
      <c r="A973" s="59"/>
      <c r="B973" s="59"/>
      <c r="C973" s="59"/>
      <c r="D973" s="57"/>
      <c r="E973" s="59"/>
      <c r="F973" s="59"/>
    </row>
    <row r="974">
      <c r="A974" s="59"/>
      <c r="B974" s="59"/>
      <c r="C974" s="59"/>
      <c r="D974" s="57"/>
      <c r="E974" s="59"/>
      <c r="F974" s="59"/>
    </row>
    <row r="975">
      <c r="A975" s="59"/>
      <c r="B975" s="59"/>
      <c r="C975" s="59"/>
      <c r="D975" s="57"/>
      <c r="E975" s="59"/>
      <c r="F975" s="59"/>
    </row>
    <row r="976">
      <c r="A976" s="59"/>
      <c r="B976" s="59"/>
      <c r="C976" s="59"/>
      <c r="D976" s="57"/>
      <c r="E976" s="59"/>
      <c r="F976" s="59"/>
    </row>
    <row r="977">
      <c r="A977" s="59"/>
      <c r="B977" s="59"/>
      <c r="C977" s="59"/>
      <c r="D977" s="57"/>
      <c r="E977" s="59"/>
      <c r="F977" s="59"/>
    </row>
    <row r="978">
      <c r="A978" s="59"/>
      <c r="B978" s="59"/>
      <c r="C978" s="59"/>
      <c r="D978" s="57"/>
      <c r="E978" s="59"/>
      <c r="F978" s="59"/>
    </row>
    <row r="979">
      <c r="A979" s="59"/>
      <c r="B979" s="59"/>
      <c r="C979" s="59"/>
      <c r="D979" s="57"/>
      <c r="E979" s="59"/>
      <c r="F979" s="59"/>
    </row>
    <row r="980">
      <c r="A980" s="59"/>
      <c r="B980" s="59"/>
      <c r="C980" s="59"/>
      <c r="D980" s="57"/>
      <c r="E980" s="59"/>
      <c r="F980" s="59"/>
    </row>
    <row r="981">
      <c r="A981" s="59"/>
      <c r="B981" s="59"/>
      <c r="C981" s="59"/>
      <c r="D981" s="57"/>
      <c r="E981" s="59"/>
      <c r="F981" s="59"/>
    </row>
    <row r="982">
      <c r="A982" s="59"/>
      <c r="B982" s="59"/>
      <c r="C982" s="59"/>
      <c r="D982" s="57"/>
      <c r="E982" s="59"/>
      <c r="F982" s="59"/>
    </row>
    <row r="983">
      <c r="A983" s="59"/>
      <c r="B983" s="59"/>
      <c r="C983" s="59"/>
      <c r="D983" s="57"/>
      <c r="E983" s="59"/>
      <c r="F983" s="59"/>
    </row>
    <row r="984">
      <c r="A984" s="59"/>
      <c r="B984" s="59"/>
      <c r="C984" s="59"/>
      <c r="D984" s="57"/>
      <c r="E984" s="59"/>
      <c r="F984" s="59"/>
    </row>
    <row r="985">
      <c r="A985" s="59"/>
      <c r="B985" s="59"/>
      <c r="C985" s="59"/>
      <c r="D985" s="57"/>
      <c r="E985" s="59"/>
      <c r="F985" s="59"/>
    </row>
    <row r="986">
      <c r="A986" s="59"/>
      <c r="B986" s="59"/>
      <c r="C986" s="59"/>
      <c r="D986" s="57"/>
      <c r="E986" s="59"/>
      <c r="F986" s="59"/>
    </row>
    <row r="987">
      <c r="A987" s="59"/>
      <c r="B987" s="59"/>
      <c r="C987" s="59"/>
      <c r="D987" s="57"/>
      <c r="E987" s="59"/>
      <c r="F987" s="59"/>
    </row>
    <row r="988">
      <c r="A988" s="59"/>
      <c r="B988" s="59"/>
      <c r="C988" s="59"/>
      <c r="D988" s="57"/>
      <c r="E988" s="59"/>
      <c r="F988" s="59"/>
    </row>
    <row r="989">
      <c r="A989" s="59"/>
      <c r="B989" s="59"/>
      <c r="C989" s="59"/>
      <c r="D989" s="57"/>
      <c r="E989" s="59"/>
      <c r="F989" s="59"/>
    </row>
    <row r="990">
      <c r="A990" s="59"/>
      <c r="B990" s="59"/>
      <c r="C990" s="59"/>
      <c r="D990" s="57"/>
      <c r="E990" s="59"/>
      <c r="F990" s="59"/>
    </row>
    <row r="991">
      <c r="A991" s="59"/>
      <c r="B991" s="59"/>
      <c r="C991" s="59"/>
      <c r="D991" s="57"/>
      <c r="E991" s="59"/>
      <c r="F991" s="59"/>
    </row>
    <row r="992">
      <c r="A992" s="59"/>
      <c r="B992" s="59"/>
      <c r="C992" s="59"/>
      <c r="D992" s="57"/>
      <c r="E992" s="59"/>
      <c r="F992" s="59"/>
    </row>
    <row r="993">
      <c r="A993" s="59"/>
      <c r="B993" s="59"/>
      <c r="C993" s="59"/>
      <c r="D993" s="57"/>
      <c r="E993" s="59"/>
      <c r="F993" s="59"/>
    </row>
    <row r="994">
      <c r="A994" s="59"/>
      <c r="B994" s="59"/>
      <c r="C994" s="59"/>
      <c r="D994" s="57"/>
      <c r="E994" s="59"/>
      <c r="F994" s="59"/>
    </row>
    <row r="995">
      <c r="A995" s="59"/>
      <c r="B995" s="59"/>
      <c r="C995" s="59"/>
      <c r="D995" s="57"/>
      <c r="E995" s="59"/>
      <c r="F995" s="59"/>
    </row>
    <row r="996">
      <c r="A996" s="59"/>
      <c r="B996" s="59"/>
      <c r="C996" s="59"/>
      <c r="D996" s="57"/>
      <c r="E996" s="59"/>
      <c r="F996" s="59"/>
    </row>
    <row r="997">
      <c r="A997" s="59"/>
      <c r="B997" s="59"/>
      <c r="C997" s="59"/>
      <c r="D997" s="57"/>
      <c r="E997" s="59"/>
      <c r="F997" s="59"/>
    </row>
    <row r="998">
      <c r="A998" s="59"/>
      <c r="B998" s="59"/>
      <c r="C998" s="59"/>
      <c r="D998" s="57"/>
      <c r="E998" s="59"/>
      <c r="F998" s="59"/>
    </row>
    <row r="999">
      <c r="A999" s="59"/>
      <c r="B999" s="59"/>
      <c r="C999" s="59"/>
      <c r="D999" s="57"/>
      <c r="E999" s="59"/>
      <c r="F999" s="59"/>
    </row>
    <row r="1000">
      <c r="A1000" s="59"/>
      <c r="B1000" s="59"/>
      <c r="C1000" s="59"/>
      <c r="D1000" s="57"/>
      <c r="E1000" s="59"/>
      <c r="F1000" s="59"/>
    </row>
  </sheetData>
  <hyperlinks>
    <hyperlink r:id="rId1" ref="C2"/>
    <hyperlink r:id="rId2" location="releases-adhs" ref="C3"/>
    <hyperlink r:id="rId3" ref="C5"/>
    <hyperlink r:id="rId4" ref="C6"/>
    <hyperlink r:id="rId5" ref="C15"/>
    <hyperlink r:id="rId6" ref="C17"/>
    <hyperlink r:id="rId7" ref="C18"/>
    <hyperlink r:id="rId8" ref="C19"/>
    <hyperlink r:id="rId9" ref="C20"/>
    <hyperlink r:id="rId10" ref="C21"/>
    <hyperlink r:id="rId11" ref="C22"/>
    <hyperlink r:id="rId12" location="item-1" ref="C23"/>
    <hyperlink r:id="rId13" ref="C25"/>
    <hyperlink r:id="rId14" ref="C26"/>
    <hyperlink r:id="rId15" ref="C27"/>
    <hyperlink r:id="rId16" ref="C29"/>
    <hyperlink r:id="rId17" ref="C30"/>
    <hyperlink r:id="rId18" ref="C31"/>
    <hyperlink r:id="rId19" ref="C36"/>
  </hyperlinks>
  <drawing r:id="rId2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12.25"/>
    <col customWidth="1" min="3" max="3" width="19.63"/>
    <col customWidth="1" min="4" max="4" width="19.13"/>
    <col customWidth="1" min="5" max="5" width="37.63"/>
    <col customWidth="1" min="6" max="6" width="14.63"/>
    <col customWidth="1" min="7" max="7" width="14.13"/>
    <col customWidth="1" min="8" max="8" width="53.0"/>
    <col customWidth="1" min="9" max="9" width="25.0"/>
    <col customWidth="1" min="10" max="10" width="24.0"/>
    <col customWidth="1" min="11" max="11" width="9.5"/>
    <col customWidth="1" min="12" max="12" width="10.63"/>
    <col customWidth="1" min="13" max="13" width="12.75"/>
    <col customWidth="1" min="14" max="14" width="37.63"/>
    <col customWidth="1" min="15" max="15" width="17.63"/>
    <col customWidth="1" min="16" max="16" width="24.13"/>
  </cols>
  <sheetData>
    <row r="1" ht="22.5" customHeight="1">
      <c r="A1" s="16" t="s">
        <v>24</v>
      </c>
      <c r="B1" s="23" t="s">
        <v>32</v>
      </c>
      <c r="C1" s="24" t="s">
        <v>39</v>
      </c>
      <c r="D1" s="26" t="s">
        <v>0</v>
      </c>
      <c r="E1" s="27" t="s">
        <v>46</v>
      </c>
      <c r="F1" s="28" t="s">
        <v>50</v>
      </c>
      <c r="G1" s="30" t="s">
        <v>57</v>
      </c>
      <c r="H1" s="31" t="s">
        <v>60</v>
      </c>
      <c r="I1" s="33" t="s">
        <v>63</v>
      </c>
      <c r="J1" s="16" t="s">
        <v>66</v>
      </c>
      <c r="K1" s="16" t="s">
        <v>68</v>
      </c>
      <c r="L1" s="35" t="s">
        <v>73</v>
      </c>
      <c r="M1" s="36" t="s">
        <v>78</v>
      </c>
      <c r="N1" s="37" t="s">
        <v>13</v>
      </c>
      <c r="O1" s="39" t="s">
        <v>80</v>
      </c>
      <c r="P1" s="37" t="s">
        <v>14</v>
      </c>
      <c r="Q1" s="40" t="s">
        <v>87</v>
      </c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</row>
    <row r="2" ht="22.5" customHeight="1">
      <c r="A2" s="16" t="s">
        <v>97</v>
      </c>
      <c r="C2" s="42">
        <v>43781.0</v>
      </c>
      <c r="D2" s="43" t="s">
        <v>9</v>
      </c>
      <c r="E2" s="44" t="s">
        <v>101</v>
      </c>
      <c r="F2" s="46" t="s">
        <v>109</v>
      </c>
      <c r="G2" s="47" t="s">
        <v>112</v>
      </c>
      <c r="H2" s="48" t="s">
        <v>114</v>
      </c>
      <c r="I2" s="49" t="s">
        <v>116</v>
      </c>
      <c r="K2" s="50" t="s">
        <v>120</v>
      </c>
      <c r="L2" s="51"/>
      <c r="M2" s="52"/>
      <c r="N2" s="53" t="s">
        <v>125</v>
      </c>
      <c r="O2" s="54" t="s">
        <v>126</v>
      </c>
      <c r="P2" s="53" t="str">
        <f>vlookup(N2,Categorizations!A:C,3,FALSE)</f>
        <v>Pesticides</v>
      </c>
      <c r="Q2" s="55">
        <v>1.0</v>
      </c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ht="22.5" customHeight="1">
      <c r="A3" s="16" t="s">
        <v>143</v>
      </c>
      <c r="C3" s="42">
        <v>44988.0</v>
      </c>
      <c r="D3" s="43" t="s">
        <v>9</v>
      </c>
      <c r="E3" s="56" t="s">
        <v>147</v>
      </c>
      <c r="F3" s="46" t="s">
        <v>109</v>
      </c>
      <c r="G3" s="47" t="s">
        <v>155</v>
      </c>
      <c r="H3" s="48" t="s">
        <v>157</v>
      </c>
      <c r="I3" s="49" t="s">
        <v>159</v>
      </c>
      <c r="J3" s="58"/>
      <c r="K3" s="50" t="s">
        <v>120</v>
      </c>
      <c r="L3" s="51"/>
      <c r="M3" s="52"/>
      <c r="N3" s="53" t="s">
        <v>161</v>
      </c>
      <c r="O3" s="60" t="s">
        <v>162</v>
      </c>
      <c r="P3" s="53" t="str">
        <f>vlookup(N3,Categorizations!A:C,3,FALSE)</f>
        <v>Untested</v>
      </c>
      <c r="Q3" s="55">
        <v>1.0</v>
      </c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ht="22.5" customHeight="1">
      <c r="A4" s="16" t="str">
        <f>concatenate(C4,I4)</f>
        <v>44370Harvest Platinum</v>
      </c>
      <c r="C4" s="42">
        <v>44370.0</v>
      </c>
      <c r="D4" s="43" t="s">
        <v>20</v>
      </c>
      <c r="E4" s="44" t="s">
        <v>168</v>
      </c>
      <c r="F4" s="46" t="s">
        <v>177</v>
      </c>
      <c r="G4" s="47" t="s">
        <v>180</v>
      </c>
      <c r="H4" s="65" t="s">
        <v>181</v>
      </c>
      <c r="I4" s="66" t="s">
        <v>182</v>
      </c>
      <c r="J4" s="67"/>
      <c r="K4" s="50" t="s">
        <v>187</v>
      </c>
      <c r="L4" s="51">
        <v>44292.0</v>
      </c>
      <c r="M4" s="52"/>
      <c r="N4" s="53" t="s">
        <v>189</v>
      </c>
      <c r="O4" s="60" t="s">
        <v>162</v>
      </c>
      <c r="P4" s="53" t="str">
        <f>vlookup(N4,Categorizations!A:C,3,FALSE)</f>
        <v>Pesticides</v>
      </c>
      <c r="Q4" s="55">
        <v>1.0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ht="22.5" customHeight="1">
      <c r="A5" s="16" t="s">
        <v>198</v>
      </c>
      <c r="C5" s="42">
        <v>44370.0</v>
      </c>
      <c r="D5" s="72" t="s">
        <v>20</v>
      </c>
      <c r="E5" s="44" t="s">
        <v>168</v>
      </c>
      <c r="F5" s="73" t="s">
        <v>177</v>
      </c>
      <c r="G5" s="47" t="s">
        <v>180</v>
      </c>
      <c r="H5" s="65" t="s">
        <v>203</v>
      </c>
      <c r="I5" s="66" t="s">
        <v>182</v>
      </c>
      <c r="J5" s="67"/>
      <c r="K5" s="50" t="s">
        <v>187</v>
      </c>
      <c r="L5" s="51">
        <v>44292.0</v>
      </c>
      <c r="M5" s="52"/>
      <c r="N5" s="53" t="s">
        <v>210</v>
      </c>
      <c r="O5" s="60" t="s">
        <v>162</v>
      </c>
      <c r="P5" s="53" t="str">
        <f>vlookup(N5,Categorizations!A:C,3,FALSE)</f>
        <v>Yeast and Mold</v>
      </c>
      <c r="Q5" s="55">
        <v>1.0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ht="22.5" customHeight="1">
      <c r="A6" s="16" t="str">
        <f t="shared" ref="A6:A11" si="1">concatenate(C6,I6)</f>
        <v>44370Modern Flower</v>
      </c>
      <c r="C6" s="42">
        <v>44370.0</v>
      </c>
      <c r="D6" s="72" t="s">
        <v>20</v>
      </c>
      <c r="E6" s="44" t="s">
        <v>168</v>
      </c>
      <c r="F6" s="73" t="s">
        <v>177</v>
      </c>
      <c r="G6" s="47" t="s">
        <v>180</v>
      </c>
      <c r="H6" s="65" t="s">
        <v>259</v>
      </c>
      <c r="I6" s="66" t="s">
        <v>261</v>
      </c>
      <c r="J6" s="67"/>
      <c r="K6" s="50" t="s">
        <v>187</v>
      </c>
      <c r="L6" s="51">
        <v>44307.0</v>
      </c>
      <c r="M6" s="52"/>
      <c r="N6" s="53" t="s">
        <v>273</v>
      </c>
      <c r="O6" s="60" t="s">
        <v>162</v>
      </c>
      <c r="P6" s="53" t="str">
        <f>vlookup(N6,Categorizations!A:C,3,FALSE)</f>
        <v>Multiple</v>
      </c>
      <c r="Q6" s="55">
        <v>1.0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ht="22.5" customHeight="1">
      <c r="A7" s="16" t="str">
        <f t="shared" si="1"/>
        <v>44370Sol Flower</v>
      </c>
      <c r="C7" s="42">
        <v>44370.0</v>
      </c>
      <c r="D7" s="72" t="s">
        <v>20</v>
      </c>
      <c r="E7" s="44" t="s">
        <v>168</v>
      </c>
      <c r="F7" s="73" t="s">
        <v>177</v>
      </c>
      <c r="G7" s="47" t="s">
        <v>180</v>
      </c>
      <c r="H7" s="65" t="s">
        <v>286</v>
      </c>
      <c r="I7" s="66" t="s">
        <v>287</v>
      </c>
      <c r="J7" s="67"/>
      <c r="K7" s="50" t="s">
        <v>187</v>
      </c>
      <c r="L7" s="51">
        <v>44217.0</v>
      </c>
      <c r="M7" s="52"/>
      <c r="N7" s="53" t="s">
        <v>273</v>
      </c>
      <c r="O7" s="60" t="s">
        <v>162</v>
      </c>
      <c r="P7" s="53" t="str">
        <f>vlookup(N7,Categorizations!A:C,3,FALSE)</f>
        <v>Multiple</v>
      </c>
      <c r="Q7" s="55">
        <v>1.0</v>
      </c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ht="22.5" customHeight="1">
      <c r="A8" s="16" t="str">
        <f t="shared" si="1"/>
        <v>44370EHF</v>
      </c>
      <c r="C8" s="42">
        <v>44370.0</v>
      </c>
      <c r="D8" s="72" t="s">
        <v>20</v>
      </c>
      <c r="E8" s="44" t="s">
        <v>168</v>
      </c>
      <c r="F8" s="73" t="s">
        <v>177</v>
      </c>
      <c r="G8" s="47" t="s">
        <v>180</v>
      </c>
      <c r="H8" s="65" t="s">
        <v>300</v>
      </c>
      <c r="I8" s="66" t="s">
        <v>302</v>
      </c>
      <c r="J8" s="67"/>
      <c r="K8" s="50" t="s">
        <v>187</v>
      </c>
      <c r="L8" s="51">
        <v>44263.0</v>
      </c>
      <c r="M8" s="52"/>
      <c r="N8" s="53" t="s">
        <v>189</v>
      </c>
      <c r="O8" s="60" t="s">
        <v>162</v>
      </c>
      <c r="P8" s="53" t="str">
        <f>vlookup(N8,Categorizations!A:C,3,FALSE)</f>
        <v>Pesticides</v>
      </c>
      <c r="Q8" s="55">
        <v>1.0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ht="22.5" customHeight="1">
      <c r="A9" s="16" t="str">
        <f t="shared" si="1"/>
        <v>44370Mohave</v>
      </c>
      <c r="C9" s="42">
        <v>44370.0</v>
      </c>
      <c r="D9" s="72" t="s">
        <v>20</v>
      </c>
      <c r="E9" s="44" t="s">
        <v>168</v>
      </c>
      <c r="F9" s="73" t="s">
        <v>177</v>
      </c>
      <c r="G9" s="47" t="s">
        <v>321</v>
      </c>
      <c r="H9" s="65" t="s">
        <v>324</v>
      </c>
      <c r="I9" s="66" t="s">
        <v>327</v>
      </c>
      <c r="J9" s="67"/>
      <c r="K9" s="50" t="s">
        <v>120</v>
      </c>
      <c r="L9" s="90"/>
      <c r="M9" s="52"/>
      <c r="N9" s="53" t="s">
        <v>189</v>
      </c>
      <c r="O9" s="60" t="s">
        <v>162</v>
      </c>
      <c r="P9" s="53" t="str">
        <f>vlookup(N9,Categorizations!A:C,3,FALSE)</f>
        <v>Pesticides</v>
      </c>
      <c r="Q9" s="55">
        <v>1.0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ht="22.5" customHeight="1">
      <c r="A10" s="16" t="str">
        <f t="shared" si="1"/>
        <v>44370Tru Infusion</v>
      </c>
      <c r="C10" s="42">
        <v>44370.0</v>
      </c>
      <c r="D10" s="72" t="s">
        <v>20</v>
      </c>
      <c r="E10" s="44" t="s">
        <v>168</v>
      </c>
      <c r="F10" s="73" t="s">
        <v>177</v>
      </c>
      <c r="G10" s="47" t="s">
        <v>180</v>
      </c>
      <c r="H10" s="65" t="s">
        <v>349</v>
      </c>
      <c r="I10" s="66" t="s">
        <v>351</v>
      </c>
      <c r="J10" s="67"/>
      <c r="K10" s="50" t="s">
        <v>187</v>
      </c>
      <c r="L10" s="51">
        <v>44281.0</v>
      </c>
      <c r="M10" s="52"/>
      <c r="N10" s="53" t="s">
        <v>273</v>
      </c>
      <c r="O10" s="60" t="s">
        <v>162</v>
      </c>
      <c r="P10" s="53" t="str">
        <f>vlookup(N10,Categorizations!A:C,3,FALSE)</f>
        <v>Multiple</v>
      </c>
      <c r="Q10" s="55">
        <v>1.0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ht="22.5" customHeight="1">
      <c r="A11" s="16" t="str">
        <f t="shared" si="1"/>
        <v>44370Pharm Chemistry</v>
      </c>
      <c r="C11" s="42">
        <v>44370.0</v>
      </c>
      <c r="D11" s="72" t="s">
        <v>20</v>
      </c>
      <c r="E11" s="44" t="s">
        <v>168</v>
      </c>
      <c r="F11" s="73" t="s">
        <v>177</v>
      </c>
      <c r="G11" s="47" t="s">
        <v>375</v>
      </c>
      <c r="H11" s="65" t="s">
        <v>377</v>
      </c>
      <c r="I11" s="66" t="s">
        <v>378</v>
      </c>
      <c r="J11" s="67"/>
      <c r="K11" s="50" t="s">
        <v>120</v>
      </c>
      <c r="L11" s="90"/>
      <c r="M11" s="52"/>
      <c r="N11" s="53" t="s">
        <v>273</v>
      </c>
      <c r="O11" s="60" t="s">
        <v>162</v>
      </c>
      <c r="P11" s="53" t="str">
        <f>vlookup(N11,Categorizations!A:C,3,FALSE)</f>
        <v>Multiple</v>
      </c>
      <c r="Q11" s="55">
        <v>1.0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ht="22.5" customHeight="1">
      <c r="A12" s="16" t="s">
        <v>394</v>
      </c>
      <c r="C12" s="42">
        <v>44511.0</v>
      </c>
      <c r="D12" s="43" t="s">
        <v>20</v>
      </c>
      <c r="E12" s="44" t="s">
        <v>398</v>
      </c>
      <c r="F12" s="46" t="s">
        <v>177</v>
      </c>
      <c r="G12" s="47" t="s">
        <v>180</v>
      </c>
      <c r="H12" s="95" t="s">
        <v>403</v>
      </c>
      <c r="I12" s="66" t="s">
        <v>403</v>
      </c>
      <c r="J12" s="67"/>
      <c r="K12" s="50" t="s">
        <v>120</v>
      </c>
      <c r="L12" s="96"/>
      <c r="M12" s="96"/>
      <c r="N12" s="53" t="s">
        <v>189</v>
      </c>
      <c r="O12" s="60" t="s">
        <v>162</v>
      </c>
      <c r="P12" s="53" t="str">
        <f>vlookup(N12,Categorizations!A:C,3,FALSE)</f>
        <v>Pesticides</v>
      </c>
      <c r="Q12" s="55">
        <v>1.0</v>
      </c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ht="22.5" customHeight="1">
      <c r="A13" s="16" t="s">
        <v>418</v>
      </c>
      <c r="C13" s="42">
        <v>44511.0</v>
      </c>
      <c r="D13" s="72" t="s">
        <v>20</v>
      </c>
      <c r="E13" s="44" t="s">
        <v>398</v>
      </c>
      <c r="F13" s="73" t="s">
        <v>177</v>
      </c>
      <c r="G13" s="47" t="s">
        <v>423</v>
      </c>
      <c r="H13" s="65" t="s">
        <v>424</v>
      </c>
      <c r="I13" s="97" t="s">
        <v>424</v>
      </c>
      <c r="J13" s="67"/>
      <c r="K13" s="50" t="s">
        <v>120</v>
      </c>
      <c r="L13" s="90"/>
      <c r="M13" s="90"/>
      <c r="N13" s="53" t="s">
        <v>273</v>
      </c>
      <c r="O13" s="60" t="s">
        <v>162</v>
      </c>
      <c r="P13" s="53" t="str">
        <f>vlookup(N13,Categorizations!A:C,3,FALSE)</f>
        <v>Multiple</v>
      </c>
      <c r="Q13" s="55">
        <v>1.0</v>
      </c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ht="22.5" customHeight="1">
      <c r="A14" s="16" t="s">
        <v>436</v>
      </c>
      <c r="C14" s="42">
        <v>44875.0</v>
      </c>
      <c r="D14" s="43" t="s">
        <v>20</v>
      </c>
      <c r="E14" s="44" t="s">
        <v>437</v>
      </c>
      <c r="F14" s="46" t="s">
        <v>177</v>
      </c>
      <c r="G14" s="47" t="s">
        <v>180</v>
      </c>
      <c r="H14" s="65" t="s">
        <v>441</v>
      </c>
      <c r="I14" s="97" t="s">
        <v>442</v>
      </c>
      <c r="J14" s="67"/>
      <c r="K14" s="50" t="s">
        <v>120</v>
      </c>
      <c r="L14" s="90"/>
      <c r="M14" s="90"/>
      <c r="N14" s="53" t="s">
        <v>273</v>
      </c>
      <c r="O14" s="60" t="s">
        <v>162</v>
      </c>
      <c r="P14" s="53" t="str">
        <f>vlookup(N14,Categorizations!A:C,3,FALSE)</f>
        <v>Multiple</v>
      </c>
      <c r="Q14" s="55">
        <v>1.0</v>
      </c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ht="22.5" customHeight="1">
      <c r="A15" s="16" t="s">
        <v>453</v>
      </c>
      <c r="C15" s="42">
        <v>44875.0</v>
      </c>
      <c r="D15" s="72" t="s">
        <v>20</v>
      </c>
      <c r="E15" s="44" t="s">
        <v>437</v>
      </c>
      <c r="F15" s="73" t="s">
        <v>177</v>
      </c>
      <c r="G15" s="47" t="s">
        <v>180</v>
      </c>
      <c r="H15" s="65" t="s">
        <v>457</v>
      </c>
      <c r="I15" s="97" t="s">
        <v>442</v>
      </c>
      <c r="J15" s="67"/>
      <c r="K15" s="50" t="s">
        <v>120</v>
      </c>
      <c r="L15" s="90"/>
      <c r="M15" s="90"/>
      <c r="N15" s="53" t="s">
        <v>273</v>
      </c>
      <c r="O15" s="60" t="s">
        <v>162</v>
      </c>
      <c r="P15" s="53" t="str">
        <f>vlookup(N15,Categorizations!A:C,3,FALSE)</f>
        <v>Multiple</v>
      </c>
      <c r="Q15" s="55">
        <v>1.0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ht="22.5" customHeight="1">
      <c r="A16" s="16" t="s">
        <v>465</v>
      </c>
      <c r="C16" s="42">
        <v>44875.0</v>
      </c>
      <c r="D16" s="72" t="s">
        <v>20</v>
      </c>
      <c r="E16" s="44" t="s">
        <v>437</v>
      </c>
      <c r="F16" s="73" t="s">
        <v>177</v>
      </c>
      <c r="G16" s="47" t="s">
        <v>180</v>
      </c>
      <c r="H16" s="65" t="s">
        <v>470</v>
      </c>
      <c r="I16" s="97" t="s">
        <v>442</v>
      </c>
      <c r="J16" s="67"/>
      <c r="K16" s="50" t="s">
        <v>120</v>
      </c>
      <c r="L16" s="90"/>
      <c r="M16" s="90"/>
      <c r="N16" s="53" t="s">
        <v>273</v>
      </c>
      <c r="O16" s="60" t="s">
        <v>162</v>
      </c>
      <c r="P16" s="53" t="str">
        <f>vlookup(N16,Categorizations!A:C,3,FALSE)</f>
        <v>Multiple</v>
      </c>
      <c r="Q16" s="55">
        <v>1.0</v>
      </c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ht="22.5" customHeight="1">
      <c r="A17" s="16" t="s">
        <v>478</v>
      </c>
      <c r="C17" s="42">
        <v>44875.0</v>
      </c>
      <c r="D17" s="72" t="s">
        <v>20</v>
      </c>
      <c r="E17" s="44" t="s">
        <v>437</v>
      </c>
      <c r="F17" s="73" t="s">
        <v>177</v>
      </c>
      <c r="G17" s="47" t="s">
        <v>180</v>
      </c>
      <c r="H17" s="65" t="s">
        <v>483</v>
      </c>
      <c r="I17" s="97" t="s">
        <v>442</v>
      </c>
      <c r="J17" s="67"/>
      <c r="K17" s="50" t="s">
        <v>120</v>
      </c>
      <c r="L17" s="90"/>
      <c r="M17" s="90"/>
      <c r="N17" s="53" t="s">
        <v>273</v>
      </c>
      <c r="O17" s="60" t="s">
        <v>162</v>
      </c>
      <c r="P17" s="53" t="str">
        <f>vlookup(N17,Categorizations!A:C,3,FALSE)</f>
        <v>Multiple</v>
      </c>
      <c r="Q17" s="55">
        <v>1.0</v>
      </c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ht="22.5" customHeight="1">
      <c r="A18" s="16" t="s">
        <v>495</v>
      </c>
      <c r="C18" s="42">
        <v>44875.0</v>
      </c>
      <c r="D18" s="72" t="s">
        <v>20</v>
      </c>
      <c r="E18" s="44" t="s">
        <v>437</v>
      </c>
      <c r="F18" s="73" t="s">
        <v>177</v>
      </c>
      <c r="G18" s="47" t="s">
        <v>180</v>
      </c>
      <c r="H18" s="65" t="s">
        <v>500</v>
      </c>
      <c r="I18" s="97" t="s">
        <v>442</v>
      </c>
      <c r="J18" s="67"/>
      <c r="K18" s="50" t="s">
        <v>120</v>
      </c>
      <c r="L18" s="90"/>
      <c r="M18" s="90"/>
      <c r="N18" s="53" t="s">
        <v>273</v>
      </c>
      <c r="O18" s="60" t="s">
        <v>162</v>
      </c>
      <c r="P18" s="53" t="str">
        <f>vlookup(N18,Categorizations!A:C,3,FALSE)</f>
        <v>Multiple</v>
      </c>
      <c r="Q18" s="55">
        <v>1.0</v>
      </c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ht="22.5" customHeight="1">
      <c r="A19" s="16" t="s">
        <v>512</v>
      </c>
      <c r="C19" s="42">
        <v>44875.0</v>
      </c>
      <c r="D19" s="72" t="s">
        <v>20</v>
      </c>
      <c r="E19" s="102" t="s">
        <v>517</v>
      </c>
      <c r="F19" s="73" t="s">
        <v>177</v>
      </c>
      <c r="G19" s="47" t="s">
        <v>180</v>
      </c>
      <c r="H19" s="65" t="s">
        <v>483</v>
      </c>
      <c r="I19" s="97" t="s">
        <v>442</v>
      </c>
      <c r="J19" s="67"/>
      <c r="K19" s="50" t="s">
        <v>120</v>
      </c>
      <c r="L19" s="90"/>
      <c r="M19" s="90"/>
      <c r="N19" s="53" t="s">
        <v>273</v>
      </c>
      <c r="O19" s="60" t="s">
        <v>162</v>
      </c>
      <c r="P19" s="53" t="str">
        <f>vlookup(N19,Categorizations!A:C,3,FALSE)</f>
        <v>Multiple</v>
      </c>
      <c r="Q19" s="55">
        <v>1.0</v>
      </c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ht="22.5" customHeight="1">
      <c r="A20" s="16" t="str">
        <f t="shared" ref="A20:A23" si="2">concatenate(C20,D20,I20)</f>
        <v>45006ArizonaSource One Meds</v>
      </c>
      <c r="C20" s="42">
        <v>45006.0</v>
      </c>
      <c r="D20" s="43" t="s">
        <v>20</v>
      </c>
      <c r="E20" s="56" t="s">
        <v>532</v>
      </c>
      <c r="F20" s="46" t="s">
        <v>177</v>
      </c>
      <c r="G20" s="47" t="s">
        <v>180</v>
      </c>
      <c r="H20" s="106" t="s">
        <v>538</v>
      </c>
      <c r="I20" s="97" t="s">
        <v>539</v>
      </c>
      <c r="J20" s="67"/>
      <c r="K20" s="50" t="s">
        <v>120</v>
      </c>
      <c r="L20" s="108"/>
      <c r="M20" s="108"/>
      <c r="N20" s="53" t="s">
        <v>210</v>
      </c>
      <c r="O20" s="60" t="s">
        <v>162</v>
      </c>
      <c r="P20" s="53" t="str">
        <f>vlookup(N20,Categorizations!A:C,3,FALSE)</f>
        <v>Yeast and Mold</v>
      </c>
      <c r="Q20" s="55">
        <v>1.0</v>
      </c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ht="22.5" customHeight="1">
      <c r="A21" s="16" t="str">
        <f t="shared" si="2"/>
        <v>45006ArizonaNature’s Wonder</v>
      </c>
      <c r="C21" s="42">
        <v>45006.0</v>
      </c>
      <c r="D21" s="72" t="s">
        <v>20</v>
      </c>
      <c r="E21" s="44" t="s">
        <v>547</v>
      </c>
      <c r="F21" s="73" t="s">
        <v>177</v>
      </c>
      <c r="G21" s="47" t="s">
        <v>180</v>
      </c>
      <c r="H21" s="65" t="s">
        <v>548</v>
      </c>
      <c r="I21" s="97" t="s">
        <v>549</v>
      </c>
      <c r="J21" s="67"/>
      <c r="K21" s="50" t="s">
        <v>120</v>
      </c>
      <c r="L21" s="90"/>
      <c r="M21" s="90"/>
      <c r="N21" s="53" t="s">
        <v>210</v>
      </c>
      <c r="O21" s="60" t="s">
        <v>162</v>
      </c>
      <c r="P21" s="53" t="str">
        <f>vlookup(N21,Categorizations!A:C,3,FALSE)</f>
        <v>Yeast and Mold</v>
      </c>
      <c r="Q21" s="55">
        <v>1.0</v>
      </c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</row>
    <row r="22" ht="22.5" customHeight="1">
      <c r="A22" s="16" t="str">
        <f t="shared" si="2"/>
        <v>45006ArizonaPotent Planet</v>
      </c>
      <c r="C22" s="42">
        <v>45006.0</v>
      </c>
      <c r="D22" s="72" t="s">
        <v>20</v>
      </c>
      <c r="E22" s="44" t="s">
        <v>547</v>
      </c>
      <c r="F22" s="73" t="s">
        <v>177</v>
      </c>
      <c r="G22" s="47" t="s">
        <v>180</v>
      </c>
      <c r="H22" s="65" t="s">
        <v>562</v>
      </c>
      <c r="I22" s="97" t="s">
        <v>563</v>
      </c>
      <c r="J22" s="67"/>
      <c r="K22" s="50" t="s">
        <v>120</v>
      </c>
      <c r="L22" s="90"/>
      <c r="M22" s="90"/>
      <c r="N22" s="53" t="s">
        <v>210</v>
      </c>
      <c r="O22" s="60" t="s">
        <v>162</v>
      </c>
      <c r="P22" s="53" t="str">
        <f>vlookup(N22,Categorizations!A:C,3,FALSE)</f>
        <v>Yeast and Mold</v>
      </c>
      <c r="Q22" s="55">
        <v>1.0</v>
      </c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ht="22.5" customHeight="1">
      <c r="A23" s="16" t="str">
        <f t="shared" si="2"/>
        <v>45006ArizonaDeep Root pHarm</v>
      </c>
      <c r="C23" s="42">
        <v>45006.0</v>
      </c>
      <c r="D23" s="72" t="s">
        <v>20</v>
      </c>
      <c r="E23" s="44" t="s">
        <v>547</v>
      </c>
      <c r="F23" s="73" t="s">
        <v>177</v>
      </c>
      <c r="G23" s="47" t="s">
        <v>180</v>
      </c>
      <c r="H23" s="65" t="s">
        <v>580</v>
      </c>
      <c r="I23" s="97" t="s">
        <v>583</v>
      </c>
      <c r="J23" s="67"/>
      <c r="K23" s="50" t="s">
        <v>120</v>
      </c>
      <c r="L23" s="90"/>
      <c r="M23" s="90"/>
      <c r="N23" s="53" t="s">
        <v>210</v>
      </c>
      <c r="O23" s="60" t="s">
        <v>162</v>
      </c>
      <c r="P23" s="53" t="str">
        <f>vlookup(N23,Categorizations!A:C,3,FALSE)</f>
        <v>Yeast and Mold</v>
      </c>
      <c r="Q23" s="55">
        <v>1.0</v>
      </c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ht="22.5" customHeight="1">
      <c r="A24" s="16" t="str">
        <f>concatenate(C24,D24,I24,2)</f>
        <v>45006ArizonaDeep Root pHarm2</v>
      </c>
      <c r="C24" s="42">
        <v>45006.0</v>
      </c>
      <c r="D24" s="72" t="s">
        <v>20</v>
      </c>
      <c r="E24" s="44" t="s">
        <v>547</v>
      </c>
      <c r="F24" s="73" t="s">
        <v>177</v>
      </c>
      <c r="G24" s="47" t="s">
        <v>180</v>
      </c>
      <c r="H24" s="65" t="s">
        <v>601</v>
      </c>
      <c r="I24" s="97" t="s">
        <v>583</v>
      </c>
      <c r="J24" s="67"/>
      <c r="K24" s="50" t="s">
        <v>120</v>
      </c>
      <c r="L24" s="90"/>
      <c r="M24" s="90"/>
      <c r="N24" s="53" t="s">
        <v>210</v>
      </c>
      <c r="O24" s="60" t="s">
        <v>162</v>
      </c>
      <c r="P24" s="53" t="str">
        <f>vlookup(N24,Categorizations!A:C,3,FALSE)</f>
        <v>Yeast and Mold</v>
      </c>
      <c r="Q24" s="55">
        <v>1.0</v>
      </c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ht="22.5" customHeight="1">
      <c r="A25" s="16" t="s">
        <v>608</v>
      </c>
      <c r="C25" s="42">
        <v>45079.0</v>
      </c>
      <c r="D25" s="72" t="s">
        <v>20</v>
      </c>
      <c r="E25" s="56" t="s">
        <v>609</v>
      </c>
      <c r="F25" s="73" t="s">
        <v>177</v>
      </c>
      <c r="G25" s="47" t="s">
        <v>180</v>
      </c>
      <c r="H25" s="65" t="s">
        <v>612</v>
      </c>
      <c r="I25" s="97" t="s">
        <v>613</v>
      </c>
      <c r="J25" s="67"/>
      <c r="K25" s="50" t="s">
        <v>120</v>
      </c>
      <c r="L25" s="90"/>
      <c r="M25" s="90"/>
      <c r="N25" s="53" t="s">
        <v>210</v>
      </c>
      <c r="O25" s="109" t="s">
        <v>126</v>
      </c>
      <c r="P25" s="53" t="str">
        <f>vlookup(N25,Categorizations!A:C,3,FALSE)</f>
        <v>Yeast and Mold</v>
      </c>
      <c r="Q25" s="55">
        <v>1.0</v>
      </c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ht="22.5" customHeight="1">
      <c r="A26" s="16" t="s">
        <v>621</v>
      </c>
      <c r="C26" s="42">
        <v>45079.0</v>
      </c>
      <c r="D26" s="72" t="s">
        <v>20</v>
      </c>
      <c r="E26" s="110" t="s">
        <v>609</v>
      </c>
      <c r="F26" s="111" t="s">
        <v>177</v>
      </c>
      <c r="G26" s="47" t="s">
        <v>180</v>
      </c>
      <c r="H26" s="65" t="s">
        <v>622</v>
      </c>
      <c r="I26" s="97" t="s">
        <v>613</v>
      </c>
      <c r="J26" s="95"/>
      <c r="K26" s="50" t="s">
        <v>120</v>
      </c>
      <c r="L26" s="90"/>
      <c r="M26" s="90"/>
      <c r="N26" s="53" t="s">
        <v>210</v>
      </c>
      <c r="O26" s="109" t="s">
        <v>126</v>
      </c>
      <c r="P26" s="53" t="str">
        <f>vlookup(N26,Categorizations!A:C,3,FALSE)</f>
        <v>Yeast and Mold</v>
      </c>
      <c r="Q26" s="55">
        <v>1.0</v>
      </c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ht="22.5" customHeight="1">
      <c r="A27" s="16" t="str">
        <f t="shared" ref="A27:A34" si="3">concatenate(C27,D27,I27)</f>
        <v>45131ArizonaGrow Sciences</v>
      </c>
      <c r="C27" s="42">
        <v>45131.0</v>
      </c>
      <c r="D27" s="72" t="s">
        <v>20</v>
      </c>
      <c r="E27" s="110" t="s">
        <v>633</v>
      </c>
      <c r="F27" s="111" t="s">
        <v>177</v>
      </c>
      <c r="G27" s="47" t="s">
        <v>180</v>
      </c>
      <c r="H27" s="65" t="s">
        <v>634</v>
      </c>
      <c r="I27" s="97" t="s">
        <v>635</v>
      </c>
      <c r="J27" s="95" t="s">
        <v>636</v>
      </c>
      <c r="K27" s="50" t="s">
        <v>120</v>
      </c>
      <c r="L27" s="90"/>
      <c r="M27" s="90"/>
      <c r="N27" s="53" t="s">
        <v>210</v>
      </c>
      <c r="O27" s="109" t="s">
        <v>126</v>
      </c>
      <c r="P27" s="53" t="str">
        <f>vlookup(N27,Categorizations!A:C,3,FALSE)</f>
        <v>Yeast and Mold</v>
      </c>
      <c r="Q27" s="55">
        <v>1.0</v>
      </c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ht="22.5" customHeight="1">
      <c r="A28" s="16" t="str">
        <f t="shared" si="3"/>
        <v>45131ArizonaGrow Sciences</v>
      </c>
      <c r="C28" s="42">
        <v>45131.0</v>
      </c>
      <c r="D28" s="72" t="s">
        <v>20</v>
      </c>
      <c r="E28" s="110" t="s">
        <v>633</v>
      </c>
      <c r="F28" s="111" t="s">
        <v>177</v>
      </c>
      <c r="G28" s="47" t="s">
        <v>180</v>
      </c>
      <c r="H28" s="65" t="s">
        <v>648</v>
      </c>
      <c r="I28" s="97" t="s">
        <v>635</v>
      </c>
      <c r="J28" s="95" t="s">
        <v>636</v>
      </c>
      <c r="K28" s="50" t="s">
        <v>120</v>
      </c>
      <c r="L28" s="90"/>
      <c r="M28" s="90"/>
      <c r="N28" s="53" t="s">
        <v>210</v>
      </c>
      <c r="O28" s="109" t="s">
        <v>126</v>
      </c>
      <c r="P28" s="53" t="str">
        <f>vlookup(N28,Categorizations!A:C,3,FALSE)</f>
        <v>Yeast and Mold</v>
      </c>
      <c r="Q28" s="55">
        <v>1.0</v>
      </c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ht="22.5" customHeight="1">
      <c r="A29" s="16" t="str">
        <f t="shared" si="3"/>
        <v>45131ArizonaGrow Sciences</v>
      </c>
      <c r="C29" s="42">
        <v>45131.0</v>
      </c>
      <c r="D29" s="72" t="s">
        <v>20</v>
      </c>
      <c r="E29" s="110" t="s">
        <v>633</v>
      </c>
      <c r="F29" s="111" t="s">
        <v>177</v>
      </c>
      <c r="G29" s="47" t="s">
        <v>180</v>
      </c>
      <c r="H29" s="65" t="s">
        <v>648</v>
      </c>
      <c r="I29" s="97" t="s">
        <v>635</v>
      </c>
      <c r="J29" s="95" t="s">
        <v>636</v>
      </c>
      <c r="K29" s="50" t="s">
        <v>120</v>
      </c>
      <c r="L29" s="90"/>
      <c r="M29" s="90"/>
      <c r="N29" s="53" t="s">
        <v>210</v>
      </c>
      <c r="O29" s="109" t="s">
        <v>126</v>
      </c>
      <c r="P29" s="53" t="str">
        <f>vlookup(N29,Categorizations!A:C,3,FALSE)</f>
        <v>Yeast and Mold</v>
      </c>
      <c r="Q29" s="55">
        <v>1.0</v>
      </c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</row>
    <row r="30" ht="22.5" customHeight="1">
      <c r="A30" s="16" t="str">
        <f t="shared" si="3"/>
        <v>45131ArizonaSoothing Options</v>
      </c>
      <c r="C30" s="42">
        <v>45131.0</v>
      </c>
      <c r="D30" s="72" t="s">
        <v>20</v>
      </c>
      <c r="E30" s="110" t="s">
        <v>633</v>
      </c>
      <c r="F30" s="111" t="s">
        <v>177</v>
      </c>
      <c r="G30" s="47" t="s">
        <v>180</v>
      </c>
      <c r="H30" s="65" t="s">
        <v>669</v>
      </c>
      <c r="I30" s="97" t="s">
        <v>672</v>
      </c>
      <c r="J30" s="95"/>
      <c r="K30" s="50" t="s">
        <v>120</v>
      </c>
      <c r="L30" s="90"/>
      <c r="M30" s="90"/>
      <c r="N30" s="53" t="s">
        <v>210</v>
      </c>
      <c r="O30" s="109" t="s">
        <v>126</v>
      </c>
      <c r="P30" s="53" t="str">
        <f>vlookup(N30,Categorizations!A:C,3,FALSE)</f>
        <v>Yeast and Mold</v>
      </c>
      <c r="Q30" s="55">
        <v>1.0</v>
      </c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ht="22.5" customHeight="1">
      <c r="A31" s="16" t="str">
        <f t="shared" si="3"/>
        <v>45145ArizonaNirvana Center</v>
      </c>
      <c r="C31" s="42">
        <v>45145.0</v>
      </c>
      <c r="D31" s="72" t="s">
        <v>20</v>
      </c>
      <c r="E31" s="110" t="s">
        <v>683</v>
      </c>
      <c r="F31" s="111" t="s">
        <v>177</v>
      </c>
      <c r="G31" s="47" t="s">
        <v>180</v>
      </c>
      <c r="H31" s="65" t="s">
        <v>686</v>
      </c>
      <c r="I31" s="97" t="s">
        <v>688</v>
      </c>
      <c r="J31" s="95"/>
      <c r="K31" s="50" t="s">
        <v>120</v>
      </c>
      <c r="L31" s="90"/>
      <c r="M31" s="90"/>
      <c r="N31" s="53" t="s">
        <v>189</v>
      </c>
      <c r="O31" s="109" t="s">
        <v>126</v>
      </c>
      <c r="P31" s="53" t="str">
        <f>vlookup(N31,Categorizations!A:C,3,FALSE)</f>
        <v>Pesticides</v>
      </c>
      <c r="Q31" s="55">
        <v>1.0</v>
      </c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ht="22.5" customHeight="1">
      <c r="A32" s="16" t="str">
        <f t="shared" si="3"/>
        <v>45162ArizonaGrow Sciences</v>
      </c>
      <c r="C32" s="42">
        <v>45162.0</v>
      </c>
      <c r="D32" s="72" t="s">
        <v>20</v>
      </c>
      <c r="E32" s="110" t="s">
        <v>698</v>
      </c>
      <c r="F32" s="73" t="s">
        <v>177</v>
      </c>
      <c r="G32" s="47" t="s">
        <v>180</v>
      </c>
      <c r="H32" s="65" t="s">
        <v>703</v>
      </c>
      <c r="I32" s="97" t="s">
        <v>635</v>
      </c>
      <c r="J32" s="95" t="s">
        <v>636</v>
      </c>
      <c r="K32" s="50" t="s">
        <v>120</v>
      </c>
      <c r="L32" s="90"/>
      <c r="M32" s="90"/>
      <c r="N32" s="53" t="s">
        <v>210</v>
      </c>
      <c r="O32" s="109" t="s">
        <v>126</v>
      </c>
      <c r="P32" s="53" t="str">
        <f>vlookup(N32,Categorizations!A:C,3,FALSE)</f>
        <v>Yeast and Mold</v>
      </c>
      <c r="Q32" s="55">
        <v>1.0</v>
      </c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ht="22.5" customHeight="1">
      <c r="A33" s="16" t="str">
        <f t="shared" si="3"/>
        <v>45219ArizonaCuraleaf</v>
      </c>
      <c r="C33" s="42">
        <v>45219.0</v>
      </c>
      <c r="D33" s="72" t="s">
        <v>20</v>
      </c>
      <c r="E33" s="56" t="s">
        <v>717</v>
      </c>
      <c r="F33" s="73" t="s">
        <v>177</v>
      </c>
      <c r="G33" s="47" t="s">
        <v>180</v>
      </c>
      <c r="H33" s="65" t="s">
        <v>719</v>
      </c>
      <c r="I33" s="97" t="s">
        <v>722</v>
      </c>
      <c r="J33" s="95" t="s">
        <v>636</v>
      </c>
      <c r="K33" s="50" t="s">
        <v>120</v>
      </c>
      <c r="L33" s="90"/>
      <c r="M33" s="90"/>
      <c r="N33" s="53" t="s">
        <v>210</v>
      </c>
      <c r="O33" s="109" t="s">
        <v>126</v>
      </c>
      <c r="P33" s="53" t="str">
        <f>vlookup(N33,Categorizations!A:C,3,FALSE)</f>
        <v>Yeast and Mold</v>
      </c>
      <c r="Q33" s="55">
        <v>1.0</v>
      </c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ht="22.5" customHeight="1">
      <c r="A34" s="16" t="str">
        <f t="shared" si="3"/>
        <v>45239ArizonaGLOBE FARMACY INC.</v>
      </c>
      <c r="C34" s="42">
        <v>45239.0</v>
      </c>
      <c r="D34" s="72" t="s">
        <v>20</v>
      </c>
      <c r="E34" s="56" t="s">
        <v>733</v>
      </c>
      <c r="F34" s="73" t="s">
        <v>177</v>
      </c>
      <c r="G34" s="113" t="s">
        <v>734</v>
      </c>
      <c r="H34" s="65" t="s">
        <v>736</v>
      </c>
      <c r="I34" s="97" t="s">
        <v>737</v>
      </c>
      <c r="J34" s="114"/>
      <c r="K34" s="50" t="s">
        <v>120</v>
      </c>
      <c r="L34" s="115"/>
      <c r="M34" s="115"/>
      <c r="N34" s="53" t="s">
        <v>210</v>
      </c>
      <c r="O34" s="109" t="s">
        <v>126</v>
      </c>
      <c r="P34" s="53" t="str">
        <f>vlookup(N34,Categorizations!A:C,3,FALSE)</f>
        <v>Yeast and Mold</v>
      </c>
      <c r="Q34" s="55">
        <v>1.0</v>
      </c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ht="22.5" customHeight="1">
      <c r="A35" s="16" t="str">
        <f>concatenate(C35,D35,I35,2)</f>
        <v>45239ArizonaGLOBE FARMACY INC.2</v>
      </c>
      <c r="C35" s="42">
        <v>45239.0</v>
      </c>
      <c r="D35" s="72" t="s">
        <v>20</v>
      </c>
      <c r="E35" s="56" t="s">
        <v>733</v>
      </c>
      <c r="F35" s="73" t="s">
        <v>177</v>
      </c>
      <c r="G35" s="113" t="s">
        <v>734</v>
      </c>
      <c r="H35" s="65" t="s">
        <v>752</v>
      </c>
      <c r="I35" s="97" t="s">
        <v>737</v>
      </c>
      <c r="J35" s="114"/>
      <c r="K35" s="50" t="s">
        <v>120</v>
      </c>
      <c r="L35" s="115"/>
      <c r="M35" s="115"/>
      <c r="N35" s="53" t="s">
        <v>210</v>
      </c>
      <c r="O35" s="109" t="s">
        <v>126</v>
      </c>
      <c r="P35" s="53" t="str">
        <f>vlookup(N35,Categorizations!A:C,3,FALSE)</f>
        <v>Yeast and Mold</v>
      </c>
      <c r="Q35" s="55">
        <v>1.0</v>
      </c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ht="22.5" customHeight="1">
      <c r="A36" s="16" t="str">
        <f t="shared" ref="A36:A38" si="4">concatenate(C36,D36,I36)</f>
        <v>45257ArizonaNirvana Center</v>
      </c>
      <c r="C36" s="42">
        <v>45257.0</v>
      </c>
      <c r="D36" s="72" t="s">
        <v>20</v>
      </c>
      <c r="E36" s="56" t="s">
        <v>760</v>
      </c>
      <c r="F36" s="73" t="s">
        <v>177</v>
      </c>
      <c r="G36" s="113" t="s">
        <v>180</v>
      </c>
      <c r="H36" s="65" t="s">
        <v>764</v>
      </c>
      <c r="I36" s="97" t="s">
        <v>688</v>
      </c>
      <c r="J36" s="114"/>
      <c r="K36" s="50" t="s">
        <v>120</v>
      </c>
      <c r="L36" s="90"/>
      <c r="M36" s="90"/>
      <c r="N36" s="53" t="s">
        <v>210</v>
      </c>
      <c r="O36" s="109" t="s">
        <v>126</v>
      </c>
      <c r="P36" s="53" t="str">
        <f>vlookup(N36,Categorizations!A:C,3,FALSE)</f>
        <v>Yeast and Mold</v>
      </c>
      <c r="Q36" s="55">
        <v>1.0</v>
      </c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ht="22.5" customHeight="1">
      <c r="A37" s="16" t="str">
        <f t="shared" si="4"/>
        <v>45418ArizonaThe Flower Shop</v>
      </c>
      <c r="C37" s="42">
        <v>45418.0</v>
      </c>
      <c r="D37" s="72" t="s">
        <v>20</v>
      </c>
      <c r="E37" s="56" t="s">
        <v>769</v>
      </c>
      <c r="F37" s="73" t="s">
        <v>177</v>
      </c>
      <c r="G37" s="113" t="s">
        <v>180</v>
      </c>
      <c r="H37" s="116" t="s">
        <v>771</v>
      </c>
      <c r="I37" s="117" t="s">
        <v>771</v>
      </c>
      <c r="J37" s="114"/>
      <c r="K37" s="50" t="s">
        <v>120</v>
      </c>
      <c r="L37" s="108"/>
      <c r="M37" s="108"/>
      <c r="N37" s="53" t="s">
        <v>210</v>
      </c>
      <c r="O37" s="109" t="s">
        <v>126</v>
      </c>
      <c r="P37" s="53" t="str">
        <f>vlookup(N37,Categorizations!A:C,3,FALSE)</f>
        <v>Yeast and Mold</v>
      </c>
      <c r="Q37" s="55">
        <v>1.0</v>
      </c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ht="22.5" customHeight="1">
      <c r="A38" s="16" t="str">
        <f t="shared" si="4"/>
        <v>45483ArizonaNature’s Wonder Inc</v>
      </c>
      <c r="C38" s="42">
        <v>45483.0</v>
      </c>
      <c r="D38" s="72" t="s">
        <v>20</v>
      </c>
      <c r="E38" s="56" t="s">
        <v>780</v>
      </c>
      <c r="F38" s="73" t="s">
        <v>177</v>
      </c>
      <c r="G38" s="113" t="s">
        <v>734</v>
      </c>
      <c r="H38" s="48" t="s">
        <v>782</v>
      </c>
      <c r="I38" s="49" t="s">
        <v>783</v>
      </c>
      <c r="J38" s="114"/>
      <c r="K38" s="50" t="s">
        <v>120</v>
      </c>
      <c r="L38" s="51"/>
      <c r="M38" s="51"/>
      <c r="N38" s="53" t="s">
        <v>165</v>
      </c>
      <c r="O38" s="109" t="s">
        <v>126</v>
      </c>
      <c r="P38" s="53" t="str">
        <f>vlookup(N38,Categorizations!A:C,3,FALSE)</f>
        <v>Pesticides</v>
      </c>
      <c r="Q38" s="55">
        <v>1.0</v>
      </c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</row>
    <row r="39" ht="22.5" customHeight="1">
      <c r="A39" s="120" t="s">
        <v>524</v>
      </c>
      <c r="C39" s="42">
        <v>43101.0</v>
      </c>
      <c r="D39" s="72" t="s">
        <v>36</v>
      </c>
      <c r="E39" s="56" t="s">
        <v>521</v>
      </c>
      <c r="F39" s="73" t="s">
        <v>109</v>
      </c>
      <c r="G39" s="47" t="s">
        <v>796</v>
      </c>
      <c r="H39" s="65" t="s">
        <v>797</v>
      </c>
      <c r="I39" s="125" t="s">
        <v>525</v>
      </c>
      <c r="J39" s="114"/>
      <c r="K39" s="50" t="s">
        <v>120</v>
      </c>
      <c r="L39" s="90"/>
      <c r="M39" s="90"/>
      <c r="N39" s="53" t="s">
        <v>371</v>
      </c>
      <c r="O39" s="109" t="s">
        <v>801</v>
      </c>
      <c r="P39" s="53" t="str">
        <f>vlookup(N39,Categorizations!A:C,3,FALSE)</f>
        <v>Adverse Health Events</v>
      </c>
      <c r="Q39" s="55">
        <v>1.0</v>
      </c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  <row r="40" ht="22.5" customHeight="1">
      <c r="A40" s="16" t="s">
        <v>798</v>
      </c>
      <c r="C40" s="42">
        <v>44587.0</v>
      </c>
      <c r="D40" s="127" t="s">
        <v>36</v>
      </c>
      <c r="E40" s="129" t="s">
        <v>795</v>
      </c>
      <c r="F40" s="130" t="s">
        <v>109</v>
      </c>
      <c r="G40" s="131" t="s">
        <v>811</v>
      </c>
      <c r="H40" s="132" t="s">
        <v>799</v>
      </c>
      <c r="I40" s="133" t="s">
        <v>799</v>
      </c>
      <c r="J40" s="67"/>
      <c r="K40" s="134" t="s">
        <v>636</v>
      </c>
      <c r="L40" s="135"/>
      <c r="M40" s="135">
        <v>44502.0</v>
      </c>
      <c r="N40" s="53" t="s">
        <v>283</v>
      </c>
      <c r="O40" s="136" t="s">
        <v>162</v>
      </c>
      <c r="P40" s="53" t="str">
        <f>vlookup(N40,Categorizations!A:C,3,FALSE)</f>
        <v>Pesticides</v>
      </c>
      <c r="Q40" s="55">
        <v>1.0</v>
      </c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</row>
    <row r="41" ht="22.5" customHeight="1">
      <c r="A41" s="16" t="s">
        <v>822</v>
      </c>
      <c r="C41" s="42">
        <v>44832.0</v>
      </c>
      <c r="D41" s="127" t="s">
        <v>36</v>
      </c>
      <c r="E41" s="129" t="s">
        <v>795</v>
      </c>
      <c r="F41" s="130" t="s">
        <v>109</v>
      </c>
      <c r="G41" s="113" t="s">
        <v>180</v>
      </c>
      <c r="H41" s="132" t="s">
        <v>823</v>
      </c>
      <c r="I41" s="133" t="s">
        <v>823</v>
      </c>
      <c r="J41" s="67"/>
      <c r="K41" s="134" t="s">
        <v>120</v>
      </c>
      <c r="L41" s="135"/>
      <c r="M41" s="135"/>
      <c r="N41" s="53" t="s">
        <v>513</v>
      </c>
      <c r="O41" s="136" t="s">
        <v>162</v>
      </c>
      <c r="P41" s="53" t="str">
        <f>vlookup(N41,Categorizations!A:C,3,FALSE)</f>
        <v>Prohibited Additives / Product</v>
      </c>
      <c r="Q41" s="55">
        <v>1.0</v>
      </c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</row>
    <row r="42" ht="22.5" customHeight="1">
      <c r="A42" s="16" t="s">
        <v>833</v>
      </c>
      <c r="C42" s="42">
        <v>44847.0</v>
      </c>
      <c r="D42" s="127" t="s">
        <v>36</v>
      </c>
      <c r="E42" s="129" t="s">
        <v>795</v>
      </c>
      <c r="F42" s="130" t="s">
        <v>177</v>
      </c>
      <c r="G42" s="131" t="s">
        <v>837</v>
      </c>
      <c r="H42" s="132" t="s">
        <v>838</v>
      </c>
      <c r="I42" s="133" t="s">
        <v>838</v>
      </c>
      <c r="J42" s="67"/>
      <c r="K42" s="134" t="s">
        <v>120</v>
      </c>
      <c r="L42" s="135"/>
      <c r="M42" s="135"/>
      <c r="N42" s="53" t="s">
        <v>283</v>
      </c>
      <c r="O42" s="136" t="s">
        <v>162</v>
      </c>
      <c r="P42" s="53" t="str">
        <f>vlookup(N42,Categorizations!A:C,3,FALSE)</f>
        <v>Pesticides</v>
      </c>
      <c r="Q42" s="55">
        <v>1.0</v>
      </c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</row>
    <row r="43" ht="22.5" customHeight="1">
      <c r="A43" s="16" t="s">
        <v>848</v>
      </c>
      <c r="C43" s="42">
        <v>44918.0</v>
      </c>
      <c r="D43" s="127" t="s">
        <v>36</v>
      </c>
      <c r="E43" s="129" t="s">
        <v>795</v>
      </c>
      <c r="F43" s="130" t="s">
        <v>177</v>
      </c>
      <c r="G43" s="140" t="s">
        <v>852</v>
      </c>
      <c r="H43" s="132" t="s">
        <v>855</v>
      </c>
      <c r="I43" s="133" t="s">
        <v>855</v>
      </c>
      <c r="J43" s="67"/>
      <c r="K43" s="134" t="s">
        <v>120</v>
      </c>
      <c r="L43" s="135"/>
      <c r="M43" s="135"/>
      <c r="N43" s="53" t="s">
        <v>476</v>
      </c>
      <c r="O43" s="136" t="s">
        <v>162</v>
      </c>
      <c r="P43" s="53" t="str">
        <f>vlookup(N43,Categorizations!A:C,3,FALSE)</f>
        <v>Aspergillus</v>
      </c>
      <c r="Q43" s="55">
        <v>1.0</v>
      </c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</row>
    <row r="44" ht="22.5" customHeight="1">
      <c r="A44" s="16" t="s">
        <v>863</v>
      </c>
      <c r="C44" s="42">
        <v>45065.0</v>
      </c>
      <c r="D44" s="72" t="s">
        <v>36</v>
      </c>
      <c r="E44" s="129" t="s">
        <v>795</v>
      </c>
      <c r="F44" s="73" t="s">
        <v>177</v>
      </c>
      <c r="G44" s="131" t="s">
        <v>852</v>
      </c>
      <c r="H44" s="132" t="s">
        <v>867</v>
      </c>
      <c r="I44" s="133" t="s">
        <v>867</v>
      </c>
      <c r="J44" s="95"/>
      <c r="K44" s="134" t="s">
        <v>120</v>
      </c>
      <c r="L44" s="135"/>
      <c r="M44" s="135"/>
      <c r="N44" s="53" t="s">
        <v>605</v>
      </c>
      <c r="O44" s="109" t="s">
        <v>162</v>
      </c>
      <c r="P44" s="53" t="str">
        <f>vlookup(N44,Categorizations!A:C,3,FALSE)</f>
        <v>Yeast and Mold</v>
      </c>
      <c r="Q44" s="55">
        <v>1.0</v>
      </c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</row>
    <row r="45" ht="22.5" customHeight="1">
      <c r="A45" s="16" t="s">
        <v>878</v>
      </c>
      <c r="C45" s="42">
        <v>45121.0</v>
      </c>
      <c r="D45" s="72" t="s">
        <v>36</v>
      </c>
      <c r="E45" s="110" t="s">
        <v>879</v>
      </c>
      <c r="F45" s="111" t="s">
        <v>177</v>
      </c>
      <c r="G45" s="47" t="s">
        <v>883</v>
      </c>
      <c r="H45" s="132" t="s">
        <v>885</v>
      </c>
      <c r="I45" s="133" t="s">
        <v>885</v>
      </c>
      <c r="J45" s="95"/>
      <c r="K45" s="50" t="s">
        <v>636</v>
      </c>
      <c r="L45" s="135">
        <v>45051.0</v>
      </c>
      <c r="M45" s="52"/>
      <c r="N45" s="53" t="s">
        <v>647</v>
      </c>
      <c r="O45" s="60" t="s">
        <v>162</v>
      </c>
      <c r="P45" s="53" t="str">
        <f>vlookup(N45,Categorizations!A:C,3,FALSE)</f>
        <v>Other</v>
      </c>
      <c r="Q45" s="55">
        <v>1.0</v>
      </c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</row>
    <row r="46" ht="22.5" customHeight="1">
      <c r="A46" s="16" t="s">
        <v>878</v>
      </c>
      <c r="C46" s="42">
        <v>45250.0</v>
      </c>
      <c r="D46" s="72" t="s">
        <v>36</v>
      </c>
      <c r="E46" s="56" t="s">
        <v>895</v>
      </c>
      <c r="F46" s="111" t="s">
        <v>177</v>
      </c>
      <c r="G46" s="47" t="s">
        <v>899</v>
      </c>
      <c r="H46" s="48" t="s">
        <v>900</v>
      </c>
      <c r="I46" s="49" t="s">
        <v>900</v>
      </c>
      <c r="J46" s="143"/>
      <c r="K46" s="50" t="s">
        <v>636</v>
      </c>
      <c r="L46" s="51">
        <v>45057.0</v>
      </c>
      <c r="M46" s="52"/>
      <c r="N46" s="53" t="s">
        <v>679</v>
      </c>
      <c r="O46" s="60" t="s">
        <v>162</v>
      </c>
      <c r="P46" s="53" t="str">
        <f>vlookup(N46,Categorizations!A:C,3,FALSE)</f>
        <v>Mold</v>
      </c>
      <c r="Q46" s="55">
        <v>1.0</v>
      </c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</row>
    <row r="47" ht="22.5" customHeight="1">
      <c r="A47" s="16" t="str">
        <f t="shared" ref="A47:A81" si="5">concatenate(C47,D47,I47)</f>
        <v>45267CaliforniaGrizzly Peak Farms, LLC </v>
      </c>
      <c r="C47" s="42">
        <v>45267.0</v>
      </c>
      <c r="D47" s="72" t="s">
        <v>36</v>
      </c>
      <c r="E47" s="56" t="s">
        <v>918</v>
      </c>
      <c r="F47" s="111" t="s">
        <v>177</v>
      </c>
      <c r="G47" s="47" t="s">
        <v>180</v>
      </c>
      <c r="H47" s="48" t="s">
        <v>925</v>
      </c>
      <c r="I47" s="49" t="s">
        <v>925</v>
      </c>
      <c r="J47" s="143"/>
      <c r="K47" s="50" t="s">
        <v>636</v>
      </c>
      <c r="L47" s="51">
        <v>45184.0</v>
      </c>
      <c r="M47" s="52"/>
      <c r="N47" s="53" t="s">
        <v>220</v>
      </c>
      <c r="O47" s="109" t="s">
        <v>162</v>
      </c>
      <c r="P47" s="53" t="str">
        <f>vlookup(N47,Categorizations!A:C,3,FALSE)</f>
        <v>Pesticides</v>
      </c>
      <c r="Q47" s="55">
        <v>1.0</v>
      </c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</row>
    <row r="48" ht="22.5" customHeight="1">
      <c r="A48" s="16" t="str">
        <f t="shared" si="5"/>
        <v>45301CaliforniaEchsen Industries, LLC</v>
      </c>
      <c r="C48" s="42">
        <v>45301.0</v>
      </c>
      <c r="D48" s="72" t="s">
        <v>36</v>
      </c>
      <c r="E48" s="56" t="s">
        <v>940</v>
      </c>
      <c r="F48" s="111" t="s">
        <v>177</v>
      </c>
      <c r="G48" s="47" t="s">
        <v>947</v>
      </c>
      <c r="H48" s="48" t="s">
        <v>948</v>
      </c>
      <c r="I48" s="49" t="s">
        <v>948</v>
      </c>
      <c r="J48" s="143"/>
      <c r="K48" s="50" t="s">
        <v>636</v>
      </c>
      <c r="L48" s="51">
        <v>45105.0</v>
      </c>
      <c r="M48" s="51">
        <v>45124.0</v>
      </c>
      <c r="N48" s="53" t="s">
        <v>222</v>
      </c>
      <c r="O48" s="109" t="s">
        <v>162</v>
      </c>
      <c r="P48" s="53" t="str">
        <f>vlookup(N48,Categorizations!A:C,3,FALSE)</f>
        <v>Inaccurate THC</v>
      </c>
      <c r="Q48" s="55">
        <v>1.0</v>
      </c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</row>
    <row r="49" ht="22.5" customHeight="1">
      <c r="A49" s="16" t="str">
        <f t="shared" si="5"/>
        <v>45301CaliforniaUrban Therapies Distribution, LLC</v>
      </c>
      <c r="C49" s="42">
        <v>45301.0</v>
      </c>
      <c r="D49" s="72" t="s">
        <v>36</v>
      </c>
      <c r="E49" s="56" t="s">
        <v>965</v>
      </c>
      <c r="F49" s="111" t="s">
        <v>109</v>
      </c>
      <c r="G49" s="47" t="s">
        <v>180</v>
      </c>
      <c r="H49" s="48" t="s">
        <v>976</v>
      </c>
      <c r="I49" s="49" t="s">
        <v>976</v>
      </c>
      <c r="J49" s="143"/>
      <c r="K49" s="50" t="s">
        <v>636</v>
      </c>
      <c r="L49" s="51">
        <v>45119.0</v>
      </c>
      <c r="M49" s="51"/>
      <c r="N49" s="53" t="s">
        <v>691</v>
      </c>
      <c r="O49" s="109" t="s">
        <v>162</v>
      </c>
      <c r="P49" s="53" t="str">
        <f>vlookup(N49,Categorizations!A:C,3,FALSE)</f>
        <v>Pesticides</v>
      </c>
      <c r="Q49" s="55">
        <v>1.0</v>
      </c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</row>
    <row r="50" ht="22.5" customHeight="1">
      <c r="A50" s="16" t="str">
        <f t="shared" si="5"/>
        <v>45337California90nine Bridge Co Holdings, LLC</v>
      </c>
      <c r="C50" s="42">
        <v>45337.0</v>
      </c>
      <c r="D50" s="72" t="s">
        <v>36</v>
      </c>
      <c r="E50" s="56" t="s">
        <v>1016</v>
      </c>
      <c r="F50" s="111" t="s">
        <v>109</v>
      </c>
      <c r="G50" s="148" t="s">
        <v>1027</v>
      </c>
      <c r="H50" s="149" t="s">
        <v>1028</v>
      </c>
      <c r="I50" s="150" t="s">
        <v>1028</v>
      </c>
      <c r="K50" s="111" t="s">
        <v>636</v>
      </c>
      <c r="L50" s="151"/>
      <c r="M50" s="151"/>
      <c r="N50" s="53" t="s">
        <v>513</v>
      </c>
      <c r="O50" s="109" t="s">
        <v>162</v>
      </c>
      <c r="P50" s="53" t="str">
        <f>vlookup(N50,Categorizations!A:C,3,FALSE)</f>
        <v>Prohibited Additives / Product</v>
      </c>
      <c r="Q50" s="55">
        <v>1.0</v>
      </c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</row>
    <row r="51" ht="22.5" customHeight="1">
      <c r="A51" s="16" t="str">
        <f t="shared" si="5"/>
        <v>45343CaliforniaKind Op Corp</v>
      </c>
      <c r="C51" s="42">
        <v>45343.0</v>
      </c>
      <c r="D51" s="72" t="s">
        <v>36</v>
      </c>
      <c r="E51" s="56" t="s">
        <v>1039</v>
      </c>
      <c r="F51" s="111" t="s">
        <v>109</v>
      </c>
      <c r="G51" s="72" t="s">
        <v>180</v>
      </c>
      <c r="H51" s="149" t="s">
        <v>1043</v>
      </c>
      <c r="I51" s="150" t="s">
        <v>1043</v>
      </c>
      <c r="K51" s="111" t="s">
        <v>636</v>
      </c>
      <c r="L51" s="96">
        <v>45219.0</v>
      </c>
      <c r="M51" s="96">
        <v>45232.0</v>
      </c>
      <c r="N51" s="53" t="s">
        <v>694</v>
      </c>
      <c r="O51" s="109" t="s">
        <v>162</v>
      </c>
      <c r="P51" s="53" t="str">
        <f>vlookup(N51,Categorizations!A:C,3,FALSE)</f>
        <v>Pesticides</v>
      </c>
      <c r="Q51" s="55">
        <v>1.0</v>
      </c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</row>
    <row r="52" ht="22.5" customHeight="1">
      <c r="A52" s="16" t="str">
        <f t="shared" si="5"/>
        <v>45343CaliforniaCypress Cannabis </v>
      </c>
      <c r="C52" s="42">
        <v>45343.0</v>
      </c>
      <c r="D52" s="72" t="s">
        <v>36</v>
      </c>
      <c r="E52" s="56" t="s">
        <v>1076</v>
      </c>
      <c r="F52" s="111" t="s">
        <v>109</v>
      </c>
      <c r="G52" s="72" t="s">
        <v>180</v>
      </c>
      <c r="H52" s="48" t="s">
        <v>1086</v>
      </c>
      <c r="I52" s="49" t="s">
        <v>1086</v>
      </c>
      <c r="J52" s="143"/>
      <c r="K52" s="50" t="s">
        <v>636</v>
      </c>
      <c r="L52" s="51"/>
      <c r="M52" s="51">
        <v>45224.0</v>
      </c>
      <c r="N52" s="53" t="s">
        <v>694</v>
      </c>
      <c r="O52" s="109" t="s">
        <v>162</v>
      </c>
      <c r="P52" s="53" t="str">
        <f>vlookup(N52,Categorizations!A:C,3,FALSE)</f>
        <v>Pesticides</v>
      </c>
      <c r="Q52" s="55">
        <v>1.0</v>
      </c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</row>
    <row r="53" ht="22.5" customHeight="1">
      <c r="A53" s="16" t="str">
        <f t="shared" si="5"/>
        <v>45352CaliforniaGrizzly Peak Farms, LLC</v>
      </c>
      <c r="C53" s="42">
        <v>45352.0</v>
      </c>
      <c r="D53" s="72" t="s">
        <v>36</v>
      </c>
      <c r="E53" s="56" t="s">
        <v>1107</v>
      </c>
      <c r="F53" s="111" t="s">
        <v>109</v>
      </c>
      <c r="G53" s="72" t="s">
        <v>180</v>
      </c>
      <c r="H53" s="48" t="s">
        <v>1122</v>
      </c>
      <c r="I53" s="49" t="s">
        <v>1122</v>
      </c>
      <c r="J53" s="143"/>
      <c r="K53" s="50" t="s">
        <v>636</v>
      </c>
      <c r="L53" s="51"/>
      <c r="M53" s="51">
        <v>45205.0</v>
      </c>
      <c r="N53" s="53" t="s">
        <v>694</v>
      </c>
      <c r="O53" s="109" t="s">
        <v>162</v>
      </c>
      <c r="P53" s="53" t="str">
        <f>vlookup(N53,Categorizations!A:C,3,FALSE)</f>
        <v>Pesticides</v>
      </c>
      <c r="Q53" s="55">
        <v>1.0</v>
      </c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</row>
    <row r="54" ht="22.5" customHeight="1">
      <c r="A54" s="16" t="str">
        <f t="shared" si="5"/>
        <v>45355CaliforniaDGU, LLC</v>
      </c>
      <c r="C54" s="42">
        <v>45355.0</v>
      </c>
      <c r="D54" s="72" t="s">
        <v>36</v>
      </c>
      <c r="E54" s="56" t="s">
        <v>1150</v>
      </c>
      <c r="F54" s="111" t="s">
        <v>177</v>
      </c>
      <c r="G54" s="47" t="s">
        <v>1161</v>
      </c>
      <c r="H54" s="149" t="s">
        <v>1163</v>
      </c>
      <c r="I54" s="150" t="s">
        <v>1163</v>
      </c>
      <c r="K54" s="50" t="s">
        <v>636</v>
      </c>
      <c r="L54" s="52"/>
      <c r="M54" s="96">
        <v>45047.0</v>
      </c>
      <c r="N54" s="53" t="s">
        <v>697</v>
      </c>
      <c r="O54" s="109" t="s">
        <v>162</v>
      </c>
      <c r="P54" s="53" t="str">
        <f>vlookup(N54,Categorizations!A:C,3,FALSE)</f>
        <v>Aspergillus</v>
      </c>
      <c r="Q54" s="55">
        <v>1.0</v>
      </c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</row>
    <row r="55" ht="22.5" customHeight="1">
      <c r="A55" s="16" t="str">
        <f t="shared" si="5"/>
        <v>45362CaliforniaDiscount Caregivers</v>
      </c>
      <c r="C55" s="42">
        <v>45362.0</v>
      </c>
      <c r="D55" s="72" t="s">
        <v>36</v>
      </c>
      <c r="E55" s="56" t="s">
        <v>1181</v>
      </c>
      <c r="F55" s="111" t="s">
        <v>109</v>
      </c>
      <c r="G55" s="47" t="s">
        <v>180</v>
      </c>
      <c r="H55" s="149" t="s">
        <v>1189</v>
      </c>
      <c r="I55" s="150" t="s">
        <v>1189</v>
      </c>
      <c r="K55" s="50" t="s">
        <v>636</v>
      </c>
      <c r="L55" s="96">
        <v>45204.0</v>
      </c>
      <c r="M55" s="96">
        <v>45204.0</v>
      </c>
      <c r="N55" s="53" t="s">
        <v>702</v>
      </c>
      <c r="O55" s="109" t="s">
        <v>162</v>
      </c>
      <c r="P55" s="53" t="str">
        <f>vlookup(N55,Categorizations!A:C,3,FALSE)</f>
        <v>Aspergillus</v>
      </c>
      <c r="Q55" s="55">
        <v>1.0</v>
      </c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</row>
    <row r="56" ht="22.5" customHeight="1">
      <c r="A56" s="16" t="str">
        <f t="shared" si="5"/>
        <v>45362CaliforniaJC Rad Inc. </v>
      </c>
      <c r="C56" s="42">
        <v>45362.0</v>
      </c>
      <c r="D56" s="72" t="s">
        <v>36</v>
      </c>
      <c r="E56" s="56" t="s">
        <v>1215</v>
      </c>
      <c r="F56" s="111" t="s">
        <v>109</v>
      </c>
      <c r="G56" s="47" t="s">
        <v>180</v>
      </c>
      <c r="H56" s="48" t="s">
        <v>1225</v>
      </c>
      <c r="I56" s="49" t="s">
        <v>1225</v>
      </c>
      <c r="J56" s="143"/>
      <c r="K56" s="50" t="s">
        <v>636</v>
      </c>
      <c r="L56" s="51">
        <v>45199.0</v>
      </c>
      <c r="M56" s="51">
        <v>45199.0</v>
      </c>
      <c r="N56" s="53" t="s">
        <v>707</v>
      </c>
      <c r="O56" s="109" t="s">
        <v>162</v>
      </c>
      <c r="P56" s="53" t="str">
        <f>vlookup(N56,Categorizations!A:C,3,FALSE)</f>
        <v>Mislabeled</v>
      </c>
      <c r="Q56" s="55">
        <v>1.0</v>
      </c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</row>
    <row r="57" ht="22.5" customHeight="1">
      <c r="A57" s="16" t="str">
        <f t="shared" si="5"/>
        <v>45371CaliforniaMammoth Distribution, Heavy Hitters, CA Manufacturing Co-op</v>
      </c>
      <c r="C57" s="42">
        <v>45371.0</v>
      </c>
      <c r="D57" s="72" t="s">
        <v>36</v>
      </c>
      <c r="E57" s="56" t="s">
        <v>1246</v>
      </c>
      <c r="F57" s="111" t="s">
        <v>109</v>
      </c>
      <c r="G57" s="47" t="s">
        <v>321</v>
      </c>
      <c r="H57" s="48" t="s">
        <v>1257</v>
      </c>
      <c r="I57" s="49" t="s">
        <v>1257</v>
      </c>
      <c r="J57" s="143"/>
      <c r="K57" s="50" t="s">
        <v>636</v>
      </c>
      <c r="L57" s="51">
        <v>45288.0</v>
      </c>
      <c r="M57" s="51">
        <v>45288.0</v>
      </c>
      <c r="N57" s="53" t="s">
        <v>707</v>
      </c>
      <c r="O57" s="109" t="s">
        <v>162</v>
      </c>
      <c r="P57" s="53" t="str">
        <f>vlookup(N57,Categorizations!A:C,3,FALSE)</f>
        <v>Mislabeled</v>
      </c>
      <c r="Q57" s="55">
        <v>1.0</v>
      </c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</row>
    <row r="58" ht="22.5" customHeight="1">
      <c r="A58" s="16" t="str">
        <f t="shared" si="5"/>
        <v>45376CaliforniaUPNORTH Distribution </v>
      </c>
      <c r="C58" s="42">
        <v>45376.0</v>
      </c>
      <c r="D58" s="72" t="s">
        <v>36</v>
      </c>
      <c r="E58" s="56" t="s">
        <v>1279</v>
      </c>
      <c r="F58" s="111" t="s">
        <v>109</v>
      </c>
      <c r="G58" s="47" t="s">
        <v>180</v>
      </c>
      <c r="H58" s="48" t="s">
        <v>1291</v>
      </c>
      <c r="I58" s="49" t="s">
        <v>1291</v>
      </c>
      <c r="J58" s="143"/>
      <c r="K58" s="50" t="s">
        <v>636</v>
      </c>
      <c r="L58" s="51">
        <v>45184.0</v>
      </c>
      <c r="M58" s="51">
        <v>45184.0</v>
      </c>
      <c r="N58" s="53" t="s">
        <v>711</v>
      </c>
      <c r="O58" s="109" t="s">
        <v>162</v>
      </c>
      <c r="P58" s="53" t="str">
        <f>vlookup(N58,Categorizations!A:C,3,FALSE)</f>
        <v>Aspergillus</v>
      </c>
      <c r="Q58" s="55">
        <v>1.0</v>
      </c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</row>
    <row r="59" ht="22.5" customHeight="1">
      <c r="A59" s="16" t="str">
        <f t="shared" si="5"/>
        <v>45380CaliforniaMalibu Gold, LLC</v>
      </c>
      <c r="C59" s="42">
        <v>45380.0</v>
      </c>
      <c r="D59" s="72" t="s">
        <v>36</v>
      </c>
      <c r="E59" s="56" t="s">
        <v>1319</v>
      </c>
      <c r="F59" s="111" t="s">
        <v>177</v>
      </c>
      <c r="G59" s="47" t="s">
        <v>180</v>
      </c>
      <c r="H59" s="48" t="s">
        <v>1332</v>
      </c>
      <c r="I59" s="49" t="s">
        <v>1332</v>
      </c>
      <c r="J59" s="143"/>
      <c r="K59" s="50" t="s">
        <v>636</v>
      </c>
      <c r="L59" s="51">
        <v>45131.0</v>
      </c>
      <c r="M59" s="51">
        <v>45131.0</v>
      </c>
      <c r="N59" s="53" t="s">
        <v>714</v>
      </c>
      <c r="O59" s="109" t="s">
        <v>162</v>
      </c>
      <c r="P59" s="53" t="str">
        <f>vlookup(N59,Categorizations!A:C,3,FALSE)</f>
        <v>Aspergillus</v>
      </c>
      <c r="Q59" s="55">
        <v>1.0</v>
      </c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</row>
    <row r="60" ht="22.5" customHeight="1">
      <c r="A60" s="16" t="str">
        <f t="shared" si="5"/>
        <v>45391CaliforniaNorthern Emeralds </v>
      </c>
      <c r="C60" s="42">
        <v>45391.0</v>
      </c>
      <c r="D60" s="72" t="s">
        <v>36</v>
      </c>
      <c r="E60" s="56" t="s">
        <v>1355</v>
      </c>
      <c r="F60" s="111" t="s">
        <v>109</v>
      </c>
      <c r="G60" s="47" t="s">
        <v>180</v>
      </c>
      <c r="H60" s="48" t="s">
        <v>1365</v>
      </c>
      <c r="I60" s="49" t="s">
        <v>1365</v>
      </c>
      <c r="J60" s="143"/>
      <c r="K60" s="50" t="s">
        <v>636</v>
      </c>
      <c r="L60" s="51">
        <v>45162.0</v>
      </c>
      <c r="M60" s="51">
        <v>45162.0</v>
      </c>
      <c r="N60" s="53" t="s">
        <v>694</v>
      </c>
      <c r="O60" s="109" t="s">
        <v>162</v>
      </c>
      <c r="P60" s="53" t="str">
        <f>vlookup(N60,Categorizations!A:C,3,FALSE)</f>
        <v>Pesticides</v>
      </c>
      <c r="Q60" s="55">
        <v>1.0</v>
      </c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</row>
    <row r="61" ht="22.5" customHeight="1">
      <c r="A61" s="16" t="str">
        <f t="shared" si="5"/>
        <v>45401CaliforniaUrbina, Inc</v>
      </c>
      <c r="C61" s="42">
        <v>45401.0</v>
      </c>
      <c r="D61" s="72" t="s">
        <v>36</v>
      </c>
      <c r="E61" s="56" t="s">
        <v>1384</v>
      </c>
      <c r="F61" s="111" t="s">
        <v>109</v>
      </c>
      <c r="G61" s="47" t="s">
        <v>321</v>
      </c>
      <c r="H61" s="149" t="s">
        <v>1393</v>
      </c>
      <c r="I61" s="150" t="s">
        <v>1393</v>
      </c>
      <c r="K61" s="50" t="s">
        <v>636</v>
      </c>
      <c r="L61" s="96">
        <v>45191.0</v>
      </c>
      <c r="M61" s="96">
        <v>45191.0</v>
      </c>
      <c r="N61" s="53" t="s">
        <v>720</v>
      </c>
      <c r="O61" s="109" t="s">
        <v>162</v>
      </c>
      <c r="P61" s="53" t="str">
        <f>vlookup(N61,Categorizations!A:C,3,FALSE)</f>
        <v>Aspergillus</v>
      </c>
      <c r="Q61" s="55">
        <v>1.0</v>
      </c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</row>
    <row r="62" ht="22.5" customHeight="1">
      <c r="A62" s="16" t="str">
        <f t="shared" si="5"/>
        <v>45407CaliforniaSnap Distro SV</v>
      </c>
      <c r="C62" s="42">
        <v>45407.0</v>
      </c>
      <c r="D62" s="72" t="s">
        <v>36</v>
      </c>
      <c r="E62" s="56" t="s">
        <v>1411</v>
      </c>
      <c r="F62" s="111" t="s">
        <v>109</v>
      </c>
      <c r="G62" s="47" t="s">
        <v>321</v>
      </c>
      <c r="H62" s="149" t="s">
        <v>1421</v>
      </c>
      <c r="I62" s="150" t="s">
        <v>1421</v>
      </c>
      <c r="K62" s="50" t="s">
        <v>636</v>
      </c>
      <c r="L62" s="96">
        <v>45222.0</v>
      </c>
      <c r="M62" s="96">
        <v>45222.0</v>
      </c>
      <c r="N62" s="53" t="s">
        <v>720</v>
      </c>
      <c r="O62" s="109" t="s">
        <v>162</v>
      </c>
      <c r="P62" s="53" t="str">
        <f>vlookup(N62,Categorizations!A:C,3,FALSE)</f>
        <v>Aspergillus</v>
      </c>
      <c r="Q62" s="55">
        <v>1.0</v>
      </c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</row>
    <row r="63" ht="22.5" customHeight="1">
      <c r="A63" s="16" t="str">
        <f t="shared" si="5"/>
        <v>45418CaliforniaTBP Indoor Facilities, Inc. </v>
      </c>
      <c r="C63" s="42">
        <v>45418.0</v>
      </c>
      <c r="D63" s="72" t="s">
        <v>36</v>
      </c>
      <c r="E63" s="56" t="s">
        <v>1443</v>
      </c>
      <c r="F63" s="111" t="s">
        <v>109</v>
      </c>
      <c r="G63" s="47" t="s">
        <v>321</v>
      </c>
      <c r="H63" s="48" t="s">
        <v>1452</v>
      </c>
      <c r="I63" s="49" t="s">
        <v>1452</v>
      </c>
      <c r="J63" s="143"/>
      <c r="K63" s="50" t="s">
        <v>636</v>
      </c>
      <c r="L63" s="51"/>
      <c r="M63" s="51">
        <v>45244.0</v>
      </c>
      <c r="N63" s="53" t="s">
        <v>731</v>
      </c>
      <c r="O63" s="109" t="s">
        <v>162</v>
      </c>
      <c r="P63" s="53" t="str">
        <f>vlookup(N63,Categorizations!A:C,3,FALSE)</f>
        <v>Multiple</v>
      </c>
      <c r="Q63" s="55">
        <v>1.0</v>
      </c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</row>
    <row r="64" ht="22.5" customHeight="1">
      <c r="A64" s="16" t="str">
        <f t="shared" si="5"/>
        <v>45421CaliforniaJDI Farms </v>
      </c>
      <c r="C64" s="42">
        <v>45421.0</v>
      </c>
      <c r="D64" s="72" t="s">
        <v>36</v>
      </c>
      <c r="E64" s="56" t="s">
        <v>1474</v>
      </c>
      <c r="F64" s="111" t="s">
        <v>177</v>
      </c>
      <c r="G64" s="47" t="s">
        <v>180</v>
      </c>
      <c r="H64" s="48" t="s">
        <v>1478</v>
      </c>
      <c r="I64" s="49" t="s">
        <v>1478</v>
      </c>
      <c r="J64" s="143"/>
      <c r="K64" s="50" t="s">
        <v>636</v>
      </c>
      <c r="L64" s="51"/>
      <c r="M64" s="51">
        <v>45126.0</v>
      </c>
      <c r="N64" s="53" t="s">
        <v>735</v>
      </c>
      <c r="O64" s="109" t="s">
        <v>162</v>
      </c>
      <c r="P64" s="53" t="str">
        <f>vlookup(N64,Categorizations!A:C,3,FALSE)</f>
        <v>Inaccurate THC</v>
      </c>
      <c r="Q64" s="55">
        <v>1.0</v>
      </c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</row>
    <row r="65" ht="22.5" customHeight="1">
      <c r="A65" s="16" t="str">
        <f t="shared" si="5"/>
        <v>45429CaliforniaCrafted Canopy Co. LLC</v>
      </c>
      <c r="C65" s="42">
        <v>45429.0</v>
      </c>
      <c r="D65" s="72" t="s">
        <v>36</v>
      </c>
      <c r="E65" s="56" t="s">
        <v>1490</v>
      </c>
      <c r="F65" s="111" t="s">
        <v>109</v>
      </c>
      <c r="G65" s="47" t="s">
        <v>180</v>
      </c>
      <c r="H65" s="48" t="s">
        <v>1498</v>
      </c>
      <c r="I65" s="49" t="s">
        <v>1498</v>
      </c>
      <c r="J65" s="143"/>
      <c r="K65" s="50" t="s">
        <v>636</v>
      </c>
      <c r="L65" s="51"/>
      <c r="M65" s="51">
        <v>45160.0</v>
      </c>
      <c r="N65" s="53" t="s">
        <v>740</v>
      </c>
      <c r="O65" s="109" t="s">
        <v>162</v>
      </c>
      <c r="P65" s="53" t="str">
        <f>vlookup(N65,Categorizations!A:C,3,FALSE)</f>
        <v>Multiple</v>
      </c>
      <c r="Q65" s="55">
        <v>1.0</v>
      </c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</row>
    <row r="66" ht="22.5" customHeight="1">
      <c r="A66" s="16" t="str">
        <f t="shared" si="5"/>
        <v>45436CaliforniaEpic Bros Enterprises, Inc.</v>
      </c>
      <c r="C66" s="42">
        <v>45436.0</v>
      </c>
      <c r="D66" s="72" t="s">
        <v>36</v>
      </c>
      <c r="E66" s="56" t="s">
        <v>1515</v>
      </c>
      <c r="F66" s="111" t="s">
        <v>177</v>
      </c>
      <c r="G66" s="47" t="s">
        <v>852</v>
      </c>
      <c r="H66" s="48" t="s">
        <v>1523</v>
      </c>
      <c r="I66" s="49" t="s">
        <v>1523</v>
      </c>
      <c r="J66" s="143"/>
      <c r="K66" s="50" t="s">
        <v>636</v>
      </c>
      <c r="L66" s="51"/>
      <c r="M66" s="51">
        <v>45400.0</v>
      </c>
      <c r="N66" s="53" t="s">
        <v>743</v>
      </c>
      <c r="O66" s="109" t="s">
        <v>162</v>
      </c>
      <c r="P66" s="53" t="str">
        <f>vlookup(N66,Categorizations!A:C,3,FALSE)</f>
        <v>Inaccurate THC</v>
      </c>
      <c r="Q66" s="55">
        <v>1.0</v>
      </c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</row>
    <row r="67" ht="22.5" customHeight="1">
      <c r="A67" s="16" t="str">
        <f t="shared" si="5"/>
        <v>45446CaliforniaPaet Real Estate LLC</v>
      </c>
      <c r="C67" s="42">
        <v>45446.0</v>
      </c>
      <c r="D67" s="72" t="s">
        <v>36</v>
      </c>
      <c r="E67" s="56" t="s">
        <v>1542</v>
      </c>
      <c r="F67" s="111" t="s">
        <v>109</v>
      </c>
      <c r="G67" s="47" t="s">
        <v>180</v>
      </c>
      <c r="H67" s="149" t="s">
        <v>1550</v>
      </c>
      <c r="I67" s="150" t="s">
        <v>1550</v>
      </c>
      <c r="J67" s="149"/>
      <c r="K67" s="50" t="s">
        <v>636</v>
      </c>
      <c r="L67" s="151"/>
      <c r="M67" s="96">
        <v>45208.0</v>
      </c>
      <c r="N67" s="53" t="s">
        <v>748</v>
      </c>
      <c r="O67" s="109" t="s">
        <v>162</v>
      </c>
      <c r="P67" s="53" t="str">
        <f>vlookup(N67,Categorizations!A:C,3,FALSE)</f>
        <v>Multiple</v>
      </c>
      <c r="Q67" s="55">
        <v>1.0</v>
      </c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</row>
    <row r="68" ht="22.5" customHeight="1">
      <c r="A68" s="16" t="str">
        <f t="shared" si="5"/>
        <v>45455CaliforniaShield Management Group, LLC</v>
      </c>
      <c r="C68" s="42">
        <v>45455.0</v>
      </c>
      <c r="D68" s="72" t="s">
        <v>36</v>
      </c>
      <c r="E68" s="56" t="s">
        <v>1566</v>
      </c>
      <c r="F68" s="111" t="s">
        <v>177</v>
      </c>
      <c r="G68" s="47" t="s">
        <v>180</v>
      </c>
      <c r="H68" s="48" t="s">
        <v>1576</v>
      </c>
      <c r="I68" s="49" t="s">
        <v>1578</v>
      </c>
      <c r="J68" s="143"/>
      <c r="K68" s="50" t="s">
        <v>636</v>
      </c>
      <c r="L68" s="51"/>
      <c r="M68" s="51">
        <v>45331.0</v>
      </c>
      <c r="N68" s="53" t="s">
        <v>728</v>
      </c>
      <c r="O68" s="109" t="s">
        <v>162</v>
      </c>
      <c r="P68" s="53" t="str">
        <f>vlookup(N68,Categorizations!A:C,3,FALSE)</f>
        <v>Multiple</v>
      </c>
      <c r="Q68" s="55">
        <v>1.0</v>
      </c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</row>
    <row r="69" ht="22.5" customHeight="1">
      <c r="A69" s="16" t="str">
        <f t="shared" si="5"/>
        <v>45468CaliforniaAlkhemist DM LLC</v>
      </c>
      <c r="C69" s="42">
        <v>45468.0</v>
      </c>
      <c r="D69" s="72" t="s">
        <v>36</v>
      </c>
      <c r="E69" s="56" t="s">
        <v>1598</v>
      </c>
      <c r="F69" s="111" t="s">
        <v>109</v>
      </c>
      <c r="G69" s="47" t="s">
        <v>1161</v>
      </c>
      <c r="H69" s="48" t="s">
        <v>1609</v>
      </c>
      <c r="I69" s="49" t="s">
        <v>1610</v>
      </c>
      <c r="J69" s="143"/>
      <c r="K69" s="50" t="s">
        <v>636</v>
      </c>
      <c r="L69" s="51"/>
      <c r="M69" s="51">
        <v>45198.0</v>
      </c>
      <c r="N69" s="53" t="s">
        <v>223</v>
      </c>
      <c r="O69" s="109" t="s">
        <v>162</v>
      </c>
      <c r="P69" s="53" t="str">
        <f>vlookup(N69,Categorizations!A:C,3,FALSE)</f>
        <v>Packaging</v>
      </c>
      <c r="Q69" s="55">
        <v>1.0</v>
      </c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</row>
    <row r="70" ht="22.5" customHeight="1">
      <c r="A70" s="16" t="str">
        <f t="shared" si="5"/>
        <v>45475CaliforniaShield Management Group, LLC</v>
      </c>
      <c r="C70" s="42">
        <v>45475.0</v>
      </c>
      <c r="D70" s="72" t="s">
        <v>36</v>
      </c>
      <c r="E70" s="56" t="s">
        <v>1627</v>
      </c>
      <c r="F70" s="111" t="s">
        <v>109</v>
      </c>
      <c r="G70" s="47" t="s">
        <v>1161</v>
      </c>
      <c r="H70" s="48" t="s">
        <v>1634</v>
      </c>
      <c r="I70" s="49" t="s">
        <v>1578</v>
      </c>
      <c r="J70" s="143"/>
      <c r="K70" s="50" t="s">
        <v>636</v>
      </c>
      <c r="L70" s="51"/>
      <c r="M70" s="51">
        <v>45177.0</v>
      </c>
      <c r="N70" s="53" t="s">
        <v>223</v>
      </c>
      <c r="O70" s="109" t="s">
        <v>162</v>
      </c>
      <c r="P70" s="53" t="str">
        <f>vlookup(N70,Categorizations!A:C,3,FALSE)</f>
        <v>Packaging</v>
      </c>
      <c r="Q70" s="55">
        <v>1.0</v>
      </c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</row>
    <row r="71" ht="22.5" customHeight="1">
      <c r="A71" s="16" t="str">
        <f t="shared" si="5"/>
        <v>45475CaliforniaShield Management Group, LLC</v>
      </c>
      <c r="C71" s="42">
        <v>45475.0</v>
      </c>
      <c r="D71" s="72" t="s">
        <v>36</v>
      </c>
      <c r="E71" s="56" t="s">
        <v>1654</v>
      </c>
      <c r="F71" s="111" t="s">
        <v>109</v>
      </c>
      <c r="G71" s="47" t="s">
        <v>1161</v>
      </c>
      <c r="H71" s="48" t="s">
        <v>1665</v>
      </c>
      <c r="I71" s="49" t="s">
        <v>1578</v>
      </c>
      <c r="J71" s="143"/>
      <c r="K71" s="50" t="s">
        <v>636</v>
      </c>
      <c r="L71" s="51"/>
      <c r="M71" s="51">
        <v>45197.0</v>
      </c>
      <c r="N71" s="53" t="s">
        <v>223</v>
      </c>
      <c r="O71" s="109" t="s">
        <v>162</v>
      </c>
      <c r="P71" s="53" t="str">
        <f>vlookup(N71,Categorizations!A:C,3,FALSE)</f>
        <v>Packaging</v>
      </c>
      <c r="Q71" s="55">
        <v>1.0</v>
      </c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</row>
    <row r="72" ht="22.5" customHeight="1">
      <c r="A72" s="16" t="str">
        <f t="shared" si="5"/>
        <v>45475CaliforniaShield Management Group, LLC</v>
      </c>
      <c r="C72" s="42">
        <v>45475.0</v>
      </c>
      <c r="D72" s="72" t="s">
        <v>36</v>
      </c>
      <c r="E72" s="56" t="s">
        <v>1685</v>
      </c>
      <c r="F72" s="111" t="s">
        <v>109</v>
      </c>
      <c r="G72" s="47" t="s">
        <v>1161</v>
      </c>
      <c r="H72" s="48" t="s">
        <v>1694</v>
      </c>
      <c r="I72" s="49" t="s">
        <v>1578</v>
      </c>
      <c r="J72" s="143"/>
      <c r="K72" s="50" t="s">
        <v>636</v>
      </c>
      <c r="L72" s="51"/>
      <c r="M72" s="51">
        <v>45197.0</v>
      </c>
      <c r="N72" s="53" t="s">
        <v>223</v>
      </c>
      <c r="O72" s="109" t="s">
        <v>162</v>
      </c>
      <c r="P72" s="53" t="str">
        <f>vlookup(N72,Categorizations!A:C,3,FALSE)</f>
        <v>Packaging</v>
      </c>
      <c r="Q72" s="55">
        <v>1.0</v>
      </c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</row>
    <row r="73" ht="22.5" customHeight="1">
      <c r="A73" s="16" t="str">
        <f t="shared" si="5"/>
        <v>45490CaliforniaK.U.S.H. (KINDER UNDERSTANDING SENSITIVE HEALING) COLLECTIVE</v>
      </c>
      <c r="C73" s="42">
        <v>45490.0</v>
      </c>
      <c r="D73" s="72" t="s">
        <v>36</v>
      </c>
      <c r="E73" s="56" t="s">
        <v>1716</v>
      </c>
      <c r="F73" s="111" t="s">
        <v>109</v>
      </c>
      <c r="G73" s="47" t="s">
        <v>1161</v>
      </c>
      <c r="H73" s="48" t="s">
        <v>1724</v>
      </c>
      <c r="I73" s="49" t="s">
        <v>1726</v>
      </c>
      <c r="J73" s="143"/>
      <c r="K73" s="50" t="s">
        <v>636</v>
      </c>
      <c r="L73" s="51">
        <v>45192.0</v>
      </c>
      <c r="M73" s="51">
        <v>45187.0</v>
      </c>
      <c r="N73" s="53" t="s">
        <v>223</v>
      </c>
      <c r="O73" s="109" t="s">
        <v>162</v>
      </c>
      <c r="P73" s="53" t="str">
        <f>vlookup(N73,Categorizations!A:C,3,FALSE)</f>
        <v>Packaging</v>
      </c>
      <c r="Q73" s="55">
        <v>1.0</v>
      </c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</row>
    <row r="74" ht="22.5" customHeight="1">
      <c r="A74" s="16" t="str">
        <f t="shared" si="5"/>
        <v>45490CaliforniaK.U.S.H. (KINDER UNDERSTANDING SENSITIVE HEALING) COLLECTIVE</v>
      </c>
      <c r="C74" s="42">
        <v>45490.0</v>
      </c>
      <c r="D74" s="72" t="s">
        <v>36</v>
      </c>
      <c r="E74" s="56" t="s">
        <v>1750</v>
      </c>
      <c r="F74" s="111" t="s">
        <v>109</v>
      </c>
      <c r="G74" s="47" t="s">
        <v>1027</v>
      </c>
      <c r="H74" s="48" t="s">
        <v>1757</v>
      </c>
      <c r="I74" s="49" t="s">
        <v>1726</v>
      </c>
      <c r="J74" s="143"/>
      <c r="K74" s="50" t="s">
        <v>636</v>
      </c>
      <c r="L74" s="51">
        <v>45359.0</v>
      </c>
      <c r="M74" s="51">
        <v>45363.0</v>
      </c>
      <c r="N74" s="53" t="s">
        <v>223</v>
      </c>
      <c r="O74" s="109" t="s">
        <v>162</v>
      </c>
      <c r="P74" s="53" t="str">
        <f>vlookup(N74,Categorizations!A:C,3,FALSE)</f>
        <v>Packaging</v>
      </c>
      <c r="Q74" s="55">
        <v>1.0</v>
      </c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</row>
    <row r="75" ht="22.5" customHeight="1">
      <c r="A75" s="16" t="str">
        <f t="shared" si="5"/>
        <v>45497CaliforniaThe Bake Shop LA</v>
      </c>
      <c r="C75" s="42">
        <v>45497.0</v>
      </c>
      <c r="D75" s="72" t="s">
        <v>36</v>
      </c>
      <c r="E75" s="56" t="s">
        <v>1777</v>
      </c>
      <c r="F75" s="111" t="s">
        <v>109</v>
      </c>
      <c r="G75" s="47" t="s">
        <v>321</v>
      </c>
      <c r="H75" s="149" t="s">
        <v>1784</v>
      </c>
      <c r="I75" s="150" t="s">
        <v>1784</v>
      </c>
      <c r="K75" s="50" t="s">
        <v>636</v>
      </c>
      <c r="L75" s="96">
        <v>45436.0</v>
      </c>
      <c r="M75" s="96">
        <v>45446.0</v>
      </c>
      <c r="N75" s="53" t="s">
        <v>691</v>
      </c>
      <c r="O75" s="109" t="s">
        <v>162</v>
      </c>
      <c r="P75" s="53" t="str">
        <f>vlookup(N75,Categorizations!A:C,3,FALSE)</f>
        <v>Pesticides</v>
      </c>
      <c r="Q75" s="55">
        <v>1.0</v>
      </c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</row>
    <row r="76" ht="22.5" customHeight="1">
      <c r="A76" s="16" t="str">
        <f t="shared" si="5"/>
        <v>45503CaliforniaGC Global, LLC</v>
      </c>
      <c r="C76" s="42">
        <v>45503.0</v>
      </c>
      <c r="D76" s="72" t="s">
        <v>36</v>
      </c>
      <c r="E76" s="56" t="s">
        <v>1805</v>
      </c>
      <c r="F76" s="111" t="s">
        <v>109</v>
      </c>
      <c r="G76" s="47" t="s">
        <v>180</v>
      </c>
      <c r="H76" s="48" t="s">
        <v>1812</v>
      </c>
      <c r="I76" s="148" t="s">
        <v>1815</v>
      </c>
      <c r="J76" s="143"/>
      <c r="K76" s="50" t="s">
        <v>636</v>
      </c>
      <c r="L76" s="51">
        <v>45161.0</v>
      </c>
      <c r="M76" s="51">
        <v>45177.0</v>
      </c>
      <c r="N76" s="53" t="s">
        <v>262</v>
      </c>
      <c r="O76" s="109" t="s">
        <v>162</v>
      </c>
      <c r="P76" s="53" t="str">
        <f>vlookup(N76,Categorizations!A:C,3,FALSE)</f>
        <v>Packaging</v>
      </c>
      <c r="Q76" s="55">
        <v>1.0</v>
      </c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</row>
    <row r="77" ht="22.5" customHeight="1">
      <c r="A77" s="16" t="str">
        <f t="shared" si="5"/>
        <v>45503CaliforniaKush Creaturz</v>
      </c>
      <c r="C77" s="42">
        <v>45503.0</v>
      </c>
      <c r="D77" s="72" t="s">
        <v>36</v>
      </c>
      <c r="E77" s="56" t="s">
        <v>1805</v>
      </c>
      <c r="F77" s="111" t="s">
        <v>109</v>
      </c>
      <c r="G77" s="47" t="s">
        <v>180</v>
      </c>
      <c r="H77" s="48" t="s">
        <v>1836</v>
      </c>
      <c r="I77" s="49" t="s">
        <v>1838</v>
      </c>
      <c r="J77" s="143"/>
      <c r="K77" s="50" t="s">
        <v>636</v>
      </c>
      <c r="L77" s="51">
        <v>45161.0</v>
      </c>
      <c r="M77" s="51">
        <v>45177.0</v>
      </c>
      <c r="N77" s="53" t="s">
        <v>262</v>
      </c>
      <c r="O77" s="109" t="s">
        <v>162</v>
      </c>
      <c r="P77" s="53" t="str">
        <f>vlookup(N77,Categorizations!A:C,3,FALSE)</f>
        <v>Packaging</v>
      </c>
      <c r="Q77" s="55">
        <v>1.0</v>
      </c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</row>
    <row r="78" ht="22.5" customHeight="1">
      <c r="A78" s="16" t="str">
        <f t="shared" si="5"/>
        <v>45503CaliforniaKush Creaturz</v>
      </c>
      <c r="C78" s="42">
        <v>45503.0</v>
      </c>
      <c r="D78" s="72" t="s">
        <v>36</v>
      </c>
      <c r="E78" s="56" t="s">
        <v>1805</v>
      </c>
      <c r="F78" s="111" t="s">
        <v>109</v>
      </c>
      <c r="G78" s="47" t="s">
        <v>180</v>
      </c>
      <c r="H78" s="48" t="s">
        <v>1865</v>
      </c>
      <c r="I78" s="49" t="s">
        <v>1838</v>
      </c>
      <c r="J78" s="143"/>
      <c r="K78" s="50" t="s">
        <v>636</v>
      </c>
      <c r="L78" s="51">
        <v>45294.0</v>
      </c>
      <c r="M78" s="51">
        <v>45309.0</v>
      </c>
      <c r="N78" s="53" t="s">
        <v>262</v>
      </c>
      <c r="O78" s="109" t="s">
        <v>162</v>
      </c>
      <c r="P78" s="53" t="str">
        <f>vlookup(N78,Categorizations!A:C,3,FALSE)</f>
        <v>Packaging</v>
      </c>
      <c r="Q78" s="55">
        <v>1.0</v>
      </c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</row>
    <row r="79" ht="22.5" customHeight="1">
      <c r="A79" s="16" t="str">
        <f t="shared" si="5"/>
        <v>45503CaliforniaKush Creaturz</v>
      </c>
      <c r="C79" s="42">
        <v>45503.0</v>
      </c>
      <c r="D79" s="72" t="s">
        <v>36</v>
      </c>
      <c r="E79" s="56" t="s">
        <v>1805</v>
      </c>
      <c r="F79" s="111" t="s">
        <v>109</v>
      </c>
      <c r="G79" s="47" t="s">
        <v>180</v>
      </c>
      <c r="H79" s="48" t="s">
        <v>1890</v>
      </c>
      <c r="I79" s="49" t="s">
        <v>1838</v>
      </c>
      <c r="J79" s="143"/>
      <c r="K79" s="50" t="s">
        <v>636</v>
      </c>
      <c r="L79" s="51">
        <v>45294.0</v>
      </c>
      <c r="M79" s="51">
        <v>45296.0</v>
      </c>
      <c r="N79" s="53" t="s">
        <v>262</v>
      </c>
      <c r="O79" s="109" t="s">
        <v>162</v>
      </c>
      <c r="P79" s="53" t="str">
        <f>vlookup(N79,Categorizations!A:C,3,FALSE)</f>
        <v>Packaging</v>
      </c>
      <c r="Q79" s="55">
        <v>1.0</v>
      </c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</row>
    <row r="80" ht="22.5" customHeight="1">
      <c r="A80" s="16" t="str">
        <f t="shared" si="5"/>
        <v>45503CaliforniaKush Creaturz</v>
      </c>
      <c r="C80" s="42">
        <v>45503.0</v>
      </c>
      <c r="D80" s="72" t="s">
        <v>36</v>
      </c>
      <c r="E80" s="56" t="s">
        <v>1805</v>
      </c>
      <c r="F80" s="111" t="s">
        <v>109</v>
      </c>
      <c r="G80" s="47" t="s">
        <v>180</v>
      </c>
      <c r="H80" s="48" t="s">
        <v>1909</v>
      </c>
      <c r="I80" s="49" t="s">
        <v>1838</v>
      </c>
      <c r="J80" s="143"/>
      <c r="K80" s="50" t="s">
        <v>636</v>
      </c>
      <c r="L80" s="51">
        <v>45161.0</v>
      </c>
      <c r="M80" s="51">
        <v>45177.0</v>
      </c>
      <c r="N80" s="53" t="s">
        <v>262</v>
      </c>
      <c r="O80" s="109" t="s">
        <v>162</v>
      </c>
      <c r="P80" s="53" t="str">
        <f>vlookup(N80,Categorizations!A:C,3,FALSE)</f>
        <v>Packaging</v>
      </c>
      <c r="Q80" s="55">
        <v>1.0</v>
      </c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</row>
    <row r="81" ht="22.5" customHeight="1">
      <c r="A81" s="16" t="str">
        <f t="shared" si="5"/>
        <v>45503CaliforniaKush Creaturz</v>
      </c>
      <c r="C81" s="42">
        <v>45503.0</v>
      </c>
      <c r="D81" s="72" t="s">
        <v>36</v>
      </c>
      <c r="E81" s="56" t="s">
        <v>1805</v>
      </c>
      <c r="F81" s="111" t="s">
        <v>177</v>
      </c>
      <c r="G81" s="47" t="s">
        <v>180</v>
      </c>
      <c r="H81" s="48" t="s">
        <v>1933</v>
      </c>
      <c r="I81" s="49" t="s">
        <v>1838</v>
      </c>
      <c r="J81" s="143"/>
      <c r="K81" s="50" t="s">
        <v>636</v>
      </c>
      <c r="L81" s="51">
        <v>45293.0</v>
      </c>
      <c r="M81" s="51">
        <v>45295.0</v>
      </c>
      <c r="N81" s="53" t="s">
        <v>262</v>
      </c>
      <c r="O81" s="109" t="s">
        <v>162</v>
      </c>
      <c r="P81" s="53" t="str">
        <f>vlookup(N81,Categorizations!A:C,3,FALSE)</f>
        <v>Packaging</v>
      </c>
      <c r="Q81" s="55">
        <v>1.0</v>
      </c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</row>
    <row r="82" ht="22.5" customHeight="1">
      <c r="A82" s="16" t="str">
        <f t="shared" ref="A82:A83" si="6">concatenate(C82,I82)</f>
        <v>45505Cypress Manufacturing</v>
      </c>
      <c r="C82" s="42">
        <v>45505.0</v>
      </c>
      <c r="D82" s="72" t="s">
        <v>36</v>
      </c>
      <c r="E82" s="56" t="s">
        <v>1953</v>
      </c>
      <c r="F82" s="111" t="s">
        <v>109</v>
      </c>
      <c r="G82" s="47" t="s">
        <v>321</v>
      </c>
      <c r="H82" s="48" t="s">
        <v>1959</v>
      </c>
      <c r="I82" s="49" t="s">
        <v>1960</v>
      </c>
      <c r="J82" s="143"/>
      <c r="K82" s="50" t="s">
        <v>636</v>
      </c>
      <c r="L82" s="51">
        <v>45413.0</v>
      </c>
      <c r="M82" s="51">
        <v>45421.0</v>
      </c>
      <c r="N82" s="53" t="s">
        <v>272</v>
      </c>
      <c r="O82" s="109" t="s">
        <v>162</v>
      </c>
      <c r="P82" s="53" t="str">
        <f>vlookup(N82,Categorizations!A:C,3,FALSE)</f>
        <v>Packaging</v>
      </c>
      <c r="Q82" s="55">
        <v>1.0</v>
      </c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</row>
    <row r="83" ht="22.5" customHeight="1">
      <c r="A83" s="16" t="str">
        <f t="shared" si="6"/>
        <v>45512Fluids Manufacturing, Inc.</v>
      </c>
      <c r="C83" s="42">
        <v>45512.0</v>
      </c>
      <c r="D83" s="72" t="s">
        <v>36</v>
      </c>
      <c r="E83" s="160" t="s">
        <v>1976</v>
      </c>
      <c r="F83" s="111" t="s">
        <v>109</v>
      </c>
      <c r="G83" s="47" t="s">
        <v>180</v>
      </c>
      <c r="H83" s="48" t="s">
        <v>1983</v>
      </c>
      <c r="I83" s="161" t="s">
        <v>1985</v>
      </c>
      <c r="J83" s="143"/>
      <c r="K83" s="50" t="s">
        <v>636</v>
      </c>
      <c r="L83" s="51">
        <v>45418.0</v>
      </c>
      <c r="M83" s="51">
        <v>45421.0</v>
      </c>
      <c r="N83" s="53" t="s">
        <v>272</v>
      </c>
      <c r="O83" s="109" t="s">
        <v>162</v>
      </c>
      <c r="P83" s="53" t="str">
        <f>vlookup(N83,Categorizations!A:C,3,FALSE)</f>
        <v>Packaging</v>
      </c>
      <c r="Q83" s="55">
        <v>1.0</v>
      </c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</row>
    <row r="84" ht="22.5" customHeight="1">
      <c r="A84" s="16" t="s">
        <v>343</v>
      </c>
      <c r="C84" s="42">
        <v>42417.0</v>
      </c>
      <c r="D84" s="43" t="s">
        <v>42</v>
      </c>
      <c r="E84" s="44" t="s">
        <v>342</v>
      </c>
      <c r="F84" s="111" t="s">
        <v>177</v>
      </c>
      <c r="G84" s="162"/>
      <c r="H84" s="48"/>
      <c r="I84" s="49" t="s">
        <v>344</v>
      </c>
      <c r="J84" s="143"/>
      <c r="K84" s="50" t="s">
        <v>120</v>
      </c>
      <c r="L84" s="51"/>
      <c r="M84" s="51"/>
      <c r="N84" s="53" t="s">
        <v>129</v>
      </c>
      <c r="O84" s="60" t="s">
        <v>162</v>
      </c>
      <c r="P84" s="53" t="str">
        <f>vlookup(N84,Categorizations!A:C,3,FALSE)</f>
        <v>Pesticides</v>
      </c>
      <c r="Q84" s="55">
        <v>1.0</v>
      </c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</row>
    <row r="85" ht="22.5" customHeight="1">
      <c r="A85" s="16" t="s">
        <v>347</v>
      </c>
      <c r="C85" s="42">
        <v>42417.0</v>
      </c>
      <c r="D85" s="43" t="s">
        <v>42</v>
      </c>
      <c r="E85" s="44" t="s">
        <v>346</v>
      </c>
      <c r="F85" s="111" t="s">
        <v>177</v>
      </c>
      <c r="G85" s="162"/>
      <c r="H85" s="48"/>
      <c r="I85" s="49" t="s">
        <v>348</v>
      </c>
      <c r="J85" s="143"/>
      <c r="K85" s="50" t="s">
        <v>187</v>
      </c>
      <c r="L85" s="51">
        <v>42009.0</v>
      </c>
      <c r="M85" s="51"/>
      <c r="N85" s="53" t="s">
        <v>129</v>
      </c>
      <c r="O85" s="60" t="s">
        <v>162</v>
      </c>
      <c r="P85" s="53" t="str">
        <f>vlookup(N85,Categorizations!A:C,3,FALSE)</f>
        <v>Pesticides</v>
      </c>
      <c r="Q85" s="55">
        <v>1.0</v>
      </c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</row>
    <row r="86" ht="22.5" customHeight="1">
      <c r="A86" s="16" t="s">
        <v>353</v>
      </c>
      <c r="C86" s="42">
        <v>42423.0</v>
      </c>
      <c r="D86" s="43" t="s">
        <v>42</v>
      </c>
      <c r="E86" s="44" t="s">
        <v>350</v>
      </c>
      <c r="F86" s="111" t="s">
        <v>177</v>
      </c>
      <c r="G86" s="162"/>
      <c r="H86" s="48"/>
      <c r="I86" s="49" t="s">
        <v>354</v>
      </c>
      <c r="J86" s="143"/>
      <c r="K86" s="50" t="s">
        <v>187</v>
      </c>
      <c r="L86" s="51">
        <v>42380.0</v>
      </c>
      <c r="M86" s="51"/>
      <c r="N86" s="53" t="s">
        <v>163</v>
      </c>
      <c r="O86" s="60" t="s">
        <v>162</v>
      </c>
      <c r="P86" s="53" t="str">
        <f>vlookup(N86,Categorizations!A:C,3,FALSE)</f>
        <v>Pesticides</v>
      </c>
      <c r="Q86" s="55">
        <v>1.0</v>
      </c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</row>
    <row r="87" ht="22.5" customHeight="1">
      <c r="A87" s="16" t="s">
        <v>356</v>
      </c>
      <c r="C87" s="42">
        <v>42424.0</v>
      </c>
      <c r="D87" s="43" t="s">
        <v>42</v>
      </c>
      <c r="E87" s="44" t="s">
        <v>355</v>
      </c>
      <c r="F87" s="111" t="s">
        <v>177</v>
      </c>
      <c r="G87" s="162"/>
      <c r="H87" s="48"/>
      <c r="I87" s="49" t="s">
        <v>357</v>
      </c>
      <c r="J87" s="143"/>
      <c r="K87" s="50" t="s">
        <v>187</v>
      </c>
      <c r="L87" s="51">
        <v>42367.0</v>
      </c>
      <c r="M87" s="51"/>
      <c r="N87" s="53" t="s">
        <v>164</v>
      </c>
      <c r="O87" s="60" t="s">
        <v>162</v>
      </c>
      <c r="P87" s="53" t="str">
        <f>vlookup(N87,Categorizations!A:C,3,FALSE)</f>
        <v>Pesticides</v>
      </c>
      <c r="Q87" s="55">
        <v>1.0</v>
      </c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</row>
    <row r="88" ht="22.5" customHeight="1">
      <c r="A88" s="16" t="s">
        <v>359</v>
      </c>
      <c r="C88" s="42">
        <v>42425.0</v>
      </c>
      <c r="D88" s="43" t="s">
        <v>42</v>
      </c>
      <c r="E88" s="44" t="s">
        <v>358</v>
      </c>
      <c r="F88" s="111" t="s">
        <v>177</v>
      </c>
      <c r="G88" s="162"/>
      <c r="H88" s="48"/>
      <c r="I88" s="49" t="s">
        <v>360</v>
      </c>
      <c r="J88" s="143"/>
      <c r="K88" s="50" t="s">
        <v>187</v>
      </c>
      <c r="L88" s="51">
        <v>42373.0</v>
      </c>
      <c r="M88" s="51"/>
      <c r="N88" s="53" t="s">
        <v>148</v>
      </c>
      <c r="O88" s="60" t="s">
        <v>162</v>
      </c>
      <c r="P88" s="53" t="str">
        <f>vlookup(N88,Categorizations!A:C,3,FALSE)</f>
        <v>Pesticides</v>
      </c>
      <c r="Q88" s="55">
        <v>1.0</v>
      </c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</row>
    <row r="89" ht="22.5" customHeight="1">
      <c r="A89" s="16" t="s">
        <v>364</v>
      </c>
      <c r="C89" s="42">
        <v>42436.0</v>
      </c>
      <c r="D89" s="43" t="s">
        <v>42</v>
      </c>
      <c r="E89" s="44" t="s">
        <v>361</v>
      </c>
      <c r="F89" s="111" t="s">
        <v>177</v>
      </c>
      <c r="G89" s="162"/>
      <c r="H89" s="48"/>
      <c r="I89" s="49" t="s">
        <v>365</v>
      </c>
      <c r="J89" s="143"/>
      <c r="K89" s="50" t="s">
        <v>120</v>
      </c>
      <c r="L89" s="51"/>
      <c r="M89" s="51"/>
      <c r="N89" s="53" t="s">
        <v>160</v>
      </c>
      <c r="O89" s="60" t="s">
        <v>162</v>
      </c>
      <c r="P89" s="53" t="str">
        <f>vlookup(N89,Categorizations!A:C,3,FALSE)</f>
        <v>Pesticides</v>
      </c>
      <c r="Q89" s="55">
        <v>1.0</v>
      </c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</row>
    <row r="90" ht="22.5" customHeight="1">
      <c r="A90" s="16" t="s">
        <v>368</v>
      </c>
      <c r="C90" s="42">
        <v>42438.0</v>
      </c>
      <c r="D90" s="43" t="s">
        <v>42</v>
      </c>
      <c r="E90" s="44" t="s">
        <v>366</v>
      </c>
      <c r="F90" s="111" t="s">
        <v>177</v>
      </c>
      <c r="G90" s="162"/>
      <c r="H90" s="48"/>
      <c r="I90" s="49" t="s">
        <v>369</v>
      </c>
      <c r="J90" s="143"/>
      <c r="K90" s="50" t="s">
        <v>187</v>
      </c>
      <c r="L90" s="51">
        <v>42403.0</v>
      </c>
      <c r="M90" s="51"/>
      <c r="N90" s="53" t="s">
        <v>199</v>
      </c>
      <c r="O90" s="60" t="s">
        <v>162</v>
      </c>
      <c r="P90" s="53" t="str">
        <f>vlookup(N90,Categorizations!A:C,3,FALSE)</f>
        <v>Pesticides</v>
      </c>
      <c r="Q90" s="55">
        <v>1.0</v>
      </c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</row>
    <row r="91" ht="22.5" customHeight="1">
      <c r="A91" s="16" t="s">
        <v>373</v>
      </c>
      <c r="C91" s="42">
        <v>42439.0</v>
      </c>
      <c r="D91" s="43" t="s">
        <v>42</v>
      </c>
      <c r="E91" s="44" t="s">
        <v>370</v>
      </c>
      <c r="F91" s="111" t="s">
        <v>177</v>
      </c>
      <c r="G91" s="162"/>
      <c r="H91" s="48"/>
      <c r="I91" s="49" t="s">
        <v>374</v>
      </c>
      <c r="J91" s="143"/>
      <c r="K91" s="50" t="s">
        <v>187</v>
      </c>
      <c r="L91" s="51">
        <v>42380.0</v>
      </c>
      <c r="M91" s="51"/>
      <c r="N91" s="53" t="s">
        <v>144</v>
      </c>
      <c r="O91" s="60" t="s">
        <v>162</v>
      </c>
      <c r="P91" s="53" t="str">
        <f>vlookup(N91,Categorizations!A:C,3,FALSE)</f>
        <v>Pesticides</v>
      </c>
      <c r="Q91" s="55">
        <v>1.0</v>
      </c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</row>
    <row r="92" ht="22.5" customHeight="1">
      <c r="A92" s="16" t="s">
        <v>379</v>
      </c>
      <c r="C92" s="42">
        <v>42439.0</v>
      </c>
      <c r="D92" s="43" t="s">
        <v>42</v>
      </c>
      <c r="E92" s="44" t="s">
        <v>376</v>
      </c>
      <c r="F92" s="111" t="s">
        <v>177</v>
      </c>
      <c r="G92" s="162"/>
      <c r="H92" s="48"/>
      <c r="I92" s="49" t="s">
        <v>380</v>
      </c>
      <c r="J92" s="143"/>
      <c r="K92" s="50" t="s">
        <v>120</v>
      </c>
      <c r="L92" s="51"/>
      <c r="M92" s="51"/>
      <c r="N92" s="53" t="s">
        <v>139</v>
      </c>
      <c r="O92" s="60" t="s">
        <v>162</v>
      </c>
      <c r="P92" s="53" t="str">
        <f>vlookup(N92,Categorizations!A:C,3,FALSE)</f>
        <v>Pesticides</v>
      </c>
      <c r="Q92" s="55">
        <v>1.0</v>
      </c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</row>
    <row r="93" ht="22.5" customHeight="1">
      <c r="A93" s="16" t="s">
        <v>383</v>
      </c>
      <c r="C93" s="42">
        <v>42443.0</v>
      </c>
      <c r="D93" s="43" t="s">
        <v>42</v>
      </c>
      <c r="E93" s="44" t="s">
        <v>381</v>
      </c>
      <c r="F93" s="111" t="s">
        <v>177</v>
      </c>
      <c r="G93" s="162"/>
      <c r="H93" s="48"/>
      <c r="I93" s="49" t="s">
        <v>384</v>
      </c>
      <c r="J93" s="143"/>
      <c r="K93" s="50" t="s">
        <v>187</v>
      </c>
      <c r="L93" s="51">
        <v>42405.0</v>
      </c>
      <c r="M93" s="51"/>
      <c r="N93" s="53" t="s">
        <v>129</v>
      </c>
      <c r="O93" s="60" t="s">
        <v>162</v>
      </c>
      <c r="P93" s="53" t="str">
        <f>vlookup(N93,Categorizations!A:C,3,FALSE)</f>
        <v>Pesticides</v>
      </c>
      <c r="Q93" s="55">
        <v>1.0</v>
      </c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</row>
    <row r="94" ht="22.5" customHeight="1">
      <c r="A94" s="16" t="s">
        <v>386</v>
      </c>
      <c r="C94" s="42">
        <v>42443.0</v>
      </c>
      <c r="D94" s="43" t="s">
        <v>42</v>
      </c>
      <c r="E94" s="44" t="s">
        <v>385</v>
      </c>
      <c r="F94" s="111" t="s">
        <v>177</v>
      </c>
      <c r="G94" s="162"/>
      <c r="H94" s="48"/>
      <c r="I94" s="49" t="s">
        <v>387</v>
      </c>
      <c r="J94" s="143"/>
      <c r="K94" s="50" t="s">
        <v>187</v>
      </c>
      <c r="L94" s="51">
        <v>42380.0</v>
      </c>
      <c r="M94" s="51"/>
      <c r="N94" s="53" t="s">
        <v>129</v>
      </c>
      <c r="O94" s="60" t="s">
        <v>162</v>
      </c>
      <c r="P94" s="53" t="str">
        <f>vlookup(N94,Categorizations!A:C,3,FALSE)</f>
        <v>Pesticides</v>
      </c>
      <c r="Q94" s="55">
        <v>1.0</v>
      </c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</row>
    <row r="95" ht="22.5" customHeight="1">
      <c r="A95" s="16" t="s">
        <v>390</v>
      </c>
      <c r="C95" s="42">
        <v>42446.0</v>
      </c>
      <c r="D95" s="43" t="s">
        <v>42</v>
      </c>
      <c r="E95" s="44" t="s">
        <v>388</v>
      </c>
      <c r="F95" s="111" t="s">
        <v>177</v>
      </c>
      <c r="G95" s="162"/>
      <c r="H95" s="48"/>
      <c r="I95" s="49" t="s">
        <v>391</v>
      </c>
      <c r="J95" s="143"/>
      <c r="K95" s="50" t="s">
        <v>187</v>
      </c>
      <c r="L95" s="51">
        <v>41733.0</v>
      </c>
      <c r="M95" s="51"/>
      <c r="N95" s="53" t="s">
        <v>175</v>
      </c>
      <c r="O95" s="60" t="s">
        <v>162</v>
      </c>
      <c r="P95" s="53" t="str">
        <f>vlookup(N95,Categorizations!A:C,3,FALSE)</f>
        <v>Pesticides</v>
      </c>
      <c r="Q95" s="55">
        <v>1.0</v>
      </c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</row>
    <row r="96" ht="22.5" customHeight="1">
      <c r="A96" s="16" t="s">
        <v>395</v>
      </c>
      <c r="C96" s="42">
        <v>42450.0</v>
      </c>
      <c r="D96" s="43" t="s">
        <v>42</v>
      </c>
      <c r="E96" s="44" t="s">
        <v>392</v>
      </c>
      <c r="F96" s="111" t="s">
        <v>177</v>
      </c>
      <c r="G96" s="162"/>
      <c r="H96" s="48"/>
      <c r="I96" s="49" t="s">
        <v>396</v>
      </c>
      <c r="J96" s="143"/>
      <c r="K96" s="50" t="s">
        <v>120</v>
      </c>
      <c r="L96" s="51"/>
      <c r="M96" s="51"/>
      <c r="N96" s="53" t="s">
        <v>175</v>
      </c>
      <c r="O96" s="60" t="s">
        <v>162</v>
      </c>
      <c r="P96" s="53" t="str">
        <f>vlookup(N96,Categorizations!A:C,3,FALSE)</f>
        <v>Pesticides</v>
      </c>
      <c r="Q96" s="55">
        <v>1.0</v>
      </c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</row>
    <row r="97" ht="22.5" customHeight="1">
      <c r="A97" s="16" t="s">
        <v>400</v>
      </c>
      <c r="C97" s="42">
        <v>42452.0</v>
      </c>
      <c r="D97" s="43" t="s">
        <v>42</v>
      </c>
      <c r="E97" s="44" t="s">
        <v>397</v>
      </c>
      <c r="F97" s="111" t="s">
        <v>177</v>
      </c>
      <c r="G97" s="162"/>
      <c r="H97" s="48"/>
      <c r="I97" s="49" t="s">
        <v>401</v>
      </c>
      <c r="J97" s="143"/>
      <c r="K97" s="50" t="s">
        <v>120</v>
      </c>
      <c r="L97" s="51"/>
      <c r="M97" s="51"/>
      <c r="N97" s="53" t="s">
        <v>163</v>
      </c>
      <c r="O97" s="60" t="s">
        <v>162</v>
      </c>
      <c r="P97" s="53" t="str">
        <f>vlookup(N97,Categorizations!A:C,3,FALSE)</f>
        <v>Pesticides</v>
      </c>
      <c r="Q97" s="55">
        <v>1.0</v>
      </c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</row>
    <row r="98" ht="22.5" customHeight="1">
      <c r="A98" s="16" t="s">
        <v>404</v>
      </c>
      <c r="C98" s="42">
        <v>42461.0</v>
      </c>
      <c r="D98" s="43" t="s">
        <v>42</v>
      </c>
      <c r="E98" s="44" t="s">
        <v>402</v>
      </c>
      <c r="F98" s="111" t="s">
        <v>177</v>
      </c>
      <c r="G98" s="162"/>
      <c r="H98" s="48"/>
      <c r="I98" s="49" t="s">
        <v>405</v>
      </c>
      <c r="J98" s="143"/>
      <c r="K98" s="50" t="s">
        <v>120</v>
      </c>
      <c r="L98" s="51"/>
      <c r="M98" s="51"/>
      <c r="N98" s="53" t="s">
        <v>139</v>
      </c>
      <c r="O98" s="60" t="s">
        <v>162</v>
      </c>
      <c r="P98" s="53" t="str">
        <f>vlookup(N98,Categorizations!A:C,3,FALSE)</f>
        <v>Pesticides</v>
      </c>
      <c r="Q98" s="55">
        <v>1.0</v>
      </c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</row>
    <row r="99" ht="22.5" customHeight="1">
      <c r="A99" s="16" t="s">
        <v>407</v>
      </c>
      <c r="C99" s="42">
        <v>42461.0</v>
      </c>
      <c r="D99" s="43" t="s">
        <v>42</v>
      </c>
      <c r="E99" s="44" t="s">
        <v>406</v>
      </c>
      <c r="F99" s="111" t="s">
        <v>177</v>
      </c>
      <c r="G99" s="162"/>
      <c r="H99" s="48"/>
      <c r="I99" s="49" t="s">
        <v>408</v>
      </c>
      <c r="J99" s="143"/>
      <c r="K99" s="50" t="s">
        <v>187</v>
      </c>
      <c r="L99" s="51">
        <v>42353.0</v>
      </c>
      <c r="M99" s="51"/>
      <c r="N99" s="53" t="s">
        <v>129</v>
      </c>
      <c r="O99" s="60" t="s">
        <v>162</v>
      </c>
      <c r="P99" s="53" t="str">
        <f>vlookup(N99,Categorizations!A:C,3,FALSE)</f>
        <v>Pesticides</v>
      </c>
      <c r="Q99" s="55">
        <v>1.0</v>
      </c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</row>
    <row r="100" ht="22.5" customHeight="1">
      <c r="A100" s="16" t="s">
        <v>411</v>
      </c>
      <c r="C100" s="42">
        <v>42465.0</v>
      </c>
      <c r="D100" s="43" t="s">
        <v>42</v>
      </c>
      <c r="E100" s="44" t="s">
        <v>409</v>
      </c>
      <c r="F100" s="111" t="s">
        <v>177</v>
      </c>
      <c r="G100" s="162"/>
      <c r="H100" s="48"/>
      <c r="I100" s="49" t="s">
        <v>412</v>
      </c>
      <c r="J100" s="143"/>
      <c r="K100" s="50" t="s">
        <v>187</v>
      </c>
      <c r="L100" s="51">
        <v>42415.0</v>
      </c>
      <c r="M100" s="51"/>
      <c r="N100" s="53" t="s">
        <v>129</v>
      </c>
      <c r="O100" s="60" t="s">
        <v>162</v>
      </c>
      <c r="P100" s="53" t="str">
        <f>vlookup(N100,Categorizations!A:C,3,FALSE)</f>
        <v>Pesticides</v>
      </c>
      <c r="Q100" s="55">
        <v>1.0</v>
      </c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</row>
    <row r="101" ht="22.5" customHeight="1">
      <c r="A101" s="16" t="s">
        <v>415</v>
      </c>
      <c r="C101" s="42">
        <v>42467.0</v>
      </c>
      <c r="D101" s="43" t="s">
        <v>42</v>
      </c>
      <c r="E101" s="44" t="s">
        <v>413</v>
      </c>
      <c r="F101" s="111" t="s">
        <v>177</v>
      </c>
      <c r="G101" s="162"/>
      <c r="H101" s="48"/>
      <c r="I101" s="49" t="s">
        <v>416</v>
      </c>
      <c r="J101" s="143"/>
      <c r="K101" s="50" t="s">
        <v>187</v>
      </c>
      <c r="L101" s="51">
        <v>42320.0</v>
      </c>
      <c r="M101" s="51"/>
      <c r="N101" s="53" t="s">
        <v>134</v>
      </c>
      <c r="O101" s="60" t="s">
        <v>162</v>
      </c>
      <c r="P101" s="53" t="str">
        <f>vlookup(N101,Categorizations!A:C,3,FALSE)</f>
        <v>Pesticides</v>
      </c>
      <c r="Q101" s="55">
        <v>1.0</v>
      </c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</row>
    <row r="102" ht="22.5" customHeight="1">
      <c r="A102" s="16" t="s">
        <v>420</v>
      </c>
      <c r="C102" s="42">
        <v>42467.0</v>
      </c>
      <c r="D102" s="43" t="s">
        <v>42</v>
      </c>
      <c r="E102" s="44" t="s">
        <v>417</v>
      </c>
      <c r="F102" s="111" t="s">
        <v>177</v>
      </c>
      <c r="G102" s="162"/>
      <c r="H102" s="48"/>
      <c r="I102" s="49" t="s">
        <v>421</v>
      </c>
      <c r="J102" s="143"/>
      <c r="K102" s="50" t="s">
        <v>187</v>
      </c>
      <c r="L102" s="51">
        <v>42041.0</v>
      </c>
      <c r="M102" s="51"/>
      <c r="N102" s="53" t="s">
        <v>131</v>
      </c>
      <c r="O102" s="60" t="s">
        <v>162</v>
      </c>
      <c r="P102" s="53" t="str">
        <f>vlookup(N102,Categorizations!A:C,3,FALSE)</f>
        <v>Pesticides</v>
      </c>
      <c r="Q102" s="55">
        <v>1.0</v>
      </c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</row>
    <row r="103" ht="22.5" customHeight="1">
      <c r="A103" s="16" t="s">
        <v>425</v>
      </c>
      <c r="C103" s="42">
        <v>42481.0</v>
      </c>
      <c r="D103" s="43" t="s">
        <v>42</v>
      </c>
      <c r="E103" s="44" t="s">
        <v>422</v>
      </c>
      <c r="F103" s="111" t="s">
        <v>177</v>
      </c>
      <c r="G103" s="162"/>
      <c r="H103" s="48"/>
      <c r="I103" s="49" t="s">
        <v>426</v>
      </c>
      <c r="J103" s="143"/>
      <c r="K103" s="50" t="s">
        <v>120</v>
      </c>
      <c r="L103" s="51"/>
      <c r="M103" s="51"/>
      <c r="N103" s="53" t="s">
        <v>129</v>
      </c>
      <c r="O103" s="60" t="s">
        <v>162</v>
      </c>
      <c r="P103" s="53" t="str">
        <f>vlookup(N103,Categorizations!A:C,3,FALSE)</f>
        <v>Pesticides</v>
      </c>
      <c r="Q103" s="55">
        <v>1.0</v>
      </c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</row>
    <row r="104" ht="22.5" customHeight="1">
      <c r="A104" s="16" t="s">
        <v>429</v>
      </c>
      <c r="C104" s="42">
        <v>42482.0</v>
      </c>
      <c r="D104" s="43" t="s">
        <v>42</v>
      </c>
      <c r="E104" s="44" t="s">
        <v>427</v>
      </c>
      <c r="F104" s="111" t="s">
        <v>177</v>
      </c>
      <c r="G104" s="162"/>
      <c r="I104" s="49" t="s">
        <v>430</v>
      </c>
      <c r="J104" s="143"/>
      <c r="K104" s="50" t="s">
        <v>187</v>
      </c>
      <c r="L104" s="51">
        <v>42430.0</v>
      </c>
      <c r="M104" s="51"/>
      <c r="N104" s="53" t="s">
        <v>139</v>
      </c>
      <c r="O104" s="60" t="s">
        <v>162</v>
      </c>
      <c r="P104" s="53" t="str">
        <f>vlookup(N104,Categorizations!A:C,3,FALSE)</f>
        <v>Pesticides</v>
      </c>
      <c r="Q104" s="55">
        <v>1.0</v>
      </c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</row>
    <row r="105" ht="22.5" customHeight="1">
      <c r="A105" s="16" t="s">
        <v>432</v>
      </c>
      <c r="C105" s="42">
        <v>42486.0</v>
      </c>
      <c r="D105" s="43" t="s">
        <v>42</v>
      </c>
      <c r="E105" s="44" t="s">
        <v>431</v>
      </c>
      <c r="F105" s="111" t="s">
        <v>177</v>
      </c>
      <c r="G105" s="162"/>
      <c r="I105" s="49" t="s">
        <v>433</v>
      </c>
      <c r="J105" s="143"/>
      <c r="K105" s="50" t="s">
        <v>187</v>
      </c>
      <c r="L105" s="51">
        <v>42404.0</v>
      </c>
      <c r="M105" s="51"/>
      <c r="N105" s="53" t="s">
        <v>139</v>
      </c>
      <c r="O105" s="60" t="s">
        <v>162</v>
      </c>
      <c r="P105" s="53" t="str">
        <f>vlookup(N105,Categorizations!A:C,3,FALSE)</f>
        <v>Pesticides</v>
      </c>
      <c r="Q105" s="55">
        <v>1.0</v>
      </c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</row>
    <row r="106" ht="22.5" customHeight="1">
      <c r="A106" s="16" t="s">
        <v>438</v>
      </c>
      <c r="C106" s="42">
        <v>42513.0</v>
      </c>
      <c r="D106" s="43" t="s">
        <v>42</v>
      </c>
      <c r="E106" s="164" t="s">
        <v>434</v>
      </c>
      <c r="F106" s="111" t="s">
        <v>177</v>
      </c>
      <c r="G106" s="162"/>
      <c r="I106" s="49" t="s">
        <v>439</v>
      </c>
      <c r="J106" s="143"/>
      <c r="K106" s="50" t="s">
        <v>187</v>
      </c>
      <c r="L106" s="51">
        <v>42164.0</v>
      </c>
      <c r="M106" s="51"/>
      <c r="N106" s="53" t="s">
        <v>122</v>
      </c>
      <c r="O106" s="60" t="s">
        <v>162</v>
      </c>
      <c r="P106" s="53" t="str">
        <f>vlookup(N106,Categorizations!A:C,3,FALSE)</f>
        <v>Pesticides</v>
      </c>
      <c r="Q106" s="55">
        <v>1.0</v>
      </c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</row>
    <row r="107" ht="22.5" customHeight="1">
      <c r="A107" s="16" t="s">
        <v>443</v>
      </c>
      <c r="C107" s="42">
        <v>42513.0</v>
      </c>
      <c r="D107" s="43" t="s">
        <v>42</v>
      </c>
      <c r="E107" s="44" t="s">
        <v>440</v>
      </c>
      <c r="F107" s="111" t="s">
        <v>177</v>
      </c>
      <c r="G107" s="162"/>
      <c r="I107" s="49" t="s">
        <v>444</v>
      </c>
      <c r="J107" s="143"/>
      <c r="K107" s="50" t="s">
        <v>187</v>
      </c>
      <c r="L107" s="51">
        <v>42495.0</v>
      </c>
      <c r="M107" s="51"/>
      <c r="N107" s="53" t="s">
        <v>118</v>
      </c>
      <c r="O107" s="60" t="s">
        <v>162</v>
      </c>
      <c r="P107" s="53" t="str">
        <f>vlookup(N107,Categorizations!A:C,3,FALSE)</f>
        <v>Pesticides</v>
      </c>
      <c r="Q107" s="55">
        <v>1.0</v>
      </c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</row>
    <row r="108" ht="22.5" customHeight="1">
      <c r="A108" s="16" t="s">
        <v>446</v>
      </c>
      <c r="C108" s="42">
        <v>42620.0</v>
      </c>
      <c r="D108" s="43" t="s">
        <v>42</v>
      </c>
      <c r="E108" s="44" t="s">
        <v>445</v>
      </c>
      <c r="F108" s="111" t="s">
        <v>177</v>
      </c>
      <c r="G108" s="162"/>
      <c r="I108" s="49" t="s">
        <v>447</v>
      </c>
      <c r="J108" s="143"/>
      <c r="K108" s="50" t="s">
        <v>120</v>
      </c>
      <c r="L108" s="51"/>
      <c r="M108" s="51"/>
      <c r="N108" s="53" t="s">
        <v>129</v>
      </c>
      <c r="O108" s="60" t="s">
        <v>162</v>
      </c>
      <c r="P108" s="53" t="str">
        <f>vlookup(N108,Categorizations!A:C,3,FALSE)</f>
        <v>Pesticides</v>
      </c>
      <c r="Q108" s="55">
        <v>1.0</v>
      </c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</row>
    <row r="109" ht="22.5" customHeight="1">
      <c r="A109" s="16" t="s">
        <v>449</v>
      </c>
      <c r="C109" s="42">
        <v>42620.0</v>
      </c>
      <c r="D109" s="43" t="s">
        <v>42</v>
      </c>
      <c r="E109" s="44" t="s">
        <v>448</v>
      </c>
      <c r="F109" s="111" t="s">
        <v>177</v>
      </c>
      <c r="G109" s="162"/>
      <c r="I109" s="49" t="s">
        <v>450</v>
      </c>
      <c r="J109" s="143"/>
      <c r="K109" s="50" t="s">
        <v>187</v>
      </c>
      <c r="L109" s="51">
        <v>42542.0</v>
      </c>
      <c r="M109" s="51"/>
      <c r="N109" s="53" t="s">
        <v>113</v>
      </c>
      <c r="O109" s="60" t="s">
        <v>162</v>
      </c>
      <c r="P109" s="53" t="str">
        <f>vlookup(N109,Categorizations!A:C,3,FALSE)</f>
        <v>Pesticides</v>
      </c>
      <c r="Q109" s="55">
        <v>1.0</v>
      </c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</row>
    <row r="110" ht="22.5" customHeight="1">
      <c r="A110" s="16" t="s">
        <v>454</v>
      </c>
      <c r="C110" s="42">
        <v>42626.0</v>
      </c>
      <c r="D110" s="43" t="s">
        <v>42</v>
      </c>
      <c r="E110" s="44" t="s">
        <v>451</v>
      </c>
      <c r="F110" s="111" t="s">
        <v>177</v>
      </c>
      <c r="G110" s="162"/>
      <c r="I110" s="49" t="s">
        <v>455</v>
      </c>
      <c r="J110" s="143"/>
      <c r="K110" s="50" t="s">
        <v>187</v>
      </c>
      <c r="L110" s="51">
        <v>42580.0</v>
      </c>
      <c r="M110" s="51"/>
      <c r="N110" s="53" t="s">
        <v>108</v>
      </c>
      <c r="O110" s="60" t="s">
        <v>162</v>
      </c>
      <c r="P110" s="53" t="str">
        <f>vlookup(N110,Categorizations!A:C,3,FALSE)</f>
        <v>Pesticides</v>
      </c>
      <c r="Q110" s="55">
        <v>1.0</v>
      </c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</row>
    <row r="111" ht="22.5" customHeight="1">
      <c r="A111" s="16" t="s">
        <v>458</v>
      </c>
      <c r="C111" s="42">
        <v>42626.0</v>
      </c>
      <c r="D111" s="43" t="s">
        <v>42</v>
      </c>
      <c r="E111" s="44" t="s">
        <v>456</v>
      </c>
      <c r="F111" s="111" t="s">
        <v>177</v>
      </c>
      <c r="G111" s="162"/>
      <c r="I111" s="49" t="s">
        <v>459</v>
      </c>
      <c r="J111" s="143"/>
      <c r="K111" s="50" t="s">
        <v>187</v>
      </c>
      <c r="L111" s="51">
        <v>42494.0</v>
      </c>
      <c r="M111" s="51"/>
      <c r="N111" s="53" t="s">
        <v>129</v>
      </c>
      <c r="O111" s="60" t="s">
        <v>162</v>
      </c>
      <c r="P111" s="53" t="str">
        <f>vlookup(N111,Categorizations!A:C,3,FALSE)</f>
        <v>Pesticides</v>
      </c>
      <c r="Q111" s="55">
        <v>1.0</v>
      </c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</row>
    <row r="112" ht="22.5" customHeight="1">
      <c r="A112" s="16" t="s">
        <v>461</v>
      </c>
      <c r="C112" s="42">
        <v>42636.0</v>
      </c>
      <c r="D112" s="43" t="s">
        <v>42</v>
      </c>
      <c r="E112" s="44" t="s">
        <v>460</v>
      </c>
      <c r="F112" s="111" t="s">
        <v>177</v>
      </c>
      <c r="G112" s="162"/>
      <c r="I112" s="49" t="s">
        <v>462</v>
      </c>
      <c r="J112" s="143"/>
      <c r="K112" s="50" t="s">
        <v>187</v>
      </c>
      <c r="L112" s="51">
        <v>42630.0</v>
      </c>
      <c r="M112" s="51"/>
      <c r="N112" s="53" t="s">
        <v>129</v>
      </c>
      <c r="O112" s="60" t="s">
        <v>162</v>
      </c>
      <c r="P112" s="53" t="str">
        <f>vlookup(N112,Categorizations!A:C,3,FALSE)</f>
        <v>Pesticides</v>
      </c>
      <c r="Q112" s="55">
        <v>1.0</v>
      </c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</row>
    <row r="113" ht="22.5" customHeight="1">
      <c r="A113" s="16" t="s">
        <v>466</v>
      </c>
      <c r="C113" s="42">
        <v>42636.0</v>
      </c>
      <c r="D113" s="43" t="s">
        <v>42</v>
      </c>
      <c r="E113" s="44" t="s">
        <v>463</v>
      </c>
      <c r="F113" s="111" t="s">
        <v>177</v>
      </c>
      <c r="G113" s="162"/>
      <c r="I113" s="49" t="s">
        <v>467</v>
      </c>
      <c r="J113" s="143"/>
      <c r="K113" s="50" t="s">
        <v>187</v>
      </c>
      <c r="L113" s="51">
        <v>42544.0</v>
      </c>
      <c r="M113" s="51"/>
      <c r="N113" s="53" t="s">
        <v>129</v>
      </c>
      <c r="O113" s="60" t="s">
        <v>162</v>
      </c>
      <c r="P113" s="53" t="str">
        <f>vlookup(N113,Categorizations!A:C,3,FALSE)</f>
        <v>Pesticides</v>
      </c>
      <c r="Q113" s="55">
        <v>1.0</v>
      </c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</row>
    <row r="114" ht="22.5" customHeight="1">
      <c r="A114" s="16" t="s">
        <v>471</v>
      </c>
      <c r="C114" s="42">
        <v>42662.0</v>
      </c>
      <c r="D114" s="43" t="s">
        <v>42</v>
      </c>
      <c r="E114" s="44" t="s">
        <v>468</v>
      </c>
      <c r="F114" s="111" t="s">
        <v>177</v>
      </c>
      <c r="G114" s="162"/>
      <c r="I114" s="150" t="s">
        <v>472</v>
      </c>
      <c r="J114" s="143"/>
      <c r="K114" s="50" t="s">
        <v>187</v>
      </c>
      <c r="L114" s="96">
        <v>42585.0</v>
      </c>
      <c r="M114" s="151"/>
      <c r="N114" s="53" t="s">
        <v>129</v>
      </c>
      <c r="O114" s="60" t="s">
        <v>162</v>
      </c>
      <c r="P114" s="53" t="str">
        <f>vlookup(N114,Categorizations!A:C,3,FALSE)</f>
        <v>Pesticides</v>
      </c>
      <c r="Q114" s="55">
        <v>1.0</v>
      </c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</row>
    <row r="115" ht="22.5" customHeight="1">
      <c r="A115" s="16" t="s">
        <v>484</v>
      </c>
      <c r="C115" s="42">
        <v>42851.0</v>
      </c>
      <c r="D115" s="43" t="s">
        <v>42</v>
      </c>
      <c r="E115" s="44" t="s">
        <v>482</v>
      </c>
      <c r="F115" s="111" t="s">
        <v>177</v>
      </c>
      <c r="G115" s="162"/>
      <c r="H115" s="48"/>
      <c r="I115" s="49" t="s">
        <v>485</v>
      </c>
      <c r="J115" s="143"/>
      <c r="K115" s="50" t="s">
        <v>187</v>
      </c>
      <c r="L115" s="51">
        <v>42837.0</v>
      </c>
      <c r="M115" s="51"/>
      <c r="N115" s="53" t="s">
        <v>105</v>
      </c>
      <c r="O115" s="60" t="s">
        <v>162</v>
      </c>
      <c r="P115" s="53" t="str">
        <f>vlookup(N115,Categorizations!A:C,3,FALSE)</f>
        <v>Pesticides</v>
      </c>
      <c r="Q115" s="55">
        <v>1.0</v>
      </c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</row>
    <row r="116" ht="22.5" customHeight="1">
      <c r="A116" s="16" t="s">
        <v>487</v>
      </c>
      <c r="C116" s="42">
        <v>42851.0</v>
      </c>
      <c r="D116" s="43" t="s">
        <v>42</v>
      </c>
      <c r="E116" s="44" t="s">
        <v>486</v>
      </c>
      <c r="F116" s="111" t="s">
        <v>177</v>
      </c>
      <c r="G116" s="162"/>
      <c r="H116" s="48"/>
      <c r="I116" s="49" t="s">
        <v>488</v>
      </c>
      <c r="J116" s="143"/>
      <c r="K116" s="50" t="s">
        <v>187</v>
      </c>
      <c r="L116" s="51">
        <v>42837.0</v>
      </c>
      <c r="M116" s="51"/>
      <c r="N116" s="53" t="s">
        <v>105</v>
      </c>
      <c r="O116" s="60" t="s">
        <v>162</v>
      </c>
      <c r="P116" s="53" t="str">
        <f>vlookup(N116,Categorizations!A:C,3,FALSE)</f>
        <v>Pesticides</v>
      </c>
      <c r="Q116" s="55">
        <v>1.0</v>
      </c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</row>
    <row r="117" ht="22.5" customHeight="1">
      <c r="A117" s="16" t="s">
        <v>493</v>
      </c>
      <c r="C117" s="42">
        <v>42940.0</v>
      </c>
      <c r="D117" s="43" t="s">
        <v>42</v>
      </c>
      <c r="E117" s="44" t="s">
        <v>491</v>
      </c>
      <c r="F117" s="111" t="s">
        <v>177</v>
      </c>
      <c r="G117" s="162"/>
      <c r="H117" s="48"/>
      <c r="I117" s="49" t="s">
        <v>494</v>
      </c>
      <c r="J117" s="143"/>
      <c r="K117" s="50" t="s">
        <v>187</v>
      </c>
      <c r="L117" s="51">
        <v>42919.0</v>
      </c>
      <c r="M117" s="51"/>
      <c r="N117" s="53" t="s">
        <v>100</v>
      </c>
      <c r="O117" s="60" t="s">
        <v>162</v>
      </c>
      <c r="P117" s="53" t="str">
        <f>vlookup(N117,Categorizations!A:C,3,FALSE)</f>
        <v>Pesticides</v>
      </c>
      <c r="Q117" s="55">
        <v>1.0</v>
      </c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</row>
    <row r="118" ht="22.5" customHeight="1">
      <c r="A118" s="16" t="s">
        <v>498</v>
      </c>
      <c r="C118" s="42">
        <v>42940.0</v>
      </c>
      <c r="D118" s="43" t="s">
        <v>42</v>
      </c>
      <c r="E118" s="44" t="s">
        <v>496</v>
      </c>
      <c r="F118" s="111" t="s">
        <v>177</v>
      </c>
      <c r="G118" s="162"/>
      <c r="H118" s="48"/>
      <c r="I118" s="49" t="s">
        <v>499</v>
      </c>
      <c r="J118" s="143"/>
      <c r="K118" s="50" t="s">
        <v>187</v>
      </c>
      <c r="L118" s="51">
        <v>42920.0</v>
      </c>
      <c r="M118" s="51"/>
      <c r="N118" s="53" t="s">
        <v>100</v>
      </c>
      <c r="O118" s="60" t="s">
        <v>162</v>
      </c>
      <c r="P118" s="53" t="str">
        <f>vlookup(N118,Categorizations!A:C,3,FALSE)</f>
        <v>Pesticides</v>
      </c>
      <c r="Q118" s="55">
        <v>1.0</v>
      </c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</row>
    <row r="119" ht="22.5" customHeight="1">
      <c r="A119" s="16" t="s">
        <v>505</v>
      </c>
      <c r="C119" s="42">
        <v>43000.0</v>
      </c>
      <c r="D119" s="43" t="s">
        <v>42</v>
      </c>
      <c r="E119" s="44" t="s">
        <v>503</v>
      </c>
      <c r="F119" s="111" t="s">
        <v>177</v>
      </c>
      <c r="G119" s="166"/>
      <c r="H119" s="95"/>
      <c r="I119" s="66" t="s">
        <v>506</v>
      </c>
      <c r="J119" s="143"/>
      <c r="K119" s="111" t="s">
        <v>187</v>
      </c>
      <c r="L119" s="96">
        <v>42989.0</v>
      </c>
      <c r="M119" s="96"/>
      <c r="N119" s="53" t="s">
        <v>139</v>
      </c>
      <c r="O119" s="60" t="s">
        <v>162</v>
      </c>
      <c r="P119" s="53" t="str">
        <f>vlookup(N119,Categorizations!A:C,3,FALSE)</f>
        <v>Pesticides</v>
      </c>
      <c r="Q119" s="55">
        <v>1.0</v>
      </c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</row>
    <row r="120" ht="22.5" customHeight="1">
      <c r="A120" s="16" t="s">
        <v>509</v>
      </c>
      <c r="C120" s="42">
        <v>43042.0</v>
      </c>
      <c r="D120" s="43" t="s">
        <v>42</v>
      </c>
      <c r="E120" s="44" t="s">
        <v>507</v>
      </c>
      <c r="F120" s="111" t="s">
        <v>177</v>
      </c>
      <c r="G120" s="162"/>
      <c r="H120" s="48"/>
      <c r="I120" s="49" t="s">
        <v>510</v>
      </c>
      <c r="J120" s="143"/>
      <c r="K120" s="50" t="s">
        <v>187</v>
      </c>
      <c r="L120" s="51">
        <v>42833.0</v>
      </c>
      <c r="M120" s="51"/>
      <c r="N120" s="53" t="s">
        <v>129</v>
      </c>
      <c r="O120" s="60" t="s">
        <v>162</v>
      </c>
      <c r="P120" s="53" t="str">
        <f>vlookup(N120,Categorizations!A:C,3,FALSE)</f>
        <v>Pesticides</v>
      </c>
      <c r="Q120" s="55">
        <v>1.0</v>
      </c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</row>
    <row r="121" ht="22.5" customHeight="1">
      <c r="A121" s="16" t="s">
        <v>514</v>
      </c>
      <c r="C121" s="42">
        <v>43056.0</v>
      </c>
      <c r="D121" s="43" t="s">
        <v>42</v>
      </c>
      <c r="E121" s="44" t="s">
        <v>511</v>
      </c>
      <c r="F121" s="111" t="s">
        <v>177</v>
      </c>
      <c r="G121" s="162"/>
      <c r="H121" s="48"/>
      <c r="I121" s="49" t="s">
        <v>515</v>
      </c>
      <c r="J121" s="143"/>
      <c r="K121" s="50" t="s">
        <v>187</v>
      </c>
      <c r="L121" s="51">
        <v>42746.0</v>
      </c>
      <c r="M121" s="51"/>
      <c r="N121" s="53" t="s">
        <v>129</v>
      </c>
      <c r="O121" s="60" t="s">
        <v>162</v>
      </c>
      <c r="P121" s="53" t="str">
        <f>vlookup(N121,Categorizations!A:C,3,FALSE)</f>
        <v>Pesticides</v>
      </c>
      <c r="Q121" s="55">
        <v>1.0</v>
      </c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</row>
    <row r="122" ht="22.5" customHeight="1">
      <c r="A122" s="16" t="s">
        <v>519</v>
      </c>
      <c r="C122" s="42">
        <v>43061.0</v>
      </c>
      <c r="D122" s="43" t="s">
        <v>42</v>
      </c>
      <c r="E122" s="44" t="s">
        <v>516</v>
      </c>
      <c r="F122" s="111" t="s">
        <v>177</v>
      </c>
      <c r="G122" s="162"/>
      <c r="H122" s="48"/>
      <c r="I122" s="49" t="s">
        <v>520</v>
      </c>
      <c r="J122" s="143"/>
      <c r="K122" s="50" t="s">
        <v>187</v>
      </c>
      <c r="L122" s="51">
        <v>42949.0</v>
      </c>
      <c r="M122" s="51"/>
      <c r="N122" s="53" t="s">
        <v>129</v>
      </c>
      <c r="O122" s="60" t="s">
        <v>162</v>
      </c>
      <c r="P122" s="53" t="str">
        <f>vlookup(N122,Categorizations!A:C,3,FALSE)</f>
        <v>Pesticides</v>
      </c>
      <c r="Q122" s="55">
        <v>1.0</v>
      </c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</row>
    <row r="123" ht="22.5" customHeight="1">
      <c r="A123" s="16" t="s">
        <v>527</v>
      </c>
      <c r="C123" s="42">
        <v>43124.0</v>
      </c>
      <c r="D123" s="43" t="s">
        <v>42</v>
      </c>
      <c r="E123" s="44" t="s">
        <v>526</v>
      </c>
      <c r="F123" s="111" t="s">
        <v>177</v>
      </c>
      <c r="G123" s="162"/>
      <c r="H123" s="48"/>
      <c r="I123" s="49" t="s">
        <v>528</v>
      </c>
      <c r="J123" s="169"/>
      <c r="K123" s="50" t="s">
        <v>120</v>
      </c>
      <c r="L123" s="51"/>
      <c r="M123" s="51"/>
      <c r="N123" s="53" t="s">
        <v>518</v>
      </c>
      <c r="O123" s="60" t="s">
        <v>162</v>
      </c>
      <c r="P123" s="53" t="str">
        <f>vlookup(N123,Categorizations!A:C,3,FALSE)</f>
        <v>Prohibited Additives / Product</v>
      </c>
      <c r="Q123" s="55">
        <v>1.0</v>
      </c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</row>
    <row r="124" ht="22.5" customHeight="1">
      <c r="A124" s="16" t="s">
        <v>533</v>
      </c>
      <c r="C124" s="42">
        <v>43425.0</v>
      </c>
      <c r="D124" s="43" t="s">
        <v>42</v>
      </c>
      <c r="E124" s="44" t="s">
        <v>531</v>
      </c>
      <c r="F124" s="111" t="s">
        <v>177</v>
      </c>
      <c r="G124" s="162"/>
      <c r="H124" s="48"/>
      <c r="I124" s="49" t="s">
        <v>534</v>
      </c>
      <c r="J124" s="114"/>
      <c r="K124" s="50" t="s">
        <v>187</v>
      </c>
      <c r="L124" s="51">
        <v>43013.0</v>
      </c>
      <c r="M124" s="51"/>
      <c r="N124" s="53" t="s">
        <v>95</v>
      </c>
      <c r="O124" s="60" t="s">
        <v>162</v>
      </c>
      <c r="P124" s="53" t="str">
        <f>vlookup(N124,Categorizations!A:C,3,FALSE)</f>
        <v>Pesticides</v>
      </c>
      <c r="Q124" s="55">
        <v>1.0</v>
      </c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</row>
    <row r="125" ht="22.5" customHeight="1">
      <c r="A125" s="16" t="s">
        <v>540</v>
      </c>
      <c r="C125" s="42">
        <v>43432.0</v>
      </c>
      <c r="D125" s="43" t="s">
        <v>42</v>
      </c>
      <c r="E125" s="44" t="s">
        <v>537</v>
      </c>
      <c r="F125" s="111" t="s">
        <v>177</v>
      </c>
      <c r="G125" s="162"/>
      <c r="H125" s="48"/>
      <c r="I125" s="49" t="s">
        <v>541</v>
      </c>
      <c r="J125" s="143"/>
      <c r="K125" s="50" t="s">
        <v>187</v>
      </c>
      <c r="L125" s="51">
        <v>43270.0</v>
      </c>
      <c r="M125" s="51"/>
      <c r="N125" s="53" t="s">
        <v>89</v>
      </c>
      <c r="O125" s="60" t="s">
        <v>162</v>
      </c>
      <c r="P125" s="53" t="str">
        <f>vlookup(N125,Categorizations!A:C,3,FALSE)</f>
        <v>Pesticides</v>
      </c>
      <c r="Q125" s="55">
        <v>1.0</v>
      </c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</row>
    <row r="126" ht="22.5" customHeight="1">
      <c r="A126" s="16" t="s">
        <v>560</v>
      </c>
      <c r="C126" s="42">
        <v>43566.0</v>
      </c>
      <c r="D126" s="43" t="s">
        <v>42</v>
      </c>
      <c r="E126" s="44" t="s">
        <v>558</v>
      </c>
      <c r="F126" s="111" t="s">
        <v>177</v>
      </c>
      <c r="G126" s="162"/>
      <c r="H126" s="48"/>
      <c r="I126" s="49" t="s">
        <v>561</v>
      </c>
      <c r="J126" s="114"/>
      <c r="K126" s="50" t="s">
        <v>187</v>
      </c>
      <c r="L126" s="51">
        <v>43530.0</v>
      </c>
      <c r="M126" s="51"/>
      <c r="N126" s="53" t="s">
        <v>79</v>
      </c>
      <c r="O126" s="60" t="s">
        <v>162</v>
      </c>
      <c r="P126" s="53" t="str">
        <f>vlookup(N126,Categorizations!A:C,3,FALSE)</f>
        <v>Pesticides</v>
      </c>
      <c r="Q126" s="55">
        <v>1.0</v>
      </c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</row>
    <row r="127" ht="22.5" customHeight="1">
      <c r="A127" s="16" t="s">
        <v>597</v>
      </c>
      <c r="C127" s="42">
        <v>43693.0</v>
      </c>
      <c r="D127" s="43" t="s">
        <v>42</v>
      </c>
      <c r="E127" s="44" t="s">
        <v>595</v>
      </c>
      <c r="F127" s="111" t="s">
        <v>177</v>
      </c>
      <c r="G127" s="162"/>
      <c r="H127" s="48"/>
      <c r="I127" s="49" t="s">
        <v>598</v>
      </c>
      <c r="J127" s="114"/>
      <c r="K127" s="50" t="s">
        <v>187</v>
      </c>
      <c r="L127" s="51">
        <v>43501.0</v>
      </c>
      <c r="M127" s="51"/>
      <c r="N127" s="53" t="s">
        <v>419</v>
      </c>
      <c r="O127" s="60" t="s">
        <v>162</v>
      </c>
      <c r="P127" s="53" t="str">
        <f>vlookup(N127,Categorizations!A:C,3,FALSE)</f>
        <v>Heavy Metal</v>
      </c>
      <c r="Q127" s="55">
        <v>1.0</v>
      </c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</row>
    <row r="128" ht="22.5" customHeight="1">
      <c r="A128" s="16" t="s">
        <v>614</v>
      </c>
      <c r="C128" s="42">
        <v>43791.0</v>
      </c>
      <c r="D128" s="43" t="s">
        <v>42</v>
      </c>
      <c r="E128" s="44" t="s">
        <v>611</v>
      </c>
      <c r="F128" s="111" t="s">
        <v>177</v>
      </c>
      <c r="G128" s="166"/>
      <c r="H128" s="95"/>
      <c r="I128" s="66" t="s">
        <v>615</v>
      </c>
      <c r="J128" s="114"/>
      <c r="K128" s="111" t="s">
        <v>187</v>
      </c>
      <c r="L128" s="96">
        <v>43746.0</v>
      </c>
      <c r="M128" s="96"/>
      <c r="N128" s="53" t="s">
        <v>419</v>
      </c>
      <c r="O128" s="60" t="s">
        <v>162</v>
      </c>
      <c r="P128" s="53" t="str">
        <f>vlookup(N128,Categorizations!A:C,3,FALSE)</f>
        <v>Heavy Metal</v>
      </c>
      <c r="Q128" s="55">
        <v>1.0</v>
      </c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</row>
    <row r="129" ht="22.5" customHeight="1">
      <c r="A129" s="16" t="s">
        <v>644</v>
      </c>
      <c r="C129" s="42">
        <v>43894.0</v>
      </c>
      <c r="D129" s="43" t="s">
        <v>42</v>
      </c>
      <c r="E129" s="44" t="s">
        <v>642</v>
      </c>
      <c r="F129" s="111" t="s">
        <v>177</v>
      </c>
      <c r="G129" s="166"/>
      <c r="H129" s="95"/>
      <c r="I129" s="66" t="s">
        <v>645</v>
      </c>
      <c r="J129" s="114"/>
      <c r="K129" s="111" t="s">
        <v>120</v>
      </c>
      <c r="L129" s="96"/>
      <c r="M129" s="96"/>
      <c r="N129" s="53" t="s">
        <v>508</v>
      </c>
      <c r="O129" s="60" t="s">
        <v>162</v>
      </c>
      <c r="P129" s="53" t="str">
        <f>vlookup(N129,Categorizations!A:C,3,FALSE)</f>
        <v>Other</v>
      </c>
      <c r="Q129" s="55">
        <v>1.0</v>
      </c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</row>
    <row r="130" ht="22.5" customHeight="1">
      <c r="A130" s="16" t="s">
        <v>652</v>
      </c>
      <c r="C130" s="42">
        <v>44022.0</v>
      </c>
      <c r="D130" s="43" t="s">
        <v>42</v>
      </c>
      <c r="E130" s="44" t="s">
        <v>651</v>
      </c>
      <c r="F130" s="111" t="s">
        <v>177</v>
      </c>
      <c r="G130" s="166"/>
      <c r="H130" s="95"/>
      <c r="I130" s="66" t="s">
        <v>653</v>
      </c>
      <c r="J130" s="114"/>
      <c r="K130" s="111" t="s">
        <v>187</v>
      </c>
      <c r="L130" s="96">
        <v>43878.0</v>
      </c>
      <c r="M130" s="96"/>
      <c r="N130" s="53" t="s">
        <v>71</v>
      </c>
      <c r="O130" s="60" t="s">
        <v>162</v>
      </c>
      <c r="P130" s="53" t="str">
        <f>vlookup(N130,Categorizations!A:C,3,FALSE)</f>
        <v>Pesticides</v>
      </c>
      <c r="Q130" s="55">
        <v>1.0</v>
      </c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</row>
    <row r="131" ht="22.5" customHeight="1">
      <c r="A131" s="16" t="s">
        <v>663</v>
      </c>
      <c r="C131" s="42">
        <v>44069.0</v>
      </c>
      <c r="D131" s="43" t="s">
        <v>42</v>
      </c>
      <c r="E131" s="44" t="s">
        <v>661</v>
      </c>
      <c r="F131" s="111" t="s">
        <v>177</v>
      </c>
      <c r="G131" s="166"/>
      <c r="H131" s="95"/>
      <c r="I131" s="66" t="s">
        <v>664</v>
      </c>
      <c r="J131" s="114"/>
      <c r="K131" s="111" t="s">
        <v>636</v>
      </c>
      <c r="L131" s="96">
        <v>43983.0</v>
      </c>
      <c r="M131" s="96"/>
      <c r="N131" s="53" t="s">
        <v>596</v>
      </c>
      <c r="O131" s="60" t="s">
        <v>162</v>
      </c>
      <c r="P131" s="53" t="str">
        <f>vlookup(N131,Categorizations!A:C,3,FALSE)</f>
        <v>Aspergillus</v>
      </c>
      <c r="Q131" s="55">
        <v>1.0</v>
      </c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</row>
    <row r="132" ht="22.5" customHeight="1">
      <c r="A132" s="16" t="s">
        <v>670</v>
      </c>
      <c r="C132" s="42">
        <v>44112.0</v>
      </c>
      <c r="D132" s="43" t="s">
        <v>42</v>
      </c>
      <c r="E132" s="44" t="s">
        <v>668</v>
      </c>
      <c r="F132" s="111" t="s">
        <v>177</v>
      </c>
      <c r="G132" s="166"/>
      <c r="H132" s="95"/>
      <c r="I132" s="66" t="s">
        <v>671</v>
      </c>
      <c r="J132" s="114"/>
      <c r="K132" s="111" t="s">
        <v>187</v>
      </c>
      <c r="L132" s="96">
        <v>44000.0</v>
      </c>
      <c r="M132" s="96"/>
      <c r="N132" s="53" t="s">
        <v>284</v>
      </c>
      <c r="O132" s="60" t="s">
        <v>162</v>
      </c>
      <c r="P132" s="53" t="str">
        <f>vlookup(N132,Categorizations!A:C,3,FALSE)</f>
        <v>Mold</v>
      </c>
      <c r="Q132" s="55">
        <v>1.0</v>
      </c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</row>
    <row r="133" ht="22.5" customHeight="1">
      <c r="A133" s="16" t="s">
        <v>674</v>
      </c>
      <c r="C133" s="42">
        <v>44140.0</v>
      </c>
      <c r="D133" s="43" t="s">
        <v>42</v>
      </c>
      <c r="E133" s="44" t="s">
        <v>673</v>
      </c>
      <c r="F133" s="111" t="s">
        <v>177</v>
      </c>
      <c r="G133" s="162"/>
      <c r="H133" s="48"/>
      <c r="I133" s="49" t="s">
        <v>675</v>
      </c>
      <c r="J133" s="114"/>
      <c r="K133" s="50" t="s">
        <v>636</v>
      </c>
      <c r="L133" s="51">
        <v>43971.0</v>
      </c>
      <c r="M133" s="51"/>
      <c r="N133" s="53" t="s">
        <v>596</v>
      </c>
      <c r="O133" s="60" t="s">
        <v>162</v>
      </c>
      <c r="P133" s="53" t="str">
        <f>vlookup(N133,Categorizations!A:C,3,FALSE)</f>
        <v>Aspergillus</v>
      </c>
      <c r="Q133" s="55">
        <v>1.0</v>
      </c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</row>
    <row r="134" ht="22.5" customHeight="1">
      <c r="A134" s="16" t="s">
        <v>689</v>
      </c>
      <c r="C134" s="42">
        <v>44204.0</v>
      </c>
      <c r="D134" s="43" t="s">
        <v>42</v>
      </c>
      <c r="E134" s="44" t="s">
        <v>687</v>
      </c>
      <c r="F134" s="111" t="s">
        <v>177</v>
      </c>
      <c r="G134" s="162"/>
      <c r="H134" s="48"/>
      <c r="I134" s="49" t="s">
        <v>690</v>
      </c>
      <c r="J134" s="114"/>
      <c r="K134" s="50" t="s">
        <v>636</v>
      </c>
      <c r="L134" s="51">
        <v>44130.0</v>
      </c>
      <c r="M134" s="51"/>
      <c r="N134" s="53" t="s">
        <v>596</v>
      </c>
      <c r="O134" s="60" t="s">
        <v>162</v>
      </c>
      <c r="P134" s="53" t="str">
        <f>vlookup(N134,Categorizations!A:C,3,FALSE)</f>
        <v>Aspergillus</v>
      </c>
      <c r="Q134" s="55">
        <v>1.0</v>
      </c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</row>
    <row r="135" ht="22.5" customHeight="1">
      <c r="A135" s="16" t="s">
        <v>693</v>
      </c>
      <c r="C135" s="42">
        <v>44237.0</v>
      </c>
      <c r="D135" s="43" t="s">
        <v>42</v>
      </c>
      <c r="E135" s="44" t="s">
        <v>692</v>
      </c>
      <c r="F135" s="111" t="s">
        <v>177</v>
      </c>
      <c r="G135" s="162"/>
      <c r="H135" s="48"/>
      <c r="I135" s="49" t="s">
        <v>695</v>
      </c>
      <c r="J135" s="114"/>
      <c r="K135" s="50" t="s">
        <v>636</v>
      </c>
      <c r="L135" s="51">
        <v>44090.0</v>
      </c>
      <c r="M135" s="51"/>
      <c r="N135" s="53" t="s">
        <v>428</v>
      </c>
      <c r="O135" s="60" t="s">
        <v>162</v>
      </c>
      <c r="P135" s="53" t="str">
        <f>vlookup(N135,Categorizations!A:C,3,FALSE)</f>
        <v>Microbial</v>
      </c>
      <c r="Q135" s="55">
        <v>1.0</v>
      </c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</row>
    <row r="136" ht="22.5" customHeight="1">
      <c r="A136" s="16" t="s">
        <v>708</v>
      </c>
      <c r="C136" s="42">
        <v>44286.0</v>
      </c>
      <c r="D136" s="43" t="s">
        <v>42</v>
      </c>
      <c r="E136" s="44" t="s">
        <v>706</v>
      </c>
      <c r="F136" s="111" t="s">
        <v>177</v>
      </c>
      <c r="G136" s="162"/>
      <c r="H136" s="48"/>
      <c r="I136" s="49" t="s">
        <v>709</v>
      </c>
      <c r="J136" s="114"/>
      <c r="K136" s="50" t="s">
        <v>636</v>
      </c>
      <c r="L136" s="51">
        <v>44152.0</v>
      </c>
      <c r="M136" s="51">
        <v>44166.0</v>
      </c>
      <c r="N136" s="53" t="s">
        <v>291</v>
      </c>
      <c r="O136" s="60" t="s">
        <v>162</v>
      </c>
      <c r="P136" s="53" t="str">
        <f>vlookup(N136,Categorizations!A:C,3,FALSE)</f>
        <v>Heavy Metal</v>
      </c>
      <c r="Q136" s="55">
        <v>1.0</v>
      </c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</row>
    <row r="137" ht="22.5" customHeight="1">
      <c r="A137" s="16" t="s">
        <v>715</v>
      </c>
      <c r="C137" s="42">
        <v>44305.0</v>
      </c>
      <c r="D137" s="43" t="s">
        <v>42</v>
      </c>
      <c r="E137" s="44" t="s">
        <v>713</v>
      </c>
      <c r="F137" s="111" t="s">
        <v>177</v>
      </c>
      <c r="G137" s="162"/>
      <c r="H137" s="48"/>
      <c r="I137" s="49" t="s">
        <v>716</v>
      </c>
      <c r="J137" s="114"/>
      <c r="K137" s="50" t="s">
        <v>636</v>
      </c>
      <c r="L137" s="51">
        <v>44192.0</v>
      </c>
      <c r="M137" s="52"/>
      <c r="N137" s="53" t="s">
        <v>399</v>
      </c>
      <c r="O137" s="60" t="s">
        <v>162</v>
      </c>
      <c r="P137" s="53" t="str">
        <f>vlookup(N137,Categorizations!A:C,3,FALSE)</f>
        <v>Heavy Metal</v>
      </c>
      <c r="Q137" s="55">
        <v>1.0</v>
      </c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</row>
    <row r="138" ht="22.5" customHeight="1">
      <c r="A138" s="16" t="s">
        <v>761</v>
      </c>
      <c r="C138" s="42">
        <v>44484.0</v>
      </c>
      <c r="D138" s="43" t="s">
        <v>42</v>
      </c>
      <c r="E138" s="44" t="s">
        <v>758</v>
      </c>
      <c r="F138" s="111" t="s">
        <v>177</v>
      </c>
      <c r="G138" s="162"/>
      <c r="H138" s="48"/>
      <c r="I138" s="49" t="s">
        <v>762</v>
      </c>
      <c r="J138" s="143"/>
      <c r="K138" s="50" t="s">
        <v>636</v>
      </c>
      <c r="L138" s="51">
        <v>43961.0</v>
      </c>
      <c r="M138" s="51">
        <v>44357.0</v>
      </c>
      <c r="N138" s="53" t="s">
        <v>596</v>
      </c>
      <c r="O138" s="60" t="s">
        <v>162</v>
      </c>
      <c r="P138" s="53" t="str">
        <f>vlookup(N138,Categorizations!A:C,3,FALSE)</f>
        <v>Aspergillus</v>
      </c>
      <c r="Q138" s="55">
        <v>1.0</v>
      </c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</row>
    <row r="139" ht="22.5" customHeight="1">
      <c r="A139" s="16" t="s">
        <v>777</v>
      </c>
      <c r="C139" s="42">
        <v>44518.0</v>
      </c>
      <c r="D139" s="43" t="s">
        <v>42</v>
      </c>
      <c r="E139" s="44" t="s">
        <v>776</v>
      </c>
      <c r="F139" s="111" t="s">
        <v>177</v>
      </c>
      <c r="G139" s="170"/>
      <c r="H139" s="171"/>
      <c r="I139" s="172" t="s">
        <v>778</v>
      </c>
      <c r="J139" s="114"/>
      <c r="K139" s="173" t="s">
        <v>636</v>
      </c>
      <c r="L139" s="174"/>
      <c r="M139" s="175">
        <v>44348.0</v>
      </c>
      <c r="N139" s="53" t="s">
        <v>410</v>
      </c>
      <c r="O139" s="60" t="s">
        <v>162</v>
      </c>
      <c r="P139" s="53" t="str">
        <f>vlookup(N139,Categorizations!A:C,3,FALSE)</f>
        <v>Yeast and Mold</v>
      </c>
      <c r="Q139" s="55">
        <v>1.0</v>
      </c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</row>
    <row r="140" ht="22.5" customHeight="1">
      <c r="A140" s="16" t="s">
        <v>785</v>
      </c>
      <c r="C140" s="42">
        <v>44538.0</v>
      </c>
      <c r="D140" s="43" t="s">
        <v>42</v>
      </c>
      <c r="E140" s="44" t="s">
        <v>781</v>
      </c>
      <c r="F140" s="111" t="s">
        <v>177</v>
      </c>
      <c r="G140" s="162"/>
      <c r="H140" s="48"/>
      <c r="I140" s="49" t="s">
        <v>786</v>
      </c>
      <c r="K140" s="50" t="s">
        <v>636</v>
      </c>
      <c r="L140" s="51">
        <v>44122.0</v>
      </c>
      <c r="M140" s="51">
        <v>44230.0</v>
      </c>
      <c r="N140" s="53" t="s">
        <v>175</v>
      </c>
      <c r="O140" s="60" t="s">
        <v>162</v>
      </c>
      <c r="P140" s="53" t="str">
        <f>vlookup(N140,Categorizations!A:C,3,FALSE)</f>
        <v>Pesticides</v>
      </c>
      <c r="Q140" s="55">
        <v>1.0</v>
      </c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</row>
    <row r="141" ht="22.5" customHeight="1">
      <c r="A141" s="16" t="s">
        <v>793</v>
      </c>
      <c r="C141" s="42">
        <v>44544.0</v>
      </c>
      <c r="D141" s="43" t="s">
        <v>42</v>
      </c>
      <c r="E141" s="44" t="s">
        <v>792</v>
      </c>
      <c r="F141" s="111" t="s">
        <v>177</v>
      </c>
      <c r="G141" s="162"/>
      <c r="H141" s="48"/>
      <c r="I141" s="49" t="s">
        <v>794</v>
      </c>
      <c r="J141" s="114"/>
      <c r="K141" s="50" t="s">
        <v>636</v>
      </c>
      <c r="L141" s="51"/>
      <c r="M141" s="51">
        <v>44540.0</v>
      </c>
      <c r="N141" s="53" t="s">
        <v>559</v>
      </c>
      <c r="O141" s="60" t="s">
        <v>162</v>
      </c>
      <c r="P141" s="53" t="str">
        <f>vlookup(N141,Categorizations!A:C,3,FALSE)</f>
        <v>Lab Issue</v>
      </c>
      <c r="Q141" s="55">
        <v>1.0</v>
      </c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</row>
    <row r="142" ht="22.5" customHeight="1">
      <c r="A142" s="16" t="s">
        <v>803</v>
      </c>
      <c r="C142" s="42">
        <v>44594.0</v>
      </c>
      <c r="D142" s="43" t="s">
        <v>42</v>
      </c>
      <c r="E142" s="44" t="s">
        <v>800</v>
      </c>
      <c r="F142" s="111" t="s">
        <v>177</v>
      </c>
      <c r="G142" s="176"/>
      <c r="H142" s="177"/>
      <c r="I142" s="178" t="s">
        <v>804</v>
      </c>
      <c r="J142" s="179"/>
      <c r="K142" s="180" t="s">
        <v>187</v>
      </c>
      <c r="L142" s="181"/>
      <c r="M142" s="181">
        <v>44412.0</v>
      </c>
      <c r="N142" s="53" t="s">
        <v>596</v>
      </c>
      <c r="O142" s="60" t="s">
        <v>162</v>
      </c>
      <c r="P142" s="53" t="str">
        <f>vlookup(N142,Categorizations!A:C,3,FALSE)</f>
        <v>Aspergillus</v>
      </c>
      <c r="Q142" s="55">
        <v>1.0</v>
      </c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</row>
    <row r="143" ht="22.5" customHeight="1">
      <c r="A143" s="16" t="s">
        <v>812</v>
      </c>
      <c r="C143" s="42">
        <v>44620.0</v>
      </c>
      <c r="D143" s="43" t="s">
        <v>42</v>
      </c>
      <c r="E143" s="44" t="s">
        <v>810</v>
      </c>
      <c r="F143" s="111" t="s">
        <v>177</v>
      </c>
      <c r="G143" s="166"/>
      <c r="H143" s="95"/>
      <c r="I143" s="66" t="s">
        <v>813</v>
      </c>
      <c r="J143" s="95"/>
      <c r="K143" s="111" t="s">
        <v>636</v>
      </c>
      <c r="L143" s="96"/>
      <c r="M143" s="96">
        <v>44526.0</v>
      </c>
      <c r="N143" s="53" t="s">
        <v>3001</v>
      </c>
      <c r="O143" s="60" t="s">
        <v>162</v>
      </c>
      <c r="P143" s="53" t="str">
        <f>vlookup(N143,Categorizations!A:C,3,FALSE)</f>
        <v>Mislabeled</v>
      </c>
      <c r="Q143" s="55">
        <v>1.0</v>
      </c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</row>
    <row r="144" ht="22.5" customHeight="1">
      <c r="A144" s="16" t="s">
        <v>819</v>
      </c>
      <c r="C144" s="42">
        <v>44631.0</v>
      </c>
      <c r="D144" s="43" t="s">
        <v>42</v>
      </c>
      <c r="E144" s="44" t="s">
        <v>818</v>
      </c>
      <c r="F144" s="111" t="s">
        <v>177</v>
      </c>
      <c r="G144" s="162"/>
      <c r="H144" s="48"/>
      <c r="I144" s="49" t="s">
        <v>820</v>
      </c>
      <c r="J144" s="114"/>
      <c r="K144" s="50" t="s">
        <v>636</v>
      </c>
      <c r="L144" s="51">
        <v>44487.0</v>
      </c>
      <c r="M144" s="51"/>
      <c r="N144" s="53" t="s">
        <v>569</v>
      </c>
      <c r="O144" s="60" t="s">
        <v>162</v>
      </c>
      <c r="P144" s="53" t="str">
        <f>vlookup(N144,Categorizations!A:C,3,FALSE)</f>
        <v>Mold</v>
      </c>
      <c r="Q144" s="55">
        <v>1.0</v>
      </c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</row>
    <row r="145" ht="22.5" customHeight="1">
      <c r="A145" s="16" t="s">
        <v>830</v>
      </c>
      <c r="C145" s="42">
        <v>44671.0</v>
      </c>
      <c r="D145" s="43" t="s">
        <v>42</v>
      </c>
      <c r="E145" s="44" t="s">
        <v>829</v>
      </c>
      <c r="F145" s="111" t="s">
        <v>177</v>
      </c>
      <c r="G145" s="162"/>
      <c r="H145" s="48"/>
      <c r="I145" s="49" t="s">
        <v>831</v>
      </c>
      <c r="J145" s="169"/>
      <c r="K145" s="50" t="s">
        <v>187</v>
      </c>
      <c r="L145" s="51">
        <v>44558.0</v>
      </c>
      <c r="M145" s="51"/>
      <c r="N145" s="53" t="s">
        <v>596</v>
      </c>
      <c r="O145" s="60" t="s">
        <v>162</v>
      </c>
      <c r="P145" s="53" t="str">
        <f>vlookup(N145,Categorizations!A:C,3,FALSE)</f>
        <v>Aspergillus</v>
      </c>
      <c r="Q145" s="55">
        <v>1.0</v>
      </c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</row>
    <row r="146" ht="22.5" customHeight="1">
      <c r="A146" s="16" t="s">
        <v>835</v>
      </c>
      <c r="C146" s="42">
        <v>44684.0</v>
      </c>
      <c r="D146" s="43" t="s">
        <v>42</v>
      </c>
      <c r="E146" s="44" t="s">
        <v>832</v>
      </c>
      <c r="F146" s="111" t="s">
        <v>177</v>
      </c>
      <c r="G146" s="162"/>
      <c r="H146" s="48"/>
      <c r="I146" s="49" t="s">
        <v>836</v>
      </c>
      <c r="J146" s="169"/>
      <c r="K146" s="50" t="s">
        <v>636</v>
      </c>
      <c r="L146" s="51"/>
      <c r="M146" s="51">
        <v>44318.0</v>
      </c>
      <c r="N146" s="53" t="s">
        <v>596</v>
      </c>
      <c r="O146" s="60" t="s">
        <v>162</v>
      </c>
      <c r="P146" s="53" t="str">
        <f>vlookup(N146,Categorizations!A:C,3,FALSE)</f>
        <v>Aspergillus</v>
      </c>
      <c r="Q146" s="55">
        <v>1.0</v>
      </c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</row>
    <row r="147" ht="22.5" customHeight="1">
      <c r="A147" s="16" t="s">
        <v>840</v>
      </c>
      <c r="C147" s="42">
        <v>44699.0</v>
      </c>
      <c r="D147" s="43" t="s">
        <v>42</v>
      </c>
      <c r="E147" s="44" t="s">
        <v>839</v>
      </c>
      <c r="F147" s="111" t="s">
        <v>177</v>
      </c>
      <c r="G147" s="162"/>
      <c r="H147" s="48"/>
      <c r="I147" s="49" t="s">
        <v>831</v>
      </c>
      <c r="J147" s="169"/>
      <c r="K147" s="50" t="s">
        <v>636</v>
      </c>
      <c r="L147" s="51">
        <v>44361.0</v>
      </c>
      <c r="M147" s="52"/>
      <c r="N147" s="53" t="s">
        <v>596</v>
      </c>
      <c r="O147" s="60" t="s">
        <v>162</v>
      </c>
      <c r="P147" s="53" t="str">
        <f>vlookup(N147,Categorizations!A:C,3,FALSE)</f>
        <v>Aspergillus</v>
      </c>
      <c r="Q147" s="55">
        <v>1.0</v>
      </c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</row>
    <row r="148" ht="22.5" customHeight="1">
      <c r="A148" s="16" t="s">
        <v>849</v>
      </c>
      <c r="C148" s="42">
        <v>44756.0</v>
      </c>
      <c r="D148" s="43" t="s">
        <v>42</v>
      </c>
      <c r="E148" s="44" t="s">
        <v>845</v>
      </c>
      <c r="F148" s="111" t="s">
        <v>177</v>
      </c>
      <c r="G148" s="162"/>
      <c r="H148" s="48"/>
      <c r="I148" s="49" t="s">
        <v>850</v>
      </c>
      <c r="J148" s="169"/>
      <c r="K148" s="50" t="s">
        <v>187</v>
      </c>
      <c r="L148" s="51">
        <v>44243.0</v>
      </c>
      <c r="M148" s="51"/>
      <c r="N148" s="53" t="s">
        <v>596</v>
      </c>
      <c r="O148" s="60" t="s">
        <v>162</v>
      </c>
      <c r="P148" s="53" t="str">
        <f>vlookup(N148,Categorizations!A:C,3,FALSE)</f>
        <v>Aspergillus</v>
      </c>
      <c r="Q148" s="55">
        <v>1.0</v>
      </c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</row>
    <row r="149" ht="22.5" customHeight="1">
      <c r="A149" s="120" t="s">
        <v>856</v>
      </c>
      <c r="C149" s="42">
        <v>44764.0</v>
      </c>
      <c r="D149" s="43" t="s">
        <v>42</v>
      </c>
      <c r="E149" s="164" t="s">
        <v>851</v>
      </c>
      <c r="F149" s="111" t="s">
        <v>177</v>
      </c>
      <c r="G149" s="162"/>
      <c r="H149" s="48"/>
      <c r="I149" s="49" t="s">
        <v>857</v>
      </c>
      <c r="J149" s="114"/>
      <c r="K149" s="50" t="s">
        <v>636</v>
      </c>
      <c r="L149" s="51">
        <v>44621.0</v>
      </c>
      <c r="M149" s="51"/>
      <c r="N149" s="53" t="s">
        <v>362</v>
      </c>
      <c r="O149" s="60" t="s">
        <v>162</v>
      </c>
      <c r="P149" s="53" t="str">
        <f>vlookup(N149,Categorizations!A:C,3,FALSE)</f>
        <v>Inaccurate THC</v>
      </c>
      <c r="Q149" s="55">
        <v>1.0</v>
      </c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</row>
    <row r="150" ht="22.5" customHeight="1">
      <c r="A150" s="120" t="s">
        <v>880</v>
      </c>
      <c r="C150" s="42">
        <v>44846.0</v>
      </c>
      <c r="D150" s="43" t="s">
        <v>42</v>
      </c>
      <c r="E150" s="44" t="s">
        <v>877</v>
      </c>
      <c r="F150" s="111" t="s">
        <v>177</v>
      </c>
      <c r="G150" s="166"/>
      <c r="H150" s="95"/>
      <c r="I150" s="66" t="s">
        <v>820</v>
      </c>
      <c r="J150" s="114"/>
      <c r="K150" s="111" t="s">
        <v>636</v>
      </c>
      <c r="L150" s="96">
        <v>44726.0</v>
      </c>
      <c r="M150" s="96">
        <v>44770.0</v>
      </c>
      <c r="N150" s="53" t="s">
        <v>600</v>
      </c>
      <c r="O150" s="60" t="s">
        <v>162</v>
      </c>
      <c r="P150" s="53" t="str">
        <f>vlookup(N150,Categorizations!A:C,3,FALSE)</f>
        <v>Other</v>
      </c>
      <c r="Q150" s="55">
        <v>1.0</v>
      </c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</row>
    <row r="151" ht="22.5" customHeight="1">
      <c r="A151" s="120" t="s">
        <v>889</v>
      </c>
      <c r="C151" s="42">
        <v>44860.0</v>
      </c>
      <c r="D151" s="43" t="s">
        <v>42</v>
      </c>
      <c r="E151" s="44" t="s">
        <v>887</v>
      </c>
      <c r="F151" s="111" t="s">
        <v>177</v>
      </c>
      <c r="G151" s="162"/>
      <c r="H151" s="48"/>
      <c r="I151" s="49" t="s">
        <v>890</v>
      </c>
      <c r="J151" s="114"/>
      <c r="K151" s="50" t="s">
        <v>187</v>
      </c>
      <c r="L151" s="51">
        <v>44455.0</v>
      </c>
      <c r="M151" s="51"/>
      <c r="N151" s="53" t="s">
        <v>586</v>
      </c>
      <c r="O151" s="60" t="s">
        <v>162</v>
      </c>
      <c r="P151" s="53" t="str">
        <f>vlookup(N151,Categorizations!A:C,3,FALSE)</f>
        <v>Yeast and Mold</v>
      </c>
      <c r="Q151" s="55">
        <v>1.0</v>
      </c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</row>
    <row r="152" ht="22.5" customHeight="1">
      <c r="A152" s="120" t="s">
        <v>913</v>
      </c>
      <c r="C152" s="42">
        <v>44888.0</v>
      </c>
      <c r="D152" s="43" t="s">
        <v>42</v>
      </c>
      <c r="E152" s="44" t="s">
        <v>910</v>
      </c>
      <c r="F152" s="111" t="s">
        <v>177</v>
      </c>
      <c r="G152" s="162"/>
      <c r="H152" s="48"/>
      <c r="I152" s="49" t="s">
        <v>914</v>
      </c>
      <c r="J152" s="169"/>
      <c r="K152" s="50" t="s">
        <v>636</v>
      </c>
      <c r="L152" s="51">
        <v>44482.0</v>
      </c>
      <c r="M152" s="51">
        <v>44827.0</v>
      </c>
      <c r="N152" s="53" t="s">
        <v>596</v>
      </c>
      <c r="O152" s="60" t="s">
        <v>162</v>
      </c>
      <c r="P152" s="53" t="str">
        <f>vlookup(N152,Categorizations!A:C,3,FALSE)</f>
        <v>Aspergillus</v>
      </c>
      <c r="Q152" s="55">
        <v>1.0</v>
      </c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</row>
    <row r="153" ht="22.5" customHeight="1">
      <c r="A153" s="120" t="s">
        <v>923</v>
      </c>
      <c r="C153" s="42">
        <v>44910.0</v>
      </c>
      <c r="D153" s="43" t="s">
        <v>42</v>
      </c>
      <c r="E153" s="44" t="s">
        <v>921</v>
      </c>
      <c r="F153" s="111" t="s">
        <v>177</v>
      </c>
      <c r="G153" s="162"/>
      <c r="H153" s="48"/>
      <c r="I153" s="49" t="s">
        <v>924</v>
      </c>
      <c r="J153" s="114"/>
      <c r="K153" s="50" t="s">
        <v>636</v>
      </c>
      <c r="L153" s="51">
        <v>44789.0</v>
      </c>
      <c r="M153" s="51">
        <v>44821.0</v>
      </c>
      <c r="N153" s="53" t="s">
        <v>600</v>
      </c>
      <c r="O153" s="60" t="s">
        <v>162</v>
      </c>
      <c r="P153" s="53" t="str">
        <f>vlookup(N153,Categorizations!A:C,3,FALSE)</f>
        <v>Other</v>
      </c>
      <c r="Q153" s="55">
        <v>1.0</v>
      </c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</row>
    <row r="154" ht="22.5" customHeight="1">
      <c r="A154" s="120" t="s">
        <v>932</v>
      </c>
      <c r="C154" s="42">
        <v>44931.0</v>
      </c>
      <c r="D154" s="43" t="s">
        <v>42</v>
      </c>
      <c r="E154" s="44" t="s">
        <v>931</v>
      </c>
      <c r="F154" s="111" t="s">
        <v>177</v>
      </c>
      <c r="G154" s="162"/>
      <c r="H154" s="48"/>
      <c r="I154" s="49" t="s">
        <v>934</v>
      </c>
      <c r="J154" s="169"/>
      <c r="K154" s="50" t="s">
        <v>187</v>
      </c>
      <c r="L154" s="51">
        <v>44831.0</v>
      </c>
      <c r="M154" s="51"/>
      <c r="N154" s="53" t="s">
        <v>596</v>
      </c>
      <c r="O154" s="60" t="s">
        <v>162</v>
      </c>
      <c r="P154" s="53" t="str">
        <f>vlookup(N154,Categorizations!A:C,3,FALSE)</f>
        <v>Aspergillus</v>
      </c>
      <c r="Q154" s="55">
        <v>1.0</v>
      </c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</row>
    <row r="155" ht="22.5" customHeight="1">
      <c r="A155" s="120" t="s">
        <v>936</v>
      </c>
      <c r="C155" s="42">
        <v>44931.0</v>
      </c>
      <c r="D155" s="43" t="s">
        <v>42</v>
      </c>
      <c r="E155" s="44" t="s">
        <v>935</v>
      </c>
      <c r="F155" s="111" t="s">
        <v>177</v>
      </c>
      <c r="G155" s="162"/>
      <c r="H155" s="48"/>
      <c r="I155" s="49" t="s">
        <v>937</v>
      </c>
      <c r="J155" s="114"/>
      <c r="K155" s="50" t="s">
        <v>636</v>
      </c>
      <c r="L155" s="51">
        <v>44429.0</v>
      </c>
      <c r="M155" s="51"/>
      <c r="N155" s="53" t="s">
        <v>600</v>
      </c>
      <c r="O155" s="60" t="s">
        <v>162</v>
      </c>
      <c r="P155" s="53" t="str">
        <f>vlookup(N155,Categorizations!A:C,3,FALSE)</f>
        <v>Other</v>
      </c>
      <c r="Q155" s="55">
        <v>1.0</v>
      </c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</row>
    <row r="156" ht="22.5" customHeight="1">
      <c r="A156" s="120" t="s">
        <v>974</v>
      </c>
      <c r="C156" s="42">
        <v>44953.0</v>
      </c>
      <c r="D156" s="43" t="s">
        <v>42</v>
      </c>
      <c r="E156" s="44" t="s">
        <v>954</v>
      </c>
      <c r="F156" s="111" t="s">
        <v>177</v>
      </c>
      <c r="G156" s="162"/>
      <c r="H156" s="48"/>
      <c r="I156" s="49" t="s">
        <v>675</v>
      </c>
      <c r="J156" s="189"/>
      <c r="K156" s="50" t="s">
        <v>636</v>
      </c>
      <c r="L156" s="51">
        <v>44409.0</v>
      </c>
      <c r="M156" s="51"/>
      <c r="N156" s="53" t="s">
        <v>596</v>
      </c>
      <c r="O156" s="60" t="s">
        <v>162</v>
      </c>
      <c r="P156" s="53" t="str">
        <f>vlookup(N156,Categorizations!A:C,3,FALSE)</f>
        <v>Aspergillus</v>
      </c>
      <c r="Q156" s="55">
        <v>1.0</v>
      </c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</row>
    <row r="157" ht="22.5" customHeight="1">
      <c r="A157" s="120" t="s">
        <v>1036</v>
      </c>
      <c r="C157" s="42">
        <v>44994.0</v>
      </c>
      <c r="D157" s="43" t="s">
        <v>42</v>
      </c>
      <c r="E157" s="44" t="s">
        <v>1035</v>
      </c>
      <c r="F157" s="111" t="s">
        <v>177</v>
      </c>
      <c r="G157" s="162"/>
      <c r="H157" s="48"/>
      <c r="I157" s="49" t="s">
        <v>1037</v>
      </c>
      <c r="J157" s="189"/>
      <c r="K157" s="50" t="s">
        <v>636</v>
      </c>
      <c r="L157" s="51">
        <v>44788.0</v>
      </c>
      <c r="M157" s="51">
        <v>44883.0</v>
      </c>
      <c r="N157" s="53" t="s">
        <v>596</v>
      </c>
      <c r="O157" s="60" t="s">
        <v>162</v>
      </c>
      <c r="P157" s="53" t="str">
        <f>vlookup(N157,Categorizations!A:C,3,FALSE)</f>
        <v>Aspergillus</v>
      </c>
      <c r="Q157" s="55">
        <v>1.0</v>
      </c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</row>
    <row r="158" ht="22.5" customHeight="1">
      <c r="A158" s="120" t="s">
        <v>1045</v>
      </c>
      <c r="C158" s="42">
        <v>45005.0</v>
      </c>
      <c r="D158" s="43" t="s">
        <v>42</v>
      </c>
      <c r="E158" s="44" t="s">
        <v>1042</v>
      </c>
      <c r="F158" s="111" t="s">
        <v>177</v>
      </c>
      <c r="G158" s="162"/>
      <c r="H158" s="48"/>
      <c r="I158" s="49" t="s">
        <v>1047</v>
      </c>
      <c r="J158" s="189"/>
      <c r="K158" s="50" t="s">
        <v>636</v>
      </c>
      <c r="L158" s="51"/>
      <c r="M158" s="51">
        <v>44853.0</v>
      </c>
      <c r="N158" s="53" t="s">
        <v>596</v>
      </c>
      <c r="O158" s="60" t="s">
        <v>162</v>
      </c>
      <c r="P158" s="53" t="str">
        <f>vlookup(N158,Categorizations!A:C,3,FALSE)</f>
        <v>Aspergillus</v>
      </c>
      <c r="Q158" s="55">
        <v>1.0</v>
      </c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</row>
    <row r="159" ht="22.5" customHeight="1">
      <c r="A159" s="120" t="s">
        <v>1067</v>
      </c>
      <c r="C159" s="42">
        <v>45008.0</v>
      </c>
      <c r="D159" s="43" t="s">
        <v>42</v>
      </c>
      <c r="E159" s="44" t="s">
        <v>1061</v>
      </c>
      <c r="F159" s="111" t="s">
        <v>177</v>
      </c>
      <c r="G159" s="162"/>
      <c r="H159" s="48"/>
      <c r="I159" s="49" t="s">
        <v>690</v>
      </c>
      <c r="J159" s="189"/>
      <c r="K159" s="50" t="s">
        <v>636</v>
      </c>
      <c r="L159" s="51">
        <v>43831.0</v>
      </c>
      <c r="M159" s="51">
        <v>44999.0</v>
      </c>
      <c r="N159" s="53" t="s">
        <v>596</v>
      </c>
      <c r="O159" s="60" t="s">
        <v>162</v>
      </c>
      <c r="P159" s="53" t="str">
        <f>vlookup(N159,Categorizations!A:C,3,FALSE)</f>
        <v>Aspergillus</v>
      </c>
      <c r="Q159" s="55">
        <v>1.0</v>
      </c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</row>
    <row r="160" ht="22.5" customHeight="1">
      <c r="A160" s="120" t="s">
        <v>1092</v>
      </c>
      <c r="C160" s="42">
        <v>45028.0</v>
      </c>
      <c r="D160" s="72" t="s">
        <v>42</v>
      </c>
      <c r="E160" s="56" t="s">
        <v>1088</v>
      </c>
      <c r="F160" s="111" t="s">
        <v>177</v>
      </c>
      <c r="G160" s="162"/>
      <c r="H160" s="48"/>
      <c r="I160" s="49" t="s">
        <v>1093</v>
      </c>
      <c r="J160" s="95"/>
      <c r="K160" s="50" t="s">
        <v>636</v>
      </c>
      <c r="L160" s="51"/>
      <c r="M160" s="51">
        <v>44988.0</v>
      </c>
      <c r="N160" s="53" t="s">
        <v>283</v>
      </c>
      <c r="O160" s="60" t="s">
        <v>162</v>
      </c>
      <c r="P160" s="53" t="str">
        <f>vlookup(N160,Categorizations!A:C,3,FALSE)</f>
        <v>Pesticides</v>
      </c>
      <c r="Q160" s="55">
        <v>1.0</v>
      </c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</row>
    <row r="161" ht="22.5" customHeight="1">
      <c r="A161" s="120" t="s">
        <v>1099</v>
      </c>
      <c r="C161" s="42">
        <v>45028.0</v>
      </c>
      <c r="D161" s="72" t="s">
        <v>42</v>
      </c>
      <c r="E161" s="56" t="s">
        <v>1095</v>
      </c>
      <c r="F161" s="111" t="s">
        <v>177</v>
      </c>
      <c r="G161" s="162"/>
      <c r="H161" s="48"/>
      <c r="I161" s="49" t="s">
        <v>1100</v>
      </c>
      <c r="J161" s="95"/>
      <c r="K161" s="50" t="s">
        <v>636</v>
      </c>
      <c r="L161" s="51">
        <v>44944.0</v>
      </c>
      <c r="M161" s="51">
        <v>44959.0</v>
      </c>
      <c r="N161" s="53" t="s">
        <v>283</v>
      </c>
      <c r="O161" s="60" t="s">
        <v>162</v>
      </c>
      <c r="P161" s="53" t="str">
        <f>vlookup(N161,Categorizations!A:C,3,FALSE)</f>
        <v>Pesticides</v>
      </c>
      <c r="Q161" s="55">
        <v>1.0</v>
      </c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</row>
    <row r="162" ht="22.5" customHeight="1">
      <c r="A162" s="120" t="s">
        <v>1105</v>
      </c>
      <c r="C162" s="42">
        <v>45028.0</v>
      </c>
      <c r="D162" s="72" t="s">
        <v>42</v>
      </c>
      <c r="E162" s="56" t="s">
        <v>1102</v>
      </c>
      <c r="F162" s="111" t="s">
        <v>177</v>
      </c>
      <c r="G162" s="162"/>
      <c r="H162" s="48"/>
      <c r="I162" s="49" t="s">
        <v>1106</v>
      </c>
      <c r="J162" s="191"/>
      <c r="K162" s="50" t="s">
        <v>636</v>
      </c>
      <c r="L162" s="51"/>
      <c r="M162" s="51">
        <v>44860.0</v>
      </c>
      <c r="N162" s="53" t="s">
        <v>616</v>
      </c>
      <c r="O162" s="60" t="s">
        <v>162</v>
      </c>
      <c r="P162" s="53" t="str">
        <f>vlookup(N162,Categorizations!A:C,3,FALSE)</f>
        <v>Mold</v>
      </c>
      <c r="Q162" s="55">
        <v>1.0</v>
      </c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</row>
    <row r="163" ht="22.5" customHeight="1">
      <c r="A163" s="120" t="s">
        <v>1121</v>
      </c>
      <c r="C163" s="42">
        <v>45033.0</v>
      </c>
      <c r="D163" s="72" t="s">
        <v>42</v>
      </c>
      <c r="E163" s="56" t="s">
        <v>1115</v>
      </c>
      <c r="F163" s="111" t="s">
        <v>177</v>
      </c>
      <c r="G163" s="162"/>
      <c r="H163" s="48"/>
      <c r="I163" s="49" t="s">
        <v>1123</v>
      </c>
      <c r="J163" s="191"/>
      <c r="K163" s="50" t="s">
        <v>636</v>
      </c>
      <c r="L163" s="51">
        <v>44693.0</v>
      </c>
      <c r="M163" s="51">
        <v>44713.0</v>
      </c>
      <c r="N163" s="53" t="s">
        <v>616</v>
      </c>
      <c r="O163" s="60" t="s">
        <v>162</v>
      </c>
      <c r="P163" s="53" t="str">
        <f>vlookup(N163,Categorizations!A:C,3,FALSE)</f>
        <v>Mold</v>
      </c>
      <c r="Q163" s="55">
        <v>1.0</v>
      </c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</row>
    <row r="164" ht="22.5" customHeight="1">
      <c r="A164" s="120" t="s">
        <v>1143</v>
      </c>
      <c r="C164" s="42">
        <v>45054.0</v>
      </c>
      <c r="D164" s="72" t="s">
        <v>42</v>
      </c>
      <c r="E164" s="56" t="s">
        <v>1140</v>
      </c>
      <c r="F164" s="111" t="s">
        <v>177</v>
      </c>
      <c r="G164" s="162"/>
      <c r="H164" s="48"/>
      <c r="I164" s="49" t="s">
        <v>1145</v>
      </c>
      <c r="J164" s="191"/>
      <c r="K164" s="50" t="s">
        <v>636</v>
      </c>
      <c r="L164" s="51">
        <v>44965.0</v>
      </c>
      <c r="M164" s="51">
        <v>44995.0</v>
      </c>
      <c r="N164" s="53" t="s">
        <v>616</v>
      </c>
      <c r="O164" s="60" t="s">
        <v>162</v>
      </c>
      <c r="P164" s="53" t="str">
        <f>vlookup(N164,Categorizations!A:C,3,FALSE)</f>
        <v>Mold</v>
      </c>
      <c r="Q164" s="55">
        <v>1.0</v>
      </c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</row>
    <row r="165" ht="22.5" customHeight="1">
      <c r="A165" s="120" t="s">
        <v>1152</v>
      </c>
      <c r="C165" s="42">
        <v>45055.0</v>
      </c>
      <c r="D165" s="72" t="s">
        <v>42</v>
      </c>
      <c r="E165" s="56" t="s">
        <v>1147</v>
      </c>
      <c r="F165" s="111" t="s">
        <v>177</v>
      </c>
      <c r="G165" s="162"/>
      <c r="H165" s="48"/>
      <c r="I165" s="49" t="s">
        <v>1047</v>
      </c>
      <c r="J165" s="191"/>
      <c r="K165" s="50" t="s">
        <v>636</v>
      </c>
      <c r="L165" s="51"/>
      <c r="M165" s="51">
        <v>44853.0</v>
      </c>
      <c r="N165" s="53" t="s">
        <v>616</v>
      </c>
      <c r="O165" s="60" t="s">
        <v>162</v>
      </c>
      <c r="P165" s="53" t="str">
        <f>vlookup(N165,Categorizations!A:C,3,FALSE)</f>
        <v>Mold</v>
      </c>
      <c r="Q165" s="55">
        <v>1.0</v>
      </c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</row>
    <row r="166" ht="22.5" customHeight="1">
      <c r="A166" s="120" t="s">
        <v>1169</v>
      </c>
      <c r="C166" s="42">
        <v>45069.0</v>
      </c>
      <c r="D166" s="72" t="s">
        <v>42</v>
      </c>
      <c r="E166" s="56" t="s">
        <v>1166</v>
      </c>
      <c r="F166" s="111" t="s">
        <v>177</v>
      </c>
      <c r="G166" s="162"/>
      <c r="H166" s="48"/>
      <c r="I166" s="49" t="s">
        <v>1171</v>
      </c>
      <c r="J166" s="191"/>
      <c r="K166" s="50" t="s">
        <v>636</v>
      </c>
      <c r="L166" s="52"/>
      <c r="M166" s="51">
        <v>44931.0</v>
      </c>
      <c r="N166" s="53" t="s">
        <v>210</v>
      </c>
      <c r="O166" s="60" t="s">
        <v>162</v>
      </c>
      <c r="P166" s="53" t="str">
        <f>vlookup(N166,Categorizations!A:C,3,FALSE)</f>
        <v>Yeast and Mold</v>
      </c>
      <c r="Q166" s="55">
        <v>1.0</v>
      </c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</row>
    <row r="167" ht="22.5" customHeight="1">
      <c r="A167" s="120" t="s">
        <v>1177</v>
      </c>
      <c r="C167" s="42">
        <v>45078.0</v>
      </c>
      <c r="D167" s="72" t="s">
        <v>42</v>
      </c>
      <c r="E167" s="56" t="s">
        <v>1172</v>
      </c>
      <c r="F167" s="111" t="s">
        <v>177</v>
      </c>
      <c r="G167" s="162"/>
      <c r="H167" s="48"/>
      <c r="I167" s="49" t="s">
        <v>857</v>
      </c>
      <c r="J167" s="95"/>
      <c r="K167" s="50" t="s">
        <v>636</v>
      </c>
      <c r="L167" s="51">
        <v>44621.0</v>
      </c>
      <c r="M167" s="51"/>
      <c r="N167" s="53" t="s">
        <v>610</v>
      </c>
      <c r="O167" s="60" t="s">
        <v>162</v>
      </c>
      <c r="P167" s="53" t="str">
        <f>vlookup(N167,Categorizations!A:C,3,FALSE)</f>
        <v>Packaging</v>
      </c>
      <c r="Q167" s="55">
        <v>1.0</v>
      </c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</row>
    <row r="168" ht="22.5" customHeight="1">
      <c r="A168" s="120" t="s">
        <v>1194</v>
      </c>
      <c r="C168" s="42">
        <v>45089.0</v>
      </c>
      <c r="D168" s="72" t="s">
        <v>42</v>
      </c>
      <c r="E168" s="56" t="s">
        <v>1183</v>
      </c>
      <c r="F168" s="111" t="s">
        <v>177</v>
      </c>
      <c r="G168" s="162"/>
      <c r="H168" s="48"/>
      <c r="I168" s="49" t="s">
        <v>1195</v>
      </c>
      <c r="J168" s="95"/>
      <c r="K168" s="50" t="s">
        <v>636</v>
      </c>
      <c r="L168" s="51">
        <v>44848.0</v>
      </c>
      <c r="M168" s="51">
        <v>44967.0</v>
      </c>
      <c r="N168" s="53" t="s">
        <v>607</v>
      </c>
      <c r="O168" s="60" t="s">
        <v>162</v>
      </c>
      <c r="P168" s="53" t="str">
        <f>vlookup(N168,Categorizations!A:C,3,FALSE)</f>
        <v>Aspergillus</v>
      </c>
      <c r="Q168" s="55">
        <v>1.0</v>
      </c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</row>
    <row r="169" ht="22.5" customHeight="1">
      <c r="A169" s="120" t="s">
        <v>1212</v>
      </c>
      <c r="C169" s="42">
        <v>45099.0</v>
      </c>
      <c r="D169" s="72" t="s">
        <v>42</v>
      </c>
      <c r="E169" s="56" t="s">
        <v>1206</v>
      </c>
      <c r="F169" s="111" t="s">
        <v>177</v>
      </c>
      <c r="G169" s="162"/>
      <c r="H169" s="48"/>
      <c r="I169" s="49" t="s">
        <v>1213</v>
      </c>
      <c r="J169" s="95"/>
      <c r="K169" s="50" t="s">
        <v>636</v>
      </c>
      <c r="L169" s="51">
        <v>44774.0</v>
      </c>
      <c r="M169" s="51">
        <v>44700.0</v>
      </c>
      <c r="N169" s="53" t="s">
        <v>607</v>
      </c>
      <c r="O169" s="60" t="s">
        <v>162</v>
      </c>
      <c r="P169" s="53" t="str">
        <f>vlookup(N169,Categorizations!A:C,3,FALSE)</f>
        <v>Aspergillus</v>
      </c>
      <c r="Q169" s="55">
        <v>1.0</v>
      </c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</row>
    <row r="170" ht="22.5" customHeight="1">
      <c r="A170" s="16" t="s">
        <v>1276</v>
      </c>
      <c r="C170" s="42">
        <v>45162.0</v>
      </c>
      <c r="D170" s="72" t="s">
        <v>42</v>
      </c>
      <c r="E170" s="110" t="s">
        <v>1271</v>
      </c>
      <c r="F170" s="111" t="s">
        <v>177</v>
      </c>
      <c r="G170" s="162"/>
      <c r="H170" s="48"/>
      <c r="I170" s="49" t="s">
        <v>1277</v>
      </c>
      <c r="J170" s="95"/>
      <c r="K170" s="50" t="s">
        <v>636</v>
      </c>
      <c r="L170" s="51">
        <v>44804.0</v>
      </c>
      <c r="M170" s="51">
        <v>44844.0</v>
      </c>
      <c r="N170" s="53" t="s">
        <v>607</v>
      </c>
      <c r="O170" s="54" t="s">
        <v>162</v>
      </c>
      <c r="P170" s="53" t="str">
        <f>vlookup(N170,Categorizations!A:C,3,FALSE)</f>
        <v>Aspergillus</v>
      </c>
      <c r="Q170" s="55">
        <v>1.0</v>
      </c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</row>
    <row r="171" ht="22.5" customHeight="1">
      <c r="A171" s="16" t="str">
        <f t="shared" ref="A171:A172" si="7">concatenate(C171,I171)</f>
        <v>45485NOCO Farm LLC,</v>
      </c>
      <c r="C171" s="42">
        <v>45485.0</v>
      </c>
      <c r="D171" s="72" t="s">
        <v>42</v>
      </c>
      <c r="E171" s="56" t="s">
        <v>3466</v>
      </c>
      <c r="F171" s="111" t="s">
        <v>177</v>
      </c>
      <c r="G171" s="192"/>
      <c r="H171" s="193" t="s">
        <v>3476</v>
      </c>
      <c r="I171" s="194" t="s">
        <v>3478</v>
      </c>
      <c r="J171" s="114"/>
      <c r="K171" s="195" t="s">
        <v>636</v>
      </c>
      <c r="L171" s="196"/>
      <c r="M171" s="197">
        <v>45413.0</v>
      </c>
      <c r="N171" s="53" t="s">
        <v>607</v>
      </c>
      <c r="O171" s="54" t="s">
        <v>162</v>
      </c>
      <c r="P171" s="53" t="str">
        <f>vlookup(N171,Categorizations!A:C,3,FALSE)</f>
        <v>Aspergillus</v>
      </c>
      <c r="Q171" s="55">
        <v>1.0</v>
      </c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</row>
    <row r="172" ht="22.5" customHeight="1">
      <c r="A172" s="16" t="str">
        <f t="shared" si="7"/>
        <v>45485Wild Horse Enterprises,</v>
      </c>
      <c r="C172" s="42">
        <v>45485.0</v>
      </c>
      <c r="D172" s="72" t="s">
        <v>42</v>
      </c>
      <c r="E172" s="56" t="s">
        <v>3503</v>
      </c>
      <c r="F172" s="111" t="s">
        <v>177</v>
      </c>
      <c r="G172" s="192"/>
      <c r="H172" s="193" t="s">
        <v>3510</v>
      </c>
      <c r="I172" s="194" t="s">
        <v>3512</v>
      </c>
      <c r="J172" s="114"/>
      <c r="K172" s="195" t="s">
        <v>636</v>
      </c>
      <c r="L172" s="196">
        <v>45316.0</v>
      </c>
      <c r="M172" s="197">
        <v>45372.0</v>
      </c>
      <c r="N172" s="53" t="s">
        <v>607</v>
      </c>
      <c r="O172" s="54" t="s">
        <v>162</v>
      </c>
      <c r="P172" s="53" t="str">
        <f>vlookup(N172,Categorizations!A:C,3,FALSE)</f>
        <v>Aspergillus</v>
      </c>
      <c r="Q172" s="55">
        <v>1.0</v>
      </c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</row>
    <row r="173" ht="22.5" customHeight="1">
      <c r="A173" s="16" t="s">
        <v>659</v>
      </c>
      <c r="C173" s="42">
        <v>44062.0</v>
      </c>
      <c r="D173" s="43" t="s">
        <v>61</v>
      </c>
      <c r="E173" s="44" t="s">
        <v>657</v>
      </c>
      <c r="F173" s="198" t="s">
        <v>109</v>
      </c>
      <c r="G173" s="192"/>
      <c r="H173" s="193"/>
      <c r="I173" s="194" t="s">
        <v>660</v>
      </c>
      <c r="J173" s="114"/>
      <c r="K173" s="195" t="s">
        <v>636</v>
      </c>
      <c r="L173" s="196"/>
      <c r="M173" s="197">
        <v>44013.0</v>
      </c>
      <c r="N173" s="53" t="s">
        <v>283</v>
      </c>
      <c r="O173" s="60" t="s">
        <v>3538</v>
      </c>
      <c r="P173" s="53" t="str">
        <f>vlookup(N173,Categorizations!A:C,3,FALSE)</f>
        <v>Pesticides</v>
      </c>
      <c r="Q173" s="55">
        <v>1.0</v>
      </c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</row>
    <row r="174" ht="22.5" customHeight="1">
      <c r="A174" s="16" t="s">
        <v>772</v>
      </c>
      <c r="C174" s="42">
        <v>44512.0</v>
      </c>
      <c r="D174" s="43" t="s">
        <v>61</v>
      </c>
      <c r="E174" s="44" t="s">
        <v>770</v>
      </c>
      <c r="F174" s="198" t="s">
        <v>109</v>
      </c>
      <c r="G174" s="166"/>
      <c r="H174" s="95"/>
      <c r="I174" s="66" t="s">
        <v>722</v>
      </c>
      <c r="J174" s="95" t="s">
        <v>636</v>
      </c>
      <c r="K174" s="111" t="s">
        <v>187</v>
      </c>
      <c r="L174" s="96">
        <v>44393.0</v>
      </c>
      <c r="M174" s="96"/>
      <c r="N174" s="53" t="s">
        <v>283</v>
      </c>
      <c r="O174" s="60" t="s">
        <v>3538</v>
      </c>
      <c r="P174" s="53" t="str">
        <f>vlookup(N174,Categorizations!A:C,3,FALSE)</f>
        <v>Pesticides</v>
      </c>
      <c r="Q174" s="55">
        <v>1.0</v>
      </c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</row>
    <row r="175" ht="22.5" customHeight="1">
      <c r="A175" s="16" t="s">
        <v>789</v>
      </c>
      <c r="C175" s="42">
        <v>44540.0</v>
      </c>
      <c r="D175" s="43" t="s">
        <v>67</v>
      </c>
      <c r="E175" s="44" t="s">
        <v>787</v>
      </c>
      <c r="F175" s="198" t="s">
        <v>788</v>
      </c>
      <c r="G175" s="199"/>
      <c r="H175" s="200"/>
      <c r="I175" s="201" t="s">
        <v>790</v>
      </c>
      <c r="J175" s="95" t="s">
        <v>636</v>
      </c>
      <c r="K175" s="202" t="s">
        <v>120</v>
      </c>
      <c r="L175" s="203"/>
      <c r="M175" s="203"/>
      <c r="N175" s="53" t="s">
        <v>317</v>
      </c>
      <c r="O175" s="53" t="s">
        <v>801</v>
      </c>
      <c r="P175" s="53" t="str">
        <f>vlookup(N175,Categorizations!A:C,3,FALSE)</f>
        <v>Solvent</v>
      </c>
      <c r="Q175" s="55">
        <v>1.0</v>
      </c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</row>
    <row r="176" ht="22.5" customHeight="1">
      <c r="A176" s="16" t="s">
        <v>340</v>
      </c>
      <c r="C176" s="42">
        <v>42140.0</v>
      </c>
      <c r="D176" s="43" t="s">
        <v>76</v>
      </c>
      <c r="E176" s="44" t="s">
        <v>338</v>
      </c>
      <c r="F176" s="198" t="s">
        <v>177</v>
      </c>
      <c r="G176" s="162"/>
      <c r="H176" s="48"/>
      <c r="I176" s="49" t="s">
        <v>341</v>
      </c>
      <c r="K176" s="204"/>
      <c r="L176" s="51"/>
      <c r="M176" s="51"/>
      <c r="N176" s="53" t="s">
        <v>419</v>
      </c>
      <c r="O176" s="53" t="s">
        <v>801</v>
      </c>
      <c r="P176" s="53" t="str">
        <f>vlookup(N176,Categorizations!A:C,3,FALSE)</f>
        <v>Heavy Metal</v>
      </c>
      <c r="Q176" s="55">
        <v>1.0</v>
      </c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</row>
    <row r="177" ht="22.5" customHeight="1">
      <c r="A177" s="16" t="s">
        <v>806</v>
      </c>
      <c r="C177" s="42">
        <v>44609.0</v>
      </c>
      <c r="D177" s="43" t="s">
        <v>86</v>
      </c>
      <c r="E177" s="44" t="s">
        <v>805</v>
      </c>
      <c r="F177" s="198" t="s">
        <v>109</v>
      </c>
      <c r="G177" s="205"/>
      <c r="H177" s="206"/>
      <c r="I177" s="207" t="s">
        <v>808</v>
      </c>
      <c r="J177" s="114"/>
      <c r="K177" s="208" t="s">
        <v>120</v>
      </c>
      <c r="L177" s="209"/>
      <c r="M177" s="209"/>
      <c r="N177" s="53" t="s">
        <v>306</v>
      </c>
      <c r="O177" s="60" t="s">
        <v>3623</v>
      </c>
      <c r="P177" s="53" t="str">
        <f>vlookup(N177,Categorizations!A:C,3,FALSE)</f>
        <v>Aspergillus</v>
      </c>
      <c r="Q177" s="55">
        <v>1.0</v>
      </c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</row>
    <row r="178" ht="22.5" customHeight="1">
      <c r="A178" s="16" t="s">
        <v>893</v>
      </c>
      <c r="C178" s="42">
        <v>44862.0</v>
      </c>
      <c r="D178" s="43" t="s">
        <v>86</v>
      </c>
      <c r="E178" s="44" t="s">
        <v>891</v>
      </c>
      <c r="F178" s="198" t="s">
        <v>109</v>
      </c>
      <c r="G178" s="210"/>
      <c r="H178" s="211"/>
      <c r="I178" s="212" t="s">
        <v>808</v>
      </c>
      <c r="J178" s="114"/>
      <c r="K178" s="213" t="s">
        <v>636</v>
      </c>
      <c r="L178" s="214">
        <v>44631.0</v>
      </c>
      <c r="M178" s="214"/>
      <c r="N178" s="53" t="s">
        <v>536</v>
      </c>
      <c r="O178" s="60" t="s">
        <v>3623</v>
      </c>
      <c r="P178" s="53" t="str">
        <f>vlookup(N178,Categorizations!A:C,3,FALSE)</f>
        <v>Lab Issue</v>
      </c>
      <c r="Q178" s="55">
        <v>1.0</v>
      </c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</row>
    <row r="179" ht="22.5" customHeight="1">
      <c r="A179" s="16" t="s">
        <v>544</v>
      </c>
      <c r="C179" s="42">
        <v>43469.0</v>
      </c>
      <c r="D179" s="43" t="s">
        <v>94</v>
      </c>
      <c r="E179" s="44" t="s">
        <v>542</v>
      </c>
      <c r="F179" s="198" t="s">
        <v>109</v>
      </c>
      <c r="G179" s="162"/>
      <c r="H179" s="48"/>
      <c r="I179" s="49" t="s">
        <v>545</v>
      </c>
      <c r="J179" s="114"/>
      <c r="K179" s="50" t="s">
        <v>120</v>
      </c>
      <c r="L179" s="51"/>
      <c r="M179" s="51"/>
      <c r="N179" s="53" t="s">
        <v>535</v>
      </c>
      <c r="O179" s="60" t="s">
        <v>162</v>
      </c>
      <c r="P179" s="53" t="str">
        <f>vlookup(N179,Categorizations!A:C,3,FALSE)</f>
        <v>Mislabeled</v>
      </c>
      <c r="Q179" s="55">
        <v>1.0</v>
      </c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</row>
    <row r="180" ht="22.5" customHeight="1">
      <c r="A180" s="16" t="s">
        <v>551</v>
      </c>
      <c r="C180" s="42">
        <v>43507.0</v>
      </c>
      <c r="D180" s="43" t="s">
        <v>94</v>
      </c>
      <c r="E180" s="44" t="s">
        <v>546</v>
      </c>
      <c r="F180" s="198" t="s">
        <v>109</v>
      </c>
      <c r="G180" s="162"/>
      <c r="H180" s="48"/>
      <c r="I180" s="49" t="s">
        <v>552</v>
      </c>
      <c r="J180" s="114"/>
      <c r="K180" s="50" t="s">
        <v>636</v>
      </c>
      <c r="L180" s="51"/>
      <c r="M180" s="51">
        <v>43446.0</v>
      </c>
      <c r="N180" s="53" t="s">
        <v>337</v>
      </c>
      <c r="O180" s="60" t="s">
        <v>162</v>
      </c>
      <c r="P180" s="53" t="str">
        <f>vlookup(N180,Categorizations!A:C,3,FALSE)</f>
        <v>Heavy Metal</v>
      </c>
      <c r="Q180" s="55">
        <v>1.0</v>
      </c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</row>
    <row r="181" ht="22.5" customHeight="1">
      <c r="A181" s="16" t="s">
        <v>556</v>
      </c>
      <c r="C181" s="42">
        <v>43522.0</v>
      </c>
      <c r="D181" s="43" t="s">
        <v>94</v>
      </c>
      <c r="E181" s="44" t="s">
        <v>555</v>
      </c>
      <c r="F181" s="198" t="s">
        <v>109</v>
      </c>
      <c r="G181" s="162"/>
      <c r="H181" s="48"/>
      <c r="I181" s="49" t="s">
        <v>557</v>
      </c>
      <c r="J181" s="114"/>
      <c r="K181" s="50" t="s">
        <v>636</v>
      </c>
      <c r="L181" s="51"/>
      <c r="M181" s="51">
        <v>43417.0</v>
      </c>
      <c r="N181" s="53" t="s">
        <v>337</v>
      </c>
      <c r="O181" s="60" t="s">
        <v>162</v>
      </c>
      <c r="P181" s="53" t="str">
        <f>vlookup(N181,Categorizations!A:C,3,FALSE)</f>
        <v>Heavy Metal</v>
      </c>
      <c r="Q181" s="55">
        <v>1.0</v>
      </c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</row>
    <row r="182" ht="22.5" customHeight="1">
      <c r="A182" s="16" t="s">
        <v>565</v>
      </c>
      <c r="C182" s="42">
        <v>43567.0</v>
      </c>
      <c r="D182" s="43" t="s">
        <v>94</v>
      </c>
      <c r="E182" s="44" t="s">
        <v>564</v>
      </c>
      <c r="F182" s="198" t="s">
        <v>109</v>
      </c>
      <c r="G182" s="166"/>
      <c r="H182" s="95"/>
      <c r="I182" s="66" t="s">
        <v>566</v>
      </c>
      <c r="J182" s="95"/>
      <c r="K182" s="111" t="s">
        <v>120</v>
      </c>
      <c r="L182" s="96"/>
      <c r="M182" s="96"/>
      <c r="N182" s="53" t="s">
        <v>3001</v>
      </c>
      <c r="O182" s="60" t="s">
        <v>162</v>
      </c>
      <c r="P182" s="53" t="str">
        <f>vlookup(N182,Categorizations!A:C,3,FALSE)</f>
        <v>Mislabeled</v>
      </c>
      <c r="Q182" s="55">
        <v>1.0</v>
      </c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</row>
    <row r="183" ht="22.5" customHeight="1">
      <c r="A183" s="16" t="s">
        <v>594</v>
      </c>
      <c r="C183" s="42">
        <v>43684.0</v>
      </c>
      <c r="D183" s="43" t="s">
        <v>94</v>
      </c>
      <c r="E183" s="44" t="s">
        <v>592</v>
      </c>
      <c r="F183" s="198" t="s">
        <v>109</v>
      </c>
      <c r="G183" s="215"/>
      <c r="H183" s="216"/>
      <c r="I183" s="217" t="s">
        <v>502</v>
      </c>
      <c r="J183" s="114"/>
      <c r="K183" s="218" t="s">
        <v>636</v>
      </c>
      <c r="L183" s="214">
        <v>43588.0</v>
      </c>
      <c r="M183" s="219"/>
      <c r="N183" s="53" t="s">
        <v>382</v>
      </c>
      <c r="O183" s="60" t="s">
        <v>162</v>
      </c>
      <c r="P183" s="53" t="str">
        <f>vlookup(N183,Categorizations!A:C,3,FALSE)</f>
        <v>Lab Issue</v>
      </c>
      <c r="Q183" s="55">
        <v>1.0</v>
      </c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</row>
    <row r="184" ht="22.5" customHeight="1">
      <c r="A184" s="16" t="s">
        <v>602</v>
      </c>
      <c r="C184" s="42">
        <v>43693.0</v>
      </c>
      <c r="D184" s="43" t="s">
        <v>94</v>
      </c>
      <c r="E184" s="44" t="s">
        <v>599</v>
      </c>
      <c r="F184" s="198" t="s">
        <v>109</v>
      </c>
      <c r="G184" s="162"/>
      <c r="H184" s="48"/>
      <c r="I184" s="49" t="s">
        <v>603</v>
      </c>
      <c r="J184" s="114"/>
      <c r="K184" s="50" t="s">
        <v>120</v>
      </c>
      <c r="L184" s="51"/>
      <c r="M184" s="51"/>
      <c r="N184" s="53" t="s">
        <v>371</v>
      </c>
      <c r="O184" s="60" t="s">
        <v>162</v>
      </c>
      <c r="P184" s="53" t="str">
        <f>vlookup(N184,Categorizations!A:C,3,FALSE)</f>
        <v>Adverse Health Events</v>
      </c>
      <c r="Q184" s="55">
        <v>1.0</v>
      </c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</row>
    <row r="185" ht="22.5" customHeight="1">
      <c r="A185" s="16" t="s">
        <v>606</v>
      </c>
      <c r="C185" s="42">
        <v>43707.0</v>
      </c>
      <c r="D185" s="43" t="s">
        <v>94</v>
      </c>
      <c r="E185" s="44" t="s">
        <v>604</v>
      </c>
      <c r="F185" s="198" t="s">
        <v>109</v>
      </c>
      <c r="G185" s="162"/>
      <c r="H185" s="48"/>
      <c r="I185" s="49" t="s">
        <v>603</v>
      </c>
      <c r="J185" s="114"/>
      <c r="K185" s="50" t="s">
        <v>636</v>
      </c>
      <c r="L185" s="214">
        <v>43587.0</v>
      </c>
      <c r="M185" s="51"/>
      <c r="N185" s="53" t="s">
        <v>371</v>
      </c>
      <c r="O185" s="60" t="s">
        <v>162</v>
      </c>
      <c r="P185" s="53" t="str">
        <f>vlookup(N185,Categorizations!A:C,3,FALSE)</f>
        <v>Adverse Health Events</v>
      </c>
      <c r="Q185" s="55">
        <v>1.0</v>
      </c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</row>
    <row r="186" ht="22.5" customHeight="1">
      <c r="A186" s="16" t="s">
        <v>618</v>
      </c>
      <c r="C186" s="42">
        <v>43816.0</v>
      </c>
      <c r="D186" s="43" t="s">
        <v>94</v>
      </c>
      <c r="E186" s="44" t="s">
        <v>617</v>
      </c>
      <c r="F186" s="198" t="s">
        <v>109</v>
      </c>
      <c r="G186" s="166"/>
      <c r="H186" s="95"/>
      <c r="I186" s="66" t="s">
        <v>615</v>
      </c>
      <c r="J186" s="114"/>
      <c r="K186" s="111" t="s">
        <v>636</v>
      </c>
      <c r="L186" s="96">
        <v>43600.0</v>
      </c>
      <c r="M186" s="96"/>
      <c r="N186" s="53" t="s">
        <v>508</v>
      </c>
      <c r="O186" s="60" t="s">
        <v>162</v>
      </c>
      <c r="P186" s="53" t="str">
        <f>vlookup(N186,Categorizations!A:C,3,FALSE)</f>
        <v>Other</v>
      </c>
      <c r="Q186" s="55">
        <v>1.0</v>
      </c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</row>
    <row r="187" ht="22.5" customHeight="1">
      <c r="A187" s="16" t="s">
        <v>623</v>
      </c>
      <c r="C187" s="42">
        <v>43840.0</v>
      </c>
      <c r="D187" s="43" t="s">
        <v>94</v>
      </c>
      <c r="E187" s="44" t="s">
        <v>619</v>
      </c>
      <c r="F187" s="198" t="s">
        <v>109</v>
      </c>
      <c r="G187" s="162"/>
      <c r="H187" s="48"/>
      <c r="I187" s="49" t="s">
        <v>624</v>
      </c>
      <c r="J187" s="114"/>
      <c r="K187" s="50" t="s">
        <v>187</v>
      </c>
      <c r="L187" s="51">
        <v>43654.0</v>
      </c>
      <c r="M187" s="51"/>
      <c r="N187" s="53" t="s">
        <v>295</v>
      </c>
      <c r="O187" s="60" t="s">
        <v>3923</v>
      </c>
      <c r="P187" s="53" t="str">
        <f>vlookup(N187,Categorizations!A:C,3,FALSE)</f>
        <v>Aspergillus</v>
      </c>
      <c r="Q187" s="55">
        <v>1.0</v>
      </c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</row>
    <row r="188" ht="22.5" customHeight="1">
      <c r="A188" s="16" t="s">
        <v>628</v>
      </c>
      <c r="C188" s="42">
        <v>43847.0</v>
      </c>
      <c r="D188" s="43" t="s">
        <v>94</v>
      </c>
      <c r="E188" s="44" t="s">
        <v>626</v>
      </c>
      <c r="F188" s="198" t="s">
        <v>109</v>
      </c>
      <c r="G188" s="162"/>
      <c r="H188" s="48"/>
      <c r="I188" s="49" t="s">
        <v>624</v>
      </c>
      <c r="J188" s="114"/>
      <c r="K188" s="50" t="s">
        <v>187</v>
      </c>
      <c r="L188" s="51">
        <v>43654.0</v>
      </c>
      <c r="M188" s="51"/>
      <c r="N188" s="53" t="s">
        <v>337</v>
      </c>
      <c r="O188" s="60" t="s">
        <v>162</v>
      </c>
      <c r="P188" s="53" t="str">
        <f>vlookup(N188,Categorizations!A:C,3,FALSE)</f>
        <v>Heavy Metal</v>
      </c>
      <c r="Q188" s="55">
        <v>1.0</v>
      </c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</row>
    <row r="189" ht="22.5" customHeight="1">
      <c r="A189" s="16" t="s">
        <v>631</v>
      </c>
      <c r="C189" s="42">
        <v>43850.0</v>
      </c>
      <c r="D189" s="43" t="s">
        <v>94</v>
      </c>
      <c r="E189" s="44" t="s">
        <v>629</v>
      </c>
      <c r="F189" s="198" t="s">
        <v>109</v>
      </c>
      <c r="G189" s="162"/>
      <c r="H189" s="48"/>
      <c r="I189" s="49" t="s">
        <v>624</v>
      </c>
      <c r="J189" s="114"/>
      <c r="K189" s="50" t="s">
        <v>636</v>
      </c>
      <c r="L189" s="51"/>
      <c r="M189" s="51">
        <v>43741.0</v>
      </c>
      <c r="N189" s="53" t="s">
        <v>337</v>
      </c>
      <c r="O189" s="60" t="s">
        <v>162</v>
      </c>
      <c r="P189" s="53" t="str">
        <f>vlookup(N189,Categorizations!A:C,3,FALSE)</f>
        <v>Heavy Metal</v>
      </c>
      <c r="Q189" s="55">
        <v>1.0</v>
      </c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</row>
    <row r="190" ht="22.5" customHeight="1">
      <c r="A190" s="16" t="s">
        <v>638</v>
      </c>
      <c r="C190" s="42">
        <v>43852.0</v>
      </c>
      <c r="D190" s="43" t="s">
        <v>94</v>
      </c>
      <c r="E190" s="44" t="s">
        <v>632</v>
      </c>
      <c r="F190" s="198" t="s">
        <v>109</v>
      </c>
      <c r="G190" s="162"/>
      <c r="H190" s="48"/>
      <c r="I190" s="49" t="s">
        <v>624</v>
      </c>
      <c r="J190" s="114"/>
      <c r="K190" s="50" t="s">
        <v>636</v>
      </c>
      <c r="L190" s="51">
        <v>43741.0</v>
      </c>
      <c r="M190" s="52"/>
      <c r="N190" s="53" t="s">
        <v>508</v>
      </c>
      <c r="O190" s="60" t="s">
        <v>162</v>
      </c>
      <c r="P190" s="53" t="str">
        <f>vlookup(N190,Categorizations!A:C,3,FALSE)</f>
        <v>Other</v>
      </c>
      <c r="Q190" s="55">
        <v>1.0</v>
      </c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</row>
    <row r="191" ht="22.5" customHeight="1">
      <c r="A191" s="16" t="s">
        <v>641</v>
      </c>
      <c r="C191" s="42">
        <v>43868.0</v>
      </c>
      <c r="D191" s="43" t="s">
        <v>94</v>
      </c>
      <c r="E191" s="44" t="s">
        <v>639</v>
      </c>
      <c r="F191" s="198" t="s">
        <v>109</v>
      </c>
      <c r="G191" s="162"/>
      <c r="H191" s="48"/>
      <c r="I191" s="49" t="s">
        <v>624</v>
      </c>
      <c r="J191" s="114"/>
      <c r="K191" s="50" t="s">
        <v>636</v>
      </c>
      <c r="L191" s="51">
        <v>43555.0</v>
      </c>
      <c r="M191" s="51"/>
      <c r="N191" s="53" t="s">
        <v>508</v>
      </c>
      <c r="O191" s="60" t="s">
        <v>162</v>
      </c>
      <c r="P191" s="53" t="str">
        <f>vlookup(N191,Categorizations!A:C,3,FALSE)</f>
        <v>Other</v>
      </c>
      <c r="Q191" s="55">
        <v>1.0</v>
      </c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</row>
    <row r="192" ht="22.5" customHeight="1">
      <c r="A192" s="16" t="s">
        <v>649</v>
      </c>
      <c r="C192" s="42">
        <v>43910.0</v>
      </c>
      <c r="D192" s="43" t="s">
        <v>94</v>
      </c>
      <c r="E192" s="44" t="s">
        <v>646</v>
      </c>
      <c r="F192" s="198" t="s">
        <v>109</v>
      </c>
      <c r="G192" s="162"/>
      <c r="H192" s="48"/>
      <c r="I192" s="49" t="s">
        <v>624</v>
      </c>
      <c r="J192" s="114"/>
      <c r="K192" s="50" t="s">
        <v>636</v>
      </c>
      <c r="L192" s="51">
        <v>43658.0</v>
      </c>
      <c r="M192" s="51"/>
      <c r="N192" s="53" t="s">
        <v>508</v>
      </c>
      <c r="O192" s="60" t="s">
        <v>162</v>
      </c>
      <c r="P192" s="53" t="str">
        <f>vlookup(N192,Categorizations!A:C,3,FALSE)</f>
        <v>Other</v>
      </c>
      <c r="Q192" s="55">
        <v>1.0</v>
      </c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</row>
    <row r="193" ht="22.5" customHeight="1">
      <c r="A193" s="16" t="s">
        <v>655</v>
      </c>
      <c r="C193" s="42">
        <v>44049.0</v>
      </c>
      <c r="D193" s="43" t="s">
        <v>94</v>
      </c>
      <c r="E193" s="44" t="s">
        <v>654</v>
      </c>
      <c r="F193" s="198" t="s">
        <v>109</v>
      </c>
      <c r="G193" s="166"/>
      <c r="H193" s="95"/>
      <c r="I193" s="66" t="s">
        <v>656</v>
      </c>
      <c r="J193" s="114"/>
      <c r="K193" s="111" t="s">
        <v>636</v>
      </c>
      <c r="L193" s="96"/>
      <c r="M193" s="51">
        <v>43992.0</v>
      </c>
      <c r="N193" s="53" t="s">
        <v>522</v>
      </c>
      <c r="O193" s="60" t="s">
        <v>162</v>
      </c>
      <c r="P193" s="53" t="str">
        <f>vlookup(N193,Categorizations!A:C,3,FALSE)</f>
        <v>Prohibited Additives / Product</v>
      </c>
      <c r="Q193" s="55">
        <v>1.0</v>
      </c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</row>
    <row r="194" ht="22.5" customHeight="1">
      <c r="A194" s="16" t="s">
        <v>667</v>
      </c>
      <c r="C194" s="42">
        <v>44091.0</v>
      </c>
      <c r="D194" s="43" t="s">
        <v>94</v>
      </c>
      <c r="E194" s="44" t="s">
        <v>665</v>
      </c>
      <c r="F194" s="198" t="s">
        <v>109</v>
      </c>
      <c r="G194" s="162"/>
      <c r="H194" s="48"/>
      <c r="I194" s="49" t="s">
        <v>624</v>
      </c>
      <c r="J194" s="114"/>
      <c r="K194" s="50" t="s">
        <v>636</v>
      </c>
      <c r="L194" s="51"/>
      <c r="M194" s="51">
        <v>44013.0</v>
      </c>
      <c r="N194" s="53" t="s">
        <v>596</v>
      </c>
      <c r="O194" s="60" t="s">
        <v>162</v>
      </c>
      <c r="P194" s="53" t="str">
        <f>vlookup(N194,Categorizations!A:C,3,FALSE)</f>
        <v>Aspergillus</v>
      </c>
      <c r="Q194" s="55">
        <v>1.0</v>
      </c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</row>
    <row r="195" ht="22.5" customHeight="1">
      <c r="A195" s="16" t="s">
        <v>738</v>
      </c>
      <c r="C195" s="42">
        <v>44384.0</v>
      </c>
      <c r="D195" s="43" t="s">
        <v>94</v>
      </c>
      <c r="E195" s="44" t="s">
        <v>732</v>
      </c>
      <c r="F195" s="198" t="s">
        <v>109</v>
      </c>
      <c r="G195" s="166"/>
      <c r="H195" s="95"/>
      <c r="I195" s="66" t="s">
        <v>624</v>
      </c>
      <c r="J195" s="95"/>
      <c r="K195" s="111" t="s">
        <v>636</v>
      </c>
      <c r="L195" s="96"/>
      <c r="M195" s="96">
        <v>44294.0</v>
      </c>
      <c r="N195" s="53" t="s">
        <v>4078</v>
      </c>
      <c r="O195" s="60" t="s">
        <v>162</v>
      </c>
      <c r="P195" s="53" t="str">
        <f>vlookup(N195,Categorizations!A:C,3,FALSE)</f>
        <v>Untested</v>
      </c>
      <c r="Q195" s="55">
        <v>1.0</v>
      </c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</row>
    <row r="196" ht="22.5" customHeight="1">
      <c r="A196" s="16" t="s">
        <v>753</v>
      </c>
      <c r="C196" s="42">
        <v>44463.0</v>
      </c>
      <c r="D196" s="43" t="s">
        <v>94</v>
      </c>
      <c r="E196" s="44" t="s">
        <v>751</v>
      </c>
      <c r="F196" s="198" t="s">
        <v>109</v>
      </c>
      <c r="G196" s="162"/>
      <c r="H196" s="48"/>
      <c r="I196" s="49" t="s">
        <v>754</v>
      </c>
      <c r="J196" s="114"/>
      <c r="K196" s="50" t="s">
        <v>636</v>
      </c>
      <c r="L196" s="51"/>
      <c r="M196" s="51">
        <v>44424.0</v>
      </c>
      <c r="N196" s="53" t="s">
        <v>17</v>
      </c>
      <c r="O196" s="60" t="s">
        <v>162</v>
      </c>
      <c r="P196" s="53" t="str">
        <f>vlookup(N196,Categorizations!A:C,3,FALSE)</f>
        <v>Pesticides</v>
      </c>
      <c r="Q196" s="55">
        <v>1.0</v>
      </c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</row>
    <row r="197" ht="22.5" customHeight="1">
      <c r="A197" s="16" t="s">
        <v>774</v>
      </c>
      <c r="C197" s="42">
        <v>44517.0</v>
      </c>
      <c r="D197" s="43" t="s">
        <v>94</v>
      </c>
      <c r="E197" s="102" t="s">
        <v>4094</v>
      </c>
      <c r="F197" s="198" t="s">
        <v>109</v>
      </c>
      <c r="G197" s="166"/>
      <c r="H197" s="95"/>
      <c r="I197" s="66" t="s">
        <v>775</v>
      </c>
      <c r="J197" s="114"/>
      <c r="K197" s="111" t="s">
        <v>636</v>
      </c>
      <c r="L197" s="96"/>
      <c r="M197" s="96">
        <v>44418.0</v>
      </c>
      <c r="N197" s="53" t="s">
        <v>550</v>
      </c>
      <c r="O197" s="60" t="s">
        <v>162</v>
      </c>
      <c r="P197" s="53" t="str">
        <f>vlookup(N197,Categorizations!A:C,3,FALSE)</f>
        <v>Lab Issue</v>
      </c>
      <c r="Q197" s="55">
        <v>1.0</v>
      </c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</row>
    <row r="198" ht="22.5" customHeight="1">
      <c r="A198" s="16" t="s">
        <v>908</v>
      </c>
      <c r="C198" s="42">
        <v>44880.0</v>
      </c>
      <c r="D198" s="43" t="s">
        <v>94</v>
      </c>
      <c r="E198" s="44" t="s">
        <v>905</v>
      </c>
      <c r="F198" s="198" t="s">
        <v>109</v>
      </c>
      <c r="G198" s="166"/>
      <c r="H198" s="95"/>
      <c r="I198" s="66" t="s">
        <v>909</v>
      </c>
      <c r="J198" s="114"/>
      <c r="K198" s="111" t="s">
        <v>636</v>
      </c>
      <c r="L198" s="96"/>
      <c r="M198" s="96">
        <v>44602.0</v>
      </c>
      <c r="N198" s="53" t="s">
        <v>535</v>
      </c>
      <c r="O198" s="60" t="s">
        <v>162</v>
      </c>
      <c r="P198" s="53" t="str">
        <f>vlookup(N198,Categorizations!A:C,3,FALSE)</f>
        <v>Mislabeled</v>
      </c>
      <c r="Q198" s="55">
        <v>1.0</v>
      </c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</row>
    <row r="199" ht="22.5" customHeight="1">
      <c r="A199" s="16" t="str">
        <f>concatenate(C199,D100,I199)</f>
        <v>45114ColoradoBloomfield Development Group Grow, LLC</v>
      </c>
      <c r="C199" s="42">
        <v>45114.0</v>
      </c>
      <c r="D199" s="72" t="s">
        <v>94</v>
      </c>
      <c r="E199" s="56" t="s">
        <v>1232</v>
      </c>
      <c r="F199" s="111" t="s">
        <v>109</v>
      </c>
      <c r="G199" s="162"/>
      <c r="H199" s="48"/>
      <c r="I199" s="49" t="s">
        <v>1239</v>
      </c>
      <c r="J199" s="95"/>
      <c r="K199" s="50" t="s">
        <v>636</v>
      </c>
      <c r="L199" s="51"/>
      <c r="M199" s="51">
        <v>45069.0</v>
      </c>
      <c r="N199" s="53" t="s">
        <v>620</v>
      </c>
      <c r="O199" s="109" t="s">
        <v>162</v>
      </c>
      <c r="P199" s="53" t="str">
        <f>vlookup(N199,Categorizations!A:C,3,FALSE)</f>
        <v>Yeast and Mold</v>
      </c>
      <c r="Q199" s="55">
        <v>1.0</v>
      </c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</row>
    <row r="200" ht="22.5" customHeight="1">
      <c r="A200" s="16" t="str">
        <f t="shared" ref="A200:A204" si="8">concatenate(C200,I200)</f>
        <v>45128Sky Labs, LLC</v>
      </c>
      <c r="C200" s="42">
        <v>45128.0</v>
      </c>
      <c r="D200" s="72" t="s">
        <v>94</v>
      </c>
      <c r="E200" s="110" t="s">
        <v>1284</v>
      </c>
      <c r="F200" s="111" t="s">
        <v>177</v>
      </c>
      <c r="G200" s="162"/>
      <c r="H200" s="48"/>
      <c r="I200" s="49" t="s">
        <v>1296</v>
      </c>
      <c r="J200" s="95"/>
      <c r="K200" s="50" t="s">
        <v>636</v>
      </c>
      <c r="L200" s="51"/>
      <c r="M200" s="51">
        <v>44973.0</v>
      </c>
      <c r="N200" s="53" t="s">
        <v>662</v>
      </c>
      <c r="O200" s="54" t="s">
        <v>162</v>
      </c>
      <c r="P200" s="53" t="str">
        <f>vlookup(N200,Categorizations!A:C,3,FALSE)</f>
        <v>Mold</v>
      </c>
      <c r="Q200" s="55">
        <v>1.0</v>
      </c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</row>
    <row r="201" ht="22.5" customHeight="1">
      <c r="A201" s="16" t="str">
        <f t="shared" si="8"/>
        <v>45196SBCMI, LLC</v>
      </c>
      <c r="C201" s="42">
        <v>45196.0</v>
      </c>
      <c r="D201" s="72" t="s">
        <v>94</v>
      </c>
      <c r="E201" s="56" t="s">
        <v>4167</v>
      </c>
      <c r="F201" s="111" t="s">
        <v>177</v>
      </c>
      <c r="G201" s="162"/>
      <c r="H201" s="48" t="s">
        <v>4173</v>
      </c>
      <c r="I201" s="49" t="s">
        <v>4174</v>
      </c>
      <c r="J201" s="114"/>
      <c r="K201" s="50" t="s">
        <v>636</v>
      </c>
      <c r="L201" s="51"/>
      <c r="M201" s="51">
        <v>45070.0</v>
      </c>
      <c r="N201" s="53" t="s">
        <v>246</v>
      </c>
      <c r="O201" s="54" t="s">
        <v>162</v>
      </c>
      <c r="P201" s="53" t="str">
        <f>vlookup(N201,Categorizations!A:C,3,FALSE)</f>
        <v>Not Properly Tracked</v>
      </c>
      <c r="Q201" s="55">
        <v>1.0</v>
      </c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</row>
    <row r="202" ht="22.5" customHeight="1">
      <c r="A202" s="16" t="str">
        <f t="shared" si="8"/>
        <v>45238VBJG Mt. Clemens, LLC</v>
      </c>
      <c r="C202" s="42">
        <v>45238.0</v>
      </c>
      <c r="D202" s="72" t="s">
        <v>94</v>
      </c>
      <c r="E202" s="56" t="s">
        <v>4180</v>
      </c>
      <c r="F202" s="111" t="s">
        <v>177</v>
      </c>
      <c r="G202" s="162"/>
      <c r="H202" s="48" t="s">
        <v>4185</v>
      </c>
      <c r="I202" s="49" t="s">
        <v>4186</v>
      </c>
      <c r="J202" s="114"/>
      <c r="K202" s="50" t="s">
        <v>636</v>
      </c>
      <c r="L202" s="51"/>
      <c r="M202" s="51">
        <v>45210.0</v>
      </c>
      <c r="N202" s="53" t="s">
        <v>255</v>
      </c>
      <c r="O202" s="54" t="s">
        <v>162</v>
      </c>
      <c r="P202" s="53" t="str">
        <f>vlookup(N202,Categorizations!A:C,3,FALSE)</f>
        <v>Inaccurate THC</v>
      </c>
      <c r="Q202" s="55">
        <v>1.0</v>
      </c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</row>
    <row r="203" ht="22.5" customHeight="1">
      <c r="A203" s="16" t="str">
        <f t="shared" si="8"/>
        <v>45250Bloomfield Development Group Grow, LLC</v>
      </c>
      <c r="C203" s="42">
        <v>45250.0</v>
      </c>
      <c r="D203" s="72" t="s">
        <v>94</v>
      </c>
      <c r="E203" s="56" t="s">
        <v>4194</v>
      </c>
      <c r="F203" s="111" t="s">
        <v>177</v>
      </c>
      <c r="G203" s="166"/>
      <c r="H203" s="95" t="s">
        <v>4197</v>
      </c>
      <c r="I203" s="49" t="s">
        <v>1239</v>
      </c>
      <c r="J203" s="114"/>
      <c r="K203" s="111" t="s">
        <v>636</v>
      </c>
      <c r="L203" s="96"/>
      <c r="M203" s="96">
        <v>45093.0</v>
      </c>
      <c r="N203" s="53" t="s">
        <v>242</v>
      </c>
      <c r="O203" s="54" t="s">
        <v>162</v>
      </c>
      <c r="P203" s="53" t="str">
        <f>vlookup(N203,Categorizations!A:C,3,FALSE)</f>
        <v>Inaccurate THC</v>
      </c>
      <c r="Q203" s="55">
        <v>1.0</v>
      </c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</row>
    <row r="204" ht="22.5" customHeight="1">
      <c r="A204" s="16" t="str">
        <f t="shared" si="8"/>
        <v>45427Flavor Galaxy LLC</v>
      </c>
      <c r="C204" s="42">
        <v>45427.0</v>
      </c>
      <c r="D204" s="72" t="s">
        <v>94</v>
      </c>
      <c r="E204" s="56" t="s">
        <v>4203</v>
      </c>
      <c r="F204" s="111" t="s">
        <v>177</v>
      </c>
      <c r="G204" s="162"/>
      <c r="H204" s="48" t="s">
        <v>4206</v>
      </c>
      <c r="I204" s="49" t="s">
        <v>4207</v>
      </c>
      <c r="J204" s="114"/>
      <c r="K204" s="50" t="s">
        <v>636</v>
      </c>
      <c r="L204" s="51">
        <v>45255.0</v>
      </c>
      <c r="M204" s="51"/>
      <c r="N204" s="53" t="s">
        <v>229</v>
      </c>
      <c r="O204" s="54" t="s">
        <v>162</v>
      </c>
      <c r="P204" s="53" t="str">
        <f>vlookup(N204,Categorizations!A:C,3,FALSE)</f>
        <v>Prohibited Additives / Product</v>
      </c>
      <c r="Q204" s="55">
        <v>1.0</v>
      </c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</row>
    <row r="205" ht="22.5" customHeight="1">
      <c r="A205" s="16" t="s">
        <v>699</v>
      </c>
      <c r="C205" s="42">
        <v>44247.0</v>
      </c>
      <c r="D205" s="43" t="s">
        <v>117</v>
      </c>
      <c r="E205" s="44" t="s">
        <v>696</v>
      </c>
      <c r="F205" s="198" t="s">
        <v>109</v>
      </c>
      <c r="G205" s="166"/>
      <c r="H205" s="95"/>
      <c r="I205" s="66" t="s">
        <v>624</v>
      </c>
      <c r="J205" s="114"/>
      <c r="K205" s="111" t="s">
        <v>120</v>
      </c>
      <c r="L205" s="96"/>
      <c r="M205" s="96"/>
      <c r="N205" s="53" t="s">
        <v>330</v>
      </c>
      <c r="O205" s="54" t="s">
        <v>162</v>
      </c>
      <c r="P205" s="53" t="str">
        <f>vlookup(N205,Categorizations!A:C,3,FALSE)</f>
        <v>Other</v>
      </c>
      <c r="Q205" s="55">
        <v>1.0</v>
      </c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</row>
    <row r="206" ht="22.5" customHeight="1">
      <c r="A206" s="16" t="s">
        <v>741</v>
      </c>
      <c r="C206" s="42">
        <v>44385.0</v>
      </c>
      <c r="D206" s="43" t="s">
        <v>117</v>
      </c>
      <c r="E206" s="44" t="s">
        <v>739</v>
      </c>
      <c r="F206" s="198" t="s">
        <v>109</v>
      </c>
      <c r="G206" s="166"/>
      <c r="H206" s="95"/>
      <c r="I206" s="66" t="s">
        <v>742</v>
      </c>
      <c r="J206" s="114"/>
      <c r="K206" s="111" t="s">
        <v>636</v>
      </c>
      <c r="L206" s="96"/>
      <c r="M206" s="96">
        <v>44372.0</v>
      </c>
      <c r="N206" s="53" t="s">
        <v>481</v>
      </c>
      <c r="O206" s="60" t="s">
        <v>162</v>
      </c>
      <c r="P206" s="53" t="str">
        <f>vlookup(N206,Categorizations!A:C,3,FALSE)</f>
        <v>Salmonella</v>
      </c>
      <c r="Q206" s="55">
        <v>1.0</v>
      </c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</row>
    <row r="207" ht="22.5" customHeight="1">
      <c r="A207" s="16" t="s">
        <v>765</v>
      </c>
      <c r="C207" s="42">
        <v>44505.0</v>
      </c>
      <c r="D207" s="43" t="s">
        <v>117</v>
      </c>
      <c r="E207" s="44" t="s">
        <v>763</v>
      </c>
      <c r="F207" s="198" t="s">
        <v>109</v>
      </c>
      <c r="G207" s="162"/>
      <c r="H207" s="48"/>
      <c r="I207" s="49" t="s">
        <v>766</v>
      </c>
      <c r="J207" s="114"/>
      <c r="K207" s="50" t="s">
        <v>636</v>
      </c>
      <c r="L207" s="51"/>
      <c r="M207" s="51">
        <v>44348.0</v>
      </c>
      <c r="N207" s="53" t="s">
        <v>535</v>
      </c>
      <c r="O207" s="60" t="s">
        <v>162</v>
      </c>
      <c r="P207" s="53" t="str">
        <f>vlookup(N207,Categorizations!A:C,3,FALSE)</f>
        <v>Mislabeled</v>
      </c>
      <c r="Q207" s="55">
        <v>1.0</v>
      </c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</row>
    <row r="208" ht="22.5" customHeight="1">
      <c r="A208" s="16" t="s">
        <v>816</v>
      </c>
      <c r="C208" s="42">
        <v>44624.0</v>
      </c>
      <c r="D208" s="43" t="s">
        <v>117</v>
      </c>
      <c r="E208" s="44" t="s">
        <v>814</v>
      </c>
      <c r="F208" s="198" t="s">
        <v>109</v>
      </c>
      <c r="G208" s="162"/>
      <c r="H208" s="48"/>
      <c r="I208" s="49" t="s">
        <v>817</v>
      </c>
      <c r="J208" s="114"/>
      <c r="K208" s="50" t="s">
        <v>636</v>
      </c>
      <c r="L208" s="51"/>
      <c r="M208" s="51">
        <v>44440.0</v>
      </c>
      <c r="N208" s="53" t="s">
        <v>535</v>
      </c>
      <c r="O208" s="60" t="s">
        <v>162</v>
      </c>
      <c r="P208" s="53" t="str">
        <f>vlookup(N208,Categorizations!A:C,3,FALSE)</f>
        <v>Mislabeled</v>
      </c>
      <c r="Q208" s="55">
        <v>1.0</v>
      </c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</row>
    <row r="209" ht="22.5" customHeight="1">
      <c r="A209" s="16" t="s">
        <v>827</v>
      </c>
      <c r="C209" s="42">
        <v>44650.0</v>
      </c>
      <c r="D209" s="43" t="s">
        <v>117</v>
      </c>
      <c r="E209" s="44" t="s">
        <v>826</v>
      </c>
      <c r="F209" s="198" t="s">
        <v>177</v>
      </c>
      <c r="G209" s="162"/>
      <c r="H209" s="48"/>
      <c r="I209" s="49" t="s">
        <v>828</v>
      </c>
      <c r="J209" s="114"/>
      <c r="K209" s="50" t="s">
        <v>636</v>
      </c>
      <c r="L209" s="51"/>
      <c r="M209" s="51">
        <v>44594.0</v>
      </c>
      <c r="N209" s="53" t="s">
        <v>367</v>
      </c>
      <c r="O209" s="60" t="s">
        <v>162</v>
      </c>
      <c r="P209" s="53" t="str">
        <f>vlookup(N209,Categorizations!A:C,3,FALSE)</f>
        <v>Mislabeled</v>
      </c>
      <c r="Q209" s="55">
        <v>1.0</v>
      </c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</row>
    <row r="210" ht="22.5" customHeight="1">
      <c r="A210" s="16" t="s">
        <v>949</v>
      </c>
      <c r="C210" s="42">
        <v>44945.0</v>
      </c>
      <c r="D210" s="43" t="s">
        <v>117</v>
      </c>
      <c r="E210" s="44" t="s">
        <v>946</v>
      </c>
      <c r="F210" s="198" t="s">
        <v>109</v>
      </c>
      <c r="G210" s="166"/>
      <c r="H210" s="95"/>
      <c r="I210" s="66" t="s">
        <v>950</v>
      </c>
      <c r="J210" s="95"/>
      <c r="K210" s="111" t="s">
        <v>636</v>
      </c>
      <c r="L210" s="96"/>
      <c r="M210" s="96">
        <v>44439.0</v>
      </c>
      <c r="N210" s="53" t="s">
        <v>64</v>
      </c>
      <c r="O210" s="60" t="s">
        <v>162</v>
      </c>
      <c r="P210" s="53" t="str">
        <f>vlookup(N210,Categorizations!A:C,3,FALSE)</f>
        <v>Pesticides</v>
      </c>
      <c r="Q210" s="55">
        <v>1.0</v>
      </c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</row>
    <row r="211" ht="22.5" customHeight="1">
      <c r="A211" s="16" t="s">
        <v>1129</v>
      </c>
      <c r="C211" s="42">
        <v>45038.0</v>
      </c>
      <c r="D211" s="72" t="s">
        <v>117</v>
      </c>
      <c r="E211" s="56" t="s">
        <v>1124</v>
      </c>
      <c r="F211" s="111" t="s">
        <v>109</v>
      </c>
      <c r="G211" s="162"/>
      <c r="H211" s="48"/>
      <c r="I211" s="49" t="s">
        <v>1130</v>
      </c>
      <c r="J211" s="95"/>
      <c r="K211" s="50" t="s">
        <v>636</v>
      </c>
      <c r="L211" s="51"/>
      <c r="M211" s="51">
        <v>45008.0</v>
      </c>
      <c r="N211" s="53" t="s">
        <v>64</v>
      </c>
      <c r="O211" s="109" t="s">
        <v>162</v>
      </c>
      <c r="P211" s="53" t="str">
        <f>vlookup(N211,Categorizations!A:C,3,FALSE)</f>
        <v>Pesticides</v>
      </c>
      <c r="Q211" s="55">
        <v>1.0</v>
      </c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</row>
    <row r="212" ht="22.5" customHeight="1">
      <c r="A212" s="16" t="s">
        <v>1220</v>
      </c>
      <c r="C212" s="42">
        <v>45100.0</v>
      </c>
      <c r="D212" s="72" t="s">
        <v>117</v>
      </c>
      <c r="E212" s="56" t="s">
        <v>1216</v>
      </c>
      <c r="F212" s="198" t="s">
        <v>109</v>
      </c>
      <c r="G212" s="162"/>
      <c r="H212" s="48"/>
      <c r="I212" s="49" t="s">
        <v>1221</v>
      </c>
      <c r="J212" s="95"/>
      <c r="K212" s="50" t="s">
        <v>636</v>
      </c>
      <c r="L212" s="51"/>
      <c r="M212" s="51">
        <v>45055.0</v>
      </c>
      <c r="N212" s="53" t="s">
        <v>210</v>
      </c>
      <c r="O212" s="109" t="s">
        <v>162</v>
      </c>
      <c r="P212" s="53" t="str">
        <f>vlookup(N212,Categorizations!A:C,3,FALSE)</f>
        <v>Yeast and Mold</v>
      </c>
      <c r="Q212" s="55">
        <v>1.0</v>
      </c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</row>
    <row r="213" ht="22.5" customHeight="1">
      <c r="A213" s="16" t="s">
        <v>1220</v>
      </c>
      <c r="C213" s="42">
        <v>45464.0</v>
      </c>
      <c r="D213" s="72" t="s">
        <v>117</v>
      </c>
      <c r="E213" s="102" t="s">
        <v>4352</v>
      </c>
      <c r="F213" s="111" t="s">
        <v>177</v>
      </c>
      <c r="G213" s="162"/>
      <c r="H213" s="48" t="s">
        <v>4358</v>
      </c>
      <c r="I213" s="66" t="s">
        <v>4360</v>
      </c>
      <c r="J213" s="95"/>
      <c r="K213" s="50" t="s">
        <v>636</v>
      </c>
      <c r="L213" s="51"/>
      <c r="M213" s="51">
        <v>45438.0</v>
      </c>
      <c r="N213" s="53" t="s">
        <v>352</v>
      </c>
      <c r="O213" s="109" t="s">
        <v>162</v>
      </c>
      <c r="P213" s="53" t="str">
        <f>vlookup(N213,Categorizations!A:C,3,FALSE)</f>
        <v>Inaccurate THC</v>
      </c>
      <c r="Q213" s="55">
        <v>1.0</v>
      </c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</row>
    <row r="214" ht="22.5" customHeight="1">
      <c r="A214" s="16" t="s">
        <v>1220</v>
      </c>
      <c r="C214" s="42">
        <v>45464.0</v>
      </c>
      <c r="D214" s="72" t="s">
        <v>117</v>
      </c>
      <c r="E214" s="102" t="s">
        <v>4352</v>
      </c>
      <c r="F214" s="111" t="s">
        <v>177</v>
      </c>
      <c r="G214" s="162"/>
      <c r="H214" s="48" t="s">
        <v>4358</v>
      </c>
      <c r="I214" s="66" t="s">
        <v>4360</v>
      </c>
      <c r="J214" s="95"/>
      <c r="K214" s="50" t="s">
        <v>636</v>
      </c>
      <c r="L214" s="51"/>
      <c r="M214" s="51">
        <v>45438.0</v>
      </c>
      <c r="N214" s="53" t="s">
        <v>352</v>
      </c>
      <c r="O214" s="109" t="s">
        <v>162</v>
      </c>
      <c r="P214" s="53" t="str">
        <f>vlookup(N214,Categorizations!A:C,3,FALSE)</f>
        <v>Inaccurate THC</v>
      </c>
      <c r="Q214" s="55">
        <v>1.0</v>
      </c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</row>
    <row r="215" ht="22.5" customHeight="1">
      <c r="A215" s="16" t="s">
        <v>1220</v>
      </c>
      <c r="C215" s="42">
        <v>45464.0</v>
      </c>
      <c r="D215" s="72" t="s">
        <v>117</v>
      </c>
      <c r="E215" s="102" t="s">
        <v>4352</v>
      </c>
      <c r="F215" s="111" t="s">
        <v>177</v>
      </c>
      <c r="G215" s="162"/>
      <c r="H215" s="48" t="s">
        <v>4358</v>
      </c>
      <c r="I215" s="66" t="s">
        <v>4360</v>
      </c>
      <c r="J215" s="95"/>
      <c r="K215" s="50" t="s">
        <v>636</v>
      </c>
      <c r="L215" s="51"/>
      <c r="M215" s="51">
        <v>45438.0</v>
      </c>
      <c r="N215" s="53" t="s">
        <v>352</v>
      </c>
      <c r="O215" s="109" t="s">
        <v>162</v>
      </c>
      <c r="P215" s="53" t="str">
        <f>vlookup(N215,Categorizations!A:C,3,FALSE)</f>
        <v>Inaccurate THC</v>
      </c>
      <c r="Q215" s="55">
        <v>1.0</v>
      </c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</row>
    <row r="216" ht="22.5" customHeight="1">
      <c r="A216" s="16" t="str">
        <f t="shared" ref="A216:A219" si="9">concatenate(C216,D216, I216)</f>
        <v>45462NevadaKynd LLC</v>
      </c>
      <c r="C216" s="42">
        <v>45462.0</v>
      </c>
      <c r="D216" s="72" t="s">
        <v>117</v>
      </c>
      <c r="E216" s="56" t="s">
        <v>4406</v>
      </c>
      <c r="F216" s="111" t="s">
        <v>177</v>
      </c>
      <c r="G216" s="162"/>
      <c r="H216" s="48" t="s">
        <v>4413</v>
      </c>
      <c r="I216" s="66" t="s">
        <v>4360</v>
      </c>
      <c r="J216" s="95"/>
      <c r="K216" s="50" t="s">
        <v>636</v>
      </c>
      <c r="L216" s="51"/>
      <c r="M216" s="51">
        <v>45392.0</v>
      </c>
      <c r="N216" s="53" t="s">
        <v>208</v>
      </c>
      <c r="O216" s="109" t="s">
        <v>162</v>
      </c>
      <c r="P216" s="53" t="str">
        <f>vlookup(N216,Categorizations!A:C,3,FALSE)</f>
        <v>Prohibited Additives / Product</v>
      </c>
      <c r="Q216" s="55">
        <v>1.0</v>
      </c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</row>
    <row r="217" ht="22.5" customHeight="1">
      <c r="A217" s="16" t="str">
        <f t="shared" si="9"/>
        <v>45495NevadaMultiple</v>
      </c>
      <c r="C217" s="42">
        <v>45495.0</v>
      </c>
      <c r="D217" s="72" t="s">
        <v>117</v>
      </c>
      <c r="E217" s="56" t="s">
        <v>4436</v>
      </c>
      <c r="F217" s="111" t="s">
        <v>177</v>
      </c>
      <c r="G217" s="166"/>
      <c r="H217" s="95" t="s">
        <v>4444</v>
      </c>
      <c r="I217" s="66" t="s">
        <v>729</v>
      </c>
      <c r="J217" s="95"/>
      <c r="K217" s="111" t="s">
        <v>636</v>
      </c>
      <c r="L217" s="96"/>
      <c r="M217" s="96">
        <v>44138.0</v>
      </c>
      <c r="N217" s="53" t="s">
        <v>204</v>
      </c>
      <c r="O217" s="109" t="s">
        <v>162</v>
      </c>
      <c r="P217" s="53" t="str">
        <f>vlookup(N217,Categorizations!A:C,3,FALSE)</f>
        <v>Pesticides</v>
      </c>
      <c r="Q217" s="55">
        <v>1.0</v>
      </c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</row>
    <row r="218" ht="22.5" customHeight="1">
      <c r="A218" s="16" t="str">
        <f t="shared" si="9"/>
        <v>44335New JerseyCuraleaf</v>
      </c>
      <c r="C218" s="42">
        <v>44335.0</v>
      </c>
      <c r="D218" s="72" t="s">
        <v>123</v>
      </c>
      <c r="E218" s="56" t="s">
        <v>718</v>
      </c>
      <c r="F218" s="111" t="s">
        <v>109</v>
      </c>
      <c r="G218" s="166"/>
      <c r="H218" s="95"/>
      <c r="I218" s="66" t="s">
        <v>722</v>
      </c>
      <c r="J218" s="95" t="s">
        <v>636</v>
      </c>
      <c r="K218" s="111" t="s">
        <v>636</v>
      </c>
      <c r="L218" s="96">
        <v>44187.0</v>
      </c>
      <c r="M218" s="96"/>
      <c r="N218" s="53" t="s">
        <v>625</v>
      </c>
      <c r="O218" s="54" t="s">
        <v>801</v>
      </c>
      <c r="P218" s="53" t="str">
        <f>vlookup(N218,Categorizations!A:C,3,FALSE)</f>
        <v>Packaging</v>
      </c>
      <c r="Q218" s="55">
        <v>1.0</v>
      </c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</row>
    <row r="219" ht="22.5" customHeight="1">
      <c r="A219" s="16" t="str">
        <f t="shared" si="9"/>
        <v>45502New JerseyGreen Medicine NJ</v>
      </c>
      <c r="C219" s="42">
        <v>45502.0</v>
      </c>
      <c r="D219" s="72" t="s">
        <v>123</v>
      </c>
      <c r="E219" s="102" t="s">
        <v>4489</v>
      </c>
      <c r="F219" s="73" t="s">
        <v>109</v>
      </c>
      <c r="G219" s="162"/>
      <c r="H219" s="48" t="s">
        <v>4498</v>
      </c>
      <c r="I219" s="220" t="s">
        <v>4500</v>
      </c>
      <c r="J219" s="67"/>
      <c r="K219" s="50" t="s">
        <v>120</v>
      </c>
      <c r="L219" s="51"/>
      <c r="M219" s="51"/>
      <c r="N219" s="53" t="s">
        <v>200</v>
      </c>
      <c r="O219" s="109" t="s">
        <v>162</v>
      </c>
      <c r="P219" s="53" t="str">
        <f>vlookup(N219,Categorizations!A:C,3,FALSE)</f>
        <v>Pesticides</v>
      </c>
      <c r="Q219" s="55">
        <v>1.0</v>
      </c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</row>
    <row r="220" ht="22.5" customHeight="1">
      <c r="A220" s="16" t="s">
        <v>824</v>
      </c>
      <c r="C220" s="42">
        <v>44648.0</v>
      </c>
      <c r="D220" s="43" t="s">
        <v>128</v>
      </c>
      <c r="E220" s="102" t="s">
        <v>4518</v>
      </c>
      <c r="F220" s="46" t="s">
        <v>109</v>
      </c>
      <c r="G220" s="221"/>
      <c r="H220" s="222"/>
      <c r="I220" s="220" t="s">
        <v>825</v>
      </c>
      <c r="J220" s="67"/>
      <c r="K220" s="223" t="s">
        <v>120</v>
      </c>
      <c r="L220" s="224"/>
      <c r="M220" s="224"/>
      <c r="N220" s="53" t="s">
        <v>339</v>
      </c>
      <c r="O220" s="54" t="s">
        <v>801</v>
      </c>
      <c r="P220" s="53" t="str">
        <f>vlookup(N220,Categorizations!A:C,3,FALSE)</f>
        <v>Microbial</v>
      </c>
      <c r="Q220" s="55">
        <v>1.0</v>
      </c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</row>
    <row r="221" ht="22.5" customHeight="1">
      <c r="A221" s="16" t="str">
        <f t="shared" ref="A221:A238" si="10">concatenate(C221,D221, I221)</f>
        <v>45373New MexicoCowboy RX, Sandia Botanicals, and Seven Clover,</v>
      </c>
      <c r="C221" s="42">
        <v>45373.0</v>
      </c>
      <c r="D221" s="72" t="s">
        <v>128</v>
      </c>
      <c r="E221" s="56" t="s">
        <v>4550</v>
      </c>
      <c r="F221" s="111" t="s">
        <v>109</v>
      </c>
      <c r="G221" s="225"/>
      <c r="H221" s="226" t="s">
        <v>4560</v>
      </c>
      <c r="I221" s="227" t="s">
        <v>4562</v>
      </c>
      <c r="J221" s="95"/>
      <c r="K221" s="228" t="s">
        <v>187</v>
      </c>
      <c r="L221" s="229"/>
      <c r="M221" s="230">
        <v>44947.0</v>
      </c>
      <c r="N221" s="53" t="s">
        <v>55</v>
      </c>
      <c r="O221" s="109" t="s">
        <v>162</v>
      </c>
      <c r="P221" s="53" t="str">
        <f>vlookup(N221,Categorizations!A:C,3,FALSE)</f>
        <v>Pesticides</v>
      </c>
      <c r="Q221" s="55">
        <v>1.0</v>
      </c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</row>
    <row r="222" ht="22.5" customHeight="1">
      <c r="A222" s="16" t="str">
        <f t="shared" si="10"/>
        <v>44785New YorkCuraleaf</v>
      </c>
      <c r="C222" s="42">
        <v>44785.0</v>
      </c>
      <c r="D222" s="43" t="s">
        <v>132</v>
      </c>
      <c r="E222" s="102" t="s">
        <v>858</v>
      </c>
      <c r="F222" s="198" t="s">
        <v>109</v>
      </c>
      <c r="G222" s="166"/>
      <c r="H222" s="95"/>
      <c r="I222" s="66" t="s">
        <v>722</v>
      </c>
      <c r="J222" s="95" t="s">
        <v>636</v>
      </c>
      <c r="K222" s="111" t="s">
        <v>120</v>
      </c>
      <c r="L222" s="96"/>
      <c r="M222" s="96"/>
      <c r="N222" s="53" t="s">
        <v>523</v>
      </c>
      <c r="O222" s="53" t="s">
        <v>801</v>
      </c>
      <c r="P222" s="53" t="str">
        <f>vlookup(N222,Categorizations!A:C,3,FALSE)</f>
        <v>Solvent</v>
      </c>
      <c r="Q222" s="55">
        <v>1.0</v>
      </c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</row>
    <row r="223" ht="22.5" customHeight="1">
      <c r="A223" s="16" t="str">
        <f t="shared" si="10"/>
        <v>44853New YorkCuraleaf</v>
      </c>
      <c r="C223" s="42">
        <v>44853.0</v>
      </c>
      <c r="D223" s="43" t="s">
        <v>132</v>
      </c>
      <c r="E223" s="44" t="s">
        <v>882</v>
      </c>
      <c r="F223" s="198" t="s">
        <v>109</v>
      </c>
      <c r="G223" s="166"/>
      <c r="H223" s="95"/>
      <c r="I223" s="66" t="s">
        <v>722</v>
      </c>
      <c r="J223" s="95" t="s">
        <v>636</v>
      </c>
      <c r="K223" s="111" t="s">
        <v>120</v>
      </c>
      <c r="L223" s="96"/>
      <c r="M223" s="96"/>
      <c r="N223" s="53" t="s">
        <v>352</v>
      </c>
      <c r="O223" s="53" t="s">
        <v>801</v>
      </c>
      <c r="P223" s="53" t="str">
        <f>vlookup(N223,Categorizations!A:C,3,FALSE)</f>
        <v>Inaccurate THC</v>
      </c>
      <c r="Q223" s="55">
        <v>1.0</v>
      </c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</row>
    <row r="224" ht="22.5" customHeight="1">
      <c r="A224" s="16" t="str">
        <f t="shared" si="10"/>
        <v>43903OhioPure Ohio Wellness</v>
      </c>
      <c r="C224" s="42">
        <v>43903.0</v>
      </c>
      <c r="D224" s="72" t="s">
        <v>137</v>
      </c>
      <c r="E224" s="56" t="s">
        <v>4640</v>
      </c>
      <c r="F224" s="111" t="s">
        <v>109</v>
      </c>
      <c r="G224" s="162"/>
      <c r="H224" s="48"/>
      <c r="I224" s="49" t="s">
        <v>320</v>
      </c>
      <c r="J224" s="114"/>
      <c r="K224" s="50" t="s">
        <v>120</v>
      </c>
      <c r="L224" s="51"/>
      <c r="M224" s="51"/>
      <c r="N224" s="53" t="s">
        <v>535</v>
      </c>
      <c r="O224" s="60" t="s">
        <v>162</v>
      </c>
      <c r="P224" s="53" t="str">
        <f>vlookup(N224,Categorizations!A:C,3,FALSE)</f>
        <v>Mislabeled</v>
      </c>
      <c r="Q224" s="55">
        <v>1.0</v>
      </c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</row>
    <row r="225" ht="22.5" customHeight="1">
      <c r="A225" s="16" t="str">
        <f t="shared" si="10"/>
        <v>44271OhioGTI Ohio</v>
      </c>
      <c r="C225" s="42">
        <v>44271.0</v>
      </c>
      <c r="D225" s="72" t="s">
        <v>137</v>
      </c>
      <c r="E225" s="56" t="s">
        <v>4640</v>
      </c>
      <c r="F225" s="111" t="s">
        <v>109</v>
      </c>
      <c r="G225" s="162"/>
      <c r="H225" s="48"/>
      <c r="I225" s="49" t="s">
        <v>323</v>
      </c>
      <c r="J225" s="95" t="s">
        <v>636</v>
      </c>
      <c r="K225" s="50" t="s">
        <v>636</v>
      </c>
      <c r="L225" s="51"/>
      <c r="M225" s="51">
        <v>44242.0</v>
      </c>
      <c r="N225" s="53" t="s">
        <v>535</v>
      </c>
      <c r="O225" s="60" t="s">
        <v>162</v>
      </c>
      <c r="P225" s="53" t="str">
        <f>vlookup(N225,Categorizations!A:C,3,FALSE)</f>
        <v>Mislabeled</v>
      </c>
      <c r="Q225" s="55">
        <v>1.0</v>
      </c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</row>
    <row r="226" ht="22.5" customHeight="1">
      <c r="A226" s="16" t="str">
        <f t="shared" si="10"/>
        <v>43675OhioStandard Wellness</v>
      </c>
      <c r="C226" s="42">
        <v>43675.0</v>
      </c>
      <c r="D226" s="72" t="s">
        <v>137</v>
      </c>
      <c r="E226" s="56" t="s">
        <v>4640</v>
      </c>
      <c r="F226" s="111" t="s">
        <v>109</v>
      </c>
      <c r="G226" s="162"/>
      <c r="H226" s="48"/>
      <c r="I226" s="49" t="s">
        <v>297</v>
      </c>
      <c r="K226" s="50" t="s">
        <v>120</v>
      </c>
      <c r="L226" s="51"/>
      <c r="M226" s="51"/>
      <c r="N226" s="53" t="s">
        <v>362</v>
      </c>
      <c r="O226" s="54" t="s">
        <v>162</v>
      </c>
      <c r="P226" s="53" t="str">
        <f>vlookup(N226,Categorizations!A:C,3,FALSE)</f>
        <v>Inaccurate THC</v>
      </c>
      <c r="Q226" s="55">
        <v>1.0</v>
      </c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</row>
    <row r="227" ht="22.5" customHeight="1">
      <c r="A227" s="16" t="str">
        <f t="shared" si="10"/>
        <v>43786OhioOne Orijin</v>
      </c>
      <c r="C227" s="42">
        <v>43786.0</v>
      </c>
      <c r="D227" s="72" t="s">
        <v>137</v>
      </c>
      <c r="E227" s="56" t="s">
        <v>4640</v>
      </c>
      <c r="F227" s="111" t="s">
        <v>109</v>
      </c>
      <c r="G227" s="162"/>
      <c r="H227" s="48"/>
      <c r="I227" s="49" t="s">
        <v>305</v>
      </c>
      <c r="K227" s="50" t="s">
        <v>120</v>
      </c>
      <c r="L227" s="51"/>
      <c r="M227" s="51"/>
      <c r="N227" s="53" t="s">
        <v>513</v>
      </c>
      <c r="O227" s="109" t="s">
        <v>162</v>
      </c>
      <c r="P227" s="53" t="str">
        <f>vlookup(N227,Categorizations!A:C,3,FALSE)</f>
        <v>Prohibited Additives / Product</v>
      </c>
      <c r="Q227" s="55">
        <v>1.0</v>
      </c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</row>
    <row r="228" ht="22.5" customHeight="1">
      <c r="A228" s="16" t="str">
        <f t="shared" si="10"/>
        <v>43819OhioGalenas</v>
      </c>
      <c r="C228" s="42">
        <v>43819.0</v>
      </c>
      <c r="D228" s="72" t="s">
        <v>137</v>
      </c>
      <c r="E228" s="56" t="s">
        <v>4640</v>
      </c>
      <c r="F228" s="111" t="s">
        <v>109</v>
      </c>
      <c r="G228" s="162"/>
      <c r="H228" s="48"/>
      <c r="I228" s="49" t="s">
        <v>308</v>
      </c>
      <c r="J228" s="114"/>
      <c r="K228" s="50" t="s">
        <v>120</v>
      </c>
      <c r="L228" s="51"/>
      <c r="M228" s="51"/>
      <c r="N228" s="53" t="s">
        <v>535</v>
      </c>
      <c r="O228" s="60" t="s">
        <v>162</v>
      </c>
      <c r="P228" s="53" t="str">
        <f>vlookup(N228,Categorizations!A:C,3,FALSE)</f>
        <v>Mislabeled</v>
      </c>
      <c r="Q228" s="55">
        <v>1.0</v>
      </c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</row>
    <row r="229" ht="22.5" customHeight="1">
      <c r="A229" s="16" t="str">
        <f t="shared" si="10"/>
        <v>44106OhioVerano Brands</v>
      </c>
      <c r="C229" s="42">
        <v>44106.0</v>
      </c>
      <c r="D229" s="72" t="s">
        <v>137</v>
      </c>
      <c r="E229" s="56" t="s">
        <v>4640</v>
      </c>
      <c r="F229" s="111" t="s">
        <v>109</v>
      </c>
      <c r="G229" s="162"/>
      <c r="H229" s="48"/>
      <c r="I229" s="49" t="s">
        <v>329</v>
      </c>
      <c r="J229" s="48" t="s">
        <v>636</v>
      </c>
      <c r="K229" s="50" t="s">
        <v>636</v>
      </c>
      <c r="L229" s="51"/>
      <c r="M229" s="51">
        <v>44060.0</v>
      </c>
      <c r="N229" s="53" t="s">
        <v>291</v>
      </c>
      <c r="O229" s="54" t="s">
        <v>162</v>
      </c>
      <c r="P229" s="53" t="str">
        <f>vlookup(N229,Categorizations!A:C,3,FALSE)</f>
        <v>Heavy Metal</v>
      </c>
      <c r="Q229" s="55">
        <v>1.0</v>
      </c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</row>
    <row r="230" ht="22.5" customHeight="1">
      <c r="A230" s="16" t="str">
        <f t="shared" si="10"/>
        <v>44420OhioBeneleaves Limited</v>
      </c>
      <c r="C230" s="42">
        <v>44420.0</v>
      </c>
      <c r="D230" s="72" t="s">
        <v>137</v>
      </c>
      <c r="E230" s="56" t="s">
        <v>4640</v>
      </c>
      <c r="F230" s="111" t="s">
        <v>109</v>
      </c>
      <c r="G230" s="162"/>
      <c r="H230" s="48"/>
      <c r="I230" s="49" t="s">
        <v>326</v>
      </c>
      <c r="J230" s="114"/>
      <c r="K230" s="50" t="s">
        <v>636</v>
      </c>
      <c r="L230" s="51"/>
      <c r="M230" s="51">
        <v>44369.0</v>
      </c>
      <c r="N230" s="53" t="s">
        <v>535</v>
      </c>
      <c r="O230" s="60" t="s">
        <v>162</v>
      </c>
      <c r="P230" s="53" t="str">
        <f>vlookup(N230,Categorizations!A:C,3,FALSE)</f>
        <v>Mislabeled</v>
      </c>
      <c r="Q230" s="55">
        <v>1.0</v>
      </c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</row>
    <row r="231" ht="22.5" customHeight="1">
      <c r="A231" s="16" t="str">
        <f t="shared" si="10"/>
        <v>44482OhioCertified Cultivators</v>
      </c>
      <c r="C231" s="42">
        <v>44482.0</v>
      </c>
      <c r="D231" s="72" t="s">
        <v>137</v>
      </c>
      <c r="E231" s="56" t="s">
        <v>4640</v>
      </c>
      <c r="F231" s="111" t="s">
        <v>109</v>
      </c>
      <c r="G231" s="162"/>
      <c r="H231" s="48"/>
      <c r="I231" s="49" t="s">
        <v>333</v>
      </c>
      <c r="J231" s="114"/>
      <c r="K231" s="50" t="s">
        <v>636</v>
      </c>
      <c r="L231" s="51"/>
      <c r="M231" s="51">
        <v>44440.0</v>
      </c>
      <c r="N231" s="53" t="s">
        <v>535</v>
      </c>
      <c r="O231" s="60" t="s">
        <v>162</v>
      </c>
      <c r="P231" s="53" t="str">
        <f>vlookup(N231,Categorizations!A:C,3,FALSE)</f>
        <v>Mislabeled</v>
      </c>
      <c r="Q231" s="55">
        <v>1.0</v>
      </c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</row>
    <row r="232" ht="22.5" customHeight="1">
      <c r="A232" s="16" t="str">
        <f t="shared" si="10"/>
        <v>44536OhioGalenas</v>
      </c>
      <c r="C232" s="42">
        <v>44536.0</v>
      </c>
      <c r="D232" s="72" t="s">
        <v>137</v>
      </c>
      <c r="E232" s="102" t="s">
        <v>4640</v>
      </c>
      <c r="F232" s="111" t="s">
        <v>109</v>
      </c>
      <c r="G232" s="162"/>
      <c r="H232" s="48"/>
      <c r="I232" s="49" t="s">
        <v>308</v>
      </c>
      <c r="J232" s="48"/>
      <c r="K232" s="204"/>
      <c r="L232" s="51"/>
      <c r="M232" s="51"/>
      <c r="N232" s="53" t="s">
        <v>643</v>
      </c>
      <c r="O232" s="54" t="s">
        <v>162</v>
      </c>
      <c r="P232" s="53" t="str">
        <f>vlookup(N232,Categorizations!A:C,3,FALSE)</f>
        <v>Packaging</v>
      </c>
      <c r="Q232" s="55">
        <v>1.0</v>
      </c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</row>
    <row r="233" ht="22.5" customHeight="1">
      <c r="A233" s="16" t="str">
        <f t="shared" si="10"/>
        <v>44536OhioGreen Investment Partners, LLC</v>
      </c>
      <c r="C233" s="42">
        <v>44536.0</v>
      </c>
      <c r="D233" s="72" t="s">
        <v>137</v>
      </c>
      <c r="E233" s="102" t="s">
        <v>4640</v>
      </c>
      <c r="F233" s="111" t="s">
        <v>177</v>
      </c>
      <c r="G233" s="162"/>
      <c r="H233" s="48"/>
      <c r="I233" s="49" t="s">
        <v>336</v>
      </c>
      <c r="J233" s="48"/>
      <c r="K233" s="204"/>
      <c r="L233" s="51"/>
      <c r="M233" s="51"/>
      <c r="N233" s="53" t="s">
        <v>4830</v>
      </c>
      <c r="O233" s="54" t="s">
        <v>162</v>
      </c>
      <c r="P233" s="53" t="str">
        <f>vlookup(N233,Categorizations!A:C,3,FALSE)</f>
        <v>Aspergillus</v>
      </c>
      <c r="Q233" s="55">
        <v>1.0</v>
      </c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</row>
    <row r="234" ht="22.5" customHeight="1">
      <c r="A234" s="16" t="str">
        <f t="shared" si="10"/>
        <v>45288OhioBeneLeaves Limited</v>
      </c>
      <c r="C234" s="42">
        <v>45288.0</v>
      </c>
      <c r="D234" s="72" t="s">
        <v>137</v>
      </c>
      <c r="E234" s="56" t="s">
        <v>4841</v>
      </c>
      <c r="F234" s="111" t="s">
        <v>177</v>
      </c>
      <c r="G234" s="231"/>
      <c r="H234" s="232" t="s">
        <v>4855</v>
      </c>
      <c r="I234" s="233" t="s">
        <v>4857</v>
      </c>
      <c r="J234" s="114"/>
      <c r="K234" s="234" t="s">
        <v>636</v>
      </c>
      <c r="L234" s="235"/>
      <c r="M234" s="235">
        <v>45184.0</v>
      </c>
      <c r="N234" s="53" t="s">
        <v>743</v>
      </c>
      <c r="O234" s="109" t="s">
        <v>801</v>
      </c>
      <c r="P234" s="53" t="str">
        <f>vlookup(N234,Categorizations!A:C,3,FALSE)</f>
        <v>Inaccurate THC</v>
      </c>
      <c r="Q234" s="55">
        <v>1.0</v>
      </c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</row>
    <row r="235" ht="22.5" customHeight="1">
      <c r="A235" s="16" t="str">
        <f t="shared" si="10"/>
        <v>44700OklahomaScale Laboratories</v>
      </c>
      <c r="C235" s="42">
        <v>44700.0</v>
      </c>
      <c r="D235" s="43" t="s">
        <v>141</v>
      </c>
      <c r="E235" s="44" t="s">
        <v>842</v>
      </c>
      <c r="F235" s="198" t="s">
        <v>109</v>
      </c>
      <c r="G235" s="166"/>
      <c r="H235" s="95"/>
      <c r="I235" s="66" t="s">
        <v>844</v>
      </c>
      <c r="J235" s="114"/>
      <c r="K235" s="111" t="s">
        <v>120</v>
      </c>
      <c r="L235" s="96"/>
      <c r="M235" s="96"/>
      <c r="N235" s="53" t="s">
        <v>435</v>
      </c>
      <c r="O235" s="60" t="s">
        <v>162</v>
      </c>
      <c r="P235" s="53" t="str">
        <f>vlookup(N235,Categorizations!A:C,3,FALSE)</f>
        <v>Inaccurate THC</v>
      </c>
      <c r="Q235" s="55">
        <v>1.0</v>
      </c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</row>
    <row r="236" ht="22.5" customHeight="1">
      <c r="A236" s="16" t="str">
        <f t="shared" si="10"/>
        <v>44820OklahomaSeveral</v>
      </c>
      <c r="C236" s="42">
        <v>44820.0</v>
      </c>
      <c r="D236" s="43" t="s">
        <v>141</v>
      </c>
      <c r="E236" s="44" t="s">
        <v>873</v>
      </c>
      <c r="F236" s="198" t="s">
        <v>109</v>
      </c>
      <c r="G236" s="166"/>
      <c r="H236" s="95" t="s">
        <v>615</v>
      </c>
      <c r="I236" s="66" t="s">
        <v>615</v>
      </c>
      <c r="J236" s="114"/>
      <c r="K236" s="111" t="s">
        <v>187</v>
      </c>
      <c r="L236" s="96">
        <v>43343.0</v>
      </c>
      <c r="M236" s="96"/>
      <c r="N236" s="53" t="s">
        <v>497</v>
      </c>
      <c r="O236" s="60" t="s">
        <v>162</v>
      </c>
      <c r="P236" s="53" t="str">
        <f>vlookup(N236,Categorizations!A:C,3,FALSE)</f>
        <v>Lab Issue</v>
      </c>
      <c r="Q236" s="55">
        <v>1.0</v>
      </c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</row>
    <row r="237" ht="22.5" customHeight="1">
      <c r="A237" s="16" t="str">
        <f t="shared" si="10"/>
        <v>45233OklahomaNot Listed</v>
      </c>
      <c r="C237" s="42">
        <v>45233.0</v>
      </c>
      <c r="D237" s="72" t="s">
        <v>141</v>
      </c>
      <c r="E237" s="102" t="s">
        <v>4939</v>
      </c>
      <c r="F237" s="111" t="s">
        <v>109</v>
      </c>
      <c r="G237" s="236"/>
      <c r="H237" s="237" t="s">
        <v>615</v>
      </c>
      <c r="I237" s="238" t="s">
        <v>452</v>
      </c>
      <c r="J237" s="114"/>
      <c r="K237" s="239" t="s">
        <v>187</v>
      </c>
      <c r="L237" s="240">
        <v>45023.0</v>
      </c>
      <c r="M237" s="240"/>
      <c r="N237" s="53" t="s">
        <v>627</v>
      </c>
      <c r="O237" s="60" t="s">
        <v>162</v>
      </c>
      <c r="P237" s="53" t="str">
        <f>vlookup(N237,Categorizations!A:C,3,FALSE)</f>
        <v>Pesticides</v>
      </c>
      <c r="Q237" s="55">
        <v>1.0</v>
      </c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</row>
    <row r="238" ht="22.5" customHeight="1">
      <c r="A238" s="16" t="str">
        <f t="shared" si="10"/>
        <v>45450OklahomaGraves Farm Organics LLC</v>
      </c>
      <c r="C238" s="42">
        <v>45450.0</v>
      </c>
      <c r="D238" s="72" t="s">
        <v>141</v>
      </c>
      <c r="E238" s="56" t="s">
        <v>4970</v>
      </c>
      <c r="F238" s="111" t="s">
        <v>109</v>
      </c>
      <c r="G238" s="241"/>
      <c r="H238" s="242" t="s">
        <v>4979</v>
      </c>
      <c r="I238" s="243" t="s">
        <v>4979</v>
      </c>
      <c r="J238" s="114"/>
      <c r="K238" s="244" t="s">
        <v>187</v>
      </c>
      <c r="L238" s="245">
        <v>44852.0</v>
      </c>
      <c r="M238" s="246"/>
      <c r="N238" s="53" t="s">
        <v>44</v>
      </c>
      <c r="O238" s="60" t="s">
        <v>162</v>
      </c>
      <c r="P238" s="53" t="str">
        <f>vlookup(N238,Categorizations!A:C,3,FALSE)</f>
        <v>Pesticides</v>
      </c>
      <c r="Q238" s="55">
        <v>1.0</v>
      </c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</row>
    <row r="239" ht="22.5" customHeight="1">
      <c r="A239" s="16" t="s">
        <v>479</v>
      </c>
      <c r="C239" s="42">
        <v>42811.0</v>
      </c>
      <c r="D239" s="43" t="s">
        <v>145</v>
      </c>
      <c r="E239" s="56" t="s">
        <v>5003</v>
      </c>
      <c r="F239" s="198" t="s">
        <v>109</v>
      </c>
      <c r="G239" s="236"/>
      <c r="H239" s="237" t="s">
        <v>480</v>
      </c>
      <c r="I239" s="238" t="s">
        <v>480</v>
      </c>
      <c r="J239" s="114"/>
      <c r="K239" s="239" t="s">
        <v>187</v>
      </c>
      <c r="L239" s="52"/>
      <c r="M239" s="240">
        <v>42802.0</v>
      </c>
      <c r="N239" s="53" t="s">
        <v>71</v>
      </c>
      <c r="O239" s="60" t="s">
        <v>162</v>
      </c>
      <c r="P239" s="53" t="str">
        <f>vlookup(N239,Categorizations!A:C,3,FALSE)</f>
        <v>Pesticides</v>
      </c>
      <c r="Q239" s="55">
        <v>1.0</v>
      </c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</row>
    <row r="240" ht="22.5" customHeight="1">
      <c r="A240" s="16" t="s">
        <v>680</v>
      </c>
      <c r="C240" s="42">
        <v>44176.0</v>
      </c>
      <c r="D240" s="43" t="s">
        <v>145</v>
      </c>
      <c r="E240" s="44" t="s">
        <v>678</v>
      </c>
      <c r="F240" s="198" t="s">
        <v>109</v>
      </c>
      <c r="G240" s="162"/>
      <c r="H240" s="48" t="s">
        <v>681</v>
      </c>
      <c r="I240" s="49" t="s">
        <v>681</v>
      </c>
      <c r="J240" s="114"/>
      <c r="K240" s="50" t="s">
        <v>636</v>
      </c>
      <c r="L240" s="51">
        <v>43708.0</v>
      </c>
      <c r="M240" s="51"/>
      <c r="N240" s="53" t="s">
        <v>508</v>
      </c>
      <c r="O240" s="60" t="s">
        <v>162</v>
      </c>
      <c r="P240" s="53" t="str">
        <f>vlookup(N240,Categorizations!A:C,3,FALSE)</f>
        <v>Other</v>
      </c>
      <c r="Q240" s="55">
        <v>1.0</v>
      </c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</row>
    <row r="241" ht="22.5" customHeight="1">
      <c r="A241" s="16" t="s">
        <v>684</v>
      </c>
      <c r="C241" s="42">
        <v>44202.0</v>
      </c>
      <c r="D241" s="43" t="s">
        <v>145</v>
      </c>
      <c r="E241" s="102" t="s">
        <v>682</v>
      </c>
      <c r="F241" s="198" t="s">
        <v>109</v>
      </c>
      <c r="G241" s="162"/>
      <c r="H241" s="48" t="s">
        <v>685</v>
      </c>
      <c r="I241" s="49" t="s">
        <v>685</v>
      </c>
      <c r="J241" s="114"/>
      <c r="K241" s="50" t="s">
        <v>636</v>
      </c>
      <c r="L241" s="51">
        <v>44083.0</v>
      </c>
      <c r="M241" s="51">
        <v>43911.0</v>
      </c>
      <c r="N241" s="53" t="s">
        <v>30</v>
      </c>
      <c r="O241" s="60" t="s">
        <v>162</v>
      </c>
      <c r="P241" s="53" t="str">
        <f>vlookup(N241,Categorizations!A:C,3,FALSE)</f>
        <v>Pesticides</v>
      </c>
      <c r="Q241" s="55">
        <v>1.0</v>
      </c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</row>
    <row r="242" ht="22.5" customHeight="1">
      <c r="A242" s="16" t="s">
        <v>726</v>
      </c>
      <c r="C242" s="42">
        <v>44337.0</v>
      </c>
      <c r="D242" s="43" t="s">
        <v>145</v>
      </c>
      <c r="E242" s="102" t="s">
        <v>725</v>
      </c>
      <c r="F242" s="198" t="s">
        <v>109</v>
      </c>
      <c r="G242" s="162"/>
      <c r="H242" s="48" t="s">
        <v>727</v>
      </c>
      <c r="I242" s="49" t="s">
        <v>727</v>
      </c>
      <c r="J242" s="114"/>
      <c r="K242" s="50" t="s">
        <v>636</v>
      </c>
      <c r="L242" s="51">
        <v>43739.0</v>
      </c>
      <c r="M242" s="51"/>
      <c r="N242" s="53" t="s">
        <v>535</v>
      </c>
      <c r="O242" s="60" t="s">
        <v>162</v>
      </c>
      <c r="P242" s="53" t="str">
        <f>vlookup(N242,Categorizations!A:C,3,FALSE)</f>
        <v>Mislabeled</v>
      </c>
      <c r="Q242" s="55">
        <v>1.0</v>
      </c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</row>
    <row r="243" ht="22.5" customHeight="1">
      <c r="A243" s="16" t="s">
        <v>749</v>
      </c>
      <c r="C243" s="42">
        <v>44460.0</v>
      </c>
      <c r="D243" s="43" t="s">
        <v>145</v>
      </c>
      <c r="E243" s="44" t="s">
        <v>747</v>
      </c>
      <c r="F243" s="198" t="s">
        <v>109</v>
      </c>
      <c r="G243" s="166"/>
      <c r="H243" s="95" t="s">
        <v>750</v>
      </c>
      <c r="I243" s="66" t="s">
        <v>750</v>
      </c>
      <c r="J243" s="95" t="s">
        <v>636</v>
      </c>
      <c r="K243" s="111" t="s">
        <v>636</v>
      </c>
      <c r="L243" s="96">
        <v>44330.0</v>
      </c>
      <c r="M243" s="96">
        <v>44366.0</v>
      </c>
      <c r="N243" s="53" t="s">
        <v>219</v>
      </c>
      <c r="O243" s="60" t="s">
        <v>162</v>
      </c>
      <c r="P243" s="53" t="str">
        <f>vlookup(N243,Categorizations!A:C,3,FALSE)</f>
        <v>Other</v>
      </c>
      <c r="Q243" s="55">
        <v>1.0</v>
      </c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</row>
    <row r="244" ht="22.5" customHeight="1">
      <c r="A244" s="16" t="s">
        <v>756</v>
      </c>
      <c r="C244" s="42">
        <v>44463.0</v>
      </c>
      <c r="D244" s="43" t="s">
        <v>145</v>
      </c>
      <c r="E244" s="102" t="s">
        <v>755</v>
      </c>
      <c r="F244" s="198" t="s">
        <v>109</v>
      </c>
      <c r="G244" s="166"/>
      <c r="H244" s="95" t="s">
        <v>750</v>
      </c>
      <c r="I244" s="66" t="s">
        <v>750</v>
      </c>
      <c r="J244" s="95" t="s">
        <v>636</v>
      </c>
      <c r="K244" s="111" t="s">
        <v>636</v>
      </c>
      <c r="L244" s="96">
        <v>44330.0</v>
      </c>
      <c r="M244" s="96">
        <v>44376.0</v>
      </c>
      <c r="N244" s="53" t="s">
        <v>219</v>
      </c>
      <c r="O244" s="60" t="s">
        <v>162</v>
      </c>
      <c r="P244" s="53" t="str">
        <f>vlookup(N244,Categorizations!A:C,3,FALSE)</f>
        <v>Other</v>
      </c>
      <c r="Q244" s="55">
        <v>1.0</v>
      </c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</row>
    <row r="245" ht="22.5" customHeight="1">
      <c r="A245" s="16" t="s">
        <v>868</v>
      </c>
      <c r="C245" s="42">
        <v>44791.0</v>
      </c>
      <c r="D245" s="43" t="s">
        <v>145</v>
      </c>
      <c r="E245" s="44" t="s">
        <v>864</v>
      </c>
      <c r="F245" s="198" t="s">
        <v>109</v>
      </c>
      <c r="G245" s="166"/>
      <c r="H245" s="95" t="s">
        <v>869</v>
      </c>
      <c r="I245" s="66" t="s">
        <v>869</v>
      </c>
      <c r="J245" s="114"/>
      <c r="K245" s="111" t="s">
        <v>187</v>
      </c>
      <c r="L245" s="96"/>
      <c r="M245" s="96">
        <v>44512.0</v>
      </c>
      <c r="N245" s="53" t="s">
        <v>508</v>
      </c>
      <c r="O245" s="60" t="s">
        <v>162</v>
      </c>
      <c r="P245" s="53" t="str">
        <f>vlookup(N245,Categorizations!A:C,3,FALSE)</f>
        <v>Other</v>
      </c>
      <c r="Q245" s="55">
        <v>1.0</v>
      </c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</row>
    <row r="246" ht="22.5" customHeight="1">
      <c r="A246" s="16" t="s">
        <v>903</v>
      </c>
      <c r="C246" s="42">
        <v>44875.0</v>
      </c>
      <c r="D246" s="43" t="s">
        <v>145</v>
      </c>
      <c r="E246" s="44" t="s">
        <v>898</v>
      </c>
      <c r="F246" s="198" t="s">
        <v>177</v>
      </c>
      <c r="G246" s="166"/>
      <c r="H246" s="95" t="s">
        <v>904</v>
      </c>
      <c r="I246" s="66" t="s">
        <v>904</v>
      </c>
      <c r="J246" s="114"/>
      <c r="K246" s="111" t="s">
        <v>120</v>
      </c>
      <c r="L246" s="96"/>
      <c r="M246" s="96"/>
      <c r="N246" s="53" t="s">
        <v>492</v>
      </c>
      <c r="O246" s="60" t="s">
        <v>162</v>
      </c>
      <c r="P246" s="53" t="str">
        <f>vlookup(N246,Categorizations!A:C,3,FALSE)</f>
        <v>Mislabeled</v>
      </c>
      <c r="Q246" s="55">
        <v>1.0</v>
      </c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</row>
    <row r="247" ht="22.5" customHeight="1">
      <c r="A247" s="16" t="s">
        <v>919</v>
      </c>
      <c r="C247" s="42">
        <v>44897.0</v>
      </c>
      <c r="D247" s="43" t="s">
        <v>145</v>
      </c>
      <c r="E247" s="102" t="s">
        <v>915</v>
      </c>
      <c r="F247" s="198" t="s">
        <v>109</v>
      </c>
      <c r="G247" s="166"/>
      <c r="H247" s="95" t="s">
        <v>920</v>
      </c>
      <c r="I247" s="66" t="s">
        <v>920</v>
      </c>
      <c r="J247" s="114"/>
      <c r="K247" s="111" t="s">
        <v>187</v>
      </c>
      <c r="L247" s="96">
        <v>44529.0</v>
      </c>
      <c r="M247" s="96">
        <v>44819.0</v>
      </c>
      <c r="N247" s="53" t="s">
        <v>71</v>
      </c>
      <c r="O247" s="60" t="s">
        <v>162</v>
      </c>
      <c r="P247" s="53" t="str">
        <f>vlookup(N247,Categorizations!A:C,3,FALSE)</f>
        <v>Pesticides</v>
      </c>
      <c r="Q247" s="55">
        <v>1.0</v>
      </c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</row>
    <row r="248" ht="22.5" customHeight="1">
      <c r="A248" s="16" t="s">
        <v>928</v>
      </c>
      <c r="C248" s="42">
        <v>44910.0</v>
      </c>
      <c r="D248" s="43" t="s">
        <v>145</v>
      </c>
      <c r="E248" s="102" t="s">
        <v>926</v>
      </c>
      <c r="F248" s="198" t="s">
        <v>177</v>
      </c>
      <c r="G248" s="162"/>
      <c r="H248" s="48" t="s">
        <v>929</v>
      </c>
      <c r="I248" s="49" t="s">
        <v>929</v>
      </c>
      <c r="J248" s="114"/>
      <c r="K248" s="50" t="s">
        <v>187</v>
      </c>
      <c r="L248" s="51">
        <v>44531.0</v>
      </c>
      <c r="M248" s="51">
        <v>44531.0</v>
      </c>
      <c r="N248" s="53" t="s">
        <v>367</v>
      </c>
      <c r="O248" s="60" t="s">
        <v>162</v>
      </c>
      <c r="P248" s="53" t="str">
        <f>vlookup(N248,Categorizations!A:C,3,FALSE)</f>
        <v>Mislabeled</v>
      </c>
      <c r="Q248" s="55">
        <v>1.0</v>
      </c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</row>
    <row r="249" ht="22.5" customHeight="1">
      <c r="A249" s="16" t="s">
        <v>941</v>
      </c>
      <c r="C249" s="42">
        <v>44938.0</v>
      </c>
      <c r="D249" s="43" t="s">
        <v>145</v>
      </c>
      <c r="E249" s="102" t="s">
        <v>938</v>
      </c>
      <c r="F249" s="198" t="s">
        <v>109</v>
      </c>
      <c r="G249" s="162"/>
      <c r="H249" s="48" t="s">
        <v>942</v>
      </c>
      <c r="I249" s="49" t="s">
        <v>942</v>
      </c>
      <c r="J249" s="114"/>
      <c r="K249" s="50" t="s">
        <v>187</v>
      </c>
      <c r="L249" s="51">
        <v>44409.0</v>
      </c>
      <c r="M249" s="51">
        <v>44603.0</v>
      </c>
      <c r="N249" s="53" t="s">
        <v>508</v>
      </c>
      <c r="O249" s="60" t="s">
        <v>162</v>
      </c>
      <c r="P249" s="53" t="str">
        <f>vlookup(N249,Categorizations!A:C,3,FALSE)</f>
        <v>Other</v>
      </c>
      <c r="Q249" s="55">
        <v>1.0</v>
      </c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</row>
    <row r="250" ht="22.5" customHeight="1">
      <c r="A250" s="16" t="s">
        <v>952</v>
      </c>
      <c r="C250" s="42">
        <v>44952.0</v>
      </c>
      <c r="D250" s="43" t="s">
        <v>145</v>
      </c>
      <c r="E250" s="102" t="s">
        <v>951</v>
      </c>
      <c r="F250" s="198" t="s">
        <v>109</v>
      </c>
      <c r="G250" s="162"/>
      <c r="H250" s="48" t="s">
        <v>953</v>
      </c>
      <c r="I250" s="49" t="s">
        <v>953</v>
      </c>
      <c r="J250" s="114"/>
      <c r="K250" s="50" t="s">
        <v>187</v>
      </c>
      <c r="L250" s="51">
        <v>44350.0</v>
      </c>
      <c r="M250" s="51">
        <v>44722.0</v>
      </c>
      <c r="N250" s="53" t="s">
        <v>25</v>
      </c>
      <c r="O250" s="60" t="s">
        <v>162</v>
      </c>
      <c r="P250" s="53" t="str">
        <f>vlookup(N250,Categorizations!A:C,3,FALSE)</f>
        <v>Pesticides</v>
      </c>
      <c r="Q250" s="55">
        <v>1.0</v>
      </c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</row>
    <row r="251" ht="22.5" customHeight="1">
      <c r="A251" s="16" t="s">
        <v>1006</v>
      </c>
      <c r="C251" s="42">
        <v>44971.0</v>
      </c>
      <c r="D251" s="43" t="s">
        <v>145</v>
      </c>
      <c r="E251" s="102" t="s">
        <v>995</v>
      </c>
      <c r="F251" s="198" t="s">
        <v>109</v>
      </c>
      <c r="G251" s="162"/>
      <c r="H251" s="48" t="s">
        <v>942</v>
      </c>
      <c r="I251" s="49" t="s">
        <v>942</v>
      </c>
      <c r="J251" s="114"/>
      <c r="K251" s="50" t="s">
        <v>187</v>
      </c>
      <c r="L251" s="51">
        <v>44319.0</v>
      </c>
      <c r="M251" s="51"/>
      <c r="N251" s="53" t="s">
        <v>508</v>
      </c>
      <c r="O251" s="60" t="s">
        <v>162</v>
      </c>
      <c r="P251" s="53" t="str">
        <f>vlookup(N251,Categorizations!A:C,3,FALSE)</f>
        <v>Other</v>
      </c>
      <c r="Q251" s="55">
        <v>1.0</v>
      </c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</row>
    <row r="252" ht="22.5" customHeight="1">
      <c r="A252" s="16" t="s">
        <v>1031</v>
      </c>
      <c r="C252" s="42">
        <v>44988.0</v>
      </c>
      <c r="D252" s="43" t="s">
        <v>145</v>
      </c>
      <c r="E252" s="102" t="s">
        <v>1030</v>
      </c>
      <c r="F252" s="198" t="s">
        <v>109</v>
      </c>
      <c r="G252" s="166"/>
      <c r="H252" s="95" t="s">
        <v>1033</v>
      </c>
      <c r="I252" s="66" t="s">
        <v>1033</v>
      </c>
      <c r="J252" s="114"/>
      <c r="K252" s="111" t="s">
        <v>636</v>
      </c>
      <c r="L252" s="96">
        <v>44977.0</v>
      </c>
      <c r="M252" s="96"/>
      <c r="N252" s="53" t="s">
        <v>219</v>
      </c>
      <c r="O252" s="60" t="s">
        <v>162</v>
      </c>
      <c r="P252" s="53" t="str">
        <f>vlookup(N252,Categorizations!A:C,3,FALSE)</f>
        <v>Other</v>
      </c>
      <c r="Q252" s="55">
        <v>1.0</v>
      </c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</row>
    <row r="253" ht="22.5" customHeight="1">
      <c r="A253" s="16" t="s">
        <v>1040</v>
      </c>
      <c r="C253" s="42">
        <v>45000.0</v>
      </c>
      <c r="D253" s="43" t="s">
        <v>145</v>
      </c>
      <c r="E253" s="102" t="s">
        <v>1038</v>
      </c>
      <c r="F253" s="198" t="s">
        <v>177</v>
      </c>
      <c r="G253" s="162"/>
      <c r="H253" s="48" t="s">
        <v>1041</v>
      </c>
      <c r="I253" s="49" t="s">
        <v>1041</v>
      </c>
      <c r="J253" s="114"/>
      <c r="K253" s="50" t="s">
        <v>636</v>
      </c>
      <c r="L253" s="51">
        <v>44899.0</v>
      </c>
      <c r="M253" s="51"/>
      <c r="N253" s="53" t="s">
        <v>367</v>
      </c>
      <c r="O253" s="60" t="s">
        <v>162</v>
      </c>
      <c r="P253" s="53" t="str">
        <f>vlookup(N253,Categorizations!A:C,3,FALSE)</f>
        <v>Mislabeled</v>
      </c>
      <c r="Q253" s="55">
        <v>1.0</v>
      </c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</row>
    <row r="254" ht="22.5" customHeight="1">
      <c r="A254" s="16" t="s">
        <v>1112</v>
      </c>
      <c r="C254" s="42">
        <v>45029.0</v>
      </c>
      <c r="D254" s="72" t="s">
        <v>145</v>
      </c>
      <c r="E254" s="102" t="s">
        <v>1108</v>
      </c>
      <c r="F254" s="111" t="s">
        <v>177</v>
      </c>
      <c r="G254" s="162"/>
      <c r="H254" s="48" t="s">
        <v>1114</v>
      </c>
      <c r="I254" s="49" t="s">
        <v>1114</v>
      </c>
      <c r="J254" s="95"/>
      <c r="K254" s="50" t="s">
        <v>636</v>
      </c>
      <c r="L254" s="51">
        <v>44970.0</v>
      </c>
      <c r="M254" s="51"/>
      <c r="N254" s="53" t="s">
        <v>640</v>
      </c>
      <c r="O254" s="60" t="s">
        <v>162</v>
      </c>
      <c r="P254" s="53" t="str">
        <f>vlookup(N254,Categorizations!A:C,3,FALSE)</f>
        <v>Heavy Metal</v>
      </c>
      <c r="Q254" s="55">
        <v>1.0</v>
      </c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</row>
    <row r="255" ht="22.5" customHeight="1">
      <c r="A255" s="16" t="s">
        <v>1202</v>
      </c>
      <c r="C255" s="42">
        <v>45097.0</v>
      </c>
      <c r="D255" s="72" t="s">
        <v>145</v>
      </c>
      <c r="E255" s="102" t="s">
        <v>1198</v>
      </c>
      <c r="F255" s="111" t="s">
        <v>109</v>
      </c>
      <c r="G255" s="162"/>
      <c r="H255" s="48" t="s">
        <v>1203</v>
      </c>
      <c r="I255" s="49" t="s">
        <v>1203</v>
      </c>
      <c r="J255" s="95"/>
      <c r="K255" s="50" t="s">
        <v>187</v>
      </c>
      <c r="L255" s="51">
        <v>45050.0</v>
      </c>
      <c r="M255" s="51"/>
      <c r="N255" s="53" t="s">
        <v>637</v>
      </c>
      <c r="O255" s="109" t="s">
        <v>5447</v>
      </c>
      <c r="P255" s="53" t="str">
        <f>vlookup(N255,Categorizations!A:C,3,FALSE)</f>
        <v>Heavy Metal</v>
      </c>
      <c r="Q255" s="55">
        <v>1.0</v>
      </c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</row>
    <row r="256" ht="22.5" customHeight="1">
      <c r="A256" s="16" t="s">
        <v>1228</v>
      </c>
      <c r="C256" s="42">
        <v>45103.0</v>
      </c>
      <c r="D256" s="72" t="s">
        <v>145</v>
      </c>
      <c r="E256" s="102" t="s">
        <v>1223</v>
      </c>
      <c r="F256" s="111" t="s">
        <v>109</v>
      </c>
      <c r="G256" s="162"/>
      <c r="H256" s="48" t="s">
        <v>1229</v>
      </c>
      <c r="I256" s="49" t="s">
        <v>1229</v>
      </c>
      <c r="J256" s="95"/>
      <c r="K256" s="50" t="s">
        <v>187</v>
      </c>
      <c r="L256" s="51">
        <v>44835.0</v>
      </c>
      <c r="M256" s="51">
        <v>44927.0</v>
      </c>
      <c r="N256" s="53" t="s">
        <v>666</v>
      </c>
      <c r="O256" s="109" t="s">
        <v>162</v>
      </c>
      <c r="P256" s="53" t="str">
        <f>vlookup(N256,Categorizations!A:C,3,FALSE)</f>
        <v>Prohibited Additives / Product</v>
      </c>
      <c r="Q256" s="55">
        <v>1.0</v>
      </c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</row>
    <row r="257" ht="22.5" customHeight="1">
      <c r="A257" s="16" t="s">
        <v>1299</v>
      </c>
      <c r="C257" s="42">
        <v>45120.0</v>
      </c>
      <c r="D257" s="72" t="s">
        <v>145</v>
      </c>
      <c r="E257" s="110" t="s">
        <v>1241</v>
      </c>
      <c r="F257" s="111" t="s">
        <v>109</v>
      </c>
      <c r="G257" s="162"/>
      <c r="H257" s="48" t="s">
        <v>1249</v>
      </c>
      <c r="I257" s="49" t="s">
        <v>1249</v>
      </c>
      <c r="J257" s="95"/>
      <c r="K257" s="50" t="s">
        <v>636</v>
      </c>
      <c r="L257" s="51">
        <v>44896.0</v>
      </c>
      <c r="M257" s="51">
        <v>45100.0</v>
      </c>
      <c r="N257" s="53" t="s">
        <v>630</v>
      </c>
      <c r="O257" s="54" t="s">
        <v>162</v>
      </c>
      <c r="P257" s="53" t="str">
        <f>vlookup(N257,Categorizations!A:C,3,FALSE)</f>
        <v>Mold</v>
      </c>
      <c r="Q257" s="55">
        <v>1.0</v>
      </c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</row>
    <row r="258" ht="22.5" customHeight="1">
      <c r="A258" s="16" t="s">
        <v>1247</v>
      </c>
      <c r="C258" s="42">
        <v>45121.0</v>
      </c>
      <c r="D258" s="72" t="s">
        <v>145</v>
      </c>
      <c r="E258" s="102" t="s">
        <v>1241</v>
      </c>
      <c r="F258" s="111" t="s">
        <v>109</v>
      </c>
      <c r="G258" s="162"/>
      <c r="H258" s="48" t="s">
        <v>1249</v>
      </c>
      <c r="I258" s="49" t="s">
        <v>1249</v>
      </c>
      <c r="J258" s="95"/>
      <c r="K258" s="50" t="s">
        <v>636</v>
      </c>
      <c r="L258" s="51">
        <v>44896.0</v>
      </c>
      <c r="M258" s="51">
        <v>45100.0</v>
      </c>
      <c r="N258" s="53" t="s">
        <v>630</v>
      </c>
      <c r="O258" s="60" t="s">
        <v>162</v>
      </c>
      <c r="P258" s="53" t="str">
        <f>vlookup(N258,Categorizations!A:C,3,FALSE)</f>
        <v>Mold</v>
      </c>
      <c r="Q258" s="55">
        <v>1.0</v>
      </c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</row>
    <row r="259" ht="22.5" customHeight="1">
      <c r="A259" s="16" t="str">
        <f t="shared" ref="A259:A261" si="11">concatenate(C259,D259, I259)</f>
        <v>45191OregonDr. Jolly's</v>
      </c>
      <c r="C259" s="42">
        <v>45191.0</v>
      </c>
      <c r="D259" s="72" t="s">
        <v>145</v>
      </c>
      <c r="E259" s="56" t="s">
        <v>5546</v>
      </c>
      <c r="F259" s="111" t="s">
        <v>109</v>
      </c>
      <c r="G259" s="248"/>
      <c r="H259" s="249" t="s">
        <v>5557</v>
      </c>
      <c r="I259" s="250" t="s">
        <v>5559</v>
      </c>
      <c r="J259" s="114"/>
      <c r="K259" s="251" t="s">
        <v>636</v>
      </c>
      <c r="L259" s="252">
        <v>45062.0</v>
      </c>
      <c r="M259" s="252">
        <v>45086.0</v>
      </c>
      <c r="N259" s="53" t="s">
        <v>219</v>
      </c>
      <c r="O259" s="60" t="s">
        <v>162</v>
      </c>
      <c r="P259" s="53" t="str">
        <f>vlookup(N259,Categorizations!A:C,3,FALSE)</f>
        <v>Other</v>
      </c>
      <c r="Q259" s="55">
        <v>1.0</v>
      </c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</row>
    <row r="260" ht="22.5" customHeight="1">
      <c r="A260" s="16" t="str">
        <f t="shared" si="11"/>
        <v>44959VermontHolland</v>
      </c>
      <c r="C260" s="42">
        <v>44959.0</v>
      </c>
      <c r="D260" s="43" t="s">
        <v>152</v>
      </c>
      <c r="E260" s="102" t="s">
        <v>980</v>
      </c>
      <c r="F260" s="198" t="s">
        <v>109</v>
      </c>
      <c r="G260" s="166"/>
      <c r="H260" s="95" t="s">
        <v>5592</v>
      </c>
      <c r="I260" s="66" t="s">
        <v>991</v>
      </c>
      <c r="J260" s="114"/>
      <c r="K260" s="111" t="s">
        <v>187</v>
      </c>
      <c r="L260" s="96">
        <v>44849.0</v>
      </c>
      <c r="M260" s="96"/>
      <c r="N260" s="53" t="s">
        <v>212</v>
      </c>
      <c r="O260" s="109" t="s">
        <v>126</v>
      </c>
      <c r="P260" s="53" t="str">
        <f>vlookup(N260,Categorizations!A:C,3,FALSE)</f>
        <v>Mycotoxins</v>
      </c>
      <c r="Q260" s="55">
        <v>1.0</v>
      </c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</row>
    <row r="261" ht="22.5" customHeight="1">
      <c r="A261" s="16" t="str">
        <f t="shared" si="11"/>
        <v>45415VermontHolland</v>
      </c>
      <c r="C261" s="42">
        <v>45415.0</v>
      </c>
      <c r="D261" s="72" t="s">
        <v>152</v>
      </c>
      <c r="E261" s="56" t="s">
        <v>5617</v>
      </c>
      <c r="F261" s="111" t="s">
        <v>109</v>
      </c>
      <c r="G261" s="166"/>
      <c r="H261" s="95" t="s">
        <v>5592</v>
      </c>
      <c r="I261" s="66" t="s">
        <v>991</v>
      </c>
      <c r="J261" s="114"/>
      <c r="K261" s="111" t="s">
        <v>187</v>
      </c>
      <c r="L261" s="96">
        <v>44849.0</v>
      </c>
      <c r="M261" s="96"/>
      <c r="N261" s="53" t="s">
        <v>196</v>
      </c>
      <c r="O261" s="109" t="s">
        <v>126</v>
      </c>
      <c r="P261" s="53" t="str">
        <f>vlookup(N261,Categorizations!A:C,3,FALSE)</f>
        <v>Pesticides</v>
      </c>
      <c r="Q261" s="55">
        <v>1.0</v>
      </c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</row>
    <row r="262" ht="22.5" customHeight="1">
      <c r="A262" s="16" t="s">
        <v>474</v>
      </c>
      <c r="C262" s="42">
        <v>42713.0</v>
      </c>
      <c r="D262" s="43" t="s">
        <v>153</v>
      </c>
      <c r="E262" s="44" t="s">
        <v>473</v>
      </c>
      <c r="F262" s="111" t="s">
        <v>109</v>
      </c>
      <c r="G262" s="215"/>
      <c r="H262" s="216" t="s">
        <v>475</v>
      </c>
      <c r="I262" s="217" t="s">
        <v>475</v>
      </c>
      <c r="J262" s="114"/>
      <c r="K262" s="218" t="s">
        <v>120</v>
      </c>
      <c r="L262" s="219"/>
      <c r="M262" s="219"/>
      <c r="N262" s="53" t="s">
        <v>71</v>
      </c>
      <c r="O262" s="60" t="s">
        <v>162</v>
      </c>
      <c r="P262" s="53" t="str">
        <f>vlookup(N262,Categorizations!A:C,3,FALSE)</f>
        <v>Pesticides</v>
      </c>
      <c r="Q262" s="55">
        <v>1.0</v>
      </c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</row>
    <row r="263" ht="22.5" customHeight="1">
      <c r="A263" s="16" t="s">
        <v>489</v>
      </c>
      <c r="C263" s="42">
        <v>42873.0</v>
      </c>
      <c r="D263" s="43" t="s">
        <v>153</v>
      </c>
      <c r="E263" s="44" t="s">
        <v>473</v>
      </c>
      <c r="F263" s="111" t="s">
        <v>109</v>
      </c>
      <c r="G263" s="215"/>
      <c r="H263" s="216" t="s">
        <v>490</v>
      </c>
      <c r="I263" s="217" t="s">
        <v>490</v>
      </c>
      <c r="J263" s="114"/>
      <c r="K263" s="218" t="s">
        <v>120</v>
      </c>
      <c r="L263" s="219"/>
      <c r="M263" s="219"/>
      <c r="N263" s="53" t="s">
        <v>452</v>
      </c>
      <c r="O263" s="60" t="s">
        <v>162</v>
      </c>
      <c r="P263" s="53" t="str">
        <f>vlookup(N263,Categorizations!A:C,3,FALSE)</f>
        <v>Pesticides</v>
      </c>
      <c r="Q263" s="55">
        <v>1.0</v>
      </c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</row>
    <row r="264" ht="22.5" customHeight="1">
      <c r="A264" s="16" t="s">
        <v>501</v>
      </c>
      <c r="C264" s="42">
        <v>42941.0</v>
      </c>
      <c r="D264" s="43" t="s">
        <v>153</v>
      </c>
      <c r="E264" s="44" t="s">
        <v>473</v>
      </c>
      <c r="F264" s="111" t="s">
        <v>109</v>
      </c>
      <c r="G264" s="215"/>
      <c r="H264" s="216" t="s">
        <v>502</v>
      </c>
      <c r="I264" s="217" t="s">
        <v>502</v>
      </c>
      <c r="J264" s="114"/>
      <c r="K264" s="218" t="s">
        <v>120</v>
      </c>
      <c r="L264" s="219"/>
      <c r="M264" s="219"/>
      <c r="N264" s="53" t="s">
        <v>71</v>
      </c>
      <c r="O264" s="60" t="s">
        <v>162</v>
      </c>
      <c r="P264" s="53" t="str">
        <f>vlookup(N264,Categorizations!A:C,3,FALSE)</f>
        <v>Pesticides</v>
      </c>
      <c r="Q264" s="55">
        <v>1.0</v>
      </c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</row>
    <row r="265" ht="22.5" customHeight="1">
      <c r="A265" s="16" t="s">
        <v>529</v>
      </c>
      <c r="C265" s="42">
        <v>43392.0</v>
      </c>
      <c r="D265" s="43" t="s">
        <v>153</v>
      </c>
      <c r="E265" s="44" t="s">
        <v>473</v>
      </c>
      <c r="F265" s="111" t="s">
        <v>109</v>
      </c>
      <c r="G265" s="215"/>
      <c r="H265" s="216" t="s">
        <v>530</v>
      </c>
      <c r="I265" s="217" t="s">
        <v>530</v>
      </c>
      <c r="J265" s="114"/>
      <c r="K265" s="218" t="s">
        <v>120</v>
      </c>
      <c r="L265" s="219"/>
      <c r="M265" s="219"/>
      <c r="N265" s="53" t="s">
        <v>71</v>
      </c>
      <c r="O265" s="60" t="s">
        <v>162</v>
      </c>
      <c r="P265" s="53" t="str">
        <f>vlookup(N265,Categorizations!A:C,3,FALSE)</f>
        <v>Pesticides</v>
      </c>
      <c r="Q265" s="55">
        <v>1.0</v>
      </c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</row>
    <row r="266" ht="22.5" customHeight="1">
      <c r="A266" s="16" t="s">
        <v>553</v>
      </c>
      <c r="C266" s="42">
        <v>43511.0</v>
      </c>
      <c r="D266" s="43" t="s">
        <v>153</v>
      </c>
      <c r="E266" s="44" t="s">
        <v>473</v>
      </c>
      <c r="F266" s="111" t="s">
        <v>109</v>
      </c>
      <c r="G266" s="215"/>
      <c r="H266" s="216" t="s">
        <v>554</v>
      </c>
      <c r="I266" s="217" t="s">
        <v>554</v>
      </c>
      <c r="J266" s="114"/>
      <c r="K266" s="218" t="s">
        <v>120</v>
      </c>
      <c r="L266" s="219"/>
      <c r="M266" s="219"/>
      <c r="N266" s="53" t="s">
        <v>71</v>
      </c>
      <c r="O266" s="60" t="s">
        <v>162</v>
      </c>
      <c r="P266" s="53" t="str">
        <f>vlookup(N266,Categorizations!A:C,3,FALSE)</f>
        <v>Pesticides</v>
      </c>
      <c r="Q266" s="55">
        <v>1.0</v>
      </c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</row>
    <row r="267" ht="22.5" customHeight="1">
      <c r="A267" s="16" t="s">
        <v>567</v>
      </c>
      <c r="C267" s="42">
        <v>43570.0</v>
      </c>
      <c r="D267" s="43" t="s">
        <v>153</v>
      </c>
      <c r="E267" s="44" t="s">
        <v>473</v>
      </c>
      <c r="F267" s="111" t="s">
        <v>109</v>
      </c>
      <c r="G267" s="215"/>
      <c r="H267" s="216" t="s">
        <v>568</v>
      </c>
      <c r="I267" s="217" t="s">
        <v>568</v>
      </c>
      <c r="J267" s="114"/>
      <c r="K267" s="218" t="s">
        <v>120</v>
      </c>
      <c r="L267" s="219"/>
      <c r="M267" s="219"/>
      <c r="N267" s="53" t="s">
        <v>71</v>
      </c>
      <c r="O267" s="60" t="s">
        <v>162</v>
      </c>
      <c r="P267" s="53" t="str">
        <f>vlookup(N267,Categorizations!A:C,3,FALSE)</f>
        <v>Pesticides</v>
      </c>
      <c r="Q267" s="55">
        <v>1.0</v>
      </c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</row>
    <row r="268" ht="22.5" customHeight="1">
      <c r="A268" s="16" t="s">
        <v>570</v>
      </c>
      <c r="C268" s="42">
        <v>43573.0</v>
      </c>
      <c r="D268" s="43" t="s">
        <v>153</v>
      </c>
      <c r="E268" s="44" t="s">
        <v>473</v>
      </c>
      <c r="F268" s="111" t="s">
        <v>109</v>
      </c>
      <c r="G268" s="215"/>
      <c r="H268" s="216" t="s">
        <v>571</v>
      </c>
      <c r="I268" s="217" t="s">
        <v>571</v>
      </c>
      <c r="J268" s="114"/>
      <c r="K268" s="218" t="s">
        <v>120</v>
      </c>
      <c r="L268" s="219"/>
      <c r="M268" s="219"/>
      <c r="N268" s="53" t="s">
        <v>71</v>
      </c>
      <c r="O268" s="60" t="s">
        <v>162</v>
      </c>
      <c r="P268" s="53" t="str">
        <f>vlookup(N268,Categorizations!A:C,3,FALSE)</f>
        <v>Pesticides</v>
      </c>
      <c r="Q268" s="55">
        <v>1.0</v>
      </c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</row>
    <row r="269" ht="22.5" customHeight="1">
      <c r="A269" s="16" t="s">
        <v>572</v>
      </c>
      <c r="C269" s="42">
        <v>43591.0</v>
      </c>
      <c r="D269" s="43" t="s">
        <v>153</v>
      </c>
      <c r="E269" s="44" t="s">
        <v>473</v>
      </c>
      <c r="F269" s="111" t="s">
        <v>109</v>
      </c>
      <c r="G269" s="215"/>
      <c r="H269" s="216" t="s">
        <v>573</v>
      </c>
      <c r="I269" s="217" t="s">
        <v>573</v>
      </c>
      <c r="J269" s="114"/>
      <c r="K269" s="218" t="s">
        <v>120</v>
      </c>
      <c r="L269" s="219"/>
      <c r="M269" s="219"/>
      <c r="N269" s="53" t="s">
        <v>71</v>
      </c>
      <c r="O269" s="60" t="s">
        <v>162</v>
      </c>
      <c r="P269" s="53" t="str">
        <f>vlookup(N269,Categorizations!A:C,3,FALSE)</f>
        <v>Pesticides</v>
      </c>
      <c r="Q269" s="55">
        <v>1.0</v>
      </c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</row>
    <row r="270" ht="22.5" customHeight="1">
      <c r="A270" s="16" t="s">
        <v>574</v>
      </c>
      <c r="C270" s="42">
        <v>43591.0</v>
      </c>
      <c r="D270" s="43" t="s">
        <v>153</v>
      </c>
      <c r="E270" s="44" t="s">
        <v>473</v>
      </c>
      <c r="F270" s="111" t="s">
        <v>109</v>
      </c>
      <c r="G270" s="215"/>
      <c r="H270" s="216" t="s">
        <v>575</v>
      </c>
      <c r="I270" s="217" t="s">
        <v>575</v>
      </c>
      <c r="J270" s="114"/>
      <c r="K270" s="218" t="s">
        <v>120</v>
      </c>
      <c r="L270" s="219"/>
      <c r="M270" s="219"/>
      <c r="N270" s="53" t="s">
        <v>71</v>
      </c>
      <c r="O270" s="60" t="s">
        <v>162</v>
      </c>
      <c r="P270" s="53" t="str">
        <f>vlookup(N270,Categorizations!A:C,3,FALSE)</f>
        <v>Pesticides</v>
      </c>
      <c r="Q270" s="55">
        <v>1.0</v>
      </c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</row>
    <row r="271" ht="22.5" customHeight="1">
      <c r="A271" s="16" t="s">
        <v>576</v>
      </c>
      <c r="C271" s="42">
        <v>43594.0</v>
      </c>
      <c r="D271" s="43" t="s">
        <v>153</v>
      </c>
      <c r="E271" s="44" t="s">
        <v>473</v>
      </c>
      <c r="F271" s="111" t="s">
        <v>109</v>
      </c>
      <c r="G271" s="215"/>
      <c r="H271" s="216" t="s">
        <v>577</v>
      </c>
      <c r="I271" s="217" t="s">
        <v>577</v>
      </c>
      <c r="J271" s="114"/>
      <c r="K271" s="218" t="s">
        <v>120</v>
      </c>
      <c r="L271" s="219"/>
      <c r="M271" s="219"/>
      <c r="N271" s="53" t="s">
        <v>71</v>
      </c>
      <c r="O271" s="60" t="s">
        <v>162</v>
      </c>
      <c r="P271" s="53" t="str">
        <f>vlookup(N271,Categorizations!A:C,3,FALSE)</f>
        <v>Pesticides</v>
      </c>
      <c r="Q271" s="55">
        <v>1.0</v>
      </c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</row>
    <row r="272" ht="22.5" customHeight="1">
      <c r="A272" s="16" t="s">
        <v>578</v>
      </c>
      <c r="C272" s="42">
        <v>43595.0</v>
      </c>
      <c r="D272" s="43" t="s">
        <v>153</v>
      </c>
      <c r="E272" s="44" t="s">
        <v>473</v>
      </c>
      <c r="F272" s="111" t="s">
        <v>109</v>
      </c>
      <c r="G272" s="215"/>
      <c r="H272" s="216" t="s">
        <v>579</v>
      </c>
      <c r="I272" s="217" t="s">
        <v>579</v>
      </c>
      <c r="J272" s="114"/>
      <c r="K272" s="218" t="s">
        <v>120</v>
      </c>
      <c r="L272" s="219"/>
      <c r="M272" s="219"/>
      <c r="N272" s="53" t="s">
        <v>71</v>
      </c>
      <c r="O272" s="60" t="s">
        <v>162</v>
      </c>
      <c r="P272" s="53" t="str">
        <f>vlookup(N272,Categorizations!A:C,3,FALSE)</f>
        <v>Pesticides</v>
      </c>
      <c r="Q272" s="55">
        <v>1.0</v>
      </c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</row>
    <row r="273" ht="22.5" customHeight="1">
      <c r="A273" s="16" t="s">
        <v>581</v>
      </c>
      <c r="C273" s="42">
        <v>43649.0</v>
      </c>
      <c r="D273" s="43" t="s">
        <v>153</v>
      </c>
      <c r="E273" s="44" t="s">
        <v>473</v>
      </c>
      <c r="F273" s="111" t="s">
        <v>109</v>
      </c>
      <c r="G273" s="215"/>
      <c r="H273" s="216" t="s">
        <v>582</v>
      </c>
      <c r="I273" s="217" t="s">
        <v>582</v>
      </c>
      <c r="J273" s="114"/>
      <c r="K273" s="218" t="s">
        <v>120</v>
      </c>
      <c r="L273" s="219"/>
      <c r="M273" s="219"/>
      <c r="N273" s="53" t="s">
        <v>71</v>
      </c>
      <c r="O273" s="60" t="s">
        <v>162</v>
      </c>
      <c r="P273" s="53" t="str">
        <f>vlookup(N273,Categorizations!A:C,3,FALSE)</f>
        <v>Pesticides</v>
      </c>
      <c r="Q273" s="55">
        <v>1.0</v>
      </c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</row>
    <row r="274" ht="22.5" customHeight="1">
      <c r="A274" s="16" t="s">
        <v>584</v>
      </c>
      <c r="C274" s="42">
        <v>43662.0</v>
      </c>
      <c r="D274" s="43" t="s">
        <v>153</v>
      </c>
      <c r="E274" s="44" t="s">
        <v>473</v>
      </c>
      <c r="F274" s="111" t="s">
        <v>109</v>
      </c>
      <c r="G274" s="215"/>
      <c r="H274" s="216" t="s">
        <v>585</v>
      </c>
      <c r="I274" s="217" t="s">
        <v>585</v>
      </c>
      <c r="J274" s="114"/>
      <c r="K274" s="218" t="s">
        <v>120</v>
      </c>
      <c r="L274" s="219"/>
      <c r="M274" s="219"/>
      <c r="N274" s="53" t="s">
        <v>71</v>
      </c>
      <c r="O274" s="60" t="s">
        <v>162</v>
      </c>
      <c r="P274" s="53" t="str">
        <f>vlookup(N274,Categorizations!A:C,3,FALSE)</f>
        <v>Pesticides</v>
      </c>
      <c r="Q274" s="55">
        <v>1.0</v>
      </c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</row>
    <row r="275" ht="22.5" customHeight="1">
      <c r="A275" s="16" t="s">
        <v>587</v>
      </c>
      <c r="C275" s="42">
        <v>43669.0</v>
      </c>
      <c r="D275" s="43" t="s">
        <v>153</v>
      </c>
      <c r="E275" s="44" t="s">
        <v>473</v>
      </c>
      <c r="F275" s="111" t="s">
        <v>109</v>
      </c>
      <c r="G275" s="215"/>
      <c r="H275" s="216" t="s">
        <v>588</v>
      </c>
      <c r="I275" s="217" t="s">
        <v>588</v>
      </c>
      <c r="J275" s="114"/>
      <c r="K275" s="218" t="s">
        <v>120</v>
      </c>
      <c r="L275" s="219"/>
      <c r="M275" s="219"/>
      <c r="N275" s="53" t="s">
        <v>71</v>
      </c>
      <c r="O275" s="60" t="s">
        <v>162</v>
      </c>
      <c r="P275" s="53" t="str">
        <f>vlookup(N275,Categorizations!A:C,3,FALSE)</f>
        <v>Pesticides</v>
      </c>
      <c r="Q275" s="55">
        <v>1.0</v>
      </c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</row>
    <row r="276" ht="22.5" customHeight="1">
      <c r="A276" s="16" t="s">
        <v>589</v>
      </c>
      <c r="C276" s="42">
        <v>43669.0</v>
      </c>
      <c r="D276" s="43" t="s">
        <v>153</v>
      </c>
      <c r="E276" s="44" t="s">
        <v>473</v>
      </c>
      <c r="F276" s="111" t="s">
        <v>109</v>
      </c>
      <c r="G276" s="215"/>
      <c r="H276" s="216" t="s">
        <v>590</v>
      </c>
      <c r="I276" s="217" t="s">
        <v>590</v>
      </c>
      <c r="J276" s="114"/>
      <c r="K276" s="218" t="s">
        <v>120</v>
      </c>
      <c r="L276" s="219"/>
      <c r="M276" s="219"/>
      <c r="N276" s="53" t="s">
        <v>71</v>
      </c>
      <c r="O276" s="60" t="s">
        <v>162</v>
      </c>
      <c r="P276" s="53" t="str">
        <f>vlookup(N276,Categorizations!A:C,3,FALSE)</f>
        <v>Pesticides</v>
      </c>
      <c r="Q276" s="55">
        <v>1.0</v>
      </c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</row>
    <row r="277" ht="22.5" customHeight="1">
      <c r="A277" s="16" t="s">
        <v>591</v>
      </c>
      <c r="C277" s="42">
        <v>43671.0</v>
      </c>
      <c r="D277" s="43" t="s">
        <v>153</v>
      </c>
      <c r="E277" s="44" t="s">
        <v>473</v>
      </c>
      <c r="F277" s="111" t="s">
        <v>109</v>
      </c>
      <c r="G277" s="215"/>
      <c r="H277" s="216" t="s">
        <v>502</v>
      </c>
      <c r="I277" s="217" t="s">
        <v>502</v>
      </c>
      <c r="J277" s="114"/>
      <c r="K277" s="218" t="s">
        <v>120</v>
      </c>
      <c r="L277" s="219"/>
      <c r="M277" s="219"/>
      <c r="N277" s="53" t="s">
        <v>71</v>
      </c>
      <c r="O277" s="60" t="s">
        <v>162</v>
      </c>
      <c r="P277" s="53" t="str">
        <f>vlookup(N277,Categorizations!A:C,3,FALSE)</f>
        <v>Pesticides</v>
      </c>
      <c r="Q277" s="55">
        <v>1.0</v>
      </c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</row>
    <row r="278" ht="22.5" customHeight="1">
      <c r="A278" s="16" t="s">
        <v>676</v>
      </c>
      <c r="C278" s="42">
        <v>44155.0</v>
      </c>
      <c r="D278" s="43" t="s">
        <v>153</v>
      </c>
      <c r="E278" s="44" t="s">
        <v>473</v>
      </c>
      <c r="F278" s="111" t="s">
        <v>109</v>
      </c>
      <c r="G278" s="215"/>
      <c r="H278" s="216" t="s">
        <v>677</v>
      </c>
      <c r="I278" s="217" t="s">
        <v>677</v>
      </c>
      <c r="J278" s="114"/>
      <c r="K278" s="218" t="s">
        <v>120</v>
      </c>
      <c r="L278" s="219"/>
      <c r="M278" s="219"/>
      <c r="N278" s="53" t="s">
        <v>71</v>
      </c>
      <c r="O278" s="60" t="s">
        <v>162</v>
      </c>
      <c r="P278" s="53" t="str">
        <f>vlookup(N278,Categorizations!A:C,3,FALSE)</f>
        <v>Pesticides</v>
      </c>
      <c r="Q278" s="55">
        <v>1.0</v>
      </c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</row>
    <row r="279" ht="22.5" customHeight="1">
      <c r="A279" s="16" t="s">
        <v>700</v>
      </c>
      <c r="C279" s="42">
        <v>44281.0</v>
      </c>
      <c r="D279" s="43" t="s">
        <v>153</v>
      </c>
      <c r="E279" s="44" t="s">
        <v>473</v>
      </c>
      <c r="F279" s="111" t="s">
        <v>109</v>
      </c>
      <c r="G279" s="215"/>
      <c r="H279" s="216" t="s">
        <v>701</v>
      </c>
      <c r="I279" s="217" t="s">
        <v>701</v>
      </c>
      <c r="J279" s="114"/>
      <c r="K279" s="218" t="s">
        <v>120</v>
      </c>
      <c r="L279" s="219"/>
      <c r="M279" s="219"/>
      <c r="N279" s="53" t="s">
        <v>71</v>
      </c>
      <c r="O279" s="60" t="s">
        <v>162</v>
      </c>
      <c r="P279" s="53" t="str">
        <f>vlookup(N279,Categorizations!A:C,3,FALSE)</f>
        <v>Pesticides</v>
      </c>
      <c r="Q279" s="55">
        <v>1.0</v>
      </c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</row>
    <row r="280" ht="22.5" customHeight="1">
      <c r="A280" s="16" t="s">
        <v>704</v>
      </c>
      <c r="C280" s="42">
        <v>44285.0</v>
      </c>
      <c r="D280" s="43" t="s">
        <v>153</v>
      </c>
      <c r="E280" s="44" t="s">
        <v>473</v>
      </c>
      <c r="F280" s="111" t="s">
        <v>109</v>
      </c>
      <c r="G280" s="215"/>
      <c r="H280" s="216" t="s">
        <v>705</v>
      </c>
      <c r="I280" s="217" t="s">
        <v>705</v>
      </c>
      <c r="J280" s="114"/>
      <c r="K280" s="218" t="s">
        <v>120</v>
      </c>
      <c r="L280" s="219"/>
      <c r="M280" s="219"/>
      <c r="N280" s="53" t="s">
        <v>71</v>
      </c>
      <c r="O280" s="60" t="s">
        <v>162</v>
      </c>
      <c r="P280" s="53" t="str">
        <f>vlookup(N280,Categorizations!A:C,3,FALSE)</f>
        <v>Pesticides</v>
      </c>
      <c r="Q280" s="55">
        <v>1.0</v>
      </c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</row>
    <row r="281" ht="22.5" customHeight="1">
      <c r="A281" s="16" t="s">
        <v>710</v>
      </c>
      <c r="C281" s="42">
        <v>44299.0</v>
      </c>
      <c r="D281" s="43" t="s">
        <v>153</v>
      </c>
      <c r="E281" s="44" t="s">
        <v>473</v>
      </c>
      <c r="F281" s="111" t="s">
        <v>109</v>
      </c>
      <c r="G281" s="215"/>
      <c r="H281" s="216" t="s">
        <v>712</v>
      </c>
      <c r="I281" s="217" t="s">
        <v>712</v>
      </c>
      <c r="J281" s="114"/>
      <c r="K281" s="218" t="s">
        <v>120</v>
      </c>
      <c r="L281" s="219"/>
      <c r="M281" s="219"/>
      <c r="N281" s="53" t="s">
        <v>71</v>
      </c>
      <c r="O281" s="60" t="s">
        <v>162</v>
      </c>
      <c r="P281" s="53" t="str">
        <f>vlookup(N281,Categorizations!A:C,3,FALSE)</f>
        <v>Pesticides</v>
      </c>
      <c r="Q281" s="55">
        <v>1.0</v>
      </c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</row>
    <row r="282" ht="22.5" customHeight="1">
      <c r="A282" s="16" t="s">
        <v>744</v>
      </c>
      <c r="C282" s="42">
        <v>44390.0</v>
      </c>
      <c r="D282" s="43" t="s">
        <v>153</v>
      </c>
      <c r="E282" s="44" t="s">
        <v>473</v>
      </c>
      <c r="F282" s="111" t="s">
        <v>109</v>
      </c>
      <c r="G282" s="215"/>
      <c r="H282" s="216" t="s">
        <v>530</v>
      </c>
      <c r="I282" s="217" t="s">
        <v>530</v>
      </c>
      <c r="J282" s="114"/>
      <c r="K282" s="218" t="s">
        <v>120</v>
      </c>
      <c r="L282" s="219"/>
      <c r="M282" s="219"/>
      <c r="N282" s="53" t="s">
        <v>71</v>
      </c>
      <c r="O282" s="60" t="s">
        <v>162</v>
      </c>
      <c r="P282" s="53" t="str">
        <f>vlookup(N282,Categorizations!A:C,3,FALSE)</f>
        <v>Pesticides</v>
      </c>
      <c r="Q282" s="55">
        <v>1.0</v>
      </c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</row>
    <row r="283" ht="22.5" customHeight="1">
      <c r="A283" s="16" t="s">
        <v>745</v>
      </c>
      <c r="C283" s="42">
        <v>44397.0</v>
      </c>
      <c r="D283" s="43" t="s">
        <v>153</v>
      </c>
      <c r="E283" s="44" t="s">
        <v>473</v>
      </c>
      <c r="F283" s="111" t="s">
        <v>109</v>
      </c>
      <c r="G283" s="215"/>
      <c r="H283" s="216" t="s">
        <v>746</v>
      </c>
      <c r="I283" s="217" t="s">
        <v>746</v>
      </c>
      <c r="J283" s="114"/>
      <c r="K283" s="218" t="s">
        <v>120</v>
      </c>
      <c r="L283" s="219"/>
      <c r="M283" s="219"/>
      <c r="N283" s="53" t="s">
        <v>71</v>
      </c>
      <c r="O283" s="60" t="s">
        <v>162</v>
      </c>
      <c r="P283" s="53" t="str">
        <f>vlookup(N283,Categorizations!A:C,3,FALSE)</f>
        <v>Pesticides</v>
      </c>
      <c r="Q283" s="55">
        <v>1.0</v>
      </c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</row>
    <row r="284" ht="22.5" customHeight="1">
      <c r="A284" s="16" t="s">
        <v>871</v>
      </c>
      <c r="C284" s="42">
        <v>44804.0</v>
      </c>
      <c r="D284" s="43" t="s">
        <v>153</v>
      </c>
      <c r="E284" s="44" t="s">
        <v>473</v>
      </c>
      <c r="F284" s="111" t="s">
        <v>109</v>
      </c>
      <c r="G284" s="215"/>
      <c r="H284" s="216" t="s">
        <v>872</v>
      </c>
      <c r="I284" s="217" t="s">
        <v>872</v>
      </c>
      <c r="J284" s="114"/>
      <c r="K284" s="218" t="s">
        <v>120</v>
      </c>
      <c r="L284" s="219"/>
      <c r="M284" s="219"/>
      <c r="N284" s="53" t="s">
        <v>71</v>
      </c>
      <c r="O284" s="60" t="s">
        <v>162</v>
      </c>
      <c r="P284" s="53" t="str">
        <f>vlookup(N284,Categorizations!A:C,3,FALSE)</f>
        <v>Pesticides</v>
      </c>
      <c r="Q284" s="55">
        <v>1.0</v>
      </c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</row>
    <row r="285" ht="22.5" customHeight="1">
      <c r="A285" s="16" t="s">
        <v>943</v>
      </c>
      <c r="C285" s="42">
        <v>44942.0</v>
      </c>
      <c r="D285" s="43" t="s">
        <v>153</v>
      </c>
      <c r="E285" s="44" t="s">
        <v>473</v>
      </c>
      <c r="F285" s="111" t="s">
        <v>109</v>
      </c>
      <c r="G285" s="215"/>
      <c r="H285" s="216" t="s">
        <v>944</v>
      </c>
      <c r="I285" s="217" t="s">
        <v>944</v>
      </c>
      <c r="J285" s="114"/>
      <c r="K285" s="218" t="s">
        <v>120</v>
      </c>
      <c r="L285" s="219"/>
      <c r="M285" s="219"/>
      <c r="N285" s="53" t="s">
        <v>71</v>
      </c>
      <c r="O285" s="60" t="s">
        <v>162</v>
      </c>
      <c r="P285" s="53" t="str">
        <f>vlookup(N285,Categorizations!A:C,3,FALSE)</f>
        <v>Pesticides</v>
      </c>
      <c r="Q285" s="55">
        <v>1.0</v>
      </c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</row>
    <row r="286" ht="22.5" customHeight="1">
      <c r="A286" s="16" t="s">
        <v>1070</v>
      </c>
      <c r="C286" s="42">
        <v>45022.0</v>
      </c>
      <c r="D286" s="72" t="s">
        <v>153</v>
      </c>
      <c r="E286" s="44" t="s">
        <v>473</v>
      </c>
      <c r="F286" s="111" t="s">
        <v>109</v>
      </c>
      <c r="G286" s="215"/>
      <c r="H286" s="216" t="s">
        <v>1071</v>
      </c>
      <c r="I286" s="217" t="s">
        <v>1071</v>
      </c>
      <c r="J286" s="114"/>
      <c r="K286" s="218" t="s">
        <v>120</v>
      </c>
      <c r="L286" s="219"/>
      <c r="M286" s="219"/>
      <c r="N286" s="53" t="s">
        <v>71</v>
      </c>
      <c r="O286" s="60" t="s">
        <v>162</v>
      </c>
      <c r="P286" s="53" t="str">
        <f>vlookup(N286,Categorizations!A:C,3,FALSE)</f>
        <v>Pesticides</v>
      </c>
      <c r="Q286" s="55">
        <v>1.0</v>
      </c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</row>
    <row r="287" ht="22.5" customHeight="1">
      <c r="A287" s="16" t="s">
        <v>1073</v>
      </c>
      <c r="C287" s="42">
        <v>45022.0</v>
      </c>
      <c r="D287" s="72" t="s">
        <v>153</v>
      </c>
      <c r="E287" s="44" t="s">
        <v>473</v>
      </c>
      <c r="F287" s="111" t="s">
        <v>109</v>
      </c>
      <c r="G287" s="215"/>
      <c r="H287" s="216" t="s">
        <v>1075</v>
      </c>
      <c r="I287" s="217" t="s">
        <v>1075</v>
      </c>
      <c r="J287" s="114"/>
      <c r="K287" s="218" t="s">
        <v>120</v>
      </c>
      <c r="L287" s="219"/>
      <c r="M287" s="219"/>
      <c r="N287" s="53" t="s">
        <v>71</v>
      </c>
      <c r="O287" s="60" t="s">
        <v>162</v>
      </c>
      <c r="P287" s="53" t="str">
        <f>vlookup(N287,Categorizations!A:C,3,FALSE)</f>
        <v>Pesticides</v>
      </c>
      <c r="Q287" s="55">
        <v>1.0</v>
      </c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</row>
    <row r="288" ht="22.5" customHeight="1">
      <c r="A288" s="16" t="s">
        <v>1078</v>
      </c>
      <c r="C288" s="42">
        <v>45022.0</v>
      </c>
      <c r="D288" s="72" t="s">
        <v>153</v>
      </c>
      <c r="E288" s="44" t="s">
        <v>473</v>
      </c>
      <c r="F288" s="111" t="s">
        <v>109</v>
      </c>
      <c r="G288" s="215"/>
      <c r="H288" s="216" t="s">
        <v>1079</v>
      </c>
      <c r="I288" s="217" t="s">
        <v>1079</v>
      </c>
      <c r="J288" s="114"/>
      <c r="K288" s="218" t="s">
        <v>120</v>
      </c>
      <c r="L288" s="219"/>
      <c r="M288" s="219"/>
      <c r="N288" s="53" t="s">
        <v>71</v>
      </c>
      <c r="O288" s="60" t="s">
        <v>162</v>
      </c>
      <c r="P288" s="53" t="str">
        <f>vlookup(N288,Categorizations!A:C,3,FALSE)</f>
        <v>Pesticides</v>
      </c>
      <c r="Q288" s="55">
        <v>1.0</v>
      </c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</row>
    <row r="289" ht="22.5" customHeight="1">
      <c r="A289" s="16" t="s">
        <v>1080</v>
      </c>
      <c r="C289" s="42">
        <v>45022.0</v>
      </c>
      <c r="D289" s="72" t="s">
        <v>153</v>
      </c>
      <c r="E289" s="44" t="s">
        <v>473</v>
      </c>
      <c r="F289" s="111" t="s">
        <v>109</v>
      </c>
      <c r="G289" s="215"/>
      <c r="H289" s="216" t="s">
        <v>1082</v>
      </c>
      <c r="I289" s="217" t="s">
        <v>1082</v>
      </c>
      <c r="J289" s="114"/>
      <c r="K289" s="218" t="s">
        <v>120</v>
      </c>
      <c r="L289" s="219"/>
      <c r="M289" s="219"/>
      <c r="N289" s="53" t="s">
        <v>71</v>
      </c>
      <c r="O289" s="60" t="s">
        <v>162</v>
      </c>
      <c r="P289" s="53" t="str">
        <f>vlookup(N289,Categorizations!A:C,3,FALSE)</f>
        <v>Pesticides</v>
      </c>
      <c r="Q289" s="55">
        <v>1.0</v>
      </c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</row>
    <row r="290" ht="22.5" customHeight="1">
      <c r="A290" s="16" t="s">
        <v>1084</v>
      </c>
      <c r="C290" s="42">
        <v>45022.0</v>
      </c>
      <c r="D290" s="72" t="s">
        <v>153</v>
      </c>
      <c r="E290" s="44" t="s">
        <v>473</v>
      </c>
      <c r="F290" s="111" t="s">
        <v>109</v>
      </c>
      <c r="G290" s="215"/>
      <c r="H290" s="216" t="s">
        <v>1085</v>
      </c>
      <c r="I290" s="217" t="s">
        <v>1085</v>
      </c>
      <c r="J290" s="114"/>
      <c r="K290" s="218" t="s">
        <v>120</v>
      </c>
      <c r="L290" s="219"/>
      <c r="M290" s="219"/>
      <c r="N290" s="53" t="s">
        <v>71</v>
      </c>
      <c r="O290" s="60" t="s">
        <v>162</v>
      </c>
      <c r="P290" s="53" t="str">
        <f>vlookup(N290,Categorizations!A:C,3,FALSE)</f>
        <v>Pesticides</v>
      </c>
      <c r="Q290" s="55">
        <v>1.0</v>
      </c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</row>
    <row r="291" ht="22.5" customHeight="1">
      <c r="A291" s="16" t="s">
        <v>1132</v>
      </c>
      <c r="C291" s="42">
        <v>45048.0</v>
      </c>
      <c r="D291" s="72" t="s">
        <v>153</v>
      </c>
      <c r="E291" s="44" t="s">
        <v>473</v>
      </c>
      <c r="F291" s="111" t="s">
        <v>109</v>
      </c>
      <c r="G291" s="215"/>
      <c r="H291" s="216" t="s">
        <v>1133</v>
      </c>
      <c r="I291" s="217" t="s">
        <v>1133</v>
      </c>
      <c r="J291" s="114"/>
      <c r="K291" s="218" t="s">
        <v>120</v>
      </c>
      <c r="L291" s="219"/>
      <c r="M291" s="219"/>
      <c r="N291" s="53" t="s">
        <v>71</v>
      </c>
      <c r="O291" s="60" t="s">
        <v>162</v>
      </c>
      <c r="P291" s="53" t="str">
        <f>vlookup(N291,Categorizations!A:C,3,FALSE)</f>
        <v>Pesticides</v>
      </c>
      <c r="Q291" s="55">
        <v>1.0</v>
      </c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</row>
    <row r="292" ht="22.5" customHeight="1">
      <c r="A292" s="16" t="s">
        <v>1135</v>
      </c>
      <c r="C292" s="42">
        <v>45051.0</v>
      </c>
      <c r="D292" s="72" t="s">
        <v>153</v>
      </c>
      <c r="E292" s="44" t="s">
        <v>473</v>
      </c>
      <c r="F292" s="111" t="s">
        <v>109</v>
      </c>
      <c r="G292" s="215"/>
      <c r="H292" s="216" t="s">
        <v>1137</v>
      </c>
      <c r="I292" s="217" t="s">
        <v>1137</v>
      </c>
      <c r="J292" s="114"/>
      <c r="K292" s="218" t="s">
        <v>120</v>
      </c>
      <c r="L292" s="219"/>
      <c r="M292" s="219"/>
      <c r="N292" s="53" t="s">
        <v>71</v>
      </c>
      <c r="O292" s="60" t="s">
        <v>162</v>
      </c>
      <c r="P292" s="53" t="str">
        <f>vlookup(N292,Categorizations!A:C,3,FALSE)</f>
        <v>Pesticides</v>
      </c>
      <c r="Q292" s="55">
        <v>1.0</v>
      </c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</row>
    <row r="293" ht="22.5" customHeight="1">
      <c r="A293" s="16" t="s">
        <v>1156</v>
      </c>
      <c r="C293" s="42">
        <v>45055.0</v>
      </c>
      <c r="D293" s="72" t="s">
        <v>153</v>
      </c>
      <c r="E293" s="44" t="s">
        <v>473</v>
      </c>
      <c r="F293" s="111" t="s">
        <v>109</v>
      </c>
      <c r="G293" s="215"/>
      <c r="H293" s="216" t="s">
        <v>1157</v>
      </c>
      <c r="I293" s="217" t="s">
        <v>1157</v>
      </c>
      <c r="J293" s="114"/>
      <c r="K293" s="218" t="s">
        <v>120</v>
      </c>
      <c r="L293" s="219"/>
      <c r="M293" s="219"/>
      <c r="N293" s="53" t="s">
        <v>71</v>
      </c>
      <c r="O293" s="60" t="s">
        <v>162</v>
      </c>
      <c r="P293" s="53" t="str">
        <f>vlookup(N293,Categorizations!A:C,3,FALSE)</f>
        <v>Pesticides</v>
      </c>
      <c r="Q293" s="55">
        <v>1.0</v>
      </c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</row>
    <row r="294" ht="22.5" customHeight="1">
      <c r="A294" s="16" t="s">
        <v>1159</v>
      </c>
      <c r="C294" s="42">
        <v>45055.0</v>
      </c>
      <c r="D294" s="72" t="s">
        <v>153</v>
      </c>
      <c r="E294" s="44" t="s">
        <v>473</v>
      </c>
      <c r="F294" s="111" t="s">
        <v>109</v>
      </c>
      <c r="G294" s="215"/>
      <c r="H294" s="216" t="s">
        <v>1160</v>
      </c>
      <c r="I294" s="217" t="s">
        <v>1160</v>
      </c>
      <c r="J294" s="114"/>
      <c r="K294" s="218" t="s">
        <v>120</v>
      </c>
      <c r="L294" s="219"/>
      <c r="M294" s="219"/>
      <c r="N294" s="53" t="s">
        <v>71</v>
      </c>
      <c r="O294" s="60" t="s">
        <v>162</v>
      </c>
      <c r="P294" s="53" t="str">
        <f>vlookup(N294,Categorizations!A:C,3,FALSE)</f>
        <v>Pesticides</v>
      </c>
      <c r="Q294" s="55">
        <v>1.0</v>
      </c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</row>
    <row r="295" ht="22.5" customHeight="1">
      <c r="A295" s="16" t="s">
        <v>1301</v>
      </c>
      <c r="C295" s="42">
        <v>45140.0</v>
      </c>
      <c r="D295" s="72" t="s">
        <v>153</v>
      </c>
      <c r="E295" s="110" t="s">
        <v>473</v>
      </c>
      <c r="F295" s="111" t="s">
        <v>109</v>
      </c>
      <c r="G295" s="215"/>
      <c r="H295" s="216" t="s">
        <v>1302</v>
      </c>
      <c r="I295" s="217" t="s">
        <v>1302</v>
      </c>
      <c r="J295" s="114"/>
      <c r="K295" s="218" t="s">
        <v>120</v>
      </c>
      <c r="L295" s="219"/>
      <c r="M295" s="219"/>
      <c r="N295" s="53" t="s">
        <v>71</v>
      </c>
      <c r="O295" s="54" t="s">
        <v>162</v>
      </c>
      <c r="P295" s="53" t="str">
        <f>vlookup(N295,Categorizations!A:C,3,FALSE)</f>
        <v>Pesticides</v>
      </c>
      <c r="Q295" s="55">
        <v>1.0</v>
      </c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</row>
    <row r="296" ht="22.5" customHeight="1">
      <c r="A296" s="16" t="s">
        <v>1301</v>
      </c>
      <c r="C296" s="42">
        <v>45309.0</v>
      </c>
      <c r="D296" s="72" t="s">
        <v>153</v>
      </c>
      <c r="E296" s="110" t="s">
        <v>473</v>
      </c>
      <c r="F296" s="111" t="s">
        <v>109</v>
      </c>
      <c r="G296" s="215"/>
      <c r="H296" s="216" t="s">
        <v>6468</v>
      </c>
      <c r="I296" s="217" t="s">
        <v>6468</v>
      </c>
      <c r="J296" s="114"/>
      <c r="K296" s="218" t="s">
        <v>120</v>
      </c>
      <c r="L296" s="219"/>
      <c r="M296" s="219"/>
      <c r="N296" s="53" t="s">
        <v>71</v>
      </c>
      <c r="O296" s="54" t="s">
        <v>162</v>
      </c>
      <c r="P296" s="53" t="str">
        <f>vlookup(N296,Categorizations!A:C,3,FALSE)</f>
        <v>Pesticides</v>
      </c>
      <c r="Q296" s="55">
        <v>1.0</v>
      </c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</row>
    <row r="297" ht="22.5" customHeight="1">
      <c r="A297" s="16" t="str">
        <f t="shared" ref="A297:A358" si="12">concatenate(C297,I297)</f>
        <v>42368Mountain High Suckers</v>
      </c>
      <c r="C297" s="42">
        <v>42368.0</v>
      </c>
      <c r="D297" s="43" t="s">
        <v>42</v>
      </c>
      <c r="E297" s="44" t="s">
        <v>6488</v>
      </c>
      <c r="F297" s="114" t="s">
        <v>177</v>
      </c>
      <c r="G297" s="215"/>
      <c r="H297" s="253" t="s">
        <v>6497</v>
      </c>
      <c r="I297" s="254" t="s">
        <v>6497</v>
      </c>
      <c r="K297" s="218" t="s">
        <v>120</v>
      </c>
      <c r="L297" s="255"/>
      <c r="M297" s="255"/>
      <c r="N297" s="256" t="s">
        <v>37</v>
      </c>
      <c r="O297" s="53" t="s">
        <v>6508</v>
      </c>
      <c r="P297" s="53" t="str">
        <f>vlookup(N297,Categorizations!A:C,3,FALSE)</f>
        <v>Pesticides</v>
      </c>
      <c r="Q297" s="55">
        <v>1.0</v>
      </c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</row>
    <row r="298" ht="22.5" customHeight="1">
      <c r="A298" s="16" t="str">
        <f t="shared" si="12"/>
        <v>42359EdiPure</v>
      </c>
      <c r="C298" s="42">
        <v>42359.0</v>
      </c>
      <c r="D298" s="43" t="s">
        <v>42</v>
      </c>
      <c r="E298" s="44" t="s">
        <v>6488</v>
      </c>
      <c r="F298" s="114" t="s">
        <v>177</v>
      </c>
      <c r="G298" s="215"/>
      <c r="H298" s="253" t="s">
        <v>6523</v>
      </c>
      <c r="I298" s="254" t="s">
        <v>6523</v>
      </c>
      <c r="K298" s="218" t="s">
        <v>120</v>
      </c>
      <c r="L298" s="255"/>
      <c r="M298" s="255"/>
      <c r="N298" s="256" t="s">
        <v>174</v>
      </c>
      <c r="O298" s="53" t="s">
        <v>6508</v>
      </c>
      <c r="P298" s="53" t="str">
        <f>vlookup(N298,Categorizations!A:C,3,FALSE)</f>
        <v>Pesticides</v>
      </c>
      <c r="Q298" s="55">
        <v>1.0</v>
      </c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</row>
    <row r="299" ht="22.5" customHeight="1">
      <c r="A299" s="16" t="str">
        <f t="shared" si="12"/>
        <v>42354Caviar Kings, Neos, RevTec</v>
      </c>
      <c r="C299" s="42">
        <v>42354.0</v>
      </c>
      <c r="D299" s="43" t="s">
        <v>42</v>
      </c>
      <c r="E299" s="44" t="s">
        <v>6488</v>
      </c>
      <c r="F299" s="114" t="s">
        <v>177</v>
      </c>
      <c r="G299" s="215"/>
      <c r="H299" s="253" t="s">
        <v>6541</v>
      </c>
      <c r="I299" s="254" t="s">
        <v>6541</v>
      </c>
      <c r="K299" s="218" t="s">
        <v>120</v>
      </c>
      <c r="L299" s="255"/>
      <c r="M299" s="255"/>
      <c r="N299" s="256" t="s">
        <v>37</v>
      </c>
      <c r="O299" s="53" t="s">
        <v>6508</v>
      </c>
      <c r="P299" s="53" t="str">
        <f>vlookup(N299,Categorizations!A:C,3,FALSE)</f>
        <v>Pesticides</v>
      </c>
      <c r="Q299" s="55">
        <v>1.0</v>
      </c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</row>
    <row r="300" ht="22.5" customHeight="1">
      <c r="A300" s="16" t="str">
        <f t="shared" si="12"/>
        <v>42349Advanced Medical Alternatives</v>
      </c>
      <c r="C300" s="42">
        <v>42349.0</v>
      </c>
      <c r="D300" s="43" t="s">
        <v>42</v>
      </c>
      <c r="E300" s="44" t="s">
        <v>6488</v>
      </c>
      <c r="F300" s="114" t="s">
        <v>177</v>
      </c>
      <c r="G300" s="215"/>
      <c r="H300" s="253" t="s">
        <v>6561</v>
      </c>
      <c r="I300" s="254" t="s">
        <v>6561</v>
      </c>
      <c r="K300" s="218" t="s">
        <v>120</v>
      </c>
      <c r="L300" s="255"/>
      <c r="M300" s="255"/>
      <c r="N300" s="53" t="s">
        <v>71</v>
      </c>
      <c r="O300" s="53" t="s">
        <v>6508</v>
      </c>
      <c r="P300" s="53" t="str">
        <f>vlookup(N300,Categorizations!A:C,3,FALSE)</f>
        <v>Pesticides</v>
      </c>
      <c r="Q300" s="55">
        <v>1.0</v>
      </c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</row>
    <row r="301" ht="22.5" customHeight="1">
      <c r="A301" s="16" t="str">
        <f t="shared" si="12"/>
        <v>42346EdiPure</v>
      </c>
      <c r="C301" s="42">
        <v>42346.0</v>
      </c>
      <c r="D301" s="43" t="s">
        <v>42</v>
      </c>
      <c r="E301" s="44" t="s">
        <v>6488</v>
      </c>
      <c r="F301" s="114" t="s">
        <v>177</v>
      </c>
      <c r="G301" s="215"/>
      <c r="H301" s="253" t="s">
        <v>6523</v>
      </c>
      <c r="I301" s="254" t="s">
        <v>6523</v>
      </c>
      <c r="K301" s="218" t="s">
        <v>120</v>
      </c>
      <c r="L301" s="255"/>
      <c r="M301" s="255"/>
      <c r="N301" s="53" t="s">
        <v>71</v>
      </c>
      <c r="O301" s="53" t="s">
        <v>6508</v>
      </c>
      <c r="P301" s="53" t="str">
        <f>vlookup(N301,Categorizations!A:C,3,FALSE)</f>
        <v>Pesticides</v>
      </c>
      <c r="Q301" s="55">
        <v>1.0</v>
      </c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</row>
    <row r="302" ht="22.5" customHeight="1">
      <c r="A302" s="16" t="str">
        <f t="shared" si="12"/>
        <v>42341Advanced Medical Alternatives</v>
      </c>
      <c r="C302" s="42">
        <v>42341.0</v>
      </c>
      <c r="D302" s="43" t="s">
        <v>42</v>
      </c>
      <c r="E302" s="44" t="s">
        <v>6488</v>
      </c>
      <c r="F302" s="114" t="s">
        <v>177</v>
      </c>
      <c r="G302" s="215"/>
      <c r="H302" s="253" t="s">
        <v>6561</v>
      </c>
      <c r="I302" s="254" t="s">
        <v>6561</v>
      </c>
      <c r="K302" s="218" t="s">
        <v>120</v>
      </c>
      <c r="L302" s="255"/>
      <c r="M302" s="255"/>
      <c r="N302" s="53" t="s">
        <v>71</v>
      </c>
      <c r="O302" s="53" t="s">
        <v>6508</v>
      </c>
      <c r="P302" s="53" t="str">
        <f>vlookup(N302,Categorizations!A:C,3,FALSE)</f>
        <v>Pesticides</v>
      </c>
      <c r="Q302" s="55">
        <v>1.0</v>
      </c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</row>
    <row r="303" ht="22.5" customHeight="1">
      <c r="A303" s="16" t="str">
        <f t="shared" si="12"/>
        <v>42339EdiPure</v>
      </c>
      <c r="C303" s="42">
        <v>42339.0</v>
      </c>
      <c r="D303" s="43" t="s">
        <v>42</v>
      </c>
      <c r="E303" s="56" t="s">
        <v>6624</v>
      </c>
      <c r="F303" s="114" t="s">
        <v>177</v>
      </c>
      <c r="G303" s="215"/>
      <c r="H303" s="253" t="s">
        <v>6523</v>
      </c>
      <c r="I303" s="254" t="s">
        <v>6523</v>
      </c>
      <c r="K303" s="218" t="s">
        <v>120</v>
      </c>
      <c r="L303" s="255"/>
      <c r="M303" s="255"/>
      <c r="N303" s="53" t="s">
        <v>6636</v>
      </c>
      <c r="O303" s="53" t="s">
        <v>6508</v>
      </c>
      <c r="P303" s="53" t="str">
        <f>vlookup(N303,Categorizations!A:C,3,FALSE)</f>
        <v>Pesticides</v>
      </c>
      <c r="Q303" s="55">
        <v>1.0</v>
      </c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</row>
    <row r="304" ht="22.5" customHeight="1">
      <c r="A304" s="16" t="str">
        <f t="shared" si="12"/>
        <v>42326Gaia’s Garden</v>
      </c>
      <c r="C304" s="42">
        <v>42326.0</v>
      </c>
      <c r="D304" s="72" t="s">
        <v>42</v>
      </c>
      <c r="E304" s="56" t="s">
        <v>6649</v>
      </c>
      <c r="F304" s="114" t="s">
        <v>177</v>
      </c>
      <c r="G304" s="215"/>
      <c r="H304" s="253" t="s">
        <v>6661</v>
      </c>
      <c r="I304" s="254" t="s">
        <v>6663</v>
      </c>
      <c r="K304" s="218" t="s">
        <v>120</v>
      </c>
      <c r="L304" s="255"/>
      <c r="M304" s="255"/>
      <c r="N304" s="53" t="s">
        <v>173</v>
      </c>
      <c r="O304" s="53" t="s">
        <v>6508</v>
      </c>
      <c r="P304" s="53" t="str">
        <f>vlookup(N304,Categorizations!A:C,3,FALSE)</f>
        <v>Pesticides</v>
      </c>
      <c r="Q304" s="55">
        <v>1.0</v>
      </c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</row>
    <row r="305" ht="22.5" customHeight="1">
      <c r="A305" s="16" t="str">
        <f t="shared" si="12"/>
        <v>42325Lab710 Concentrates</v>
      </c>
      <c r="C305" s="42">
        <v>42325.0</v>
      </c>
      <c r="D305" s="43" t="s">
        <v>42</v>
      </c>
      <c r="E305" s="56" t="s">
        <v>6684</v>
      </c>
      <c r="F305" s="114" t="s">
        <v>177</v>
      </c>
      <c r="G305" s="215"/>
      <c r="H305" s="253" t="s">
        <v>6692</v>
      </c>
      <c r="I305" s="254" t="s">
        <v>6692</v>
      </c>
      <c r="K305" s="218" t="s">
        <v>120</v>
      </c>
      <c r="L305" s="255"/>
      <c r="M305" s="255"/>
      <c r="N305" s="53" t="s">
        <v>6697</v>
      </c>
      <c r="O305" s="53" t="s">
        <v>6508</v>
      </c>
      <c r="P305" s="53" t="str">
        <f>vlookup(N305,Categorizations!A:C,3,FALSE)</f>
        <v>Pesticides</v>
      </c>
      <c r="Q305" s="55">
        <v>1.0</v>
      </c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</row>
    <row r="306" ht="22.5" customHeight="1">
      <c r="A306" s="16" t="str">
        <f t="shared" si="12"/>
        <v>42311Gaia’s Garden</v>
      </c>
      <c r="C306" s="42">
        <v>42311.0</v>
      </c>
      <c r="D306" s="43" t="s">
        <v>42</v>
      </c>
      <c r="E306" s="56" t="s">
        <v>6710</v>
      </c>
      <c r="F306" s="114" t="s">
        <v>177</v>
      </c>
      <c r="G306" s="215"/>
      <c r="H306" s="253" t="s">
        <v>6718</v>
      </c>
      <c r="I306" s="254" t="s">
        <v>6718</v>
      </c>
      <c r="K306" s="218" t="s">
        <v>120</v>
      </c>
      <c r="L306" s="255"/>
      <c r="M306" s="255"/>
      <c r="N306" s="53" t="s">
        <v>173</v>
      </c>
      <c r="O306" s="53" t="s">
        <v>6508</v>
      </c>
      <c r="P306" s="53" t="str">
        <f>vlookup(N306,Categorizations!A:C,3,FALSE)</f>
        <v>Pesticides</v>
      </c>
      <c r="Q306" s="55">
        <v>1.0</v>
      </c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</row>
    <row r="307" ht="22.5" customHeight="1">
      <c r="A307" s="16" t="str">
        <f t="shared" si="12"/>
        <v>42307EdiPure/Green Cross</v>
      </c>
      <c r="C307" s="42">
        <v>42307.0</v>
      </c>
      <c r="D307" s="43" t="s">
        <v>42</v>
      </c>
      <c r="E307" s="56" t="s">
        <v>6733</v>
      </c>
      <c r="F307" s="114" t="s">
        <v>177</v>
      </c>
      <c r="G307" s="215"/>
      <c r="H307" s="253" t="s">
        <v>6740</v>
      </c>
      <c r="I307" s="254" t="s">
        <v>6740</v>
      </c>
      <c r="K307" s="218" t="s">
        <v>120</v>
      </c>
      <c r="L307" s="255"/>
      <c r="M307" s="255"/>
      <c r="N307" s="53" t="s">
        <v>173</v>
      </c>
      <c r="O307" s="53" t="s">
        <v>6508</v>
      </c>
      <c r="P307" s="53" t="str">
        <f>vlookup(N307,Categorizations!A:C,3,FALSE)</f>
        <v>Pesticides</v>
      </c>
      <c r="Q307" s="55">
        <v>1.0</v>
      </c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</row>
    <row r="308" ht="22.5" customHeight="1">
      <c r="A308" s="16" t="str">
        <f t="shared" si="12"/>
        <v>42298Nature’s Cure/Colfax Pot Shop</v>
      </c>
      <c r="C308" s="42">
        <v>42298.0</v>
      </c>
      <c r="D308" s="43" t="s">
        <v>42</v>
      </c>
      <c r="E308" s="56" t="s">
        <v>6755</v>
      </c>
      <c r="F308" s="114" t="s">
        <v>177</v>
      </c>
      <c r="G308" s="215"/>
      <c r="H308" s="253" t="s">
        <v>6764</v>
      </c>
      <c r="I308" s="254" t="s">
        <v>6764</v>
      </c>
      <c r="K308" s="218" t="s">
        <v>120</v>
      </c>
      <c r="L308" s="255"/>
      <c r="M308" s="255"/>
      <c r="N308" s="53" t="s">
        <v>6770</v>
      </c>
      <c r="O308" s="53" t="s">
        <v>6508</v>
      </c>
      <c r="P308" s="53" t="str">
        <f>vlookup(N308,Categorizations!A:C,3,FALSE)</f>
        <v>Pesticides</v>
      </c>
      <c r="Q308" s="55">
        <v>1.0</v>
      </c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</row>
    <row r="309" ht="22.5" customHeight="1">
      <c r="A309" s="16" t="str">
        <f t="shared" si="12"/>
        <v>42291TruCannabis/Colorado Care Facility</v>
      </c>
      <c r="C309" s="42">
        <v>42291.0</v>
      </c>
      <c r="D309" s="43" t="s">
        <v>42</v>
      </c>
      <c r="E309" s="56" t="s">
        <v>6782</v>
      </c>
      <c r="F309" s="114" t="s">
        <v>177</v>
      </c>
      <c r="G309" s="215"/>
      <c r="H309" s="253" t="s">
        <v>6787</v>
      </c>
      <c r="I309" s="254" t="s">
        <v>6787</v>
      </c>
      <c r="K309" s="218" t="s">
        <v>120</v>
      </c>
      <c r="L309" s="255"/>
      <c r="M309" s="255"/>
      <c r="N309" s="53" t="s">
        <v>173</v>
      </c>
      <c r="O309" s="53" t="s">
        <v>6508</v>
      </c>
      <c r="P309" s="53" t="str">
        <f>vlookup(N309,Categorizations!A:C,3,FALSE)</f>
        <v>Pesticides</v>
      </c>
      <c r="Q309" s="55">
        <v>1.0</v>
      </c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</row>
    <row r="310" ht="22.5" customHeight="1">
      <c r="A310" s="16" t="str">
        <f t="shared" si="12"/>
        <v>42265Sacred Seed</v>
      </c>
      <c r="C310" s="42">
        <v>42265.0</v>
      </c>
      <c r="D310" s="43" t="s">
        <v>42</v>
      </c>
      <c r="E310" s="56" t="s">
        <v>6797</v>
      </c>
      <c r="F310" s="114" t="s">
        <v>177</v>
      </c>
      <c r="G310" s="215"/>
      <c r="H310" s="95" t="s">
        <v>6803</v>
      </c>
      <c r="I310" s="66" t="s">
        <v>6803</v>
      </c>
      <c r="K310" s="218" t="s">
        <v>120</v>
      </c>
      <c r="L310" s="255"/>
      <c r="M310" s="255"/>
      <c r="N310" s="53" t="s">
        <v>184</v>
      </c>
      <c r="O310" s="53" t="s">
        <v>6508</v>
      </c>
      <c r="P310" s="53" t="str">
        <f>vlookup(N310,Categorizations!A:C,3,FALSE)</f>
        <v>Pesticides</v>
      </c>
      <c r="Q310" s="55">
        <v>1.0</v>
      </c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</row>
    <row r="311" ht="22.5" customHeight="1">
      <c r="A311" s="16" t="str">
        <f t="shared" si="12"/>
        <v>42265Denver-Rec</v>
      </c>
      <c r="C311" s="42">
        <v>42265.0</v>
      </c>
      <c r="D311" s="43" t="s">
        <v>42</v>
      </c>
      <c r="E311" s="56" t="s">
        <v>6797</v>
      </c>
      <c r="F311" s="114" t="s">
        <v>177</v>
      </c>
      <c r="G311" s="215"/>
      <c r="H311" s="95" t="s">
        <v>6822</v>
      </c>
      <c r="I311" s="66" t="s">
        <v>6822</v>
      </c>
      <c r="K311" s="218" t="s">
        <v>120</v>
      </c>
      <c r="L311" s="52"/>
      <c r="M311" s="52"/>
      <c r="N311" s="53" t="s">
        <v>184</v>
      </c>
      <c r="O311" s="53" t="s">
        <v>6508</v>
      </c>
      <c r="P311" s="53" t="str">
        <f>vlookup(N311,Categorizations!A:C,3,FALSE)</f>
        <v>Pesticides</v>
      </c>
      <c r="Q311" s="55">
        <v>1.0</v>
      </c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</row>
    <row r="312" ht="22.5" customHeight="1">
      <c r="A312" s="16" t="str">
        <f t="shared" si="12"/>
        <v>42255Mahatma Concentrates</v>
      </c>
      <c r="C312" s="42">
        <v>42255.0</v>
      </c>
      <c r="D312" s="43" t="s">
        <v>42</v>
      </c>
      <c r="E312" s="56" t="s">
        <v>6837</v>
      </c>
      <c r="F312" s="114" t="s">
        <v>177</v>
      </c>
      <c r="G312" s="257" t="s">
        <v>734</v>
      </c>
      <c r="H312" s="258" t="s">
        <v>6848</v>
      </c>
      <c r="I312" s="259" t="s">
        <v>6848</v>
      </c>
      <c r="K312" s="218" t="s">
        <v>120</v>
      </c>
      <c r="L312" s="260"/>
      <c r="M312" s="260"/>
      <c r="N312" s="53" t="s">
        <v>190</v>
      </c>
      <c r="O312" s="53" t="s">
        <v>6508</v>
      </c>
      <c r="P312" s="53" t="str">
        <f>vlookup(N312,Categorizations!A:C,3,FALSE)</f>
        <v>Pesticides</v>
      </c>
      <c r="Q312" s="55">
        <v>1.0</v>
      </c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</row>
    <row r="313" ht="22.5" customHeight="1">
      <c r="A313" s="261" t="str">
        <f t="shared" si="12"/>
        <v>45512Mammoth Distribution, Heavy Hitters</v>
      </c>
      <c r="C313" s="42">
        <v>45512.0</v>
      </c>
      <c r="D313" s="72" t="s">
        <v>36</v>
      </c>
      <c r="E313" s="56" t="s">
        <v>1976</v>
      </c>
      <c r="F313" s="148" t="s">
        <v>109</v>
      </c>
      <c r="G313" s="257" t="s">
        <v>180</v>
      </c>
      <c r="H313" s="262" t="s">
        <v>1983</v>
      </c>
      <c r="I313" s="263" t="s">
        <v>6878</v>
      </c>
      <c r="J313" s="264"/>
      <c r="K313" s="265" t="s">
        <v>636</v>
      </c>
      <c r="L313" s="266">
        <v>45418.0</v>
      </c>
      <c r="M313" s="266">
        <v>45427.0</v>
      </c>
      <c r="N313" s="53" t="s">
        <v>757</v>
      </c>
      <c r="O313" s="54" t="s">
        <v>162</v>
      </c>
      <c r="P313" s="53" t="str">
        <f>vlookup(N313,Categorizations!A:C,3,FALSE)</f>
        <v>Aspergillus</v>
      </c>
      <c r="Q313" s="55">
        <v>1.0</v>
      </c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</row>
    <row r="314" ht="22.5" customHeight="1">
      <c r="A314" s="261" t="str">
        <f t="shared" si="12"/>
        <v>45520Alkhemist DM LLC</v>
      </c>
      <c r="C314" s="42">
        <v>45520.0</v>
      </c>
      <c r="D314" s="72" t="s">
        <v>36</v>
      </c>
      <c r="E314" s="56" t="s">
        <v>6896</v>
      </c>
      <c r="F314" s="267" t="s">
        <v>109</v>
      </c>
      <c r="G314" s="257" t="s">
        <v>321</v>
      </c>
      <c r="H314" s="262" t="s">
        <v>6904</v>
      </c>
      <c r="I314" s="263" t="s">
        <v>1610</v>
      </c>
      <c r="J314" s="264"/>
      <c r="K314" s="265" t="s">
        <v>636</v>
      </c>
      <c r="L314" s="266">
        <v>45412.0</v>
      </c>
      <c r="M314" s="266">
        <v>45386.0</v>
      </c>
      <c r="N314" s="53" t="s">
        <v>759</v>
      </c>
      <c r="O314" s="54" t="s">
        <v>162</v>
      </c>
      <c r="P314" s="53" t="str">
        <f>vlookup(N314,Categorizations!A:C,3,FALSE)</f>
        <v>Salmonella</v>
      </c>
      <c r="Q314" s="55">
        <v>1.0</v>
      </c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</row>
    <row r="315" ht="22.5" customHeight="1">
      <c r="A315" s="261" t="str">
        <f t="shared" si="12"/>
        <v>45525Purple Star MD Collective</v>
      </c>
      <c r="C315" s="42">
        <v>45525.0</v>
      </c>
      <c r="D315" s="72" t="s">
        <v>36</v>
      </c>
      <c r="E315" s="56" t="s">
        <v>6919</v>
      </c>
      <c r="F315" s="148" t="s">
        <v>109</v>
      </c>
      <c r="G315" s="257" t="s">
        <v>180</v>
      </c>
      <c r="H315" s="262" t="s">
        <v>6925</v>
      </c>
      <c r="I315" s="263" t="s">
        <v>6927</v>
      </c>
      <c r="J315" s="264"/>
      <c r="K315" s="265" t="s">
        <v>636</v>
      </c>
      <c r="L315" s="266">
        <v>45433.0</v>
      </c>
      <c r="M315" s="266">
        <v>45439.0</v>
      </c>
      <c r="N315" s="53" t="s">
        <v>757</v>
      </c>
      <c r="O315" s="54" t="s">
        <v>162</v>
      </c>
      <c r="P315" s="53" t="str">
        <f>vlookup(N315,Categorizations!A:C,3,FALSE)</f>
        <v>Aspergillus</v>
      </c>
      <c r="Q315" s="55">
        <v>1.0</v>
      </c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</row>
    <row r="316" ht="22.5" customHeight="1">
      <c r="A316" s="261" t="str">
        <f t="shared" si="12"/>
        <v>45526BTD, Inc.</v>
      </c>
      <c r="C316" s="42">
        <v>45526.0</v>
      </c>
      <c r="D316" s="72" t="s">
        <v>36</v>
      </c>
      <c r="E316" s="56" t="s">
        <v>6941</v>
      </c>
      <c r="F316" s="267" t="s">
        <v>109</v>
      </c>
      <c r="G316" s="257" t="s">
        <v>180</v>
      </c>
      <c r="H316" s="262" t="s">
        <v>6946</v>
      </c>
      <c r="I316" s="263" t="s">
        <v>6948</v>
      </c>
      <c r="J316" s="264"/>
      <c r="K316" s="265" t="s">
        <v>636</v>
      </c>
      <c r="L316" s="266">
        <v>45414.0</v>
      </c>
      <c r="M316" s="266">
        <v>45414.0</v>
      </c>
      <c r="N316" s="53" t="s">
        <v>757</v>
      </c>
      <c r="O316" s="54" t="s">
        <v>162</v>
      </c>
      <c r="P316" s="53" t="str">
        <f>vlookup(N316,Categorizations!A:C,3,FALSE)</f>
        <v>Aspergillus</v>
      </c>
      <c r="Q316" s="55">
        <v>1.0</v>
      </c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</row>
    <row r="317" ht="22.5" customHeight="1">
      <c r="A317" s="261" t="str">
        <f t="shared" si="12"/>
        <v>45533Shield Management Group, LLC</v>
      </c>
      <c r="C317" s="42">
        <v>45533.0</v>
      </c>
      <c r="D317" s="72" t="s">
        <v>36</v>
      </c>
      <c r="E317" s="56" t="s">
        <v>6952</v>
      </c>
      <c r="F317" s="267" t="s">
        <v>109</v>
      </c>
      <c r="G317" s="257" t="s">
        <v>734</v>
      </c>
      <c r="H317" s="268" t="s">
        <v>6953</v>
      </c>
      <c r="I317" s="263" t="s">
        <v>1578</v>
      </c>
      <c r="J317" s="264"/>
      <c r="K317" s="265" t="s">
        <v>636</v>
      </c>
      <c r="L317" s="269">
        <v>45224.0</v>
      </c>
      <c r="M317" s="266">
        <v>45232.0</v>
      </c>
      <c r="N317" s="53" t="s">
        <v>224</v>
      </c>
      <c r="O317" s="54" t="s">
        <v>162</v>
      </c>
      <c r="P317" s="53" t="str">
        <f>vlookup(N317,Categorizations!A:C,3,FALSE)</f>
        <v>Aspergillus</v>
      </c>
      <c r="Q317" s="55">
        <v>1.0</v>
      </c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</row>
    <row r="318" ht="22.5" customHeight="1">
      <c r="A318" s="261" t="str">
        <f t="shared" si="12"/>
        <v>45533Shield Management Group, LLC</v>
      </c>
      <c r="C318" s="42">
        <v>45533.0</v>
      </c>
      <c r="D318" s="72" t="s">
        <v>36</v>
      </c>
      <c r="E318" s="56" t="s">
        <v>6954</v>
      </c>
      <c r="F318" s="267" t="s">
        <v>109</v>
      </c>
      <c r="G318" s="72" t="s">
        <v>6955</v>
      </c>
      <c r="H318" s="268" t="s">
        <v>6956</v>
      </c>
      <c r="I318" s="263" t="s">
        <v>1578</v>
      </c>
      <c r="J318" s="264"/>
      <c r="K318" s="265" t="s">
        <v>636</v>
      </c>
      <c r="L318" s="270">
        <v>45163.0</v>
      </c>
      <c r="M318" s="270">
        <v>45183.0</v>
      </c>
      <c r="N318" s="53" t="s">
        <v>224</v>
      </c>
      <c r="O318" s="54" t="s">
        <v>162</v>
      </c>
      <c r="P318" s="53" t="str">
        <f>vlookup(N318,Categorizations!A:C,3,FALSE)</f>
        <v>Aspergillus</v>
      </c>
      <c r="Q318" s="55">
        <v>1.0</v>
      </c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</row>
    <row r="319" ht="22.5" customHeight="1">
      <c r="A319" s="261" t="str">
        <f t="shared" si="12"/>
        <v>45541K.U.S.H. COLLECTIVE</v>
      </c>
      <c r="C319" s="42">
        <v>45541.0</v>
      </c>
      <c r="D319" s="72" t="s">
        <v>36</v>
      </c>
      <c r="E319" s="56" t="s">
        <v>6973</v>
      </c>
      <c r="F319" s="267" t="s">
        <v>109</v>
      </c>
      <c r="G319" s="72" t="s">
        <v>6955</v>
      </c>
      <c r="H319" s="268" t="s">
        <v>6979</v>
      </c>
      <c r="I319" s="263" t="s">
        <v>6981</v>
      </c>
      <c r="J319" s="264"/>
      <c r="K319" s="265" t="s">
        <v>636</v>
      </c>
      <c r="L319" s="266">
        <v>45320.0</v>
      </c>
      <c r="M319" s="270">
        <v>45352.0</v>
      </c>
      <c r="N319" s="53" t="s">
        <v>224</v>
      </c>
      <c r="O319" s="54" t="s">
        <v>162</v>
      </c>
      <c r="P319" s="53" t="str">
        <f>vlookup(N319,Categorizations!A:C,3,FALSE)</f>
        <v>Aspergillus</v>
      </c>
      <c r="Q319" s="55">
        <v>1.0</v>
      </c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</row>
    <row r="320" ht="22.5" customHeight="1">
      <c r="A320" s="261" t="str">
        <f t="shared" si="12"/>
        <v>45541K.U.S.H. COLLECTIVE</v>
      </c>
      <c r="C320" s="42">
        <v>45541.0</v>
      </c>
      <c r="D320" s="72" t="s">
        <v>36</v>
      </c>
      <c r="E320" s="56" t="s">
        <v>6995</v>
      </c>
      <c r="F320" s="267" t="s">
        <v>109</v>
      </c>
      <c r="G320" s="72" t="s">
        <v>6955</v>
      </c>
      <c r="H320" s="268" t="s">
        <v>7002</v>
      </c>
      <c r="I320" s="263" t="s">
        <v>6981</v>
      </c>
      <c r="J320" s="264"/>
      <c r="K320" s="265" t="s">
        <v>636</v>
      </c>
      <c r="L320" s="266">
        <v>45359.0</v>
      </c>
      <c r="M320" s="266">
        <v>45372.0</v>
      </c>
      <c r="N320" s="53" t="s">
        <v>224</v>
      </c>
      <c r="O320" s="54" t="s">
        <v>162</v>
      </c>
      <c r="P320" s="53" t="str">
        <f>vlookup(N320,Categorizations!A:C,3,FALSE)</f>
        <v>Aspergillus</v>
      </c>
      <c r="Q320" s="55">
        <v>1.0</v>
      </c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</row>
    <row r="321" ht="22.5" customHeight="1">
      <c r="A321" s="261" t="str">
        <f t="shared" si="12"/>
        <v>45541GC Global, LLC</v>
      </c>
      <c r="C321" s="42">
        <v>45541.0</v>
      </c>
      <c r="D321" s="72" t="s">
        <v>36</v>
      </c>
      <c r="E321" s="56" t="s">
        <v>7016</v>
      </c>
      <c r="F321" s="267" t="s">
        <v>109</v>
      </c>
      <c r="G321" s="72" t="s">
        <v>6955</v>
      </c>
      <c r="H321" s="268" t="s">
        <v>7017</v>
      </c>
      <c r="I321" s="263" t="s">
        <v>1815</v>
      </c>
      <c r="J321" s="264"/>
      <c r="K321" s="265" t="s">
        <v>636</v>
      </c>
      <c r="L321" s="266">
        <v>45330.0</v>
      </c>
      <c r="M321" s="271">
        <v>45342.0</v>
      </c>
      <c r="N321" s="53" t="s">
        <v>767</v>
      </c>
      <c r="O321" s="54" t="s">
        <v>162</v>
      </c>
      <c r="P321" s="53" t="str">
        <f>vlookup(N321,Categorizations!A:C,3,FALSE)</f>
        <v>Aspergillus</v>
      </c>
      <c r="Q321" s="55">
        <v>1.0</v>
      </c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</row>
    <row r="322" ht="22.5" customHeight="1">
      <c r="A322" s="261" t="str">
        <f t="shared" si="12"/>
        <v>45546Scislc, LLC</v>
      </c>
      <c r="C322" s="42">
        <v>45546.0</v>
      </c>
      <c r="D322" s="72" t="s">
        <v>36</v>
      </c>
      <c r="E322" s="56" t="s">
        <v>7018</v>
      </c>
      <c r="F322" s="272" t="s">
        <v>109</v>
      </c>
      <c r="G322" s="257" t="s">
        <v>947</v>
      </c>
      <c r="H322" s="268" t="s">
        <v>7019</v>
      </c>
      <c r="I322" s="263" t="s">
        <v>7020</v>
      </c>
      <c r="J322" s="264"/>
      <c r="K322" s="265" t="s">
        <v>636</v>
      </c>
      <c r="L322" s="266">
        <v>45300.0</v>
      </c>
      <c r="M322" s="270">
        <v>45316.0</v>
      </c>
      <c r="N322" s="53" t="s">
        <v>225</v>
      </c>
      <c r="O322" s="54" t="s">
        <v>162</v>
      </c>
      <c r="P322" s="53" t="str">
        <f>vlookup(N322,Categorizations!A:C,3,FALSE)</f>
        <v>Pesticides</v>
      </c>
      <c r="Q322" s="55">
        <v>1.0</v>
      </c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</row>
    <row r="323" ht="22.5" customHeight="1">
      <c r="A323" s="261" t="str">
        <f t="shared" si="12"/>
        <v>45547LVLUP MANUFACTURING LLC</v>
      </c>
      <c r="C323" s="42">
        <v>45547.0</v>
      </c>
      <c r="D323" s="72" t="s">
        <v>36</v>
      </c>
      <c r="E323" s="56" t="s">
        <v>7021</v>
      </c>
      <c r="F323" s="273" t="s">
        <v>109</v>
      </c>
      <c r="G323" s="257" t="s">
        <v>947</v>
      </c>
      <c r="H323" s="268" t="s">
        <v>7022</v>
      </c>
      <c r="I323" s="263" t="s">
        <v>7023</v>
      </c>
      <c r="J323" s="264"/>
      <c r="K323" s="265" t="s">
        <v>636</v>
      </c>
      <c r="L323" s="270">
        <v>45279.0</v>
      </c>
      <c r="M323" s="270">
        <v>45282.0</v>
      </c>
      <c r="N323" s="53" t="s">
        <v>224</v>
      </c>
      <c r="O323" s="54" t="s">
        <v>162</v>
      </c>
      <c r="P323" s="53" t="str">
        <f>vlookup(N323,Categorizations!A:C,3,FALSE)</f>
        <v>Aspergillus</v>
      </c>
      <c r="Q323" s="55">
        <v>1.0</v>
      </c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</row>
    <row r="324" ht="22.5" customHeight="1">
      <c r="A324" s="261" t="str">
        <f t="shared" si="12"/>
        <v>45547LVLUP Manufacturing LLC</v>
      </c>
      <c r="C324" s="42">
        <v>45547.0</v>
      </c>
      <c r="D324" s="72" t="s">
        <v>36</v>
      </c>
      <c r="E324" s="56" t="s">
        <v>7024</v>
      </c>
      <c r="F324" s="272" t="s">
        <v>109</v>
      </c>
      <c r="G324" s="257" t="s">
        <v>947</v>
      </c>
      <c r="H324" s="268" t="s">
        <v>7027</v>
      </c>
      <c r="I324" s="263" t="s">
        <v>7029</v>
      </c>
      <c r="J324" s="264"/>
      <c r="K324" s="265" t="s">
        <v>636</v>
      </c>
      <c r="L324" s="270">
        <v>45299.0</v>
      </c>
      <c r="M324" s="270">
        <v>45303.0</v>
      </c>
      <c r="N324" s="53" t="s">
        <v>227</v>
      </c>
      <c r="O324" s="54" t="s">
        <v>162</v>
      </c>
      <c r="P324" s="53" t="str">
        <f>vlookup(N324,Categorizations!A:C,3,FALSE)</f>
        <v>Attractive Label</v>
      </c>
      <c r="Q324" s="55">
        <v>1.0</v>
      </c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</row>
    <row r="325" ht="22.5" customHeight="1">
      <c r="A325" s="261" t="str">
        <f t="shared" si="12"/>
        <v>455533L Distribution, Inc.</v>
      </c>
      <c r="C325" s="42">
        <v>45553.0</v>
      </c>
      <c r="D325" s="72" t="s">
        <v>36</v>
      </c>
      <c r="E325" s="56" t="s">
        <v>7045</v>
      </c>
      <c r="F325" s="273" t="s">
        <v>109</v>
      </c>
      <c r="G325" s="257" t="s">
        <v>180</v>
      </c>
      <c r="H325" s="268" t="s">
        <v>7050</v>
      </c>
      <c r="I325" s="263" t="s">
        <v>7052</v>
      </c>
      <c r="J325" s="264"/>
      <c r="K325" s="265" t="s">
        <v>636</v>
      </c>
      <c r="L325" s="270">
        <v>45401.0</v>
      </c>
      <c r="M325" s="274">
        <v>45433.0</v>
      </c>
      <c r="N325" s="53" t="s">
        <v>784</v>
      </c>
      <c r="O325" s="54" t="s">
        <v>162</v>
      </c>
      <c r="P325" s="53" t="str">
        <f>vlookup(N325,Categorizations!A:C,3,FALSE)</f>
        <v>Pesticides</v>
      </c>
      <c r="Q325" s="55">
        <v>1.0</v>
      </c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</row>
    <row r="326" ht="22.5" customHeight="1">
      <c r="A326" s="261" t="str">
        <f t="shared" si="12"/>
        <v>45554Event Horizon Technologies, Inc.</v>
      </c>
      <c r="C326" s="42">
        <v>45554.0</v>
      </c>
      <c r="D326" s="72" t="s">
        <v>36</v>
      </c>
      <c r="E326" s="110" t="s">
        <v>7060</v>
      </c>
      <c r="F326" s="95" t="s">
        <v>109</v>
      </c>
      <c r="G326" s="72" t="s">
        <v>321</v>
      </c>
      <c r="H326" s="268" t="s">
        <v>7064</v>
      </c>
      <c r="I326" s="263" t="s">
        <v>7066</v>
      </c>
      <c r="J326" s="114"/>
      <c r="K326" s="111" t="s">
        <v>636</v>
      </c>
      <c r="L326" s="270">
        <v>45394.0</v>
      </c>
      <c r="M326" s="270">
        <v>45412.0</v>
      </c>
      <c r="N326" s="53" t="s">
        <v>757</v>
      </c>
      <c r="O326" s="54" t="s">
        <v>162</v>
      </c>
      <c r="P326" s="53" t="str">
        <f>vlookup(N326,Categorizations!A:C,3,FALSE)</f>
        <v>Aspergillus</v>
      </c>
      <c r="Q326" s="55">
        <v>1.0</v>
      </c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</row>
    <row r="327" ht="22.5" customHeight="1">
      <c r="A327" s="261" t="str">
        <f t="shared" si="12"/>
        <v>45562Higher Ground Holdings, LLC</v>
      </c>
      <c r="C327" s="42">
        <v>45562.0</v>
      </c>
      <c r="D327" s="72" t="s">
        <v>36</v>
      </c>
      <c r="E327" s="110" t="s">
        <v>7076</v>
      </c>
      <c r="F327" s="95" t="s">
        <v>109</v>
      </c>
      <c r="G327" s="72" t="s">
        <v>180</v>
      </c>
      <c r="H327" s="268" t="s">
        <v>7078</v>
      </c>
      <c r="I327" s="263" t="s">
        <v>7079</v>
      </c>
      <c r="J327" s="114"/>
      <c r="K327" s="111" t="s">
        <v>636</v>
      </c>
      <c r="L327" s="270">
        <v>45488.0</v>
      </c>
      <c r="M327" s="270">
        <v>45504.0</v>
      </c>
      <c r="N327" s="53" t="s">
        <v>791</v>
      </c>
      <c r="O327" s="54" t="s">
        <v>162</v>
      </c>
      <c r="P327" s="53" t="str">
        <f>vlookup(N327,Categorizations!A:C,3,FALSE)</f>
        <v>Multiple</v>
      </c>
      <c r="Q327" s="55">
        <v>1.0</v>
      </c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</row>
    <row r="328" ht="22.5" customHeight="1">
      <c r="A328" s="261" t="str">
        <f t="shared" si="12"/>
        <v>45573Shield Management Group, LLC</v>
      </c>
      <c r="B328" s="275">
        <v>45569.0</v>
      </c>
      <c r="C328" s="42">
        <v>45573.0</v>
      </c>
      <c r="D328" s="72" t="s">
        <v>36</v>
      </c>
      <c r="E328" s="110" t="s">
        <v>7087</v>
      </c>
      <c r="F328" s="95" t="s">
        <v>109</v>
      </c>
      <c r="G328" s="72" t="s">
        <v>6955</v>
      </c>
      <c r="H328" s="268" t="s">
        <v>7092</v>
      </c>
      <c r="I328" s="263" t="s">
        <v>1578</v>
      </c>
      <c r="J328" s="114"/>
      <c r="K328" s="111" t="s">
        <v>636</v>
      </c>
      <c r="L328" s="271">
        <v>45162.0</v>
      </c>
      <c r="M328" s="266">
        <v>45146.0</v>
      </c>
      <c r="N328" s="53" t="s">
        <v>233</v>
      </c>
      <c r="O328" s="54" t="s">
        <v>162</v>
      </c>
      <c r="P328" s="53" t="str">
        <f>vlookup(N328,Categorizations!A:C,3,FALSE)</f>
        <v>Aspergillus</v>
      </c>
      <c r="Q328" s="55">
        <v>1.0</v>
      </c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</row>
    <row r="329" ht="22.5" customHeight="1">
      <c r="A329" s="261" t="str">
        <f t="shared" si="12"/>
        <v>45574Green Leaf Caregivers</v>
      </c>
      <c r="B329" s="275">
        <v>45574.0</v>
      </c>
      <c r="C329" s="42">
        <v>45574.0</v>
      </c>
      <c r="D329" s="72" t="s">
        <v>36</v>
      </c>
      <c r="E329" s="110" t="s">
        <v>7095</v>
      </c>
      <c r="F329" s="95" t="s">
        <v>177</v>
      </c>
      <c r="G329" s="72" t="s">
        <v>6955</v>
      </c>
      <c r="H329" s="268" t="s">
        <v>7099</v>
      </c>
      <c r="I329" s="263" t="s">
        <v>7100</v>
      </c>
      <c r="J329" s="114"/>
      <c r="K329" s="111" t="s">
        <v>636</v>
      </c>
      <c r="L329" s="270">
        <v>45375.0</v>
      </c>
      <c r="M329" s="274">
        <v>45396.0</v>
      </c>
      <c r="N329" s="53" t="s">
        <v>233</v>
      </c>
      <c r="O329" s="54" t="s">
        <v>162</v>
      </c>
      <c r="P329" s="53" t="str">
        <f>vlookup(N329,Categorizations!A:C,3,FALSE)</f>
        <v>Aspergillus</v>
      </c>
      <c r="Q329" s="55">
        <v>1.0</v>
      </c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</row>
    <row r="330" ht="22.5" customHeight="1">
      <c r="A330" s="261" t="str">
        <f t="shared" si="12"/>
        <v>45579SW Ventures LLC</v>
      </c>
      <c r="B330" s="275">
        <v>45560.0</v>
      </c>
      <c r="C330" s="42">
        <v>45579.0</v>
      </c>
      <c r="D330" s="72" t="s">
        <v>36</v>
      </c>
      <c r="E330" s="110" t="s">
        <v>7101</v>
      </c>
      <c r="F330" s="148" t="s">
        <v>177</v>
      </c>
      <c r="G330" s="72" t="s">
        <v>837</v>
      </c>
      <c r="H330" s="268" t="s">
        <v>7102</v>
      </c>
      <c r="I330" s="263" t="s">
        <v>7103</v>
      </c>
      <c r="J330" s="114"/>
      <c r="K330" s="111" t="s">
        <v>636</v>
      </c>
      <c r="L330" s="270">
        <v>45397.0</v>
      </c>
      <c r="M330" s="270">
        <v>45420.0</v>
      </c>
      <c r="N330" s="53" t="s">
        <v>802</v>
      </c>
      <c r="O330" s="54" t="s">
        <v>162</v>
      </c>
      <c r="P330" s="53" t="str">
        <f>vlookup(N330,Categorizations!A:C,3,FALSE)</f>
        <v>Multiple</v>
      </c>
      <c r="Q330" s="55">
        <v>1.0</v>
      </c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</row>
    <row r="331" ht="22.5" customHeight="1">
      <c r="A331" s="261" t="str">
        <f t="shared" si="12"/>
        <v>45581K.U.S.H. COLLECTIVE</v>
      </c>
      <c r="B331" s="275">
        <v>45581.0</v>
      </c>
      <c r="C331" s="276">
        <v>45581.0</v>
      </c>
      <c r="D331" s="72" t="s">
        <v>36</v>
      </c>
      <c r="E331" s="110" t="s">
        <v>7104</v>
      </c>
      <c r="F331" s="272" t="s">
        <v>109</v>
      </c>
      <c r="G331" s="72" t="s">
        <v>6955</v>
      </c>
      <c r="H331" s="268" t="s">
        <v>7105</v>
      </c>
      <c r="I331" s="263" t="s">
        <v>6981</v>
      </c>
      <c r="J331" s="114"/>
      <c r="K331" s="111" t="s">
        <v>120</v>
      </c>
      <c r="L331" s="96"/>
      <c r="M331" s="95"/>
      <c r="N331" s="53" t="s">
        <v>807</v>
      </c>
      <c r="O331" s="54" t="s">
        <v>162</v>
      </c>
      <c r="P331" s="53" t="str">
        <f>vlookup(N331,Categorizations!A:C,3,FALSE)</f>
        <v>Pesticides</v>
      </c>
      <c r="Q331" s="55">
        <v>1.0</v>
      </c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</row>
    <row r="332" ht="22.5" customHeight="1">
      <c r="A332" s="261" t="str">
        <f t="shared" si="12"/>
        <v>45582ZASP</v>
      </c>
      <c r="B332" s="275">
        <v>45581.0</v>
      </c>
      <c r="C332" s="42">
        <v>45582.0</v>
      </c>
      <c r="D332" s="72" t="s">
        <v>36</v>
      </c>
      <c r="E332" s="110" t="s">
        <v>7106</v>
      </c>
      <c r="F332" s="148" t="s">
        <v>177</v>
      </c>
      <c r="G332" s="277" t="s">
        <v>321</v>
      </c>
      <c r="H332" s="268" t="s">
        <v>7107</v>
      </c>
      <c r="I332" s="263" t="s">
        <v>7108</v>
      </c>
      <c r="J332" s="114"/>
      <c r="K332" s="111" t="s">
        <v>636</v>
      </c>
      <c r="L332" s="270">
        <v>45488.0</v>
      </c>
      <c r="M332" s="270">
        <v>45495.0</v>
      </c>
      <c r="N332" s="53" t="s">
        <v>815</v>
      </c>
      <c r="O332" s="54" t="s">
        <v>162</v>
      </c>
      <c r="P332" s="53" t="str">
        <f>vlookup(N332,Categorizations!A:C,3,FALSE)</f>
        <v>Prohibited Additives / Product</v>
      </c>
      <c r="Q332" s="55">
        <v>1.0</v>
      </c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</row>
    <row r="333" ht="22.5" customHeight="1">
      <c r="A333" s="261" t="str">
        <f t="shared" si="12"/>
        <v>45590Phire Laboratories &amp; Distribution Inc.</v>
      </c>
      <c r="B333" s="275">
        <v>45590.0</v>
      </c>
      <c r="C333" s="42">
        <v>45590.0</v>
      </c>
      <c r="D333" s="72" t="s">
        <v>36</v>
      </c>
      <c r="E333" s="110" t="s">
        <v>7109</v>
      </c>
      <c r="F333" s="95" t="s">
        <v>177</v>
      </c>
      <c r="G333" s="277" t="s">
        <v>1161</v>
      </c>
      <c r="H333" s="268" t="s">
        <v>7110</v>
      </c>
      <c r="I333" s="263" t="s">
        <v>7111</v>
      </c>
      <c r="J333" s="114"/>
      <c r="K333" s="111" t="s">
        <v>636</v>
      </c>
      <c r="L333" s="270">
        <v>45159.0</v>
      </c>
      <c r="M333" s="270">
        <v>45167.0</v>
      </c>
      <c r="N333" s="53" t="s">
        <v>228</v>
      </c>
      <c r="O333" s="54" t="s">
        <v>162</v>
      </c>
      <c r="P333" s="53" t="str">
        <f>vlookup(N333,Categorizations!A:C,3,FALSE)</f>
        <v>Adulterated / Misbranded</v>
      </c>
      <c r="Q333" s="55">
        <v>1.0</v>
      </c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</row>
    <row r="334" ht="22.5" customHeight="1">
      <c r="A334" s="261" t="str">
        <f t="shared" si="12"/>
        <v>45597Aureus LLC</v>
      </c>
      <c r="B334" s="275">
        <v>45597.0</v>
      </c>
      <c r="C334" s="42">
        <v>45597.0</v>
      </c>
      <c r="D334" s="72" t="s">
        <v>36</v>
      </c>
      <c r="E334" s="110" t="s">
        <v>7112</v>
      </c>
      <c r="F334" s="272" t="s">
        <v>177</v>
      </c>
      <c r="G334" s="278" t="s">
        <v>852</v>
      </c>
      <c r="H334" s="268" t="s">
        <v>7113</v>
      </c>
      <c r="I334" s="263" t="s">
        <v>7114</v>
      </c>
      <c r="J334" s="114"/>
      <c r="K334" s="111" t="s">
        <v>120</v>
      </c>
      <c r="L334" s="279"/>
      <c r="M334" s="279"/>
      <c r="N334" s="53" t="s">
        <v>5</v>
      </c>
      <c r="O334" s="54" t="s">
        <v>162</v>
      </c>
      <c r="P334" s="53" t="str">
        <f>vlookup(N334,Categorizations!A:C,3,FALSE)</f>
        <v>Heavy Metal</v>
      </c>
      <c r="Q334" s="55">
        <v>1.0</v>
      </c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</row>
    <row r="335" ht="22.5" customHeight="1">
      <c r="A335" s="261" t="str">
        <f t="shared" si="12"/>
        <v>45617DGU LLC</v>
      </c>
      <c r="B335" s="275">
        <v>45617.0</v>
      </c>
      <c r="C335" s="42">
        <v>45617.0</v>
      </c>
      <c r="D335" s="72" t="s">
        <v>36</v>
      </c>
      <c r="E335" s="110" t="s">
        <v>7115</v>
      </c>
      <c r="F335" s="273" t="s">
        <v>177</v>
      </c>
      <c r="G335" s="277" t="s">
        <v>1027</v>
      </c>
      <c r="H335" s="262" t="s">
        <v>7116</v>
      </c>
      <c r="I335" s="263" t="s">
        <v>7117</v>
      </c>
      <c r="J335" s="114"/>
      <c r="K335" s="111" t="s">
        <v>636</v>
      </c>
      <c r="L335" s="280" t="s">
        <v>7118</v>
      </c>
      <c r="M335" s="271">
        <v>45224.0</v>
      </c>
      <c r="N335" s="53" t="s">
        <v>228</v>
      </c>
      <c r="O335" s="54" t="s">
        <v>162</v>
      </c>
      <c r="P335" s="53" t="str">
        <f>vlookup(N335,Categorizations!A:C,3,FALSE)</f>
        <v>Adulterated / Misbranded</v>
      </c>
      <c r="Q335" s="55">
        <v>1.0</v>
      </c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</row>
    <row r="336" ht="22.5" customHeight="1">
      <c r="A336" s="261" t="str">
        <f t="shared" si="12"/>
        <v>45630MBM Kosher</v>
      </c>
      <c r="B336" s="275">
        <v>45630.0</v>
      </c>
      <c r="C336" s="42">
        <v>45630.0</v>
      </c>
      <c r="D336" s="72" t="s">
        <v>36</v>
      </c>
      <c r="E336" s="110" t="s">
        <v>7119</v>
      </c>
      <c r="F336" s="272" t="s">
        <v>177</v>
      </c>
      <c r="G336" s="277" t="s">
        <v>1161</v>
      </c>
      <c r="H336" s="262" t="s">
        <v>7120</v>
      </c>
      <c r="I336" s="263" t="s">
        <v>7121</v>
      </c>
      <c r="J336" s="114"/>
      <c r="K336" s="111" t="s">
        <v>636</v>
      </c>
      <c r="L336" s="270">
        <v>45335.0</v>
      </c>
      <c r="M336" s="270">
        <v>45343.0</v>
      </c>
      <c r="N336" s="53" t="s">
        <v>233</v>
      </c>
      <c r="O336" s="54" t="s">
        <v>162</v>
      </c>
      <c r="P336" s="53" t="str">
        <f>vlookup(N336,Categorizations!A:C,3,FALSE)</f>
        <v>Aspergillus</v>
      </c>
      <c r="Q336" s="55">
        <v>1.0</v>
      </c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</row>
    <row r="337" ht="22.5" customHeight="1">
      <c r="A337" s="261" t="str">
        <f t="shared" si="12"/>
        <v>45631Industrial Court L11, LLC</v>
      </c>
      <c r="B337" s="275">
        <v>45631.0</v>
      </c>
      <c r="C337" s="42">
        <v>45631.0</v>
      </c>
      <c r="D337" s="72" t="s">
        <v>36</v>
      </c>
      <c r="E337" s="110" t="s">
        <v>7122</v>
      </c>
      <c r="F337" s="272" t="s">
        <v>177</v>
      </c>
      <c r="G337" s="277" t="s">
        <v>321</v>
      </c>
      <c r="H337" s="268" t="s">
        <v>7123</v>
      </c>
      <c r="I337" s="263" t="s">
        <v>7124</v>
      </c>
      <c r="J337" s="114"/>
      <c r="K337" s="111" t="s">
        <v>636</v>
      </c>
      <c r="L337" s="270">
        <v>45208.0</v>
      </c>
      <c r="M337" s="270">
        <v>45216.0</v>
      </c>
      <c r="N337" s="53" t="s">
        <v>231</v>
      </c>
      <c r="O337" s="54" t="s">
        <v>162</v>
      </c>
      <c r="P337" s="53" t="str">
        <f>vlookup(N337,Categorizations!A:C,3,FALSE)</f>
        <v>Pesticides</v>
      </c>
      <c r="Q337" s="55">
        <v>1.0</v>
      </c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</row>
    <row r="338" ht="22.5" customHeight="1">
      <c r="A338" s="261" t="str">
        <f t="shared" si="12"/>
        <v>45631Industrial Court L11, LLC</v>
      </c>
      <c r="B338" s="275">
        <v>45631.0</v>
      </c>
      <c r="C338" s="42">
        <v>45631.0</v>
      </c>
      <c r="D338" s="72" t="s">
        <v>36</v>
      </c>
      <c r="E338" s="110" t="s">
        <v>7125</v>
      </c>
      <c r="F338" s="272" t="s">
        <v>177</v>
      </c>
      <c r="G338" s="277" t="s">
        <v>1027</v>
      </c>
      <c r="H338" s="268" t="s">
        <v>7126</v>
      </c>
      <c r="I338" s="263" t="s">
        <v>7124</v>
      </c>
      <c r="J338" s="114"/>
      <c r="K338" s="111" t="s">
        <v>636</v>
      </c>
      <c r="L338" s="270">
        <v>45146.0</v>
      </c>
      <c r="M338" s="270">
        <v>45149.0</v>
      </c>
      <c r="N338" s="53" t="s">
        <v>233</v>
      </c>
      <c r="O338" s="54" t="s">
        <v>162</v>
      </c>
      <c r="P338" s="53" t="str">
        <f>vlookup(N338,Categorizations!A:C,3,FALSE)</f>
        <v>Aspergillus</v>
      </c>
      <c r="Q338" s="55">
        <v>1.0</v>
      </c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</row>
    <row r="339" ht="22.5" customHeight="1">
      <c r="A339" s="261" t="str">
        <f t="shared" si="12"/>
        <v>45632Ironworks Collective Inc.</v>
      </c>
      <c r="B339" s="275">
        <v>45632.0</v>
      </c>
      <c r="C339" s="42">
        <v>45632.0</v>
      </c>
      <c r="D339" s="72" t="s">
        <v>36</v>
      </c>
      <c r="E339" s="110" t="s">
        <v>7127</v>
      </c>
      <c r="F339" s="272" t="s">
        <v>177</v>
      </c>
      <c r="G339" s="277" t="s">
        <v>1161</v>
      </c>
      <c r="H339" s="268" t="s">
        <v>7128</v>
      </c>
      <c r="I339" s="263" t="s">
        <v>7129</v>
      </c>
      <c r="J339" s="114"/>
      <c r="K339" s="111" t="s">
        <v>636</v>
      </c>
      <c r="L339" s="270">
        <v>44462.0</v>
      </c>
      <c r="M339" s="270">
        <v>44489.0</v>
      </c>
      <c r="N339" s="53" t="s">
        <v>228</v>
      </c>
      <c r="O339" s="54" t="s">
        <v>162</v>
      </c>
      <c r="P339" s="53" t="str">
        <f>vlookup(N339,Categorizations!A:C,3,FALSE)</f>
        <v>Adulterated / Misbranded</v>
      </c>
      <c r="Q339" s="55">
        <v>1.0</v>
      </c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</row>
    <row r="340" ht="22.5" customHeight="1">
      <c r="A340" s="261" t="str">
        <f t="shared" si="12"/>
        <v>456392JC LLC</v>
      </c>
      <c r="B340" s="275">
        <v>45639.0</v>
      </c>
      <c r="C340" s="42">
        <v>45639.0</v>
      </c>
      <c r="D340" s="72" t="s">
        <v>36</v>
      </c>
      <c r="E340" s="110" t="s">
        <v>7130</v>
      </c>
      <c r="F340" s="273" t="s">
        <v>177</v>
      </c>
      <c r="G340" s="277" t="s">
        <v>180</v>
      </c>
      <c r="H340" s="268" t="s">
        <v>7131</v>
      </c>
      <c r="I340" s="281" t="s">
        <v>7132</v>
      </c>
      <c r="J340" s="114"/>
      <c r="K340" s="111" t="s">
        <v>636</v>
      </c>
      <c r="L340" s="270">
        <v>45574.0</v>
      </c>
      <c r="M340" s="270">
        <v>45589.0</v>
      </c>
      <c r="N340" s="53" t="s">
        <v>834</v>
      </c>
      <c r="O340" s="54" t="s">
        <v>162</v>
      </c>
      <c r="P340" s="53" t="str">
        <f>vlookup(N340,Categorizations!A:C,3,FALSE)</f>
        <v>Prohibited Additives / Product</v>
      </c>
      <c r="Q340" s="55">
        <v>1.0</v>
      </c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</row>
    <row r="341" ht="22.5" customHeight="1">
      <c r="A341" s="261" t="str">
        <f t="shared" si="12"/>
        <v>45639RCW Manufacturing</v>
      </c>
      <c r="B341" s="275">
        <v>45632.0</v>
      </c>
      <c r="C341" s="42">
        <v>45639.0</v>
      </c>
      <c r="D341" s="72" t="s">
        <v>36</v>
      </c>
      <c r="E341" s="110" t="s">
        <v>7133</v>
      </c>
      <c r="F341" s="95" t="s">
        <v>177</v>
      </c>
      <c r="G341" s="282" t="s">
        <v>852</v>
      </c>
      <c r="H341" s="268" t="s">
        <v>7134</v>
      </c>
      <c r="I341" s="263" t="s">
        <v>867</v>
      </c>
      <c r="J341" s="114"/>
      <c r="K341" s="111" t="s">
        <v>636</v>
      </c>
      <c r="L341" s="270">
        <v>45432.0</v>
      </c>
      <c r="M341" s="270">
        <v>45418.0</v>
      </c>
      <c r="N341" s="53" t="s">
        <v>5</v>
      </c>
      <c r="O341" s="54" t="s">
        <v>162</v>
      </c>
      <c r="P341" s="53" t="str">
        <f>vlookup(N341,Categorizations!A:C,3,FALSE)</f>
        <v>Heavy Metal</v>
      </c>
      <c r="Q341" s="55">
        <v>1.0</v>
      </c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</row>
    <row r="342" ht="22.5" customHeight="1">
      <c r="A342" s="261" t="str">
        <f t="shared" si="12"/>
        <v>456422JC LLC</v>
      </c>
      <c r="B342" s="275">
        <v>45639.0</v>
      </c>
      <c r="C342" s="42">
        <v>45642.0</v>
      </c>
      <c r="D342" s="72" t="s">
        <v>36</v>
      </c>
      <c r="E342" s="110" t="s">
        <v>7135</v>
      </c>
      <c r="F342" s="148" t="s">
        <v>177</v>
      </c>
      <c r="G342" s="277" t="s">
        <v>321</v>
      </c>
      <c r="H342" s="268" t="s">
        <v>7136</v>
      </c>
      <c r="I342" s="263" t="s">
        <v>7132</v>
      </c>
      <c r="J342" s="114"/>
      <c r="K342" s="111" t="s">
        <v>636</v>
      </c>
      <c r="L342" s="270">
        <v>45553.0</v>
      </c>
      <c r="M342" s="270">
        <v>45569.0</v>
      </c>
      <c r="N342" s="53" t="s">
        <v>834</v>
      </c>
      <c r="O342" s="54" t="s">
        <v>162</v>
      </c>
      <c r="P342" s="53" t="str">
        <f>vlookup(N342,Categorizations!A:C,3,FALSE)</f>
        <v>Prohibited Additives / Product</v>
      </c>
      <c r="Q342" s="55">
        <v>1.0</v>
      </c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</row>
    <row r="343" ht="22.5" customHeight="1">
      <c r="A343" s="261" t="str">
        <f t="shared" si="12"/>
        <v>45645Saints Place, LLC</v>
      </c>
      <c r="B343" s="275">
        <v>45643.0</v>
      </c>
      <c r="C343" s="42">
        <v>45645.0</v>
      </c>
      <c r="D343" s="72" t="s">
        <v>36</v>
      </c>
      <c r="E343" s="110" t="s">
        <v>7137</v>
      </c>
      <c r="F343" s="272" t="s">
        <v>177</v>
      </c>
      <c r="G343" s="277" t="s">
        <v>1027</v>
      </c>
      <c r="H343" s="268" t="s">
        <v>7138</v>
      </c>
      <c r="I343" s="263" t="s">
        <v>7139</v>
      </c>
      <c r="J343" s="114"/>
      <c r="K343" s="111" t="s">
        <v>636</v>
      </c>
      <c r="L343" s="270">
        <v>45600.0</v>
      </c>
      <c r="M343" s="270">
        <v>45608.0</v>
      </c>
      <c r="N343" s="53" t="s">
        <v>841</v>
      </c>
      <c r="O343" s="54" t="s">
        <v>162</v>
      </c>
      <c r="P343" s="53" t="str">
        <f>vlookup(N343,Categorizations!A:C,3,FALSE)</f>
        <v>Pesticides</v>
      </c>
      <c r="Q343" s="55">
        <v>1.0</v>
      </c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</row>
    <row r="344" ht="22.5" customHeight="1">
      <c r="A344" s="261" t="str">
        <f t="shared" si="12"/>
        <v>45657NLT NCA LC – 5851, LLC</v>
      </c>
      <c r="B344" s="275">
        <v>45657.0</v>
      </c>
      <c r="C344" s="42">
        <v>45657.0</v>
      </c>
      <c r="D344" s="72" t="s">
        <v>36</v>
      </c>
      <c r="E344" s="110" t="s">
        <v>7140</v>
      </c>
      <c r="F344" s="272" t="s">
        <v>177</v>
      </c>
      <c r="G344" s="277" t="s">
        <v>180</v>
      </c>
      <c r="H344" s="268" t="s">
        <v>7141</v>
      </c>
      <c r="I344" s="263" t="s">
        <v>7142</v>
      </c>
      <c r="J344" s="114"/>
      <c r="K344" s="111" t="s">
        <v>636</v>
      </c>
      <c r="L344" s="266">
        <v>45577.0</v>
      </c>
      <c r="M344" s="266">
        <v>45583.0</v>
      </c>
      <c r="N344" s="53" t="s">
        <v>846</v>
      </c>
      <c r="O344" s="54" t="s">
        <v>162</v>
      </c>
      <c r="P344" s="53" t="str">
        <f>vlookup(N344,Categorizations!A:C,3,FALSE)</f>
        <v>Multiple</v>
      </c>
      <c r="Q344" s="55">
        <v>1.0</v>
      </c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</row>
    <row r="345" ht="22.5" customHeight="1">
      <c r="A345" s="261" t="str">
        <f t="shared" si="12"/>
        <v>456632JC LLC</v>
      </c>
      <c r="B345" s="275">
        <v>45660.0</v>
      </c>
      <c r="C345" s="42">
        <v>45663.0</v>
      </c>
      <c r="D345" s="72" t="s">
        <v>36</v>
      </c>
      <c r="E345" s="110" t="s">
        <v>7143</v>
      </c>
      <c r="F345" s="272" t="s">
        <v>177</v>
      </c>
      <c r="G345" s="277" t="s">
        <v>180</v>
      </c>
      <c r="H345" s="262" t="s">
        <v>7144</v>
      </c>
      <c r="I345" s="263" t="s">
        <v>7132</v>
      </c>
      <c r="J345" s="114"/>
      <c r="K345" s="111" t="s">
        <v>636</v>
      </c>
      <c r="L345" s="270">
        <v>45545.0</v>
      </c>
      <c r="M345" s="270">
        <v>45545.0</v>
      </c>
      <c r="N345" s="53" t="s">
        <v>834</v>
      </c>
      <c r="O345" s="54" t="s">
        <v>162</v>
      </c>
      <c r="P345" s="53" t="str">
        <f>vlookup(N345,Categorizations!A:C,3,FALSE)</f>
        <v>Prohibited Additives / Product</v>
      </c>
      <c r="Q345" s="55">
        <v>1.0</v>
      </c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</row>
    <row r="346" ht="22.5" customHeight="1">
      <c r="A346" s="261" t="str">
        <f t="shared" si="12"/>
        <v>45674Lucky Family Brands Inc.</v>
      </c>
      <c r="B346" s="275">
        <v>45673.0</v>
      </c>
      <c r="C346" s="42">
        <v>45674.0</v>
      </c>
      <c r="D346" s="72" t="s">
        <v>36</v>
      </c>
      <c r="E346" s="110" t="s">
        <v>7145</v>
      </c>
      <c r="F346" s="272" t="s">
        <v>177</v>
      </c>
      <c r="G346" s="277" t="s">
        <v>947</v>
      </c>
      <c r="H346" s="268" t="s">
        <v>7146</v>
      </c>
      <c r="I346" s="263" t="s">
        <v>7147</v>
      </c>
      <c r="J346" s="114"/>
      <c r="K346" s="111" t="s">
        <v>636</v>
      </c>
      <c r="L346" s="266">
        <v>45590.0</v>
      </c>
      <c r="M346" s="270">
        <v>45635.0</v>
      </c>
      <c r="N346" s="53" t="s">
        <v>853</v>
      </c>
      <c r="O346" s="54" t="s">
        <v>162</v>
      </c>
      <c r="P346" s="53" t="str">
        <f>vlookup(N346,Categorizations!A:C,3,FALSE)</f>
        <v>Solvent</v>
      </c>
      <c r="Q346" s="55">
        <v>1.0</v>
      </c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</row>
    <row r="347" ht="22.5" customHeight="1">
      <c r="A347" s="261" t="str">
        <f t="shared" si="12"/>
        <v>45686The Back House</v>
      </c>
      <c r="B347" s="275">
        <v>45686.0</v>
      </c>
      <c r="C347" s="42">
        <v>45686.0</v>
      </c>
      <c r="D347" s="72" t="s">
        <v>36</v>
      </c>
      <c r="E347" s="110" t="s">
        <v>7148</v>
      </c>
      <c r="F347" s="272" t="s">
        <v>177</v>
      </c>
      <c r="G347" s="277" t="s">
        <v>180</v>
      </c>
      <c r="H347" s="268" t="s">
        <v>7149</v>
      </c>
      <c r="I347" s="263" t="s">
        <v>7150</v>
      </c>
      <c r="J347" s="114"/>
      <c r="K347" s="111" t="s">
        <v>636</v>
      </c>
      <c r="L347" s="266">
        <v>45615.0</v>
      </c>
      <c r="M347" s="266">
        <v>45618.0</v>
      </c>
      <c r="N347" s="53" t="s">
        <v>859</v>
      </c>
      <c r="O347" s="54" t="s">
        <v>162</v>
      </c>
      <c r="P347" s="53" t="str">
        <f>vlookup(N347,Categorizations!A:C,3,FALSE)</f>
        <v>Multiple</v>
      </c>
      <c r="Q347" s="55">
        <v>1.0</v>
      </c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</row>
    <row r="348" ht="22.5" customHeight="1">
      <c r="A348" s="261" t="str">
        <f t="shared" si="12"/>
        <v>45687Med for America Inc.</v>
      </c>
      <c r="B348" s="275">
        <v>45687.0</v>
      </c>
      <c r="C348" s="42">
        <v>45687.0</v>
      </c>
      <c r="D348" s="72" t="s">
        <v>36</v>
      </c>
      <c r="E348" s="110" t="s">
        <v>7151</v>
      </c>
      <c r="F348" s="272" t="s">
        <v>177</v>
      </c>
      <c r="G348" s="277" t="s">
        <v>321</v>
      </c>
      <c r="H348" s="268" t="s">
        <v>7152</v>
      </c>
      <c r="I348" s="263" t="s">
        <v>7153</v>
      </c>
      <c r="J348" s="114"/>
      <c r="K348" s="111" t="s">
        <v>636</v>
      </c>
      <c r="L348" s="269">
        <v>45593.0</v>
      </c>
      <c r="M348" s="270">
        <v>45607.0</v>
      </c>
      <c r="N348" s="53" t="s">
        <v>834</v>
      </c>
      <c r="O348" s="54" t="s">
        <v>162</v>
      </c>
      <c r="P348" s="53" t="str">
        <f>vlookup(N348,Categorizations!A:C,3,FALSE)</f>
        <v>Prohibited Additives / Product</v>
      </c>
      <c r="Q348" s="55">
        <v>1.0</v>
      </c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</row>
    <row r="349" ht="22.5" customHeight="1">
      <c r="A349" s="261" t="str">
        <f t="shared" si="12"/>
        <v>45692Chico California Cannabis Co.</v>
      </c>
      <c r="B349" s="275">
        <v>45692.0</v>
      </c>
      <c r="C349" s="42">
        <v>45692.0</v>
      </c>
      <c r="D349" s="72" t="s">
        <v>36</v>
      </c>
      <c r="E349" s="110" t="s">
        <v>7154</v>
      </c>
      <c r="F349" s="272" t="s">
        <v>177</v>
      </c>
      <c r="G349" s="277" t="s">
        <v>1027</v>
      </c>
      <c r="H349" s="268" t="s">
        <v>7155</v>
      </c>
      <c r="I349" s="263" t="s">
        <v>7156</v>
      </c>
      <c r="J349" s="114"/>
      <c r="K349" s="111" t="s">
        <v>636</v>
      </c>
      <c r="L349" s="270">
        <v>45646.0</v>
      </c>
      <c r="M349" s="266">
        <v>45642.0</v>
      </c>
      <c r="N349" s="53" t="s">
        <v>860</v>
      </c>
      <c r="O349" s="54" t="s">
        <v>162</v>
      </c>
      <c r="P349" s="53" t="str">
        <f>vlookup(N349,Categorizations!A:C,3,FALSE)</f>
        <v>Multiple</v>
      </c>
      <c r="Q349" s="55">
        <v>1.0</v>
      </c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</row>
    <row r="350" ht="22.5" customHeight="1">
      <c r="A350" s="261" t="str">
        <f t="shared" si="12"/>
        <v>45707Baked Betty’s LLC</v>
      </c>
      <c r="B350" s="275">
        <v>45707.0</v>
      </c>
      <c r="C350" s="42">
        <v>45707.0</v>
      </c>
      <c r="D350" s="72" t="s">
        <v>36</v>
      </c>
      <c r="E350" s="110" t="s">
        <v>7157</v>
      </c>
      <c r="F350" s="273" t="s">
        <v>177</v>
      </c>
      <c r="G350" s="277" t="s">
        <v>852</v>
      </c>
      <c r="H350" s="268" t="s">
        <v>7158</v>
      </c>
      <c r="I350" s="263" t="s">
        <v>7159</v>
      </c>
      <c r="J350" s="114"/>
      <c r="K350" s="111" t="s">
        <v>636</v>
      </c>
      <c r="L350" s="266">
        <v>45553.0</v>
      </c>
      <c r="M350" s="266">
        <v>45560.0</v>
      </c>
      <c r="N350" s="53" t="s">
        <v>865</v>
      </c>
      <c r="O350" s="54" t="s">
        <v>162</v>
      </c>
      <c r="P350" s="53" t="str">
        <f>vlookup(N350,Categorizations!A:C,3,FALSE)</f>
        <v>Aspergillus</v>
      </c>
      <c r="Q350" s="55">
        <v>1.0</v>
      </c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</row>
    <row r="351" ht="22.5" customHeight="1">
      <c r="A351" s="261" t="str">
        <f t="shared" si="12"/>
        <v>45709Shield Management Group LLC</v>
      </c>
      <c r="B351" s="275">
        <v>45706.0</v>
      </c>
      <c r="C351" s="42">
        <v>45709.0</v>
      </c>
      <c r="D351" s="72" t="s">
        <v>36</v>
      </c>
      <c r="E351" s="110" t="s">
        <v>7160</v>
      </c>
      <c r="F351" s="95" t="s">
        <v>177</v>
      </c>
      <c r="G351" s="282" t="s">
        <v>180</v>
      </c>
      <c r="H351" s="268" t="s">
        <v>7161</v>
      </c>
      <c r="I351" s="263" t="s">
        <v>7162</v>
      </c>
      <c r="J351" s="114"/>
      <c r="K351" s="111" t="s">
        <v>636</v>
      </c>
      <c r="L351" s="266">
        <v>45573.0</v>
      </c>
      <c r="M351" s="270">
        <v>45582.0</v>
      </c>
      <c r="N351" s="53" t="s">
        <v>870</v>
      </c>
      <c r="O351" s="54" t="s">
        <v>162</v>
      </c>
      <c r="P351" s="53" t="str">
        <f>vlookup(N351,Categorizations!A:C,3,FALSE)</f>
        <v>Invalid Testing</v>
      </c>
      <c r="Q351" s="55">
        <v>1.0</v>
      </c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</row>
    <row r="352" ht="22.5" customHeight="1">
      <c r="A352" s="261" t="str">
        <f t="shared" si="12"/>
        <v>45709Discount Caregivers</v>
      </c>
      <c r="B352" s="275">
        <v>45708.0</v>
      </c>
      <c r="C352" s="42">
        <v>45709.0</v>
      </c>
      <c r="D352" s="72" t="s">
        <v>36</v>
      </c>
      <c r="E352" s="110" t="s">
        <v>7163</v>
      </c>
      <c r="F352" s="272" t="s">
        <v>177</v>
      </c>
      <c r="G352" s="277" t="s">
        <v>180</v>
      </c>
      <c r="H352" s="262" t="s">
        <v>7164</v>
      </c>
      <c r="I352" s="263" t="s">
        <v>1189</v>
      </c>
      <c r="J352" s="114"/>
      <c r="K352" s="111" t="s">
        <v>636</v>
      </c>
      <c r="L352" s="270">
        <v>45677.0</v>
      </c>
      <c r="M352" s="270">
        <v>45680.0</v>
      </c>
      <c r="N352" s="53" t="s">
        <v>870</v>
      </c>
      <c r="O352" s="54" t="s">
        <v>162</v>
      </c>
      <c r="P352" s="53" t="str">
        <f>vlookup(N352,Categorizations!A:C,3,FALSE)</f>
        <v>Invalid Testing</v>
      </c>
      <c r="Q352" s="55">
        <v>1.0</v>
      </c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</row>
    <row r="353" ht="22.5" customHeight="1">
      <c r="A353" s="261" t="str">
        <f t="shared" si="12"/>
        <v>45709Therapeutic Health Collective Inc</v>
      </c>
      <c r="B353" s="275">
        <v>45708.0</v>
      </c>
      <c r="C353" s="42">
        <v>45709.0</v>
      </c>
      <c r="D353" s="72" t="s">
        <v>36</v>
      </c>
      <c r="E353" s="110" t="s">
        <v>7165</v>
      </c>
      <c r="F353" s="272" t="s">
        <v>177</v>
      </c>
      <c r="G353" s="277" t="s">
        <v>180</v>
      </c>
      <c r="H353" s="268" t="s">
        <v>7166</v>
      </c>
      <c r="I353" s="263" t="s">
        <v>7167</v>
      </c>
      <c r="J353" s="114"/>
      <c r="K353" s="111" t="s">
        <v>636</v>
      </c>
      <c r="L353" s="270">
        <v>45413.0</v>
      </c>
      <c r="M353" s="266">
        <v>45434.0</v>
      </c>
      <c r="N353" s="53" t="s">
        <v>870</v>
      </c>
      <c r="O353" s="54" t="s">
        <v>162</v>
      </c>
      <c r="P353" s="53" t="str">
        <f>vlookup(N353,Categorizations!A:C,3,FALSE)</f>
        <v>Invalid Testing</v>
      </c>
      <c r="Q353" s="55">
        <v>1.0</v>
      </c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</row>
    <row r="354" ht="22.5" customHeight="1">
      <c r="A354" s="261" t="str">
        <f t="shared" si="12"/>
        <v>45712Alkhemists LLC</v>
      </c>
      <c r="B354" s="275">
        <v>45708.0</v>
      </c>
      <c r="C354" s="42">
        <v>45712.0</v>
      </c>
      <c r="D354" s="72" t="s">
        <v>36</v>
      </c>
      <c r="E354" s="110" t="s">
        <v>7168</v>
      </c>
      <c r="F354" s="272" t="s">
        <v>177</v>
      </c>
      <c r="G354" s="277" t="s">
        <v>180</v>
      </c>
      <c r="H354" s="283" t="s">
        <v>7169</v>
      </c>
      <c r="I354" s="263" t="s">
        <v>7170</v>
      </c>
      <c r="J354" s="114"/>
      <c r="K354" s="111" t="s">
        <v>636</v>
      </c>
      <c r="L354" s="266">
        <v>45365.0</v>
      </c>
      <c r="M354" s="270">
        <v>45376.0</v>
      </c>
      <c r="N354" s="53" t="s">
        <v>870</v>
      </c>
      <c r="O354" s="54" t="s">
        <v>162</v>
      </c>
      <c r="P354" s="53" t="str">
        <f>vlookup(N354,Categorizations!A:C,3,FALSE)</f>
        <v>Invalid Testing</v>
      </c>
      <c r="Q354" s="55">
        <v>1.0</v>
      </c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</row>
    <row r="355" ht="22.5" customHeight="1">
      <c r="A355" s="261" t="str">
        <f t="shared" si="12"/>
        <v>457162JC LLC</v>
      </c>
      <c r="B355" s="275">
        <v>45715.0</v>
      </c>
      <c r="C355" s="42">
        <v>45716.0</v>
      </c>
      <c r="D355" s="72" t="s">
        <v>36</v>
      </c>
      <c r="E355" s="110" t="s">
        <v>7171</v>
      </c>
      <c r="F355" s="272" t="s">
        <v>177</v>
      </c>
      <c r="G355" s="277" t="s">
        <v>321</v>
      </c>
      <c r="H355" s="268" t="s">
        <v>7136</v>
      </c>
      <c r="I355" s="281" t="s">
        <v>7132</v>
      </c>
      <c r="J355" s="114"/>
      <c r="K355" s="111" t="s">
        <v>636</v>
      </c>
      <c r="L355" s="270">
        <v>45642.0</v>
      </c>
      <c r="M355" s="270">
        <v>45666.0</v>
      </c>
      <c r="N355" s="53" t="s">
        <v>874</v>
      </c>
      <c r="O355" s="54" t="s">
        <v>162</v>
      </c>
      <c r="P355" s="53" t="str">
        <f>vlookup(N355,Categorizations!A:C,3,FALSE)</f>
        <v>Multiple</v>
      </c>
      <c r="Q355" s="55">
        <v>1.0</v>
      </c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</row>
    <row r="356" ht="22.5" customHeight="1">
      <c r="A356" s="261" t="str">
        <f t="shared" si="12"/>
        <v>45720go NXT LVL</v>
      </c>
      <c r="B356" s="275">
        <v>45720.0</v>
      </c>
      <c r="C356" s="42">
        <v>45720.0</v>
      </c>
      <c r="D356" s="72" t="s">
        <v>36</v>
      </c>
      <c r="E356" s="110" t="s">
        <v>7172</v>
      </c>
      <c r="F356" s="273" t="s">
        <v>177</v>
      </c>
      <c r="G356" s="278" t="s">
        <v>852</v>
      </c>
      <c r="H356" s="268" t="s">
        <v>7158</v>
      </c>
      <c r="I356" s="263" t="s">
        <v>7173</v>
      </c>
      <c r="J356" s="114"/>
      <c r="K356" s="111" t="s">
        <v>636</v>
      </c>
      <c r="L356" s="270">
        <v>45417.0</v>
      </c>
      <c r="M356" s="270">
        <v>45442.0</v>
      </c>
      <c r="N356" s="53" t="s">
        <v>865</v>
      </c>
      <c r="O356" s="54" t="s">
        <v>162</v>
      </c>
      <c r="P356" s="53" t="str">
        <f>vlookup(N356,Categorizations!A:C,3,FALSE)</f>
        <v>Aspergillus</v>
      </c>
      <c r="Q356" s="55">
        <v>1.0</v>
      </c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</row>
    <row r="357" ht="22.5" customHeight="1">
      <c r="A357" s="261" t="str">
        <f t="shared" si="12"/>
        <v>45723Little Cottage Caregivers LLC</v>
      </c>
      <c r="B357" s="275">
        <v>45721.0</v>
      </c>
      <c r="C357" s="42">
        <v>45723.0</v>
      </c>
      <c r="D357" s="72" t="s">
        <v>36</v>
      </c>
      <c r="E357" s="110" t="s">
        <v>7174</v>
      </c>
      <c r="F357" s="272" t="s">
        <v>177</v>
      </c>
      <c r="G357" s="277" t="s">
        <v>321</v>
      </c>
      <c r="H357" s="268" t="s">
        <v>7175</v>
      </c>
      <c r="I357" s="263" t="s">
        <v>7176</v>
      </c>
      <c r="J357" s="114"/>
      <c r="K357" s="111" t="s">
        <v>636</v>
      </c>
      <c r="L357" s="266">
        <v>45398.0</v>
      </c>
      <c r="M357" s="270">
        <v>45400.0</v>
      </c>
      <c r="N357" s="53" t="s">
        <v>870</v>
      </c>
      <c r="O357" s="54" t="s">
        <v>162</v>
      </c>
      <c r="P357" s="53" t="str">
        <f>vlookup(N357,Categorizations!A:C,3,FALSE)</f>
        <v>Invalid Testing</v>
      </c>
      <c r="Q357" s="55">
        <v>1.0</v>
      </c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</row>
    <row r="358" ht="22.5" customHeight="1">
      <c r="A358" s="261" t="str">
        <f t="shared" si="12"/>
        <v>45723Lucky Family Brands Inc.</v>
      </c>
      <c r="B358" s="275">
        <v>45721.0</v>
      </c>
      <c r="C358" s="42">
        <v>45723.0</v>
      </c>
      <c r="D358" s="72" t="s">
        <v>36</v>
      </c>
      <c r="E358" s="110" t="s">
        <v>7177</v>
      </c>
      <c r="F358" s="272" t="s">
        <v>177</v>
      </c>
      <c r="G358" s="278" t="s">
        <v>180</v>
      </c>
      <c r="H358" s="268" t="s">
        <v>7178</v>
      </c>
      <c r="I358" s="263" t="s">
        <v>7147</v>
      </c>
      <c r="J358" s="114"/>
      <c r="K358" s="111" t="s">
        <v>636</v>
      </c>
      <c r="L358" s="270">
        <v>45603.0</v>
      </c>
      <c r="M358" s="270">
        <v>45616.0</v>
      </c>
      <c r="N358" s="53" t="s">
        <v>870</v>
      </c>
      <c r="O358" s="54" t="s">
        <v>162</v>
      </c>
      <c r="P358" s="53" t="str">
        <f>vlookup(N358,Categorizations!A:C,3,FALSE)</f>
        <v>Invalid Testing</v>
      </c>
      <c r="Q358" s="55">
        <v>1.0</v>
      </c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</row>
    <row r="359" ht="22.5" customHeight="1">
      <c r="A359" s="261" t="s">
        <v>7179</v>
      </c>
      <c r="B359" s="275">
        <v>45721.0</v>
      </c>
      <c r="C359" s="42">
        <v>45723.0</v>
      </c>
      <c r="D359" s="72" t="s">
        <v>36</v>
      </c>
      <c r="E359" s="110" t="s">
        <v>7180</v>
      </c>
      <c r="F359" s="272" t="s">
        <v>177</v>
      </c>
      <c r="G359" s="277" t="s">
        <v>947</v>
      </c>
      <c r="H359" s="268" t="s">
        <v>7181</v>
      </c>
      <c r="I359" s="263" t="s">
        <v>7147</v>
      </c>
      <c r="J359" s="114"/>
      <c r="K359" s="111" t="s">
        <v>636</v>
      </c>
      <c r="L359" s="270">
        <v>45590.0</v>
      </c>
      <c r="M359" s="270">
        <v>45614.0</v>
      </c>
      <c r="N359" s="53" t="s">
        <v>870</v>
      </c>
      <c r="O359" s="54" t="s">
        <v>162</v>
      </c>
      <c r="P359" s="53" t="str">
        <f>vlookup(N359,Categorizations!A:C,3,FALSE)</f>
        <v>Invalid Testing</v>
      </c>
      <c r="Q359" s="55">
        <v>1.0</v>
      </c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</row>
    <row r="360" ht="22.5" customHeight="1">
      <c r="A360" s="261" t="s">
        <v>7182</v>
      </c>
      <c r="B360" s="275">
        <v>45721.0</v>
      </c>
      <c r="C360" s="42">
        <v>45723.0</v>
      </c>
      <c r="D360" s="72" t="s">
        <v>36</v>
      </c>
      <c r="E360" s="110" t="s">
        <v>7183</v>
      </c>
      <c r="F360" s="272" t="s">
        <v>177</v>
      </c>
      <c r="G360" s="277" t="s">
        <v>321</v>
      </c>
      <c r="H360" s="268" t="s">
        <v>7184</v>
      </c>
      <c r="I360" s="263" t="s">
        <v>7184</v>
      </c>
      <c r="J360" s="114"/>
      <c r="K360" s="111" t="s">
        <v>636</v>
      </c>
      <c r="L360" s="266">
        <v>45569.0</v>
      </c>
      <c r="M360" s="270">
        <v>45593.0</v>
      </c>
      <c r="N360" s="53" t="s">
        <v>870</v>
      </c>
      <c r="O360" s="54" t="s">
        <v>162</v>
      </c>
      <c r="P360" s="53" t="str">
        <f>vlookup(N360,Categorizations!A:C,3,FALSE)</f>
        <v>Invalid Testing</v>
      </c>
      <c r="Q360" s="55">
        <v>1.0</v>
      </c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</row>
    <row r="361" ht="22.5" customHeight="1">
      <c r="A361" s="261" t="str">
        <f t="shared" ref="A361:A380" si="13">concatenate(C361,I361)</f>
        <v>45727The Green Zone Inc.</v>
      </c>
      <c r="B361" s="275">
        <v>45723.0</v>
      </c>
      <c r="C361" s="42">
        <v>45727.0</v>
      </c>
      <c r="D361" s="72" t="s">
        <v>36</v>
      </c>
      <c r="E361" s="110" t="s">
        <v>7185</v>
      </c>
      <c r="F361" s="272" t="s">
        <v>177</v>
      </c>
      <c r="G361" s="277" t="s">
        <v>180</v>
      </c>
      <c r="H361" s="268" t="s">
        <v>7186</v>
      </c>
      <c r="I361" s="263" t="s">
        <v>7187</v>
      </c>
      <c r="J361" s="114"/>
      <c r="K361" s="111" t="s">
        <v>636</v>
      </c>
      <c r="L361" s="270">
        <v>45336.0</v>
      </c>
      <c r="M361" s="270">
        <v>45346.0</v>
      </c>
      <c r="N361" s="53" t="s">
        <v>870</v>
      </c>
      <c r="O361" s="54" t="s">
        <v>162</v>
      </c>
      <c r="P361" s="53" t="str">
        <f>vlookup(N361,Categorizations!A:C,3,FALSE)</f>
        <v>Invalid Testing</v>
      </c>
      <c r="Q361" s="55">
        <v>1.0</v>
      </c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</row>
    <row r="362" ht="22.5" customHeight="1">
      <c r="A362" s="261" t="str">
        <f t="shared" si="13"/>
        <v>45727Discount Caregivers</v>
      </c>
      <c r="B362" s="275">
        <v>45723.0</v>
      </c>
      <c r="C362" s="42">
        <v>45727.0</v>
      </c>
      <c r="D362" s="72" t="s">
        <v>36</v>
      </c>
      <c r="E362" s="110" t="s">
        <v>7188</v>
      </c>
      <c r="F362" s="272" t="s">
        <v>177</v>
      </c>
      <c r="G362" s="277" t="s">
        <v>180</v>
      </c>
      <c r="H362" s="268" t="s">
        <v>7164</v>
      </c>
      <c r="I362" s="263" t="s">
        <v>1189</v>
      </c>
      <c r="J362" s="114"/>
      <c r="K362" s="111" t="s">
        <v>636</v>
      </c>
      <c r="L362" s="266">
        <v>45636.0</v>
      </c>
      <c r="M362" s="270">
        <v>45640.0</v>
      </c>
      <c r="N362" s="53" t="s">
        <v>870</v>
      </c>
      <c r="O362" s="54" t="s">
        <v>162</v>
      </c>
      <c r="P362" s="53" t="str">
        <f>vlookup(N362,Categorizations!A:C,3,FALSE)</f>
        <v>Invalid Testing</v>
      </c>
      <c r="Q362" s="55">
        <v>1.0</v>
      </c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</row>
    <row r="363" ht="22.5" customHeight="1">
      <c r="A363" s="261" t="str">
        <f t="shared" si="13"/>
        <v>45727Broadway Alliance LLC</v>
      </c>
      <c r="B363" s="275">
        <v>45723.0</v>
      </c>
      <c r="C363" s="42">
        <v>45727.0</v>
      </c>
      <c r="D363" s="72" t="s">
        <v>36</v>
      </c>
      <c r="E363" s="110" t="s">
        <v>7189</v>
      </c>
      <c r="F363" s="95" t="s">
        <v>177</v>
      </c>
      <c r="G363" s="72" t="s">
        <v>180</v>
      </c>
      <c r="H363" s="268" t="s">
        <v>7190</v>
      </c>
      <c r="I363" s="263" t="s">
        <v>7191</v>
      </c>
      <c r="J363" s="114"/>
      <c r="K363" s="111" t="s">
        <v>636</v>
      </c>
      <c r="L363" s="270">
        <v>45602.0</v>
      </c>
      <c r="M363" s="270">
        <v>45630.0</v>
      </c>
      <c r="N363" s="53" t="s">
        <v>870</v>
      </c>
      <c r="O363" s="54" t="s">
        <v>162</v>
      </c>
      <c r="P363" s="53" t="str">
        <f>vlookup(N363,Categorizations!A:C,3,FALSE)</f>
        <v>Invalid Testing</v>
      </c>
      <c r="Q363" s="55">
        <v>1.0</v>
      </c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</row>
    <row r="364" ht="22.5" customHeight="1">
      <c r="A364" s="261" t="str">
        <f t="shared" si="13"/>
        <v>45730Bare Dispensary</v>
      </c>
      <c r="B364" s="275">
        <v>45723.0</v>
      </c>
      <c r="C364" s="42">
        <v>45730.0</v>
      </c>
      <c r="D364" s="72" t="s">
        <v>36</v>
      </c>
      <c r="E364" s="110" t="s">
        <v>7192</v>
      </c>
      <c r="F364" s="148" t="s">
        <v>177</v>
      </c>
      <c r="G364" s="277" t="s">
        <v>947</v>
      </c>
      <c r="H364" s="268" t="s">
        <v>7193</v>
      </c>
      <c r="I364" s="263" t="s">
        <v>7194</v>
      </c>
      <c r="J364" s="114"/>
      <c r="K364" s="111" t="s">
        <v>636</v>
      </c>
      <c r="L364" s="270">
        <v>45461.0</v>
      </c>
      <c r="M364" s="266">
        <v>45482.0</v>
      </c>
      <c r="N364" s="53" t="s">
        <v>870</v>
      </c>
      <c r="O364" s="54" t="s">
        <v>162</v>
      </c>
      <c r="P364" s="53" t="str">
        <f>vlookup(N364,Categorizations!A:C,3,FALSE)</f>
        <v>Invalid Testing</v>
      </c>
      <c r="Q364" s="55">
        <v>1.0</v>
      </c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</row>
    <row r="365" ht="22.5" customHeight="1">
      <c r="A365" s="261" t="str">
        <f t="shared" si="13"/>
        <v>45736Med Care Farms 2.0 LLC</v>
      </c>
      <c r="B365" s="275">
        <v>45727.0</v>
      </c>
      <c r="C365" s="42">
        <v>45736.0</v>
      </c>
      <c r="D365" s="72" t="s">
        <v>36</v>
      </c>
      <c r="E365" s="110" t="s">
        <v>7195</v>
      </c>
      <c r="F365" s="272" t="s">
        <v>177</v>
      </c>
      <c r="G365" s="278" t="s">
        <v>180</v>
      </c>
      <c r="H365" s="268" t="s">
        <v>7196</v>
      </c>
      <c r="I365" s="263" t="s">
        <v>7197</v>
      </c>
      <c r="J365" s="114"/>
      <c r="K365" s="111" t="s">
        <v>636</v>
      </c>
      <c r="L365" s="266">
        <v>45433.0</v>
      </c>
      <c r="M365" s="270">
        <v>45475.0</v>
      </c>
      <c r="N365" s="53" t="s">
        <v>870</v>
      </c>
      <c r="O365" s="54" t="s">
        <v>162</v>
      </c>
      <c r="P365" s="53" t="str">
        <f>vlookup(N365,Categorizations!A:C,3,FALSE)</f>
        <v>Invalid Testing</v>
      </c>
      <c r="Q365" s="55">
        <v>1.0</v>
      </c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</row>
    <row r="366" ht="22.5" customHeight="1">
      <c r="A366" s="261" t="str">
        <f t="shared" si="13"/>
        <v>45741Artisan Canna Cigars LLC</v>
      </c>
      <c r="B366" s="275">
        <v>45736.0</v>
      </c>
      <c r="C366" s="42">
        <v>45741.0</v>
      </c>
      <c r="D366" s="72" t="s">
        <v>36</v>
      </c>
      <c r="E366" s="110" t="s">
        <v>7198</v>
      </c>
      <c r="F366" s="273" t="s">
        <v>177</v>
      </c>
      <c r="G366" s="277" t="s">
        <v>1027</v>
      </c>
      <c r="H366" s="268" t="s">
        <v>7199</v>
      </c>
      <c r="I366" s="263" t="s">
        <v>7200</v>
      </c>
      <c r="J366" s="114"/>
      <c r="K366" s="111" t="s">
        <v>636</v>
      </c>
      <c r="L366" s="270">
        <v>45581.0</v>
      </c>
      <c r="M366" s="274">
        <v>45594.0</v>
      </c>
      <c r="N366" s="53" t="s">
        <v>767</v>
      </c>
      <c r="O366" s="54" t="s">
        <v>162</v>
      </c>
      <c r="P366" s="53" t="str">
        <f>vlookup(N366,Categorizations!A:C,3,FALSE)</f>
        <v>Aspergillus</v>
      </c>
      <c r="Q366" s="55">
        <v>1.0</v>
      </c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</row>
    <row r="367" ht="22.5" customHeight="1">
      <c r="A367" s="261" t="str">
        <f t="shared" si="13"/>
        <v>45742Redwood Herbal Alliance</v>
      </c>
      <c r="B367" s="275">
        <v>45737.0</v>
      </c>
      <c r="C367" s="42">
        <v>45742.0</v>
      </c>
      <c r="D367" s="72" t="s">
        <v>36</v>
      </c>
      <c r="E367" s="110" t="s">
        <v>7201</v>
      </c>
      <c r="F367" s="273" t="s">
        <v>177</v>
      </c>
      <c r="G367" s="278" t="s">
        <v>180</v>
      </c>
      <c r="H367" s="268" t="s">
        <v>7202</v>
      </c>
      <c r="I367" s="263" t="s">
        <v>7203</v>
      </c>
      <c r="J367" s="114"/>
      <c r="K367" s="111" t="s">
        <v>636</v>
      </c>
      <c r="L367" s="266">
        <v>45526.0</v>
      </c>
      <c r="M367" s="270">
        <v>45551.0</v>
      </c>
      <c r="N367" s="53" t="s">
        <v>859</v>
      </c>
      <c r="O367" s="54" t="s">
        <v>162</v>
      </c>
      <c r="P367" s="53" t="str">
        <f>vlookup(N367,Categorizations!A:C,3,FALSE)</f>
        <v>Multiple</v>
      </c>
      <c r="Q367" s="55">
        <v>1.0</v>
      </c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</row>
    <row r="368" ht="22.5" customHeight="1">
      <c r="A368" s="261" t="str">
        <f t="shared" si="13"/>
        <v>45742Terpx Inc.</v>
      </c>
      <c r="B368" s="275">
        <v>45740.0</v>
      </c>
      <c r="C368" s="42">
        <v>45742.0</v>
      </c>
      <c r="D368" s="72" t="s">
        <v>36</v>
      </c>
      <c r="E368" s="110" t="s">
        <v>7204</v>
      </c>
      <c r="F368" s="148" t="s">
        <v>177</v>
      </c>
      <c r="G368" s="277" t="s">
        <v>947</v>
      </c>
      <c r="H368" s="283" t="s">
        <v>7205</v>
      </c>
      <c r="I368" s="263" t="s">
        <v>7206</v>
      </c>
      <c r="J368" s="114"/>
      <c r="K368" s="111" t="s">
        <v>636</v>
      </c>
      <c r="L368" s="266">
        <v>45664.0</v>
      </c>
      <c r="M368" s="270">
        <v>45701.0</v>
      </c>
      <c r="N368" s="53" t="s">
        <v>757</v>
      </c>
      <c r="O368" s="54" t="s">
        <v>162</v>
      </c>
      <c r="P368" s="53" t="str">
        <f>vlookup(N368,Categorizations!A:C,3,FALSE)</f>
        <v>Aspergillus</v>
      </c>
      <c r="Q368" s="55">
        <v>1.0</v>
      </c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</row>
    <row r="369" ht="22.5" customHeight="1">
      <c r="A369" s="261" t="str">
        <f t="shared" si="13"/>
        <v>457442JC LLC</v>
      </c>
      <c r="B369" s="284"/>
      <c r="C369" s="42">
        <v>45744.0</v>
      </c>
      <c r="D369" s="72" t="s">
        <v>36</v>
      </c>
      <c r="E369" s="110" t="s">
        <v>7207</v>
      </c>
      <c r="F369" s="272" t="s">
        <v>109</v>
      </c>
      <c r="G369" s="278" t="s">
        <v>180</v>
      </c>
      <c r="H369" s="262" t="s">
        <v>7208</v>
      </c>
      <c r="I369" s="281" t="s">
        <v>7132</v>
      </c>
      <c r="J369" s="114"/>
      <c r="K369" s="111" t="s">
        <v>636</v>
      </c>
      <c r="L369" s="270">
        <v>45649.0</v>
      </c>
      <c r="M369" s="270">
        <v>45664.0</v>
      </c>
      <c r="N369" s="53" t="s">
        <v>834</v>
      </c>
      <c r="O369" s="54" t="s">
        <v>162</v>
      </c>
      <c r="P369" s="53" t="str">
        <f>vlookup(N369,Categorizations!A:C,3,FALSE)</f>
        <v>Prohibited Additives / Product</v>
      </c>
      <c r="Q369" s="55">
        <v>1.0</v>
      </c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</row>
    <row r="370" ht="22.5" customHeight="1">
      <c r="A370" s="261" t="str">
        <f t="shared" si="13"/>
        <v>45750Kanaplya LLC</v>
      </c>
      <c r="B370" s="275">
        <v>45749.0</v>
      </c>
      <c r="C370" s="42">
        <v>45750.0</v>
      </c>
      <c r="D370" s="72" t="s">
        <v>36</v>
      </c>
      <c r="E370" s="110" t="s">
        <v>7209</v>
      </c>
      <c r="F370" s="148" t="s">
        <v>177</v>
      </c>
      <c r="G370" s="277" t="s">
        <v>180</v>
      </c>
      <c r="H370" s="268" t="s">
        <v>7210</v>
      </c>
      <c r="I370" s="263" t="s">
        <v>7211</v>
      </c>
      <c r="J370" s="114"/>
      <c r="K370" s="111" t="s">
        <v>636</v>
      </c>
      <c r="L370" s="270">
        <v>45678.0</v>
      </c>
      <c r="M370" s="270">
        <v>45678.0</v>
      </c>
      <c r="N370" s="53" t="s">
        <v>876</v>
      </c>
      <c r="O370" s="54" t="s">
        <v>162</v>
      </c>
      <c r="P370" s="53" t="str">
        <f>vlookup(N370,Categorizations!A:C,3,FALSE)</f>
        <v>Invalid Testing</v>
      </c>
      <c r="Q370" s="55">
        <v>1.0</v>
      </c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</row>
    <row r="371" ht="22.5" customHeight="1">
      <c r="A371" s="261" t="str">
        <f t="shared" si="13"/>
        <v>457503L Distribution Inc.</v>
      </c>
      <c r="B371" s="275">
        <v>45749.0</v>
      </c>
      <c r="C371" s="42">
        <v>45750.0</v>
      </c>
      <c r="D371" s="72" t="s">
        <v>36</v>
      </c>
      <c r="E371" s="110" t="s">
        <v>7212</v>
      </c>
      <c r="F371" s="272" t="s">
        <v>177</v>
      </c>
      <c r="G371" s="277" t="s">
        <v>947</v>
      </c>
      <c r="H371" s="268" t="s">
        <v>7213</v>
      </c>
      <c r="I371" s="263" t="s">
        <v>7214</v>
      </c>
      <c r="J371" s="114"/>
      <c r="K371" s="111" t="s">
        <v>636</v>
      </c>
      <c r="L371" s="270">
        <v>45678.0</v>
      </c>
      <c r="M371" s="270">
        <v>45682.0</v>
      </c>
      <c r="N371" s="53" t="s">
        <v>881</v>
      </c>
      <c r="O371" s="54" t="s">
        <v>162</v>
      </c>
      <c r="P371" s="53" t="str">
        <f>vlookup(N371,Categorizations!A:C,3,FALSE)</f>
        <v>Multiple</v>
      </c>
      <c r="Q371" s="55">
        <v>1.0</v>
      </c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</row>
    <row r="372" ht="22.5" customHeight="1">
      <c r="A372" s="261" t="str">
        <f t="shared" si="13"/>
        <v>45750Golden State Recycling Collective Inc.</v>
      </c>
      <c r="B372" s="275">
        <v>45747.0</v>
      </c>
      <c r="C372" s="42">
        <v>45750.0</v>
      </c>
      <c r="D372" s="72" t="s">
        <v>36</v>
      </c>
      <c r="E372" s="110" t="s">
        <v>7215</v>
      </c>
      <c r="F372" s="272" t="s">
        <v>177</v>
      </c>
      <c r="G372" s="277" t="s">
        <v>180</v>
      </c>
      <c r="H372" s="268" t="s">
        <v>7216</v>
      </c>
      <c r="I372" s="263" t="s">
        <v>7217</v>
      </c>
      <c r="J372" s="114"/>
      <c r="K372" s="111" t="s">
        <v>636</v>
      </c>
      <c r="L372" s="270">
        <v>45674.0</v>
      </c>
      <c r="M372" s="270">
        <v>45685.0</v>
      </c>
      <c r="N372" s="53" t="s">
        <v>757</v>
      </c>
      <c r="O372" s="54" t="s">
        <v>162</v>
      </c>
      <c r="P372" s="53" t="str">
        <f>vlookup(N372,Categorizations!A:C,3,FALSE)</f>
        <v>Aspergillus</v>
      </c>
      <c r="Q372" s="55">
        <v>1.0</v>
      </c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</row>
    <row r="373" ht="22.5" customHeight="1">
      <c r="A373" s="261" t="str">
        <f t="shared" si="13"/>
        <v>45750Greenfield Distribution Inc.</v>
      </c>
      <c r="B373" s="275">
        <v>45749.0</v>
      </c>
      <c r="C373" s="42">
        <v>45750.0</v>
      </c>
      <c r="D373" s="72" t="s">
        <v>36</v>
      </c>
      <c r="E373" s="110" t="s">
        <v>7218</v>
      </c>
      <c r="F373" s="272" t="s">
        <v>177</v>
      </c>
      <c r="G373" s="277" t="s">
        <v>180</v>
      </c>
      <c r="H373" s="268" t="s">
        <v>7219</v>
      </c>
      <c r="I373" s="263" t="s">
        <v>7220</v>
      </c>
      <c r="J373" s="114"/>
      <c r="K373" s="111" t="s">
        <v>636</v>
      </c>
      <c r="L373" s="270">
        <v>45678.0</v>
      </c>
      <c r="M373" s="270">
        <v>45692.0</v>
      </c>
      <c r="N373" s="53" t="s">
        <v>884</v>
      </c>
      <c r="O373" s="54" t="s">
        <v>162</v>
      </c>
      <c r="P373" s="53" t="str">
        <f>vlookup(N373,Categorizations!A:C,3,FALSE)</f>
        <v>Aspergillus</v>
      </c>
      <c r="Q373" s="55">
        <v>1.0</v>
      </c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</row>
    <row r="374" ht="22.5" customHeight="1">
      <c r="A374" s="261" t="str">
        <f t="shared" si="13"/>
        <v>45751Zasp</v>
      </c>
      <c r="B374" s="275">
        <v>45750.0</v>
      </c>
      <c r="C374" s="42">
        <v>45751.0</v>
      </c>
      <c r="D374" s="72" t="s">
        <v>36</v>
      </c>
      <c r="E374" s="110" t="s">
        <v>7221</v>
      </c>
      <c r="F374" s="272" t="s">
        <v>177</v>
      </c>
      <c r="G374" s="282" t="s">
        <v>180</v>
      </c>
      <c r="H374" s="262" t="s">
        <v>7222</v>
      </c>
      <c r="I374" s="263" t="s">
        <v>7223</v>
      </c>
      <c r="J374" s="114"/>
      <c r="K374" s="111" t="s">
        <v>636</v>
      </c>
      <c r="L374" s="270">
        <v>45391.0</v>
      </c>
      <c r="M374" s="270">
        <v>45398.0</v>
      </c>
      <c r="N374" s="53" t="s">
        <v>870</v>
      </c>
      <c r="O374" s="54" t="s">
        <v>162</v>
      </c>
      <c r="P374" s="53" t="str">
        <f>vlookup(N374,Categorizations!A:C,3,FALSE)</f>
        <v>Invalid Testing</v>
      </c>
      <c r="Q374" s="55">
        <v>1.0</v>
      </c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</row>
    <row r="375" ht="22.5" customHeight="1">
      <c r="A375" s="261" t="str">
        <f t="shared" si="13"/>
        <v>45751DBM Industries LLC</v>
      </c>
      <c r="B375" s="275">
        <v>45750.0</v>
      </c>
      <c r="C375" s="42">
        <v>45751.0</v>
      </c>
      <c r="D375" s="72" t="s">
        <v>36</v>
      </c>
      <c r="E375" s="110" t="s">
        <v>7224</v>
      </c>
      <c r="F375" s="272" t="s">
        <v>177</v>
      </c>
      <c r="G375" s="277" t="s">
        <v>947</v>
      </c>
      <c r="H375" s="268" t="s">
        <v>7225</v>
      </c>
      <c r="I375" s="263" t="s">
        <v>7226</v>
      </c>
      <c r="J375" s="114"/>
      <c r="K375" s="111" t="s">
        <v>636</v>
      </c>
      <c r="L375" s="270">
        <v>45649.0</v>
      </c>
      <c r="M375" s="270">
        <v>45671.0</v>
      </c>
      <c r="N375" s="53" t="s">
        <v>888</v>
      </c>
      <c r="O375" s="54" t="s">
        <v>162</v>
      </c>
      <c r="P375" s="53" t="str">
        <f>vlookup(N375,Categorizations!A:C,3,FALSE)</f>
        <v>Aspergillus</v>
      </c>
      <c r="Q375" s="55">
        <v>1.0</v>
      </c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</row>
    <row r="376" ht="22.5" customHeight="1">
      <c r="A376" s="261" t="str">
        <f t="shared" si="13"/>
        <v>45751DBM Industries LLC</v>
      </c>
      <c r="B376" s="275">
        <v>45750.0</v>
      </c>
      <c r="C376" s="42">
        <v>45751.0</v>
      </c>
      <c r="D376" s="72" t="s">
        <v>36</v>
      </c>
      <c r="E376" s="110" t="s">
        <v>7227</v>
      </c>
      <c r="F376" s="272" t="s">
        <v>177</v>
      </c>
      <c r="G376" s="277" t="s">
        <v>947</v>
      </c>
      <c r="H376" s="268" t="s">
        <v>7228</v>
      </c>
      <c r="I376" s="263" t="s">
        <v>7226</v>
      </c>
      <c r="J376" s="114"/>
      <c r="K376" s="111" t="s">
        <v>636</v>
      </c>
      <c r="L376" s="271">
        <v>45671.0</v>
      </c>
      <c r="M376" s="271">
        <v>45698.0</v>
      </c>
      <c r="N376" s="53" t="s">
        <v>888</v>
      </c>
      <c r="O376" s="54" t="s">
        <v>162</v>
      </c>
      <c r="P376" s="53" t="str">
        <f>vlookup(N376,Categorizations!A:C,3,FALSE)</f>
        <v>Aspergillus</v>
      </c>
      <c r="Q376" s="55">
        <v>1.0</v>
      </c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</row>
    <row r="377" ht="22.5" customHeight="1">
      <c r="A377" s="261" t="str">
        <f t="shared" si="13"/>
        <v>45756Oak2Fruitland Inc.</v>
      </c>
      <c r="B377" s="275">
        <v>45748.0</v>
      </c>
      <c r="C377" s="42">
        <v>45756.0</v>
      </c>
      <c r="D377" s="72" t="s">
        <v>36</v>
      </c>
      <c r="E377" s="110" t="s">
        <v>7229</v>
      </c>
      <c r="F377" s="272" t="s">
        <v>177</v>
      </c>
      <c r="G377" s="277" t="s">
        <v>321</v>
      </c>
      <c r="H377" s="268" t="s">
        <v>7230</v>
      </c>
      <c r="I377" s="263" t="s">
        <v>7231</v>
      </c>
      <c r="J377" s="114"/>
      <c r="K377" s="111" t="s">
        <v>120</v>
      </c>
      <c r="L377" s="285"/>
      <c r="M377" s="285"/>
      <c r="N377" s="53" t="s">
        <v>870</v>
      </c>
      <c r="O377" s="54" t="s">
        <v>162</v>
      </c>
      <c r="P377" s="53" t="str">
        <f>vlookup(N377,Categorizations!A:C,3,FALSE)</f>
        <v>Invalid Testing</v>
      </c>
      <c r="Q377" s="55">
        <v>1.0</v>
      </c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</row>
    <row r="378" ht="22.5" customHeight="1">
      <c r="A378" s="261" t="str">
        <f t="shared" si="13"/>
        <v>45758I.O.N. Distribution LLC</v>
      </c>
      <c r="B378" s="275">
        <v>45716.0</v>
      </c>
      <c r="C378" s="42">
        <v>45758.0</v>
      </c>
      <c r="D378" s="72" t="s">
        <v>36</v>
      </c>
      <c r="E378" s="110" t="s">
        <v>7232</v>
      </c>
      <c r="F378" s="272" t="s">
        <v>177</v>
      </c>
      <c r="G378" s="277" t="s">
        <v>837</v>
      </c>
      <c r="H378" s="268" t="s">
        <v>7233</v>
      </c>
      <c r="I378" s="263" t="s">
        <v>7234</v>
      </c>
      <c r="J378" s="114"/>
      <c r="K378" s="111" t="s">
        <v>636</v>
      </c>
      <c r="L378" s="270">
        <v>45201.0</v>
      </c>
      <c r="M378" s="266">
        <v>45139.0</v>
      </c>
      <c r="N378" s="53" t="s">
        <v>870</v>
      </c>
      <c r="O378" s="54" t="s">
        <v>162</v>
      </c>
      <c r="P378" s="53" t="str">
        <f>vlookup(N378,Categorizations!A:C,3,FALSE)</f>
        <v>Invalid Testing</v>
      </c>
      <c r="Q378" s="55">
        <v>1.0</v>
      </c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</row>
    <row r="379" ht="22.5" customHeight="1">
      <c r="A379" s="261" t="str">
        <f t="shared" si="13"/>
        <v>45761Greenfield Distribution Inc.</v>
      </c>
      <c r="B379" s="275">
        <v>45758.0</v>
      </c>
      <c r="C379" s="42">
        <v>45761.0</v>
      </c>
      <c r="D379" s="72" t="s">
        <v>36</v>
      </c>
      <c r="E379" s="110" t="s">
        <v>7235</v>
      </c>
      <c r="F379" s="148" t="s">
        <v>177</v>
      </c>
      <c r="G379" s="277" t="s">
        <v>180</v>
      </c>
      <c r="H379" s="268" t="s">
        <v>7236</v>
      </c>
      <c r="I379" s="263" t="s">
        <v>7220</v>
      </c>
      <c r="J379" s="114"/>
      <c r="K379" s="111" t="s">
        <v>636</v>
      </c>
      <c r="L379" s="270">
        <v>45679.0</v>
      </c>
      <c r="M379" s="266">
        <v>45700.0</v>
      </c>
      <c r="N379" s="53" t="s">
        <v>759</v>
      </c>
      <c r="O379" s="54" t="s">
        <v>162</v>
      </c>
      <c r="P379" s="53" t="str">
        <f>vlookup(N379,Categorizations!A:C,3,FALSE)</f>
        <v>Salmonella</v>
      </c>
      <c r="Q379" s="55">
        <v>1.0</v>
      </c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</row>
    <row r="380" ht="22.5" customHeight="1">
      <c r="A380" s="261" t="str">
        <f t="shared" si="13"/>
        <v>457622JC LLC</v>
      </c>
      <c r="B380" s="284"/>
      <c r="C380" s="42">
        <v>45762.0</v>
      </c>
      <c r="D380" s="72" t="s">
        <v>36</v>
      </c>
      <c r="E380" s="110" t="s">
        <v>7237</v>
      </c>
      <c r="F380" s="272" t="s">
        <v>109</v>
      </c>
      <c r="G380" s="277" t="s">
        <v>321</v>
      </c>
      <c r="H380" s="268" t="s">
        <v>7238</v>
      </c>
      <c r="I380" s="263" t="s">
        <v>7132</v>
      </c>
      <c r="J380" s="114"/>
      <c r="K380" s="111" t="s">
        <v>636</v>
      </c>
      <c r="L380" s="271">
        <v>45657.0</v>
      </c>
      <c r="M380" s="271">
        <v>45685.0</v>
      </c>
      <c r="N380" s="53" t="s">
        <v>859</v>
      </c>
      <c r="O380" s="54" t="s">
        <v>162</v>
      </c>
      <c r="P380" s="53" t="str">
        <f>vlookup(N380,Categorizations!A:C,3,FALSE)</f>
        <v>Multiple</v>
      </c>
      <c r="Q380" s="55">
        <v>1.0</v>
      </c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</row>
    <row r="381" ht="22.5" customHeight="1">
      <c r="A381" s="261" t="s">
        <v>7239</v>
      </c>
      <c r="B381" s="286"/>
      <c r="C381" s="42">
        <v>45762.0</v>
      </c>
      <c r="D381" s="72" t="s">
        <v>36</v>
      </c>
      <c r="E381" s="110" t="s">
        <v>7240</v>
      </c>
      <c r="F381" s="272" t="s">
        <v>109</v>
      </c>
      <c r="G381" s="277" t="s">
        <v>321</v>
      </c>
      <c r="H381" s="262" t="s">
        <v>7136</v>
      </c>
      <c r="I381" s="263" t="s">
        <v>7132</v>
      </c>
      <c r="J381" s="114"/>
      <c r="K381" s="111" t="s">
        <v>636</v>
      </c>
      <c r="L381" s="271">
        <v>45642.0</v>
      </c>
      <c r="M381" s="271">
        <v>45672.0</v>
      </c>
      <c r="N381" s="53" t="s">
        <v>859</v>
      </c>
      <c r="O381" s="54" t="s">
        <v>162</v>
      </c>
      <c r="P381" s="53" t="str">
        <f>vlookup(N381,Categorizations!A:C,3,FALSE)</f>
        <v>Multiple</v>
      </c>
      <c r="Q381" s="55">
        <v>1.0</v>
      </c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</row>
    <row r="382" ht="22.5" customHeight="1">
      <c r="A382" s="261" t="s">
        <v>7241</v>
      </c>
      <c r="B382" s="286"/>
      <c r="C382" s="42">
        <v>45762.0</v>
      </c>
      <c r="D382" s="72" t="s">
        <v>36</v>
      </c>
      <c r="E382" s="110" t="s">
        <v>7242</v>
      </c>
      <c r="F382" s="148" t="s">
        <v>109</v>
      </c>
      <c r="G382" s="277" t="s">
        <v>321</v>
      </c>
      <c r="H382" s="262" t="s">
        <v>7243</v>
      </c>
      <c r="I382" s="263" t="s">
        <v>7132</v>
      </c>
      <c r="J382" s="114"/>
      <c r="K382" s="111" t="s">
        <v>636</v>
      </c>
      <c r="L382" s="270">
        <v>45637.0</v>
      </c>
      <c r="M382" s="270">
        <v>45672.0</v>
      </c>
      <c r="N382" s="53" t="s">
        <v>859</v>
      </c>
      <c r="O382" s="54" t="s">
        <v>162</v>
      </c>
      <c r="P382" s="53" t="str">
        <f>vlookup(N382,Categorizations!A:C,3,FALSE)</f>
        <v>Multiple</v>
      </c>
      <c r="Q382" s="55">
        <v>1.0</v>
      </c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</row>
    <row r="383" ht="22.5" customHeight="1">
      <c r="A383" s="261" t="str">
        <f t="shared" ref="A383:A385" si="14">concatenate(C383,I383)</f>
        <v>45763Valley Holistic Caregivers Inc.</v>
      </c>
      <c r="B383" s="286"/>
      <c r="C383" s="42">
        <v>45763.0</v>
      </c>
      <c r="D383" s="72" t="s">
        <v>36</v>
      </c>
      <c r="E383" s="110" t="s">
        <v>7244</v>
      </c>
      <c r="F383" s="148" t="s">
        <v>177</v>
      </c>
      <c r="G383" s="277" t="s">
        <v>180</v>
      </c>
      <c r="H383" s="262" t="s">
        <v>7245</v>
      </c>
      <c r="I383" s="263" t="s">
        <v>7246</v>
      </c>
      <c r="J383" s="114"/>
      <c r="K383" s="111" t="s">
        <v>120</v>
      </c>
      <c r="L383" s="285"/>
      <c r="M383" s="285"/>
      <c r="N383" s="53" t="s">
        <v>892</v>
      </c>
      <c r="O383" s="54" t="s">
        <v>162</v>
      </c>
      <c r="P383" s="53" t="str">
        <f>vlookup(N383,Categorizations!A:C,3,FALSE)</f>
        <v>Aspergillus</v>
      </c>
      <c r="Q383" s="55">
        <v>1.0</v>
      </c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</row>
    <row r="384" ht="22.5" customHeight="1">
      <c r="A384" s="261" t="str">
        <f t="shared" si="14"/>
        <v>45771Artisan Canna Cigars LLC</v>
      </c>
      <c r="B384" s="275">
        <v>45770.0</v>
      </c>
      <c r="C384" s="42">
        <v>45771.0</v>
      </c>
      <c r="D384" s="72" t="s">
        <v>36</v>
      </c>
      <c r="E384" s="110" t="s">
        <v>7247</v>
      </c>
      <c r="F384" s="272" t="s">
        <v>177</v>
      </c>
      <c r="G384" s="277" t="s">
        <v>321</v>
      </c>
      <c r="H384" s="262" t="s">
        <v>7248</v>
      </c>
      <c r="I384" s="263" t="s">
        <v>7200</v>
      </c>
      <c r="J384" s="114"/>
      <c r="K384" s="111" t="s">
        <v>636</v>
      </c>
      <c r="L384" s="270">
        <v>45631.0</v>
      </c>
      <c r="M384" s="270">
        <v>45637.0</v>
      </c>
      <c r="N384" s="53" t="s">
        <v>894</v>
      </c>
      <c r="O384" s="54" t="s">
        <v>162</v>
      </c>
      <c r="P384" s="53" t="str">
        <f>vlookup(N384,Categorizations!A:C,3,FALSE)</f>
        <v>Aspergillus</v>
      </c>
      <c r="Q384" s="55">
        <v>1.0</v>
      </c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</row>
    <row r="385" ht="22.5" customHeight="1">
      <c r="A385" s="261" t="str">
        <f t="shared" si="14"/>
        <v>45777Crafton Select LLC</v>
      </c>
      <c r="B385" s="275">
        <v>45775.0</v>
      </c>
      <c r="C385" s="42">
        <v>45777.0</v>
      </c>
      <c r="D385" s="72" t="s">
        <v>36</v>
      </c>
      <c r="E385" s="110" t="s">
        <v>7249</v>
      </c>
      <c r="F385" s="272" t="s">
        <v>177</v>
      </c>
      <c r="G385" s="277" t="s">
        <v>837</v>
      </c>
      <c r="H385" s="268" t="s">
        <v>7250</v>
      </c>
      <c r="I385" s="263" t="s">
        <v>7251</v>
      </c>
      <c r="J385" s="114"/>
      <c r="K385" s="111" t="s">
        <v>636</v>
      </c>
      <c r="L385" s="270">
        <v>45552.0</v>
      </c>
      <c r="M385" s="270">
        <v>45566.0</v>
      </c>
      <c r="N385" s="53" t="s">
        <v>767</v>
      </c>
      <c r="O385" s="54" t="s">
        <v>162</v>
      </c>
      <c r="P385" s="53" t="str">
        <f>vlookup(N385,Categorizations!A:C,3,FALSE)</f>
        <v>Aspergillus</v>
      </c>
      <c r="Q385" s="55">
        <v>1.0</v>
      </c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</row>
    <row r="386" ht="22.5" customHeight="1">
      <c r="A386" s="261" t="s">
        <v>7252</v>
      </c>
      <c r="B386" s="275">
        <v>45775.0</v>
      </c>
      <c r="C386" s="42">
        <v>45777.0</v>
      </c>
      <c r="D386" s="72" t="s">
        <v>36</v>
      </c>
      <c r="E386" s="110" t="s">
        <v>7253</v>
      </c>
      <c r="F386" s="272" t="s">
        <v>177</v>
      </c>
      <c r="G386" s="277" t="s">
        <v>180</v>
      </c>
      <c r="H386" s="268" t="s">
        <v>7254</v>
      </c>
      <c r="I386" s="263" t="s">
        <v>7251</v>
      </c>
      <c r="J386" s="114"/>
      <c r="K386" s="111" t="s">
        <v>636</v>
      </c>
      <c r="L386" s="270">
        <v>45524.0</v>
      </c>
      <c r="M386" s="266">
        <v>45506.0</v>
      </c>
      <c r="N386" s="53" t="s">
        <v>767</v>
      </c>
      <c r="O386" s="54" t="s">
        <v>162</v>
      </c>
      <c r="P386" s="53" t="str">
        <f>vlookup(N386,Categorizations!A:C,3,FALSE)</f>
        <v>Aspergillus</v>
      </c>
      <c r="Q386" s="55">
        <v>1.0</v>
      </c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</row>
    <row r="387" ht="22.5" customHeight="1">
      <c r="A387" s="261" t="s">
        <v>7255</v>
      </c>
      <c r="B387" s="275">
        <v>45775.0</v>
      </c>
      <c r="C387" s="42">
        <v>45777.0</v>
      </c>
      <c r="D387" s="72" t="s">
        <v>36</v>
      </c>
      <c r="E387" s="110" t="s">
        <v>7256</v>
      </c>
      <c r="F387" s="273" t="s">
        <v>177</v>
      </c>
      <c r="G387" s="282" t="s">
        <v>837</v>
      </c>
      <c r="H387" s="262" t="s">
        <v>7257</v>
      </c>
      <c r="I387" s="263" t="s">
        <v>7251</v>
      </c>
      <c r="J387" s="114"/>
      <c r="K387" s="111" t="s">
        <v>636</v>
      </c>
      <c r="L387" s="270">
        <v>45528.0</v>
      </c>
      <c r="M387" s="270">
        <v>45551.0</v>
      </c>
      <c r="N387" s="53" t="s">
        <v>767</v>
      </c>
      <c r="O387" s="54" t="s">
        <v>162</v>
      </c>
      <c r="P387" s="53" t="str">
        <f>vlookup(N387,Categorizations!A:C,3,FALSE)</f>
        <v>Aspergillus</v>
      </c>
      <c r="Q387" s="55">
        <v>1.0</v>
      </c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</row>
    <row r="388" ht="22.5" customHeight="1">
      <c r="A388" s="261" t="str">
        <f t="shared" ref="A388:A389" si="15">concatenate(C388,I388)</f>
        <v>45779Collective Minds LLC</v>
      </c>
      <c r="B388" s="275">
        <v>45778.0</v>
      </c>
      <c r="C388" s="42">
        <v>45779.0</v>
      </c>
      <c r="D388" s="72" t="s">
        <v>36</v>
      </c>
      <c r="E388" s="110" t="s">
        <v>7258</v>
      </c>
      <c r="F388" s="273" t="s">
        <v>177</v>
      </c>
      <c r="G388" s="277" t="s">
        <v>883</v>
      </c>
      <c r="H388" s="262" t="s">
        <v>7259</v>
      </c>
      <c r="I388" s="263" t="s">
        <v>7260</v>
      </c>
      <c r="J388" s="114"/>
      <c r="K388" s="111" t="s">
        <v>636</v>
      </c>
      <c r="L388" s="270">
        <v>45636.0</v>
      </c>
      <c r="M388" s="270">
        <v>45657.0</v>
      </c>
      <c r="N388" s="53" t="s">
        <v>896</v>
      </c>
      <c r="O388" s="54" t="s">
        <v>162</v>
      </c>
      <c r="P388" s="53" t="str">
        <f>vlookup(N388,Categorizations!A:C,3,FALSE)</f>
        <v>Invalid Testing</v>
      </c>
      <c r="Q388" s="55">
        <v>1.0</v>
      </c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</row>
    <row r="389" ht="22.5" customHeight="1">
      <c r="A389" s="261" t="str">
        <f t="shared" si="15"/>
        <v>45783Magic Show LLC</v>
      </c>
      <c r="B389" s="275">
        <v>45779.0</v>
      </c>
      <c r="C389" s="42">
        <v>45783.0</v>
      </c>
      <c r="D389" s="72" t="s">
        <v>36</v>
      </c>
      <c r="E389" s="110" t="s">
        <v>7261</v>
      </c>
      <c r="F389" s="273" t="s">
        <v>177</v>
      </c>
      <c r="G389" s="277" t="s">
        <v>837</v>
      </c>
      <c r="H389" s="262" t="s">
        <v>7262</v>
      </c>
      <c r="I389" s="263" t="s">
        <v>7263</v>
      </c>
      <c r="J389" s="114"/>
      <c r="K389" s="111" t="s">
        <v>636</v>
      </c>
      <c r="L389" s="270">
        <v>45495.0</v>
      </c>
      <c r="M389" s="270">
        <v>45504.0</v>
      </c>
      <c r="N389" s="53" t="s">
        <v>767</v>
      </c>
      <c r="O389" s="54" t="s">
        <v>162</v>
      </c>
      <c r="P389" s="53" t="str">
        <f>vlookup(N389,Categorizations!A:C,3,FALSE)</f>
        <v>Aspergillus</v>
      </c>
      <c r="Q389" s="55">
        <v>1.0</v>
      </c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</row>
    <row r="390" ht="22.5" customHeight="1">
      <c r="A390" s="261" t="s">
        <v>7264</v>
      </c>
      <c r="B390" s="275">
        <v>45779.0</v>
      </c>
      <c r="C390" s="42">
        <v>45783.0</v>
      </c>
      <c r="D390" s="72" t="s">
        <v>36</v>
      </c>
      <c r="E390" s="110" t="s">
        <v>7265</v>
      </c>
      <c r="F390" s="95" t="s">
        <v>177</v>
      </c>
      <c r="G390" s="282" t="s">
        <v>837</v>
      </c>
      <c r="H390" s="268" t="s">
        <v>7266</v>
      </c>
      <c r="I390" s="263" t="s">
        <v>7263</v>
      </c>
      <c r="J390" s="114"/>
      <c r="K390" s="111" t="s">
        <v>636</v>
      </c>
      <c r="L390" s="270">
        <v>45635.0</v>
      </c>
      <c r="M390" s="270">
        <v>45646.0</v>
      </c>
      <c r="N390" s="53" t="s">
        <v>767</v>
      </c>
      <c r="O390" s="54" t="s">
        <v>162</v>
      </c>
      <c r="P390" s="53" t="str">
        <f>vlookup(N390,Categorizations!A:C,3,FALSE)</f>
        <v>Aspergillus</v>
      </c>
      <c r="Q390" s="55">
        <v>1.0</v>
      </c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</row>
    <row r="391" ht="22.5" customHeight="1">
      <c r="A391" s="261" t="str">
        <f t="shared" ref="A391:A393" si="16">concatenate(C391,I391)</f>
        <v>45792United Medical Alliance LLC</v>
      </c>
      <c r="B391" s="275">
        <v>45791.0</v>
      </c>
      <c r="C391" s="42">
        <v>45792.0</v>
      </c>
      <c r="D391" s="72" t="s">
        <v>36</v>
      </c>
      <c r="E391" s="110" t="s">
        <v>7267</v>
      </c>
      <c r="F391" s="95" t="s">
        <v>177</v>
      </c>
      <c r="G391" s="72" t="s">
        <v>852</v>
      </c>
      <c r="H391" s="262" t="s">
        <v>7268</v>
      </c>
      <c r="I391" s="263" t="s">
        <v>7269</v>
      </c>
      <c r="J391" s="114"/>
      <c r="K391" s="111" t="s">
        <v>636</v>
      </c>
      <c r="L391" s="270">
        <v>45506.0</v>
      </c>
      <c r="M391" s="270">
        <v>45512.0</v>
      </c>
      <c r="N391" s="53" t="s">
        <v>901</v>
      </c>
      <c r="O391" s="54" t="s">
        <v>162</v>
      </c>
      <c r="P391" s="53" t="str">
        <f>vlookup(N391,Categorizations!A:C,3,FALSE)</f>
        <v>Multiple</v>
      </c>
      <c r="Q391" s="55">
        <v>1.0</v>
      </c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</row>
    <row r="392" ht="22.5" customHeight="1">
      <c r="A392" s="261" t="str">
        <f t="shared" si="16"/>
        <v>45798Full Spectrum Group Inc.</v>
      </c>
      <c r="B392" s="275">
        <v>45796.0</v>
      </c>
      <c r="C392" s="42">
        <v>45798.0</v>
      </c>
      <c r="D392" s="72" t="s">
        <v>36</v>
      </c>
      <c r="E392" s="110" t="s">
        <v>7270</v>
      </c>
      <c r="F392" s="95" t="s">
        <v>177</v>
      </c>
      <c r="G392" s="72" t="s">
        <v>837</v>
      </c>
      <c r="H392" s="262" t="s">
        <v>7271</v>
      </c>
      <c r="I392" s="263" t="s">
        <v>7272</v>
      </c>
      <c r="J392" s="114"/>
      <c r="K392" s="111" t="s">
        <v>636</v>
      </c>
      <c r="L392" s="266">
        <v>45373.0</v>
      </c>
      <c r="M392" s="270">
        <v>45379.0</v>
      </c>
      <c r="N392" s="53" t="s">
        <v>906</v>
      </c>
      <c r="O392" s="54" t="s">
        <v>162</v>
      </c>
      <c r="P392" s="53" t="str">
        <f>vlookup(N392,Categorizations!A:C,3,FALSE)</f>
        <v>Multiple</v>
      </c>
      <c r="Q392" s="55">
        <v>1.0</v>
      </c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</row>
    <row r="393" ht="22.5" customHeight="1">
      <c r="A393" s="261" t="str">
        <f t="shared" si="16"/>
        <v>45804Crafton Select LLC</v>
      </c>
      <c r="B393" s="275">
        <v>45800.0</v>
      </c>
      <c r="C393" s="42">
        <v>45804.0</v>
      </c>
      <c r="D393" s="72" t="s">
        <v>36</v>
      </c>
      <c r="E393" s="110" t="s">
        <v>7273</v>
      </c>
      <c r="F393" s="95" t="s">
        <v>177</v>
      </c>
      <c r="G393" s="72" t="s">
        <v>837</v>
      </c>
      <c r="H393" s="287" t="s">
        <v>7257</v>
      </c>
      <c r="I393" s="263" t="s">
        <v>7251</v>
      </c>
      <c r="J393" s="114"/>
      <c r="K393" s="111" t="s">
        <v>636</v>
      </c>
      <c r="L393" s="270">
        <v>45528.0</v>
      </c>
      <c r="M393" s="270">
        <v>45551.0</v>
      </c>
      <c r="N393" s="53" t="s">
        <v>911</v>
      </c>
      <c r="O393" s="54" t="s">
        <v>162</v>
      </c>
      <c r="P393" s="53" t="str">
        <f>vlookup(N393,Categorizations!A:C,3,FALSE)</f>
        <v>Multiple</v>
      </c>
      <c r="Q393" s="55">
        <v>1.0</v>
      </c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</row>
    <row r="394" ht="22.5" customHeight="1">
      <c r="A394" s="261" t="s">
        <v>7274</v>
      </c>
      <c r="B394" s="275">
        <v>45800.0</v>
      </c>
      <c r="C394" s="42">
        <v>45804.0</v>
      </c>
      <c r="D394" s="72" t="s">
        <v>36</v>
      </c>
      <c r="E394" s="110" t="s">
        <v>7275</v>
      </c>
      <c r="F394" s="95" t="s">
        <v>177</v>
      </c>
      <c r="G394" s="72" t="s">
        <v>180</v>
      </c>
      <c r="H394" s="268" t="s">
        <v>7254</v>
      </c>
      <c r="I394" s="263" t="s">
        <v>7251</v>
      </c>
      <c r="J394" s="114"/>
      <c r="K394" s="111" t="s">
        <v>636</v>
      </c>
      <c r="L394" s="266">
        <v>45506.0</v>
      </c>
      <c r="M394" s="270">
        <v>45524.0</v>
      </c>
      <c r="N394" s="53" t="s">
        <v>911</v>
      </c>
      <c r="O394" s="54" t="s">
        <v>162</v>
      </c>
      <c r="P394" s="53" t="str">
        <f>vlookup(N394,Categorizations!A:C,3,FALSE)</f>
        <v>Multiple</v>
      </c>
      <c r="Q394" s="55">
        <v>1.0</v>
      </c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</row>
    <row r="395" ht="22.5" customHeight="1">
      <c r="A395" s="261" t="s">
        <v>7276</v>
      </c>
      <c r="B395" s="275">
        <v>45800.0</v>
      </c>
      <c r="C395" s="42">
        <v>45804.0</v>
      </c>
      <c r="D395" s="72" t="s">
        <v>36</v>
      </c>
      <c r="E395" s="110" t="s">
        <v>7277</v>
      </c>
      <c r="F395" s="95" t="s">
        <v>177</v>
      </c>
      <c r="G395" s="72" t="s">
        <v>837</v>
      </c>
      <c r="H395" s="262" t="s">
        <v>7250</v>
      </c>
      <c r="I395" s="263" t="s">
        <v>7251</v>
      </c>
      <c r="J395" s="114"/>
      <c r="K395" s="111" t="s">
        <v>636</v>
      </c>
      <c r="L395" s="270">
        <v>45716.0</v>
      </c>
      <c r="M395" s="270">
        <v>45727.0</v>
      </c>
      <c r="N395" s="53" t="s">
        <v>911</v>
      </c>
      <c r="O395" s="54" t="s">
        <v>162</v>
      </c>
      <c r="P395" s="53" t="str">
        <f>vlookup(N395,Categorizations!A:C,3,FALSE)</f>
        <v>Multiple</v>
      </c>
      <c r="Q395" s="55">
        <v>1.0</v>
      </c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</row>
    <row r="396" ht="22.5" customHeight="1">
      <c r="A396" s="261" t="str">
        <f t="shared" ref="A396:A413" si="17">concatenate(C396,I396)</f>
        <v>45805Crafton Select LLC</v>
      </c>
      <c r="B396" s="275">
        <v>45800.0</v>
      </c>
      <c r="C396" s="42">
        <v>45805.0</v>
      </c>
      <c r="D396" s="72" t="s">
        <v>36</v>
      </c>
      <c r="E396" s="110" t="s">
        <v>7278</v>
      </c>
      <c r="F396" s="95" t="s">
        <v>177</v>
      </c>
      <c r="G396" s="72" t="s">
        <v>729</v>
      </c>
      <c r="H396" s="268" t="s">
        <v>7279</v>
      </c>
      <c r="I396" s="263" t="s">
        <v>7251</v>
      </c>
      <c r="J396" s="114"/>
      <c r="K396" s="111" t="s">
        <v>636</v>
      </c>
      <c r="L396" s="270">
        <v>45632.0</v>
      </c>
      <c r="M396" s="270">
        <v>45650.0</v>
      </c>
      <c r="N396" s="53" t="s">
        <v>870</v>
      </c>
      <c r="O396" s="54" t="s">
        <v>162</v>
      </c>
      <c r="P396" s="53" t="str">
        <f>vlookup(N396,Categorizations!A:C,3,FALSE)</f>
        <v>Invalid Testing</v>
      </c>
      <c r="Q396" s="55">
        <v>1.0</v>
      </c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</row>
    <row r="397" ht="22.5" customHeight="1">
      <c r="A397" s="261" t="str">
        <f t="shared" si="17"/>
        <v>45819DBM Industries LLC</v>
      </c>
      <c r="B397" s="275">
        <v>45817.0</v>
      </c>
      <c r="C397" s="42">
        <v>45819.0</v>
      </c>
      <c r="D397" s="72" t="s">
        <v>36</v>
      </c>
      <c r="E397" s="110" t="s">
        <v>7280</v>
      </c>
      <c r="F397" s="272" t="s">
        <v>177</v>
      </c>
      <c r="G397" s="277" t="s">
        <v>947</v>
      </c>
      <c r="H397" s="268" t="s">
        <v>7228</v>
      </c>
      <c r="I397" s="263" t="s">
        <v>7226</v>
      </c>
      <c r="J397" s="114"/>
      <c r="K397" s="111" t="s">
        <v>636</v>
      </c>
      <c r="L397" s="266">
        <v>45747.0</v>
      </c>
      <c r="M397" s="266">
        <v>45755.0</v>
      </c>
      <c r="N397" s="53" t="s">
        <v>916</v>
      </c>
      <c r="O397" s="54" t="s">
        <v>162</v>
      </c>
      <c r="P397" s="53" t="str">
        <f>vlookup(N397,Categorizations!A:C,3,FALSE)</f>
        <v>Multiple</v>
      </c>
      <c r="Q397" s="55">
        <v>1.0</v>
      </c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</row>
    <row r="398" ht="22.5" customHeight="1">
      <c r="A398" s="261" t="str">
        <f t="shared" si="17"/>
        <v>45826Aureus LLC</v>
      </c>
      <c r="B398" s="275">
        <v>45824.0</v>
      </c>
      <c r="C398" s="42">
        <v>45826.0</v>
      </c>
      <c r="D398" s="72" t="s">
        <v>36</v>
      </c>
      <c r="E398" s="110" t="s">
        <v>7281</v>
      </c>
      <c r="F398" s="272" t="s">
        <v>177</v>
      </c>
      <c r="G398" s="277" t="s">
        <v>947</v>
      </c>
      <c r="H398" s="268" t="s">
        <v>7282</v>
      </c>
      <c r="I398" s="263" t="s">
        <v>7114</v>
      </c>
      <c r="J398" s="114"/>
      <c r="K398" s="111" t="s">
        <v>636</v>
      </c>
      <c r="L398" s="266">
        <v>45740.0</v>
      </c>
      <c r="M398" s="270">
        <v>45743.0</v>
      </c>
      <c r="N398" s="53" t="s">
        <v>922</v>
      </c>
      <c r="O398" s="54" t="s">
        <v>162</v>
      </c>
      <c r="P398" s="53" t="str">
        <f>vlookup(N398,Categorizations!A:C,3,FALSE)</f>
        <v>Multiple</v>
      </c>
      <c r="Q398" s="55">
        <v>1.0</v>
      </c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</row>
    <row r="399" ht="22.5" customHeight="1">
      <c r="A399" s="261" t="str">
        <f t="shared" si="17"/>
        <v>45831COMMERCE C1 LLC</v>
      </c>
      <c r="B399" s="275">
        <v>45828.0</v>
      </c>
      <c r="C399" s="42">
        <v>45831.0</v>
      </c>
      <c r="D399" s="72" t="s">
        <v>36</v>
      </c>
      <c r="E399" s="110" t="s">
        <v>7283</v>
      </c>
      <c r="F399" s="148" t="s">
        <v>177</v>
      </c>
      <c r="G399" s="277" t="s">
        <v>180</v>
      </c>
      <c r="H399" s="268" t="s">
        <v>7284</v>
      </c>
      <c r="I399" s="263" t="s">
        <v>7285</v>
      </c>
      <c r="J399" s="114"/>
      <c r="K399" s="111" t="s">
        <v>636</v>
      </c>
      <c r="L399" s="266">
        <v>45736.0</v>
      </c>
      <c r="M399" s="270">
        <v>45747.0</v>
      </c>
      <c r="N399" s="53" t="s">
        <v>757</v>
      </c>
      <c r="O399" s="54" t="s">
        <v>162</v>
      </c>
      <c r="P399" s="53" t="str">
        <f>vlookup(N399,Categorizations!A:C,3,FALSE)</f>
        <v>Aspergillus</v>
      </c>
      <c r="Q399" s="55">
        <v>1.0</v>
      </c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</row>
    <row r="400" ht="22.5" customHeight="1">
      <c r="A400" s="261" t="str">
        <f t="shared" si="17"/>
        <v>45832Mheka LLC</v>
      </c>
      <c r="B400" s="275">
        <v>45831.0</v>
      </c>
      <c r="C400" s="42">
        <v>45832.0</v>
      </c>
      <c r="D400" s="72" t="s">
        <v>36</v>
      </c>
      <c r="E400" s="110" t="s">
        <v>7286</v>
      </c>
      <c r="F400" s="95" t="s">
        <v>177</v>
      </c>
      <c r="G400" s="277" t="s">
        <v>321</v>
      </c>
      <c r="H400" s="262" t="s">
        <v>7287</v>
      </c>
      <c r="I400" s="263" t="s">
        <v>7288</v>
      </c>
      <c r="J400" s="114"/>
      <c r="K400" s="111" t="s">
        <v>636</v>
      </c>
      <c r="L400" s="270">
        <v>45763.0</v>
      </c>
      <c r="M400" s="270">
        <v>45767.0</v>
      </c>
      <c r="N400" s="53" t="s">
        <v>927</v>
      </c>
      <c r="O400" s="54" t="s">
        <v>162</v>
      </c>
      <c r="P400" s="53" t="str">
        <f>vlookup(N400,Categorizations!A:C,3,FALSE)</f>
        <v>Multiple</v>
      </c>
      <c r="Q400" s="55">
        <v>1.0</v>
      </c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</row>
    <row r="401" ht="22.5" customHeight="1">
      <c r="A401" s="261" t="str">
        <f t="shared" si="17"/>
        <v>458342JC LLC</v>
      </c>
      <c r="B401" s="284"/>
      <c r="C401" s="42">
        <v>45834.0</v>
      </c>
      <c r="D401" s="72" t="s">
        <v>36</v>
      </c>
      <c r="E401" s="110" t="s">
        <v>7289</v>
      </c>
      <c r="F401" s="148" t="s">
        <v>109</v>
      </c>
      <c r="G401" s="277" t="s">
        <v>180</v>
      </c>
      <c r="H401" s="262" t="s">
        <v>7144</v>
      </c>
      <c r="I401" s="263" t="s">
        <v>7132</v>
      </c>
      <c r="J401" s="114"/>
      <c r="K401" s="111" t="s">
        <v>636</v>
      </c>
      <c r="L401" s="270">
        <v>45649.0</v>
      </c>
      <c r="M401" s="266">
        <v>45670.0</v>
      </c>
      <c r="N401" s="53" t="s">
        <v>859</v>
      </c>
      <c r="O401" s="54" t="s">
        <v>162</v>
      </c>
      <c r="P401" s="53" t="str">
        <f>vlookup(N401,Categorizations!A:C,3,FALSE)</f>
        <v>Multiple</v>
      </c>
      <c r="Q401" s="55">
        <v>1.0</v>
      </c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</row>
    <row r="402" ht="22.5" customHeight="1">
      <c r="A402" s="261" t="str">
        <f t="shared" si="17"/>
        <v>45834Natura Distribution LLC</v>
      </c>
      <c r="B402" s="275">
        <v>45834.0</v>
      </c>
      <c r="C402" s="42">
        <v>45834.0</v>
      </c>
      <c r="D402" s="72" t="s">
        <v>36</v>
      </c>
      <c r="E402" s="110" t="s">
        <v>7290</v>
      </c>
      <c r="F402" s="272" t="s">
        <v>177</v>
      </c>
      <c r="G402" s="277" t="s">
        <v>321</v>
      </c>
      <c r="H402" s="262" t="s">
        <v>7291</v>
      </c>
      <c r="I402" s="263" t="s">
        <v>7292</v>
      </c>
      <c r="J402" s="114"/>
      <c r="K402" s="111" t="s">
        <v>636</v>
      </c>
      <c r="L402" s="270">
        <v>45754.0</v>
      </c>
      <c r="M402" s="270">
        <v>45783.0</v>
      </c>
      <c r="N402" s="53" t="s">
        <v>834</v>
      </c>
      <c r="O402" s="54" t="s">
        <v>162</v>
      </c>
      <c r="P402" s="53" t="str">
        <f>vlookup(N402,Categorizations!A:C,3,FALSE)</f>
        <v>Prohibited Additives / Product</v>
      </c>
      <c r="Q402" s="55">
        <v>1.0</v>
      </c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</row>
    <row r="403" ht="22.5" customHeight="1">
      <c r="A403" s="261" t="str">
        <f t="shared" si="17"/>
        <v>45838Quality Buds LLC</v>
      </c>
      <c r="B403" s="275">
        <v>45835.0</v>
      </c>
      <c r="C403" s="42">
        <v>45838.0</v>
      </c>
      <c r="D403" s="72" t="s">
        <v>36</v>
      </c>
      <c r="E403" s="110" t="s">
        <v>7293</v>
      </c>
      <c r="F403" s="272" t="s">
        <v>177</v>
      </c>
      <c r="G403" s="278" t="s">
        <v>180</v>
      </c>
      <c r="H403" s="268" t="s">
        <v>7294</v>
      </c>
      <c r="I403" s="263" t="s">
        <v>7295</v>
      </c>
      <c r="J403" s="114"/>
      <c r="K403" s="111" t="s">
        <v>636</v>
      </c>
      <c r="L403" s="270">
        <v>45587.0</v>
      </c>
      <c r="M403" s="270">
        <v>45601.0</v>
      </c>
      <c r="N403" s="53" t="s">
        <v>911</v>
      </c>
      <c r="O403" s="54" t="s">
        <v>162</v>
      </c>
      <c r="P403" s="53" t="str">
        <f>vlookup(N403,Categorizations!A:C,3,FALSE)</f>
        <v>Multiple</v>
      </c>
      <c r="Q403" s="55">
        <v>1.0</v>
      </c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</row>
    <row r="404" ht="22.5" customHeight="1">
      <c r="A404" s="261" t="str">
        <f t="shared" si="17"/>
        <v>45839Emerald Bay Wellness</v>
      </c>
      <c r="B404" s="275">
        <v>45839.0</v>
      </c>
      <c r="C404" s="42">
        <v>45839.0</v>
      </c>
      <c r="D404" s="72" t="s">
        <v>36</v>
      </c>
      <c r="E404" s="110" t="s">
        <v>7296</v>
      </c>
      <c r="F404" s="272" t="s">
        <v>177</v>
      </c>
      <c r="G404" s="72" t="s">
        <v>7297</v>
      </c>
      <c r="H404" s="268" t="s">
        <v>7298</v>
      </c>
      <c r="I404" s="263" t="s">
        <v>7299</v>
      </c>
      <c r="J404" s="114"/>
      <c r="K404" s="111" t="s">
        <v>636</v>
      </c>
      <c r="L404" s="270">
        <v>45798.0</v>
      </c>
      <c r="M404" s="270">
        <v>45806.0</v>
      </c>
      <c r="N404" s="53" t="s">
        <v>219</v>
      </c>
      <c r="O404" s="54" t="s">
        <v>162</v>
      </c>
      <c r="P404" s="53" t="str">
        <f>vlookup(N404,Categorizations!A:C,3,FALSE)</f>
        <v>Other</v>
      </c>
      <c r="Q404" s="55">
        <v>1.0</v>
      </c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</row>
    <row r="405" ht="22.5" customHeight="1">
      <c r="A405" s="261" t="str">
        <f t="shared" si="17"/>
        <v>45840Fluids Manufacturing Inc.</v>
      </c>
      <c r="B405" s="275">
        <v>45839.0</v>
      </c>
      <c r="C405" s="42">
        <v>45840.0</v>
      </c>
      <c r="D405" s="72" t="s">
        <v>36</v>
      </c>
      <c r="E405" s="110" t="s">
        <v>7300</v>
      </c>
      <c r="F405" s="272" t="s">
        <v>177</v>
      </c>
      <c r="G405" s="277" t="s">
        <v>321</v>
      </c>
      <c r="H405" s="268" t="s">
        <v>7301</v>
      </c>
      <c r="I405" s="263" t="s">
        <v>7302</v>
      </c>
      <c r="J405" s="114"/>
      <c r="K405" s="111" t="s">
        <v>636</v>
      </c>
      <c r="L405" s="270">
        <v>45729.0</v>
      </c>
      <c r="M405" s="270">
        <v>45733.0</v>
      </c>
      <c r="N405" s="53" t="s">
        <v>930</v>
      </c>
      <c r="O405" s="54" t="s">
        <v>162</v>
      </c>
      <c r="P405" s="53" t="str">
        <f>vlookup(N405,Categorizations!A:C,3,FALSE)</f>
        <v>Aspergillus</v>
      </c>
      <c r="Q405" s="55">
        <v>1.0</v>
      </c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</row>
    <row r="406" ht="22.5" customHeight="1">
      <c r="A406" s="261" t="str">
        <f t="shared" si="17"/>
        <v>45841S&amp;J Manufacturing LLC</v>
      </c>
      <c r="B406" s="288">
        <v>45841.0</v>
      </c>
      <c r="C406" s="42">
        <v>45841.0</v>
      </c>
      <c r="D406" s="72" t="s">
        <v>36</v>
      </c>
      <c r="E406" s="110" t="s">
        <v>7303</v>
      </c>
      <c r="F406" s="272" t="s">
        <v>177</v>
      </c>
      <c r="G406" s="278" t="s">
        <v>852</v>
      </c>
      <c r="H406" s="262" t="s">
        <v>7304</v>
      </c>
      <c r="I406" s="263" t="s">
        <v>7305</v>
      </c>
      <c r="J406" s="114"/>
      <c r="K406" s="111" t="s">
        <v>636</v>
      </c>
      <c r="L406" s="266">
        <v>45729.0</v>
      </c>
      <c r="M406" s="270">
        <v>45747.0</v>
      </c>
      <c r="N406" s="53" t="s">
        <v>956</v>
      </c>
      <c r="O406" s="54" t="s">
        <v>162</v>
      </c>
      <c r="P406" s="53" t="str">
        <f>vlookup(N406,Categorizations!A:C,3,FALSE)</f>
        <v>Prohibited Additives / Product</v>
      </c>
      <c r="Q406" s="55">
        <v>1.0</v>
      </c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</row>
    <row r="407" ht="22.5" customHeight="1">
      <c r="A407" s="261" t="str">
        <f t="shared" si="17"/>
        <v>45846TKC Group Inc.</v>
      </c>
      <c r="B407" s="275">
        <v>45841.0</v>
      </c>
      <c r="C407" s="42">
        <v>45846.0</v>
      </c>
      <c r="D407" s="72" t="s">
        <v>36</v>
      </c>
      <c r="E407" s="110" t="s">
        <v>7306</v>
      </c>
      <c r="F407" s="95" t="s">
        <v>177</v>
      </c>
      <c r="G407" s="277" t="s">
        <v>947</v>
      </c>
      <c r="H407" s="262" t="s">
        <v>7307</v>
      </c>
      <c r="I407" s="263" t="s">
        <v>7308</v>
      </c>
      <c r="J407" s="114"/>
      <c r="K407" s="111" t="s">
        <v>636</v>
      </c>
      <c r="L407" s="266">
        <v>45705.0</v>
      </c>
      <c r="M407" s="266">
        <v>45747.0</v>
      </c>
      <c r="N407" s="53" t="s">
        <v>939</v>
      </c>
      <c r="O407" s="54" t="s">
        <v>162</v>
      </c>
      <c r="P407" s="53" t="str">
        <f>vlookup(N407,Categorizations!A:C,3,FALSE)</f>
        <v>Aspergillus</v>
      </c>
      <c r="Q407" s="55">
        <v>1.0</v>
      </c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</row>
    <row r="408" ht="22.5" customHeight="1">
      <c r="A408" s="261" t="str">
        <f t="shared" si="17"/>
        <v>45853DBM Industries LLC</v>
      </c>
      <c r="B408" s="275">
        <v>45852.0</v>
      </c>
      <c r="C408" s="42">
        <v>45853.0</v>
      </c>
      <c r="D408" s="72" t="s">
        <v>36</v>
      </c>
      <c r="E408" s="110" t="s">
        <v>7309</v>
      </c>
      <c r="F408" s="95" t="s">
        <v>177</v>
      </c>
      <c r="G408" s="277" t="s">
        <v>947</v>
      </c>
      <c r="H408" s="262" t="s">
        <v>7310</v>
      </c>
      <c r="I408" s="263" t="s">
        <v>7226</v>
      </c>
      <c r="J408" s="114"/>
      <c r="K408" s="111" t="s">
        <v>636</v>
      </c>
      <c r="L408" s="270">
        <v>45705.0</v>
      </c>
      <c r="M408" s="270">
        <v>45755.0</v>
      </c>
      <c r="N408" s="53" t="s">
        <v>757</v>
      </c>
      <c r="O408" s="54" t="s">
        <v>162</v>
      </c>
      <c r="P408" s="53" t="str">
        <f>vlookup(N408,Categorizations!A:C,3,FALSE)</f>
        <v>Aspergillus</v>
      </c>
      <c r="Q408" s="55">
        <v>1.0</v>
      </c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</row>
    <row r="409" ht="22.5" customHeight="1">
      <c r="A409" s="261" t="str">
        <f t="shared" si="17"/>
        <v>458552JC LLC</v>
      </c>
      <c r="B409" s="284"/>
      <c r="C409" s="42">
        <v>45855.0</v>
      </c>
      <c r="D409" s="72" t="s">
        <v>36</v>
      </c>
      <c r="E409" s="110" t="s">
        <v>7311</v>
      </c>
      <c r="F409" s="272" t="s">
        <v>109</v>
      </c>
      <c r="G409" s="277" t="s">
        <v>180</v>
      </c>
      <c r="H409" s="268" t="s">
        <v>7144</v>
      </c>
      <c r="I409" s="263" t="s">
        <v>7132</v>
      </c>
      <c r="J409" s="114"/>
      <c r="K409" s="111" t="s">
        <v>636</v>
      </c>
      <c r="L409" s="270">
        <v>45777.0</v>
      </c>
      <c r="M409" s="270">
        <v>45777.0</v>
      </c>
      <c r="N409" s="53" t="s">
        <v>922</v>
      </c>
      <c r="O409" s="54" t="s">
        <v>162</v>
      </c>
      <c r="P409" s="53" t="str">
        <f>vlookup(N409,Categorizations!A:C,3,FALSE)</f>
        <v>Multiple</v>
      </c>
      <c r="Q409" s="55">
        <v>1.0</v>
      </c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</row>
    <row r="410" ht="22.5" customHeight="1">
      <c r="A410" s="261" t="str">
        <f t="shared" si="17"/>
        <v>4586817k Muskrat 2 Inc.</v>
      </c>
      <c r="B410" s="275">
        <v>45868.0</v>
      </c>
      <c r="C410" s="42">
        <v>45868.0</v>
      </c>
      <c r="D410" s="72" t="s">
        <v>36</v>
      </c>
      <c r="E410" s="110" t="s">
        <v>7312</v>
      </c>
      <c r="F410" s="273" t="s">
        <v>177</v>
      </c>
      <c r="G410" s="277" t="s">
        <v>947</v>
      </c>
      <c r="H410" s="262" t="s">
        <v>7307</v>
      </c>
      <c r="I410" s="263" t="s">
        <v>7313</v>
      </c>
      <c r="J410" s="114"/>
      <c r="K410" s="111" t="s">
        <v>636</v>
      </c>
      <c r="L410" s="270">
        <v>45565.0</v>
      </c>
      <c r="M410" s="270">
        <v>45588.0</v>
      </c>
      <c r="N410" s="53" t="s">
        <v>939</v>
      </c>
      <c r="O410" s="54" t="s">
        <v>162</v>
      </c>
      <c r="P410" s="53" t="str">
        <f>vlookup(N410,Categorizations!A:C,3,FALSE)</f>
        <v>Aspergillus</v>
      </c>
      <c r="Q410" s="55">
        <v>1.0</v>
      </c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</row>
    <row r="411" ht="22.5" customHeight="1">
      <c r="A411" s="261" t="str">
        <f t="shared" si="17"/>
        <v>45868City Compassionate Caregivers Inc.</v>
      </c>
      <c r="B411" s="275">
        <v>45868.0</v>
      </c>
      <c r="C411" s="42">
        <v>45868.0</v>
      </c>
      <c r="D411" s="72" t="s">
        <v>36</v>
      </c>
      <c r="E411" s="110" t="s">
        <v>7314</v>
      </c>
      <c r="F411" s="95" t="s">
        <v>177</v>
      </c>
      <c r="G411" s="277" t="s">
        <v>1161</v>
      </c>
      <c r="H411" s="268" t="s">
        <v>7315</v>
      </c>
      <c r="I411" s="263" t="s">
        <v>7316</v>
      </c>
      <c r="J411" s="114"/>
      <c r="K411" s="111" t="s">
        <v>636</v>
      </c>
      <c r="L411" s="270">
        <v>45800.0</v>
      </c>
      <c r="M411" s="270">
        <v>45838.0</v>
      </c>
      <c r="N411" s="53" t="s">
        <v>767</v>
      </c>
      <c r="O411" s="54" t="s">
        <v>162</v>
      </c>
      <c r="P411" s="53" t="str">
        <f>vlookup(N411,Categorizations!A:C,3,FALSE)</f>
        <v>Aspergillus</v>
      </c>
      <c r="Q411" s="55">
        <v>1.0</v>
      </c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</row>
    <row r="412" ht="22.5" customHeight="1">
      <c r="A412" s="261" t="str">
        <f t="shared" si="17"/>
        <v>45870Coastal Business Distribution LLC</v>
      </c>
      <c r="B412" s="275">
        <v>45868.0</v>
      </c>
      <c r="C412" s="42">
        <v>45870.0</v>
      </c>
      <c r="D412" s="72" t="s">
        <v>36</v>
      </c>
      <c r="E412" s="110" t="s">
        <v>7317</v>
      </c>
      <c r="F412" s="272" t="s">
        <v>177</v>
      </c>
      <c r="G412" s="277" t="s">
        <v>180</v>
      </c>
      <c r="H412" s="268" t="s">
        <v>7318</v>
      </c>
      <c r="I412" s="263" t="s">
        <v>7319</v>
      </c>
      <c r="J412" s="114"/>
      <c r="K412" s="111" t="s">
        <v>636</v>
      </c>
      <c r="L412" s="270">
        <v>45750.0</v>
      </c>
      <c r="M412" s="270">
        <v>45792.0</v>
      </c>
      <c r="N412" s="53" t="s">
        <v>859</v>
      </c>
      <c r="O412" s="54" t="s">
        <v>162</v>
      </c>
      <c r="P412" s="53" t="str">
        <f>vlookup(N412,Categorizations!A:C,3,FALSE)</f>
        <v>Multiple</v>
      </c>
      <c r="Q412" s="55">
        <v>1.0</v>
      </c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</row>
    <row r="413" ht="22.5" customHeight="1">
      <c r="A413" s="261" t="str">
        <f t="shared" si="17"/>
        <v>45874Natura Manufacturing LLC</v>
      </c>
      <c r="B413" s="275">
        <v>45870.0</v>
      </c>
      <c r="C413" s="42">
        <v>45874.0</v>
      </c>
      <c r="D413" s="72" t="s">
        <v>36</v>
      </c>
      <c r="E413" s="110" t="s">
        <v>7320</v>
      </c>
      <c r="F413" s="273" t="s">
        <v>177</v>
      </c>
      <c r="G413" s="277" t="s">
        <v>947</v>
      </c>
      <c r="H413" s="268" t="s">
        <v>7321</v>
      </c>
      <c r="I413" s="263" t="s">
        <v>7322</v>
      </c>
      <c r="J413" s="114"/>
      <c r="K413" s="111" t="s">
        <v>636</v>
      </c>
      <c r="L413" s="270">
        <v>45581.0</v>
      </c>
      <c r="M413" s="270">
        <v>45540.0</v>
      </c>
      <c r="N413" s="53" t="s">
        <v>859</v>
      </c>
      <c r="O413" s="54" t="s">
        <v>162</v>
      </c>
      <c r="P413" s="53" t="str">
        <f>vlookup(N413,Categorizations!A:C,3,FALSE)</f>
        <v>Multiple</v>
      </c>
      <c r="Q413" s="55">
        <v>1.0</v>
      </c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</row>
    <row r="414" ht="22.5" customHeight="1">
      <c r="A414" s="261" t="s">
        <v>7323</v>
      </c>
      <c r="B414" s="275">
        <v>45870.0</v>
      </c>
      <c r="C414" s="42">
        <v>45874.0</v>
      </c>
      <c r="D414" s="72" t="s">
        <v>36</v>
      </c>
      <c r="E414" s="110" t="s">
        <v>7324</v>
      </c>
      <c r="F414" s="273" t="s">
        <v>177</v>
      </c>
      <c r="G414" s="277" t="s">
        <v>947</v>
      </c>
      <c r="H414" s="268" t="s">
        <v>7325</v>
      </c>
      <c r="I414" s="263" t="s">
        <v>7322</v>
      </c>
      <c r="J414" s="114"/>
      <c r="K414" s="111" t="s">
        <v>636</v>
      </c>
      <c r="L414" s="270">
        <v>45516.0</v>
      </c>
      <c r="M414" s="270">
        <v>45520.0</v>
      </c>
      <c r="N414" s="53" t="s">
        <v>859</v>
      </c>
      <c r="O414" s="54" t="s">
        <v>162</v>
      </c>
      <c r="P414" s="53" t="str">
        <f>vlookup(N414,Categorizations!A:C,3,FALSE)</f>
        <v>Multiple</v>
      </c>
      <c r="Q414" s="55">
        <v>1.0</v>
      </c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</row>
    <row r="415" ht="22.5" customHeight="1">
      <c r="A415" s="261" t="str">
        <f t="shared" ref="A415:A419" si="18">concatenate(C415,I415)</f>
        <v>45880Korben Labs LLC</v>
      </c>
      <c r="B415" s="275">
        <v>45880.0</v>
      </c>
      <c r="C415" s="42">
        <v>45880.0</v>
      </c>
      <c r="D415" s="72" t="s">
        <v>36</v>
      </c>
      <c r="E415" s="110" t="s">
        <v>7326</v>
      </c>
      <c r="F415" s="148" t="s">
        <v>177</v>
      </c>
      <c r="G415" s="277" t="s">
        <v>1161</v>
      </c>
      <c r="H415" s="268" t="s">
        <v>7327</v>
      </c>
      <c r="I415" s="263" t="s">
        <v>7328</v>
      </c>
      <c r="J415" s="114"/>
      <c r="K415" s="111" t="s">
        <v>636</v>
      </c>
      <c r="L415" s="270">
        <v>45709.0</v>
      </c>
      <c r="M415" s="270">
        <v>45719.0</v>
      </c>
      <c r="N415" s="53" t="s">
        <v>945</v>
      </c>
      <c r="O415" s="54" t="s">
        <v>162</v>
      </c>
      <c r="P415" s="53" t="str">
        <f>vlookup(N415,Categorizations!A:C,3,FALSE)</f>
        <v>Inaccurate Ingredient Label</v>
      </c>
      <c r="Q415" s="55">
        <v>1.0</v>
      </c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</row>
    <row r="416" ht="22.5" customHeight="1">
      <c r="A416" s="261" t="str">
        <f t="shared" si="18"/>
        <v>45881Young Bulls LLC</v>
      </c>
      <c r="B416" s="275">
        <v>45877.0</v>
      </c>
      <c r="C416" s="42">
        <v>45881.0</v>
      </c>
      <c r="D416" s="72" t="s">
        <v>36</v>
      </c>
      <c r="E416" s="110" t="s">
        <v>7329</v>
      </c>
      <c r="F416" s="272" t="s">
        <v>177</v>
      </c>
      <c r="G416" s="277" t="s">
        <v>321</v>
      </c>
      <c r="H416" s="268" t="s">
        <v>7330</v>
      </c>
      <c r="I416" s="263" t="s">
        <v>7331</v>
      </c>
      <c r="J416" s="114"/>
      <c r="K416" s="111" t="s">
        <v>636</v>
      </c>
      <c r="L416" s="270">
        <v>45721.0</v>
      </c>
      <c r="M416" s="270">
        <v>45727.0</v>
      </c>
      <c r="N416" s="53" t="s">
        <v>870</v>
      </c>
      <c r="O416" s="54" t="s">
        <v>162</v>
      </c>
      <c r="P416" s="53" t="str">
        <f>vlookup(N416,Categorizations!A:C,3,FALSE)</f>
        <v>Invalid Testing</v>
      </c>
      <c r="Q416" s="55">
        <v>1.0</v>
      </c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</row>
    <row r="417" ht="22.5" customHeight="1">
      <c r="A417" s="261" t="str">
        <f t="shared" si="18"/>
        <v>45891Alkhemists LLC</v>
      </c>
      <c r="B417" s="275">
        <v>45890.0</v>
      </c>
      <c r="C417" s="42">
        <v>45891.0</v>
      </c>
      <c r="D417" s="72" t="s">
        <v>36</v>
      </c>
      <c r="E417" s="110" t="s">
        <v>7332</v>
      </c>
      <c r="F417" s="273" t="s">
        <v>177</v>
      </c>
      <c r="G417" s="277" t="s">
        <v>1161</v>
      </c>
      <c r="H417" s="268" t="s">
        <v>7333</v>
      </c>
      <c r="I417" s="263" t="s">
        <v>7170</v>
      </c>
      <c r="J417" s="114"/>
      <c r="K417" s="111" t="s">
        <v>636</v>
      </c>
      <c r="L417" s="270">
        <v>45531.0</v>
      </c>
      <c r="M417" s="270">
        <v>45548.0</v>
      </c>
      <c r="N417" s="53" t="s">
        <v>234</v>
      </c>
      <c r="O417" s="54" t="s">
        <v>162</v>
      </c>
      <c r="P417" s="53" t="str">
        <f>vlookup(N417,Categorizations!A:C,3,FALSE)</f>
        <v>Prohibited Additives / Product</v>
      </c>
      <c r="Q417" s="55">
        <v>1.0</v>
      </c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</row>
    <row r="418" ht="22.5" customHeight="1">
      <c r="A418" s="261" t="str">
        <f t="shared" si="18"/>
        <v>45905Punch Media LLC</v>
      </c>
      <c r="B418" s="275">
        <v>45904.0</v>
      </c>
      <c r="C418" s="42">
        <v>45905.0</v>
      </c>
      <c r="D418" s="72" t="s">
        <v>36</v>
      </c>
      <c r="E418" s="110" t="s">
        <v>7334</v>
      </c>
      <c r="F418" s="272" t="s">
        <v>177</v>
      </c>
      <c r="G418" s="277" t="s">
        <v>1161</v>
      </c>
      <c r="H418" s="262" t="s">
        <v>7335</v>
      </c>
      <c r="I418" s="263" t="s">
        <v>7336</v>
      </c>
      <c r="J418" s="114"/>
      <c r="K418" s="111" t="s">
        <v>636</v>
      </c>
      <c r="L418" s="266">
        <v>45602.0</v>
      </c>
      <c r="M418" s="270">
        <v>45609.0</v>
      </c>
      <c r="N418" s="53" t="s">
        <v>234</v>
      </c>
      <c r="O418" s="54" t="s">
        <v>162</v>
      </c>
      <c r="P418" s="53" t="str">
        <f>vlookup(N418,Categorizations!A:C,3,FALSE)</f>
        <v>Prohibited Additives / Product</v>
      </c>
      <c r="Q418" s="55">
        <v>1.0</v>
      </c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</row>
    <row r="419" ht="22.5" customHeight="1">
      <c r="A419" s="261" t="str">
        <f t="shared" si="18"/>
        <v>45909Euphoric Life Inc.</v>
      </c>
      <c r="B419" s="275">
        <v>45905.0</v>
      </c>
      <c r="C419" s="42">
        <v>45909.0</v>
      </c>
      <c r="D419" s="72" t="s">
        <v>36</v>
      </c>
      <c r="E419" s="110" t="s">
        <v>7337</v>
      </c>
      <c r="F419" s="273" t="s">
        <v>177</v>
      </c>
      <c r="G419" s="278" t="s">
        <v>852</v>
      </c>
      <c r="H419" s="262" t="s">
        <v>7338</v>
      </c>
      <c r="I419" s="263" t="s">
        <v>7339</v>
      </c>
      <c r="J419" s="114"/>
      <c r="K419" s="111" t="s">
        <v>636</v>
      </c>
      <c r="L419" s="266">
        <v>45729.0</v>
      </c>
      <c r="M419" s="271">
        <v>45741.0</v>
      </c>
      <c r="N419" s="53" t="s">
        <v>956</v>
      </c>
      <c r="O419" s="54" t="s">
        <v>162</v>
      </c>
      <c r="P419" s="53" t="str">
        <f>vlookup(N419,Categorizations!A:C,3,FALSE)</f>
        <v>Prohibited Additives / Product</v>
      </c>
      <c r="Q419" s="55">
        <v>1.0</v>
      </c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</row>
    <row r="420" ht="22.5" customHeight="1">
      <c r="A420" s="261" t="s">
        <v>7340</v>
      </c>
      <c r="B420" s="275">
        <v>45905.0</v>
      </c>
      <c r="C420" s="42">
        <v>45909.0</v>
      </c>
      <c r="D420" s="72" t="s">
        <v>36</v>
      </c>
      <c r="E420" s="110" t="s">
        <v>7341</v>
      </c>
      <c r="F420" s="272" t="s">
        <v>177</v>
      </c>
      <c r="G420" s="277" t="s">
        <v>852</v>
      </c>
      <c r="H420" s="262" t="s">
        <v>7342</v>
      </c>
      <c r="I420" s="263" t="s">
        <v>7339</v>
      </c>
      <c r="J420" s="114"/>
      <c r="K420" s="111" t="s">
        <v>636</v>
      </c>
      <c r="L420" s="271">
        <v>45797.0</v>
      </c>
      <c r="M420" s="271">
        <v>45824.0</v>
      </c>
      <c r="N420" s="53" t="s">
        <v>956</v>
      </c>
      <c r="O420" s="54" t="s">
        <v>162</v>
      </c>
      <c r="P420" s="53" t="str">
        <f>vlookup(N420,Categorizations!A:C,3,FALSE)</f>
        <v>Prohibited Additives / Product</v>
      </c>
      <c r="Q420" s="55">
        <v>1.0</v>
      </c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</row>
    <row r="421" ht="22.5" customHeight="1">
      <c r="A421" s="261" t="s">
        <v>7343</v>
      </c>
      <c r="B421" s="275">
        <v>45905.0</v>
      </c>
      <c r="C421" s="42">
        <v>45909.0</v>
      </c>
      <c r="D421" s="72" t="s">
        <v>36</v>
      </c>
      <c r="E421" s="110" t="s">
        <v>7344</v>
      </c>
      <c r="F421" s="272" t="s">
        <v>177</v>
      </c>
      <c r="G421" s="277" t="s">
        <v>852</v>
      </c>
      <c r="H421" s="262" t="s">
        <v>7345</v>
      </c>
      <c r="I421" s="263" t="s">
        <v>7339</v>
      </c>
      <c r="J421" s="114"/>
      <c r="K421" s="111" t="s">
        <v>636</v>
      </c>
      <c r="L421" s="266">
        <v>45729.0</v>
      </c>
      <c r="M421" s="270">
        <v>45741.0</v>
      </c>
      <c r="N421" s="53" t="s">
        <v>956</v>
      </c>
      <c r="O421" s="54" t="s">
        <v>162</v>
      </c>
      <c r="P421" s="53" t="str">
        <f>vlookup(N421,Categorizations!A:C,3,FALSE)</f>
        <v>Prohibited Additives / Product</v>
      </c>
      <c r="Q421" s="55">
        <v>1.0</v>
      </c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</row>
    <row r="422" ht="22.5" customHeight="1">
      <c r="A422" s="261" t="s">
        <v>7346</v>
      </c>
      <c r="B422" s="275">
        <v>45905.0</v>
      </c>
      <c r="C422" s="42">
        <v>45909.0</v>
      </c>
      <c r="D422" s="72" t="s">
        <v>36</v>
      </c>
      <c r="E422" s="110" t="s">
        <v>7347</v>
      </c>
      <c r="F422" s="273" t="s">
        <v>177</v>
      </c>
      <c r="G422" s="282" t="s">
        <v>852</v>
      </c>
      <c r="H422" s="268" t="s">
        <v>7348</v>
      </c>
      <c r="I422" s="263" t="s">
        <v>7339</v>
      </c>
      <c r="J422" s="114"/>
      <c r="K422" s="111" t="s">
        <v>636</v>
      </c>
      <c r="L422" s="270">
        <v>45805.0</v>
      </c>
      <c r="M422" s="270">
        <v>45838.0</v>
      </c>
      <c r="N422" s="53" t="s">
        <v>956</v>
      </c>
      <c r="O422" s="54" t="s">
        <v>162</v>
      </c>
      <c r="P422" s="53" t="str">
        <f>vlookup(N422,Categorizations!A:C,3,FALSE)</f>
        <v>Prohibited Additives / Product</v>
      </c>
      <c r="Q422" s="55">
        <v>1.0</v>
      </c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</row>
    <row r="423" ht="22.5" customHeight="1">
      <c r="A423" s="261" t="str">
        <f t="shared" ref="A423:A436" si="19">concatenate(C423,I423)</f>
        <v>45918Crème de Canna Collective</v>
      </c>
      <c r="B423" s="275">
        <v>45916.0</v>
      </c>
      <c r="C423" s="42">
        <v>45918.0</v>
      </c>
      <c r="D423" s="72" t="s">
        <v>36</v>
      </c>
      <c r="E423" s="110" t="s">
        <v>7349</v>
      </c>
      <c r="F423" s="95" t="s">
        <v>177</v>
      </c>
      <c r="G423" s="72" t="s">
        <v>180</v>
      </c>
      <c r="H423" s="262" t="s">
        <v>7350</v>
      </c>
      <c r="I423" s="263" t="s">
        <v>7351</v>
      </c>
      <c r="J423" s="114"/>
      <c r="K423" s="111" t="s">
        <v>636</v>
      </c>
      <c r="L423" s="266">
        <v>45828.0</v>
      </c>
      <c r="M423" s="270">
        <v>45841.0</v>
      </c>
      <c r="N423" s="53" t="s">
        <v>791</v>
      </c>
      <c r="O423" s="54" t="s">
        <v>162</v>
      </c>
      <c r="P423" s="53" t="str">
        <f>vlookup(N423,Categorizations!A:C,3,FALSE)</f>
        <v>Multiple</v>
      </c>
      <c r="Q423" s="55">
        <v>1.0</v>
      </c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</row>
    <row r="424" ht="22.5" customHeight="1">
      <c r="A424" s="261" t="str">
        <f t="shared" si="19"/>
        <v>45922Odyssey Agricultural Development LLC</v>
      </c>
      <c r="B424" s="275">
        <v>45919.0</v>
      </c>
      <c r="C424" s="42">
        <v>45922.0</v>
      </c>
      <c r="D424" s="72" t="s">
        <v>36</v>
      </c>
      <c r="E424" s="110" t="s">
        <v>7352</v>
      </c>
      <c r="F424" s="272" t="s">
        <v>177</v>
      </c>
      <c r="G424" s="277" t="s">
        <v>321</v>
      </c>
      <c r="H424" s="268" t="s">
        <v>7353</v>
      </c>
      <c r="I424" s="263" t="s">
        <v>7354</v>
      </c>
      <c r="J424" s="114"/>
      <c r="K424" s="111" t="s">
        <v>636</v>
      </c>
      <c r="L424" s="266">
        <v>45856.0</v>
      </c>
      <c r="M424" s="270">
        <v>45866.0</v>
      </c>
      <c r="N424" s="53" t="s">
        <v>757</v>
      </c>
      <c r="O424" s="54" t="s">
        <v>162</v>
      </c>
      <c r="P424" s="53" t="str">
        <f>vlookup(N424,Categorizations!A:C,3,FALSE)</f>
        <v>Aspergillus</v>
      </c>
      <c r="Q424" s="55">
        <v>1.0</v>
      </c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</row>
    <row r="425" ht="22.5" customHeight="1">
      <c r="A425" s="261" t="str">
        <f t="shared" si="19"/>
        <v>45933Broadway Alliance LLC</v>
      </c>
      <c r="B425" s="275">
        <v>45932.0</v>
      </c>
      <c r="C425" s="42">
        <v>45933.0</v>
      </c>
      <c r="D425" s="72" t="s">
        <v>36</v>
      </c>
      <c r="E425" s="110" t="s">
        <v>7355</v>
      </c>
      <c r="F425" s="273" t="s">
        <v>177</v>
      </c>
      <c r="G425" s="277" t="s">
        <v>1027</v>
      </c>
      <c r="H425" s="262" t="s">
        <v>7356</v>
      </c>
      <c r="I425" s="263" t="s">
        <v>7191</v>
      </c>
      <c r="J425" s="114"/>
      <c r="K425" s="111" t="s">
        <v>636</v>
      </c>
      <c r="L425" s="266">
        <v>45754.0</v>
      </c>
      <c r="M425" s="271">
        <v>45783.0</v>
      </c>
      <c r="N425" s="53" t="s">
        <v>767</v>
      </c>
      <c r="O425" s="54" t="s">
        <v>162</v>
      </c>
      <c r="P425" s="53" t="str">
        <f>vlookup(N425,Categorizations!A:C,3,FALSE)</f>
        <v>Aspergillus</v>
      </c>
      <c r="Q425" s="55">
        <v>1.0</v>
      </c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</row>
    <row r="426" ht="22.5" customHeight="1">
      <c r="A426" s="261" t="str">
        <f t="shared" si="19"/>
        <v>45947Mar Bay Gardens</v>
      </c>
      <c r="B426" s="275">
        <v>45946.0</v>
      </c>
      <c r="C426" s="42">
        <v>45947.0</v>
      </c>
      <c r="D426" s="72" t="s">
        <v>36</v>
      </c>
      <c r="E426" s="110" t="s">
        <v>7357</v>
      </c>
      <c r="F426" s="95" t="s">
        <v>177</v>
      </c>
      <c r="G426" s="277" t="s">
        <v>321</v>
      </c>
      <c r="H426" s="262" t="s">
        <v>7358</v>
      </c>
      <c r="I426" s="263" t="s">
        <v>7359</v>
      </c>
      <c r="J426" s="114"/>
      <c r="K426" s="111" t="s">
        <v>636</v>
      </c>
      <c r="L426" s="266">
        <v>45868.0</v>
      </c>
      <c r="M426" s="270">
        <v>45896.0</v>
      </c>
      <c r="N426" s="53" t="s">
        <v>870</v>
      </c>
      <c r="O426" s="54" t="s">
        <v>162</v>
      </c>
      <c r="P426" s="53" t="str">
        <f>vlookup(N426,Categorizations!A:C,3,FALSE)</f>
        <v>Invalid Testing</v>
      </c>
      <c r="Q426" s="55">
        <v>1.0</v>
      </c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</row>
    <row r="427" ht="22.5" customHeight="1">
      <c r="A427" s="261" t="str">
        <f t="shared" si="19"/>
        <v>45975PJC Wellness LLC</v>
      </c>
      <c r="B427" s="275">
        <v>45974.0</v>
      </c>
      <c r="C427" s="42">
        <v>45975.0</v>
      </c>
      <c r="D427" s="72" t="s">
        <v>36</v>
      </c>
      <c r="E427" s="110" t="s">
        <v>7360</v>
      </c>
      <c r="F427" s="272" t="s">
        <v>177</v>
      </c>
      <c r="G427" s="277" t="s">
        <v>180</v>
      </c>
      <c r="H427" s="262" t="s">
        <v>7361</v>
      </c>
      <c r="I427" s="263" t="s">
        <v>7362</v>
      </c>
      <c r="J427" s="114"/>
      <c r="K427" s="111" t="s">
        <v>636</v>
      </c>
      <c r="L427" s="266">
        <v>45752.0</v>
      </c>
      <c r="M427" s="271">
        <v>45841.0</v>
      </c>
      <c r="N427" s="53" t="s">
        <v>966</v>
      </c>
      <c r="O427" s="54" t="s">
        <v>162</v>
      </c>
      <c r="P427" s="53" t="str">
        <f>vlookup(N427,Categorizations!A:C,3,FALSE)</f>
        <v>Pesticides</v>
      </c>
      <c r="Q427" s="55">
        <v>1.0</v>
      </c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</row>
    <row r="428" ht="22.5" customHeight="1">
      <c r="A428" s="261" t="str">
        <f t="shared" si="19"/>
        <v>45981The Distillate Company LLC</v>
      </c>
      <c r="B428" s="275">
        <v>45980.0</v>
      </c>
      <c r="C428" s="42">
        <v>45981.0</v>
      </c>
      <c r="D428" s="72" t="s">
        <v>36</v>
      </c>
      <c r="E428" s="110" t="s">
        <v>7363</v>
      </c>
      <c r="F428" s="272" t="s">
        <v>177</v>
      </c>
      <c r="G428" s="277" t="s">
        <v>947</v>
      </c>
      <c r="H428" s="262" t="s">
        <v>7364</v>
      </c>
      <c r="I428" s="263" t="s">
        <v>7365</v>
      </c>
      <c r="J428" s="114"/>
      <c r="K428" s="111" t="s">
        <v>636</v>
      </c>
      <c r="L428" s="270">
        <v>45743.0</v>
      </c>
      <c r="M428" s="270">
        <v>45761.0</v>
      </c>
      <c r="N428" s="53" t="s">
        <v>225</v>
      </c>
      <c r="O428" s="54" t="s">
        <v>162</v>
      </c>
      <c r="P428" s="53" t="str">
        <f>vlookup(N428,Categorizations!A:C,3,FALSE)</f>
        <v>Pesticides</v>
      </c>
      <c r="Q428" s="55">
        <v>1.0</v>
      </c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</row>
    <row r="429" ht="22.5" customHeight="1">
      <c r="A429" s="261" t="str">
        <f t="shared" si="19"/>
        <v>45987Scislc LLC</v>
      </c>
      <c r="B429" s="275">
        <v>45985.0</v>
      </c>
      <c r="C429" s="42">
        <v>45987.0</v>
      </c>
      <c r="D429" s="72" t="s">
        <v>36</v>
      </c>
      <c r="E429" s="110" t="s">
        <v>7366</v>
      </c>
      <c r="F429" s="272" t="s">
        <v>177</v>
      </c>
      <c r="G429" s="277" t="s">
        <v>837</v>
      </c>
      <c r="H429" s="262" t="s">
        <v>7367</v>
      </c>
      <c r="I429" s="263" t="s">
        <v>7368</v>
      </c>
      <c r="J429" s="114"/>
      <c r="K429" s="111" t="s">
        <v>636</v>
      </c>
      <c r="L429" s="270">
        <v>45645.0</v>
      </c>
      <c r="M429" s="270">
        <v>45666.0</v>
      </c>
      <c r="N429" s="53" t="s">
        <v>767</v>
      </c>
      <c r="O429" s="54" t="s">
        <v>162</v>
      </c>
      <c r="P429" s="53" t="str">
        <f>vlookup(N429,Categorizations!A:C,3,FALSE)</f>
        <v>Aspergillus</v>
      </c>
      <c r="Q429" s="55">
        <v>1.0</v>
      </c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</row>
    <row r="430" ht="22.5" customHeight="1">
      <c r="A430" s="261" t="str">
        <f t="shared" si="19"/>
        <v>45992Full Spectrum Group Inc.</v>
      </c>
      <c r="B430" s="275">
        <v>45992.0</v>
      </c>
      <c r="C430" s="42">
        <v>45992.0</v>
      </c>
      <c r="D430" s="72" t="s">
        <v>36</v>
      </c>
      <c r="E430" s="110" t="s">
        <v>7369</v>
      </c>
      <c r="F430" s="272" t="s">
        <v>177</v>
      </c>
      <c r="G430" s="277" t="s">
        <v>852</v>
      </c>
      <c r="H430" s="262" t="s">
        <v>7370</v>
      </c>
      <c r="I430" s="263" t="s">
        <v>7272</v>
      </c>
      <c r="J430" s="114"/>
      <c r="K430" s="111" t="s">
        <v>636</v>
      </c>
      <c r="L430" s="271">
        <v>45769.0</v>
      </c>
      <c r="M430" s="271">
        <v>45782.0</v>
      </c>
      <c r="N430" s="53" t="s">
        <v>977</v>
      </c>
      <c r="O430" s="54" t="s">
        <v>162</v>
      </c>
      <c r="P430" s="53" t="str">
        <f>vlookup(N430,Categorizations!A:C,3,FALSE)</f>
        <v>Multiple</v>
      </c>
      <c r="Q430" s="55">
        <v>1.0</v>
      </c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</row>
    <row r="431" ht="22.5" customHeight="1">
      <c r="A431" s="261" t="str">
        <f t="shared" si="19"/>
        <v>45992Crown Genetics LLC</v>
      </c>
      <c r="B431" s="275">
        <v>45986.0</v>
      </c>
      <c r="C431" s="42">
        <v>45992.0</v>
      </c>
      <c r="D431" s="72" t="s">
        <v>36</v>
      </c>
      <c r="E431" s="110" t="s">
        <v>7371</v>
      </c>
      <c r="F431" s="148" t="s">
        <v>177</v>
      </c>
      <c r="G431" s="277" t="s">
        <v>1027</v>
      </c>
      <c r="H431" s="262" t="s">
        <v>7372</v>
      </c>
      <c r="I431" s="263" t="s">
        <v>7373</v>
      </c>
      <c r="J431" s="114"/>
      <c r="K431" s="111" t="s">
        <v>636</v>
      </c>
      <c r="L431" s="266">
        <v>45919.0</v>
      </c>
      <c r="M431" s="270">
        <v>45929.0</v>
      </c>
      <c r="N431" s="53" t="s">
        <v>767</v>
      </c>
      <c r="O431" s="54" t="s">
        <v>162</v>
      </c>
      <c r="P431" s="53" t="str">
        <f>vlookup(N431,Categorizations!A:C,3,FALSE)</f>
        <v>Aspergillus</v>
      </c>
      <c r="Q431" s="55">
        <v>1.0</v>
      </c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</row>
    <row r="432" ht="22.5" customHeight="1">
      <c r="A432" s="261" t="str">
        <f t="shared" si="19"/>
        <v>45995Fluids Manufacturing Inc</v>
      </c>
      <c r="B432" s="275">
        <v>45992.0</v>
      </c>
      <c r="C432" s="42">
        <v>45995.0</v>
      </c>
      <c r="D432" s="72" t="s">
        <v>36</v>
      </c>
      <c r="E432" s="110" t="s">
        <v>7374</v>
      </c>
      <c r="F432" s="148" t="s">
        <v>177</v>
      </c>
      <c r="G432" s="277" t="s">
        <v>180</v>
      </c>
      <c r="H432" s="262" t="s">
        <v>7375</v>
      </c>
      <c r="I432" s="263" t="s">
        <v>7376</v>
      </c>
      <c r="J432" s="114"/>
      <c r="K432" s="111" t="s">
        <v>636</v>
      </c>
      <c r="L432" s="270">
        <v>45883.0</v>
      </c>
      <c r="M432" s="270">
        <v>45891.0</v>
      </c>
      <c r="N432" s="53" t="s">
        <v>927</v>
      </c>
      <c r="O432" s="54" t="s">
        <v>162</v>
      </c>
      <c r="P432" s="53" t="str">
        <f>vlookup(N432,Categorizations!A:C,3,FALSE)</f>
        <v>Multiple</v>
      </c>
      <c r="Q432" s="55">
        <v>1.0</v>
      </c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</row>
    <row r="433" ht="22.5" customHeight="1">
      <c r="A433" s="261" t="str">
        <f t="shared" si="19"/>
        <v>45995TKC Group</v>
      </c>
      <c r="B433" s="275">
        <v>45994.0</v>
      </c>
      <c r="C433" s="42">
        <v>45995.0</v>
      </c>
      <c r="D433" s="72" t="s">
        <v>36</v>
      </c>
      <c r="E433" s="110" t="s">
        <v>7377</v>
      </c>
      <c r="F433" s="148" t="s">
        <v>177</v>
      </c>
      <c r="G433" s="277" t="s">
        <v>947</v>
      </c>
      <c r="H433" s="262" t="s">
        <v>7378</v>
      </c>
      <c r="I433" s="263" t="s">
        <v>7379</v>
      </c>
      <c r="J433" s="114"/>
      <c r="K433" s="111" t="s">
        <v>636</v>
      </c>
      <c r="L433" s="270">
        <v>45854.0</v>
      </c>
      <c r="M433" s="270">
        <v>45888.0</v>
      </c>
      <c r="N433" s="53" t="s">
        <v>759</v>
      </c>
      <c r="O433" s="54" t="s">
        <v>162</v>
      </c>
      <c r="P433" s="53" t="str">
        <f>vlookup(N433,Categorizations!A:C,3,FALSE)</f>
        <v>Salmonella</v>
      </c>
      <c r="Q433" s="55">
        <v>1.0</v>
      </c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</row>
    <row r="434" ht="22.5" customHeight="1">
      <c r="A434" s="261" t="str">
        <f t="shared" si="19"/>
        <v>45995Strong Agronomy Management Inc.</v>
      </c>
      <c r="B434" s="284"/>
      <c r="C434" s="42">
        <v>45995.0</v>
      </c>
      <c r="D434" s="72" t="s">
        <v>36</v>
      </c>
      <c r="E434" s="110" t="s">
        <v>7380</v>
      </c>
      <c r="F434" s="148" t="s">
        <v>109</v>
      </c>
      <c r="G434" s="282" t="s">
        <v>180</v>
      </c>
      <c r="H434" s="262" t="s">
        <v>7381</v>
      </c>
      <c r="I434" s="263" t="s">
        <v>7382</v>
      </c>
      <c r="J434" s="114"/>
      <c r="K434" s="111" t="s">
        <v>636</v>
      </c>
      <c r="L434" s="271">
        <v>45911.0</v>
      </c>
      <c r="M434" s="271">
        <v>45932.0</v>
      </c>
      <c r="N434" s="53" t="s">
        <v>757</v>
      </c>
      <c r="O434" s="54" t="s">
        <v>162</v>
      </c>
      <c r="P434" s="53" t="str">
        <f>vlookup(N434,Categorizations!A:C,3,FALSE)</f>
        <v>Aspergillus</v>
      </c>
      <c r="Q434" s="55">
        <v>1.0</v>
      </c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</row>
    <row r="435" ht="22.5" customHeight="1">
      <c r="A435" s="261" t="str">
        <f t="shared" si="19"/>
        <v>46013Sacramento Confidential Delivery Inc.</v>
      </c>
      <c r="B435" s="275">
        <v>46010.0</v>
      </c>
      <c r="C435" s="42">
        <v>46013.0</v>
      </c>
      <c r="D435" s="72" t="s">
        <v>36</v>
      </c>
      <c r="E435" s="110" t="s">
        <v>7383</v>
      </c>
      <c r="F435" s="95" t="s">
        <v>177</v>
      </c>
      <c r="G435" s="72" t="s">
        <v>180</v>
      </c>
      <c r="H435" s="262" t="s">
        <v>7384</v>
      </c>
      <c r="I435" s="263" t="s">
        <v>7385</v>
      </c>
      <c r="J435" s="114"/>
      <c r="K435" s="111" t="s">
        <v>636</v>
      </c>
      <c r="L435" s="270">
        <v>45807.0</v>
      </c>
      <c r="M435" s="270">
        <v>45861.0</v>
      </c>
      <c r="N435" s="53" t="s">
        <v>884</v>
      </c>
      <c r="O435" s="54" t="s">
        <v>162</v>
      </c>
      <c r="P435" s="53" t="str">
        <f>vlookup(N435,Categorizations!A:C,3,FALSE)</f>
        <v>Aspergillus</v>
      </c>
      <c r="Q435" s="55">
        <v>1.0</v>
      </c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</row>
    <row r="436" ht="22.5" customHeight="1">
      <c r="A436" s="261" t="str">
        <f t="shared" si="19"/>
        <v>46014McHenry Business Services LLC</v>
      </c>
      <c r="B436" s="275">
        <v>46007.0</v>
      </c>
      <c r="C436" s="42">
        <v>46014.0</v>
      </c>
      <c r="D436" s="72" t="s">
        <v>36</v>
      </c>
      <c r="E436" s="110" t="s">
        <v>7386</v>
      </c>
      <c r="F436" s="95" t="s">
        <v>177</v>
      </c>
      <c r="G436" s="72" t="s">
        <v>883</v>
      </c>
      <c r="H436" s="262" t="s">
        <v>7387</v>
      </c>
      <c r="I436" s="263" t="s">
        <v>7388</v>
      </c>
      <c r="J436" s="114"/>
      <c r="K436" s="111" t="s">
        <v>636</v>
      </c>
      <c r="L436" s="270">
        <v>45826.0</v>
      </c>
      <c r="M436" s="266">
        <v>45846.0</v>
      </c>
      <c r="N436" s="53" t="s">
        <v>994</v>
      </c>
      <c r="O436" s="54" t="s">
        <v>162</v>
      </c>
      <c r="P436" s="53" t="str">
        <f>vlookup(N436,Categorizations!A:C,3,FALSE)</f>
        <v>Multiple</v>
      </c>
      <c r="Q436" s="55">
        <v>1.0</v>
      </c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</row>
    <row r="437" ht="22.5" customHeight="1">
      <c r="A437" s="261" t="s">
        <v>7389</v>
      </c>
      <c r="B437" s="275">
        <v>46007.0</v>
      </c>
      <c r="C437" s="42">
        <v>46014.0</v>
      </c>
      <c r="D437" s="72" t="s">
        <v>36</v>
      </c>
      <c r="E437" s="110" t="s">
        <v>7390</v>
      </c>
      <c r="F437" s="95" t="s">
        <v>177</v>
      </c>
      <c r="G437" s="72" t="s">
        <v>883</v>
      </c>
      <c r="H437" s="262" t="s">
        <v>7391</v>
      </c>
      <c r="I437" s="263" t="s">
        <v>7388</v>
      </c>
      <c r="J437" s="114"/>
      <c r="K437" s="111" t="s">
        <v>636</v>
      </c>
      <c r="L437" s="270">
        <v>45884.0</v>
      </c>
      <c r="M437" s="266">
        <v>45909.0</v>
      </c>
      <c r="N437" s="53" t="s">
        <v>994</v>
      </c>
      <c r="O437" s="54" t="s">
        <v>162</v>
      </c>
      <c r="P437" s="53" t="str">
        <f>vlookup(N437,Categorizations!A:C,3,FALSE)</f>
        <v>Multiple</v>
      </c>
      <c r="Q437" s="55">
        <v>1.0</v>
      </c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</row>
    <row r="438" ht="22.5" customHeight="1">
      <c r="A438" s="261" t="str">
        <f t="shared" ref="A438:A447" si="20">concatenate(C438,I438)</f>
        <v>46037Arbala Weed LLC</v>
      </c>
      <c r="B438" s="275">
        <v>46037.0</v>
      </c>
      <c r="C438" s="42">
        <v>46037.0</v>
      </c>
      <c r="D438" s="72" t="s">
        <v>36</v>
      </c>
      <c r="E438" s="110" t="s">
        <v>7392</v>
      </c>
      <c r="F438" s="95" t="s">
        <v>177</v>
      </c>
      <c r="G438" s="277" t="s">
        <v>1027</v>
      </c>
      <c r="H438" s="262" t="s">
        <v>7393</v>
      </c>
      <c r="I438" s="263" t="s">
        <v>7394</v>
      </c>
      <c r="J438" s="114"/>
      <c r="K438" s="111" t="s">
        <v>636</v>
      </c>
      <c r="L438" s="270">
        <v>45670.0</v>
      </c>
      <c r="M438" s="270">
        <v>45670.0</v>
      </c>
      <c r="N438" s="53" t="s">
        <v>767</v>
      </c>
      <c r="O438" s="54" t="s">
        <v>162</v>
      </c>
      <c r="P438" s="53" t="str">
        <f>vlookup(N438,Categorizations!A:C,3,FALSE)</f>
        <v>Aspergillus</v>
      </c>
      <c r="Q438" s="55">
        <v>1.0</v>
      </c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</row>
    <row r="439" ht="22.5" customHeight="1">
      <c r="A439" s="261" t="str">
        <f t="shared" si="20"/>
        <v>46059Punch Media LLC</v>
      </c>
      <c r="B439" s="275">
        <v>46058.0</v>
      </c>
      <c r="C439" s="42">
        <v>46059.0</v>
      </c>
      <c r="D439" s="72" t="s">
        <v>36</v>
      </c>
      <c r="E439" s="110" t="s">
        <v>7395</v>
      </c>
      <c r="F439" s="95" t="s">
        <v>177</v>
      </c>
      <c r="G439" s="278" t="s">
        <v>837</v>
      </c>
      <c r="H439" s="262" t="s">
        <v>7396</v>
      </c>
      <c r="I439" s="263" t="s">
        <v>7336</v>
      </c>
      <c r="J439" s="114"/>
      <c r="K439" s="111" t="s">
        <v>636</v>
      </c>
      <c r="L439" s="266">
        <v>45771.0</v>
      </c>
      <c r="M439" s="266">
        <v>45778.0</v>
      </c>
      <c r="N439" s="53" t="s">
        <v>933</v>
      </c>
      <c r="O439" s="54" t="s">
        <v>162</v>
      </c>
      <c r="P439" s="53" t="str">
        <f>vlookup(N439,Categorizations!A:C,3,FALSE)</f>
        <v>Aspergillus</v>
      </c>
      <c r="Q439" s="55">
        <v>1.0</v>
      </c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</row>
    <row r="440" ht="22.5" customHeight="1">
      <c r="A440" s="261" t="str">
        <f t="shared" si="20"/>
        <v>46076Commerce C1 LLC</v>
      </c>
      <c r="B440" s="275">
        <v>46073.0</v>
      </c>
      <c r="C440" s="42">
        <v>46076.0</v>
      </c>
      <c r="D440" s="72" t="s">
        <v>36</v>
      </c>
      <c r="E440" s="110" t="s">
        <v>7397</v>
      </c>
      <c r="F440" s="272" t="s">
        <v>177</v>
      </c>
      <c r="G440" s="277" t="s">
        <v>180</v>
      </c>
      <c r="H440" s="262" t="s">
        <v>7398</v>
      </c>
      <c r="I440" s="263" t="s">
        <v>7399</v>
      </c>
      <c r="J440" s="114"/>
      <c r="K440" s="111" t="s">
        <v>636</v>
      </c>
      <c r="L440" s="270">
        <v>45939.0</v>
      </c>
      <c r="M440" s="270">
        <v>45939.0</v>
      </c>
      <c r="N440" s="53" t="s">
        <v>927</v>
      </c>
      <c r="O440" s="54" t="s">
        <v>162</v>
      </c>
      <c r="P440" s="53" t="str">
        <f>vlookup(N440,Categorizations!A:C,3,FALSE)</f>
        <v>Multiple</v>
      </c>
      <c r="Q440" s="55">
        <v>1.0</v>
      </c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</row>
    <row r="441" ht="22.5" customHeight="1">
      <c r="A441" s="261" t="str">
        <f t="shared" si="20"/>
        <v>46084Shield Management Group LLC</v>
      </c>
      <c r="B441" s="275">
        <v>46080.0</v>
      </c>
      <c r="C441" s="42">
        <v>46084.0</v>
      </c>
      <c r="D441" s="72" t="s">
        <v>36</v>
      </c>
      <c r="E441" s="110" t="s">
        <v>7400</v>
      </c>
      <c r="F441" s="272" t="s">
        <v>177</v>
      </c>
      <c r="G441" s="277" t="s">
        <v>321</v>
      </c>
      <c r="H441" s="262" t="s">
        <v>7401</v>
      </c>
      <c r="I441" s="263" t="s">
        <v>7162</v>
      </c>
      <c r="J441" s="114"/>
      <c r="K441" s="111" t="s">
        <v>636</v>
      </c>
      <c r="L441" s="270">
        <v>45986.0</v>
      </c>
      <c r="M441" s="270">
        <v>45999.0</v>
      </c>
      <c r="N441" s="53" t="s">
        <v>757</v>
      </c>
      <c r="O441" s="54" t="s">
        <v>162</v>
      </c>
      <c r="P441" s="53" t="str">
        <f>vlookup(N441,Categorizations!A:C,3,FALSE)</f>
        <v>Aspergillus</v>
      </c>
      <c r="Q441" s="55">
        <v>1.0</v>
      </c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</row>
    <row r="442" ht="22.5" customHeight="1">
      <c r="A442" s="261" t="str">
        <f t="shared" si="20"/>
        <v>46085Left Coast LLC</v>
      </c>
      <c r="B442" s="275">
        <v>46085.0</v>
      </c>
      <c r="C442" s="42">
        <v>46085.0</v>
      </c>
      <c r="D442" s="72" t="s">
        <v>36</v>
      </c>
      <c r="E442" s="110" t="s">
        <v>7402</v>
      </c>
      <c r="F442" s="273" t="s">
        <v>177</v>
      </c>
      <c r="G442" s="282" t="s">
        <v>180</v>
      </c>
      <c r="H442" s="262" t="s">
        <v>7403</v>
      </c>
      <c r="I442" s="263" t="s">
        <v>7404</v>
      </c>
      <c r="J442" s="114"/>
      <c r="K442" s="111" t="s">
        <v>636</v>
      </c>
      <c r="L442" s="266">
        <v>45950.0</v>
      </c>
      <c r="M442" s="270">
        <v>45950.0</v>
      </c>
      <c r="N442" s="53" t="s">
        <v>927</v>
      </c>
      <c r="O442" s="54" t="s">
        <v>162</v>
      </c>
      <c r="P442" s="53" t="str">
        <f>vlookup(N442,Categorizations!A:C,3,FALSE)</f>
        <v>Multiple</v>
      </c>
      <c r="Q442" s="55">
        <v>1.0</v>
      </c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</row>
    <row r="443" ht="22.5" customHeight="1">
      <c r="A443" s="261" t="str">
        <f t="shared" si="20"/>
        <v>46087Punch Media LLC</v>
      </c>
      <c r="B443" s="275">
        <v>46086.0</v>
      </c>
      <c r="C443" s="42">
        <v>46087.0</v>
      </c>
      <c r="D443" s="72" t="s">
        <v>36</v>
      </c>
      <c r="E443" s="110" t="s">
        <v>7405</v>
      </c>
      <c r="F443" s="95" t="s">
        <v>177</v>
      </c>
      <c r="G443" s="72" t="s">
        <v>729</v>
      </c>
      <c r="H443" s="262" t="s">
        <v>7406</v>
      </c>
      <c r="I443" s="263" t="s">
        <v>7336</v>
      </c>
      <c r="J443" s="114"/>
      <c r="K443" s="111" t="s">
        <v>636</v>
      </c>
      <c r="L443" s="270">
        <v>45916.0</v>
      </c>
      <c r="M443" s="270">
        <v>45944.0</v>
      </c>
      <c r="N443" s="53" t="s">
        <v>933</v>
      </c>
      <c r="O443" s="54" t="s">
        <v>162</v>
      </c>
      <c r="P443" s="53" t="str">
        <f>vlookup(N443,Categorizations!A:C,3,FALSE)</f>
        <v>Aspergillus</v>
      </c>
      <c r="Q443" s="55">
        <v>1.0</v>
      </c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</row>
    <row r="444" ht="22.5" customHeight="1">
      <c r="A444" s="261" t="str">
        <f t="shared" si="20"/>
        <v>45534SLOW BURN FARMS, LLC</v>
      </c>
      <c r="B444" s="286"/>
      <c r="C444" s="42">
        <v>45534.0</v>
      </c>
      <c r="D444" s="72" t="s">
        <v>42</v>
      </c>
      <c r="E444" s="110" t="s">
        <v>7407</v>
      </c>
      <c r="F444" s="95" t="s">
        <v>7408</v>
      </c>
      <c r="G444" s="72" t="s">
        <v>321</v>
      </c>
      <c r="H444" s="95" t="s">
        <v>7409</v>
      </c>
      <c r="I444" s="66" t="s">
        <v>7409</v>
      </c>
      <c r="J444" s="114"/>
      <c r="K444" s="111" t="s">
        <v>636</v>
      </c>
      <c r="L444" s="289">
        <v>45278.0</v>
      </c>
      <c r="M444" s="96">
        <v>45330.0</v>
      </c>
      <c r="N444" s="53" t="s">
        <v>236</v>
      </c>
      <c r="O444" s="54" t="s">
        <v>162</v>
      </c>
      <c r="P444" s="53" t="str">
        <f>vlookup(N444,Categorizations!A:C,3,FALSE)</f>
        <v>No GMP</v>
      </c>
      <c r="Q444" s="55">
        <v>1.0</v>
      </c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</row>
    <row r="445" ht="22.5" customHeight="1">
      <c r="A445" s="261" t="str">
        <f t="shared" si="20"/>
        <v>45597Wyld</v>
      </c>
      <c r="B445" s="290">
        <v>45594.0</v>
      </c>
      <c r="C445" s="42">
        <v>45597.0</v>
      </c>
      <c r="D445" s="72" t="s">
        <v>42</v>
      </c>
      <c r="E445" s="110" t="s">
        <v>7410</v>
      </c>
      <c r="F445" s="95" t="s">
        <v>7408</v>
      </c>
      <c r="G445" s="72" t="s">
        <v>837</v>
      </c>
      <c r="H445" s="95" t="s">
        <v>7411</v>
      </c>
      <c r="I445" s="66" t="s">
        <v>742</v>
      </c>
      <c r="J445" s="95" t="s">
        <v>636</v>
      </c>
      <c r="K445" s="111" t="s">
        <v>636</v>
      </c>
      <c r="L445" s="285"/>
      <c r="M445" s="96">
        <v>45364.0</v>
      </c>
      <c r="N445" s="53" t="s">
        <v>1012</v>
      </c>
      <c r="O445" s="54" t="s">
        <v>162</v>
      </c>
      <c r="P445" s="53" t="str">
        <f>vlookup(N445,Categorizations!A:C,3,FALSE)</f>
        <v>Distributor Without License</v>
      </c>
      <c r="Q445" s="55">
        <v>1.0</v>
      </c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</row>
    <row r="446" ht="22.5" customHeight="1">
      <c r="A446" s="261" t="str">
        <f t="shared" si="20"/>
        <v>45610RR Services, LLC</v>
      </c>
      <c r="B446" s="286"/>
      <c r="C446" s="42">
        <v>45610.0</v>
      </c>
      <c r="D446" s="72" t="s">
        <v>42</v>
      </c>
      <c r="E446" s="110" t="s">
        <v>7412</v>
      </c>
      <c r="F446" s="95" t="s">
        <v>7408</v>
      </c>
      <c r="G446" s="72" t="s">
        <v>180</v>
      </c>
      <c r="H446" s="95" t="s">
        <v>7413</v>
      </c>
      <c r="I446" s="66" t="s">
        <v>7414</v>
      </c>
      <c r="J446" s="114"/>
      <c r="K446" s="111" t="s">
        <v>636</v>
      </c>
      <c r="L446" s="285"/>
      <c r="M446" s="96">
        <v>45380.0</v>
      </c>
      <c r="N446" s="53" t="s">
        <v>1023</v>
      </c>
      <c r="O446" s="54" t="s">
        <v>162</v>
      </c>
      <c r="P446" s="53" t="str">
        <f>vlookup(N446,Categorizations!A:C,3,FALSE)</f>
        <v>Multiple</v>
      </c>
      <c r="Q446" s="55">
        <v>1.0</v>
      </c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</row>
    <row r="447" ht="22.5" customHeight="1">
      <c r="A447" s="261" t="str">
        <f t="shared" si="20"/>
        <v>45670Levels IV Inc and SKL Holdings III LLC</v>
      </c>
      <c r="B447" s="286"/>
      <c r="C447" s="42">
        <v>45670.0</v>
      </c>
      <c r="D447" s="72" t="s">
        <v>42</v>
      </c>
      <c r="E447" s="110" t="s">
        <v>7415</v>
      </c>
      <c r="F447" s="95" t="s">
        <v>7408</v>
      </c>
      <c r="G447" s="72" t="s">
        <v>180</v>
      </c>
      <c r="H447" s="95" t="s">
        <v>7416</v>
      </c>
      <c r="I447" s="66" t="s">
        <v>7416</v>
      </c>
      <c r="J447" s="114"/>
      <c r="K447" s="111" t="s">
        <v>636</v>
      </c>
      <c r="L447" s="285"/>
      <c r="M447" s="96">
        <v>45654.0</v>
      </c>
      <c r="N447" s="53" t="s">
        <v>1029</v>
      </c>
      <c r="O447" s="54" t="s">
        <v>162</v>
      </c>
      <c r="P447" s="53" t="str">
        <f>vlookup(N447,Categorizations!A:C,3,FALSE)</f>
        <v>Inaccurate Potency</v>
      </c>
      <c r="Q447" s="55">
        <v>1.0</v>
      </c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</row>
    <row r="448" ht="22.5" customHeight="1">
      <c r="A448" s="261" t="str">
        <f>concatenate(C448,H448)</f>
        <v>45685Bud &amp; Mary's Cannabis</v>
      </c>
      <c r="B448" s="286"/>
      <c r="C448" s="42">
        <v>45685.0</v>
      </c>
      <c r="D448" s="72" t="s">
        <v>42</v>
      </c>
      <c r="E448" s="110" t="s">
        <v>7417</v>
      </c>
      <c r="F448" s="95" t="s">
        <v>7408</v>
      </c>
      <c r="G448" s="72" t="s">
        <v>180</v>
      </c>
      <c r="H448" s="95" t="s">
        <v>7418</v>
      </c>
      <c r="I448" s="49" t="s">
        <v>7419</v>
      </c>
      <c r="J448" s="114"/>
      <c r="K448" s="111" t="s">
        <v>636</v>
      </c>
      <c r="L448" s="285"/>
      <c r="M448" s="96">
        <v>45329.0</v>
      </c>
      <c r="N448" s="53" t="s">
        <v>1029</v>
      </c>
      <c r="O448" s="54" t="s">
        <v>162</v>
      </c>
      <c r="P448" s="53" t="str">
        <f>vlookup(N448,Categorizations!A:C,3,FALSE)</f>
        <v>Inaccurate Potency</v>
      </c>
      <c r="Q448" s="55">
        <v>1.0</v>
      </c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</row>
    <row r="449" ht="22.5" customHeight="1">
      <c r="A449" s="261" t="str">
        <f t="shared" ref="A449:A463" si="21">concatenate(C449,I449)</f>
        <v>45688Luminescence Labs Inc</v>
      </c>
      <c r="B449" s="286"/>
      <c r="C449" s="42">
        <v>45688.0</v>
      </c>
      <c r="D449" s="72" t="s">
        <v>42</v>
      </c>
      <c r="E449" s="110" t="s">
        <v>7420</v>
      </c>
      <c r="F449" s="95" t="s">
        <v>7408</v>
      </c>
      <c r="G449" s="72" t="s">
        <v>734</v>
      </c>
      <c r="H449" s="48" t="s">
        <v>7421</v>
      </c>
      <c r="I449" s="49" t="s">
        <v>7422</v>
      </c>
      <c r="J449" s="114"/>
      <c r="K449" s="111" t="s">
        <v>636</v>
      </c>
      <c r="L449" s="285"/>
      <c r="M449" s="51">
        <v>45611.0</v>
      </c>
      <c r="N449" s="53" t="s">
        <v>18</v>
      </c>
      <c r="O449" s="54" t="s">
        <v>162</v>
      </c>
      <c r="P449" s="53" t="str">
        <f>vlookup(N449,Categorizations!A:C,3,FALSE)</f>
        <v>Pesticides</v>
      </c>
      <c r="Q449" s="55">
        <v>1.0</v>
      </c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</row>
    <row r="450" ht="22.5" customHeight="1">
      <c r="A450" s="261" t="str">
        <f t="shared" si="21"/>
        <v>45693Fox Street Wellness, LLC</v>
      </c>
      <c r="B450" s="286"/>
      <c r="C450" s="42">
        <v>45693.0</v>
      </c>
      <c r="D450" s="72" t="s">
        <v>42</v>
      </c>
      <c r="E450" s="110" t="s">
        <v>7423</v>
      </c>
      <c r="F450" s="95" t="s">
        <v>7408</v>
      </c>
      <c r="G450" s="72" t="s">
        <v>180</v>
      </c>
      <c r="H450" s="95" t="s">
        <v>7424</v>
      </c>
      <c r="I450" s="66" t="s">
        <v>7424</v>
      </c>
      <c r="J450" s="114"/>
      <c r="K450" s="111" t="s">
        <v>636</v>
      </c>
      <c r="L450" s="285"/>
      <c r="M450" s="96">
        <v>45379.0</v>
      </c>
      <c r="N450" s="53" t="s">
        <v>1032</v>
      </c>
      <c r="O450" s="54" t="s">
        <v>162</v>
      </c>
      <c r="P450" s="53" t="str">
        <f>vlookup(N450,Categorizations!A:C,3,FALSE)</f>
        <v>Multiple</v>
      </c>
      <c r="Q450" s="55">
        <v>1.0</v>
      </c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</row>
    <row r="451" ht="22.5" customHeight="1">
      <c r="A451" s="261" t="str">
        <f t="shared" si="21"/>
        <v>45709PBS HOLDCO LLC</v>
      </c>
      <c r="B451" s="286"/>
      <c r="C451" s="42">
        <v>45709.0</v>
      </c>
      <c r="D451" s="72" t="s">
        <v>42</v>
      </c>
      <c r="E451" s="110" t="s">
        <v>7425</v>
      </c>
      <c r="F451" s="95" t="s">
        <v>177</v>
      </c>
      <c r="G451" s="72" t="s">
        <v>1161</v>
      </c>
      <c r="H451" s="95" t="s">
        <v>7426</v>
      </c>
      <c r="I451" s="66" t="s">
        <v>7427</v>
      </c>
      <c r="J451" s="114"/>
      <c r="K451" s="111" t="s">
        <v>636</v>
      </c>
      <c r="L451" s="285"/>
      <c r="M451" s="96">
        <v>45490.0</v>
      </c>
      <c r="N451" s="53" t="s">
        <v>508</v>
      </c>
      <c r="O451" s="54" t="s">
        <v>162</v>
      </c>
      <c r="P451" s="53" t="str">
        <f>vlookup(N451,Categorizations!A:C,3,FALSE)</f>
        <v>Other</v>
      </c>
      <c r="Q451" s="55">
        <v>1.0</v>
      </c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</row>
    <row r="452" ht="22.5" customHeight="1">
      <c r="A452" s="261" t="str">
        <f t="shared" si="21"/>
        <v>45737Magic City Farms 1 LLC.</v>
      </c>
      <c r="B452" s="286"/>
      <c r="C452" s="42">
        <v>45737.0</v>
      </c>
      <c r="D452" s="72" t="s">
        <v>42</v>
      </c>
      <c r="E452" s="110" t="s">
        <v>7428</v>
      </c>
      <c r="F452" s="95" t="s">
        <v>7408</v>
      </c>
      <c r="G452" s="72" t="s">
        <v>321</v>
      </c>
      <c r="H452" s="95" t="s">
        <v>7429</v>
      </c>
      <c r="I452" s="66" t="s">
        <v>7429</v>
      </c>
      <c r="J452" s="114"/>
      <c r="K452" s="111" t="s">
        <v>636</v>
      </c>
      <c r="L452" s="285"/>
      <c r="M452" s="96">
        <v>45597.0</v>
      </c>
      <c r="N452" s="53" t="s">
        <v>1023</v>
      </c>
      <c r="O452" s="54" t="s">
        <v>162</v>
      </c>
      <c r="P452" s="53" t="str">
        <f>vlookup(N452,Categorizations!A:C,3,FALSE)</f>
        <v>Multiple</v>
      </c>
      <c r="Q452" s="55">
        <v>1.0</v>
      </c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</row>
    <row r="453" ht="22.5" customHeight="1">
      <c r="A453" s="261" t="str">
        <f t="shared" si="21"/>
        <v>45825Verv LLC</v>
      </c>
      <c r="B453" s="286"/>
      <c r="C453" s="42">
        <v>45825.0</v>
      </c>
      <c r="D453" s="72" t="s">
        <v>42</v>
      </c>
      <c r="E453" s="110" t="s">
        <v>7430</v>
      </c>
      <c r="F453" s="95" t="s">
        <v>177</v>
      </c>
      <c r="G453" s="72" t="s">
        <v>734</v>
      </c>
      <c r="H453" s="95" t="s">
        <v>7431</v>
      </c>
      <c r="I453" s="66" t="s">
        <v>7432</v>
      </c>
      <c r="J453" s="114"/>
      <c r="K453" s="111" t="s">
        <v>636</v>
      </c>
      <c r="L453" s="285"/>
      <c r="M453" s="96">
        <v>45771.0</v>
      </c>
      <c r="N453" s="53" t="s">
        <v>172</v>
      </c>
      <c r="O453" s="54" t="s">
        <v>162</v>
      </c>
      <c r="P453" s="53" t="str">
        <f>vlookup(N453,Categorizations!A:C,3,FALSE)</f>
        <v>Total Yeast and Mold</v>
      </c>
      <c r="Q453" s="55">
        <v>1.0</v>
      </c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</row>
    <row r="454" ht="22.5" customHeight="1">
      <c r="A454" s="261" t="str">
        <f t="shared" si="21"/>
        <v>45825C&amp;R Colorado LLC</v>
      </c>
      <c r="B454" s="286"/>
      <c r="C454" s="42">
        <v>45825.0</v>
      </c>
      <c r="D454" s="72" t="s">
        <v>42</v>
      </c>
      <c r="E454" s="110" t="s">
        <v>7433</v>
      </c>
      <c r="F454" s="95" t="s">
        <v>177</v>
      </c>
      <c r="G454" s="72" t="s">
        <v>837</v>
      </c>
      <c r="H454" s="95" t="s">
        <v>7434</v>
      </c>
      <c r="I454" s="66" t="s">
        <v>7435</v>
      </c>
      <c r="J454" s="114"/>
      <c r="K454" s="111" t="s">
        <v>636</v>
      </c>
      <c r="L454" s="285"/>
      <c r="M454" s="96">
        <v>45773.0</v>
      </c>
      <c r="N454" s="53" t="s">
        <v>238</v>
      </c>
      <c r="O454" s="54" t="s">
        <v>162</v>
      </c>
      <c r="P454" s="53" t="str">
        <f>vlookup(N454,Categorizations!A:C,3,FALSE)</f>
        <v>Multiple</v>
      </c>
      <c r="Q454" s="55">
        <v>1.0</v>
      </c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</row>
    <row r="455" ht="22.5" customHeight="1">
      <c r="A455" s="261" t="str">
        <f t="shared" si="21"/>
        <v>45876Clearview Industries, LLC.</v>
      </c>
      <c r="B455" s="286"/>
      <c r="C455" s="42">
        <v>45876.0</v>
      </c>
      <c r="D455" s="72" t="s">
        <v>42</v>
      </c>
      <c r="E455" s="110" t="s">
        <v>7436</v>
      </c>
      <c r="F455" s="95" t="s">
        <v>177</v>
      </c>
      <c r="G455" s="72" t="s">
        <v>837</v>
      </c>
      <c r="H455" s="95" t="s">
        <v>7437</v>
      </c>
      <c r="I455" s="66" t="s">
        <v>7437</v>
      </c>
      <c r="J455" s="114"/>
      <c r="K455" s="111" t="s">
        <v>636</v>
      </c>
      <c r="L455" s="285"/>
      <c r="M455" s="96">
        <v>45839.0</v>
      </c>
      <c r="N455" s="53" t="s">
        <v>239</v>
      </c>
      <c r="O455" s="54" t="s">
        <v>162</v>
      </c>
      <c r="P455" s="53" t="str">
        <f>vlookup(N455,Categorizations!A:C,3,FALSE)</f>
        <v>Pesticides</v>
      </c>
      <c r="Q455" s="55">
        <v>1.0</v>
      </c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</row>
    <row r="456" ht="22.5" customHeight="1">
      <c r="A456" s="261" t="str">
        <f t="shared" si="21"/>
        <v>45908CSV CO LLC and Jolet Ventures LLC,</v>
      </c>
      <c r="B456" s="286"/>
      <c r="C456" s="42">
        <v>45908.0</v>
      </c>
      <c r="D456" s="72" t="s">
        <v>42</v>
      </c>
      <c r="E456" s="110" t="s">
        <v>7438</v>
      </c>
      <c r="F456" s="95" t="s">
        <v>177</v>
      </c>
      <c r="G456" s="72" t="s">
        <v>7439</v>
      </c>
      <c r="H456" s="95" t="s">
        <v>7440</v>
      </c>
      <c r="I456" s="66" t="s">
        <v>7441</v>
      </c>
      <c r="J456" s="114"/>
      <c r="K456" s="111" t="s">
        <v>636</v>
      </c>
      <c r="L456" s="285"/>
      <c r="M456" s="96">
        <v>45798.0</v>
      </c>
      <c r="N456" s="53" t="s">
        <v>1023</v>
      </c>
      <c r="O456" s="54" t="s">
        <v>162</v>
      </c>
      <c r="P456" s="53" t="str">
        <f>vlookup(N456,Categorizations!A:C,3,FALSE)</f>
        <v>Multiple</v>
      </c>
      <c r="Q456" s="55">
        <v>1.0</v>
      </c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</row>
    <row r="457" ht="22.5" customHeight="1">
      <c r="A457" s="261" t="str">
        <f t="shared" si="21"/>
        <v>45930Checker Six, LLC</v>
      </c>
      <c r="B457" s="286"/>
      <c r="C457" s="42">
        <v>45930.0</v>
      </c>
      <c r="D457" s="72" t="s">
        <v>42</v>
      </c>
      <c r="E457" s="110" t="s">
        <v>7442</v>
      </c>
      <c r="F457" s="95" t="s">
        <v>177</v>
      </c>
      <c r="G457" s="72" t="s">
        <v>7443</v>
      </c>
      <c r="H457" s="95" t="s">
        <v>7444</v>
      </c>
      <c r="I457" s="66" t="s">
        <v>7445</v>
      </c>
      <c r="J457" s="114"/>
      <c r="K457" s="111" t="s">
        <v>636</v>
      </c>
      <c r="L457" s="285"/>
      <c r="M457" s="96">
        <v>45874.0</v>
      </c>
      <c r="N457" s="53" t="s">
        <v>238</v>
      </c>
      <c r="O457" s="54" t="s">
        <v>162</v>
      </c>
      <c r="P457" s="53" t="str">
        <f>vlookup(N457,Categorizations!A:C,3,FALSE)</f>
        <v>Multiple</v>
      </c>
      <c r="Q457" s="55">
        <v>1.0</v>
      </c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</row>
    <row r="458" ht="22.5" customHeight="1">
      <c r="A458" s="261" t="str">
        <f t="shared" si="21"/>
        <v>45968RRSA, LLC</v>
      </c>
      <c r="B458" s="286"/>
      <c r="C458" s="42">
        <v>45968.0</v>
      </c>
      <c r="D458" s="72" t="s">
        <v>42</v>
      </c>
      <c r="E458" s="110" t="s">
        <v>7446</v>
      </c>
      <c r="F458" s="95" t="s">
        <v>7408</v>
      </c>
      <c r="G458" s="72" t="s">
        <v>180</v>
      </c>
      <c r="H458" s="95" t="s">
        <v>7447</v>
      </c>
      <c r="I458" s="66" t="s">
        <v>7447</v>
      </c>
      <c r="J458" s="114"/>
      <c r="K458" s="111" t="s">
        <v>636</v>
      </c>
      <c r="L458" s="285"/>
      <c r="M458" s="96">
        <v>45924.0</v>
      </c>
      <c r="N458" s="53" t="s">
        <v>1057</v>
      </c>
      <c r="O458" s="54" t="s">
        <v>162</v>
      </c>
      <c r="P458" s="53" t="str">
        <f>vlookup(N458,Categorizations!A:C,3,FALSE)</f>
        <v>Pesticides</v>
      </c>
      <c r="Q458" s="55">
        <v>1.0</v>
      </c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</row>
    <row r="459" ht="22.5" customHeight="1">
      <c r="A459" s="261" t="str">
        <f t="shared" si="21"/>
        <v>45978Phoneix Farmstead, LLC</v>
      </c>
      <c r="B459" s="286"/>
      <c r="C459" s="42">
        <v>45978.0</v>
      </c>
      <c r="D459" s="72" t="s">
        <v>42</v>
      </c>
      <c r="E459" s="110" t="s">
        <v>7448</v>
      </c>
      <c r="F459" s="95" t="s">
        <v>177</v>
      </c>
      <c r="G459" s="72" t="s">
        <v>180</v>
      </c>
      <c r="H459" s="95" t="s">
        <v>7449</v>
      </c>
      <c r="I459" s="66" t="s">
        <v>7449</v>
      </c>
      <c r="J459" s="114"/>
      <c r="K459" s="111" t="s">
        <v>636</v>
      </c>
      <c r="L459" s="285"/>
      <c r="M459" s="96">
        <v>45833.0</v>
      </c>
      <c r="N459" s="53" t="s">
        <v>1023</v>
      </c>
      <c r="O459" s="54" t="s">
        <v>162</v>
      </c>
      <c r="P459" s="53" t="str">
        <f>vlookup(N459,Categorizations!A:C,3,FALSE)</f>
        <v>Multiple</v>
      </c>
      <c r="Q459" s="55">
        <v>1.0</v>
      </c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</row>
    <row r="460" ht="22.5" customHeight="1">
      <c r="A460" s="261" t="str">
        <f t="shared" si="21"/>
        <v>45987Karing Kind, LLC,</v>
      </c>
      <c r="B460" s="286"/>
      <c r="C460" s="42">
        <v>45987.0</v>
      </c>
      <c r="D460" s="72" t="s">
        <v>42</v>
      </c>
      <c r="E460" s="110" t="s">
        <v>7420</v>
      </c>
      <c r="F460" s="95" t="s">
        <v>177</v>
      </c>
      <c r="G460" s="72" t="s">
        <v>7450</v>
      </c>
      <c r="H460" s="95" t="s">
        <v>7451</v>
      </c>
      <c r="I460" s="66" t="s">
        <v>7452</v>
      </c>
      <c r="J460" s="114"/>
      <c r="K460" s="111" t="s">
        <v>636</v>
      </c>
      <c r="L460" s="285"/>
      <c r="M460" s="96">
        <v>45929.0</v>
      </c>
      <c r="N460" s="53" t="s">
        <v>238</v>
      </c>
      <c r="O460" s="54" t="s">
        <v>162</v>
      </c>
      <c r="P460" s="53" t="str">
        <f>vlookup(N460,Categorizations!A:C,3,FALSE)</f>
        <v>Multiple</v>
      </c>
      <c r="Q460" s="55">
        <v>1.0</v>
      </c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</row>
    <row r="461" ht="22.5" customHeight="1">
      <c r="A461" s="261" t="str">
        <f t="shared" si="21"/>
        <v>459951-11 LLC,</v>
      </c>
      <c r="B461" s="286"/>
      <c r="C461" s="42">
        <v>45995.0</v>
      </c>
      <c r="D461" s="72" t="s">
        <v>42</v>
      </c>
      <c r="E461" s="110" t="s">
        <v>7453</v>
      </c>
      <c r="F461" s="95" t="s">
        <v>7408</v>
      </c>
      <c r="G461" s="72" t="s">
        <v>180</v>
      </c>
      <c r="H461" s="95" t="s">
        <v>7454</v>
      </c>
      <c r="I461" s="66" t="s">
        <v>7455</v>
      </c>
      <c r="J461" s="114"/>
      <c r="K461" s="111" t="s">
        <v>636</v>
      </c>
      <c r="L461" s="285"/>
      <c r="M461" s="96">
        <v>45682.0</v>
      </c>
      <c r="N461" s="53" t="s">
        <v>1065</v>
      </c>
      <c r="O461" s="54" t="s">
        <v>162</v>
      </c>
      <c r="P461" s="53" t="str">
        <f>vlookup(N461,Categorizations!A:C,3,FALSE)</f>
        <v>Pesticides</v>
      </c>
      <c r="Q461" s="55">
        <v>1.0</v>
      </c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</row>
    <row r="462" ht="22.5" customHeight="1">
      <c r="A462" s="261" t="str">
        <f t="shared" si="21"/>
        <v>45995Double C Farms LLC.</v>
      </c>
      <c r="B462" s="286"/>
      <c r="C462" s="42">
        <v>45995.0</v>
      </c>
      <c r="D462" s="72" t="s">
        <v>42</v>
      </c>
      <c r="E462" s="110" t="s">
        <v>7456</v>
      </c>
      <c r="F462" s="95" t="s">
        <v>7408</v>
      </c>
      <c r="G462" s="72" t="s">
        <v>180</v>
      </c>
      <c r="H462" s="95" t="s">
        <v>7457</v>
      </c>
      <c r="I462" s="66" t="s">
        <v>7457</v>
      </c>
      <c r="J462" s="114"/>
      <c r="K462" s="111" t="s">
        <v>636</v>
      </c>
      <c r="L462" s="285"/>
      <c r="M462" s="96">
        <v>45968.0</v>
      </c>
      <c r="N462" s="53" t="s">
        <v>1072</v>
      </c>
      <c r="O462" s="54" t="s">
        <v>162</v>
      </c>
      <c r="P462" s="53" t="str">
        <f>vlookup(N462,Categorizations!A:C,3,FALSE)</f>
        <v>Multiple</v>
      </c>
      <c r="Q462" s="55">
        <v>1.0</v>
      </c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</row>
    <row r="463" ht="22.5" customHeight="1">
      <c r="A463" s="261" t="str">
        <f t="shared" si="21"/>
        <v>46022CC Brands, LLC,</v>
      </c>
      <c r="B463" s="286"/>
      <c r="C463" s="42">
        <v>46022.0</v>
      </c>
      <c r="D463" s="72" t="s">
        <v>42</v>
      </c>
      <c r="E463" s="110" t="s">
        <v>7420</v>
      </c>
      <c r="F463" s="95" t="s">
        <v>177</v>
      </c>
      <c r="G463" s="72" t="s">
        <v>7458</v>
      </c>
      <c r="H463" s="95" t="s">
        <v>7459</v>
      </c>
      <c r="I463" s="66" t="s">
        <v>7460</v>
      </c>
      <c r="J463" s="114"/>
      <c r="K463" s="111" t="s">
        <v>636</v>
      </c>
      <c r="L463" s="285"/>
      <c r="M463" s="96">
        <v>45715.0</v>
      </c>
      <c r="N463" s="53" t="s">
        <v>241</v>
      </c>
      <c r="O463" s="54" t="s">
        <v>162</v>
      </c>
      <c r="P463" s="53" t="str">
        <f>vlookup(N463,Categorizations!A:C,3,FALSE)</f>
        <v>Heavy Metal</v>
      </c>
      <c r="Q463" s="55">
        <v>1.0</v>
      </c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</row>
    <row r="464" ht="22.5" customHeight="1">
      <c r="A464" s="261" t="s">
        <v>7461</v>
      </c>
      <c r="B464" s="286"/>
      <c r="C464" s="42">
        <v>46007.0</v>
      </c>
      <c r="D464" s="72" t="s">
        <v>42</v>
      </c>
      <c r="E464" s="110" t="s">
        <v>7462</v>
      </c>
      <c r="F464" s="95" t="s">
        <v>177</v>
      </c>
      <c r="G464" s="72" t="s">
        <v>7450</v>
      </c>
      <c r="H464" s="95" t="s">
        <v>7451</v>
      </c>
      <c r="I464" s="66" t="s">
        <v>7452</v>
      </c>
      <c r="J464" s="114"/>
      <c r="K464" s="111" t="s">
        <v>636</v>
      </c>
      <c r="L464" s="285"/>
      <c r="M464" s="96">
        <v>45715.0</v>
      </c>
      <c r="N464" s="53" t="s">
        <v>244</v>
      </c>
      <c r="O464" s="54" t="s">
        <v>162</v>
      </c>
      <c r="P464" s="53" t="str">
        <f>vlookup(N464,Categorizations!A:C,3,FALSE)</f>
        <v>Multiple</v>
      </c>
      <c r="Q464" s="55">
        <v>1.0</v>
      </c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</row>
    <row r="465" ht="22.5" customHeight="1">
      <c r="A465" s="261" t="str">
        <f t="shared" ref="A465:A469" si="22">concatenate(C465,I465)</f>
        <v>46030Rotation, LLC,</v>
      </c>
      <c r="B465" s="286"/>
      <c r="C465" s="42">
        <v>46030.0</v>
      </c>
      <c r="D465" s="72" t="s">
        <v>42</v>
      </c>
      <c r="E465" s="110" t="s">
        <v>7463</v>
      </c>
      <c r="F465" s="95" t="s">
        <v>177</v>
      </c>
      <c r="G465" s="72" t="s">
        <v>180</v>
      </c>
      <c r="H465" s="95" t="s">
        <v>7464</v>
      </c>
      <c r="I465" s="66" t="s">
        <v>7465</v>
      </c>
      <c r="J465" s="114"/>
      <c r="K465" s="111" t="s">
        <v>636</v>
      </c>
      <c r="L465" s="285"/>
      <c r="M465" s="96">
        <v>45912.0</v>
      </c>
      <c r="N465" s="53" t="s">
        <v>238</v>
      </c>
      <c r="O465" s="54" t="s">
        <v>162</v>
      </c>
      <c r="P465" s="53" t="str">
        <f>vlookup(N465,Categorizations!A:C,3,FALSE)</f>
        <v>Multiple</v>
      </c>
      <c r="Q465" s="55">
        <v>1.0</v>
      </c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</row>
    <row r="466" ht="22.5" customHeight="1">
      <c r="A466" s="261" t="str">
        <f t="shared" si="22"/>
        <v>46031Egozi Ventures, LLC.</v>
      </c>
      <c r="B466" s="286"/>
      <c r="C466" s="42">
        <v>46031.0</v>
      </c>
      <c r="D466" s="72" t="s">
        <v>42</v>
      </c>
      <c r="E466" s="110" t="s">
        <v>7466</v>
      </c>
      <c r="F466" s="95" t="s">
        <v>7408</v>
      </c>
      <c r="G466" s="72" t="s">
        <v>734</v>
      </c>
      <c r="H466" s="95" t="s">
        <v>7467</v>
      </c>
      <c r="I466" s="66" t="s">
        <v>7467</v>
      </c>
      <c r="J466" s="114"/>
      <c r="K466" s="111" t="s">
        <v>636</v>
      </c>
      <c r="L466" s="285"/>
      <c r="M466" s="96">
        <v>45985.0</v>
      </c>
      <c r="N466" s="53" t="s">
        <v>238</v>
      </c>
      <c r="O466" s="54" t="s">
        <v>162</v>
      </c>
      <c r="P466" s="53" t="str">
        <f>vlookup(N466,Categorizations!A:C,3,FALSE)</f>
        <v>Multiple</v>
      </c>
      <c r="Q466" s="55">
        <v>1.0</v>
      </c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</row>
    <row r="467" ht="22.5" customHeight="1">
      <c r="A467" s="261" t="str">
        <f t="shared" si="22"/>
        <v>46044HG LTD</v>
      </c>
      <c r="B467" s="286"/>
      <c r="C467" s="42">
        <v>46044.0</v>
      </c>
      <c r="D467" s="72" t="s">
        <v>42</v>
      </c>
      <c r="E467" s="110" t="s">
        <v>7468</v>
      </c>
      <c r="F467" s="95" t="s">
        <v>177</v>
      </c>
      <c r="G467" s="72" t="s">
        <v>7469</v>
      </c>
      <c r="H467" s="95" t="s">
        <v>7470</v>
      </c>
      <c r="I467" s="66" t="s">
        <v>7471</v>
      </c>
      <c r="J467" s="114"/>
      <c r="K467" s="111" t="s">
        <v>636</v>
      </c>
      <c r="L467" s="285"/>
      <c r="M467" s="96">
        <v>45911.0</v>
      </c>
      <c r="N467" s="53" t="s">
        <v>210</v>
      </c>
      <c r="O467" s="54" t="s">
        <v>162</v>
      </c>
      <c r="P467" s="53" t="str">
        <f>vlookup(N467,Categorizations!A:C,3,FALSE)</f>
        <v>Yeast and Mold</v>
      </c>
      <c r="Q467" s="55">
        <v>1.0</v>
      </c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</row>
    <row r="468" ht="22.5" customHeight="1">
      <c r="A468" s="261" t="str">
        <f t="shared" si="22"/>
        <v>46044MBF Labs</v>
      </c>
      <c r="B468" s="286"/>
      <c r="C468" s="42">
        <v>46044.0</v>
      </c>
      <c r="D468" s="72" t="s">
        <v>42</v>
      </c>
      <c r="E468" s="110" t="s">
        <v>7472</v>
      </c>
      <c r="F468" s="95" t="s">
        <v>177</v>
      </c>
      <c r="G468" s="72" t="s">
        <v>7473</v>
      </c>
      <c r="H468" s="95" t="s">
        <v>7474</v>
      </c>
      <c r="I468" s="66" t="s">
        <v>7475</v>
      </c>
      <c r="J468" s="114"/>
      <c r="K468" s="111" t="s">
        <v>636</v>
      </c>
      <c r="L468" s="285"/>
      <c r="M468" s="96">
        <v>45687.0</v>
      </c>
      <c r="N468" s="53" t="s">
        <v>248</v>
      </c>
      <c r="O468" s="54" t="s">
        <v>162</v>
      </c>
      <c r="P468" s="53" t="str">
        <f>vlookup(N468,Categorizations!A:C,3,FALSE)</f>
        <v>Pesticides</v>
      </c>
      <c r="Q468" s="55">
        <v>1.0</v>
      </c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</row>
    <row r="469" ht="22.5" customHeight="1">
      <c r="A469" s="261" t="str">
        <f t="shared" si="22"/>
        <v>46044Dutch Botanicals LLC</v>
      </c>
      <c r="B469" s="286"/>
      <c r="C469" s="42">
        <v>46044.0</v>
      </c>
      <c r="D469" s="72" t="s">
        <v>42</v>
      </c>
      <c r="E469" s="110" t="s">
        <v>7476</v>
      </c>
      <c r="F469" s="95" t="s">
        <v>7408</v>
      </c>
      <c r="G469" s="72" t="s">
        <v>7458</v>
      </c>
      <c r="H469" s="95" t="s">
        <v>7477</v>
      </c>
      <c r="I469" s="66" t="s">
        <v>7478</v>
      </c>
      <c r="J469" s="114"/>
      <c r="K469" s="111" t="s">
        <v>636</v>
      </c>
      <c r="L469" s="285"/>
      <c r="M469" s="96">
        <v>45687.0</v>
      </c>
      <c r="N469" s="53" t="s">
        <v>250</v>
      </c>
      <c r="O469" s="54" t="s">
        <v>162</v>
      </c>
      <c r="P469" s="53" t="str">
        <f>vlookup(N469,Categorizations!A:C,3,FALSE)</f>
        <v>Pesticides</v>
      </c>
      <c r="Q469" s="55">
        <v>1.0</v>
      </c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</row>
    <row r="470" ht="22.5" customHeight="1">
      <c r="A470" s="261" t="s">
        <v>7479</v>
      </c>
      <c r="B470" s="286"/>
      <c r="C470" s="42">
        <v>46044.0</v>
      </c>
      <c r="D470" s="72" t="s">
        <v>42</v>
      </c>
      <c r="E470" s="110" t="s">
        <v>7480</v>
      </c>
      <c r="F470" s="95" t="s">
        <v>177</v>
      </c>
      <c r="G470" s="72" t="s">
        <v>7450</v>
      </c>
      <c r="H470" s="95" t="s">
        <v>7451</v>
      </c>
      <c r="I470" s="66" t="s">
        <v>7452</v>
      </c>
      <c r="J470" s="114"/>
      <c r="K470" s="111" t="s">
        <v>636</v>
      </c>
      <c r="L470" s="285"/>
      <c r="M470" s="96">
        <v>46044.0</v>
      </c>
      <c r="N470" s="53" t="s">
        <v>244</v>
      </c>
      <c r="O470" s="54" t="s">
        <v>162</v>
      </c>
      <c r="P470" s="53" t="str">
        <f>vlookup(N470,Categorizations!A:C,3,FALSE)</f>
        <v>Multiple</v>
      </c>
      <c r="Q470" s="55">
        <v>1.0</v>
      </c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</row>
    <row r="471" ht="22.5" customHeight="1">
      <c r="A471" s="261" t="str">
        <f>concatenate(C471,I471)</f>
        <v>46059Sweetwater Group, LLC,</v>
      </c>
      <c r="B471" s="286"/>
      <c r="C471" s="42">
        <v>46059.0</v>
      </c>
      <c r="D471" s="72" t="s">
        <v>42</v>
      </c>
      <c r="E471" s="110" t="s">
        <v>7481</v>
      </c>
      <c r="F471" s="95" t="s">
        <v>177</v>
      </c>
      <c r="G471" s="72" t="s">
        <v>180</v>
      </c>
      <c r="H471" s="95" t="s">
        <v>7482</v>
      </c>
      <c r="I471" s="66" t="s">
        <v>7483</v>
      </c>
      <c r="J471" s="114"/>
      <c r="K471" s="111" t="s">
        <v>636</v>
      </c>
      <c r="L471" s="285"/>
      <c r="M471" s="96">
        <v>46059.0</v>
      </c>
      <c r="N471" s="53" t="s">
        <v>1023</v>
      </c>
      <c r="O471" s="54" t="s">
        <v>162</v>
      </c>
      <c r="P471" s="53" t="str">
        <f>vlookup(N471,Categorizations!A:C,3,FALSE)</f>
        <v>Multiple</v>
      </c>
      <c r="Q471" s="55">
        <v>1.0</v>
      </c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</row>
    <row r="472" ht="22.5" customHeight="1">
      <c r="A472" s="261" t="s">
        <v>7484</v>
      </c>
      <c r="B472" s="286"/>
      <c r="C472" s="42">
        <v>46066.0</v>
      </c>
      <c r="D472" s="72" t="s">
        <v>42</v>
      </c>
      <c r="E472" s="110" t="s">
        <v>7485</v>
      </c>
      <c r="F472" s="95" t="s">
        <v>177</v>
      </c>
      <c r="G472" s="72" t="s">
        <v>7469</v>
      </c>
      <c r="H472" s="95" t="s">
        <v>7470</v>
      </c>
      <c r="I472" s="66" t="s">
        <v>7471</v>
      </c>
      <c r="J472" s="114"/>
      <c r="K472" s="111" t="s">
        <v>636</v>
      </c>
      <c r="L472" s="285"/>
      <c r="M472" s="96">
        <v>45898.0</v>
      </c>
      <c r="N472" s="53" t="s">
        <v>1023</v>
      </c>
      <c r="O472" s="54" t="s">
        <v>162</v>
      </c>
      <c r="P472" s="53" t="str">
        <f>vlookup(N472,Categorizations!A:C,3,FALSE)</f>
        <v>Multiple</v>
      </c>
      <c r="Q472" s="55">
        <v>1.0</v>
      </c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</row>
    <row r="473" ht="22.5" customHeight="1">
      <c r="A473" s="261" t="str">
        <f t="shared" ref="A473:A480" si="23">concatenate(C473,I473)</f>
        <v>46079RMRC LLC</v>
      </c>
      <c r="B473" s="286"/>
      <c r="C473" s="42">
        <v>46079.0</v>
      </c>
      <c r="D473" s="72" t="s">
        <v>42</v>
      </c>
      <c r="E473" s="110" t="s">
        <v>7486</v>
      </c>
      <c r="F473" s="95" t="s">
        <v>177</v>
      </c>
      <c r="G473" s="72" t="s">
        <v>7469</v>
      </c>
      <c r="H473" s="95" t="s">
        <v>7487</v>
      </c>
      <c r="I473" s="66" t="s">
        <v>7488</v>
      </c>
      <c r="J473" s="114"/>
      <c r="K473" s="111" t="s">
        <v>636</v>
      </c>
      <c r="L473" s="285"/>
      <c r="M473" s="96">
        <v>45898.0</v>
      </c>
      <c r="N473" s="53" t="s">
        <v>1109</v>
      </c>
      <c r="O473" s="54" t="s">
        <v>162</v>
      </c>
      <c r="P473" s="53" t="str">
        <f>vlookup(N473,Categorizations!A:C,3,FALSE)</f>
        <v>Pesticides</v>
      </c>
      <c r="Q473" s="55">
        <v>1.0</v>
      </c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</row>
    <row r="474" ht="22.5" customHeight="1">
      <c r="A474" s="261" t="str">
        <f t="shared" si="23"/>
        <v>February 26, 2026 -Double C Farms LLC.</v>
      </c>
      <c r="B474" s="286"/>
      <c r="C474" s="42" t="s">
        <v>7489</v>
      </c>
      <c r="D474" s="72" t="s">
        <v>42</v>
      </c>
      <c r="E474" s="110" t="s">
        <v>7490</v>
      </c>
      <c r="F474" s="95" t="s">
        <v>7408</v>
      </c>
      <c r="G474" s="72" t="s">
        <v>180</v>
      </c>
      <c r="H474" s="95" t="s">
        <v>7457</v>
      </c>
      <c r="I474" s="66" t="s">
        <v>7457</v>
      </c>
      <c r="J474" s="114"/>
      <c r="K474" s="111" t="s">
        <v>636</v>
      </c>
      <c r="L474" s="285"/>
      <c r="M474" s="96">
        <v>45507.0</v>
      </c>
      <c r="N474" s="53" t="s">
        <v>1117</v>
      </c>
      <c r="O474" s="54" t="s">
        <v>162</v>
      </c>
      <c r="P474" s="53" t="str">
        <f>vlookup(N474,Categorizations!A:C,3,FALSE)</f>
        <v>Pesticides</v>
      </c>
      <c r="Q474" s="55">
        <v>1.0</v>
      </c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</row>
    <row r="475" ht="22.5" customHeight="1">
      <c r="A475" s="261" t="str">
        <f t="shared" si="23"/>
        <v>45789Curaleaf</v>
      </c>
      <c r="B475" s="286"/>
      <c r="C475" s="42">
        <v>45789.0</v>
      </c>
      <c r="D475" s="72" t="s">
        <v>54</v>
      </c>
      <c r="E475" s="110" t="s">
        <v>7491</v>
      </c>
      <c r="F475" s="114"/>
      <c r="G475" s="72" t="s">
        <v>180</v>
      </c>
      <c r="H475" s="95" t="s">
        <v>722</v>
      </c>
      <c r="I475" s="66" t="s">
        <v>722</v>
      </c>
      <c r="J475" s="95" t="s">
        <v>636</v>
      </c>
      <c r="K475" s="111" t="s">
        <v>120</v>
      </c>
      <c r="L475" s="285"/>
      <c r="M475" s="285"/>
      <c r="N475" s="53" t="s">
        <v>1127</v>
      </c>
      <c r="O475" s="109" t="s">
        <v>801</v>
      </c>
      <c r="P475" s="53" t="str">
        <f>vlookup(N475,Categorizations!A:C,3,FALSE)</f>
        <v>Total Yeast and Mold</v>
      </c>
      <c r="Q475" s="55">
        <v>1.0</v>
      </c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</row>
    <row r="476" ht="22.5" customHeight="1">
      <c r="A476" s="261" t="str">
        <f t="shared" si="23"/>
        <v>45658Brix</v>
      </c>
      <c r="B476" s="286"/>
      <c r="C476" s="42">
        <v>45658.0</v>
      </c>
      <c r="D476" s="72" t="s">
        <v>54</v>
      </c>
      <c r="E476" s="110" t="s">
        <v>7492</v>
      </c>
      <c r="F476" s="114"/>
      <c r="G476" s="72" t="s">
        <v>734</v>
      </c>
      <c r="H476" s="95" t="s">
        <v>7493</v>
      </c>
      <c r="I476" s="66" t="s">
        <v>7493</v>
      </c>
      <c r="J476" s="95" t="s">
        <v>636</v>
      </c>
      <c r="K476" s="111" t="s">
        <v>120</v>
      </c>
      <c r="L476" s="285"/>
      <c r="M476" s="285"/>
      <c r="N476" s="53" t="s">
        <v>389</v>
      </c>
      <c r="O476" s="54" t="s">
        <v>7494</v>
      </c>
      <c r="P476" s="53" t="str">
        <f>vlookup(N476,Categorizations!A:C,3,FALSE)</f>
        <v>Mislabeled</v>
      </c>
      <c r="Q476" s="55">
        <v>1.0</v>
      </c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</row>
    <row r="477" ht="22.5" customHeight="1">
      <c r="A477" s="261" t="str">
        <f t="shared" si="23"/>
        <v>45545Cannabis Cured</v>
      </c>
      <c r="B477" s="286"/>
      <c r="C477" s="42">
        <v>45545.0</v>
      </c>
      <c r="D477" s="72" t="s">
        <v>76</v>
      </c>
      <c r="E477" s="110" t="s">
        <v>7495</v>
      </c>
      <c r="F477" s="95" t="s">
        <v>109</v>
      </c>
      <c r="G477" s="72" t="s">
        <v>7439</v>
      </c>
      <c r="H477" s="291" t="s">
        <v>7496</v>
      </c>
      <c r="I477" s="66" t="s">
        <v>7496</v>
      </c>
      <c r="J477" s="114"/>
      <c r="K477" s="111" t="s">
        <v>636</v>
      </c>
      <c r="L477" s="285"/>
      <c r="M477" s="96">
        <v>45531.0</v>
      </c>
      <c r="N477" s="53" t="s">
        <v>1127</v>
      </c>
      <c r="O477" s="54" t="s">
        <v>162</v>
      </c>
      <c r="P477" s="53" t="str">
        <f>vlookup(N477,Categorizations!A:C,3,FALSE)</f>
        <v>Total Yeast and Mold</v>
      </c>
      <c r="Q477" s="55">
        <v>1.0</v>
      </c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</row>
    <row r="478" ht="22.5" customHeight="1">
      <c r="A478" s="261" t="str">
        <f t="shared" si="23"/>
        <v>45576Nova Farms</v>
      </c>
      <c r="B478" s="286"/>
      <c r="C478" s="42">
        <v>45576.0</v>
      </c>
      <c r="D478" s="72" t="s">
        <v>76</v>
      </c>
      <c r="E478" s="110" t="s">
        <v>7497</v>
      </c>
      <c r="F478" s="95" t="s">
        <v>109</v>
      </c>
      <c r="G478" s="72" t="s">
        <v>7498</v>
      </c>
      <c r="H478" s="95" t="s">
        <v>7499</v>
      </c>
      <c r="I478" s="66" t="s">
        <v>7499</v>
      </c>
      <c r="J478" s="114"/>
      <c r="K478" s="111" t="s">
        <v>636</v>
      </c>
      <c r="L478" s="285"/>
      <c r="M478" s="96">
        <v>45534.0</v>
      </c>
      <c r="N478" s="53" t="s">
        <v>1136</v>
      </c>
      <c r="O478" s="54" t="s">
        <v>162</v>
      </c>
      <c r="P478" s="53" t="str">
        <f>vlookup(N478,Categorizations!A:C,3,FALSE)</f>
        <v>Multiple</v>
      </c>
      <c r="Q478" s="55">
        <v>1.0</v>
      </c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</row>
    <row r="479" ht="22.5" customHeight="1">
      <c r="A479" s="261" t="str">
        <f t="shared" si="23"/>
        <v>45603Leb City Greeneries</v>
      </c>
      <c r="B479" s="286"/>
      <c r="C479" s="42">
        <v>45603.0</v>
      </c>
      <c r="D479" s="72" t="s">
        <v>76</v>
      </c>
      <c r="E479" s="110" t="s">
        <v>7500</v>
      </c>
      <c r="F479" s="95" t="s">
        <v>109</v>
      </c>
      <c r="G479" s="72" t="s">
        <v>180</v>
      </c>
      <c r="H479" s="95" t="s">
        <v>7501</v>
      </c>
      <c r="I479" s="66" t="s">
        <v>7501</v>
      </c>
      <c r="J479" s="114"/>
      <c r="K479" s="111" t="s">
        <v>636</v>
      </c>
      <c r="L479" s="285"/>
      <c r="M479" s="96">
        <v>45576.0</v>
      </c>
      <c r="N479" s="53" t="s">
        <v>1127</v>
      </c>
      <c r="O479" s="54" t="s">
        <v>162</v>
      </c>
      <c r="P479" s="53" t="str">
        <f>vlookup(N479,Categorizations!A:C,3,FALSE)</f>
        <v>Total Yeast and Mold</v>
      </c>
      <c r="Q479" s="55">
        <v>1.0</v>
      </c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</row>
    <row r="480" ht="22.5" customHeight="1">
      <c r="A480" s="261" t="str">
        <f t="shared" si="23"/>
        <v>45957NorCO Outdoor Cannabis</v>
      </c>
      <c r="B480" s="286"/>
      <c r="C480" s="42">
        <v>45957.0</v>
      </c>
      <c r="D480" s="72" t="s">
        <v>76</v>
      </c>
      <c r="E480" s="110" t="s">
        <v>7502</v>
      </c>
      <c r="F480" s="95" t="s">
        <v>109</v>
      </c>
      <c r="G480" s="72" t="s">
        <v>6955</v>
      </c>
      <c r="H480" s="95" t="s">
        <v>7503</v>
      </c>
      <c r="I480" s="66" t="s">
        <v>7503</v>
      </c>
      <c r="J480" s="114"/>
      <c r="K480" s="111" t="s">
        <v>636</v>
      </c>
      <c r="L480" s="285"/>
      <c r="M480" s="96">
        <v>45848.0</v>
      </c>
      <c r="N480" s="53" t="s">
        <v>172</v>
      </c>
      <c r="O480" s="54" t="s">
        <v>162</v>
      </c>
      <c r="P480" s="53" t="str">
        <f>vlookup(N480,Categorizations!A:C,3,FALSE)</f>
        <v>Total Yeast and Mold</v>
      </c>
      <c r="Q480" s="55">
        <v>1.0</v>
      </c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</row>
    <row r="481" ht="22.5" customHeight="1">
      <c r="A481" s="261" t="s">
        <v>7504</v>
      </c>
      <c r="B481" s="286"/>
      <c r="C481" s="42">
        <v>45974.0</v>
      </c>
      <c r="D481" s="72" t="s">
        <v>76</v>
      </c>
      <c r="E481" s="110" t="s">
        <v>7502</v>
      </c>
      <c r="F481" s="95" t="s">
        <v>109</v>
      </c>
      <c r="G481" s="72" t="s">
        <v>6955</v>
      </c>
      <c r="H481" s="95" t="s">
        <v>7503</v>
      </c>
      <c r="I481" s="66" t="s">
        <v>7503</v>
      </c>
      <c r="J481" s="114"/>
      <c r="K481" s="111" t="s">
        <v>636</v>
      </c>
      <c r="L481" s="285"/>
      <c r="M481" s="96">
        <v>45848.0</v>
      </c>
      <c r="N481" s="53" t="s">
        <v>172</v>
      </c>
      <c r="O481" s="54" t="s">
        <v>162</v>
      </c>
      <c r="P481" s="53" t="str">
        <f>vlookup(N481,Categorizations!A:C,3,FALSE)</f>
        <v>Total Yeast and Mold</v>
      </c>
      <c r="Q481" s="55">
        <v>1.0</v>
      </c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</row>
    <row r="482" ht="22.5" customHeight="1">
      <c r="A482" s="261" t="s">
        <v>7505</v>
      </c>
      <c r="B482" s="286"/>
      <c r="C482" s="42">
        <v>45609.0</v>
      </c>
      <c r="D482" s="72" t="s">
        <v>76</v>
      </c>
      <c r="E482" s="110" t="s">
        <v>7497</v>
      </c>
      <c r="F482" s="95" t="s">
        <v>109</v>
      </c>
      <c r="G482" s="72" t="s">
        <v>7498</v>
      </c>
      <c r="H482" s="95" t="s">
        <v>7499</v>
      </c>
      <c r="I482" s="66" t="s">
        <v>7499</v>
      </c>
      <c r="J482" s="114"/>
      <c r="K482" s="111" t="s">
        <v>636</v>
      </c>
      <c r="L482" s="285"/>
      <c r="M482" s="96">
        <v>45534.0</v>
      </c>
      <c r="N482" s="53" t="s">
        <v>1136</v>
      </c>
      <c r="O482" s="54" t="s">
        <v>162</v>
      </c>
      <c r="P482" s="53" t="str">
        <f>vlookup(N482,Categorizations!A:C,3,FALSE)</f>
        <v>Multiple</v>
      </c>
      <c r="Q482" s="55">
        <v>1.0</v>
      </c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</row>
    <row r="483" ht="22.5" customHeight="1">
      <c r="A483" s="261" t="str">
        <f t="shared" ref="A483:A892" si="24">concatenate(C483,I483)</f>
        <v>45994NorCO Outdoor Cannabis</v>
      </c>
      <c r="B483" s="286"/>
      <c r="C483" s="42">
        <v>45994.0</v>
      </c>
      <c r="D483" s="72" t="s">
        <v>76</v>
      </c>
      <c r="E483" s="110" t="s">
        <v>7506</v>
      </c>
      <c r="F483" s="95" t="s">
        <v>109</v>
      </c>
      <c r="G483" s="72" t="s">
        <v>180</v>
      </c>
      <c r="H483" s="95" t="s">
        <v>7503</v>
      </c>
      <c r="I483" s="66" t="s">
        <v>7503</v>
      </c>
      <c r="J483" s="114"/>
      <c r="K483" s="111" t="s">
        <v>636</v>
      </c>
      <c r="L483" s="285"/>
      <c r="M483" s="96">
        <v>45945.0</v>
      </c>
      <c r="N483" s="53" t="s">
        <v>1153</v>
      </c>
      <c r="O483" s="54" t="s">
        <v>162</v>
      </c>
      <c r="P483" s="53" t="str">
        <f>vlookup(N483,Categorizations!A:C,3,FALSE)</f>
        <v>Multiple</v>
      </c>
      <c r="Q483" s="55">
        <v>1.0</v>
      </c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</row>
    <row r="484" ht="22.5" customHeight="1">
      <c r="A484" s="261" t="str">
        <f t="shared" si="24"/>
        <v>46044MarijuanaVille</v>
      </c>
      <c r="B484" s="286"/>
      <c r="C484" s="42">
        <v>46044.0</v>
      </c>
      <c r="D484" s="72" t="s">
        <v>76</v>
      </c>
      <c r="E484" s="110" t="s">
        <v>7507</v>
      </c>
      <c r="F484" s="95" t="s">
        <v>109</v>
      </c>
      <c r="G484" s="72" t="s">
        <v>734</v>
      </c>
      <c r="H484" s="95" t="s">
        <v>7508</v>
      </c>
      <c r="I484" s="66" t="s">
        <v>7508</v>
      </c>
      <c r="J484" s="114"/>
      <c r="K484" s="111" t="s">
        <v>120</v>
      </c>
      <c r="L484" s="285"/>
      <c r="M484" s="96">
        <v>45945.0</v>
      </c>
      <c r="N484" s="53" t="s">
        <v>254</v>
      </c>
      <c r="O484" s="54" t="s">
        <v>162</v>
      </c>
      <c r="P484" s="53" t="str">
        <f>vlookup(N484,Categorizations!A:C,3,FALSE)</f>
        <v>Multiple</v>
      </c>
      <c r="Q484" s="55">
        <v>1.0</v>
      </c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</row>
    <row r="485" ht="22.5" customHeight="1">
      <c r="A485" s="261" t="str">
        <f t="shared" si="24"/>
        <v>45916Not Specified, Locations Listed</v>
      </c>
      <c r="B485" s="286"/>
      <c r="C485" s="42">
        <v>45916.0</v>
      </c>
      <c r="D485" s="72" t="s">
        <v>83</v>
      </c>
      <c r="E485" s="110" t="s">
        <v>7509</v>
      </c>
      <c r="F485" s="114"/>
      <c r="G485" s="72" t="s">
        <v>7510</v>
      </c>
      <c r="H485" s="95" t="s">
        <v>7511</v>
      </c>
      <c r="I485" s="66" t="s">
        <v>7512</v>
      </c>
      <c r="J485" s="114"/>
      <c r="K485" s="111" t="s">
        <v>120</v>
      </c>
      <c r="L485" s="285"/>
      <c r="M485" s="96">
        <v>45865.0</v>
      </c>
      <c r="N485" s="53" t="s">
        <v>1184</v>
      </c>
      <c r="O485" s="54" t="s">
        <v>162</v>
      </c>
      <c r="P485" s="53" t="str">
        <f>vlookup(N485,Categorizations!A:C,3,FALSE)</f>
        <v>Pesticides</v>
      </c>
      <c r="Q485" s="55">
        <v>1.0</v>
      </c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</row>
    <row r="486" ht="22.5" customHeight="1">
      <c r="A486" s="261" t="str">
        <f t="shared" si="24"/>
        <v>45691Not Specified, Locations Listed</v>
      </c>
      <c r="B486" s="286"/>
      <c r="C486" s="42">
        <v>45691.0</v>
      </c>
      <c r="D486" s="72" t="s">
        <v>86</v>
      </c>
      <c r="E486" s="110" t="s">
        <v>7513</v>
      </c>
      <c r="F486" s="114"/>
      <c r="G486" s="72" t="s">
        <v>7439</v>
      </c>
      <c r="H486" s="95" t="s">
        <v>7512</v>
      </c>
      <c r="I486" s="66" t="s">
        <v>7512</v>
      </c>
      <c r="J486" s="114"/>
      <c r="K486" s="111" t="s">
        <v>636</v>
      </c>
      <c r="L486" s="285"/>
      <c r="M486" s="96">
        <v>45443.0</v>
      </c>
      <c r="N486" s="53" t="s">
        <v>1127</v>
      </c>
      <c r="O486" s="54" t="s">
        <v>162</v>
      </c>
      <c r="P486" s="53" t="str">
        <f>vlookup(N486,Categorizations!A:C,3,FALSE)</f>
        <v>Total Yeast and Mold</v>
      </c>
      <c r="Q486" s="55">
        <v>1.0</v>
      </c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</row>
    <row r="487" ht="22.5" customHeight="1">
      <c r="A487" s="261" t="str">
        <f t="shared" si="24"/>
        <v>45691Not Specified, Locations Listed</v>
      </c>
      <c r="B487" s="286"/>
      <c r="C487" s="42">
        <v>45691.0</v>
      </c>
      <c r="D487" s="72" t="s">
        <v>86</v>
      </c>
      <c r="E487" s="110" t="s">
        <v>7514</v>
      </c>
      <c r="F487" s="114"/>
      <c r="G487" s="72" t="s">
        <v>7439</v>
      </c>
      <c r="H487" s="95" t="s">
        <v>7512</v>
      </c>
      <c r="I487" s="66" t="s">
        <v>7512</v>
      </c>
      <c r="J487" s="114"/>
      <c r="K487" s="111" t="s">
        <v>636</v>
      </c>
      <c r="L487" s="285"/>
      <c r="M487" s="292">
        <v>45553.0</v>
      </c>
      <c r="N487" s="53" t="s">
        <v>607</v>
      </c>
      <c r="O487" s="54" t="s">
        <v>162</v>
      </c>
      <c r="P487" s="53" t="str">
        <f>vlookup(N487,Categorizations!A:C,3,FALSE)</f>
        <v>Aspergillus</v>
      </c>
      <c r="Q487" s="55">
        <v>1.0</v>
      </c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</row>
    <row r="488" ht="22.5" customHeight="1">
      <c r="A488" s="261" t="str">
        <f t="shared" si="24"/>
        <v>45875Not Specified, No Locations Listed</v>
      </c>
      <c r="B488" s="286"/>
      <c r="C488" s="42">
        <v>45875.0</v>
      </c>
      <c r="D488" s="72" t="s">
        <v>86</v>
      </c>
      <c r="E488" s="110" t="s">
        <v>58</v>
      </c>
      <c r="F488" s="114"/>
      <c r="G488" s="72" t="s">
        <v>7510</v>
      </c>
      <c r="H488" s="95" t="s">
        <v>7515</v>
      </c>
      <c r="I488" s="66" t="s">
        <v>7515</v>
      </c>
      <c r="J488" s="114"/>
      <c r="K488" s="111" t="s">
        <v>636</v>
      </c>
      <c r="L488" s="285"/>
      <c r="M488" s="96">
        <v>45383.0</v>
      </c>
      <c r="N488" s="53" t="s">
        <v>607</v>
      </c>
      <c r="O488" s="54" t="s">
        <v>162</v>
      </c>
      <c r="P488" s="53" t="str">
        <f>vlookup(N488,Categorizations!A:C,3,FALSE)</f>
        <v>Aspergillus</v>
      </c>
      <c r="Q488" s="55">
        <v>1.0</v>
      </c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</row>
    <row r="489" ht="22.5" customHeight="1">
      <c r="A489" s="261" t="str">
        <f t="shared" si="24"/>
        <v>45427Flavor Galaxy LLC</v>
      </c>
      <c r="B489" s="286"/>
      <c r="C489" s="42">
        <v>45427.0</v>
      </c>
      <c r="D489" s="72" t="s">
        <v>94</v>
      </c>
      <c r="E489" s="110" t="s">
        <v>7516</v>
      </c>
      <c r="F489" s="95" t="s">
        <v>7408</v>
      </c>
      <c r="G489" s="72" t="s">
        <v>7517</v>
      </c>
      <c r="H489" s="95" t="s">
        <v>7518</v>
      </c>
      <c r="I489" s="66" t="s">
        <v>4207</v>
      </c>
      <c r="J489" s="114"/>
      <c r="K489" s="111" t="s">
        <v>120</v>
      </c>
      <c r="L489" s="285"/>
      <c r="M489" s="285"/>
      <c r="N489" s="53" t="s">
        <v>1191</v>
      </c>
      <c r="O489" s="54" t="s">
        <v>162</v>
      </c>
      <c r="P489" s="53" t="str">
        <f>vlookup(N489,Categorizations!A:C,3,FALSE)</f>
        <v>Total Yeast and Mold</v>
      </c>
      <c r="Q489" s="55">
        <v>1.0</v>
      </c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</row>
    <row r="490" ht="22.5" customHeight="1">
      <c r="A490" s="261" t="str">
        <f t="shared" si="24"/>
        <v>45688RWB Michigan LLC</v>
      </c>
      <c r="B490" s="286"/>
      <c r="C490" s="42">
        <v>45688.0</v>
      </c>
      <c r="D490" s="72" t="s">
        <v>94</v>
      </c>
      <c r="E490" s="110" t="s">
        <v>7519</v>
      </c>
      <c r="F490" s="95" t="s">
        <v>177</v>
      </c>
      <c r="G490" s="72" t="s">
        <v>6955</v>
      </c>
      <c r="H490" s="95" t="s">
        <v>7520</v>
      </c>
      <c r="I490" s="66" t="s">
        <v>7521</v>
      </c>
      <c r="J490" s="114"/>
      <c r="K490" s="111" t="s">
        <v>120</v>
      </c>
      <c r="L490" s="285"/>
      <c r="M490" s="285"/>
      <c r="N490" s="53" t="s">
        <v>1191</v>
      </c>
      <c r="O490" s="54" t="s">
        <v>162</v>
      </c>
      <c r="P490" s="53" t="str">
        <f>vlookup(N490,Categorizations!A:C,3,FALSE)</f>
        <v>Total Yeast and Mold</v>
      </c>
      <c r="Q490" s="55">
        <v>1.0</v>
      </c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</row>
    <row r="491" ht="22.5" customHeight="1">
      <c r="A491" s="261" t="str">
        <f t="shared" si="24"/>
        <v>45699Exhale Systems Inc</v>
      </c>
      <c r="B491" s="286"/>
      <c r="C491" s="42">
        <v>45699.0</v>
      </c>
      <c r="D491" s="72" t="s">
        <v>94</v>
      </c>
      <c r="E491" s="110" t="s">
        <v>7522</v>
      </c>
      <c r="F491" s="95" t="s">
        <v>177</v>
      </c>
      <c r="G491" s="72" t="s">
        <v>6955</v>
      </c>
      <c r="H491" s="48" t="s">
        <v>7523</v>
      </c>
      <c r="I491" s="66" t="s">
        <v>7524</v>
      </c>
      <c r="J491" s="114"/>
      <c r="K491" s="111" t="s">
        <v>120</v>
      </c>
      <c r="L491" s="285"/>
      <c r="M491" s="285"/>
      <c r="N491" s="53" t="s">
        <v>1197</v>
      </c>
      <c r="O491" s="54" t="s">
        <v>162</v>
      </c>
      <c r="P491" s="53" t="str">
        <f>vlookup(N491,Categorizations!A:C,3,FALSE)</f>
        <v>Coliforms</v>
      </c>
      <c r="Q491" s="55">
        <v>1.0</v>
      </c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</row>
    <row r="492" ht="22.5" customHeight="1">
      <c r="A492" s="261" t="str">
        <f t="shared" si="24"/>
        <v>45881Sky Cannabis LLC</v>
      </c>
      <c r="B492" s="286"/>
      <c r="C492" s="42">
        <v>45881.0</v>
      </c>
      <c r="D492" s="72" t="s">
        <v>94</v>
      </c>
      <c r="E492" s="110" t="s">
        <v>7525</v>
      </c>
      <c r="F492" s="95" t="s">
        <v>177</v>
      </c>
      <c r="G492" s="72" t="s">
        <v>6955</v>
      </c>
      <c r="H492" s="95" t="s">
        <v>7526</v>
      </c>
      <c r="I492" s="66" t="s">
        <v>7526</v>
      </c>
      <c r="J492" s="114"/>
      <c r="K492" s="111" t="s">
        <v>120</v>
      </c>
      <c r="L492" s="285"/>
      <c r="M492" s="285"/>
      <c r="N492" s="53" t="s">
        <v>1197</v>
      </c>
      <c r="O492" s="54" t="s">
        <v>162</v>
      </c>
      <c r="P492" s="53" t="str">
        <f>vlookup(N492,Categorizations!A:C,3,FALSE)</f>
        <v>Coliforms</v>
      </c>
      <c r="Q492" s="55">
        <v>1.0</v>
      </c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</row>
    <row r="493" ht="22.5" customHeight="1">
      <c r="A493" s="261" t="str">
        <f t="shared" si="24"/>
        <v>45902IVP Holding, LLC</v>
      </c>
      <c r="B493" s="286"/>
      <c r="C493" s="42">
        <v>45902.0</v>
      </c>
      <c r="D493" s="72" t="s">
        <v>94</v>
      </c>
      <c r="E493" s="110" t="s">
        <v>7527</v>
      </c>
      <c r="F493" s="95" t="s">
        <v>177</v>
      </c>
      <c r="G493" s="72" t="s">
        <v>6955</v>
      </c>
      <c r="H493" s="95" t="s">
        <v>7528</v>
      </c>
      <c r="I493" s="66" t="s">
        <v>7529</v>
      </c>
      <c r="J493" s="114"/>
      <c r="K493" s="111" t="s">
        <v>120</v>
      </c>
      <c r="L493" s="285"/>
      <c r="M493" s="285"/>
      <c r="N493" s="53" t="s">
        <v>1205</v>
      </c>
      <c r="O493" s="54" t="s">
        <v>162</v>
      </c>
      <c r="P493" s="53" t="str">
        <f>vlookup(N493,Categorizations!A:C,3,FALSE)</f>
        <v>Invalid Testing</v>
      </c>
      <c r="Q493" s="55">
        <v>1.0</v>
      </c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</row>
    <row r="494" ht="22.5" customHeight="1">
      <c r="A494" s="261" t="str">
        <f t="shared" si="24"/>
        <v>45497Kelly’s Green</v>
      </c>
      <c r="B494" s="286"/>
      <c r="C494" s="42">
        <v>45497.0</v>
      </c>
      <c r="D494" s="72" t="s">
        <v>103</v>
      </c>
      <c r="E494" s="110" t="s">
        <v>104</v>
      </c>
      <c r="F494" s="95" t="s">
        <v>177</v>
      </c>
      <c r="G494" s="72" t="s">
        <v>7510</v>
      </c>
      <c r="H494" s="95" t="s">
        <v>7530</v>
      </c>
      <c r="I494" s="66" t="s">
        <v>7530</v>
      </c>
      <c r="J494" s="114"/>
      <c r="K494" s="111" t="s">
        <v>120</v>
      </c>
      <c r="L494" s="285"/>
      <c r="M494" s="285"/>
      <c r="N494" s="53" t="s">
        <v>282</v>
      </c>
      <c r="O494" s="54" t="s">
        <v>162</v>
      </c>
      <c r="P494" s="53" t="str">
        <f>vlookup(N494,Categorizations!A:C,3,FALSE)</f>
        <v>Aspergillus</v>
      </c>
      <c r="Q494" s="55">
        <v>1.0</v>
      </c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</row>
    <row r="495" ht="22.5" customHeight="1">
      <c r="A495" s="261" t="str">
        <f t="shared" si="24"/>
        <v>45152Delta Extraction, LLC,</v>
      </c>
      <c r="B495" s="286"/>
      <c r="C495" s="42">
        <v>45152.0</v>
      </c>
      <c r="D495" s="72" t="s">
        <v>106</v>
      </c>
      <c r="E495" s="110" t="s">
        <v>7531</v>
      </c>
      <c r="F495" s="114"/>
      <c r="G495" s="72" t="s">
        <v>7532</v>
      </c>
      <c r="H495" s="95" t="s">
        <v>7533</v>
      </c>
      <c r="I495" s="66" t="s">
        <v>7533</v>
      </c>
      <c r="J495" s="114"/>
      <c r="K495" s="111" t="s">
        <v>120</v>
      </c>
      <c r="L495" s="285"/>
      <c r="M495" s="285"/>
      <c r="N495" s="53" t="s">
        <v>1222</v>
      </c>
      <c r="O495" s="54" t="s">
        <v>162</v>
      </c>
      <c r="P495" s="53" t="str">
        <f>vlookup(N495,Categorizations!A:C,3,FALSE)</f>
        <v>Prohibited Additives / Product</v>
      </c>
      <c r="Q495" s="55">
        <v>1.0</v>
      </c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</row>
    <row r="496" ht="22.5" customHeight="1">
      <c r="A496" s="261" t="str">
        <f t="shared" si="24"/>
        <v>45510NGWMO, LLC</v>
      </c>
      <c r="B496" s="286"/>
      <c r="C496" s="42">
        <v>45510.0</v>
      </c>
      <c r="D496" s="72" t="s">
        <v>106</v>
      </c>
      <c r="E496" s="110" t="s">
        <v>7534</v>
      </c>
      <c r="F496" s="114"/>
      <c r="G496" s="72" t="s">
        <v>180</v>
      </c>
      <c r="H496" s="95" t="s">
        <v>7535</v>
      </c>
      <c r="I496" s="66" t="s">
        <v>7535</v>
      </c>
      <c r="J496" s="114"/>
      <c r="K496" s="111" t="s">
        <v>120</v>
      </c>
      <c r="L496" s="285"/>
      <c r="M496" s="285"/>
      <c r="N496" s="53" t="s">
        <v>861</v>
      </c>
      <c r="O496" s="54" t="s">
        <v>162</v>
      </c>
      <c r="P496" s="53" t="str">
        <f>vlookup(N496,Categorizations!A:C,3,FALSE)</f>
        <v>Over THC Threshhold</v>
      </c>
      <c r="Q496" s="55">
        <v>1.0</v>
      </c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</row>
    <row r="497" ht="22.5" customHeight="1">
      <c r="A497" s="261" t="str">
        <f t="shared" si="24"/>
        <v>45512 C&amp;C Manufacturing, LLC,</v>
      </c>
      <c r="B497" s="286"/>
      <c r="C497" s="42">
        <v>45512.0</v>
      </c>
      <c r="D497" s="72" t="s">
        <v>106</v>
      </c>
      <c r="E497" s="110" t="s">
        <v>7536</v>
      </c>
      <c r="F497" s="114"/>
      <c r="G497" s="72" t="s">
        <v>7537</v>
      </c>
      <c r="H497" s="95" t="s">
        <v>7538</v>
      </c>
      <c r="I497" s="66" t="s">
        <v>7538</v>
      </c>
      <c r="J497" s="114"/>
      <c r="K497" s="111" t="s">
        <v>120</v>
      </c>
      <c r="L497" s="285"/>
      <c r="M497" s="285"/>
      <c r="N497" s="53" t="s">
        <v>229</v>
      </c>
      <c r="O497" s="54" t="s">
        <v>162</v>
      </c>
      <c r="P497" s="53" t="str">
        <f>vlookup(N497,Categorizations!A:C,3,FALSE)</f>
        <v>Prohibited Additives / Product</v>
      </c>
      <c r="Q497" s="55">
        <v>1.0</v>
      </c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</row>
    <row r="498" ht="22.5" customHeight="1">
      <c r="A498" s="261" t="str">
        <f t="shared" si="24"/>
        <v>45534Blue Sky Health &amp; Wellness, LLC</v>
      </c>
      <c r="B498" s="286"/>
      <c r="C498" s="42">
        <v>45534.0</v>
      </c>
      <c r="D498" s="72" t="s">
        <v>106</v>
      </c>
      <c r="E498" s="110" t="s">
        <v>7539</v>
      </c>
      <c r="F498" s="114"/>
      <c r="G498" s="72" t="s">
        <v>7540</v>
      </c>
      <c r="H498" s="95" t="s">
        <v>7541</v>
      </c>
      <c r="I498" s="66" t="s">
        <v>7541</v>
      </c>
      <c r="J498" s="114"/>
      <c r="K498" s="111" t="s">
        <v>120</v>
      </c>
      <c r="L498" s="285"/>
      <c r="M498" s="285"/>
      <c r="N498" s="53" t="s">
        <v>229</v>
      </c>
      <c r="O498" s="54" t="s">
        <v>162</v>
      </c>
      <c r="P498" s="53" t="str">
        <f>vlookup(N498,Categorizations!A:C,3,FALSE)</f>
        <v>Prohibited Additives / Product</v>
      </c>
      <c r="Q498" s="55">
        <v>1.0</v>
      </c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</row>
    <row r="499" ht="22.5" customHeight="1">
      <c r="A499" s="261" t="str">
        <f t="shared" si="24"/>
        <v>45552ClearWater Science, LLC</v>
      </c>
      <c r="B499" s="286"/>
      <c r="C499" s="42">
        <v>45552.0</v>
      </c>
      <c r="D499" s="72" t="s">
        <v>106</v>
      </c>
      <c r="E499" s="110" t="s">
        <v>7539</v>
      </c>
      <c r="F499" s="114"/>
      <c r="G499" s="72" t="s">
        <v>7542</v>
      </c>
      <c r="H499" s="95" t="s">
        <v>7543</v>
      </c>
      <c r="I499" s="66" t="s">
        <v>7543</v>
      </c>
      <c r="J499" s="114"/>
      <c r="K499" s="111" t="s">
        <v>120</v>
      </c>
      <c r="L499" s="285"/>
      <c r="M499" s="285"/>
      <c r="N499" s="53" t="s">
        <v>861</v>
      </c>
      <c r="O499" s="54" t="s">
        <v>162</v>
      </c>
      <c r="P499" s="53" t="str">
        <f>vlookup(N499,Categorizations!A:C,3,FALSE)</f>
        <v>Over THC Threshhold</v>
      </c>
      <c r="Q499" s="55">
        <v>1.0</v>
      </c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</row>
    <row r="500" ht="22.5" customHeight="1">
      <c r="A500" s="261" t="str">
        <f t="shared" si="24"/>
        <v>45611Noah’s Arc Foundation MAN97, LLC</v>
      </c>
      <c r="B500" s="286"/>
      <c r="C500" s="42">
        <v>45611.0</v>
      </c>
      <c r="D500" s="72" t="s">
        <v>106</v>
      </c>
      <c r="E500" s="110" t="s">
        <v>7544</v>
      </c>
      <c r="F500" s="95" t="s">
        <v>109</v>
      </c>
      <c r="G500" s="72" t="s">
        <v>7545</v>
      </c>
      <c r="H500" s="293" t="s">
        <v>7546</v>
      </c>
      <c r="I500" s="66" t="s">
        <v>7546</v>
      </c>
      <c r="J500" s="114"/>
      <c r="K500" s="111" t="s">
        <v>120</v>
      </c>
      <c r="L500" s="285"/>
      <c r="M500" s="285"/>
      <c r="N500" s="53" t="s">
        <v>933</v>
      </c>
      <c r="O500" s="54" t="s">
        <v>162</v>
      </c>
      <c r="P500" s="53" t="str">
        <f>vlookup(N500,Categorizations!A:C,3,FALSE)</f>
        <v>Aspergillus</v>
      </c>
      <c r="Q500" s="55">
        <v>1.0</v>
      </c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</row>
    <row r="501" ht="22.5" customHeight="1">
      <c r="A501" s="261" t="str">
        <f t="shared" si="24"/>
        <v>45765Honey Green, LLC</v>
      </c>
      <c r="B501" s="286"/>
      <c r="C501" s="42">
        <v>45765.0</v>
      </c>
      <c r="D501" s="72" t="s">
        <v>106</v>
      </c>
      <c r="E501" s="110" t="s">
        <v>7547</v>
      </c>
      <c r="F501" s="95" t="s">
        <v>109</v>
      </c>
      <c r="G501" s="72" t="s">
        <v>7548</v>
      </c>
      <c r="H501" s="95" t="s">
        <v>7549</v>
      </c>
      <c r="I501" s="66" t="s">
        <v>7549</v>
      </c>
      <c r="J501" s="114"/>
      <c r="K501" s="111" t="s">
        <v>120</v>
      </c>
      <c r="L501" s="285"/>
      <c r="M501" s="285"/>
      <c r="N501" s="53" t="s">
        <v>217</v>
      </c>
      <c r="O501" s="54" t="s">
        <v>162</v>
      </c>
      <c r="P501" s="53" t="str">
        <f>vlookup(N501,Categorizations!A:C,3,FALSE)</f>
        <v>Prohibited Additives / Product</v>
      </c>
      <c r="Q501" s="55">
        <v>1.0</v>
      </c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</row>
    <row r="502" ht="22.5" customHeight="1">
      <c r="A502" s="261" t="str">
        <f t="shared" si="24"/>
        <v>457651913 Carrollton Manufacturing LLC</v>
      </c>
      <c r="B502" s="286"/>
      <c r="C502" s="42">
        <v>45765.0</v>
      </c>
      <c r="D502" s="72" t="s">
        <v>106</v>
      </c>
      <c r="E502" s="110" t="s">
        <v>7550</v>
      </c>
      <c r="F502" s="95" t="s">
        <v>109</v>
      </c>
      <c r="G502" s="72" t="s">
        <v>837</v>
      </c>
      <c r="H502" s="95" t="s">
        <v>7551</v>
      </c>
      <c r="I502" s="66" t="s">
        <v>7551</v>
      </c>
      <c r="J502" s="114"/>
      <c r="K502" s="111" t="s">
        <v>120</v>
      </c>
      <c r="L502" s="285"/>
      <c r="M502" s="285"/>
      <c r="N502" s="53" t="s">
        <v>262</v>
      </c>
      <c r="O502" s="54" t="s">
        <v>162</v>
      </c>
      <c r="P502" s="53" t="str">
        <f>vlookup(N502,Categorizations!A:C,3,FALSE)</f>
        <v>Packaging</v>
      </c>
      <c r="Q502" s="55">
        <v>1.0</v>
      </c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</row>
    <row r="503" ht="22.5" customHeight="1">
      <c r="A503" s="261" t="str">
        <f t="shared" si="24"/>
        <v>45776Nodaway Holdings LLC</v>
      </c>
      <c r="B503" s="286"/>
      <c r="C503" s="42">
        <v>45776.0</v>
      </c>
      <c r="D503" s="72" t="s">
        <v>106</v>
      </c>
      <c r="E503" s="110" t="s">
        <v>7552</v>
      </c>
      <c r="F503" s="95" t="s">
        <v>109</v>
      </c>
      <c r="G503" s="72" t="s">
        <v>837</v>
      </c>
      <c r="H503" s="95" t="s">
        <v>7553</v>
      </c>
      <c r="I503" s="66" t="s">
        <v>7553</v>
      </c>
      <c r="J503" s="114"/>
      <c r="K503" s="111" t="s">
        <v>120</v>
      </c>
      <c r="L503" s="285"/>
      <c r="M503" s="285"/>
      <c r="N503" s="53" t="s">
        <v>262</v>
      </c>
      <c r="O503" s="54" t="s">
        <v>162</v>
      </c>
      <c r="P503" s="53" t="str">
        <f>vlookup(N503,Categorizations!A:C,3,FALSE)</f>
        <v>Packaging</v>
      </c>
      <c r="Q503" s="55">
        <v>1.0</v>
      </c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</row>
    <row r="504" ht="22.5" customHeight="1">
      <c r="A504" s="261" t="str">
        <f t="shared" si="24"/>
        <v>45839Bootheel CannaCare Columbia LLC</v>
      </c>
      <c r="B504" s="286"/>
      <c r="C504" s="42">
        <v>45839.0</v>
      </c>
      <c r="D504" s="72" t="s">
        <v>106</v>
      </c>
      <c r="E504" s="110" t="s">
        <v>7554</v>
      </c>
      <c r="F504" s="95" t="s">
        <v>109</v>
      </c>
      <c r="G504" s="72" t="s">
        <v>1161</v>
      </c>
      <c r="H504" s="48" t="s">
        <v>7555</v>
      </c>
      <c r="I504" s="66" t="s">
        <v>7555</v>
      </c>
      <c r="J504" s="114"/>
      <c r="K504" s="111" t="s">
        <v>120</v>
      </c>
      <c r="L504" s="285"/>
      <c r="M504" s="285"/>
      <c r="N504" s="53" t="s">
        <v>933</v>
      </c>
      <c r="O504" s="54" t="s">
        <v>162</v>
      </c>
      <c r="P504" s="53" t="str">
        <f>vlookup(N504,Categorizations!A:C,3,FALSE)</f>
        <v>Aspergillus</v>
      </c>
      <c r="Q504" s="55">
        <v>1.0</v>
      </c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</row>
    <row r="505" ht="22.5" customHeight="1">
      <c r="A505" s="261" t="str">
        <f t="shared" si="24"/>
        <v>45754BROUGHTON, Inc., </v>
      </c>
      <c r="B505" s="286"/>
      <c r="C505" s="42">
        <v>45754.0</v>
      </c>
      <c r="D505" s="72" t="s">
        <v>110</v>
      </c>
      <c r="E505" s="110" t="s">
        <v>7556</v>
      </c>
      <c r="F505" s="95" t="s">
        <v>177</v>
      </c>
      <c r="G505" s="72" t="s">
        <v>7557</v>
      </c>
      <c r="H505" s="95" t="s">
        <v>7558</v>
      </c>
      <c r="I505" s="66" t="s">
        <v>7558</v>
      </c>
      <c r="J505" s="114"/>
      <c r="K505" s="111" t="s">
        <v>120</v>
      </c>
      <c r="L505" s="285"/>
      <c r="M505" s="285"/>
      <c r="N505" s="53" t="s">
        <v>1243</v>
      </c>
      <c r="O505" s="54" t="s">
        <v>162</v>
      </c>
      <c r="P505" s="53" t="str">
        <f>vlookup(N505,Categorizations!A:C,3,FALSE)</f>
        <v>Invalid Testing</v>
      </c>
      <c r="Q505" s="55">
        <v>1.0</v>
      </c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</row>
    <row r="506" ht="22.5" customHeight="1">
      <c r="A506" s="261" t="str">
        <f t="shared" si="24"/>
        <v>46050S&amp;J Strategic Enterprises</v>
      </c>
      <c r="B506" s="286"/>
      <c r="C506" s="42">
        <v>46050.0</v>
      </c>
      <c r="D506" s="72" t="s">
        <v>110</v>
      </c>
      <c r="E506" s="110" t="s">
        <v>7559</v>
      </c>
      <c r="F506" s="95" t="s">
        <v>177</v>
      </c>
      <c r="G506" s="72" t="s">
        <v>7450</v>
      </c>
      <c r="H506" s="95" t="s">
        <v>7560</v>
      </c>
      <c r="I506" s="66" t="s">
        <v>7560</v>
      </c>
      <c r="J506" s="114"/>
      <c r="K506" s="111" t="s">
        <v>120</v>
      </c>
      <c r="L506" s="285"/>
      <c r="M506" s="285"/>
      <c r="N506" s="53" t="s">
        <v>1251</v>
      </c>
      <c r="O506" s="54" t="s">
        <v>162</v>
      </c>
      <c r="P506" s="53" t="str">
        <f>vlookup(N506,Categorizations!A:C,3,FALSE)</f>
        <v>Inaccurate Ingredient Label</v>
      </c>
      <c r="Q506" s="55">
        <v>1.0</v>
      </c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</row>
    <row r="507" ht="22.5" customHeight="1">
      <c r="A507" s="261" t="str">
        <f t="shared" si="24"/>
        <v>45464KYND</v>
      </c>
      <c r="B507" s="286"/>
      <c r="C507" s="42">
        <v>45464.0</v>
      </c>
      <c r="D507" s="72" t="s">
        <v>117</v>
      </c>
      <c r="E507" s="110" t="s">
        <v>4352</v>
      </c>
      <c r="F507" s="114"/>
      <c r="G507" s="72" t="s">
        <v>7545</v>
      </c>
      <c r="H507" s="95" t="s">
        <v>7561</v>
      </c>
      <c r="I507" s="66" t="s">
        <v>7562</v>
      </c>
      <c r="J507" s="114"/>
      <c r="K507" s="111" t="s">
        <v>120</v>
      </c>
      <c r="L507" s="285"/>
      <c r="M507" s="285"/>
      <c r="N507" s="53" t="s">
        <v>217</v>
      </c>
      <c r="O507" s="54" t="s">
        <v>162</v>
      </c>
      <c r="P507" s="53" t="str">
        <f>vlookup(N507,Categorizations!A:C,3,FALSE)</f>
        <v>Prohibited Additives / Product</v>
      </c>
      <c r="Q507" s="55">
        <v>1.0</v>
      </c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</row>
    <row r="508" ht="22.5" customHeight="1">
      <c r="A508" s="261" t="str">
        <f t="shared" si="24"/>
        <v>45492KYND</v>
      </c>
      <c r="B508" s="286"/>
      <c r="C508" s="42">
        <v>45492.0</v>
      </c>
      <c r="D508" s="72" t="s">
        <v>117</v>
      </c>
      <c r="E508" s="110" t="s">
        <v>4436</v>
      </c>
      <c r="F508" s="114"/>
      <c r="G508" s="72" t="s">
        <v>837</v>
      </c>
      <c r="H508" s="48" t="s">
        <v>7563</v>
      </c>
      <c r="I508" s="66" t="s">
        <v>7562</v>
      </c>
      <c r="J508" s="114"/>
      <c r="K508" s="111" t="s">
        <v>120</v>
      </c>
      <c r="L508" s="285"/>
      <c r="M508" s="285"/>
      <c r="N508" s="53" t="s">
        <v>1260</v>
      </c>
      <c r="O508" s="54" t="s">
        <v>162</v>
      </c>
      <c r="P508" s="53" t="str">
        <f>vlookup(N508,Categorizations!A:C,3,FALSE)</f>
        <v>Unspecified Contaminant</v>
      </c>
      <c r="Q508" s="55">
        <v>1.0</v>
      </c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</row>
    <row r="509" ht="22.5" customHeight="1">
      <c r="A509" s="261" t="str">
        <f t="shared" si="24"/>
        <v>45495Not Listed</v>
      </c>
      <c r="B509" s="286"/>
      <c r="C509" s="42">
        <v>45495.0</v>
      </c>
      <c r="D509" s="72" t="s">
        <v>117</v>
      </c>
      <c r="E509" s="110" t="s">
        <v>4436</v>
      </c>
      <c r="F509" s="114"/>
      <c r="G509" s="72" t="s">
        <v>883</v>
      </c>
      <c r="H509" s="95" t="s">
        <v>452</v>
      </c>
      <c r="I509" s="66" t="s">
        <v>452</v>
      </c>
      <c r="J509" s="114"/>
      <c r="K509" s="111" t="s">
        <v>120</v>
      </c>
      <c r="L509" s="285"/>
      <c r="M509" s="285"/>
      <c r="N509" s="53" t="s">
        <v>508</v>
      </c>
      <c r="O509" s="54" t="s">
        <v>162</v>
      </c>
      <c r="P509" s="53" t="str">
        <f>vlookup(N509,Categorizations!A:C,3,FALSE)</f>
        <v>Other</v>
      </c>
      <c r="Q509" s="55">
        <v>1.0</v>
      </c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</row>
    <row r="510" ht="22.5" customHeight="1">
      <c r="A510" s="261" t="str">
        <f t="shared" si="24"/>
        <v>45601 Redwood Warehouse, LLC </v>
      </c>
      <c r="B510" s="286"/>
      <c r="C510" s="42">
        <v>45601.0</v>
      </c>
      <c r="D510" s="72" t="s">
        <v>117</v>
      </c>
      <c r="E510" s="110" t="s">
        <v>7564</v>
      </c>
      <c r="F510" s="114"/>
      <c r="G510" s="48" t="s">
        <v>7565</v>
      </c>
      <c r="H510" s="95" t="s">
        <v>7566</v>
      </c>
      <c r="I510" s="66" t="s">
        <v>7567</v>
      </c>
      <c r="J510" s="114"/>
      <c r="K510" s="111" t="s">
        <v>120</v>
      </c>
      <c r="L510" s="285"/>
      <c r="M510" s="285"/>
      <c r="N510" s="53" t="s">
        <v>265</v>
      </c>
      <c r="O510" s="54" t="s">
        <v>162</v>
      </c>
      <c r="P510" s="53" t="str">
        <f>vlookup(N510,Categorizations!A:C,3,FALSE)</f>
        <v>Not Tested</v>
      </c>
      <c r="Q510" s="55">
        <v>1.0</v>
      </c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</row>
    <row r="511" ht="22.5" customHeight="1">
      <c r="A511" s="261" t="str">
        <f t="shared" si="24"/>
        <v>45912Not Listed</v>
      </c>
      <c r="B511" s="286"/>
      <c r="C511" s="42">
        <v>45912.0</v>
      </c>
      <c r="D511" s="72" t="s">
        <v>117</v>
      </c>
      <c r="E511" s="110" t="s">
        <v>7568</v>
      </c>
      <c r="F511" s="114"/>
      <c r="G511" s="72" t="s">
        <v>7569</v>
      </c>
      <c r="H511" s="95" t="s">
        <v>452</v>
      </c>
      <c r="I511" s="66" t="s">
        <v>452</v>
      </c>
      <c r="J511" s="114"/>
      <c r="K511" s="111" t="s">
        <v>120</v>
      </c>
      <c r="L511" s="285"/>
      <c r="M511" s="285"/>
      <c r="N511" s="53" t="s">
        <v>1269</v>
      </c>
      <c r="O511" s="54" t="s">
        <v>162</v>
      </c>
      <c r="P511" s="53" t="str">
        <f>vlookup(N511,Categorizations!A:C,3,FALSE)</f>
        <v>Prohibited Additives / Product</v>
      </c>
      <c r="Q511" s="55">
        <v>1.0</v>
      </c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</row>
    <row r="512" ht="22.5" customHeight="1">
      <c r="A512" s="261" t="str">
        <f t="shared" si="24"/>
        <v>46006Greenway Medical, LLC</v>
      </c>
      <c r="B512" s="48" t="s">
        <v>7570</v>
      </c>
      <c r="C512" s="42">
        <v>46006.0</v>
      </c>
      <c r="D512" s="72" t="s">
        <v>117</v>
      </c>
      <c r="E512" s="110" t="s">
        <v>7571</v>
      </c>
      <c r="F512" s="114"/>
      <c r="G512" s="48" t="s">
        <v>7565</v>
      </c>
      <c r="H512" s="95" t="s">
        <v>7572</v>
      </c>
      <c r="I512" s="66" t="s">
        <v>7572</v>
      </c>
      <c r="J512" s="114"/>
      <c r="K512" s="111" t="s">
        <v>636</v>
      </c>
      <c r="L512" s="96">
        <v>45870.0</v>
      </c>
      <c r="M512" s="285"/>
      <c r="N512" s="53" t="s">
        <v>267</v>
      </c>
      <c r="O512" s="54" t="s">
        <v>162</v>
      </c>
      <c r="P512" s="53" t="str">
        <f>vlookup(N512,Categorizations!A:C,3,FALSE)</f>
        <v>Pesticides</v>
      </c>
      <c r="Q512" s="55">
        <v>1.0</v>
      </c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</row>
    <row r="513" ht="22.5" customHeight="1">
      <c r="A513" s="261" t="str">
        <f t="shared" si="24"/>
        <v>46079GH LLC</v>
      </c>
      <c r="B513" s="286"/>
      <c r="C513" s="42">
        <v>46079.0</v>
      </c>
      <c r="D513" s="72" t="s">
        <v>128</v>
      </c>
      <c r="E513" s="110" t="s">
        <v>7573</v>
      </c>
      <c r="F513" s="95" t="s">
        <v>109</v>
      </c>
      <c r="G513" s="72" t="s">
        <v>837</v>
      </c>
      <c r="H513" s="294" t="s">
        <v>7574</v>
      </c>
      <c r="I513" s="294" t="s">
        <v>7575</v>
      </c>
      <c r="J513" s="114"/>
      <c r="K513" s="111" t="s">
        <v>120</v>
      </c>
      <c r="L513" s="285"/>
      <c r="M513" s="285"/>
      <c r="N513" s="53" t="s">
        <v>1295</v>
      </c>
      <c r="O513" s="54" t="s">
        <v>162</v>
      </c>
      <c r="P513" s="53" t="str">
        <f>vlookup(N513,Categorizations!A:C,3,FALSE)</f>
        <v>Pesticides</v>
      </c>
      <c r="Q513" s="55">
        <v>1.0</v>
      </c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</row>
    <row r="514" ht="22.5" customHeight="1">
      <c r="A514" s="261" t="str">
        <f t="shared" si="24"/>
        <v>45623JBS Technologies NM, LLC</v>
      </c>
      <c r="B514" s="286"/>
      <c r="C514" s="42">
        <v>45623.0</v>
      </c>
      <c r="D514" s="72" t="s">
        <v>128</v>
      </c>
      <c r="E514" s="110" t="s">
        <v>7576</v>
      </c>
      <c r="F514" s="95" t="s">
        <v>109</v>
      </c>
      <c r="G514" s="295" t="s">
        <v>7577</v>
      </c>
      <c r="H514" s="95" t="s">
        <v>7578</v>
      </c>
      <c r="I514" s="66" t="s">
        <v>7579</v>
      </c>
      <c r="J514" s="114"/>
      <c r="K514" s="111" t="s">
        <v>120</v>
      </c>
      <c r="L514" s="285"/>
      <c r="M514" s="285"/>
      <c r="N514" s="53" t="s">
        <v>268</v>
      </c>
      <c r="O514" s="54" t="s">
        <v>162</v>
      </c>
      <c r="P514" s="53" t="str">
        <f>vlookup(N514,Categorizations!A:C,3,FALSE)</f>
        <v>Contaminants</v>
      </c>
      <c r="Q514" s="55">
        <v>1.0</v>
      </c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</row>
    <row r="515" ht="22.5" customHeight="1">
      <c r="A515" s="261" t="str">
        <f t="shared" si="24"/>
        <v>45539WH Agriculture, LLC</v>
      </c>
      <c r="B515" s="286"/>
      <c r="C515" s="42">
        <v>45539.0</v>
      </c>
      <c r="D515" s="72" t="s">
        <v>128</v>
      </c>
      <c r="E515" s="110" t="s">
        <v>7580</v>
      </c>
      <c r="F515" s="114"/>
      <c r="G515" s="72" t="s">
        <v>180</v>
      </c>
      <c r="H515" s="95" t="s">
        <v>7581</v>
      </c>
      <c r="I515" s="66" t="s">
        <v>7582</v>
      </c>
      <c r="J515" s="114"/>
      <c r="K515" s="111" t="s">
        <v>120</v>
      </c>
      <c r="L515" s="285"/>
      <c r="M515" s="285"/>
      <c r="N515" s="53" t="s">
        <v>1310</v>
      </c>
      <c r="O515" s="54" t="s">
        <v>162</v>
      </c>
      <c r="P515" s="53" t="str">
        <f>vlookup(N515,Categorizations!A:C,3,FALSE)</f>
        <v>Over THC Threshhold</v>
      </c>
      <c r="Q515" s="55">
        <v>1.0</v>
      </c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</row>
    <row r="516" ht="22.5" customHeight="1">
      <c r="A516" s="261" t="str">
        <f t="shared" si="24"/>
        <v>45373Got Greens </v>
      </c>
      <c r="B516" s="286"/>
      <c r="C516" s="42">
        <v>45373.0</v>
      </c>
      <c r="D516" s="72" t="s">
        <v>128</v>
      </c>
      <c r="E516" s="110" t="s">
        <v>7583</v>
      </c>
      <c r="F516" s="114"/>
      <c r="G516" s="72" t="s">
        <v>155</v>
      </c>
      <c r="H516" s="95" t="s">
        <v>7584</v>
      </c>
      <c r="I516" s="66" t="s">
        <v>7584</v>
      </c>
      <c r="J516" s="114"/>
      <c r="K516" s="111" t="s">
        <v>120</v>
      </c>
      <c r="L516" s="285"/>
      <c r="M516" s="285"/>
      <c r="N516" s="53" t="s">
        <v>55</v>
      </c>
      <c r="O516" s="54" t="s">
        <v>162</v>
      </c>
      <c r="P516" s="53" t="str">
        <f>vlookup(N516,Categorizations!A:C,3,FALSE)</f>
        <v>Pesticides</v>
      </c>
      <c r="Q516" s="55">
        <v>1.0</v>
      </c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</row>
    <row r="517" ht="22.5" customHeight="1">
      <c r="A517" s="261" t="str">
        <f t="shared" si="24"/>
        <v>46079Keystone State Testing New York.</v>
      </c>
      <c r="B517" s="286"/>
      <c r="C517" s="42">
        <v>46079.0</v>
      </c>
      <c r="D517" s="72" t="s">
        <v>132</v>
      </c>
      <c r="E517" s="110" t="s">
        <v>7585</v>
      </c>
      <c r="F517" s="114"/>
      <c r="G517" s="72" t="s">
        <v>7586</v>
      </c>
      <c r="H517" s="95" t="s">
        <v>7587</v>
      </c>
      <c r="I517" s="66" t="s">
        <v>7587</v>
      </c>
      <c r="J517" s="114"/>
      <c r="K517" s="111" t="s">
        <v>120</v>
      </c>
      <c r="L517" s="285"/>
      <c r="M517" s="285"/>
      <c r="N517" s="53" t="s">
        <v>210</v>
      </c>
      <c r="O517" s="54" t="s">
        <v>162</v>
      </c>
      <c r="P517" s="53" t="str">
        <f>vlookup(N517,Categorizations!A:C,3,FALSE)</f>
        <v>Yeast and Mold</v>
      </c>
      <c r="Q517" s="55">
        <v>1.0</v>
      </c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</row>
    <row r="518" ht="22.5" customHeight="1">
      <c r="A518" s="261" t="str">
        <f t="shared" si="24"/>
        <v>45833IndoGro LLC</v>
      </c>
      <c r="B518" s="296">
        <v>45819.0</v>
      </c>
      <c r="C518" s="42">
        <v>45833.0</v>
      </c>
      <c r="D518" s="72" t="s">
        <v>132</v>
      </c>
      <c r="E518" s="110" t="s">
        <v>7588</v>
      </c>
      <c r="F518" s="114"/>
      <c r="G518" s="72" t="s">
        <v>375</v>
      </c>
      <c r="H518" s="297" t="s">
        <v>7589</v>
      </c>
      <c r="I518" s="297" t="s">
        <v>7589</v>
      </c>
      <c r="J518" s="114"/>
      <c r="K518" s="111" t="s">
        <v>120</v>
      </c>
      <c r="L518" s="285"/>
      <c r="M518" s="285"/>
      <c r="N518" s="53" t="s">
        <v>269</v>
      </c>
      <c r="O518" s="54" t="s">
        <v>162</v>
      </c>
      <c r="P518" s="53" t="str">
        <f>vlookup(N518,Categorizations!A:C,3,FALSE)</f>
        <v>Pesticides</v>
      </c>
      <c r="Q518" s="55">
        <v>1.0</v>
      </c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</row>
    <row r="519" ht="22.5" customHeight="1">
      <c r="A519" s="261" t="str">
        <f t="shared" si="24"/>
        <v>45852East End Flower Farm LTD</v>
      </c>
      <c r="B519" s="298">
        <v>45852.0</v>
      </c>
      <c r="C519" s="42">
        <v>45852.0</v>
      </c>
      <c r="D519" s="72" t="s">
        <v>132</v>
      </c>
      <c r="E519" s="110" t="s">
        <v>7588</v>
      </c>
      <c r="F519" s="114"/>
      <c r="G519" s="72" t="s">
        <v>180</v>
      </c>
      <c r="H519" s="95" t="s">
        <v>7590</v>
      </c>
      <c r="I519" s="66" t="s">
        <v>7590</v>
      </c>
      <c r="J519" s="114"/>
      <c r="K519" s="111" t="s">
        <v>120</v>
      </c>
      <c r="L519" s="285"/>
      <c r="M519" s="285"/>
      <c r="N519" s="53" t="s">
        <v>1321</v>
      </c>
      <c r="O519" s="54" t="s">
        <v>162</v>
      </c>
      <c r="P519" s="53" t="str">
        <f>vlookup(N519,Categorizations!A:C,3,FALSE)</f>
        <v>Pesticides</v>
      </c>
      <c r="Q519" s="55">
        <v>1.0</v>
      </c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</row>
    <row r="520" ht="22.5" customHeight="1">
      <c r="A520" s="261" t="str">
        <f t="shared" si="24"/>
        <v>46094Harvest Grows, LLC,</v>
      </c>
      <c r="B520" s="286"/>
      <c r="C520" s="42">
        <v>46094.0</v>
      </c>
      <c r="D520" s="72" t="s">
        <v>137</v>
      </c>
      <c r="E520" s="110" t="s">
        <v>7591</v>
      </c>
      <c r="F520" s="114"/>
      <c r="G520" s="72" t="s">
        <v>180</v>
      </c>
      <c r="H520" s="95" t="s">
        <v>7592</v>
      </c>
      <c r="I520" s="66" t="s">
        <v>7593</v>
      </c>
      <c r="J520" s="114"/>
      <c r="K520" s="111" t="s">
        <v>636</v>
      </c>
      <c r="M520" s="96">
        <v>45976.0</v>
      </c>
      <c r="N520" s="53" t="s">
        <v>1191</v>
      </c>
      <c r="O520" s="54" t="s">
        <v>162</v>
      </c>
      <c r="P520" s="53" t="str">
        <f>vlookup(N520,Categorizations!A:C,3,FALSE)</f>
        <v>Total Yeast and Mold</v>
      </c>
      <c r="Q520" s="55">
        <v>1.0</v>
      </c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</row>
    <row r="521" ht="22.5" customHeight="1">
      <c r="A521" s="261" t="str">
        <f t="shared" si="24"/>
        <v>46086Harvest Processing, LLC</v>
      </c>
      <c r="B521" s="286"/>
      <c r="C521" s="42">
        <v>46086.0</v>
      </c>
      <c r="D521" s="72" t="s">
        <v>137</v>
      </c>
      <c r="E521" s="110" t="s">
        <v>7594</v>
      </c>
      <c r="F521" s="114"/>
      <c r="G521" s="72" t="s">
        <v>837</v>
      </c>
      <c r="H521" s="95" t="s">
        <v>7595</v>
      </c>
      <c r="I521" s="299" t="s">
        <v>7595</v>
      </c>
      <c r="J521" s="114"/>
      <c r="K521" s="111" t="s">
        <v>636</v>
      </c>
      <c r="L521" s="285"/>
      <c r="M521" s="96">
        <v>46042.0</v>
      </c>
      <c r="N521" s="53" t="s">
        <v>1328</v>
      </c>
      <c r="O521" s="54" t="s">
        <v>162</v>
      </c>
      <c r="P521" s="53" t="str">
        <f>vlookup(N521,Categorizations!A:C,3,FALSE)</f>
        <v>Multiple</v>
      </c>
      <c r="Q521" s="55">
        <v>1.0</v>
      </c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</row>
    <row r="522" ht="22.5" customHeight="1">
      <c r="A522" s="261" t="str">
        <f t="shared" si="24"/>
        <v>46073Marichron Pharma LLC </v>
      </c>
      <c r="B522" s="286"/>
      <c r="C522" s="42">
        <v>46073.0</v>
      </c>
      <c r="D522" s="72" t="s">
        <v>137</v>
      </c>
      <c r="E522" s="110" t="s">
        <v>7596</v>
      </c>
      <c r="F522" s="114"/>
      <c r="G522" s="72" t="s">
        <v>837</v>
      </c>
      <c r="H522" s="299" t="s">
        <v>7597</v>
      </c>
      <c r="I522" s="66" t="s">
        <v>7598</v>
      </c>
      <c r="J522" s="114"/>
      <c r="K522" s="111" t="s">
        <v>636</v>
      </c>
      <c r="L522" s="300">
        <v>45905.0</v>
      </c>
      <c r="M522" s="300">
        <v>45914.0</v>
      </c>
      <c r="N522" s="53" t="s">
        <v>1328</v>
      </c>
      <c r="O522" s="54" t="s">
        <v>162</v>
      </c>
      <c r="P522" s="53" t="str">
        <f>vlookup(N522,Categorizations!A:C,3,FALSE)</f>
        <v>Multiple</v>
      </c>
      <c r="Q522" s="55">
        <v>1.0</v>
      </c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</row>
    <row r="523" ht="22.5" customHeight="1">
      <c r="A523" s="261" t="str">
        <f t="shared" si="24"/>
        <v>45996Standard Farms Ohio LLC</v>
      </c>
      <c r="B523" s="286"/>
      <c r="C523" s="42">
        <v>45996.0</v>
      </c>
      <c r="D523" s="72" t="s">
        <v>137</v>
      </c>
      <c r="E523" s="110" t="s">
        <v>7599</v>
      </c>
      <c r="F523" s="114"/>
      <c r="G523" s="72" t="s">
        <v>837</v>
      </c>
      <c r="H523" s="299" t="s">
        <v>7600</v>
      </c>
      <c r="I523" s="299" t="s">
        <v>7600</v>
      </c>
      <c r="J523" s="114"/>
      <c r="K523" s="111" t="s">
        <v>636</v>
      </c>
      <c r="L523" s="285"/>
      <c r="M523" s="300">
        <v>45975.0</v>
      </c>
      <c r="N523" s="53" t="s">
        <v>217</v>
      </c>
      <c r="O523" s="54" t="s">
        <v>162</v>
      </c>
      <c r="P523" s="53" t="str">
        <f>vlookup(N523,Categorizations!A:C,3,FALSE)</f>
        <v>Prohibited Additives / Product</v>
      </c>
      <c r="Q523" s="55">
        <v>1.0</v>
      </c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</row>
    <row r="524" ht="22.5" customHeight="1">
      <c r="A524" s="261" t="str">
        <f t="shared" si="24"/>
        <v>45961Hundred Percent Labs</v>
      </c>
      <c r="B524" s="286"/>
      <c r="C524" s="42">
        <v>45961.0</v>
      </c>
      <c r="D524" s="72" t="s">
        <v>137</v>
      </c>
      <c r="E524" s="110" t="s">
        <v>7601</v>
      </c>
      <c r="F524" s="114"/>
      <c r="G524" s="72" t="s">
        <v>837</v>
      </c>
      <c r="H524" s="299" t="s">
        <v>7602</v>
      </c>
      <c r="I524" s="66" t="s">
        <v>7602</v>
      </c>
      <c r="J524" s="114"/>
      <c r="K524" s="111" t="s">
        <v>636</v>
      </c>
      <c r="L524" s="285"/>
      <c r="M524" s="96">
        <v>45659.0</v>
      </c>
      <c r="N524" s="53" t="s">
        <v>1336</v>
      </c>
      <c r="O524" s="54" t="s">
        <v>162</v>
      </c>
      <c r="P524" s="53" t="str">
        <f>vlookup(N524,Categorizations!A:C,3,FALSE)</f>
        <v>Multiple</v>
      </c>
      <c r="Q524" s="55">
        <v>1.0</v>
      </c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</row>
    <row r="525" ht="22.5" customHeight="1">
      <c r="A525" s="261" t="str">
        <f t="shared" si="24"/>
        <v>45960Curaleaf OGT, Inc.</v>
      </c>
      <c r="B525" s="286"/>
      <c r="C525" s="42">
        <v>45960.0</v>
      </c>
      <c r="D525" s="72" t="s">
        <v>137</v>
      </c>
      <c r="E525" s="110" t="s">
        <v>7603</v>
      </c>
      <c r="F525" s="114"/>
      <c r="G525" s="72" t="s">
        <v>321</v>
      </c>
      <c r="H525" s="299" t="s">
        <v>7604</v>
      </c>
      <c r="I525" s="66" t="s">
        <v>7604</v>
      </c>
      <c r="J525" s="95" t="s">
        <v>636</v>
      </c>
      <c r="K525" s="111" t="s">
        <v>636</v>
      </c>
      <c r="L525" s="96">
        <v>45887.0</v>
      </c>
      <c r="M525" s="96">
        <v>45915.0</v>
      </c>
      <c r="N525" s="53" t="s">
        <v>607</v>
      </c>
      <c r="O525" s="54" t="s">
        <v>162</v>
      </c>
      <c r="P525" s="53" t="str">
        <f>vlookup(N525,Categorizations!A:C,3,FALSE)</f>
        <v>Aspergillus</v>
      </c>
      <c r="Q525" s="55">
        <v>1.0</v>
      </c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</row>
    <row r="526" ht="22.5" customHeight="1">
      <c r="A526" s="261" t="str">
        <f t="shared" si="24"/>
        <v>45960GTI Ohio, LLC</v>
      </c>
      <c r="B526" s="286"/>
      <c r="C526" s="42">
        <v>45960.0</v>
      </c>
      <c r="D526" s="72" t="s">
        <v>137</v>
      </c>
      <c r="E526" s="110" t="s">
        <v>7605</v>
      </c>
      <c r="F526" s="114"/>
      <c r="G526" s="72" t="s">
        <v>837</v>
      </c>
      <c r="H526" s="299" t="s">
        <v>7606</v>
      </c>
      <c r="I526" s="299" t="s">
        <v>7606</v>
      </c>
      <c r="J526" s="95" t="s">
        <v>636</v>
      </c>
      <c r="K526" s="111" t="s">
        <v>636</v>
      </c>
      <c r="L526" s="96">
        <v>45832.0</v>
      </c>
      <c r="M526" s="300">
        <v>45841.0</v>
      </c>
      <c r="N526" s="53" t="s">
        <v>1328</v>
      </c>
      <c r="O526" s="54" t="s">
        <v>162</v>
      </c>
      <c r="P526" s="53" t="str">
        <f>vlookup(N526,Categorizations!A:C,3,FALSE)</f>
        <v>Multiple</v>
      </c>
      <c r="Q526" s="55">
        <v>1.0</v>
      </c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</row>
    <row r="527" ht="22.5" customHeight="1">
      <c r="A527" s="261" t="str">
        <f t="shared" si="24"/>
        <v>45951Klutch Processing, LLC</v>
      </c>
      <c r="B527" s="286"/>
      <c r="C527" s="42">
        <v>45951.0</v>
      </c>
      <c r="D527" s="72" t="s">
        <v>137</v>
      </c>
      <c r="E527" s="110" t="s">
        <v>7607</v>
      </c>
      <c r="F527" s="114"/>
      <c r="G527" s="72" t="s">
        <v>837</v>
      </c>
      <c r="H527" s="95" t="s">
        <v>7608</v>
      </c>
      <c r="I527" s="66" t="s">
        <v>7608</v>
      </c>
      <c r="J527" s="114"/>
      <c r="K527" s="111" t="s">
        <v>636</v>
      </c>
      <c r="L527" s="96">
        <v>45671.0</v>
      </c>
      <c r="M527" s="96">
        <v>45671.0</v>
      </c>
      <c r="N527" s="53" t="s">
        <v>1328</v>
      </c>
      <c r="O527" s="54" t="s">
        <v>162</v>
      </c>
      <c r="P527" s="53" t="str">
        <f>vlookup(N527,Categorizations!A:C,3,FALSE)</f>
        <v>Multiple</v>
      </c>
      <c r="Q527" s="55">
        <v>1.0</v>
      </c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</row>
    <row r="528" ht="22.5" customHeight="1">
      <c r="A528" s="261" t="str">
        <f t="shared" si="24"/>
        <v>45951Green Investment Partners, LLC </v>
      </c>
      <c r="B528" s="286"/>
      <c r="C528" s="42">
        <v>45951.0</v>
      </c>
      <c r="D528" s="72" t="s">
        <v>137</v>
      </c>
      <c r="E528" s="110" t="s">
        <v>7609</v>
      </c>
      <c r="F528" s="114"/>
      <c r="G528" s="72" t="s">
        <v>837</v>
      </c>
      <c r="H528" s="95" t="s">
        <v>7610</v>
      </c>
      <c r="I528" s="66" t="s">
        <v>7610</v>
      </c>
      <c r="J528" s="114"/>
      <c r="K528" s="111" t="s">
        <v>636</v>
      </c>
      <c r="L528" s="96">
        <v>45904.0</v>
      </c>
      <c r="M528" s="96">
        <v>45905.0</v>
      </c>
      <c r="N528" s="53" t="s">
        <v>1328</v>
      </c>
      <c r="O528" s="54" t="s">
        <v>162</v>
      </c>
      <c r="P528" s="53" t="str">
        <f>vlookup(N528,Categorizations!A:C,3,FALSE)</f>
        <v>Multiple</v>
      </c>
      <c r="Q528" s="55">
        <v>1.0</v>
      </c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</row>
    <row r="529" ht="22.5" customHeight="1">
      <c r="A529" s="261" t="str">
        <f t="shared" si="24"/>
        <v>45933Ohio Processing Plant LLC </v>
      </c>
      <c r="B529" s="286"/>
      <c r="C529" s="42">
        <v>45933.0</v>
      </c>
      <c r="D529" s="72" t="s">
        <v>137</v>
      </c>
      <c r="E529" s="110" t="s">
        <v>7611</v>
      </c>
      <c r="F529" s="114"/>
      <c r="G529" s="72" t="s">
        <v>837</v>
      </c>
      <c r="H529" s="299" t="s">
        <v>7612</v>
      </c>
      <c r="I529" s="66" t="s">
        <v>7613</v>
      </c>
      <c r="J529" s="114"/>
      <c r="K529" s="111" t="s">
        <v>636</v>
      </c>
      <c r="L529" s="96">
        <v>45667.0</v>
      </c>
      <c r="M529" s="96">
        <v>45677.0</v>
      </c>
      <c r="N529" s="53" t="s">
        <v>1328</v>
      </c>
      <c r="O529" s="54" t="s">
        <v>162</v>
      </c>
      <c r="P529" s="53" t="str">
        <f>vlookup(N529,Categorizations!A:C,3,FALSE)</f>
        <v>Multiple</v>
      </c>
      <c r="Q529" s="55">
        <v>1.0</v>
      </c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</row>
    <row r="530" ht="22.5" customHeight="1">
      <c r="A530" s="261" t="str">
        <f t="shared" si="24"/>
        <v>45926Beneleaves Limited,</v>
      </c>
      <c r="B530" s="286"/>
      <c r="C530" s="42">
        <v>45926.0</v>
      </c>
      <c r="D530" s="72" t="s">
        <v>137</v>
      </c>
      <c r="E530" s="110" t="s">
        <v>7614</v>
      </c>
      <c r="F530" s="114"/>
      <c r="G530" s="72" t="s">
        <v>837</v>
      </c>
      <c r="H530" s="95" t="s">
        <v>7615</v>
      </c>
      <c r="I530" s="66" t="s">
        <v>7616</v>
      </c>
      <c r="J530" s="114"/>
      <c r="K530" s="111" t="s">
        <v>636</v>
      </c>
      <c r="L530" s="96">
        <v>45867.0</v>
      </c>
      <c r="M530" s="96">
        <v>45909.0</v>
      </c>
      <c r="N530" s="53" t="s">
        <v>217</v>
      </c>
      <c r="O530" s="54" t="s">
        <v>162</v>
      </c>
      <c r="P530" s="53" t="str">
        <f>vlookup(N530,Categorizations!A:C,3,FALSE)</f>
        <v>Prohibited Additives / Product</v>
      </c>
      <c r="Q530" s="55">
        <v>1.0</v>
      </c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</row>
    <row r="531" ht="22.5" customHeight="1">
      <c r="A531" s="261" t="str">
        <f t="shared" si="24"/>
        <v>45846Beneleaves Limited –</v>
      </c>
      <c r="B531" s="286"/>
      <c r="C531" s="42">
        <v>45846.0</v>
      </c>
      <c r="D531" s="72" t="s">
        <v>137</v>
      </c>
      <c r="E531" s="110" t="s">
        <v>7617</v>
      </c>
      <c r="F531" s="114"/>
      <c r="G531" s="299" t="s">
        <v>7618</v>
      </c>
      <c r="H531" s="299" t="s">
        <v>7619</v>
      </c>
      <c r="I531" s="299" t="s">
        <v>7619</v>
      </c>
      <c r="J531" s="114"/>
      <c r="K531" s="111" t="s">
        <v>636</v>
      </c>
      <c r="L531" s="299" t="s">
        <v>7620</v>
      </c>
      <c r="M531" s="300">
        <v>45036.0</v>
      </c>
      <c r="N531" s="53" t="s">
        <v>1342</v>
      </c>
      <c r="O531" s="54" t="s">
        <v>162</v>
      </c>
      <c r="P531" s="53" t="str">
        <f>vlookup(N531,Categorizations!A:C,3,FALSE)</f>
        <v>Labeling Issue</v>
      </c>
      <c r="Q531" s="55">
        <v>1.0</v>
      </c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</row>
    <row r="532" ht="22.5" customHeight="1">
      <c r="A532" s="261" t="str">
        <f t="shared" si="24"/>
        <v>45583Paragon Development Group, LLC</v>
      </c>
      <c r="B532" s="286"/>
      <c r="C532" s="42">
        <v>45583.0</v>
      </c>
      <c r="D532" s="72" t="s">
        <v>137</v>
      </c>
      <c r="E532" s="110" t="s">
        <v>7621</v>
      </c>
      <c r="F532" s="114"/>
      <c r="G532" s="72" t="s">
        <v>180</v>
      </c>
      <c r="H532" s="299" t="s">
        <v>7622</v>
      </c>
      <c r="I532" s="299" t="s">
        <v>7623</v>
      </c>
      <c r="J532" s="114"/>
      <c r="K532" s="111" t="s">
        <v>636</v>
      </c>
      <c r="L532" s="285"/>
      <c r="M532" s="300">
        <v>45422.0</v>
      </c>
      <c r="N532" s="53" t="s">
        <v>1342</v>
      </c>
      <c r="O532" s="54" t="s">
        <v>162</v>
      </c>
      <c r="P532" s="53" t="str">
        <f>vlookup(N532,Categorizations!A:C,3,FALSE)</f>
        <v>Labeling Issue</v>
      </c>
      <c r="Q532" s="55">
        <v>1.0</v>
      </c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</row>
    <row r="533" ht="22.5" customHeight="1">
      <c r="A533" s="261" t="str">
        <f t="shared" si="24"/>
        <v>45492 Standard Farms Ohio, LLC </v>
      </c>
      <c r="B533" s="286"/>
      <c r="C533" s="42">
        <v>45492.0</v>
      </c>
      <c r="D533" s="72" t="s">
        <v>137</v>
      </c>
      <c r="E533" s="110" t="s">
        <v>7624</v>
      </c>
      <c r="F533" s="114"/>
      <c r="G533" s="72" t="s">
        <v>837</v>
      </c>
      <c r="H533" s="299" t="s">
        <v>7625</v>
      </c>
      <c r="I533" s="66" t="s">
        <v>7626</v>
      </c>
      <c r="J533" s="114"/>
      <c r="K533" s="111" t="s">
        <v>636</v>
      </c>
      <c r="L533" s="285"/>
      <c r="M533" s="300">
        <v>45364.0</v>
      </c>
      <c r="N533" s="53" t="s">
        <v>1348</v>
      </c>
      <c r="O533" s="54" t="s">
        <v>162</v>
      </c>
      <c r="P533" s="53" t="str">
        <f>vlookup(N533,Categorizations!A:C,3,FALSE)</f>
        <v>Multiple</v>
      </c>
      <c r="Q533" s="55">
        <v>1.0</v>
      </c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</row>
    <row r="534" ht="22.5" customHeight="1">
      <c r="A534" s="261" t="str">
        <f t="shared" si="24"/>
        <v>45453Graves Farm Organics LLC</v>
      </c>
      <c r="B534" s="286"/>
      <c r="C534" s="42">
        <v>45453.0</v>
      </c>
      <c r="D534" s="72" t="s">
        <v>141</v>
      </c>
      <c r="E534" s="110" t="s">
        <v>7627</v>
      </c>
      <c r="F534" s="114"/>
      <c r="G534" s="72" t="s">
        <v>155</v>
      </c>
      <c r="H534" s="95" t="s">
        <v>4979</v>
      </c>
      <c r="I534" s="66" t="s">
        <v>4979</v>
      </c>
      <c r="J534" s="114"/>
      <c r="K534" s="111" t="s">
        <v>636</v>
      </c>
      <c r="L534" s="96">
        <v>45387.0</v>
      </c>
      <c r="M534" s="285"/>
      <c r="N534" s="301" t="s">
        <v>271</v>
      </c>
      <c r="O534" s="54" t="s">
        <v>162</v>
      </c>
      <c r="P534" s="53" t="str">
        <f>vlookup(N534,Categorizations!A:C,3,FALSE)</f>
        <v>Packaging</v>
      </c>
      <c r="Q534" s="55">
        <v>1.0</v>
      </c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</row>
    <row r="535" ht="22.5" customHeight="1">
      <c r="A535" s="261" t="str">
        <f t="shared" si="24"/>
        <v>45741PAK Family Farm, LL</v>
      </c>
      <c r="B535" s="286"/>
      <c r="C535" s="42">
        <v>45741.0</v>
      </c>
      <c r="D535" s="72" t="s">
        <v>141</v>
      </c>
      <c r="E535" s="110" t="s">
        <v>7628</v>
      </c>
      <c r="F535" s="114"/>
      <c r="G535" s="72" t="s">
        <v>180</v>
      </c>
      <c r="H535" s="95" t="s">
        <v>7629</v>
      </c>
      <c r="I535" s="66" t="s">
        <v>7630</v>
      </c>
      <c r="J535" s="114"/>
      <c r="K535" s="111" t="s">
        <v>636</v>
      </c>
      <c r="L535" s="245"/>
      <c r="M535" s="245">
        <v>45637.0</v>
      </c>
      <c r="N535" s="48" t="s">
        <v>1362</v>
      </c>
      <c r="O535" s="54" t="s">
        <v>162</v>
      </c>
      <c r="P535" s="53" t="str">
        <f>vlookup(N535,Categorizations!A:C,3,FALSE)</f>
        <v>Heavy Metals</v>
      </c>
      <c r="Q535" s="55">
        <v>1.0</v>
      </c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</row>
    <row r="536" ht="22.5" customHeight="1">
      <c r="A536" s="261" t="str">
        <f t="shared" si="24"/>
        <v>Oct. 10, 2025,Michael William Redus</v>
      </c>
      <c r="B536" s="286"/>
      <c r="C536" s="42" t="s">
        <v>7631</v>
      </c>
      <c r="D536" s="72" t="s">
        <v>141</v>
      </c>
      <c r="E536" s="110" t="s">
        <v>7632</v>
      </c>
      <c r="F536" s="114"/>
      <c r="G536" s="72" t="s">
        <v>7633</v>
      </c>
      <c r="H536" s="302" t="s">
        <v>7634</v>
      </c>
      <c r="I536" s="302" t="s">
        <v>7635</v>
      </c>
      <c r="J536" s="114"/>
      <c r="K536" s="111" t="s">
        <v>636</v>
      </c>
      <c r="L536" s="96">
        <v>44858.0</v>
      </c>
      <c r="M536" s="285"/>
      <c r="N536" s="302" t="s">
        <v>1370</v>
      </c>
      <c r="O536" s="54" t="s">
        <v>162</v>
      </c>
      <c r="P536" s="53" t="str">
        <f>vlookup(N536,Categorizations!A:C,3,FALSE)</f>
        <v>Pesticides</v>
      </c>
      <c r="Q536" s="55">
        <v>1.0</v>
      </c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</row>
    <row r="537" ht="22.5" customHeight="1">
      <c r="A537" s="261" t="str">
        <f t="shared" si="24"/>
        <v>45953Ruby Mae’s LLC </v>
      </c>
      <c r="B537" s="302" t="s">
        <v>7636</v>
      </c>
      <c r="C537" s="42">
        <v>45953.0</v>
      </c>
      <c r="D537" s="72" t="s">
        <v>141</v>
      </c>
      <c r="E537" s="110" t="s">
        <v>7637</v>
      </c>
      <c r="F537" s="114"/>
      <c r="G537" s="72" t="s">
        <v>7638</v>
      </c>
      <c r="H537" s="302" t="s">
        <v>7639</v>
      </c>
      <c r="I537" s="66" t="s">
        <v>7640</v>
      </c>
      <c r="J537" s="114"/>
      <c r="K537" s="111" t="s">
        <v>120</v>
      </c>
      <c r="L537" s="96">
        <v>44810.0</v>
      </c>
      <c r="M537" s="285"/>
      <c r="N537" s="302" t="s">
        <v>1370</v>
      </c>
      <c r="O537" s="54" t="s">
        <v>162</v>
      </c>
      <c r="P537" s="53" t="str">
        <f>vlookup(N537,Categorizations!A:C,3,FALSE)</f>
        <v>Pesticides</v>
      </c>
      <c r="Q537" s="55">
        <v>1.0</v>
      </c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</row>
    <row r="538" ht="22.5" customHeight="1">
      <c r="A538" s="261" t="str">
        <f t="shared" si="24"/>
        <v>45954Green Delight 2 LLC</v>
      </c>
      <c r="B538" s="303">
        <v>45943.0</v>
      </c>
      <c r="C538" s="42">
        <v>45954.0</v>
      </c>
      <c r="D538" s="72" t="s">
        <v>141</v>
      </c>
      <c r="E538" s="110" t="s">
        <v>7641</v>
      </c>
      <c r="F538" s="114"/>
      <c r="G538" s="72" t="s">
        <v>180</v>
      </c>
      <c r="H538" s="304" t="s">
        <v>7642</v>
      </c>
      <c r="I538" s="66" t="s">
        <v>7642</v>
      </c>
      <c r="J538" s="114"/>
      <c r="K538" s="111" t="s">
        <v>636</v>
      </c>
      <c r="L538" s="245">
        <v>45632.0</v>
      </c>
      <c r="M538" s="285"/>
      <c r="N538" s="302" t="s">
        <v>274</v>
      </c>
      <c r="O538" s="54" t="s">
        <v>162</v>
      </c>
      <c r="P538" s="53" t="str">
        <f>vlookup(N538,Categorizations!A:C,3,FALSE)</f>
        <v>Heavy Metals</v>
      </c>
      <c r="Q538" s="55">
        <v>1.0</v>
      </c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</row>
    <row r="539" ht="22.5" customHeight="1">
      <c r="A539" s="261" t="str">
        <f t="shared" si="24"/>
        <v>45986Vice Capital Extraction, LLC</v>
      </c>
      <c r="B539" s="286"/>
      <c r="C539" s="42">
        <v>45986.0</v>
      </c>
      <c r="D539" s="72" t="s">
        <v>141</v>
      </c>
      <c r="E539" s="110" t="s">
        <v>7643</v>
      </c>
      <c r="F539" s="95" t="s">
        <v>177</v>
      </c>
      <c r="G539" s="72" t="s">
        <v>375</v>
      </c>
      <c r="H539" s="95" t="s">
        <v>7644</v>
      </c>
      <c r="I539" s="66" t="s">
        <v>7644</v>
      </c>
      <c r="J539" s="114"/>
      <c r="K539" s="111" t="s">
        <v>636</v>
      </c>
      <c r="L539" s="285"/>
      <c r="M539" s="96">
        <v>45943.0</v>
      </c>
      <c r="N539" s="54" t="s">
        <v>1378</v>
      </c>
      <c r="O539" s="54" t="s">
        <v>162</v>
      </c>
      <c r="P539" s="53" t="str">
        <f>vlookup(N539,Categorizations!A:C,3,FALSE)</f>
        <v>Invalid Testing</v>
      </c>
      <c r="Q539" s="55">
        <v>1.0</v>
      </c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</row>
    <row r="540" ht="22.5" customHeight="1">
      <c r="A540" s="261" t="str">
        <f t="shared" si="24"/>
        <v>46014Carter County Extracts, Inc.</v>
      </c>
      <c r="B540" s="286"/>
      <c r="C540" s="42">
        <v>46014.0</v>
      </c>
      <c r="D540" s="72" t="s">
        <v>141</v>
      </c>
      <c r="E540" s="110" t="s">
        <v>7645</v>
      </c>
      <c r="F540" s="114"/>
      <c r="G540" s="72" t="s">
        <v>837</v>
      </c>
      <c r="H540" s="95" t="s">
        <v>7646</v>
      </c>
      <c r="I540" s="66" t="s">
        <v>7646</v>
      </c>
      <c r="J540" s="114"/>
      <c r="K540" s="111" t="s">
        <v>636</v>
      </c>
      <c r="L540" s="285"/>
      <c r="M540" s="96">
        <v>46014.0</v>
      </c>
      <c r="N540" s="54" t="s">
        <v>129</v>
      </c>
      <c r="O540" s="54" t="s">
        <v>162</v>
      </c>
      <c r="P540" s="53" t="str">
        <f>vlookup(N540,Categorizations!A:C,3,FALSE)</f>
        <v>Pesticides</v>
      </c>
      <c r="Q540" s="55">
        <v>1.0</v>
      </c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</row>
    <row r="541" ht="22.5" customHeight="1">
      <c r="A541" s="261" t="str">
        <f t="shared" si="24"/>
        <v>45741C&amp;R Oregon Corporation or Green Box MFG LLC</v>
      </c>
      <c r="B541" s="286"/>
      <c r="C541" s="42">
        <v>45741.0</v>
      </c>
      <c r="D541" s="72" t="s">
        <v>145</v>
      </c>
      <c r="E541" s="110" t="s">
        <v>7647</v>
      </c>
      <c r="F541" s="114"/>
      <c r="G541" s="72" t="s">
        <v>837</v>
      </c>
      <c r="H541" s="95" t="s">
        <v>7648</v>
      </c>
      <c r="I541" s="66" t="s">
        <v>7649</v>
      </c>
      <c r="J541" s="114"/>
      <c r="K541" s="305"/>
      <c r="L541" s="285"/>
      <c r="M541" s="51">
        <v>45231.0</v>
      </c>
      <c r="N541" s="53" t="s">
        <v>367</v>
      </c>
      <c r="O541" s="54" t="s">
        <v>162</v>
      </c>
      <c r="P541" s="53" t="str">
        <f>vlookup(N541,Categorizations!A:C,3,FALSE)</f>
        <v>Mislabeled</v>
      </c>
      <c r="Q541" s="55">
        <v>1.0</v>
      </c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</row>
    <row r="542" ht="22.5" customHeight="1">
      <c r="A542" s="261" t="str">
        <f t="shared" si="24"/>
        <v>45701ELITEXTRX, LLC</v>
      </c>
      <c r="B542" s="286"/>
      <c r="C542" s="42">
        <v>45701.0</v>
      </c>
      <c r="D542" s="72" t="s">
        <v>145</v>
      </c>
      <c r="E542" s="110" t="s">
        <v>7650</v>
      </c>
      <c r="F542" s="114"/>
      <c r="G542" s="72" t="s">
        <v>837</v>
      </c>
      <c r="H542" s="95" t="s">
        <v>7651</v>
      </c>
      <c r="I542" s="66" t="s">
        <v>7652</v>
      </c>
      <c r="J542" s="114"/>
      <c r="K542" s="305"/>
      <c r="L542" s="285"/>
      <c r="M542" s="285"/>
      <c r="N542" s="53" t="s">
        <v>367</v>
      </c>
      <c r="O542" s="54" t="s">
        <v>162</v>
      </c>
      <c r="P542" s="53" t="str">
        <f>vlookup(N542,Categorizations!A:C,3,FALSE)</f>
        <v>Mislabeled</v>
      </c>
      <c r="Q542" s="55">
        <v>1.0</v>
      </c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</row>
    <row r="543" ht="22.5" customHeight="1">
      <c r="A543" s="261" t="str">
        <f t="shared" si="24"/>
        <v>45680ELITEXTRX, LLC</v>
      </c>
      <c r="B543" s="286"/>
      <c r="C543" s="42">
        <v>45680.0</v>
      </c>
      <c r="D543" s="72" t="s">
        <v>145</v>
      </c>
      <c r="E543" s="110" t="s">
        <v>7650</v>
      </c>
      <c r="F543" s="114"/>
      <c r="G543" s="72" t="s">
        <v>837</v>
      </c>
      <c r="H543" s="95" t="s">
        <v>7651</v>
      </c>
      <c r="I543" s="66" t="s">
        <v>7652</v>
      </c>
      <c r="J543" s="114"/>
      <c r="K543" s="305"/>
      <c r="L543" s="285"/>
      <c r="M543" s="95"/>
      <c r="N543" s="53" t="s">
        <v>367</v>
      </c>
      <c r="O543" s="54" t="s">
        <v>162</v>
      </c>
      <c r="P543" s="53" t="str">
        <f>vlookup(N543,Categorizations!A:C,3,FALSE)</f>
        <v>Mislabeled</v>
      </c>
      <c r="Q543" s="55">
        <v>1.0</v>
      </c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</row>
    <row r="544" ht="22.5" customHeight="1">
      <c r="A544" s="261" t="str">
        <f t="shared" si="24"/>
        <v>45649Atlas Farms (Lopaka Farms LLC)</v>
      </c>
      <c r="B544" s="286"/>
      <c r="C544" s="42">
        <v>45649.0</v>
      </c>
      <c r="D544" s="72" t="s">
        <v>145</v>
      </c>
      <c r="E544" s="110" t="s">
        <v>7653</v>
      </c>
      <c r="F544" s="114"/>
      <c r="G544" s="72" t="s">
        <v>180</v>
      </c>
      <c r="H544" s="95" t="s">
        <v>7654</v>
      </c>
      <c r="I544" s="66" t="s">
        <v>7655</v>
      </c>
      <c r="J544" s="114"/>
      <c r="K544" s="305"/>
      <c r="L544" s="285"/>
      <c r="M544" s="96">
        <v>45108.0</v>
      </c>
      <c r="N544" s="306" t="s">
        <v>7656</v>
      </c>
      <c r="O544" s="54" t="s">
        <v>162</v>
      </c>
      <c r="P544" s="53" t="str">
        <f>vlookup(N544,Categorizations!A:C,3,FALSE)</f>
        <v>Pesticides</v>
      </c>
      <c r="Q544" s="55">
        <v>1.0</v>
      </c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</row>
    <row r="545" ht="22.5" customHeight="1">
      <c r="A545" s="261" t="str">
        <f t="shared" si="24"/>
        <v>45590LTRMN Inc</v>
      </c>
      <c r="B545" s="286"/>
      <c r="C545" s="42">
        <v>45590.0</v>
      </c>
      <c r="D545" s="72" t="s">
        <v>145</v>
      </c>
      <c r="E545" s="110" t="s">
        <v>7657</v>
      </c>
      <c r="F545" s="95" t="s">
        <v>177</v>
      </c>
      <c r="G545" s="72" t="s">
        <v>837</v>
      </c>
      <c r="H545" s="95" t="s">
        <v>7658</v>
      </c>
      <c r="I545" s="66" t="s">
        <v>7659</v>
      </c>
      <c r="J545" s="114"/>
      <c r="K545" s="305"/>
      <c r="L545" s="285"/>
      <c r="M545" s="51">
        <v>45390.0</v>
      </c>
      <c r="N545" s="54" t="s">
        <v>1385</v>
      </c>
      <c r="O545" s="54" t="s">
        <v>162</v>
      </c>
      <c r="P545" s="53" t="str">
        <f>vlookup(N545,Categorizations!A:C,3,FALSE)</f>
        <v>Pesticides</v>
      </c>
      <c r="Q545" s="55">
        <v>1.0</v>
      </c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</row>
    <row r="546" ht="22.5" customHeight="1">
      <c r="A546" s="261" t="str">
        <f t="shared" si="24"/>
        <v>45575Epoch Investments LLC</v>
      </c>
      <c r="B546" s="286"/>
      <c r="C546" s="42">
        <v>45575.0</v>
      </c>
      <c r="D546" s="72" t="s">
        <v>145</v>
      </c>
      <c r="E546" s="110" t="s">
        <v>7660</v>
      </c>
      <c r="F546" s="95" t="s">
        <v>177</v>
      </c>
      <c r="G546" s="72" t="s">
        <v>837</v>
      </c>
      <c r="H546" s="95" t="s">
        <v>7661</v>
      </c>
      <c r="I546" s="66" t="s">
        <v>7662</v>
      </c>
      <c r="J546" s="114"/>
      <c r="K546" s="305"/>
      <c r="L546" s="285"/>
      <c r="M546" s="285"/>
      <c r="N546" s="53" t="s">
        <v>367</v>
      </c>
      <c r="O546" s="54" t="s">
        <v>162</v>
      </c>
      <c r="P546" s="53" t="str">
        <f>vlookup(N546,Categorizations!A:C,3,FALSE)</f>
        <v>Mislabeled</v>
      </c>
      <c r="Q546" s="55">
        <v>1.0</v>
      </c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</row>
    <row r="547" ht="22.5" customHeight="1">
      <c r="A547" s="261" t="str">
        <f t="shared" si="24"/>
        <v>44693Multiple</v>
      </c>
      <c r="B547" s="286"/>
      <c r="C547" s="42">
        <v>44693.0</v>
      </c>
      <c r="D547" s="72" t="s">
        <v>149</v>
      </c>
      <c r="E547" s="110" t="s">
        <v>7663</v>
      </c>
      <c r="F547" s="114"/>
      <c r="G547" s="72" t="s">
        <v>6955</v>
      </c>
      <c r="H547" s="95" t="s">
        <v>729</v>
      </c>
      <c r="I547" s="66" t="s">
        <v>729</v>
      </c>
      <c r="J547" s="114"/>
      <c r="K547" s="305"/>
      <c r="L547" s="285"/>
      <c r="M547" s="285"/>
      <c r="N547" s="307" t="s">
        <v>1398</v>
      </c>
      <c r="O547" s="54" t="s">
        <v>7664</v>
      </c>
      <c r="P547" s="53" t="str">
        <f>vlookup(N547,Categorizations!A:C,3,FALSE)</f>
        <v>QA Recall by Vendor</v>
      </c>
      <c r="Q547" s="55">
        <v>1.0</v>
      </c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</row>
    <row r="548" ht="22.5" customHeight="1">
      <c r="A548" s="261" t="str">
        <f t="shared" si="24"/>
        <v>46057ALKI HERBAL 412371</v>
      </c>
      <c r="B548" s="286"/>
      <c r="C548" s="42">
        <v>46057.0</v>
      </c>
      <c r="D548" s="72" t="s">
        <v>153</v>
      </c>
      <c r="E548" s="110" t="s">
        <v>154</v>
      </c>
      <c r="F548" s="114"/>
      <c r="G548" s="72" t="s">
        <v>7665</v>
      </c>
      <c r="H548" s="95" t="s">
        <v>7666</v>
      </c>
      <c r="I548" s="66" t="s">
        <v>7667</v>
      </c>
      <c r="J548" s="114"/>
      <c r="K548" s="305"/>
      <c r="L548" s="285"/>
      <c r="M548" s="285"/>
      <c r="N548" s="54" t="s">
        <v>275</v>
      </c>
      <c r="O548" s="54" t="s">
        <v>162</v>
      </c>
      <c r="P548" s="53" t="str">
        <f>vlookup(N548,Categorizations!A:C,3,FALSE)</f>
        <v>Aspergillus, Heavy Metal</v>
      </c>
      <c r="Q548" s="55">
        <v>1.0</v>
      </c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</row>
    <row r="549" ht="22.5" customHeight="1">
      <c r="A549" s="261" t="str">
        <f t="shared" si="24"/>
        <v>45789Green Bluff Orchards</v>
      </c>
      <c r="B549" s="286"/>
      <c r="C549" s="42">
        <v>45789.0</v>
      </c>
      <c r="D549" s="72" t="s">
        <v>153</v>
      </c>
      <c r="E549" s="110" t="s">
        <v>154</v>
      </c>
      <c r="F549" s="114"/>
      <c r="G549" s="72" t="s">
        <v>7668</v>
      </c>
      <c r="H549" s="95" t="s">
        <v>7669</v>
      </c>
      <c r="I549" s="66" t="s">
        <v>7670</v>
      </c>
      <c r="J549" s="114"/>
      <c r="K549" s="305"/>
      <c r="L549" s="285"/>
      <c r="M549" s="285"/>
      <c r="N549" s="54" t="s">
        <v>276</v>
      </c>
      <c r="O549" s="54" t="s">
        <v>162</v>
      </c>
      <c r="P549" s="53" t="str">
        <f>vlookup(N549,Categorizations!A:C,3,FALSE)</f>
        <v>Prohibited Additives / Product</v>
      </c>
      <c r="Q549" s="55">
        <v>1.0</v>
      </c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</row>
    <row r="550" ht="22.5" customHeight="1">
      <c r="A550" s="261" t="str">
        <f t="shared" si="24"/>
        <v>45730Northwest Cannabis Solutions</v>
      </c>
      <c r="B550" s="286"/>
      <c r="C550" s="42">
        <v>45730.0</v>
      </c>
      <c r="D550" s="72" t="s">
        <v>153</v>
      </c>
      <c r="E550" s="110" t="s">
        <v>154</v>
      </c>
      <c r="F550" s="114"/>
      <c r="G550" s="72" t="s">
        <v>6955</v>
      </c>
      <c r="H550" s="308" t="s">
        <v>7671</v>
      </c>
      <c r="I550" s="308" t="s">
        <v>7671</v>
      </c>
      <c r="J550" s="114"/>
      <c r="K550" s="305"/>
      <c r="L550" s="285"/>
      <c r="M550" s="285"/>
      <c r="N550" s="54" t="s">
        <v>277</v>
      </c>
      <c r="O550" s="54" t="s">
        <v>162</v>
      </c>
      <c r="P550" s="53" t="str">
        <f>vlookup(N550,Categorizations!A:C,3,FALSE)</f>
        <v>Pesticides</v>
      </c>
      <c r="Q550" s="55">
        <v>1.0</v>
      </c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</row>
    <row r="551" ht="22.5" customHeight="1">
      <c r="A551" s="261" t="str">
        <f t="shared" si="24"/>
        <v>45689 Orange State </v>
      </c>
      <c r="B551" s="286"/>
      <c r="C551" s="42">
        <v>45689.0</v>
      </c>
      <c r="D551" s="72" t="s">
        <v>153</v>
      </c>
      <c r="E551" s="110" t="s">
        <v>154</v>
      </c>
      <c r="F551" s="114"/>
      <c r="G551" s="72" t="s">
        <v>112</v>
      </c>
      <c r="H551" s="308" t="s">
        <v>7672</v>
      </c>
      <c r="I551" s="66" t="s">
        <v>7673</v>
      </c>
      <c r="J551" s="114"/>
      <c r="K551" s="305"/>
      <c r="L551" s="285"/>
      <c r="M551" s="285"/>
      <c r="N551" s="309" t="s">
        <v>278</v>
      </c>
      <c r="O551" s="54" t="s">
        <v>162</v>
      </c>
      <c r="P551" s="53" t="str">
        <f>vlookup(N551,Categorizations!A:C,3,FALSE)</f>
        <v>Pesticides</v>
      </c>
      <c r="Q551" s="55">
        <v>1.0</v>
      </c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</row>
    <row r="552" ht="22.5" customHeight="1">
      <c r="A552" s="261" t="str">
        <f t="shared" si="24"/>
        <v>45306Green Bluff Greenhouse</v>
      </c>
      <c r="B552" s="286"/>
      <c r="C552" s="42">
        <v>45306.0</v>
      </c>
      <c r="D552" s="72" t="s">
        <v>153</v>
      </c>
      <c r="E552" s="110" t="s">
        <v>154</v>
      </c>
      <c r="F552" s="114"/>
      <c r="G552" s="72" t="s">
        <v>180</v>
      </c>
      <c r="H552" s="95" t="s">
        <v>7674</v>
      </c>
      <c r="I552" s="66" t="s">
        <v>7674</v>
      </c>
      <c r="J552" s="114"/>
      <c r="K552" s="305"/>
      <c r="L552" s="285"/>
      <c r="M552" s="285"/>
      <c r="N552" s="309" t="s">
        <v>279</v>
      </c>
      <c r="O552" s="54" t="s">
        <v>162</v>
      </c>
      <c r="P552" s="53" t="str">
        <f>vlookup(N552,Categorizations!A:C,3,FALSE)</f>
        <v>Multiple</v>
      </c>
      <c r="Q552" s="55">
        <v>1.0</v>
      </c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</row>
    <row r="553" ht="22.5" customHeight="1">
      <c r="A553" s="261" t="str">
        <f t="shared" si="24"/>
        <v>45532Vert Corporation</v>
      </c>
      <c r="B553" s="286"/>
      <c r="C553" s="42">
        <v>45532.0</v>
      </c>
      <c r="D553" s="72" t="s">
        <v>153</v>
      </c>
      <c r="E553" s="110" t="s">
        <v>154</v>
      </c>
      <c r="F553" s="114"/>
      <c r="G553" s="72" t="s">
        <v>180</v>
      </c>
      <c r="H553" s="95" t="s">
        <v>7675</v>
      </c>
      <c r="I553" s="66" t="s">
        <v>7676</v>
      </c>
      <c r="J553" s="114"/>
      <c r="K553" s="305"/>
      <c r="L553" s="285"/>
      <c r="M553" s="285"/>
      <c r="N553" s="54" t="s">
        <v>389</v>
      </c>
      <c r="O553" s="54" t="s">
        <v>162</v>
      </c>
      <c r="P553" s="53" t="str">
        <f>vlookup(N553,Categorizations!A:C,3,FALSE)</f>
        <v>Mislabeled</v>
      </c>
      <c r="Q553" s="55">
        <v>1.0</v>
      </c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</row>
    <row r="554" ht="22.5" customHeight="1">
      <c r="A554" s="261" t="str">
        <f t="shared" si="24"/>
        <v>45492Playa Grande </v>
      </c>
      <c r="B554" s="286"/>
      <c r="C554" s="42">
        <v>45492.0</v>
      </c>
      <c r="D554" s="72" t="s">
        <v>153</v>
      </c>
      <c r="E554" s="110" t="s">
        <v>154</v>
      </c>
      <c r="F554" s="114"/>
      <c r="G554" s="72" t="s">
        <v>112</v>
      </c>
      <c r="H554" s="308" t="s">
        <v>7677</v>
      </c>
      <c r="I554" s="66" t="s">
        <v>7678</v>
      </c>
      <c r="J554" s="114"/>
      <c r="K554" s="305"/>
      <c r="L554" s="285"/>
      <c r="M554" s="285"/>
      <c r="N554" s="54" t="s">
        <v>1436</v>
      </c>
      <c r="O554" s="54" t="s">
        <v>162</v>
      </c>
      <c r="P554" s="53" t="str">
        <f>vlookup(N554,Categorizations!A:C,3,FALSE)</f>
        <v>Pesticides</v>
      </c>
      <c r="Q554" s="55">
        <v>1.0</v>
      </c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</row>
    <row r="555" ht="22.5" customHeight="1">
      <c r="A555" s="261" t="str">
        <f t="shared" si="24"/>
        <v>45955Elba Holdings</v>
      </c>
      <c r="B555" s="286"/>
      <c r="C555" s="310">
        <v>45955.0</v>
      </c>
      <c r="D555" s="72" t="s">
        <v>20</v>
      </c>
      <c r="E555" s="110" t="s">
        <v>7679</v>
      </c>
      <c r="F555" s="95" t="s">
        <v>177</v>
      </c>
      <c r="G555" s="72" t="s">
        <v>180</v>
      </c>
      <c r="H555" s="95" t="s">
        <v>7680</v>
      </c>
      <c r="I555" s="66" t="s">
        <v>7680</v>
      </c>
      <c r="J555" s="114"/>
      <c r="K555" s="305"/>
      <c r="L555" s="285"/>
      <c r="M555" s="285"/>
      <c r="N555" s="54" t="s">
        <v>1442</v>
      </c>
      <c r="O555" s="54" t="s">
        <v>801</v>
      </c>
      <c r="P555" s="53" t="str">
        <f>vlookup(N555,Categorizations!A:C,3,FALSE)</f>
        <v>Multiple</v>
      </c>
      <c r="Q555" s="31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</row>
    <row r="556" ht="22.5" customHeight="1">
      <c r="A556" s="261" t="str">
        <f t="shared" si="24"/>
        <v>46009Pressd / Baked Bros</v>
      </c>
      <c r="B556" s="286"/>
      <c r="C556" s="310">
        <v>46009.0</v>
      </c>
      <c r="D556" s="72" t="s">
        <v>20</v>
      </c>
      <c r="E556" s="110" t="s">
        <v>7681</v>
      </c>
      <c r="F556" s="95" t="s">
        <v>177</v>
      </c>
      <c r="G556" s="72" t="s">
        <v>7682</v>
      </c>
      <c r="H556" s="95" t="s">
        <v>7683</v>
      </c>
      <c r="I556" s="66" t="s">
        <v>7683</v>
      </c>
      <c r="J556" s="114"/>
      <c r="K556" s="305"/>
      <c r="L556" s="285"/>
      <c r="M556" s="285"/>
      <c r="N556" s="54" t="s">
        <v>7684</v>
      </c>
      <c r="O556" s="54" t="s">
        <v>801</v>
      </c>
      <c r="P556" s="53" t="str">
        <f>vlookup(trim(N556),Categorizations!A:C,3,FALSE)</f>
        <v>Pesticides</v>
      </c>
      <c r="Q556" s="31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</row>
    <row r="557" ht="22.5" customHeight="1">
      <c r="A557" s="261" t="str">
        <f t="shared" si="24"/>
        <v/>
      </c>
      <c r="B557" s="286"/>
      <c r="C557" s="312"/>
      <c r="D557" s="127"/>
      <c r="E557" s="313"/>
      <c r="F557" s="114"/>
      <c r="G557" s="314"/>
      <c r="H557" s="114"/>
      <c r="I557" s="315"/>
      <c r="J557" s="114"/>
      <c r="K557" s="305"/>
      <c r="L557" s="285"/>
      <c r="M557" s="285"/>
      <c r="N557" s="53"/>
      <c r="O557" s="53"/>
      <c r="P557" s="53" t="str">
        <f>vlookup(N557,Categorizations!A:C,3,FALSE)</f>
        <v>#N/A</v>
      </c>
      <c r="Q557" s="31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</row>
    <row r="558" ht="22.5" customHeight="1">
      <c r="A558" s="261" t="str">
        <f t="shared" si="24"/>
        <v/>
      </c>
      <c r="B558" s="286"/>
      <c r="C558" s="312"/>
      <c r="D558" s="127"/>
      <c r="E558" s="313"/>
      <c r="F558" s="114"/>
      <c r="G558" s="314"/>
      <c r="H558" s="114"/>
      <c r="I558" s="315"/>
      <c r="J558" s="114"/>
      <c r="K558" s="305"/>
      <c r="L558" s="285"/>
      <c r="M558" s="285"/>
      <c r="N558" s="53"/>
      <c r="O558" s="53"/>
      <c r="P558" s="53" t="str">
        <f>vlookup(N558,Categorizations!A:C,3,FALSE)</f>
        <v>#N/A</v>
      </c>
      <c r="Q558" s="31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</row>
    <row r="559" ht="22.5" customHeight="1">
      <c r="A559" s="261" t="str">
        <f t="shared" si="24"/>
        <v/>
      </c>
      <c r="B559" s="286"/>
      <c r="C559" s="312"/>
      <c r="D559" s="127"/>
      <c r="E559" s="313"/>
      <c r="F559" s="114"/>
      <c r="G559" s="314"/>
      <c r="H559" s="114"/>
      <c r="I559" s="315"/>
      <c r="J559" s="114"/>
      <c r="K559" s="305"/>
      <c r="L559" s="285"/>
      <c r="M559" s="285"/>
      <c r="N559" s="53"/>
      <c r="O559" s="53"/>
      <c r="P559" s="53" t="str">
        <f>vlookup(N559,Categorizations!A:C,3,FALSE)</f>
        <v>#N/A</v>
      </c>
      <c r="Q559" s="31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</row>
    <row r="560" ht="22.5" customHeight="1">
      <c r="A560" s="261" t="str">
        <f t="shared" si="24"/>
        <v/>
      </c>
      <c r="B560" s="286"/>
      <c r="C560" s="312"/>
      <c r="D560" s="127"/>
      <c r="E560" s="313"/>
      <c r="F560" s="114"/>
      <c r="G560" s="314"/>
      <c r="H560" s="114"/>
      <c r="I560" s="315"/>
      <c r="J560" s="114"/>
      <c r="K560" s="305"/>
      <c r="L560" s="285"/>
      <c r="M560" s="285"/>
      <c r="N560" s="53"/>
      <c r="O560" s="53"/>
      <c r="P560" s="53" t="str">
        <f>vlookup(N560,Categorizations!A:C,3,FALSE)</f>
        <v>#N/A</v>
      </c>
      <c r="Q560" s="31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</row>
    <row r="561" ht="22.5" customHeight="1">
      <c r="A561" s="261" t="str">
        <f t="shared" si="24"/>
        <v/>
      </c>
      <c r="B561" s="286"/>
      <c r="C561" s="312"/>
      <c r="D561" s="127"/>
      <c r="E561" s="313"/>
      <c r="F561" s="114"/>
      <c r="G561" s="314"/>
      <c r="H561" s="114"/>
      <c r="I561" s="315"/>
      <c r="J561" s="114"/>
      <c r="K561" s="305"/>
      <c r="L561" s="285"/>
      <c r="M561" s="285"/>
      <c r="N561" s="53"/>
      <c r="O561" s="53"/>
      <c r="P561" s="53" t="str">
        <f>vlookup(N561,Categorizations!A:C,3,FALSE)</f>
        <v>#N/A</v>
      </c>
      <c r="Q561" s="31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</row>
    <row r="562" ht="22.5" customHeight="1">
      <c r="A562" s="261" t="str">
        <f t="shared" si="24"/>
        <v/>
      </c>
      <c r="B562" s="286"/>
      <c r="C562" s="312"/>
      <c r="D562" s="127"/>
      <c r="E562" s="313"/>
      <c r="F562" s="114"/>
      <c r="G562" s="314"/>
      <c r="H562" s="114"/>
      <c r="I562" s="315"/>
      <c r="J562" s="114"/>
      <c r="K562" s="305"/>
      <c r="L562" s="285"/>
      <c r="M562" s="285"/>
      <c r="N562" s="53"/>
      <c r="O562" s="53"/>
      <c r="P562" s="53" t="str">
        <f>vlookup(N562,Categorizations!A:C,3,FALSE)</f>
        <v>#N/A</v>
      </c>
      <c r="Q562" s="31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</row>
    <row r="563" ht="22.5" customHeight="1">
      <c r="A563" s="261" t="str">
        <f t="shared" si="24"/>
        <v/>
      </c>
      <c r="B563" s="286"/>
      <c r="C563" s="312"/>
      <c r="D563" s="127"/>
      <c r="E563" s="313"/>
      <c r="F563" s="114"/>
      <c r="G563" s="314"/>
      <c r="H563" s="114"/>
      <c r="I563" s="315"/>
      <c r="J563" s="114"/>
      <c r="K563" s="305"/>
      <c r="L563" s="285"/>
      <c r="M563" s="285"/>
      <c r="N563" s="53"/>
      <c r="O563" s="53"/>
      <c r="P563" s="53" t="str">
        <f>vlookup(N563,Categorizations!A:C,3,FALSE)</f>
        <v>#N/A</v>
      </c>
      <c r="Q563" s="31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</row>
    <row r="564" ht="22.5" customHeight="1">
      <c r="A564" s="261" t="str">
        <f t="shared" si="24"/>
        <v/>
      </c>
      <c r="B564" s="286"/>
      <c r="C564" s="312"/>
      <c r="D564" s="127"/>
      <c r="E564" s="313"/>
      <c r="F564" s="114"/>
      <c r="G564" s="314"/>
      <c r="H564" s="114"/>
      <c r="I564" s="315"/>
      <c r="J564" s="114"/>
      <c r="K564" s="305"/>
      <c r="L564" s="285"/>
      <c r="M564" s="285"/>
      <c r="N564" s="53"/>
      <c r="O564" s="53"/>
      <c r="P564" s="53" t="str">
        <f>vlookup(N564,Categorizations!A:C,3,FALSE)</f>
        <v>#N/A</v>
      </c>
      <c r="Q564" s="31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</row>
    <row r="565" ht="22.5" customHeight="1">
      <c r="A565" s="261" t="str">
        <f t="shared" si="24"/>
        <v/>
      </c>
      <c r="B565" s="286"/>
      <c r="C565" s="312"/>
      <c r="D565" s="127"/>
      <c r="E565" s="313"/>
      <c r="F565" s="114"/>
      <c r="G565" s="314"/>
      <c r="H565" s="114"/>
      <c r="I565" s="315"/>
      <c r="J565" s="114"/>
      <c r="K565" s="305"/>
      <c r="L565" s="285"/>
      <c r="M565" s="285"/>
      <c r="N565" s="53"/>
      <c r="O565" s="53"/>
      <c r="P565" s="53" t="str">
        <f>vlookup(N565,Categorizations!A:C,3,FALSE)</f>
        <v>#N/A</v>
      </c>
      <c r="Q565" s="31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</row>
    <row r="566" ht="22.5" customHeight="1">
      <c r="A566" s="261" t="str">
        <f t="shared" si="24"/>
        <v/>
      </c>
      <c r="B566" s="286"/>
      <c r="C566" s="312"/>
      <c r="D566" s="127"/>
      <c r="E566" s="313"/>
      <c r="F566" s="114"/>
      <c r="G566" s="314"/>
      <c r="H566" s="114"/>
      <c r="I566" s="315"/>
      <c r="J566" s="114"/>
      <c r="K566" s="305"/>
      <c r="L566" s="285"/>
      <c r="M566" s="285"/>
      <c r="N566" s="53"/>
      <c r="O566" s="53"/>
      <c r="P566" s="53" t="str">
        <f>vlookup(N566,Categorizations!A:C,3,FALSE)</f>
        <v>#N/A</v>
      </c>
      <c r="Q566" s="31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</row>
    <row r="567" ht="22.5" customHeight="1">
      <c r="A567" s="261" t="str">
        <f t="shared" si="24"/>
        <v/>
      </c>
      <c r="B567" s="286"/>
      <c r="C567" s="312"/>
      <c r="D567" s="127"/>
      <c r="E567" s="313"/>
      <c r="F567" s="114"/>
      <c r="G567" s="314"/>
      <c r="H567" s="114"/>
      <c r="I567" s="315"/>
      <c r="J567" s="114"/>
      <c r="K567" s="305"/>
      <c r="L567" s="285"/>
      <c r="M567" s="285"/>
      <c r="N567" s="53"/>
      <c r="O567" s="53"/>
      <c r="P567" s="53" t="str">
        <f>vlookup(N567,Categorizations!A:C,3,FALSE)</f>
        <v>#N/A</v>
      </c>
      <c r="Q567" s="31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</row>
    <row r="568" ht="22.5" customHeight="1">
      <c r="A568" s="261" t="str">
        <f t="shared" si="24"/>
        <v/>
      </c>
      <c r="B568" s="286"/>
      <c r="C568" s="312"/>
      <c r="D568" s="127"/>
      <c r="E568" s="313"/>
      <c r="F568" s="114"/>
      <c r="G568" s="314"/>
      <c r="H568" s="114"/>
      <c r="I568" s="315"/>
      <c r="J568" s="114"/>
      <c r="K568" s="305"/>
      <c r="L568" s="285"/>
      <c r="M568" s="285"/>
      <c r="N568" s="53"/>
      <c r="O568" s="53"/>
      <c r="P568" s="53" t="str">
        <f>vlookup(N568,Categorizations!A:C,3,FALSE)</f>
        <v>#N/A</v>
      </c>
      <c r="Q568" s="31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</row>
    <row r="569" ht="22.5" customHeight="1">
      <c r="A569" s="261" t="str">
        <f t="shared" si="24"/>
        <v/>
      </c>
      <c r="B569" s="286"/>
      <c r="C569" s="312"/>
      <c r="D569" s="127"/>
      <c r="E569" s="313"/>
      <c r="F569" s="114"/>
      <c r="G569" s="314"/>
      <c r="H569" s="114"/>
      <c r="I569" s="315"/>
      <c r="J569" s="114"/>
      <c r="K569" s="305"/>
      <c r="L569" s="285"/>
      <c r="M569" s="285"/>
      <c r="N569" s="53"/>
      <c r="O569" s="53"/>
      <c r="P569" s="53" t="str">
        <f>vlookup(N569,Categorizations!A:C,3,FALSE)</f>
        <v>#N/A</v>
      </c>
      <c r="Q569" s="31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</row>
    <row r="570" ht="22.5" customHeight="1">
      <c r="A570" s="261" t="str">
        <f t="shared" si="24"/>
        <v/>
      </c>
      <c r="B570" s="286"/>
      <c r="C570" s="312"/>
      <c r="D570" s="127"/>
      <c r="E570" s="313"/>
      <c r="F570" s="114"/>
      <c r="G570" s="314"/>
      <c r="H570" s="114"/>
      <c r="I570" s="315"/>
      <c r="J570" s="114"/>
      <c r="K570" s="305"/>
      <c r="L570" s="285"/>
      <c r="M570" s="285"/>
      <c r="N570" s="53"/>
      <c r="O570" s="53"/>
      <c r="P570" s="53" t="str">
        <f>vlookup(N570,Categorizations!A:C,3,FALSE)</f>
        <v>#N/A</v>
      </c>
      <c r="Q570" s="31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</row>
    <row r="571" ht="22.5" customHeight="1">
      <c r="A571" s="261" t="str">
        <f t="shared" si="24"/>
        <v/>
      </c>
      <c r="B571" s="286"/>
      <c r="C571" s="312"/>
      <c r="D571" s="127"/>
      <c r="E571" s="313"/>
      <c r="F571" s="114"/>
      <c r="G571" s="314"/>
      <c r="H571" s="114"/>
      <c r="I571" s="315"/>
      <c r="J571" s="114"/>
      <c r="K571" s="305"/>
      <c r="L571" s="285"/>
      <c r="M571" s="285"/>
      <c r="N571" s="53"/>
      <c r="O571" s="53"/>
      <c r="P571" s="53" t="str">
        <f>vlookup(N571,Categorizations!A:C,3,FALSE)</f>
        <v>#N/A</v>
      </c>
      <c r="Q571" s="31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</row>
    <row r="572" ht="22.5" customHeight="1">
      <c r="A572" s="261" t="str">
        <f t="shared" si="24"/>
        <v/>
      </c>
      <c r="B572" s="286"/>
      <c r="C572" s="312"/>
      <c r="D572" s="127"/>
      <c r="E572" s="313"/>
      <c r="F572" s="114"/>
      <c r="G572" s="314"/>
      <c r="H572" s="114"/>
      <c r="I572" s="315"/>
      <c r="J572" s="114"/>
      <c r="K572" s="305"/>
      <c r="L572" s="285"/>
      <c r="M572" s="285"/>
      <c r="N572" s="53"/>
      <c r="O572" s="53"/>
      <c r="P572" s="53" t="str">
        <f>vlookup(N572,Categorizations!A:C,3,FALSE)</f>
        <v>#N/A</v>
      </c>
      <c r="Q572" s="31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</row>
    <row r="573" ht="22.5" customHeight="1">
      <c r="A573" s="261" t="str">
        <f t="shared" si="24"/>
        <v/>
      </c>
      <c r="B573" s="286"/>
      <c r="C573" s="312"/>
      <c r="D573" s="127"/>
      <c r="E573" s="313"/>
      <c r="F573" s="114"/>
      <c r="G573" s="314"/>
      <c r="H573" s="114"/>
      <c r="I573" s="315"/>
      <c r="J573" s="114"/>
      <c r="K573" s="305"/>
      <c r="L573" s="285"/>
      <c r="M573" s="285"/>
      <c r="N573" s="53"/>
      <c r="O573" s="53"/>
      <c r="P573" s="53" t="str">
        <f>vlookup(N573,Categorizations!A:C,3,FALSE)</f>
        <v>#N/A</v>
      </c>
      <c r="Q573" s="31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</row>
    <row r="574" ht="22.5" customHeight="1">
      <c r="A574" s="261" t="str">
        <f t="shared" si="24"/>
        <v/>
      </c>
      <c r="B574" s="286"/>
      <c r="C574" s="312"/>
      <c r="D574" s="127"/>
      <c r="E574" s="313"/>
      <c r="F574" s="114"/>
      <c r="G574" s="314"/>
      <c r="H574" s="114"/>
      <c r="I574" s="315"/>
      <c r="J574" s="114"/>
      <c r="K574" s="305"/>
      <c r="L574" s="285"/>
      <c r="M574" s="285"/>
      <c r="N574" s="53"/>
      <c r="O574" s="53"/>
      <c r="P574" s="53" t="str">
        <f>vlookup(N574,Categorizations!A:C,3,FALSE)</f>
        <v>#N/A</v>
      </c>
      <c r="Q574" s="31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</row>
    <row r="575" ht="22.5" customHeight="1">
      <c r="A575" s="261" t="str">
        <f t="shared" si="24"/>
        <v/>
      </c>
      <c r="B575" s="286"/>
      <c r="C575" s="312"/>
      <c r="D575" s="127"/>
      <c r="E575" s="313"/>
      <c r="F575" s="114"/>
      <c r="G575" s="314"/>
      <c r="H575" s="114"/>
      <c r="I575" s="315"/>
      <c r="J575" s="114"/>
      <c r="K575" s="305"/>
      <c r="L575" s="285"/>
      <c r="M575" s="285"/>
      <c r="N575" s="53"/>
      <c r="O575" s="53"/>
      <c r="P575" s="53" t="str">
        <f>vlookup(N575,Categorizations!A:C,3,FALSE)</f>
        <v>#N/A</v>
      </c>
      <c r="Q575" s="31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</row>
    <row r="576" ht="22.5" customHeight="1">
      <c r="A576" s="261" t="str">
        <f t="shared" si="24"/>
        <v/>
      </c>
      <c r="B576" s="286"/>
      <c r="C576" s="312"/>
      <c r="D576" s="127"/>
      <c r="E576" s="313"/>
      <c r="F576" s="114"/>
      <c r="G576" s="314"/>
      <c r="H576" s="114"/>
      <c r="I576" s="315"/>
      <c r="J576" s="114"/>
      <c r="K576" s="305"/>
      <c r="L576" s="285"/>
      <c r="M576" s="285"/>
      <c r="N576" s="53"/>
      <c r="O576" s="53"/>
      <c r="P576" s="53" t="str">
        <f>vlookup(N576,Categorizations!A:C,3,FALSE)</f>
        <v>#N/A</v>
      </c>
      <c r="Q576" s="31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</row>
    <row r="577" ht="22.5" customHeight="1">
      <c r="A577" s="261" t="str">
        <f t="shared" si="24"/>
        <v/>
      </c>
      <c r="B577" s="286"/>
      <c r="C577" s="312"/>
      <c r="D577" s="127"/>
      <c r="E577" s="313"/>
      <c r="F577" s="114"/>
      <c r="G577" s="314"/>
      <c r="H577" s="114"/>
      <c r="I577" s="315"/>
      <c r="J577" s="114"/>
      <c r="K577" s="305"/>
      <c r="L577" s="285"/>
      <c r="M577" s="285"/>
      <c r="N577" s="53"/>
      <c r="O577" s="53"/>
      <c r="P577" s="53" t="str">
        <f>vlookup(N577,Categorizations!A:C,3,FALSE)</f>
        <v>#N/A</v>
      </c>
      <c r="Q577" s="31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</row>
    <row r="578" ht="22.5" customHeight="1">
      <c r="A578" s="261" t="str">
        <f t="shared" si="24"/>
        <v/>
      </c>
      <c r="B578" s="286"/>
      <c r="C578" s="312"/>
      <c r="D578" s="127"/>
      <c r="E578" s="313"/>
      <c r="F578" s="114"/>
      <c r="G578" s="314"/>
      <c r="H578" s="114"/>
      <c r="I578" s="315"/>
      <c r="J578" s="114"/>
      <c r="K578" s="305"/>
      <c r="L578" s="285"/>
      <c r="M578" s="285"/>
      <c r="N578" s="53"/>
      <c r="O578" s="53"/>
      <c r="P578" s="53" t="str">
        <f>vlookup(N578,Categorizations!A:C,3,FALSE)</f>
        <v>#N/A</v>
      </c>
      <c r="Q578" s="31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</row>
    <row r="579" ht="22.5" customHeight="1">
      <c r="A579" s="261" t="str">
        <f t="shared" si="24"/>
        <v/>
      </c>
      <c r="B579" s="286"/>
      <c r="C579" s="312"/>
      <c r="D579" s="127"/>
      <c r="E579" s="313"/>
      <c r="F579" s="114"/>
      <c r="G579" s="314"/>
      <c r="H579" s="114"/>
      <c r="I579" s="315"/>
      <c r="J579" s="114"/>
      <c r="K579" s="305"/>
      <c r="L579" s="285"/>
      <c r="M579" s="285"/>
      <c r="N579" s="53"/>
      <c r="O579" s="53"/>
      <c r="P579" s="53" t="str">
        <f>vlookup(N579,Categorizations!A:C,3,FALSE)</f>
        <v>#N/A</v>
      </c>
      <c r="Q579" s="31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</row>
    <row r="580" ht="22.5" customHeight="1">
      <c r="A580" s="261" t="str">
        <f t="shared" si="24"/>
        <v/>
      </c>
      <c r="B580" s="286"/>
      <c r="C580" s="312"/>
      <c r="D580" s="127"/>
      <c r="E580" s="313"/>
      <c r="F580" s="114"/>
      <c r="G580" s="314"/>
      <c r="H580" s="114"/>
      <c r="I580" s="315"/>
      <c r="J580" s="114"/>
      <c r="K580" s="305"/>
      <c r="L580" s="285"/>
      <c r="M580" s="285"/>
      <c r="N580" s="53"/>
      <c r="O580" s="53"/>
      <c r="P580" s="53" t="str">
        <f>vlookup(N580,Categorizations!A:C,3,FALSE)</f>
        <v>#N/A</v>
      </c>
      <c r="Q580" s="31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</row>
    <row r="581" ht="22.5" customHeight="1">
      <c r="A581" s="261" t="str">
        <f t="shared" si="24"/>
        <v/>
      </c>
      <c r="B581" s="286"/>
      <c r="C581" s="312"/>
      <c r="D581" s="127"/>
      <c r="E581" s="313"/>
      <c r="F581" s="114"/>
      <c r="G581" s="314"/>
      <c r="H581" s="114"/>
      <c r="I581" s="315"/>
      <c r="J581" s="114"/>
      <c r="K581" s="305"/>
      <c r="L581" s="285"/>
      <c r="M581" s="285"/>
      <c r="N581" s="53"/>
      <c r="O581" s="53"/>
      <c r="P581" s="53" t="str">
        <f>vlookup(N581,Categorizations!A:C,3,FALSE)</f>
        <v>#N/A</v>
      </c>
      <c r="Q581" s="31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</row>
    <row r="582" ht="22.5" customHeight="1">
      <c r="A582" s="261" t="str">
        <f t="shared" si="24"/>
        <v/>
      </c>
      <c r="B582" s="286"/>
      <c r="C582" s="312"/>
      <c r="D582" s="127"/>
      <c r="E582" s="313"/>
      <c r="F582" s="114"/>
      <c r="G582" s="314"/>
      <c r="H582" s="114"/>
      <c r="I582" s="315"/>
      <c r="J582" s="114"/>
      <c r="K582" s="305"/>
      <c r="L582" s="285"/>
      <c r="M582" s="285"/>
      <c r="N582" s="53"/>
      <c r="O582" s="53"/>
      <c r="P582" s="53" t="str">
        <f>vlookup(N582,Categorizations!A:C,3,FALSE)</f>
        <v>#N/A</v>
      </c>
      <c r="Q582" s="31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</row>
    <row r="583" ht="22.5" customHeight="1">
      <c r="A583" s="261" t="str">
        <f t="shared" si="24"/>
        <v/>
      </c>
      <c r="B583" s="286"/>
      <c r="C583" s="312"/>
      <c r="D583" s="127"/>
      <c r="E583" s="313"/>
      <c r="F583" s="114"/>
      <c r="G583" s="314"/>
      <c r="H583" s="114"/>
      <c r="I583" s="315"/>
      <c r="J583" s="114"/>
      <c r="K583" s="305"/>
      <c r="L583" s="285"/>
      <c r="M583" s="285"/>
      <c r="N583" s="53"/>
      <c r="O583" s="53"/>
      <c r="P583" s="53" t="str">
        <f>vlookup(N583,Categorizations!A:C,3,FALSE)</f>
        <v>#N/A</v>
      </c>
      <c r="Q583" s="31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</row>
    <row r="584" ht="22.5" customHeight="1">
      <c r="A584" s="261" t="str">
        <f t="shared" si="24"/>
        <v/>
      </c>
      <c r="B584" s="286"/>
      <c r="C584" s="312"/>
      <c r="D584" s="127"/>
      <c r="E584" s="313"/>
      <c r="F584" s="114"/>
      <c r="G584" s="314"/>
      <c r="H584" s="114"/>
      <c r="I584" s="315"/>
      <c r="J584" s="114"/>
      <c r="K584" s="305"/>
      <c r="L584" s="285"/>
      <c r="M584" s="285"/>
      <c r="N584" s="53"/>
      <c r="O584" s="53"/>
      <c r="P584" s="53" t="str">
        <f>vlookup(N584,Categorizations!A:C,3,FALSE)</f>
        <v>#N/A</v>
      </c>
      <c r="Q584" s="31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</row>
    <row r="585" ht="22.5" customHeight="1">
      <c r="A585" s="261" t="str">
        <f t="shared" si="24"/>
        <v/>
      </c>
      <c r="B585" s="286"/>
      <c r="C585" s="312"/>
      <c r="D585" s="127"/>
      <c r="E585" s="313"/>
      <c r="F585" s="114"/>
      <c r="G585" s="314"/>
      <c r="H585" s="114"/>
      <c r="I585" s="315"/>
      <c r="J585" s="114"/>
      <c r="K585" s="305"/>
      <c r="L585" s="285"/>
      <c r="M585" s="285"/>
      <c r="N585" s="53"/>
      <c r="O585" s="53"/>
      <c r="P585" s="53" t="str">
        <f>vlookup(N585,Categorizations!A:C,3,FALSE)</f>
        <v>#N/A</v>
      </c>
      <c r="Q585" s="31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</row>
    <row r="586" ht="22.5" customHeight="1">
      <c r="A586" s="261" t="str">
        <f t="shared" si="24"/>
        <v/>
      </c>
      <c r="B586" s="286"/>
      <c r="C586" s="312"/>
      <c r="D586" s="127"/>
      <c r="E586" s="313"/>
      <c r="F586" s="114"/>
      <c r="G586" s="314"/>
      <c r="H586" s="114"/>
      <c r="I586" s="315"/>
      <c r="J586" s="114"/>
      <c r="K586" s="305"/>
      <c r="L586" s="285"/>
      <c r="M586" s="285"/>
      <c r="N586" s="53"/>
      <c r="O586" s="53"/>
      <c r="P586" s="53" t="str">
        <f>vlookup(N586,Categorizations!A:C,3,FALSE)</f>
        <v>#N/A</v>
      </c>
      <c r="Q586" s="31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</row>
    <row r="587" ht="22.5" customHeight="1">
      <c r="A587" s="261" t="str">
        <f t="shared" si="24"/>
        <v/>
      </c>
      <c r="B587" s="286"/>
      <c r="C587" s="312"/>
      <c r="D587" s="127"/>
      <c r="E587" s="313"/>
      <c r="F587" s="114"/>
      <c r="G587" s="314"/>
      <c r="H587" s="114"/>
      <c r="I587" s="315"/>
      <c r="J587" s="114"/>
      <c r="K587" s="305"/>
      <c r="L587" s="285"/>
      <c r="M587" s="285"/>
      <c r="N587" s="53"/>
      <c r="O587" s="53"/>
      <c r="P587" s="53" t="str">
        <f>vlookup(N587,Categorizations!A:C,3,FALSE)</f>
        <v>#N/A</v>
      </c>
      <c r="Q587" s="31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</row>
    <row r="588" ht="22.5" customHeight="1">
      <c r="A588" s="261" t="str">
        <f t="shared" si="24"/>
        <v/>
      </c>
      <c r="B588" s="286"/>
      <c r="C588" s="312"/>
      <c r="D588" s="127"/>
      <c r="E588" s="313"/>
      <c r="F588" s="114"/>
      <c r="G588" s="314"/>
      <c r="H588" s="114"/>
      <c r="I588" s="315"/>
      <c r="J588" s="114"/>
      <c r="K588" s="305"/>
      <c r="L588" s="285"/>
      <c r="M588" s="285"/>
      <c r="N588" s="53"/>
      <c r="O588" s="53"/>
      <c r="P588" s="53" t="str">
        <f>vlookup(N588,Categorizations!A:C,3,FALSE)</f>
        <v>#N/A</v>
      </c>
      <c r="Q588" s="31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</row>
    <row r="589" ht="22.5" customHeight="1">
      <c r="A589" s="261" t="str">
        <f t="shared" si="24"/>
        <v/>
      </c>
      <c r="B589" s="286"/>
      <c r="C589" s="312"/>
      <c r="D589" s="127"/>
      <c r="E589" s="313"/>
      <c r="F589" s="114"/>
      <c r="G589" s="314"/>
      <c r="H589" s="114"/>
      <c r="I589" s="315"/>
      <c r="J589" s="114"/>
      <c r="K589" s="305"/>
      <c r="L589" s="285"/>
      <c r="M589" s="285"/>
      <c r="N589" s="53"/>
      <c r="O589" s="53"/>
      <c r="P589" s="53" t="str">
        <f>vlookup(N589,Categorizations!A:C,3,FALSE)</f>
        <v>#N/A</v>
      </c>
      <c r="Q589" s="31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</row>
    <row r="590" ht="22.5" customHeight="1">
      <c r="A590" s="261" t="str">
        <f t="shared" si="24"/>
        <v/>
      </c>
      <c r="B590" s="286"/>
      <c r="C590" s="312"/>
      <c r="D590" s="127"/>
      <c r="E590" s="313"/>
      <c r="F590" s="114"/>
      <c r="G590" s="314"/>
      <c r="H590" s="114"/>
      <c r="I590" s="315"/>
      <c r="J590" s="114"/>
      <c r="K590" s="305"/>
      <c r="L590" s="285"/>
      <c r="M590" s="285"/>
      <c r="N590" s="53"/>
      <c r="O590" s="53"/>
      <c r="P590" s="53" t="str">
        <f>vlookup(N590,Categorizations!A:C,3,FALSE)</f>
        <v>#N/A</v>
      </c>
      <c r="Q590" s="31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</row>
    <row r="591" ht="22.5" customHeight="1">
      <c r="A591" s="261" t="str">
        <f t="shared" si="24"/>
        <v/>
      </c>
      <c r="B591" s="286"/>
      <c r="C591" s="312"/>
      <c r="D591" s="127"/>
      <c r="E591" s="313"/>
      <c r="F591" s="114"/>
      <c r="G591" s="314"/>
      <c r="H591" s="114"/>
      <c r="I591" s="315"/>
      <c r="J591" s="114"/>
      <c r="K591" s="305"/>
      <c r="L591" s="285"/>
      <c r="M591" s="285"/>
      <c r="N591" s="53"/>
      <c r="O591" s="53"/>
      <c r="P591" s="53" t="str">
        <f>vlookup(N591,Categorizations!A:C,3,FALSE)</f>
        <v>#N/A</v>
      </c>
      <c r="Q591" s="31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</row>
    <row r="592" ht="22.5" customHeight="1">
      <c r="A592" s="261" t="str">
        <f t="shared" si="24"/>
        <v/>
      </c>
      <c r="B592" s="286"/>
      <c r="C592" s="312"/>
      <c r="D592" s="127"/>
      <c r="E592" s="313"/>
      <c r="F592" s="114"/>
      <c r="G592" s="314"/>
      <c r="H592" s="114"/>
      <c r="I592" s="315"/>
      <c r="J592" s="114"/>
      <c r="K592" s="305"/>
      <c r="L592" s="285"/>
      <c r="M592" s="285"/>
      <c r="N592" s="53"/>
      <c r="O592" s="53"/>
      <c r="P592" s="53" t="str">
        <f>vlookup(N592,Categorizations!A:C,3,FALSE)</f>
        <v>#N/A</v>
      </c>
      <c r="Q592" s="31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</row>
    <row r="593" ht="22.5" customHeight="1">
      <c r="A593" s="261" t="str">
        <f t="shared" si="24"/>
        <v/>
      </c>
      <c r="B593" s="286"/>
      <c r="C593" s="312"/>
      <c r="D593" s="127"/>
      <c r="E593" s="313"/>
      <c r="F593" s="114"/>
      <c r="G593" s="314"/>
      <c r="H593" s="114"/>
      <c r="I593" s="315"/>
      <c r="J593" s="114"/>
      <c r="K593" s="305"/>
      <c r="L593" s="285"/>
      <c r="M593" s="285"/>
      <c r="N593" s="53"/>
      <c r="O593" s="53"/>
      <c r="P593" s="53" t="str">
        <f>vlookup(N593,Categorizations!A:C,3,FALSE)</f>
        <v>#N/A</v>
      </c>
      <c r="Q593" s="31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</row>
    <row r="594" ht="22.5" customHeight="1">
      <c r="A594" s="261" t="str">
        <f t="shared" si="24"/>
        <v/>
      </c>
      <c r="B594" s="286"/>
      <c r="C594" s="312"/>
      <c r="D594" s="127"/>
      <c r="E594" s="313"/>
      <c r="F594" s="114"/>
      <c r="G594" s="314"/>
      <c r="H594" s="114"/>
      <c r="I594" s="315"/>
      <c r="J594" s="114"/>
      <c r="K594" s="305"/>
      <c r="L594" s="285"/>
      <c r="M594" s="285"/>
      <c r="N594" s="53"/>
      <c r="O594" s="53"/>
      <c r="P594" s="53" t="str">
        <f>vlookup(N594,Categorizations!A:C,3,FALSE)</f>
        <v>#N/A</v>
      </c>
      <c r="Q594" s="31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</row>
    <row r="595" ht="22.5" customHeight="1">
      <c r="A595" s="261" t="str">
        <f t="shared" si="24"/>
        <v/>
      </c>
      <c r="B595" s="286"/>
      <c r="C595" s="312"/>
      <c r="D595" s="127"/>
      <c r="E595" s="313"/>
      <c r="F595" s="114"/>
      <c r="G595" s="314"/>
      <c r="H595" s="114"/>
      <c r="I595" s="315"/>
      <c r="J595" s="114"/>
      <c r="K595" s="305"/>
      <c r="L595" s="285"/>
      <c r="M595" s="285"/>
      <c r="N595" s="53"/>
      <c r="O595" s="53"/>
      <c r="P595" s="53" t="str">
        <f>vlookup(N595,Categorizations!A:C,3,FALSE)</f>
        <v>#N/A</v>
      </c>
      <c r="Q595" s="31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</row>
    <row r="596" ht="22.5" customHeight="1">
      <c r="A596" s="261" t="str">
        <f t="shared" si="24"/>
        <v/>
      </c>
      <c r="B596" s="286"/>
      <c r="C596" s="312"/>
      <c r="D596" s="127"/>
      <c r="E596" s="313"/>
      <c r="F596" s="114"/>
      <c r="G596" s="314"/>
      <c r="H596" s="114"/>
      <c r="I596" s="315"/>
      <c r="J596" s="114"/>
      <c r="K596" s="305"/>
      <c r="L596" s="285"/>
      <c r="M596" s="285"/>
      <c r="N596" s="53"/>
      <c r="O596" s="53"/>
      <c r="P596" s="53" t="str">
        <f>vlookup(N596,Categorizations!A:C,3,FALSE)</f>
        <v>#N/A</v>
      </c>
      <c r="Q596" s="31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</row>
    <row r="597" ht="22.5" customHeight="1">
      <c r="A597" s="261" t="str">
        <f t="shared" si="24"/>
        <v/>
      </c>
      <c r="B597" s="286"/>
      <c r="C597" s="312"/>
      <c r="D597" s="127"/>
      <c r="E597" s="313"/>
      <c r="F597" s="114"/>
      <c r="G597" s="314"/>
      <c r="H597" s="114"/>
      <c r="I597" s="315"/>
      <c r="J597" s="114"/>
      <c r="K597" s="305"/>
      <c r="L597" s="285"/>
      <c r="M597" s="285"/>
      <c r="N597" s="53"/>
      <c r="O597" s="53"/>
      <c r="P597" s="53" t="str">
        <f>vlookup(N597,Categorizations!A:C,3,FALSE)</f>
        <v>#N/A</v>
      </c>
      <c r="Q597" s="31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</row>
    <row r="598" ht="22.5" customHeight="1">
      <c r="A598" s="261" t="str">
        <f t="shared" si="24"/>
        <v/>
      </c>
      <c r="B598" s="286"/>
      <c r="C598" s="312"/>
      <c r="D598" s="127"/>
      <c r="E598" s="313"/>
      <c r="F598" s="114"/>
      <c r="G598" s="314"/>
      <c r="H598" s="114"/>
      <c r="I598" s="315"/>
      <c r="J598" s="114"/>
      <c r="K598" s="305"/>
      <c r="L598" s="285"/>
      <c r="M598" s="285"/>
      <c r="N598" s="53"/>
      <c r="O598" s="53"/>
      <c r="P598" s="53" t="str">
        <f>vlookup(N598,Categorizations!A:C,3,FALSE)</f>
        <v>#N/A</v>
      </c>
      <c r="Q598" s="31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</row>
    <row r="599" ht="22.5" customHeight="1">
      <c r="A599" s="261" t="str">
        <f t="shared" si="24"/>
        <v/>
      </c>
      <c r="B599" s="286"/>
      <c r="C599" s="312"/>
      <c r="D599" s="127"/>
      <c r="E599" s="313"/>
      <c r="F599" s="114"/>
      <c r="G599" s="314"/>
      <c r="H599" s="114"/>
      <c r="I599" s="315"/>
      <c r="J599" s="114"/>
      <c r="K599" s="305"/>
      <c r="L599" s="285"/>
      <c r="M599" s="285"/>
      <c r="N599" s="53"/>
      <c r="O599" s="53"/>
      <c r="P599" s="53" t="str">
        <f>vlookup(N599,Categorizations!A:C,3,FALSE)</f>
        <v>#N/A</v>
      </c>
      <c r="Q599" s="31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</row>
    <row r="600" ht="22.5" customHeight="1">
      <c r="A600" s="261" t="str">
        <f t="shared" si="24"/>
        <v/>
      </c>
      <c r="B600" s="286"/>
      <c r="C600" s="312"/>
      <c r="D600" s="127"/>
      <c r="E600" s="313"/>
      <c r="F600" s="114"/>
      <c r="G600" s="314"/>
      <c r="H600" s="114"/>
      <c r="I600" s="315"/>
      <c r="J600" s="114"/>
      <c r="K600" s="305"/>
      <c r="L600" s="285"/>
      <c r="M600" s="285"/>
      <c r="N600" s="53"/>
      <c r="O600" s="53"/>
      <c r="P600" s="53" t="str">
        <f>vlookup(N600,Categorizations!A:C,3,FALSE)</f>
        <v>#N/A</v>
      </c>
      <c r="Q600" s="31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</row>
    <row r="601" ht="22.5" customHeight="1">
      <c r="A601" s="261" t="str">
        <f t="shared" si="24"/>
        <v/>
      </c>
      <c r="B601" s="286"/>
      <c r="C601" s="312"/>
      <c r="D601" s="127"/>
      <c r="E601" s="313"/>
      <c r="F601" s="114"/>
      <c r="G601" s="314"/>
      <c r="H601" s="114"/>
      <c r="I601" s="315"/>
      <c r="J601" s="114"/>
      <c r="K601" s="305"/>
      <c r="L601" s="285"/>
      <c r="M601" s="285"/>
      <c r="N601" s="53"/>
      <c r="O601" s="53"/>
      <c r="P601" s="53" t="str">
        <f>vlookup(N601,Categorizations!A:C,3,FALSE)</f>
        <v>#N/A</v>
      </c>
      <c r="Q601" s="31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</row>
    <row r="602" ht="22.5" customHeight="1">
      <c r="A602" s="261" t="str">
        <f t="shared" si="24"/>
        <v/>
      </c>
      <c r="B602" s="286"/>
      <c r="C602" s="312"/>
      <c r="D602" s="127"/>
      <c r="E602" s="313"/>
      <c r="F602" s="114"/>
      <c r="G602" s="314"/>
      <c r="H602" s="114"/>
      <c r="I602" s="315"/>
      <c r="J602" s="114"/>
      <c r="K602" s="305"/>
      <c r="L602" s="285"/>
      <c r="M602" s="285"/>
      <c r="N602" s="53"/>
      <c r="O602" s="53"/>
      <c r="P602" s="53" t="str">
        <f>vlookup(N602,Categorizations!A:C,3,FALSE)</f>
        <v>#N/A</v>
      </c>
      <c r="Q602" s="31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</row>
    <row r="603" ht="22.5" customHeight="1">
      <c r="A603" s="261" t="str">
        <f t="shared" si="24"/>
        <v/>
      </c>
      <c r="B603" s="286"/>
      <c r="C603" s="312"/>
      <c r="D603" s="127"/>
      <c r="E603" s="313"/>
      <c r="F603" s="114"/>
      <c r="G603" s="314"/>
      <c r="H603" s="114"/>
      <c r="I603" s="315"/>
      <c r="J603" s="114"/>
      <c r="K603" s="305"/>
      <c r="L603" s="285"/>
      <c r="M603" s="285"/>
      <c r="N603" s="53"/>
      <c r="O603" s="53"/>
      <c r="P603" s="53" t="str">
        <f>vlookup(N603,Categorizations!A:C,3,FALSE)</f>
        <v>#N/A</v>
      </c>
      <c r="Q603" s="31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</row>
    <row r="604" ht="22.5" customHeight="1">
      <c r="A604" s="261" t="str">
        <f t="shared" si="24"/>
        <v/>
      </c>
      <c r="B604" s="286"/>
      <c r="C604" s="312"/>
      <c r="D604" s="127"/>
      <c r="E604" s="313"/>
      <c r="F604" s="114"/>
      <c r="G604" s="314"/>
      <c r="H604" s="114"/>
      <c r="I604" s="315"/>
      <c r="J604" s="114"/>
      <c r="K604" s="305"/>
      <c r="L604" s="285"/>
      <c r="M604" s="285"/>
      <c r="N604" s="53"/>
      <c r="O604" s="53"/>
      <c r="P604" s="53" t="str">
        <f>vlookup(N604,Categorizations!A:C,3,FALSE)</f>
        <v>#N/A</v>
      </c>
      <c r="Q604" s="31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</row>
    <row r="605" ht="22.5" customHeight="1">
      <c r="A605" s="261" t="str">
        <f t="shared" si="24"/>
        <v/>
      </c>
      <c r="B605" s="286"/>
      <c r="C605" s="312"/>
      <c r="D605" s="127"/>
      <c r="E605" s="313"/>
      <c r="F605" s="114"/>
      <c r="G605" s="314"/>
      <c r="H605" s="114"/>
      <c r="I605" s="315"/>
      <c r="J605" s="114"/>
      <c r="K605" s="305"/>
      <c r="L605" s="285"/>
      <c r="M605" s="285"/>
      <c r="N605" s="53"/>
      <c r="O605" s="53"/>
      <c r="P605" s="53" t="str">
        <f>vlookup(N605,Categorizations!A:C,3,FALSE)</f>
        <v>#N/A</v>
      </c>
      <c r="Q605" s="31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</row>
    <row r="606" ht="22.5" customHeight="1">
      <c r="A606" s="261" t="str">
        <f t="shared" si="24"/>
        <v/>
      </c>
      <c r="B606" s="286"/>
      <c r="C606" s="312"/>
      <c r="D606" s="127"/>
      <c r="E606" s="313"/>
      <c r="F606" s="114"/>
      <c r="G606" s="314"/>
      <c r="H606" s="114"/>
      <c r="I606" s="315"/>
      <c r="J606" s="114"/>
      <c r="K606" s="305"/>
      <c r="L606" s="285"/>
      <c r="M606" s="285"/>
      <c r="N606" s="53"/>
      <c r="O606" s="53"/>
      <c r="P606" s="53" t="str">
        <f>vlookup(N606,Categorizations!A:C,3,FALSE)</f>
        <v>#N/A</v>
      </c>
      <c r="Q606" s="31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</row>
    <row r="607" ht="22.5" customHeight="1">
      <c r="A607" s="261" t="str">
        <f t="shared" si="24"/>
        <v/>
      </c>
      <c r="B607" s="286"/>
      <c r="C607" s="312"/>
      <c r="D607" s="127"/>
      <c r="E607" s="313"/>
      <c r="F607" s="114"/>
      <c r="G607" s="314"/>
      <c r="H607" s="114"/>
      <c r="I607" s="315"/>
      <c r="J607" s="114"/>
      <c r="K607" s="305"/>
      <c r="L607" s="285"/>
      <c r="M607" s="285"/>
      <c r="N607" s="53"/>
      <c r="O607" s="53"/>
      <c r="P607" s="53" t="str">
        <f>vlookup(N607,Categorizations!A:C,3,FALSE)</f>
        <v>#N/A</v>
      </c>
      <c r="Q607" s="31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</row>
    <row r="608" ht="22.5" customHeight="1">
      <c r="A608" s="261" t="str">
        <f t="shared" si="24"/>
        <v/>
      </c>
      <c r="B608" s="286"/>
      <c r="C608" s="312"/>
      <c r="D608" s="127"/>
      <c r="E608" s="313"/>
      <c r="F608" s="114"/>
      <c r="G608" s="314"/>
      <c r="H608" s="114"/>
      <c r="I608" s="315"/>
      <c r="J608" s="114"/>
      <c r="K608" s="305"/>
      <c r="L608" s="285"/>
      <c r="M608" s="285"/>
      <c r="N608" s="53"/>
      <c r="O608" s="53"/>
      <c r="P608" s="53" t="str">
        <f>vlookup(N608,Categorizations!A:C,3,FALSE)</f>
        <v>#N/A</v>
      </c>
      <c r="Q608" s="31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</row>
    <row r="609" ht="22.5" customHeight="1">
      <c r="A609" s="261" t="str">
        <f t="shared" si="24"/>
        <v/>
      </c>
      <c r="B609" s="286"/>
      <c r="C609" s="312"/>
      <c r="D609" s="127"/>
      <c r="E609" s="313"/>
      <c r="F609" s="114"/>
      <c r="G609" s="314"/>
      <c r="H609" s="114"/>
      <c r="I609" s="315"/>
      <c r="J609" s="114"/>
      <c r="K609" s="305"/>
      <c r="L609" s="285"/>
      <c r="M609" s="285"/>
      <c r="N609" s="53"/>
      <c r="O609" s="53"/>
      <c r="P609" s="53" t="str">
        <f>vlookup(N609,Categorizations!A:C,3,FALSE)</f>
        <v>#N/A</v>
      </c>
      <c r="Q609" s="31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</row>
    <row r="610" ht="22.5" customHeight="1">
      <c r="A610" s="261" t="str">
        <f t="shared" si="24"/>
        <v/>
      </c>
      <c r="B610" s="286"/>
      <c r="C610" s="312"/>
      <c r="D610" s="127"/>
      <c r="E610" s="313"/>
      <c r="F610" s="114"/>
      <c r="G610" s="314"/>
      <c r="H610" s="114"/>
      <c r="I610" s="315"/>
      <c r="J610" s="114"/>
      <c r="K610" s="305"/>
      <c r="L610" s="285"/>
      <c r="M610" s="285"/>
      <c r="N610" s="53"/>
      <c r="O610" s="53"/>
      <c r="P610" s="53" t="str">
        <f>vlookup(N610,Categorizations!A:C,3,FALSE)</f>
        <v>#N/A</v>
      </c>
      <c r="Q610" s="31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</row>
    <row r="611" ht="22.5" customHeight="1">
      <c r="A611" s="261" t="str">
        <f t="shared" si="24"/>
        <v/>
      </c>
      <c r="B611" s="286"/>
      <c r="C611" s="312"/>
      <c r="D611" s="127"/>
      <c r="E611" s="313"/>
      <c r="F611" s="114"/>
      <c r="G611" s="314"/>
      <c r="H611" s="114"/>
      <c r="I611" s="315"/>
      <c r="J611" s="114"/>
      <c r="K611" s="305"/>
      <c r="L611" s="285"/>
      <c r="M611" s="285"/>
      <c r="N611" s="53"/>
      <c r="O611" s="53"/>
      <c r="P611" s="53" t="str">
        <f>vlookup(N611,Categorizations!A:C,3,FALSE)</f>
        <v>#N/A</v>
      </c>
      <c r="Q611" s="31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</row>
    <row r="612" ht="22.5" customHeight="1">
      <c r="A612" s="261" t="str">
        <f t="shared" si="24"/>
        <v/>
      </c>
      <c r="B612" s="286"/>
      <c r="C612" s="312"/>
      <c r="D612" s="127"/>
      <c r="E612" s="313"/>
      <c r="F612" s="114"/>
      <c r="G612" s="314"/>
      <c r="H612" s="114"/>
      <c r="I612" s="315"/>
      <c r="J612" s="114"/>
      <c r="K612" s="305"/>
      <c r="L612" s="285"/>
      <c r="M612" s="285"/>
      <c r="N612" s="53"/>
      <c r="O612" s="53"/>
      <c r="P612" s="53" t="str">
        <f>vlookup(N612,Categorizations!A:C,3,FALSE)</f>
        <v>#N/A</v>
      </c>
      <c r="Q612" s="31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</row>
    <row r="613" ht="22.5" customHeight="1">
      <c r="A613" s="261" t="str">
        <f t="shared" si="24"/>
        <v/>
      </c>
      <c r="B613" s="286"/>
      <c r="C613" s="312"/>
      <c r="D613" s="127"/>
      <c r="E613" s="313"/>
      <c r="F613" s="114"/>
      <c r="G613" s="314"/>
      <c r="H613" s="114"/>
      <c r="I613" s="315"/>
      <c r="J613" s="114"/>
      <c r="K613" s="305"/>
      <c r="L613" s="285"/>
      <c r="M613" s="285"/>
      <c r="N613" s="53"/>
      <c r="O613" s="53"/>
      <c r="P613" s="53" t="str">
        <f>vlookup(N613,Categorizations!A:C,3,FALSE)</f>
        <v>#N/A</v>
      </c>
      <c r="Q613" s="31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</row>
    <row r="614" ht="22.5" customHeight="1">
      <c r="A614" s="261" t="str">
        <f t="shared" si="24"/>
        <v/>
      </c>
      <c r="B614" s="286"/>
      <c r="C614" s="312"/>
      <c r="D614" s="127"/>
      <c r="E614" s="313"/>
      <c r="F614" s="114"/>
      <c r="G614" s="314"/>
      <c r="H614" s="114"/>
      <c r="I614" s="315"/>
      <c r="J614" s="114"/>
      <c r="K614" s="305"/>
      <c r="L614" s="285"/>
      <c r="M614" s="285"/>
      <c r="N614" s="53"/>
      <c r="O614" s="53"/>
      <c r="P614" s="53" t="str">
        <f>vlookup(N614,Categorizations!A:C,3,FALSE)</f>
        <v>#N/A</v>
      </c>
      <c r="Q614" s="31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</row>
    <row r="615" ht="22.5" customHeight="1">
      <c r="A615" s="261" t="str">
        <f t="shared" si="24"/>
        <v/>
      </c>
      <c r="B615" s="286"/>
      <c r="C615" s="312"/>
      <c r="D615" s="127"/>
      <c r="E615" s="313"/>
      <c r="F615" s="114"/>
      <c r="G615" s="314"/>
      <c r="H615" s="114"/>
      <c r="I615" s="315"/>
      <c r="J615" s="114"/>
      <c r="K615" s="305"/>
      <c r="L615" s="285"/>
      <c r="M615" s="285"/>
      <c r="N615" s="53"/>
      <c r="O615" s="53"/>
      <c r="P615" s="53" t="str">
        <f>vlookup(N615,Categorizations!A:C,3,FALSE)</f>
        <v>#N/A</v>
      </c>
      <c r="Q615" s="31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</row>
    <row r="616" ht="22.5" customHeight="1">
      <c r="A616" s="261" t="str">
        <f t="shared" si="24"/>
        <v/>
      </c>
      <c r="B616" s="286"/>
      <c r="C616" s="312"/>
      <c r="D616" s="127"/>
      <c r="E616" s="313"/>
      <c r="F616" s="114"/>
      <c r="G616" s="314"/>
      <c r="H616" s="114"/>
      <c r="I616" s="315"/>
      <c r="J616" s="114"/>
      <c r="K616" s="305"/>
      <c r="L616" s="285"/>
      <c r="M616" s="285"/>
      <c r="N616" s="53"/>
      <c r="O616" s="53"/>
      <c r="P616" s="53" t="str">
        <f>vlookup(N616,Categorizations!A:C,3,FALSE)</f>
        <v>#N/A</v>
      </c>
      <c r="Q616" s="31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</row>
    <row r="617" ht="22.5" customHeight="1">
      <c r="A617" s="261" t="str">
        <f t="shared" si="24"/>
        <v/>
      </c>
      <c r="B617" s="286"/>
      <c r="C617" s="312"/>
      <c r="D617" s="127"/>
      <c r="E617" s="313"/>
      <c r="F617" s="114"/>
      <c r="G617" s="314"/>
      <c r="H617" s="114"/>
      <c r="I617" s="315"/>
      <c r="J617" s="114"/>
      <c r="K617" s="305"/>
      <c r="L617" s="285"/>
      <c r="M617" s="285"/>
      <c r="N617" s="53"/>
      <c r="O617" s="53"/>
      <c r="P617" s="53" t="str">
        <f>vlookup(N617,Categorizations!A:C,3,FALSE)</f>
        <v>#N/A</v>
      </c>
      <c r="Q617" s="31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</row>
    <row r="618" ht="22.5" customHeight="1">
      <c r="A618" s="261" t="str">
        <f t="shared" si="24"/>
        <v/>
      </c>
      <c r="B618" s="286"/>
      <c r="C618" s="312"/>
      <c r="D618" s="127"/>
      <c r="E618" s="313"/>
      <c r="F618" s="114"/>
      <c r="G618" s="314"/>
      <c r="H618" s="114"/>
      <c r="I618" s="315"/>
      <c r="J618" s="114"/>
      <c r="K618" s="305"/>
      <c r="L618" s="285"/>
      <c r="M618" s="285"/>
      <c r="N618" s="53"/>
      <c r="O618" s="53"/>
      <c r="P618" s="53" t="str">
        <f>vlookup(N618,Categorizations!A:C,3,FALSE)</f>
        <v>#N/A</v>
      </c>
      <c r="Q618" s="31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</row>
    <row r="619" ht="22.5" customHeight="1">
      <c r="A619" s="261" t="str">
        <f t="shared" si="24"/>
        <v/>
      </c>
      <c r="B619" s="286"/>
      <c r="C619" s="312"/>
      <c r="D619" s="127"/>
      <c r="E619" s="313"/>
      <c r="F619" s="114"/>
      <c r="G619" s="314"/>
      <c r="H619" s="114"/>
      <c r="I619" s="315"/>
      <c r="J619" s="114"/>
      <c r="K619" s="305"/>
      <c r="L619" s="285"/>
      <c r="M619" s="285"/>
      <c r="N619" s="53"/>
      <c r="O619" s="53"/>
      <c r="P619" s="53" t="str">
        <f>vlookup(N619,Categorizations!A:C,3,FALSE)</f>
        <v>#N/A</v>
      </c>
      <c r="Q619" s="31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</row>
    <row r="620" ht="22.5" customHeight="1">
      <c r="A620" s="261" t="str">
        <f t="shared" si="24"/>
        <v/>
      </c>
      <c r="B620" s="286"/>
      <c r="C620" s="312"/>
      <c r="D620" s="127"/>
      <c r="E620" s="313"/>
      <c r="F620" s="114"/>
      <c r="G620" s="314"/>
      <c r="H620" s="114"/>
      <c r="I620" s="315"/>
      <c r="J620" s="114"/>
      <c r="K620" s="305"/>
      <c r="L620" s="285"/>
      <c r="M620" s="285"/>
      <c r="N620" s="53"/>
      <c r="O620" s="53"/>
      <c r="P620" s="53" t="str">
        <f>vlookup(N620,Categorizations!A:C,3,FALSE)</f>
        <v>#N/A</v>
      </c>
      <c r="Q620" s="31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</row>
    <row r="621" ht="22.5" customHeight="1">
      <c r="A621" s="261" t="str">
        <f t="shared" si="24"/>
        <v/>
      </c>
      <c r="B621" s="286"/>
      <c r="C621" s="312"/>
      <c r="D621" s="127"/>
      <c r="E621" s="313"/>
      <c r="F621" s="114"/>
      <c r="G621" s="314"/>
      <c r="H621" s="114"/>
      <c r="I621" s="315"/>
      <c r="J621" s="114"/>
      <c r="K621" s="305"/>
      <c r="L621" s="285"/>
      <c r="M621" s="285"/>
      <c r="N621" s="53"/>
      <c r="O621" s="53"/>
      <c r="P621" s="53" t="str">
        <f>vlookup(N621,Categorizations!A:C,3,FALSE)</f>
        <v>#N/A</v>
      </c>
      <c r="Q621" s="31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</row>
    <row r="622" ht="22.5" customHeight="1">
      <c r="A622" s="261" t="str">
        <f t="shared" si="24"/>
        <v/>
      </c>
      <c r="B622" s="286"/>
      <c r="C622" s="312"/>
      <c r="D622" s="127"/>
      <c r="E622" s="313"/>
      <c r="F622" s="114"/>
      <c r="G622" s="314"/>
      <c r="H622" s="114"/>
      <c r="I622" s="315"/>
      <c r="J622" s="114"/>
      <c r="K622" s="305"/>
      <c r="L622" s="285"/>
      <c r="M622" s="285"/>
      <c r="N622" s="53"/>
      <c r="O622" s="53"/>
      <c r="P622" s="53" t="str">
        <f>vlookup(N622,Categorizations!A:C,3,FALSE)</f>
        <v>#N/A</v>
      </c>
      <c r="Q622" s="31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</row>
    <row r="623" ht="22.5" customHeight="1">
      <c r="A623" s="261" t="str">
        <f t="shared" si="24"/>
        <v/>
      </c>
      <c r="B623" s="286"/>
      <c r="C623" s="312"/>
      <c r="D623" s="127"/>
      <c r="E623" s="313"/>
      <c r="F623" s="114"/>
      <c r="G623" s="314"/>
      <c r="H623" s="114"/>
      <c r="I623" s="315"/>
      <c r="J623" s="114"/>
      <c r="K623" s="305"/>
      <c r="L623" s="285"/>
      <c r="M623" s="285"/>
      <c r="N623" s="53"/>
      <c r="O623" s="53"/>
      <c r="P623" s="53" t="str">
        <f>vlookup(N623,Categorizations!A:C,3,FALSE)</f>
        <v>#N/A</v>
      </c>
      <c r="Q623" s="31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</row>
    <row r="624" ht="22.5" customHeight="1">
      <c r="A624" s="261" t="str">
        <f t="shared" si="24"/>
        <v/>
      </c>
      <c r="B624" s="286"/>
      <c r="C624" s="312"/>
      <c r="D624" s="127"/>
      <c r="E624" s="313"/>
      <c r="F624" s="114"/>
      <c r="G624" s="314"/>
      <c r="H624" s="114"/>
      <c r="I624" s="315"/>
      <c r="J624" s="114"/>
      <c r="K624" s="305"/>
      <c r="L624" s="285"/>
      <c r="M624" s="285"/>
      <c r="N624" s="53"/>
      <c r="O624" s="53"/>
      <c r="P624" s="53" t="str">
        <f>vlookup(N624,Categorizations!A:C,3,FALSE)</f>
        <v>#N/A</v>
      </c>
      <c r="Q624" s="31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</row>
    <row r="625" ht="22.5" customHeight="1">
      <c r="A625" s="261" t="str">
        <f t="shared" si="24"/>
        <v/>
      </c>
      <c r="B625" s="286"/>
      <c r="C625" s="312"/>
      <c r="D625" s="127"/>
      <c r="E625" s="313"/>
      <c r="F625" s="114"/>
      <c r="G625" s="314"/>
      <c r="H625" s="114"/>
      <c r="I625" s="315"/>
      <c r="J625" s="114"/>
      <c r="K625" s="305"/>
      <c r="L625" s="285"/>
      <c r="M625" s="285"/>
      <c r="N625" s="53"/>
      <c r="O625" s="53"/>
      <c r="P625" s="53" t="str">
        <f>vlookup(N625,Categorizations!A:C,3,FALSE)</f>
        <v>#N/A</v>
      </c>
      <c r="Q625" s="31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</row>
    <row r="626" ht="22.5" customHeight="1">
      <c r="A626" s="261" t="str">
        <f t="shared" si="24"/>
        <v/>
      </c>
      <c r="B626" s="286"/>
      <c r="C626" s="312"/>
      <c r="D626" s="127"/>
      <c r="E626" s="313"/>
      <c r="F626" s="114"/>
      <c r="G626" s="314"/>
      <c r="H626" s="114"/>
      <c r="I626" s="315"/>
      <c r="J626" s="114"/>
      <c r="K626" s="305"/>
      <c r="L626" s="285"/>
      <c r="M626" s="285"/>
      <c r="N626" s="53"/>
      <c r="O626" s="53"/>
      <c r="P626" s="53" t="str">
        <f>vlookup(N626,Categorizations!A:C,3,FALSE)</f>
        <v>#N/A</v>
      </c>
      <c r="Q626" s="31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</row>
    <row r="627" ht="22.5" customHeight="1">
      <c r="A627" s="261" t="str">
        <f t="shared" si="24"/>
        <v/>
      </c>
      <c r="B627" s="286"/>
      <c r="C627" s="312"/>
      <c r="D627" s="127"/>
      <c r="E627" s="313"/>
      <c r="F627" s="114"/>
      <c r="G627" s="314"/>
      <c r="H627" s="114"/>
      <c r="I627" s="315"/>
      <c r="J627" s="114"/>
      <c r="K627" s="305"/>
      <c r="L627" s="285"/>
      <c r="M627" s="285"/>
      <c r="N627" s="53"/>
      <c r="O627" s="53"/>
      <c r="P627" s="53" t="str">
        <f>vlookup(N627,Categorizations!A:C,3,FALSE)</f>
        <v>#N/A</v>
      </c>
      <c r="Q627" s="31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</row>
    <row r="628" ht="22.5" customHeight="1">
      <c r="A628" s="261" t="str">
        <f t="shared" si="24"/>
        <v/>
      </c>
      <c r="B628" s="286"/>
      <c r="C628" s="312"/>
      <c r="D628" s="127"/>
      <c r="E628" s="313"/>
      <c r="F628" s="114"/>
      <c r="G628" s="314"/>
      <c r="H628" s="114"/>
      <c r="I628" s="315"/>
      <c r="J628" s="114"/>
      <c r="K628" s="305"/>
      <c r="L628" s="285"/>
      <c r="M628" s="285"/>
      <c r="N628" s="53"/>
      <c r="O628" s="53"/>
      <c r="P628" s="53" t="str">
        <f>vlookup(N628,Categorizations!A:C,3,FALSE)</f>
        <v>#N/A</v>
      </c>
      <c r="Q628" s="31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</row>
    <row r="629" ht="22.5" customHeight="1">
      <c r="A629" s="261" t="str">
        <f t="shared" si="24"/>
        <v/>
      </c>
      <c r="B629" s="286"/>
      <c r="C629" s="312"/>
      <c r="D629" s="127"/>
      <c r="E629" s="313"/>
      <c r="F629" s="114"/>
      <c r="G629" s="314"/>
      <c r="H629" s="114"/>
      <c r="I629" s="315"/>
      <c r="J629" s="114"/>
      <c r="K629" s="305"/>
      <c r="L629" s="285"/>
      <c r="M629" s="285"/>
      <c r="N629" s="53"/>
      <c r="O629" s="53"/>
      <c r="P629" s="53" t="str">
        <f>vlookup(N629,Categorizations!A:C,3,FALSE)</f>
        <v>#N/A</v>
      </c>
      <c r="Q629" s="31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</row>
    <row r="630" ht="22.5" customHeight="1">
      <c r="A630" s="261" t="str">
        <f t="shared" si="24"/>
        <v/>
      </c>
      <c r="B630" s="286"/>
      <c r="C630" s="312"/>
      <c r="D630" s="127"/>
      <c r="E630" s="313"/>
      <c r="F630" s="114"/>
      <c r="G630" s="314"/>
      <c r="H630" s="114"/>
      <c r="I630" s="315"/>
      <c r="J630" s="114"/>
      <c r="K630" s="305"/>
      <c r="L630" s="285"/>
      <c r="M630" s="285"/>
      <c r="N630" s="53"/>
      <c r="O630" s="53"/>
      <c r="P630" s="53" t="str">
        <f>vlookup(N630,Categorizations!A:C,3,FALSE)</f>
        <v>#N/A</v>
      </c>
      <c r="Q630" s="31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</row>
    <row r="631" ht="22.5" customHeight="1">
      <c r="A631" s="261" t="str">
        <f t="shared" si="24"/>
        <v/>
      </c>
      <c r="B631" s="286"/>
      <c r="C631" s="312"/>
      <c r="D631" s="127"/>
      <c r="E631" s="313"/>
      <c r="F631" s="114"/>
      <c r="G631" s="314"/>
      <c r="H631" s="114"/>
      <c r="I631" s="315"/>
      <c r="J631" s="114"/>
      <c r="K631" s="305"/>
      <c r="L631" s="285"/>
      <c r="M631" s="285"/>
      <c r="N631" s="53"/>
      <c r="O631" s="53"/>
      <c r="P631" s="53" t="str">
        <f>vlookup(N631,Categorizations!A:C,3,FALSE)</f>
        <v>#N/A</v>
      </c>
      <c r="Q631" s="31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</row>
    <row r="632" ht="22.5" customHeight="1">
      <c r="A632" s="261" t="str">
        <f t="shared" si="24"/>
        <v/>
      </c>
      <c r="B632" s="286"/>
      <c r="C632" s="312"/>
      <c r="D632" s="127"/>
      <c r="E632" s="313"/>
      <c r="F632" s="114"/>
      <c r="G632" s="314"/>
      <c r="H632" s="114"/>
      <c r="I632" s="315"/>
      <c r="J632" s="114"/>
      <c r="K632" s="305"/>
      <c r="L632" s="285"/>
      <c r="M632" s="285"/>
      <c r="N632" s="53"/>
      <c r="O632" s="53"/>
      <c r="P632" s="53" t="str">
        <f>vlookup(N632,Categorizations!A:C,3,FALSE)</f>
        <v>#N/A</v>
      </c>
      <c r="Q632" s="31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</row>
    <row r="633" ht="22.5" customHeight="1">
      <c r="A633" s="261" t="str">
        <f t="shared" si="24"/>
        <v/>
      </c>
      <c r="B633" s="286"/>
      <c r="C633" s="312"/>
      <c r="D633" s="127"/>
      <c r="E633" s="313"/>
      <c r="F633" s="114"/>
      <c r="G633" s="314"/>
      <c r="H633" s="114"/>
      <c r="I633" s="315"/>
      <c r="J633" s="114"/>
      <c r="K633" s="305"/>
      <c r="L633" s="285"/>
      <c r="M633" s="285"/>
      <c r="N633" s="53"/>
      <c r="O633" s="53"/>
      <c r="P633" s="53" t="str">
        <f>vlookup(N633,Categorizations!A:C,3,FALSE)</f>
        <v>#N/A</v>
      </c>
      <c r="Q633" s="31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</row>
    <row r="634" ht="22.5" customHeight="1">
      <c r="A634" s="261" t="str">
        <f t="shared" si="24"/>
        <v/>
      </c>
      <c r="B634" s="286"/>
      <c r="C634" s="312"/>
      <c r="D634" s="127"/>
      <c r="E634" s="313"/>
      <c r="F634" s="114"/>
      <c r="G634" s="314"/>
      <c r="H634" s="114"/>
      <c r="I634" s="315"/>
      <c r="J634" s="114"/>
      <c r="K634" s="305"/>
      <c r="L634" s="285"/>
      <c r="M634" s="285"/>
      <c r="N634" s="53"/>
      <c r="O634" s="53"/>
      <c r="P634" s="53" t="str">
        <f>vlookup(N634,Categorizations!A:C,3,FALSE)</f>
        <v>#N/A</v>
      </c>
      <c r="Q634" s="31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</row>
    <row r="635" ht="22.5" customHeight="1">
      <c r="A635" s="261" t="str">
        <f t="shared" si="24"/>
        <v/>
      </c>
      <c r="B635" s="286"/>
      <c r="C635" s="312"/>
      <c r="D635" s="127"/>
      <c r="E635" s="313"/>
      <c r="F635" s="114"/>
      <c r="G635" s="314"/>
      <c r="H635" s="114"/>
      <c r="I635" s="315"/>
      <c r="J635" s="114"/>
      <c r="K635" s="305"/>
      <c r="L635" s="285"/>
      <c r="M635" s="285"/>
      <c r="N635" s="53"/>
      <c r="O635" s="53"/>
      <c r="P635" s="53" t="str">
        <f>vlookup(N635,Categorizations!A:C,3,FALSE)</f>
        <v>#N/A</v>
      </c>
      <c r="Q635" s="31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</row>
    <row r="636" ht="22.5" customHeight="1">
      <c r="A636" s="261" t="str">
        <f t="shared" si="24"/>
        <v/>
      </c>
      <c r="B636" s="286"/>
      <c r="C636" s="312"/>
      <c r="D636" s="127"/>
      <c r="E636" s="313"/>
      <c r="F636" s="114"/>
      <c r="G636" s="314"/>
      <c r="H636" s="114"/>
      <c r="I636" s="315"/>
      <c r="J636" s="114"/>
      <c r="K636" s="305"/>
      <c r="L636" s="285"/>
      <c r="M636" s="285"/>
      <c r="N636" s="53"/>
      <c r="O636" s="53"/>
      <c r="P636" s="53" t="str">
        <f>vlookup(N636,Categorizations!A:C,3,FALSE)</f>
        <v>#N/A</v>
      </c>
      <c r="Q636" s="31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</row>
    <row r="637" ht="22.5" customHeight="1">
      <c r="A637" s="261" t="str">
        <f t="shared" si="24"/>
        <v/>
      </c>
      <c r="B637" s="286"/>
      <c r="C637" s="312"/>
      <c r="D637" s="127"/>
      <c r="E637" s="313"/>
      <c r="F637" s="114"/>
      <c r="G637" s="314"/>
      <c r="H637" s="114"/>
      <c r="I637" s="315"/>
      <c r="J637" s="114"/>
      <c r="K637" s="305"/>
      <c r="L637" s="285"/>
      <c r="M637" s="285"/>
      <c r="N637" s="53"/>
      <c r="O637" s="53"/>
      <c r="P637" s="53" t="str">
        <f>vlookup(N637,Categorizations!A:C,3,FALSE)</f>
        <v>#N/A</v>
      </c>
      <c r="Q637" s="31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</row>
    <row r="638" ht="22.5" customHeight="1">
      <c r="A638" s="261" t="str">
        <f t="shared" si="24"/>
        <v/>
      </c>
      <c r="B638" s="286"/>
      <c r="C638" s="312"/>
      <c r="D638" s="127"/>
      <c r="E638" s="313"/>
      <c r="F638" s="114"/>
      <c r="G638" s="314"/>
      <c r="H638" s="114"/>
      <c r="I638" s="315"/>
      <c r="J638" s="114"/>
      <c r="K638" s="305"/>
      <c r="L638" s="285"/>
      <c r="M638" s="285"/>
      <c r="N638" s="53"/>
      <c r="O638" s="53"/>
      <c r="P638" s="53" t="str">
        <f>vlookup(N638,Categorizations!A:C,3,FALSE)</f>
        <v>#N/A</v>
      </c>
      <c r="Q638" s="31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</row>
    <row r="639" ht="22.5" customHeight="1">
      <c r="A639" s="261" t="str">
        <f t="shared" si="24"/>
        <v/>
      </c>
      <c r="B639" s="286"/>
      <c r="C639" s="312"/>
      <c r="D639" s="127"/>
      <c r="E639" s="313"/>
      <c r="F639" s="114"/>
      <c r="G639" s="314"/>
      <c r="H639" s="114"/>
      <c r="I639" s="315"/>
      <c r="J639" s="114"/>
      <c r="K639" s="305"/>
      <c r="L639" s="285"/>
      <c r="M639" s="285"/>
      <c r="N639" s="53"/>
      <c r="O639" s="53"/>
      <c r="P639" s="53" t="str">
        <f>vlookup(N639,Categorizations!A:C,3,FALSE)</f>
        <v>#N/A</v>
      </c>
      <c r="Q639" s="31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</row>
    <row r="640" ht="22.5" customHeight="1">
      <c r="A640" s="261" t="str">
        <f t="shared" si="24"/>
        <v/>
      </c>
      <c r="B640" s="286"/>
      <c r="C640" s="312"/>
      <c r="D640" s="127"/>
      <c r="E640" s="313"/>
      <c r="F640" s="114"/>
      <c r="G640" s="314"/>
      <c r="H640" s="114"/>
      <c r="I640" s="315"/>
      <c r="J640" s="114"/>
      <c r="K640" s="305"/>
      <c r="L640" s="285"/>
      <c r="M640" s="285"/>
      <c r="N640" s="53"/>
      <c r="O640" s="53"/>
      <c r="P640" s="53" t="str">
        <f>vlookup(N640,Categorizations!A:C,3,FALSE)</f>
        <v>#N/A</v>
      </c>
      <c r="Q640" s="31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</row>
    <row r="641" ht="22.5" customHeight="1">
      <c r="A641" s="261" t="str">
        <f t="shared" si="24"/>
        <v/>
      </c>
      <c r="B641" s="286"/>
      <c r="C641" s="312"/>
      <c r="D641" s="127"/>
      <c r="E641" s="313"/>
      <c r="F641" s="114"/>
      <c r="G641" s="314"/>
      <c r="H641" s="114"/>
      <c r="I641" s="315"/>
      <c r="J641" s="114"/>
      <c r="K641" s="305"/>
      <c r="L641" s="285"/>
      <c r="M641" s="285"/>
      <c r="N641" s="53"/>
      <c r="O641" s="53"/>
      <c r="P641" s="53" t="str">
        <f>vlookup(N641,Categorizations!A:C,3,FALSE)</f>
        <v>#N/A</v>
      </c>
      <c r="Q641" s="31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</row>
    <row r="642" ht="22.5" customHeight="1">
      <c r="A642" s="261" t="str">
        <f t="shared" si="24"/>
        <v/>
      </c>
      <c r="B642" s="286"/>
      <c r="C642" s="312"/>
      <c r="D642" s="127"/>
      <c r="E642" s="313"/>
      <c r="F642" s="114"/>
      <c r="G642" s="314"/>
      <c r="H642" s="114"/>
      <c r="I642" s="315"/>
      <c r="J642" s="114"/>
      <c r="K642" s="305"/>
      <c r="L642" s="285"/>
      <c r="M642" s="285"/>
      <c r="N642" s="53"/>
      <c r="O642" s="53"/>
      <c r="P642" s="53" t="str">
        <f>vlookup(N642,Categorizations!A:C,3,FALSE)</f>
        <v>#N/A</v>
      </c>
      <c r="Q642" s="31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</row>
    <row r="643" ht="22.5" customHeight="1">
      <c r="A643" s="261" t="str">
        <f t="shared" si="24"/>
        <v/>
      </c>
      <c r="B643" s="286"/>
      <c r="C643" s="312"/>
      <c r="D643" s="127"/>
      <c r="E643" s="313"/>
      <c r="F643" s="114"/>
      <c r="G643" s="314"/>
      <c r="H643" s="114"/>
      <c r="I643" s="315"/>
      <c r="J643" s="114"/>
      <c r="K643" s="305"/>
      <c r="L643" s="285"/>
      <c r="M643" s="285"/>
      <c r="N643" s="53"/>
      <c r="O643" s="53"/>
      <c r="P643" s="53" t="str">
        <f>vlookup(N643,Categorizations!A:C,3,FALSE)</f>
        <v>#N/A</v>
      </c>
      <c r="Q643" s="31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</row>
    <row r="644" ht="22.5" customHeight="1">
      <c r="A644" s="261" t="str">
        <f t="shared" si="24"/>
        <v/>
      </c>
      <c r="B644" s="286"/>
      <c r="C644" s="312"/>
      <c r="D644" s="127"/>
      <c r="E644" s="313"/>
      <c r="F644" s="114"/>
      <c r="G644" s="314"/>
      <c r="H644" s="114"/>
      <c r="I644" s="315"/>
      <c r="J644" s="114"/>
      <c r="K644" s="305"/>
      <c r="L644" s="285"/>
      <c r="M644" s="285"/>
      <c r="N644" s="53"/>
      <c r="O644" s="53"/>
      <c r="P644" s="53" t="str">
        <f>vlookup(N644,Categorizations!A:C,3,FALSE)</f>
        <v>#N/A</v>
      </c>
      <c r="Q644" s="31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</row>
    <row r="645" ht="22.5" customHeight="1">
      <c r="A645" s="261" t="str">
        <f t="shared" si="24"/>
        <v/>
      </c>
      <c r="B645" s="286"/>
      <c r="C645" s="312"/>
      <c r="D645" s="127"/>
      <c r="E645" s="313"/>
      <c r="F645" s="114"/>
      <c r="G645" s="314"/>
      <c r="H645" s="114"/>
      <c r="I645" s="315"/>
      <c r="J645" s="114"/>
      <c r="K645" s="305"/>
      <c r="L645" s="285"/>
      <c r="M645" s="285"/>
      <c r="N645" s="53"/>
      <c r="O645" s="53"/>
      <c r="P645" s="53" t="str">
        <f>vlookup(N645,Categorizations!A:C,3,FALSE)</f>
        <v>#N/A</v>
      </c>
      <c r="Q645" s="31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</row>
    <row r="646" ht="22.5" customHeight="1">
      <c r="A646" s="261" t="str">
        <f t="shared" si="24"/>
        <v/>
      </c>
      <c r="B646" s="286"/>
      <c r="C646" s="312"/>
      <c r="D646" s="127"/>
      <c r="E646" s="313"/>
      <c r="F646" s="114"/>
      <c r="G646" s="314"/>
      <c r="H646" s="114"/>
      <c r="I646" s="315"/>
      <c r="J646" s="114"/>
      <c r="K646" s="305"/>
      <c r="L646" s="285"/>
      <c r="M646" s="285"/>
      <c r="N646" s="53"/>
      <c r="O646" s="53"/>
      <c r="P646" s="53" t="str">
        <f>vlookup(N646,Categorizations!A:C,3,FALSE)</f>
        <v>#N/A</v>
      </c>
      <c r="Q646" s="31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</row>
    <row r="647" ht="22.5" customHeight="1">
      <c r="A647" s="261" t="str">
        <f t="shared" si="24"/>
        <v/>
      </c>
      <c r="B647" s="286"/>
      <c r="C647" s="312"/>
      <c r="D647" s="127"/>
      <c r="E647" s="313"/>
      <c r="F647" s="114"/>
      <c r="G647" s="314"/>
      <c r="H647" s="114"/>
      <c r="I647" s="315"/>
      <c r="J647" s="114"/>
      <c r="K647" s="305"/>
      <c r="L647" s="285"/>
      <c r="M647" s="285"/>
      <c r="N647" s="53"/>
      <c r="O647" s="53"/>
      <c r="P647" s="53" t="str">
        <f>vlookup(N647,Categorizations!A:C,3,FALSE)</f>
        <v>#N/A</v>
      </c>
      <c r="Q647" s="31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</row>
    <row r="648" ht="22.5" customHeight="1">
      <c r="A648" s="261" t="str">
        <f t="shared" si="24"/>
        <v/>
      </c>
      <c r="B648" s="286"/>
      <c r="C648" s="312"/>
      <c r="D648" s="127"/>
      <c r="E648" s="313"/>
      <c r="F648" s="114"/>
      <c r="G648" s="314"/>
      <c r="H648" s="114"/>
      <c r="I648" s="315"/>
      <c r="J648" s="114"/>
      <c r="K648" s="305"/>
      <c r="L648" s="285"/>
      <c r="M648" s="285"/>
      <c r="N648" s="53"/>
      <c r="O648" s="53"/>
      <c r="P648" s="53" t="str">
        <f>vlookup(N648,Categorizations!A:C,3,FALSE)</f>
        <v>#N/A</v>
      </c>
      <c r="Q648" s="31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</row>
    <row r="649" ht="22.5" customHeight="1">
      <c r="A649" s="261" t="str">
        <f t="shared" si="24"/>
        <v/>
      </c>
      <c r="B649" s="286"/>
      <c r="C649" s="312"/>
      <c r="D649" s="127"/>
      <c r="E649" s="313"/>
      <c r="F649" s="114"/>
      <c r="G649" s="314"/>
      <c r="H649" s="114"/>
      <c r="I649" s="315"/>
      <c r="J649" s="114"/>
      <c r="K649" s="305"/>
      <c r="L649" s="285"/>
      <c r="M649" s="285"/>
      <c r="N649" s="53"/>
      <c r="O649" s="53"/>
      <c r="P649" s="53" t="str">
        <f>vlookup(N649,Categorizations!A:C,3,FALSE)</f>
        <v>#N/A</v>
      </c>
      <c r="Q649" s="31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</row>
    <row r="650" ht="22.5" customHeight="1">
      <c r="A650" s="261" t="str">
        <f t="shared" si="24"/>
        <v/>
      </c>
      <c r="B650" s="286"/>
      <c r="C650" s="312"/>
      <c r="D650" s="127"/>
      <c r="E650" s="313"/>
      <c r="F650" s="114"/>
      <c r="G650" s="314"/>
      <c r="H650" s="114"/>
      <c r="I650" s="315"/>
      <c r="J650" s="114"/>
      <c r="K650" s="305"/>
      <c r="L650" s="285"/>
      <c r="M650" s="285"/>
      <c r="N650" s="53"/>
      <c r="O650" s="53"/>
      <c r="P650" s="53" t="str">
        <f>vlookup(N650,Categorizations!A:C,3,FALSE)</f>
        <v>#N/A</v>
      </c>
      <c r="Q650" s="31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</row>
    <row r="651" ht="22.5" customHeight="1">
      <c r="A651" s="261" t="str">
        <f t="shared" si="24"/>
        <v/>
      </c>
      <c r="B651" s="286"/>
      <c r="C651" s="312"/>
      <c r="D651" s="127"/>
      <c r="E651" s="313"/>
      <c r="F651" s="114"/>
      <c r="G651" s="314"/>
      <c r="H651" s="114"/>
      <c r="I651" s="315"/>
      <c r="J651" s="114"/>
      <c r="K651" s="305"/>
      <c r="L651" s="285"/>
      <c r="M651" s="285"/>
      <c r="N651" s="53"/>
      <c r="O651" s="53"/>
      <c r="P651" s="53" t="str">
        <f>vlookup(N651,Categorizations!A:C,3,FALSE)</f>
        <v>#N/A</v>
      </c>
      <c r="Q651" s="31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</row>
    <row r="652" ht="22.5" customHeight="1">
      <c r="A652" s="261" t="str">
        <f t="shared" si="24"/>
        <v/>
      </c>
      <c r="B652" s="286"/>
      <c r="C652" s="312"/>
      <c r="D652" s="127"/>
      <c r="E652" s="313"/>
      <c r="F652" s="114"/>
      <c r="G652" s="314"/>
      <c r="H652" s="114"/>
      <c r="I652" s="315"/>
      <c r="J652" s="114"/>
      <c r="K652" s="305"/>
      <c r="L652" s="285"/>
      <c r="M652" s="285"/>
      <c r="N652" s="53"/>
      <c r="O652" s="53"/>
      <c r="P652" s="53" t="str">
        <f>vlookup(N652,Categorizations!A:C,3,FALSE)</f>
        <v>#N/A</v>
      </c>
      <c r="Q652" s="31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</row>
    <row r="653" ht="22.5" customHeight="1">
      <c r="A653" s="261" t="str">
        <f t="shared" si="24"/>
        <v/>
      </c>
      <c r="B653" s="286"/>
      <c r="C653" s="312"/>
      <c r="D653" s="127"/>
      <c r="E653" s="313"/>
      <c r="F653" s="114"/>
      <c r="G653" s="314"/>
      <c r="H653" s="114"/>
      <c r="I653" s="315"/>
      <c r="J653" s="114"/>
      <c r="K653" s="305"/>
      <c r="L653" s="285"/>
      <c r="M653" s="285"/>
      <c r="N653" s="53"/>
      <c r="O653" s="53"/>
      <c r="P653" s="53" t="str">
        <f>vlookup(N653,Categorizations!A:C,3,FALSE)</f>
        <v>#N/A</v>
      </c>
      <c r="Q653" s="31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</row>
    <row r="654" ht="22.5" customHeight="1">
      <c r="A654" s="261" t="str">
        <f t="shared" si="24"/>
        <v/>
      </c>
      <c r="B654" s="286"/>
      <c r="C654" s="312"/>
      <c r="D654" s="127"/>
      <c r="E654" s="313"/>
      <c r="F654" s="114"/>
      <c r="G654" s="314"/>
      <c r="H654" s="114"/>
      <c r="I654" s="315"/>
      <c r="J654" s="114"/>
      <c r="K654" s="305"/>
      <c r="L654" s="285"/>
      <c r="M654" s="285"/>
      <c r="N654" s="53"/>
      <c r="O654" s="53"/>
      <c r="P654" s="53" t="str">
        <f>vlookup(N654,Categorizations!A:C,3,FALSE)</f>
        <v>#N/A</v>
      </c>
      <c r="Q654" s="31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</row>
    <row r="655" ht="22.5" customHeight="1">
      <c r="A655" s="261" t="str">
        <f t="shared" si="24"/>
        <v/>
      </c>
      <c r="B655" s="286"/>
      <c r="C655" s="312"/>
      <c r="D655" s="127"/>
      <c r="E655" s="313"/>
      <c r="F655" s="114"/>
      <c r="G655" s="314"/>
      <c r="H655" s="114"/>
      <c r="I655" s="315"/>
      <c r="J655" s="114"/>
      <c r="K655" s="305"/>
      <c r="L655" s="285"/>
      <c r="M655" s="285"/>
      <c r="N655" s="53"/>
      <c r="O655" s="53"/>
      <c r="P655" s="53" t="str">
        <f>vlookup(N655,Categorizations!A:C,3,FALSE)</f>
        <v>#N/A</v>
      </c>
      <c r="Q655" s="31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</row>
    <row r="656" ht="22.5" customHeight="1">
      <c r="A656" s="261" t="str">
        <f t="shared" si="24"/>
        <v/>
      </c>
      <c r="B656" s="286"/>
      <c r="C656" s="312"/>
      <c r="D656" s="127"/>
      <c r="E656" s="313"/>
      <c r="F656" s="114"/>
      <c r="G656" s="314"/>
      <c r="H656" s="114"/>
      <c r="I656" s="315"/>
      <c r="J656" s="114"/>
      <c r="K656" s="305"/>
      <c r="L656" s="285"/>
      <c r="M656" s="285"/>
      <c r="N656" s="53"/>
      <c r="O656" s="53"/>
      <c r="P656" s="53" t="str">
        <f>vlookup(N656,Categorizations!A:C,3,FALSE)</f>
        <v>#N/A</v>
      </c>
      <c r="Q656" s="31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</row>
    <row r="657" ht="22.5" customHeight="1">
      <c r="A657" s="261" t="str">
        <f t="shared" si="24"/>
        <v/>
      </c>
      <c r="B657" s="286"/>
      <c r="C657" s="312"/>
      <c r="D657" s="127"/>
      <c r="E657" s="313"/>
      <c r="F657" s="114"/>
      <c r="G657" s="314"/>
      <c r="H657" s="114"/>
      <c r="I657" s="315"/>
      <c r="J657" s="114"/>
      <c r="K657" s="305"/>
      <c r="L657" s="285"/>
      <c r="M657" s="285"/>
      <c r="N657" s="53"/>
      <c r="O657" s="53"/>
      <c r="P657" s="53" t="str">
        <f>vlookup(N657,Categorizations!A:C,3,FALSE)</f>
        <v>#N/A</v>
      </c>
      <c r="Q657" s="31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</row>
    <row r="658" ht="22.5" customHeight="1">
      <c r="A658" s="261" t="str">
        <f t="shared" si="24"/>
        <v/>
      </c>
      <c r="B658" s="286"/>
      <c r="C658" s="312"/>
      <c r="D658" s="127"/>
      <c r="E658" s="313"/>
      <c r="F658" s="114"/>
      <c r="G658" s="314"/>
      <c r="H658" s="114"/>
      <c r="I658" s="315"/>
      <c r="J658" s="114"/>
      <c r="K658" s="305"/>
      <c r="L658" s="285"/>
      <c r="M658" s="285"/>
      <c r="N658" s="53"/>
      <c r="O658" s="53"/>
      <c r="P658" s="53" t="str">
        <f>vlookup(N658,Categorizations!A:C,3,FALSE)</f>
        <v>#N/A</v>
      </c>
      <c r="Q658" s="31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</row>
    <row r="659" ht="22.5" customHeight="1">
      <c r="A659" s="261" t="str">
        <f t="shared" si="24"/>
        <v/>
      </c>
      <c r="B659" s="286"/>
      <c r="C659" s="312"/>
      <c r="D659" s="127"/>
      <c r="E659" s="313"/>
      <c r="F659" s="114"/>
      <c r="G659" s="314"/>
      <c r="H659" s="114"/>
      <c r="I659" s="315"/>
      <c r="J659" s="114"/>
      <c r="K659" s="305"/>
      <c r="L659" s="285"/>
      <c r="M659" s="285"/>
      <c r="N659" s="53"/>
      <c r="O659" s="53"/>
      <c r="P659" s="53" t="str">
        <f>vlookup(N659,Categorizations!A:C,3,FALSE)</f>
        <v>#N/A</v>
      </c>
      <c r="Q659" s="31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</row>
    <row r="660" ht="22.5" customHeight="1">
      <c r="A660" s="261" t="str">
        <f t="shared" si="24"/>
        <v/>
      </c>
      <c r="B660" s="286"/>
      <c r="C660" s="312"/>
      <c r="D660" s="127"/>
      <c r="E660" s="313"/>
      <c r="F660" s="114"/>
      <c r="G660" s="314"/>
      <c r="H660" s="114"/>
      <c r="I660" s="315"/>
      <c r="J660" s="114"/>
      <c r="K660" s="305"/>
      <c r="L660" s="285"/>
      <c r="M660" s="285"/>
      <c r="N660" s="53"/>
      <c r="O660" s="53"/>
      <c r="P660" s="53" t="str">
        <f>vlookup(N660,Categorizations!A:C,3,FALSE)</f>
        <v>#N/A</v>
      </c>
      <c r="Q660" s="31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</row>
    <row r="661" ht="22.5" customHeight="1">
      <c r="A661" s="261" t="str">
        <f t="shared" si="24"/>
        <v/>
      </c>
      <c r="B661" s="286"/>
      <c r="C661" s="312"/>
      <c r="D661" s="127"/>
      <c r="E661" s="313"/>
      <c r="F661" s="114"/>
      <c r="G661" s="314"/>
      <c r="H661" s="114"/>
      <c r="I661" s="315"/>
      <c r="J661" s="114"/>
      <c r="K661" s="305"/>
      <c r="L661" s="285"/>
      <c r="M661" s="285"/>
      <c r="N661" s="53"/>
      <c r="O661" s="53"/>
      <c r="P661" s="53" t="str">
        <f>vlookup(N661,Categorizations!A:C,3,FALSE)</f>
        <v>#N/A</v>
      </c>
      <c r="Q661" s="31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</row>
    <row r="662" ht="22.5" customHeight="1">
      <c r="A662" s="261" t="str">
        <f t="shared" si="24"/>
        <v/>
      </c>
      <c r="B662" s="286"/>
      <c r="C662" s="312"/>
      <c r="D662" s="127"/>
      <c r="E662" s="313"/>
      <c r="F662" s="114"/>
      <c r="G662" s="314"/>
      <c r="H662" s="114"/>
      <c r="I662" s="315"/>
      <c r="J662" s="114"/>
      <c r="K662" s="305"/>
      <c r="L662" s="285"/>
      <c r="M662" s="285"/>
      <c r="N662" s="53"/>
      <c r="O662" s="53"/>
      <c r="P662" s="53" t="str">
        <f>vlookup(N662,Categorizations!A:C,3,FALSE)</f>
        <v>#N/A</v>
      </c>
      <c r="Q662" s="31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</row>
    <row r="663" ht="22.5" customHeight="1">
      <c r="A663" s="261" t="str">
        <f t="shared" si="24"/>
        <v/>
      </c>
      <c r="B663" s="286"/>
      <c r="C663" s="312"/>
      <c r="D663" s="127"/>
      <c r="E663" s="313"/>
      <c r="F663" s="114"/>
      <c r="G663" s="314"/>
      <c r="H663" s="114"/>
      <c r="I663" s="315"/>
      <c r="J663" s="114"/>
      <c r="K663" s="305"/>
      <c r="L663" s="285"/>
      <c r="M663" s="285"/>
      <c r="N663" s="53"/>
      <c r="O663" s="53"/>
      <c r="P663" s="53" t="str">
        <f>vlookup(N663,Categorizations!A:C,3,FALSE)</f>
        <v>#N/A</v>
      </c>
      <c r="Q663" s="31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</row>
    <row r="664" ht="22.5" customHeight="1">
      <c r="A664" s="261" t="str">
        <f t="shared" si="24"/>
        <v/>
      </c>
      <c r="B664" s="286"/>
      <c r="C664" s="312"/>
      <c r="D664" s="127"/>
      <c r="E664" s="313"/>
      <c r="F664" s="114"/>
      <c r="G664" s="314"/>
      <c r="H664" s="114"/>
      <c r="I664" s="315"/>
      <c r="J664" s="114"/>
      <c r="K664" s="305"/>
      <c r="L664" s="285"/>
      <c r="M664" s="285"/>
      <c r="N664" s="53"/>
      <c r="O664" s="53"/>
      <c r="P664" s="53" t="str">
        <f>vlookup(N664,Categorizations!A:C,3,FALSE)</f>
        <v>#N/A</v>
      </c>
      <c r="Q664" s="31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</row>
    <row r="665" ht="22.5" customHeight="1">
      <c r="A665" s="261" t="str">
        <f t="shared" si="24"/>
        <v/>
      </c>
      <c r="B665" s="286"/>
      <c r="C665" s="312"/>
      <c r="D665" s="127"/>
      <c r="E665" s="313"/>
      <c r="F665" s="114"/>
      <c r="G665" s="314"/>
      <c r="H665" s="114"/>
      <c r="I665" s="315"/>
      <c r="J665" s="114"/>
      <c r="K665" s="305"/>
      <c r="L665" s="285"/>
      <c r="M665" s="285"/>
      <c r="N665" s="53"/>
      <c r="O665" s="53"/>
      <c r="P665" s="53" t="str">
        <f>vlookup(N665,Categorizations!A:C,3,FALSE)</f>
        <v>#N/A</v>
      </c>
      <c r="Q665" s="31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</row>
    <row r="666" ht="22.5" customHeight="1">
      <c r="A666" s="261" t="str">
        <f t="shared" si="24"/>
        <v/>
      </c>
      <c r="B666" s="286"/>
      <c r="C666" s="312"/>
      <c r="D666" s="127"/>
      <c r="E666" s="313"/>
      <c r="F666" s="114"/>
      <c r="G666" s="314"/>
      <c r="H666" s="114"/>
      <c r="I666" s="315"/>
      <c r="J666" s="114"/>
      <c r="K666" s="305"/>
      <c r="L666" s="285"/>
      <c r="M666" s="285"/>
      <c r="N666" s="53"/>
      <c r="O666" s="53"/>
      <c r="P666" s="53" t="str">
        <f>vlookup(N666,Categorizations!A:C,3,FALSE)</f>
        <v>#N/A</v>
      </c>
      <c r="Q666" s="31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</row>
    <row r="667" ht="22.5" customHeight="1">
      <c r="A667" s="261" t="str">
        <f t="shared" si="24"/>
        <v/>
      </c>
      <c r="B667" s="286"/>
      <c r="C667" s="312"/>
      <c r="D667" s="127"/>
      <c r="E667" s="313"/>
      <c r="F667" s="114"/>
      <c r="G667" s="314"/>
      <c r="H667" s="114"/>
      <c r="I667" s="315"/>
      <c r="J667" s="114"/>
      <c r="K667" s="305"/>
      <c r="L667" s="285"/>
      <c r="M667" s="285"/>
      <c r="N667" s="53"/>
      <c r="O667" s="53"/>
      <c r="P667" s="53" t="str">
        <f>vlookup(N667,Categorizations!A:C,3,FALSE)</f>
        <v>#N/A</v>
      </c>
      <c r="Q667" s="31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</row>
    <row r="668" ht="22.5" customHeight="1">
      <c r="A668" s="261" t="str">
        <f t="shared" si="24"/>
        <v/>
      </c>
      <c r="B668" s="286"/>
      <c r="C668" s="312"/>
      <c r="D668" s="127"/>
      <c r="E668" s="313"/>
      <c r="F668" s="114"/>
      <c r="G668" s="314"/>
      <c r="H668" s="114"/>
      <c r="I668" s="315"/>
      <c r="J668" s="114"/>
      <c r="K668" s="305"/>
      <c r="L668" s="285"/>
      <c r="M668" s="285"/>
      <c r="N668" s="53"/>
      <c r="O668" s="53"/>
      <c r="P668" s="53" t="str">
        <f>vlookup(N668,Categorizations!A:C,3,FALSE)</f>
        <v>#N/A</v>
      </c>
      <c r="Q668" s="31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</row>
    <row r="669" ht="22.5" customHeight="1">
      <c r="A669" s="261" t="str">
        <f t="shared" si="24"/>
        <v/>
      </c>
      <c r="B669" s="286"/>
      <c r="C669" s="312"/>
      <c r="D669" s="127"/>
      <c r="E669" s="313"/>
      <c r="F669" s="114"/>
      <c r="G669" s="314"/>
      <c r="H669" s="114"/>
      <c r="I669" s="315"/>
      <c r="J669" s="114"/>
      <c r="K669" s="305"/>
      <c r="L669" s="285"/>
      <c r="M669" s="285"/>
      <c r="N669" s="53"/>
      <c r="O669" s="53"/>
      <c r="P669" s="53" t="str">
        <f>vlookup(N669,Categorizations!A:C,3,FALSE)</f>
        <v>#N/A</v>
      </c>
      <c r="Q669" s="31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</row>
    <row r="670" ht="22.5" customHeight="1">
      <c r="A670" s="261" t="str">
        <f t="shared" si="24"/>
        <v/>
      </c>
      <c r="B670" s="286"/>
      <c r="C670" s="312"/>
      <c r="D670" s="127"/>
      <c r="E670" s="313"/>
      <c r="F670" s="114"/>
      <c r="G670" s="314"/>
      <c r="H670" s="114"/>
      <c r="I670" s="315"/>
      <c r="J670" s="114"/>
      <c r="K670" s="305"/>
      <c r="L670" s="285"/>
      <c r="M670" s="285"/>
      <c r="N670" s="53"/>
      <c r="O670" s="53"/>
      <c r="P670" s="53" t="str">
        <f>vlookup(N670,Categorizations!A:C,3,FALSE)</f>
        <v>#N/A</v>
      </c>
      <c r="Q670" s="31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</row>
    <row r="671" ht="22.5" customHeight="1">
      <c r="A671" s="261" t="str">
        <f t="shared" si="24"/>
        <v/>
      </c>
      <c r="B671" s="286"/>
      <c r="C671" s="312"/>
      <c r="D671" s="127"/>
      <c r="E671" s="313"/>
      <c r="F671" s="114"/>
      <c r="G671" s="314"/>
      <c r="H671" s="114"/>
      <c r="I671" s="315"/>
      <c r="J671" s="114"/>
      <c r="K671" s="305"/>
      <c r="L671" s="285"/>
      <c r="M671" s="285"/>
      <c r="N671" s="53"/>
      <c r="O671" s="53"/>
      <c r="P671" s="53" t="str">
        <f>vlookup(N671,Categorizations!A:C,3,FALSE)</f>
        <v>#N/A</v>
      </c>
      <c r="Q671" s="31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</row>
    <row r="672" ht="22.5" customHeight="1">
      <c r="A672" s="261" t="str">
        <f t="shared" si="24"/>
        <v/>
      </c>
      <c r="B672" s="286"/>
      <c r="C672" s="312"/>
      <c r="D672" s="127"/>
      <c r="E672" s="313"/>
      <c r="F672" s="114"/>
      <c r="G672" s="314"/>
      <c r="H672" s="114"/>
      <c r="I672" s="315"/>
      <c r="J672" s="114"/>
      <c r="K672" s="305"/>
      <c r="L672" s="285"/>
      <c r="M672" s="285"/>
      <c r="N672" s="53"/>
      <c r="O672" s="53"/>
      <c r="P672" s="53" t="str">
        <f>vlookup(N672,Categorizations!A:C,3,FALSE)</f>
        <v>#N/A</v>
      </c>
      <c r="Q672" s="31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</row>
    <row r="673" ht="22.5" customHeight="1">
      <c r="A673" s="261" t="str">
        <f t="shared" si="24"/>
        <v/>
      </c>
      <c r="B673" s="286"/>
      <c r="C673" s="312"/>
      <c r="D673" s="127"/>
      <c r="E673" s="313"/>
      <c r="F673" s="114"/>
      <c r="G673" s="314"/>
      <c r="H673" s="114"/>
      <c r="I673" s="315"/>
      <c r="J673" s="114"/>
      <c r="K673" s="305"/>
      <c r="L673" s="285"/>
      <c r="M673" s="285"/>
      <c r="N673" s="53"/>
      <c r="O673" s="53"/>
      <c r="P673" s="53" t="str">
        <f>vlookup(N673,Categorizations!A:C,3,FALSE)</f>
        <v>#N/A</v>
      </c>
      <c r="Q673" s="31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</row>
    <row r="674" ht="22.5" customHeight="1">
      <c r="A674" s="261" t="str">
        <f t="shared" si="24"/>
        <v/>
      </c>
      <c r="B674" s="286"/>
      <c r="C674" s="312"/>
      <c r="D674" s="127"/>
      <c r="E674" s="313"/>
      <c r="F674" s="114"/>
      <c r="G674" s="314"/>
      <c r="H674" s="114"/>
      <c r="I674" s="315"/>
      <c r="J674" s="114"/>
      <c r="K674" s="305"/>
      <c r="L674" s="285"/>
      <c r="M674" s="285"/>
      <c r="N674" s="53"/>
      <c r="O674" s="53"/>
      <c r="P674" s="53" t="str">
        <f>vlookup(N674,Categorizations!A:C,3,FALSE)</f>
        <v>#N/A</v>
      </c>
      <c r="Q674" s="31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</row>
    <row r="675" ht="22.5" customHeight="1">
      <c r="A675" s="261" t="str">
        <f t="shared" si="24"/>
        <v/>
      </c>
      <c r="B675" s="286"/>
      <c r="C675" s="312"/>
      <c r="D675" s="127"/>
      <c r="E675" s="313"/>
      <c r="F675" s="114"/>
      <c r="G675" s="314"/>
      <c r="H675" s="114"/>
      <c r="I675" s="315"/>
      <c r="J675" s="114"/>
      <c r="K675" s="305"/>
      <c r="L675" s="285"/>
      <c r="M675" s="285"/>
      <c r="N675" s="53"/>
      <c r="O675" s="53"/>
      <c r="P675" s="53" t="str">
        <f>vlookup(N675,Categorizations!A:C,3,FALSE)</f>
        <v>#N/A</v>
      </c>
      <c r="Q675" s="31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</row>
    <row r="676" ht="22.5" customHeight="1">
      <c r="A676" s="261" t="str">
        <f t="shared" si="24"/>
        <v/>
      </c>
      <c r="B676" s="286"/>
      <c r="C676" s="312"/>
      <c r="D676" s="127"/>
      <c r="E676" s="313"/>
      <c r="F676" s="114"/>
      <c r="G676" s="314"/>
      <c r="H676" s="114"/>
      <c r="I676" s="315"/>
      <c r="J676" s="114"/>
      <c r="K676" s="305"/>
      <c r="L676" s="285"/>
      <c r="M676" s="285"/>
      <c r="N676" s="53"/>
      <c r="O676" s="53"/>
      <c r="P676" s="53" t="str">
        <f>vlookup(N676,Categorizations!A:C,3,FALSE)</f>
        <v>#N/A</v>
      </c>
      <c r="Q676" s="31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</row>
    <row r="677" ht="22.5" customHeight="1">
      <c r="A677" s="261" t="str">
        <f t="shared" si="24"/>
        <v/>
      </c>
      <c r="B677" s="286"/>
      <c r="C677" s="312"/>
      <c r="D677" s="127"/>
      <c r="E677" s="313"/>
      <c r="F677" s="114"/>
      <c r="G677" s="314"/>
      <c r="H677" s="114"/>
      <c r="I677" s="315"/>
      <c r="J677" s="114"/>
      <c r="K677" s="305"/>
      <c r="L677" s="285"/>
      <c r="M677" s="285"/>
      <c r="N677" s="53"/>
      <c r="O677" s="53"/>
      <c r="P677" s="53" t="str">
        <f>vlookup(N677,Categorizations!A:C,3,FALSE)</f>
        <v>#N/A</v>
      </c>
      <c r="Q677" s="31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</row>
    <row r="678" ht="22.5" customHeight="1">
      <c r="A678" s="261" t="str">
        <f t="shared" si="24"/>
        <v/>
      </c>
      <c r="B678" s="286"/>
      <c r="C678" s="312"/>
      <c r="D678" s="127"/>
      <c r="E678" s="313"/>
      <c r="F678" s="114"/>
      <c r="G678" s="314"/>
      <c r="H678" s="114"/>
      <c r="I678" s="315"/>
      <c r="J678" s="114"/>
      <c r="K678" s="305"/>
      <c r="L678" s="285"/>
      <c r="M678" s="285"/>
      <c r="N678" s="53"/>
      <c r="O678" s="53"/>
      <c r="P678" s="53" t="str">
        <f>vlookup(N678,Categorizations!A:C,3,FALSE)</f>
        <v>#N/A</v>
      </c>
      <c r="Q678" s="31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</row>
    <row r="679" ht="22.5" customHeight="1">
      <c r="A679" s="261" t="str">
        <f t="shared" si="24"/>
        <v/>
      </c>
      <c r="B679" s="286"/>
      <c r="C679" s="312"/>
      <c r="D679" s="127"/>
      <c r="E679" s="313"/>
      <c r="F679" s="114"/>
      <c r="G679" s="314"/>
      <c r="H679" s="114"/>
      <c r="I679" s="315"/>
      <c r="J679" s="114"/>
      <c r="K679" s="305"/>
      <c r="L679" s="285"/>
      <c r="M679" s="285"/>
      <c r="N679" s="53"/>
      <c r="O679" s="53"/>
      <c r="P679" s="53" t="str">
        <f>vlookup(N679,Categorizations!A:C,3,FALSE)</f>
        <v>#N/A</v>
      </c>
      <c r="Q679" s="31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</row>
    <row r="680" ht="22.5" customHeight="1">
      <c r="A680" s="261" t="str">
        <f t="shared" si="24"/>
        <v/>
      </c>
      <c r="B680" s="286"/>
      <c r="C680" s="312"/>
      <c r="D680" s="127"/>
      <c r="E680" s="313"/>
      <c r="F680" s="114"/>
      <c r="G680" s="314"/>
      <c r="H680" s="114"/>
      <c r="I680" s="315"/>
      <c r="J680" s="114"/>
      <c r="K680" s="305"/>
      <c r="L680" s="285"/>
      <c r="M680" s="285"/>
      <c r="N680" s="53"/>
      <c r="O680" s="53"/>
      <c r="P680" s="53" t="str">
        <f>vlookup(N680,Categorizations!A:C,3,FALSE)</f>
        <v>#N/A</v>
      </c>
      <c r="Q680" s="31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</row>
    <row r="681" ht="22.5" customHeight="1">
      <c r="A681" s="261" t="str">
        <f t="shared" si="24"/>
        <v/>
      </c>
      <c r="B681" s="286"/>
      <c r="C681" s="312"/>
      <c r="D681" s="127"/>
      <c r="E681" s="313"/>
      <c r="F681" s="114"/>
      <c r="G681" s="314"/>
      <c r="H681" s="114"/>
      <c r="I681" s="315"/>
      <c r="J681" s="114"/>
      <c r="K681" s="305"/>
      <c r="L681" s="285"/>
      <c r="M681" s="285"/>
      <c r="N681" s="53"/>
      <c r="O681" s="53"/>
      <c r="P681" s="53" t="str">
        <f>vlookup(N681,Categorizations!A:C,3,FALSE)</f>
        <v>#N/A</v>
      </c>
      <c r="Q681" s="31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</row>
    <row r="682" ht="22.5" customHeight="1">
      <c r="A682" s="261" t="str">
        <f t="shared" si="24"/>
        <v/>
      </c>
      <c r="B682" s="286"/>
      <c r="C682" s="312"/>
      <c r="D682" s="127"/>
      <c r="E682" s="313"/>
      <c r="F682" s="114"/>
      <c r="G682" s="314"/>
      <c r="H682" s="114"/>
      <c r="I682" s="315"/>
      <c r="J682" s="114"/>
      <c r="K682" s="305"/>
      <c r="L682" s="285"/>
      <c r="M682" s="285"/>
      <c r="N682" s="53"/>
      <c r="O682" s="53"/>
      <c r="P682" s="53" t="str">
        <f>vlookup(N682,Categorizations!A:C,3,FALSE)</f>
        <v>#N/A</v>
      </c>
      <c r="Q682" s="31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</row>
    <row r="683" ht="22.5" customHeight="1">
      <c r="A683" s="261" t="str">
        <f t="shared" si="24"/>
        <v/>
      </c>
      <c r="B683" s="286"/>
      <c r="C683" s="312"/>
      <c r="D683" s="127"/>
      <c r="E683" s="313"/>
      <c r="F683" s="114"/>
      <c r="G683" s="314"/>
      <c r="H683" s="114"/>
      <c r="I683" s="315"/>
      <c r="J683" s="114"/>
      <c r="K683" s="305"/>
      <c r="L683" s="285"/>
      <c r="M683" s="285"/>
      <c r="N683" s="53"/>
      <c r="O683" s="53"/>
      <c r="P683" s="53" t="str">
        <f>vlookup(N683,Categorizations!A:C,3,FALSE)</f>
        <v>#N/A</v>
      </c>
      <c r="Q683" s="31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</row>
    <row r="684" ht="22.5" customHeight="1">
      <c r="A684" s="261" t="str">
        <f t="shared" si="24"/>
        <v/>
      </c>
      <c r="B684" s="286"/>
      <c r="C684" s="312"/>
      <c r="D684" s="127"/>
      <c r="E684" s="313"/>
      <c r="F684" s="114"/>
      <c r="G684" s="314"/>
      <c r="H684" s="114"/>
      <c r="I684" s="315"/>
      <c r="J684" s="114"/>
      <c r="K684" s="305"/>
      <c r="L684" s="285"/>
      <c r="M684" s="285"/>
      <c r="N684" s="53"/>
      <c r="O684" s="53"/>
      <c r="P684" s="53" t="str">
        <f>vlookup(N684,Categorizations!A:C,3,FALSE)</f>
        <v>#N/A</v>
      </c>
      <c r="Q684" s="31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</row>
    <row r="685" ht="22.5" customHeight="1">
      <c r="A685" s="261" t="str">
        <f t="shared" si="24"/>
        <v/>
      </c>
      <c r="B685" s="286"/>
      <c r="C685" s="312"/>
      <c r="D685" s="127"/>
      <c r="E685" s="313"/>
      <c r="F685" s="114"/>
      <c r="G685" s="314"/>
      <c r="H685" s="114"/>
      <c r="I685" s="315"/>
      <c r="J685" s="114"/>
      <c r="K685" s="305"/>
      <c r="L685" s="285"/>
      <c r="M685" s="285"/>
      <c r="N685" s="53"/>
      <c r="O685" s="53"/>
      <c r="P685" s="53" t="str">
        <f>vlookup(N685,Categorizations!A:C,3,FALSE)</f>
        <v>#N/A</v>
      </c>
      <c r="Q685" s="31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</row>
    <row r="686" ht="22.5" customHeight="1">
      <c r="A686" s="261" t="str">
        <f t="shared" si="24"/>
        <v/>
      </c>
      <c r="B686" s="286"/>
      <c r="C686" s="312"/>
      <c r="D686" s="127"/>
      <c r="E686" s="313"/>
      <c r="F686" s="114"/>
      <c r="G686" s="314"/>
      <c r="H686" s="114"/>
      <c r="I686" s="315"/>
      <c r="J686" s="114"/>
      <c r="K686" s="305"/>
      <c r="L686" s="285"/>
      <c r="M686" s="285"/>
      <c r="N686" s="53"/>
      <c r="O686" s="53"/>
      <c r="P686" s="53" t="str">
        <f>vlookup(N686,Categorizations!A:C,3,FALSE)</f>
        <v>#N/A</v>
      </c>
      <c r="Q686" s="31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</row>
    <row r="687" ht="22.5" customHeight="1">
      <c r="A687" s="261" t="str">
        <f t="shared" si="24"/>
        <v/>
      </c>
      <c r="B687" s="286"/>
      <c r="C687" s="312"/>
      <c r="D687" s="127"/>
      <c r="E687" s="313"/>
      <c r="F687" s="114"/>
      <c r="G687" s="314"/>
      <c r="H687" s="114"/>
      <c r="I687" s="315"/>
      <c r="J687" s="114"/>
      <c r="K687" s="305"/>
      <c r="L687" s="285"/>
      <c r="M687" s="285"/>
      <c r="N687" s="53"/>
      <c r="O687" s="53"/>
      <c r="P687" s="53" t="str">
        <f>vlookup(N687,Categorizations!A:C,3,FALSE)</f>
        <v>#N/A</v>
      </c>
      <c r="Q687" s="31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</row>
    <row r="688" ht="22.5" customHeight="1">
      <c r="A688" s="261" t="str">
        <f t="shared" si="24"/>
        <v/>
      </c>
      <c r="B688" s="286"/>
      <c r="C688" s="312"/>
      <c r="D688" s="127"/>
      <c r="E688" s="313"/>
      <c r="F688" s="114"/>
      <c r="G688" s="314"/>
      <c r="H688" s="114"/>
      <c r="I688" s="315"/>
      <c r="J688" s="114"/>
      <c r="K688" s="305"/>
      <c r="L688" s="285"/>
      <c r="M688" s="285"/>
      <c r="N688" s="53"/>
      <c r="O688" s="53"/>
      <c r="P688" s="53" t="str">
        <f>vlookup(N688,Categorizations!A:C,3,FALSE)</f>
        <v>#N/A</v>
      </c>
      <c r="Q688" s="31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</row>
    <row r="689" ht="22.5" customHeight="1">
      <c r="A689" s="261" t="str">
        <f t="shared" si="24"/>
        <v/>
      </c>
      <c r="B689" s="286"/>
      <c r="C689" s="312"/>
      <c r="D689" s="127"/>
      <c r="E689" s="313"/>
      <c r="F689" s="114"/>
      <c r="G689" s="314"/>
      <c r="H689" s="114"/>
      <c r="I689" s="315"/>
      <c r="J689" s="114"/>
      <c r="K689" s="305"/>
      <c r="L689" s="285"/>
      <c r="M689" s="285"/>
      <c r="N689" s="53"/>
      <c r="O689" s="53"/>
      <c r="P689" s="53" t="str">
        <f>vlookup(N689,Categorizations!A:C,3,FALSE)</f>
        <v>#N/A</v>
      </c>
      <c r="Q689" s="31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</row>
    <row r="690" ht="22.5" customHeight="1">
      <c r="A690" s="261" t="str">
        <f t="shared" si="24"/>
        <v/>
      </c>
      <c r="B690" s="286"/>
      <c r="C690" s="312"/>
      <c r="D690" s="127"/>
      <c r="E690" s="313"/>
      <c r="F690" s="114"/>
      <c r="G690" s="314"/>
      <c r="H690" s="114"/>
      <c r="I690" s="315"/>
      <c r="J690" s="114"/>
      <c r="K690" s="305"/>
      <c r="L690" s="285"/>
      <c r="M690" s="285"/>
      <c r="N690" s="53"/>
      <c r="O690" s="53"/>
      <c r="P690" s="53" t="str">
        <f>vlookup(N690,Categorizations!A:C,3,FALSE)</f>
        <v>#N/A</v>
      </c>
      <c r="Q690" s="31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</row>
    <row r="691" ht="22.5" customHeight="1">
      <c r="A691" s="261" t="str">
        <f t="shared" si="24"/>
        <v/>
      </c>
      <c r="B691" s="286"/>
      <c r="C691" s="312"/>
      <c r="D691" s="127"/>
      <c r="E691" s="313"/>
      <c r="F691" s="114"/>
      <c r="G691" s="314"/>
      <c r="H691" s="114"/>
      <c r="I691" s="315"/>
      <c r="J691" s="114"/>
      <c r="K691" s="305"/>
      <c r="L691" s="285"/>
      <c r="M691" s="285"/>
      <c r="N691" s="53"/>
      <c r="O691" s="53"/>
      <c r="P691" s="53" t="str">
        <f>vlookup(N691,Categorizations!A:C,3,FALSE)</f>
        <v>#N/A</v>
      </c>
      <c r="Q691" s="31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</row>
    <row r="692" ht="22.5" customHeight="1">
      <c r="A692" s="261" t="str">
        <f t="shared" si="24"/>
        <v/>
      </c>
      <c r="B692" s="286"/>
      <c r="C692" s="312"/>
      <c r="D692" s="127"/>
      <c r="E692" s="313"/>
      <c r="F692" s="114"/>
      <c r="G692" s="314"/>
      <c r="H692" s="114"/>
      <c r="I692" s="315"/>
      <c r="J692" s="114"/>
      <c r="K692" s="305"/>
      <c r="L692" s="285"/>
      <c r="M692" s="285"/>
      <c r="N692" s="53"/>
      <c r="O692" s="53"/>
      <c r="P692" s="53" t="str">
        <f>vlookup(N692,Categorizations!A:C,3,FALSE)</f>
        <v>#N/A</v>
      </c>
      <c r="Q692" s="31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</row>
    <row r="693" ht="22.5" customHeight="1">
      <c r="A693" s="261" t="str">
        <f t="shared" si="24"/>
        <v/>
      </c>
      <c r="B693" s="286"/>
      <c r="C693" s="312"/>
      <c r="D693" s="127"/>
      <c r="E693" s="313"/>
      <c r="F693" s="114"/>
      <c r="G693" s="314"/>
      <c r="H693" s="114"/>
      <c r="I693" s="315"/>
      <c r="J693" s="114"/>
      <c r="K693" s="305"/>
      <c r="L693" s="285"/>
      <c r="M693" s="285"/>
      <c r="N693" s="53"/>
      <c r="O693" s="53"/>
      <c r="P693" s="53" t="str">
        <f>vlookup(N693,Categorizations!A:C,3,FALSE)</f>
        <v>#N/A</v>
      </c>
      <c r="Q693" s="31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</row>
    <row r="694" ht="22.5" customHeight="1">
      <c r="A694" s="261" t="str">
        <f t="shared" si="24"/>
        <v/>
      </c>
      <c r="B694" s="286"/>
      <c r="C694" s="312"/>
      <c r="D694" s="127"/>
      <c r="E694" s="313"/>
      <c r="F694" s="114"/>
      <c r="G694" s="314"/>
      <c r="H694" s="114"/>
      <c r="I694" s="315"/>
      <c r="J694" s="114"/>
      <c r="K694" s="305"/>
      <c r="L694" s="285"/>
      <c r="M694" s="285"/>
      <c r="N694" s="53"/>
      <c r="O694" s="53"/>
      <c r="P694" s="53" t="str">
        <f>vlookup(N694,Categorizations!A:C,3,FALSE)</f>
        <v>#N/A</v>
      </c>
      <c r="Q694" s="31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</row>
    <row r="695" ht="22.5" customHeight="1">
      <c r="A695" s="261" t="str">
        <f t="shared" si="24"/>
        <v/>
      </c>
      <c r="B695" s="286"/>
      <c r="C695" s="312"/>
      <c r="D695" s="127"/>
      <c r="E695" s="313"/>
      <c r="F695" s="114"/>
      <c r="G695" s="314"/>
      <c r="H695" s="114"/>
      <c r="I695" s="315"/>
      <c r="J695" s="114"/>
      <c r="K695" s="305"/>
      <c r="L695" s="285"/>
      <c r="M695" s="285"/>
      <c r="N695" s="53"/>
      <c r="O695" s="53"/>
      <c r="P695" s="53" t="str">
        <f>vlookup(N695,Categorizations!A:C,3,FALSE)</f>
        <v>#N/A</v>
      </c>
      <c r="Q695" s="31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</row>
    <row r="696" ht="22.5" customHeight="1">
      <c r="A696" s="261" t="str">
        <f t="shared" si="24"/>
        <v/>
      </c>
      <c r="B696" s="286"/>
      <c r="C696" s="312"/>
      <c r="D696" s="127"/>
      <c r="E696" s="313"/>
      <c r="F696" s="114"/>
      <c r="G696" s="314"/>
      <c r="H696" s="114"/>
      <c r="I696" s="315"/>
      <c r="J696" s="114"/>
      <c r="K696" s="305"/>
      <c r="L696" s="285"/>
      <c r="M696" s="285"/>
      <c r="N696" s="53"/>
      <c r="O696" s="53"/>
      <c r="P696" s="53" t="str">
        <f>vlookup(N696,Categorizations!A:C,3,FALSE)</f>
        <v>#N/A</v>
      </c>
      <c r="Q696" s="31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</row>
    <row r="697" ht="22.5" customHeight="1">
      <c r="A697" s="261" t="str">
        <f t="shared" si="24"/>
        <v/>
      </c>
      <c r="B697" s="286"/>
      <c r="C697" s="312"/>
      <c r="D697" s="127"/>
      <c r="E697" s="313"/>
      <c r="F697" s="114"/>
      <c r="G697" s="314"/>
      <c r="H697" s="114"/>
      <c r="I697" s="315"/>
      <c r="J697" s="114"/>
      <c r="K697" s="305"/>
      <c r="L697" s="285"/>
      <c r="M697" s="285"/>
      <c r="N697" s="53"/>
      <c r="O697" s="53"/>
      <c r="P697" s="53" t="str">
        <f>vlookup(N697,Categorizations!A:C,3,FALSE)</f>
        <v>#N/A</v>
      </c>
      <c r="Q697" s="31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</row>
    <row r="698" ht="22.5" customHeight="1">
      <c r="A698" s="261" t="str">
        <f t="shared" si="24"/>
        <v/>
      </c>
      <c r="B698" s="286"/>
      <c r="C698" s="312"/>
      <c r="D698" s="127"/>
      <c r="E698" s="313"/>
      <c r="F698" s="114"/>
      <c r="G698" s="314"/>
      <c r="H698" s="114"/>
      <c r="I698" s="315"/>
      <c r="J698" s="114"/>
      <c r="K698" s="305"/>
      <c r="L698" s="285"/>
      <c r="M698" s="285"/>
      <c r="N698" s="53"/>
      <c r="O698" s="53"/>
      <c r="P698" s="53" t="str">
        <f>vlookup(N698,Categorizations!A:C,3,FALSE)</f>
        <v>#N/A</v>
      </c>
      <c r="Q698" s="31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</row>
    <row r="699" ht="22.5" customHeight="1">
      <c r="A699" s="261" t="str">
        <f t="shared" si="24"/>
        <v/>
      </c>
      <c r="B699" s="286"/>
      <c r="C699" s="312"/>
      <c r="D699" s="127"/>
      <c r="E699" s="313"/>
      <c r="F699" s="114"/>
      <c r="G699" s="314"/>
      <c r="H699" s="114"/>
      <c r="I699" s="315"/>
      <c r="J699" s="114"/>
      <c r="K699" s="305"/>
      <c r="L699" s="285"/>
      <c r="M699" s="285"/>
      <c r="N699" s="53"/>
      <c r="O699" s="53"/>
      <c r="P699" s="53" t="str">
        <f>vlookup(N699,Categorizations!A:C,3,FALSE)</f>
        <v>#N/A</v>
      </c>
      <c r="Q699" s="31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</row>
    <row r="700" ht="22.5" customHeight="1">
      <c r="A700" s="261" t="str">
        <f t="shared" si="24"/>
        <v/>
      </c>
      <c r="B700" s="286"/>
      <c r="C700" s="312"/>
      <c r="D700" s="127"/>
      <c r="E700" s="313"/>
      <c r="F700" s="114"/>
      <c r="G700" s="314"/>
      <c r="H700" s="114"/>
      <c r="I700" s="315"/>
      <c r="J700" s="114"/>
      <c r="K700" s="305"/>
      <c r="L700" s="285"/>
      <c r="M700" s="285"/>
      <c r="N700" s="53"/>
      <c r="O700" s="53"/>
      <c r="P700" s="53" t="str">
        <f>vlookup(N700,Categorizations!A:C,3,FALSE)</f>
        <v>#N/A</v>
      </c>
      <c r="Q700" s="31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</row>
    <row r="701" ht="22.5" customHeight="1">
      <c r="A701" s="261" t="str">
        <f t="shared" si="24"/>
        <v/>
      </c>
      <c r="B701" s="286"/>
      <c r="C701" s="312"/>
      <c r="D701" s="127"/>
      <c r="E701" s="313"/>
      <c r="F701" s="114"/>
      <c r="G701" s="314"/>
      <c r="H701" s="114"/>
      <c r="I701" s="315"/>
      <c r="J701" s="114"/>
      <c r="K701" s="305"/>
      <c r="L701" s="285"/>
      <c r="M701" s="285"/>
      <c r="N701" s="53"/>
      <c r="O701" s="53"/>
      <c r="P701" s="53" t="str">
        <f>vlookup(N701,Categorizations!A:C,3,FALSE)</f>
        <v>#N/A</v>
      </c>
      <c r="Q701" s="31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</row>
    <row r="702" ht="22.5" customHeight="1">
      <c r="A702" s="261" t="str">
        <f t="shared" si="24"/>
        <v/>
      </c>
      <c r="B702" s="286"/>
      <c r="C702" s="312"/>
      <c r="D702" s="127"/>
      <c r="E702" s="313"/>
      <c r="F702" s="114"/>
      <c r="G702" s="314"/>
      <c r="H702" s="114"/>
      <c r="I702" s="315"/>
      <c r="J702" s="114"/>
      <c r="K702" s="305"/>
      <c r="L702" s="285"/>
      <c r="M702" s="285"/>
      <c r="N702" s="53"/>
      <c r="O702" s="53"/>
      <c r="P702" s="53" t="str">
        <f>vlookup(N702,Categorizations!A:C,3,FALSE)</f>
        <v>#N/A</v>
      </c>
      <c r="Q702" s="31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</row>
    <row r="703" ht="22.5" customHeight="1">
      <c r="A703" s="261" t="str">
        <f t="shared" si="24"/>
        <v/>
      </c>
      <c r="B703" s="286"/>
      <c r="C703" s="312"/>
      <c r="D703" s="127"/>
      <c r="E703" s="313"/>
      <c r="F703" s="114"/>
      <c r="G703" s="314"/>
      <c r="H703" s="114"/>
      <c r="I703" s="315"/>
      <c r="J703" s="114"/>
      <c r="K703" s="305"/>
      <c r="L703" s="285"/>
      <c r="M703" s="285"/>
      <c r="N703" s="53"/>
      <c r="O703" s="53"/>
      <c r="P703" s="53" t="str">
        <f>vlookup(N703,Categorizations!A:C,3,FALSE)</f>
        <v>#N/A</v>
      </c>
      <c r="Q703" s="31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</row>
    <row r="704" ht="22.5" customHeight="1">
      <c r="A704" s="261" t="str">
        <f t="shared" si="24"/>
        <v/>
      </c>
      <c r="B704" s="286"/>
      <c r="C704" s="312"/>
      <c r="D704" s="127"/>
      <c r="E704" s="313"/>
      <c r="F704" s="114"/>
      <c r="G704" s="314"/>
      <c r="H704" s="114"/>
      <c r="I704" s="315"/>
      <c r="J704" s="114"/>
      <c r="K704" s="305"/>
      <c r="L704" s="285"/>
      <c r="M704" s="285"/>
      <c r="N704" s="53"/>
      <c r="O704" s="53"/>
      <c r="P704" s="53" t="str">
        <f>vlookup(N704,Categorizations!A:C,3,FALSE)</f>
        <v>#N/A</v>
      </c>
      <c r="Q704" s="31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</row>
    <row r="705" ht="22.5" customHeight="1">
      <c r="A705" s="261" t="str">
        <f t="shared" si="24"/>
        <v/>
      </c>
      <c r="B705" s="286"/>
      <c r="C705" s="312"/>
      <c r="D705" s="127"/>
      <c r="E705" s="313"/>
      <c r="F705" s="114"/>
      <c r="G705" s="314"/>
      <c r="H705" s="114"/>
      <c r="I705" s="315"/>
      <c r="J705" s="114"/>
      <c r="K705" s="305"/>
      <c r="L705" s="285"/>
      <c r="M705" s="285"/>
      <c r="N705" s="53"/>
      <c r="O705" s="53"/>
      <c r="P705" s="53" t="str">
        <f>vlookup(N705,Categorizations!A:C,3,FALSE)</f>
        <v>#N/A</v>
      </c>
      <c r="Q705" s="31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</row>
    <row r="706" ht="22.5" customHeight="1">
      <c r="A706" s="261" t="str">
        <f t="shared" si="24"/>
        <v/>
      </c>
      <c r="B706" s="286"/>
      <c r="C706" s="312"/>
      <c r="D706" s="127"/>
      <c r="E706" s="313"/>
      <c r="F706" s="114"/>
      <c r="G706" s="314"/>
      <c r="H706" s="114"/>
      <c r="I706" s="315"/>
      <c r="J706" s="114"/>
      <c r="K706" s="305"/>
      <c r="L706" s="285"/>
      <c r="M706" s="285"/>
      <c r="N706" s="53"/>
      <c r="O706" s="53"/>
      <c r="P706" s="53" t="str">
        <f>vlookup(N706,Categorizations!A:C,3,FALSE)</f>
        <v>#N/A</v>
      </c>
      <c r="Q706" s="31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</row>
    <row r="707" ht="22.5" customHeight="1">
      <c r="A707" s="261" t="str">
        <f t="shared" si="24"/>
        <v/>
      </c>
      <c r="B707" s="286"/>
      <c r="C707" s="312"/>
      <c r="D707" s="127"/>
      <c r="E707" s="313"/>
      <c r="F707" s="114"/>
      <c r="G707" s="314"/>
      <c r="H707" s="114"/>
      <c r="I707" s="315"/>
      <c r="J707" s="114"/>
      <c r="K707" s="305"/>
      <c r="L707" s="285"/>
      <c r="M707" s="285"/>
      <c r="N707" s="53"/>
      <c r="O707" s="53"/>
      <c r="P707" s="53" t="str">
        <f>vlookup(N707,Categorizations!A:C,3,FALSE)</f>
        <v>#N/A</v>
      </c>
      <c r="Q707" s="31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</row>
    <row r="708" ht="22.5" customHeight="1">
      <c r="A708" s="261" t="str">
        <f t="shared" si="24"/>
        <v/>
      </c>
      <c r="B708" s="286"/>
      <c r="C708" s="312"/>
      <c r="D708" s="127"/>
      <c r="E708" s="313"/>
      <c r="F708" s="114"/>
      <c r="G708" s="314"/>
      <c r="H708" s="114"/>
      <c r="I708" s="315"/>
      <c r="J708" s="114"/>
      <c r="K708" s="305"/>
      <c r="L708" s="285"/>
      <c r="M708" s="285"/>
      <c r="N708" s="53"/>
      <c r="O708" s="53"/>
      <c r="P708" s="53" t="str">
        <f>vlookup(N708,Categorizations!A:C,3,FALSE)</f>
        <v>#N/A</v>
      </c>
      <c r="Q708" s="31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</row>
    <row r="709" ht="22.5" customHeight="1">
      <c r="A709" s="261" t="str">
        <f t="shared" si="24"/>
        <v/>
      </c>
      <c r="B709" s="286"/>
      <c r="C709" s="312"/>
      <c r="D709" s="127"/>
      <c r="E709" s="313"/>
      <c r="F709" s="114"/>
      <c r="G709" s="314"/>
      <c r="H709" s="114"/>
      <c r="I709" s="315"/>
      <c r="J709" s="114"/>
      <c r="K709" s="305"/>
      <c r="L709" s="285"/>
      <c r="M709" s="285"/>
      <c r="N709" s="53"/>
      <c r="O709" s="53"/>
      <c r="P709" s="53" t="str">
        <f>vlookup(N709,Categorizations!A:C,3,FALSE)</f>
        <v>#N/A</v>
      </c>
      <c r="Q709" s="31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</row>
    <row r="710" ht="22.5" customHeight="1">
      <c r="A710" s="261" t="str">
        <f t="shared" si="24"/>
        <v/>
      </c>
      <c r="B710" s="286"/>
      <c r="C710" s="312"/>
      <c r="D710" s="127"/>
      <c r="E710" s="313"/>
      <c r="F710" s="114"/>
      <c r="G710" s="314"/>
      <c r="H710" s="114"/>
      <c r="I710" s="315"/>
      <c r="J710" s="114"/>
      <c r="K710" s="305"/>
      <c r="L710" s="285"/>
      <c r="M710" s="285"/>
      <c r="N710" s="53"/>
      <c r="O710" s="53"/>
      <c r="P710" s="53" t="str">
        <f>vlookup(N710,Categorizations!A:C,3,FALSE)</f>
        <v>#N/A</v>
      </c>
      <c r="Q710" s="31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</row>
    <row r="711" ht="22.5" customHeight="1">
      <c r="A711" s="261" t="str">
        <f t="shared" si="24"/>
        <v/>
      </c>
      <c r="B711" s="286"/>
      <c r="C711" s="312"/>
      <c r="D711" s="127"/>
      <c r="E711" s="313"/>
      <c r="F711" s="114"/>
      <c r="G711" s="314"/>
      <c r="H711" s="114"/>
      <c r="I711" s="315"/>
      <c r="J711" s="114"/>
      <c r="K711" s="305"/>
      <c r="L711" s="285"/>
      <c r="M711" s="285"/>
      <c r="N711" s="53"/>
      <c r="O711" s="53"/>
      <c r="P711" s="53" t="str">
        <f>vlookup(N711,Categorizations!A:C,3,FALSE)</f>
        <v>#N/A</v>
      </c>
      <c r="Q711" s="31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</row>
    <row r="712" ht="22.5" customHeight="1">
      <c r="A712" s="261" t="str">
        <f t="shared" si="24"/>
        <v/>
      </c>
      <c r="B712" s="286"/>
      <c r="C712" s="312"/>
      <c r="D712" s="127"/>
      <c r="E712" s="313"/>
      <c r="F712" s="114"/>
      <c r="G712" s="314"/>
      <c r="H712" s="114"/>
      <c r="I712" s="315"/>
      <c r="J712" s="114"/>
      <c r="K712" s="305"/>
      <c r="L712" s="285"/>
      <c r="M712" s="285"/>
      <c r="N712" s="53"/>
      <c r="O712" s="53"/>
      <c r="P712" s="53" t="str">
        <f>vlookup(N712,Categorizations!A:C,3,FALSE)</f>
        <v>#N/A</v>
      </c>
      <c r="Q712" s="31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</row>
    <row r="713" ht="22.5" customHeight="1">
      <c r="A713" s="261" t="str">
        <f t="shared" si="24"/>
        <v/>
      </c>
      <c r="B713" s="286"/>
      <c r="C713" s="312"/>
      <c r="D713" s="127"/>
      <c r="E713" s="313"/>
      <c r="F713" s="114"/>
      <c r="G713" s="314"/>
      <c r="H713" s="114"/>
      <c r="I713" s="315"/>
      <c r="J713" s="114"/>
      <c r="K713" s="305"/>
      <c r="L713" s="285"/>
      <c r="M713" s="285"/>
      <c r="N713" s="53"/>
      <c r="O713" s="53"/>
      <c r="P713" s="53" t="str">
        <f>vlookup(N713,Categorizations!A:C,3,FALSE)</f>
        <v>#N/A</v>
      </c>
      <c r="Q713" s="31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</row>
    <row r="714" ht="22.5" customHeight="1">
      <c r="A714" s="261" t="str">
        <f t="shared" si="24"/>
        <v/>
      </c>
      <c r="B714" s="286"/>
      <c r="C714" s="312"/>
      <c r="D714" s="127"/>
      <c r="E714" s="313"/>
      <c r="F714" s="114"/>
      <c r="G714" s="314"/>
      <c r="H714" s="114"/>
      <c r="I714" s="315"/>
      <c r="J714" s="114"/>
      <c r="K714" s="305"/>
      <c r="L714" s="285"/>
      <c r="M714" s="285"/>
      <c r="N714" s="53"/>
      <c r="O714" s="53"/>
      <c r="P714" s="53" t="str">
        <f>vlookup(N714,Categorizations!A:C,3,FALSE)</f>
        <v>#N/A</v>
      </c>
      <c r="Q714" s="31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</row>
    <row r="715" ht="22.5" customHeight="1">
      <c r="A715" s="261" t="str">
        <f t="shared" si="24"/>
        <v/>
      </c>
      <c r="B715" s="286"/>
      <c r="C715" s="312"/>
      <c r="D715" s="127"/>
      <c r="E715" s="313"/>
      <c r="F715" s="114"/>
      <c r="G715" s="314"/>
      <c r="H715" s="114"/>
      <c r="I715" s="315"/>
      <c r="J715" s="114"/>
      <c r="K715" s="305"/>
      <c r="L715" s="285"/>
      <c r="M715" s="285"/>
      <c r="N715" s="53"/>
      <c r="O715" s="53"/>
      <c r="P715" s="53" t="str">
        <f>vlookup(N715,Categorizations!A:C,3,FALSE)</f>
        <v>#N/A</v>
      </c>
      <c r="Q715" s="31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</row>
    <row r="716" ht="22.5" customHeight="1">
      <c r="A716" s="261" t="str">
        <f t="shared" si="24"/>
        <v/>
      </c>
      <c r="B716" s="286"/>
      <c r="C716" s="312"/>
      <c r="D716" s="127"/>
      <c r="E716" s="313"/>
      <c r="F716" s="114"/>
      <c r="G716" s="314"/>
      <c r="H716" s="114"/>
      <c r="I716" s="315"/>
      <c r="J716" s="114"/>
      <c r="K716" s="305"/>
      <c r="L716" s="285"/>
      <c r="M716" s="285"/>
      <c r="N716" s="53"/>
      <c r="O716" s="53"/>
      <c r="P716" s="53" t="str">
        <f>vlookup(N716,Categorizations!A:C,3,FALSE)</f>
        <v>#N/A</v>
      </c>
      <c r="Q716" s="31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</row>
    <row r="717" ht="22.5" customHeight="1">
      <c r="A717" s="261" t="str">
        <f t="shared" si="24"/>
        <v/>
      </c>
      <c r="B717" s="286"/>
      <c r="C717" s="312"/>
      <c r="D717" s="127"/>
      <c r="E717" s="313"/>
      <c r="F717" s="114"/>
      <c r="G717" s="314"/>
      <c r="H717" s="114"/>
      <c r="I717" s="315"/>
      <c r="J717" s="114"/>
      <c r="K717" s="305"/>
      <c r="L717" s="285"/>
      <c r="M717" s="285"/>
      <c r="N717" s="53"/>
      <c r="O717" s="53"/>
      <c r="P717" s="53" t="str">
        <f>vlookup(N717,Categorizations!A:C,3,FALSE)</f>
        <v>#N/A</v>
      </c>
      <c r="Q717" s="31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</row>
    <row r="718" ht="22.5" customHeight="1">
      <c r="A718" s="261" t="str">
        <f t="shared" si="24"/>
        <v/>
      </c>
      <c r="B718" s="286"/>
      <c r="C718" s="312"/>
      <c r="D718" s="127"/>
      <c r="E718" s="313"/>
      <c r="F718" s="114"/>
      <c r="G718" s="314"/>
      <c r="H718" s="114"/>
      <c r="I718" s="315"/>
      <c r="J718" s="114"/>
      <c r="K718" s="305"/>
      <c r="L718" s="285"/>
      <c r="M718" s="285"/>
      <c r="N718" s="53"/>
      <c r="O718" s="53"/>
      <c r="P718" s="53" t="str">
        <f>vlookup(N718,Categorizations!A:C,3,FALSE)</f>
        <v>#N/A</v>
      </c>
      <c r="Q718" s="31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</row>
    <row r="719" ht="22.5" customHeight="1">
      <c r="A719" s="261" t="str">
        <f t="shared" si="24"/>
        <v/>
      </c>
      <c r="B719" s="286"/>
      <c r="C719" s="312"/>
      <c r="D719" s="127"/>
      <c r="E719" s="313"/>
      <c r="F719" s="114"/>
      <c r="G719" s="314"/>
      <c r="H719" s="114"/>
      <c r="I719" s="315"/>
      <c r="J719" s="114"/>
      <c r="K719" s="305"/>
      <c r="L719" s="285"/>
      <c r="M719" s="285"/>
      <c r="N719" s="53"/>
      <c r="O719" s="53"/>
      <c r="P719" s="53" t="str">
        <f>vlookup(N719,Categorizations!A:C,3,FALSE)</f>
        <v>#N/A</v>
      </c>
      <c r="Q719" s="31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</row>
    <row r="720" ht="22.5" customHeight="1">
      <c r="A720" s="261" t="str">
        <f t="shared" si="24"/>
        <v/>
      </c>
      <c r="B720" s="286"/>
      <c r="C720" s="312"/>
      <c r="D720" s="127"/>
      <c r="E720" s="313"/>
      <c r="F720" s="114"/>
      <c r="G720" s="314"/>
      <c r="H720" s="114"/>
      <c r="I720" s="315"/>
      <c r="J720" s="114"/>
      <c r="K720" s="305"/>
      <c r="L720" s="285"/>
      <c r="M720" s="285"/>
      <c r="N720" s="53"/>
      <c r="O720" s="53"/>
      <c r="P720" s="53" t="str">
        <f>vlookup(N720,Categorizations!A:C,3,FALSE)</f>
        <v>#N/A</v>
      </c>
      <c r="Q720" s="31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</row>
    <row r="721" ht="22.5" customHeight="1">
      <c r="A721" s="261" t="str">
        <f t="shared" si="24"/>
        <v/>
      </c>
      <c r="B721" s="286"/>
      <c r="C721" s="312"/>
      <c r="D721" s="127"/>
      <c r="E721" s="313"/>
      <c r="F721" s="114"/>
      <c r="G721" s="314"/>
      <c r="H721" s="114"/>
      <c r="I721" s="315"/>
      <c r="J721" s="114"/>
      <c r="K721" s="305"/>
      <c r="L721" s="285"/>
      <c r="M721" s="285"/>
      <c r="N721" s="53"/>
      <c r="O721" s="53"/>
      <c r="P721" s="53" t="str">
        <f>vlookup(N721,Categorizations!A:C,3,FALSE)</f>
        <v>#N/A</v>
      </c>
      <c r="Q721" s="31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</row>
    <row r="722" ht="22.5" customHeight="1">
      <c r="A722" s="261" t="str">
        <f t="shared" si="24"/>
        <v/>
      </c>
      <c r="B722" s="286"/>
      <c r="C722" s="312"/>
      <c r="D722" s="127"/>
      <c r="E722" s="313"/>
      <c r="F722" s="114"/>
      <c r="G722" s="314"/>
      <c r="H722" s="114"/>
      <c r="I722" s="315"/>
      <c r="J722" s="114"/>
      <c r="K722" s="305"/>
      <c r="L722" s="285"/>
      <c r="M722" s="285"/>
      <c r="N722" s="53"/>
      <c r="O722" s="53"/>
      <c r="P722" s="53" t="str">
        <f>vlookup(N722,Categorizations!A:C,3,FALSE)</f>
        <v>#N/A</v>
      </c>
      <c r="Q722" s="31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</row>
    <row r="723" ht="22.5" customHeight="1">
      <c r="A723" s="261" t="str">
        <f t="shared" si="24"/>
        <v/>
      </c>
      <c r="B723" s="286"/>
      <c r="C723" s="312"/>
      <c r="D723" s="127"/>
      <c r="E723" s="313"/>
      <c r="F723" s="114"/>
      <c r="G723" s="314"/>
      <c r="H723" s="114"/>
      <c r="I723" s="315"/>
      <c r="J723" s="114"/>
      <c r="K723" s="305"/>
      <c r="L723" s="285"/>
      <c r="M723" s="285"/>
      <c r="N723" s="53"/>
      <c r="O723" s="53"/>
      <c r="P723" s="53" t="str">
        <f>vlookup(N723,Categorizations!A:C,3,FALSE)</f>
        <v>#N/A</v>
      </c>
      <c r="Q723" s="31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</row>
    <row r="724" ht="22.5" customHeight="1">
      <c r="A724" s="261" t="str">
        <f t="shared" si="24"/>
        <v/>
      </c>
      <c r="B724" s="286"/>
      <c r="C724" s="312"/>
      <c r="D724" s="127"/>
      <c r="E724" s="313"/>
      <c r="F724" s="114"/>
      <c r="G724" s="314"/>
      <c r="H724" s="114"/>
      <c r="I724" s="315"/>
      <c r="J724" s="114"/>
      <c r="K724" s="305"/>
      <c r="L724" s="285"/>
      <c r="M724" s="285"/>
      <c r="N724" s="53"/>
      <c r="O724" s="53"/>
      <c r="P724" s="53" t="str">
        <f>vlookup(N724,Categorizations!A:C,3,FALSE)</f>
        <v>#N/A</v>
      </c>
      <c r="Q724" s="31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</row>
    <row r="725" ht="22.5" customHeight="1">
      <c r="A725" s="261" t="str">
        <f t="shared" si="24"/>
        <v/>
      </c>
      <c r="B725" s="286"/>
      <c r="C725" s="312"/>
      <c r="D725" s="127"/>
      <c r="E725" s="313"/>
      <c r="F725" s="114"/>
      <c r="G725" s="314"/>
      <c r="H725" s="114"/>
      <c r="I725" s="315"/>
      <c r="J725" s="114"/>
      <c r="K725" s="305"/>
      <c r="L725" s="285"/>
      <c r="M725" s="285"/>
      <c r="N725" s="53"/>
      <c r="O725" s="53"/>
      <c r="P725" s="53" t="str">
        <f>vlookup(N725,Categorizations!A:C,3,FALSE)</f>
        <v>#N/A</v>
      </c>
      <c r="Q725" s="31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</row>
    <row r="726" ht="22.5" customHeight="1">
      <c r="A726" s="261" t="str">
        <f t="shared" si="24"/>
        <v/>
      </c>
      <c r="B726" s="286"/>
      <c r="C726" s="312"/>
      <c r="D726" s="127"/>
      <c r="E726" s="313"/>
      <c r="F726" s="114"/>
      <c r="G726" s="314"/>
      <c r="H726" s="114"/>
      <c r="I726" s="315"/>
      <c r="J726" s="114"/>
      <c r="K726" s="305"/>
      <c r="L726" s="285"/>
      <c r="M726" s="285"/>
      <c r="N726" s="53"/>
      <c r="O726" s="53"/>
      <c r="P726" s="53" t="str">
        <f>vlookup(N726,Categorizations!A:C,3,FALSE)</f>
        <v>#N/A</v>
      </c>
      <c r="Q726" s="31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</row>
    <row r="727" ht="22.5" customHeight="1">
      <c r="A727" s="261" t="str">
        <f t="shared" si="24"/>
        <v/>
      </c>
      <c r="B727" s="286"/>
      <c r="C727" s="312"/>
      <c r="D727" s="127"/>
      <c r="E727" s="313"/>
      <c r="F727" s="114"/>
      <c r="G727" s="314"/>
      <c r="H727" s="114"/>
      <c r="I727" s="315"/>
      <c r="J727" s="114"/>
      <c r="K727" s="305"/>
      <c r="L727" s="285"/>
      <c r="M727" s="285"/>
      <c r="N727" s="53"/>
      <c r="O727" s="53"/>
      <c r="P727" s="53" t="str">
        <f>vlookup(N727,Categorizations!A:C,3,FALSE)</f>
        <v>#N/A</v>
      </c>
      <c r="Q727" s="31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</row>
    <row r="728" ht="22.5" customHeight="1">
      <c r="A728" s="261" t="str">
        <f t="shared" si="24"/>
        <v/>
      </c>
      <c r="B728" s="286"/>
      <c r="C728" s="312"/>
      <c r="D728" s="127"/>
      <c r="E728" s="313"/>
      <c r="F728" s="114"/>
      <c r="G728" s="314"/>
      <c r="H728" s="114"/>
      <c r="I728" s="315"/>
      <c r="J728" s="114"/>
      <c r="K728" s="305"/>
      <c r="L728" s="285"/>
      <c r="M728" s="285"/>
      <c r="N728" s="53"/>
      <c r="O728" s="53"/>
      <c r="P728" s="53" t="str">
        <f>vlookup(N728,Categorizations!A:C,3,FALSE)</f>
        <v>#N/A</v>
      </c>
      <c r="Q728" s="31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</row>
    <row r="729" ht="22.5" customHeight="1">
      <c r="A729" s="261" t="str">
        <f t="shared" si="24"/>
        <v/>
      </c>
      <c r="B729" s="286"/>
      <c r="C729" s="312"/>
      <c r="D729" s="127"/>
      <c r="E729" s="313"/>
      <c r="F729" s="114"/>
      <c r="G729" s="314"/>
      <c r="H729" s="114"/>
      <c r="I729" s="315"/>
      <c r="J729" s="114"/>
      <c r="K729" s="305"/>
      <c r="L729" s="285"/>
      <c r="M729" s="285"/>
      <c r="N729" s="53"/>
      <c r="O729" s="53"/>
      <c r="P729" s="53" t="str">
        <f>vlookup(N729,Categorizations!A:C,3,FALSE)</f>
        <v>#N/A</v>
      </c>
      <c r="Q729" s="31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</row>
    <row r="730" ht="22.5" customHeight="1">
      <c r="A730" s="261" t="str">
        <f t="shared" si="24"/>
        <v/>
      </c>
      <c r="B730" s="286"/>
      <c r="C730" s="312"/>
      <c r="D730" s="127"/>
      <c r="E730" s="313"/>
      <c r="F730" s="114"/>
      <c r="G730" s="314"/>
      <c r="H730" s="114"/>
      <c r="I730" s="315"/>
      <c r="J730" s="114"/>
      <c r="K730" s="305"/>
      <c r="L730" s="285"/>
      <c r="M730" s="285"/>
      <c r="N730" s="53"/>
      <c r="O730" s="53"/>
      <c r="P730" s="53" t="str">
        <f>vlookup(N730,Categorizations!A:C,3,FALSE)</f>
        <v>#N/A</v>
      </c>
      <c r="Q730" s="31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</row>
    <row r="731" ht="22.5" customHeight="1">
      <c r="A731" s="261" t="str">
        <f t="shared" si="24"/>
        <v/>
      </c>
      <c r="B731" s="286"/>
      <c r="C731" s="312"/>
      <c r="D731" s="127"/>
      <c r="E731" s="313"/>
      <c r="F731" s="114"/>
      <c r="G731" s="314"/>
      <c r="H731" s="114"/>
      <c r="I731" s="315"/>
      <c r="J731" s="114"/>
      <c r="K731" s="305"/>
      <c r="L731" s="285"/>
      <c r="M731" s="285"/>
      <c r="N731" s="53"/>
      <c r="O731" s="53"/>
      <c r="P731" s="53" t="str">
        <f>vlookup(N731,Categorizations!A:C,3,FALSE)</f>
        <v>#N/A</v>
      </c>
      <c r="Q731" s="31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</row>
    <row r="732" ht="22.5" customHeight="1">
      <c r="A732" s="261" t="str">
        <f t="shared" si="24"/>
        <v/>
      </c>
      <c r="B732" s="286"/>
      <c r="C732" s="312"/>
      <c r="D732" s="127"/>
      <c r="E732" s="313"/>
      <c r="F732" s="114"/>
      <c r="G732" s="314"/>
      <c r="H732" s="114"/>
      <c r="I732" s="315"/>
      <c r="J732" s="114"/>
      <c r="K732" s="305"/>
      <c r="L732" s="285"/>
      <c r="M732" s="285"/>
      <c r="N732" s="53"/>
      <c r="O732" s="53"/>
      <c r="P732" s="53" t="str">
        <f>vlookup(N732,Categorizations!A:C,3,FALSE)</f>
        <v>#N/A</v>
      </c>
      <c r="Q732" s="31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</row>
    <row r="733" ht="22.5" customHeight="1">
      <c r="A733" s="261" t="str">
        <f t="shared" si="24"/>
        <v/>
      </c>
      <c r="B733" s="286"/>
      <c r="C733" s="312"/>
      <c r="D733" s="127"/>
      <c r="E733" s="313"/>
      <c r="F733" s="114"/>
      <c r="G733" s="314"/>
      <c r="H733" s="114"/>
      <c r="I733" s="315"/>
      <c r="J733" s="114"/>
      <c r="K733" s="305"/>
      <c r="L733" s="285"/>
      <c r="M733" s="285"/>
      <c r="N733" s="53"/>
      <c r="O733" s="53"/>
      <c r="P733" s="53" t="str">
        <f>vlookup(N733,Categorizations!A:C,3,FALSE)</f>
        <v>#N/A</v>
      </c>
      <c r="Q733" s="31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</row>
    <row r="734" ht="22.5" customHeight="1">
      <c r="A734" s="261" t="str">
        <f t="shared" si="24"/>
        <v/>
      </c>
      <c r="B734" s="286"/>
      <c r="C734" s="312"/>
      <c r="D734" s="127"/>
      <c r="E734" s="313"/>
      <c r="F734" s="114"/>
      <c r="G734" s="314"/>
      <c r="H734" s="114"/>
      <c r="I734" s="315"/>
      <c r="J734" s="114"/>
      <c r="K734" s="305"/>
      <c r="L734" s="285"/>
      <c r="M734" s="285"/>
      <c r="N734" s="53"/>
      <c r="O734" s="53"/>
      <c r="P734" s="53" t="str">
        <f>vlookup(N734,Categorizations!A:C,3,FALSE)</f>
        <v>#N/A</v>
      </c>
      <c r="Q734" s="31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</row>
    <row r="735" ht="22.5" customHeight="1">
      <c r="A735" s="261" t="str">
        <f t="shared" si="24"/>
        <v/>
      </c>
      <c r="B735" s="286"/>
      <c r="C735" s="312"/>
      <c r="D735" s="127"/>
      <c r="E735" s="313"/>
      <c r="F735" s="114"/>
      <c r="G735" s="314"/>
      <c r="H735" s="114"/>
      <c r="I735" s="315"/>
      <c r="J735" s="114"/>
      <c r="K735" s="305"/>
      <c r="L735" s="285"/>
      <c r="M735" s="285"/>
      <c r="N735" s="53"/>
      <c r="O735" s="53"/>
      <c r="P735" s="53" t="str">
        <f>vlookup(N735,Categorizations!A:C,3,FALSE)</f>
        <v>#N/A</v>
      </c>
      <c r="Q735" s="31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</row>
    <row r="736" ht="22.5" customHeight="1">
      <c r="A736" s="261" t="str">
        <f t="shared" si="24"/>
        <v/>
      </c>
      <c r="B736" s="286"/>
      <c r="C736" s="312"/>
      <c r="D736" s="127"/>
      <c r="E736" s="313"/>
      <c r="F736" s="114"/>
      <c r="G736" s="314"/>
      <c r="H736" s="114"/>
      <c r="I736" s="315"/>
      <c r="J736" s="114"/>
      <c r="K736" s="305"/>
      <c r="L736" s="285"/>
      <c r="M736" s="285"/>
      <c r="N736" s="53"/>
      <c r="O736" s="53"/>
      <c r="P736" s="53" t="str">
        <f>vlookup(N736,Categorizations!A:C,3,FALSE)</f>
        <v>#N/A</v>
      </c>
      <c r="Q736" s="31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</row>
    <row r="737" ht="22.5" customHeight="1">
      <c r="A737" s="261" t="str">
        <f t="shared" si="24"/>
        <v/>
      </c>
      <c r="B737" s="286"/>
      <c r="C737" s="312"/>
      <c r="D737" s="127"/>
      <c r="E737" s="313"/>
      <c r="F737" s="114"/>
      <c r="G737" s="314"/>
      <c r="H737" s="114"/>
      <c r="I737" s="315"/>
      <c r="J737" s="114"/>
      <c r="K737" s="305"/>
      <c r="L737" s="285"/>
      <c r="M737" s="285"/>
      <c r="N737" s="53"/>
      <c r="O737" s="53"/>
      <c r="P737" s="53" t="str">
        <f>vlookup(N737,Categorizations!A:C,3,FALSE)</f>
        <v>#N/A</v>
      </c>
      <c r="Q737" s="31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</row>
    <row r="738" ht="22.5" customHeight="1">
      <c r="A738" s="261" t="str">
        <f t="shared" si="24"/>
        <v/>
      </c>
      <c r="B738" s="286"/>
      <c r="C738" s="312"/>
      <c r="D738" s="127"/>
      <c r="E738" s="313"/>
      <c r="F738" s="114"/>
      <c r="G738" s="314"/>
      <c r="H738" s="114"/>
      <c r="I738" s="315"/>
      <c r="J738" s="114"/>
      <c r="K738" s="305"/>
      <c r="L738" s="285"/>
      <c r="M738" s="285"/>
      <c r="N738" s="53"/>
      <c r="O738" s="53"/>
      <c r="P738" s="53" t="str">
        <f>vlookup(N738,Categorizations!A:C,3,FALSE)</f>
        <v>#N/A</v>
      </c>
      <c r="Q738" s="31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</row>
    <row r="739" ht="22.5" customHeight="1">
      <c r="A739" s="261" t="str">
        <f t="shared" si="24"/>
        <v/>
      </c>
      <c r="B739" s="286"/>
      <c r="C739" s="312"/>
      <c r="D739" s="127"/>
      <c r="E739" s="313"/>
      <c r="F739" s="114"/>
      <c r="G739" s="314"/>
      <c r="H739" s="114"/>
      <c r="I739" s="315"/>
      <c r="J739" s="114"/>
      <c r="K739" s="305"/>
      <c r="L739" s="285"/>
      <c r="M739" s="285"/>
      <c r="N739" s="53"/>
      <c r="O739" s="53"/>
      <c r="P739" s="53" t="str">
        <f>vlookup(N739,Categorizations!A:C,3,FALSE)</f>
        <v>#N/A</v>
      </c>
      <c r="Q739" s="31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</row>
    <row r="740" ht="22.5" customHeight="1">
      <c r="A740" s="261" t="str">
        <f t="shared" si="24"/>
        <v/>
      </c>
      <c r="B740" s="286"/>
      <c r="C740" s="312"/>
      <c r="D740" s="127"/>
      <c r="E740" s="313"/>
      <c r="F740" s="114"/>
      <c r="G740" s="314"/>
      <c r="H740" s="114"/>
      <c r="I740" s="315"/>
      <c r="J740" s="114"/>
      <c r="K740" s="305"/>
      <c r="L740" s="285"/>
      <c r="M740" s="285"/>
      <c r="N740" s="53"/>
      <c r="O740" s="53"/>
      <c r="P740" s="53" t="str">
        <f>vlookup(N740,Categorizations!A:C,3,FALSE)</f>
        <v>#N/A</v>
      </c>
      <c r="Q740" s="31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</row>
    <row r="741" ht="22.5" customHeight="1">
      <c r="A741" s="261" t="str">
        <f t="shared" si="24"/>
        <v/>
      </c>
      <c r="B741" s="286"/>
      <c r="C741" s="312"/>
      <c r="D741" s="127"/>
      <c r="E741" s="313"/>
      <c r="F741" s="114"/>
      <c r="G741" s="314"/>
      <c r="H741" s="114"/>
      <c r="I741" s="315"/>
      <c r="J741" s="114"/>
      <c r="K741" s="305"/>
      <c r="L741" s="285"/>
      <c r="M741" s="285"/>
      <c r="N741" s="53"/>
      <c r="O741" s="53"/>
      <c r="P741" s="53" t="str">
        <f>vlookup(N741,Categorizations!A:C,3,FALSE)</f>
        <v>#N/A</v>
      </c>
      <c r="Q741" s="31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</row>
    <row r="742" ht="22.5" customHeight="1">
      <c r="A742" s="261" t="str">
        <f t="shared" si="24"/>
        <v/>
      </c>
      <c r="B742" s="286"/>
      <c r="C742" s="312"/>
      <c r="D742" s="127"/>
      <c r="E742" s="313"/>
      <c r="F742" s="114"/>
      <c r="G742" s="314"/>
      <c r="H742" s="114"/>
      <c r="I742" s="315"/>
      <c r="J742" s="114"/>
      <c r="K742" s="305"/>
      <c r="L742" s="285"/>
      <c r="M742" s="285"/>
      <c r="N742" s="53"/>
      <c r="O742" s="53"/>
      <c r="P742" s="53" t="str">
        <f>vlookup(N742,Categorizations!A:C,3,FALSE)</f>
        <v>#N/A</v>
      </c>
      <c r="Q742" s="31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</row>
    <row r="743" ht="22.5" customHeight="1">
      <c r="A743" s="261" t="str">
        <f t="shared" si="24"/>
        <v/>
      </c>
      <c r="B743" s="286"/>
      <c r="C743" s="312"/>
      <c r="D743" s="127"/>
      <c r="E743" s="313"/>
      <c r="F743" s="114"/>
      <c r="G743" s="314"/>
      <c r="H743" s="114"/>
      <c r="I743" s="315"/>
      <c r="J743" s="114"/>
      <c r="K743" s="305"/>
      <c r="L743" s="285"/>
      <c r="M743" s="285"/>
      <c r="N743" s="53"/>
      <c r="O743" s="53"/>
      <c r="P743" s="53" t="str">
        <f>vlookup(N743,Categorizations!A:C,3,FALSE)</f>
        <v>#N/A</v>
      </c>
      <c r="Q743" s="31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</row>
    <row r="744" ht="22.5" customHeight="1">
      <c r="A744" s="261" t="str">
        <f t="shared" si="24"/>
        <v/>
      </c>
      <c r="B744" s="286"/>
      <c r="C744" s="312"/>
      <c r="D744" s="127"/>
      <c r="E744" s="313"/>
      <c r="F744" s="114"/>
      <c r="G744" s="314"/>
      <c r="H744" s="114"/>
      <c r="I744" s="315"/>
      <c r="J744" s="114"/>
      <c r="K744" s="305"/>
      <c r="L744" s="285"/>
      <c r="M744" s="285"/>
      <c r="N744" s="53"/>
      <c r="O744" s="53"/>
      <c r="P744" s="53" t="str">
        <f>vlookup(N744,Categorizations!A:C,3,FALSE)</f>
        <v>#N/A</v>
      </c>
      <c r="Q744" s="31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</row>
    <row r="745" ht="22.5" customHeight="1">
      <c r="A745" s="261" t="str">
        <f t="shared" si="24"/>
        <v/>
      </c>
      <c r="B745" s="286"/>
      <c r="C745" s="312"/>
      <c r="D745" s="127"/>
      <c r="E745" s="313"/>
      <c r="F745" s="114"/>
      <c r="G745" s="314"/>
      <c r="H745" s="114"/>
      <c r="I745" s="315"/>
      <c r="J745" s="114"/>
      <c r="K745" s="305"/>
      <c r="L745" s="285"/>
      <c r="M745" s="285"/>
      <c r="N745" s="53"/>
      <c r="O745" s="53"/>
      <c r="P745" s="53" t="str">
        <f>vlookup(N745,Categorizations!A:C,3,FALSE)</f>
        <v>#N/A</v>
      </c>
      <c r="Q745" s="31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</row>
    <row r="746" ht="22.5" customHeight="1">
      <c r="A746" s="261" t="str">
        <f t="shared" si="24"/>
        <v/>
      </c>
      <c r="B746" s="286"/>
      <c r="C746" s="312"/>
      <c r="D746" s="127"/>
      <c r="E746" s="313"/>
      <c r="F746" s="114"/>
      <c r="G746" s="314"/>
      <c r="H746" s="114"/>
      <c r="I746" s="315"/>
      <c r="J746" s="114"/>
      <c r="K746" s="305"/>
      <c r="L746" s="285"/>
      <c r="M746" s="285"/>
      <c r="N746" s="53"/>
      <c r="O746" s="53"/>
      <c r="P746" s="53" t="str">
        <f>vlookup(N746,Categorizations!A:C,3,FALSE)</f>
        <v>#N/A</v>
      </c>
      <c r="Q746" s="31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</row>
    <row r="747" ht="22.5" customHeight="1">
      <c r="A747" s="261" t="str">
        <f t="shared" si="24"/>
        <v/>
      </c>
      <c r="B747" s="286"/>
      <c r="C747" s="312"/>
      <c r="D747" s="127"/>
      <c r="E747" s="313"/>
      <c r="F747" s="114"/>
      <c r="G747" s="314"/>
      <c r="H747" s="114"/>
      <c r="I747" s="315"/>
      <c r="J747" s="114"/>
      <c r="K747" s="305"/>
      <c r="L747" s="285"/>
      <c r="M747" s="285"/>
      <c r="N747" s="53"/>
      <c r="O747" s="53"/>
      <c r="P747" s="53" t="str">
        <f>vlookup(N747,Categorizations!A:C,3,FALSE)</f>
        <v>#N/A</v>
      </c>
      <c r="Q747" s="31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</row>
    <row r="748" ht="22.5" customHeight="1">
      <c r="A748" s="261" t="str">
        <f t="shared" si="24"/>
        <v/>
      </c>
      <c r="B748" s="286"/>
      <c r="C748" s="312"/>
      <c r="D748" s="127"/>
      <c r="E748" s="313"/>
      <c r="F748" s="114"/>
      <c r="G748" s="314"/>
      <c r="H748" s="114"/>
      <c r="I748" s="315"/>
      <c r="J748" s="114"/>
      <c r="K748" s="305"/>
      <c r="L748" s="285"/>
      <c r="M748" s="285"/>
      <c r="N748" s="53"/>
      <c r="O748" s="53"/>
      <c r="P748" s="53" t="str">
        <f>vlookup(N748,Categorizations!A:C,3,FALSE)</f>
        <v>#N/A</v>
      </c>
      <c r="Q748" s="31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</row>
    <row r="749" ht="22.5" customHeight="1">
      <c r="A749" s="261" t="str">
        <f t="shared" si="24"/>
        <v/>
      </c>
      <c r="B749" s="286"/>
      <c r="C749" s="312"/>
      <c r="D749" s="127"/>
      <c r="E749" s="313"/>
      <c r="F749" s="114"/>
      <c r="G749" s="314"/>
      <c r="H749" s="114"/>
      <c r="I749" s="315"/>
      <c r="J749" s="114"/>
      <c r="K749" s="305"/>
      <c r="L749" s="285"/>
      <c r="M749" s="285"/>
      <c r="N749" s="53"/>
      <c r="O749" s="53"/>
      <c r="P749" s="53" t="str">
        <f>vlookup(N749,Categorizations!A:C,3,FALSE)</f>
        <v>#N/A</v>
      </c>
      <c r="Q749" s="31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</row>
    <row r="750" ht="22.5" customHeight="1">
      <c r="A750" s="261" t="str">
        <f t="shared" si="24"/>
        <v/>
      </c>
      <c r="B750" s="286"/>
      <c r="C750" s="312"/>
      <c r="D750" s="127"/>
      <c r="E750" s="313"/>
      <c r="F750" s="114"/>
      <c r="G750" s="314"/>
      <c r="H750" s="114"/>
      <c r="I750" s="315"/>
      <c r="J750" s="114"/>
      <c r="K750" s="305"/>
      <c r="L750" s="285"/>
      <c r="M750" s="285"/>
      <c r="N750" s="53"/>
      <c r="O750" s="53"/>
      <c r="P750" s="53" t="str">
        <f>vlookup(N750,Categorizations!A:C,3,FALSE)</f>
        <v>#N/A</v>
      </c>
      <c r="Q750" s="31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</row>
    <row r="751" ht="22.5" customHeight="1">
      <c r="A751" s="261" t="str">
        <f t="shared" si="24"/>
        <v/>
      </c>
      <c r="B751" s="286"/>
      <c r="C751" s="312"/>
      <c r="D751" s="127"/>
      <c r="E751" s="313"/>
      <c r="F751" s="114"/>
      <c r="G751" s="314"/>
      <c r="H751" s="114"/>
      <c r="I751" s="315"/>
      <c r="J751" s="114"/>
      <c r="K751" s="305"/>
      <c r="L751" s="285"/>
      <c r="M751" s="285"/>
      <c r="N751" s="53"/>
      <c r="O751" s="53"/>
      <c r="P751" s="53" t="str">
        <f>vlookup(N751,Categorizations!A:C,3,FALSE)</f>
        <v>#N/A</v>
      </c>
      <c r="Q751" s="31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</row>
    <row r="752" ht="22.5" customHeight="1">
      <c r="A752" s="261" t="str">
        <f t="shared" si="24"/>
        <v/>
      </c>
      <c r="B752" s="286"/>
      <c r="C752" s="312"/>
      <c r="D752" s="127"/>
      <c r="E752" s="313"/>
      <c r="F752" s="114"/>
      <c r="G752" s="314"/>
      <c r="H752" s="114"/>
      <c r="I752" s="315"/>
      <c r="J752" s="114"/>
      <c r="K752" s="305"/>
      <c r="L752" s="285"/>
      <c r="M752" s="285"/>
      <c r="N752" s="53"/>
      <c r="O752" s="53"/>
      <c r="P752" s="53" t="str">
        <f>vlookup(N752,Categorizations!A:C,3,FALSE)</f>
        <v>#N/A</v>
      </c>
      <c r="Q752" s="31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</row>
    <row r="753" ht="22.5" customHeight="1">
      <c r="A753" s="261" t="str">
        <f t="shared" si="24"/>
        <v/>
      </c>
      <c r="B753" s="286"/>
      <c r="C753" s="312"/>
      <c r="D753" s="127"/>
      <c r="E753" s="313"/>
      <c r="F753" s="114"/>
      <c r="G753" s="314"/>
      <c r="H753" s="114"/>
      <c r="I753" s="315"/>
      <c r="J753" s="114"/>
      <c r="K753" s="305"/>
      <c r="L753" s="285"/>
      <c r="M753" s="285"/>
      <c r="N753" s="53"/>
      <c r="O753" s="53"/>
      <c r="P753" s="53" t="str">
        <f>vlookup(N753,Categorizations!A:C,3,FALSE)</f>
        <v>#N/A</v>
      </c>
      <c r="Q753" s="31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</row>
    <row r="754" ht="22.5" customHeight="1">
      <c r="A754" s="261" t="str">
        <f t="shared" si="24"/>
        <v/>
      </c>
      <c r="B754" s="286"/>
      <c r="C754" s="312"/>
      <c r="D754" s="127"/>
      <c r="E754" s="313"/>
      <c r="F754" s="114"/>
      <c r="G754" s="314"/>
      <c r="H754" s="114"/>
      <c r="I754" s="315"/>
      <c r="J754" s="114"/>
      <c r="K754" s="305"/>
      <c r="L754" s="285"/>
      <c r="M754" s="285"/>
      <c r="N754" s="53"/>
      <c r="O754" s="53"/>
      <c r="P754" s="53" t="str">
        <f>vlookup(N754,Categorizations!A:C,3,FALSE)</f>
        <v>#N/A</v>
      </c>
      <c r="Q754" s="31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</row>
    <row r="755" ht="22.5" customHeight="1">
      <c r="A755" s="261" t="str">
        <f t="shared" si="24"/>
        <v/>
      </c>
      <c r="B755" s="286"/>
      <c r="C755" s="312"/>
      <c r="D755" s="127"/>
      <c r="E755" s="313"/>
      <c r="F755" s="114"/>
      <c r="G755" s="314"/>
      <c r="H755" s="114"/>
      <c r="I755" s="315"/>
      <c r="J755" s="114"/>
      <c r="K755" s="305"/>
      <c r="L755" s="285"/>
      <c r="M755" s="285"/>
      <c r="N755" s="53"/>
      <c r="O755" s="53"/>
      <c r="P755" s="53" t="str">
        <f>vlookup(N755,Categorizations!A:C,3,FALSE)</f>
        <v>#N/A</v>
      </c>
      <c r="Q755" s="31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</row>
    <row r="756" ht="22.5" customHeight="1">
      <c r="A756" s="261" t="str">
        <f t="shared" si="24"/>
        <v/>
      </c>
      <c r="B756" s="286"/>
      <c r="C756" s="312"/>
      <c r="D756" s="127"/>
      <c r="E756" s="313"/>
      <c r="F756" s="114"/>
      <c r="G756" s="314"/>
      <c r="H756" s="114"/>
      <c r="I756" s="315"/>
      <c r="J756" s="114"/>
      <c r="K756" s="305"/>
      <c r="L756" s="285"/>
      <c r="M756" s="285"/>
      <c r="N756" s="53"/>
      <c r="O756" s="53"/>
      <c r="P756" s="53" t="str">
        <f>vlookup(N756,Categorizations!A:C,3,FALSE)</f>
        <v>#N/A</v>
      </c>
      <c r="Q756" s="31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</row>
    <row r="757" ht="22.5" customHeight="1">
      <c r="A757" s="261" t="str">
        <f t="shared" si="24"/>
        <v/>
      </c>
      <c r="B757" s="286"/>
      <c r="C757" s="312"/>
      <c r="D757" s="127"/>
      <c r="E757" s="313"/>
      <c r="F757" s="114"/>
      <c r="G757" s="314"/>
      <c r="H757" s="114"/>
      <c r="I757" s="315"/>
      <c r="J757" s="114"/>
      <c r="K757" s="305"/>
      <c r="L757" s="285"/>
      <c r="M757" s="285"/>
      <c r="N757" s="53"/>
      <c r="O757" s="53"/>
      <c r="P757" s="53" t="str">
        <f>vlookup(N757,Categorizations!A:C,3,FALSE)</f>
        <v>#N/A</v>
      </c>
      <c r="Q757" s="31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</row>
    <row r="758" ht="22.5" customHeight="1">
      <c r="A758" s="261" t="str">
        <f t="shared" si="24"/>
        <v/>
      </c>
      <c r="B758" s="286"/>
      <c r="C758" s="312"/>
      <c r="D758" s="127"/>
      <c r="E758" s="313"/>
      <c r="F758" s="114"/>
      <c r="G758" s="314"/>
      <c r="H758" s="114"/>
      <c r="I758" s="315"/>
      <c r="J758" s="114"/>
      <c r="K758" s="305"/>
      <c r="L758" s="285"/>
      <c r="M758" s="285"/>
      <c r="N758" s="53"/>
      <c r="O758" s="53"/>
      <c r="P758" s="53" t="str">
        <f>vlookup(N758,Categorizations!A:C,3,FALSE)</f>
        <v>#N/A</v>
      </c>
      <c r="Q758" s="31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</row>
    <row r="759" ht="22.5" customHeight="1">
      <c r="A759" s="261" t="str">
        <f t="shared" si="24"/>
        <v/>
      </c>
      <c r="B759" s="286"/>
      <c r="C759" s="312"/>
      <c r="D759" s="127"/>
      <c r="E759" s="313"/>
      <c r="F759" s="114"/>
      <c r="G759" s="314"/>
      <c r="H759" s="114"/>
      <c r="I759" s="315"/>
      <c r="J759" s="114"/>
      <c r="K759" s="305"/>
      <c r="L759" s="285"/>
      <c r="M759" s="285"/>
      <c r="N759" s="53"/>
      <c r="O759" s="53"/>
      <c r="P759" s="53" t="str">
        <f>vlookup(N759,Categorizations!A:C,3,FALSE)</f>
        <v>#N/A</v>
      </c>
      <c r="Q759" s="31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</row>
    <row r="760" ht="22.5" customHeight="1">
      <c r="A760" s="261" t="str">
        <f t="shared" si="24"/>
        <v/>
      </c>
      <c r="B760" s="286"/>
      <c r="C760" s="312"/>
      <c r="D760" s="127"/>
      <c r="E760" s="313"/>
      <c r="F760" s="114"/>
      <c r="G760" s="314"/>
      <c r="H760" s="114"/>
      <c r="I760" s="315"/>
      <c r="J760" s="114"/>
      <c r="K760" s="305"/>
      <c r="L760" s="285"/>
      <c r="M760" s="285"/>
      <c r="N760" s="53"/>
      <c r="O760" s="53"/>
      <c r="P760" s="53" t="str">
        <f>vlookup(N760,Categorizations!A:C,3,FALSE)</f>
        <v>#N/A</v>
      </c>
      <c r="Q760" s="31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</row>
    <row r="761" ht="22.5" customHeight="1">
      <c r="A761" s="261" t="str">
        <f t="shared" si="24"/>
        <v/>
      </c>
      <c r="B761" s="286"/>
      <c r="C761" s="312"/>
      <c r="D761" s="127"/>
      <c r="E761" s="313"/>
      <c r="F761" s="114"/>
      <c r="G761" s="314"/>
      <c r="H761" s="114"/>
      <c r="I761" s="315"/>
      <c r="J761" s="114"/>
      <c r="K761" s="305"/>
      <c r="L761" s="285"/>
      <c r="M761" s="285"/>
      <c r="N761" s="53"/>
      <c r="O761" s="53"/>
      <c r="P761" s="53" t="str">
        <f>vlookup(N761,Categorizations!A:C,3,FALSE)</f>
        <v>#N/A</v>
      </c>
      <c r="Q761" s="31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</row>
    <row r="762" ht="22.5" customHeight="1">
      <c r="A762" s="261" t="str">
        <f t="shared" si="24"/>
        <v/>
      </c>
      <c r="B762" s="286"/>
      <c r="C762" s="312"/>
      <c r="D762" s="127"/>
      <c r="E762" s="313"/>
      <c r="F762" s="114"/>
      <c r="G762" s="314"/>
      <c r="H762" s="114"/>
      <c r="I762" s="315"/>
      <c r="J762" s="114"/>
      <c r="K762" s="305"/>
      <c r="L762" s="285"/>
      <c r="M762" s="285"/>
      <c r="N762" s="53"/>
      <c r="O762" s="53"/>
      <c r="P762" s="53" t="str">
        <f>vlookup(N762,Categorizations!A:C,3,FALSE)</f>
        <v>#N/A</v>
      </c>
      <c r="Q762" s="31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</row>
    <row r="763" ht="22.5" customHeight="1">
      <c r="A763" s="261" t="str">
        <f t="shared" si="24"/>
        <v/>
      </c>
      <c r="B763" s="286"/>
      <c r="C763" s="312"/>
      <c r="D763" s="127"/>
      <c r="E763" s="313"/>
      <c r="F763" s="114"/>
      <c r="G763" s="314"/>
      <c r="H763" s="114"/>
      <c r="I763" s="315"/>
      <c r="J763" s="114"/>
      <c r="K763" s="305"/>
      <c r="L763" s="285"/>
      <c r="M763" s="285"/>
      <c r="N763" s="53"/>
      <c r="O763" s="53"/>
      <c r="P763" s="53" t="str">
        <f>vlookup(N763,Categorizations!A:C,3,FALSE)</f>
        <v>#N/A</v>
      </c>
      <c r="Q763" s="31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</row>
    <row r="764" ht="22.5" customHeight="1">
      <c r="A764" s="261" t="str">
        <f t="shared" si="24"/>
        <v/>
      </c>
      <c r="B764" s="286"/>
      <c r="C764" s="312"/>
      <c r="D764" s="127"/>
      <c r="E764" s="313"/>
      <c r="F764" s="114"/>
      <c r="G764" s="314"/>
      <c r="H764" s="114"/>
      <c r="I764" s="315"/>
      <c r="J764" s="114"/>
      <c r="K764" s="305"/>
      <c r="L764" s="285"/>
      <c r="M764" s="285"/>
      <c r="N764" s="53"/>
      <c r="O764" s="53"/>
      <c r="P764" s="53" t="str">
        <f>vlookup(N764,Categorizations!A:C,3,FALSE)</f>
        <v>#N/A</v>
      </c>
      <c r="Q764" s="31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</row>
    <row r="765" ht="22.5" customHeight="1">
      <c r="A765" s="261" t="str">
        <f t="shared" si="24"/>
        <v/>
      </c>
      <c r="B765" s="286"/>
      <c r="C765" s="312"/>
      <c r="D765" s="127"/>
      <c r="E765" s="313"/>
      <c r="F765" s="114"/>
      <c r="G765" s="314"/>
      <c r="H765" s="114"/>
      <c r="I765" s="315"/>
      <c r="J765" s="114"/>
      <c r="K765" s="305"/>
      <c r="L765" s="285"/>
      <c r="M765" s="285"/>
      <c r="N765" s="53"/>
      <c r="O765" s="53"/>
      <c r="P765" s="53" t="str">
        <f>vlookup(N765,Categorizations!A:C,3,FALSE)</f>
        <v>#N/A</v>
      </c>
      <c r="Q765" s="31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</row>
    <row r="766" ht="22.5" customHeight="1">
      <c r="A766" s="261" t="str">
        <f t="shared" si="24"/>
        <v/>
      </c>
      <c r="B766" s="286"/>
      <c r="C766" s="312"/>
      <c r="D766" s="127"/>
      <c r="E766" s="313"/>
      <c r="F766" s="114"/>
      <c r="G766" s="314"/>
      <c r="H766" s="114"/>
      <c r="I766" s="315"/>
      <c r="J766" s="114"/>
      <c r="K766" s="305"/>
      <c r="L766" s="285"/>
      <c r="M766" s="285"/>
      <c r="N766" s="53"/>
      <c r="O766" s="53"/>
      <c r="P766" s="53" t="str">
        <f>vlookup(N766,Categorizations!A:C,3,FALSE)</f>
        <v>#N/A</v>
      </c>
      <c r="Q766" s="31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</row>
    <row r="767" ht="22.5" customHeight="1">
      <c r="A767" s="261" t="str">
        <f t="shared" si="24"/>
        <v/>
      </c>
      <c r="B767" s="286"/>
      <c r="C767" s="312"/>
      <c r="D767" s="127"/>
      <c r="E767" s="313"/>
      <c r="F767" s="114"/>
      <c r="G767" s="314"/>
      <c r="H767" s="114"/>
      <c r="I767" s="315"/>
      <c r="J767" s="114"/>
      <c r="K767" s="305"/>
      <c r="L767" s="285"/>
      <c r="M767" s="285"/>
      <c r="N767" s="53"/>
      <c r="O767" s="53"/>
      <c r="P767" s="53" t="str">
        <f>vlookup(N767,Categorizations!A:C,3,FALSE)</f>
        <v>#N/A</v>
      </c>
      <c r="Q767" s="31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</row>
    <row r="768" ht="22.5" customHeight="1">
      <c r="A768" s="261" t="str">
        <f t="shared" si="24"/>
        <v/>
      </c>
      <c r="B768" s="286"/>
      <c r="C768" s="312"/>
      <c r="D768" s="127"/>
      <c r="E768" s="313"/>
      <c r="F768" s="114"/>
      <c r="G768" s="314"/>
      <c r="H768" s="114"/>
      <c r="I768" s="315"/>
      <c r="J768" s="114"/>
      <c r="K768" s="305"/>
      <c r="L768" s="285"/>
      <c r="M768" s="285"/>
      <c r="N768" s="53"/>
      <c r="O768" s="53"/>
      <c r="P768" s="53" t="str">
        <f>vlookup(N768,Categorizations!A:C,3,FALSE)</f>
        <v>#N/A</v>
      </c>
      <c r="Q768" s="31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</row>
    <row r="769" ht="22.5" customHeight="1">
      <c r="A769" s="261" t="str">
        <f t="shared" si="24"/>
        <v/>
      </c>
      <c r="B769" s="286"/>
      <c r="C769" s="312"/>
      <c r="D769" s="127"/>
      <c r="E769" s="313"/>
      <c r="F769" s="114"/>
      <c r="G769" s="314"/>
      <c r="H769" s="114"/>
      <c r="I769" s="315"/>
      <c r="J769" s="114"/>
      <c r="K769" s="305"/>
      <c r="L769" s="285"/>
      <c r="M769" s="285"/>
      <c r="N769" s="53"/>
      <c r="O769" s="53"/>
      <c r="P769" s="53" t="str">
        <f>vlookup(N769,Categorizations!A:C,3,FALSE)</f>
        <v>#N/A</v>
      </c>
      <c r="Q769" s="31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</row>
    <row r="770" ht="22.5" customHeight="1">
      <c r="A770" s="261" t="str">
        <f t="shared" si="24"/>
        <v/>
      </c>
      <c r="B770" s="286"/>
      <c r="C770" s="312"/>
      <c r="D770" s="127"/>
      <c r="E770" s="313"/>
      <c r="F770" s="114"/>
      <c r="G770" s="314"/>
      <c r="H770" s="114"/>
      <c r="I770" s="315"/>
      <c r="J770" s="114"/>
      <c r="K770" s="305"/>
      <c r="L770" s="285"/>
      <c r="M770" s="285"/>
      <c r="N770" s="53"/>
      <c r="O770" s="53"/>
      <c r="P770" s="53" t="str">
        <f>vlookup(N770,Categorizations!A:C,3,FALSE)</f>
        <v>#N/A</v>
      </c>
      <c r="Q770" s="31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</row>
    <row r="771" ht="22.5" customHeight="1">
      <c r="A771" s="261" t="str">
        <f t="shared" si="24"/>
        <v/>
      </c>
      <c r="B771" s="286"/>
      <c r="C771" s="312"/>
      <c r="D771" s="127"/>
      <c r="E771" s="313"/>
      <c r="F771" s="114"/>
      <c r="G771" s="314"/>
      <c r="H771" s="114"/>
      <c r="I771" s="315"/>
      <c r="J771" s="114"/>
      <c r="K771" s="305"/>
      <c r="L771" s="285"/>
      <c r="M771" s="285"/>
      <c r="N771" s="53"/>
      <c r="O771" s="53"/>
      <c r="P771" s="53" t="str">
        <f>vlookup(N771,Categorizations!A:C,3,FALSE)</f>
        <v>#N/A</v>
      </c>
      <c r="Q771" s="31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</row>
    <row r="772" ht="22.5" customHeight="1">
      <c r="A772" s="261" t="str">
        <f t="shared" si="24"/>
        <v/>
      </c>
      <c r="B772" s="286"/>
      <c r="C772" s="312"/>
      <c r="D772" s="127"/>
      <c r="E772" s="313"/>
      <c r="F772" s="114"/>
      <c r="G772" s="314"/>
      <c r="H772" s="114"/>
      <c r="I772" s="315"/>
      <c r="J772" s="114"/>
      <c r="K772" s="305"/>
      <c r="L772" s="285"/>
      <c r="M772" s="285"/>
      <c r="N772" s="53"/>
      <c r="O772" s="53"/>
      <c r="P772" s="53" t="str">
        <f>vlookup(N772,Categorizations!A:C,3,FALSE)</f>
        <v>#N/A</v>
      </c>
      <c r="Q772" s="31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</row>
    <row r="773" ht="22.5" customHeight="1">
      <c r="A773" s="261" t="str">
        <f t="shared" si="24"/>
        <v/>
      </c>
      <c r="B773" s="286"/>
      <c r="C773" s="312"/>
      <c r="D773" s="127"/>
      <c r="E773" s="313"/>
      <c r="F773" s="114"/>
      <c r="G773" s="314"/>
      <c r="H773" s="114"/>
      <c r="I773" s="315"/>
      <c r="J773" s="114"/>
      <c r="K773" s="305"/>
      <c r="L773" s="285"/>
      <c r="M773" s="285"/>
      <c r="N773" s="53"/>
      <c r="O773" s="53"/>
      <c r="P773" s="53" t="str">
        <f>vlookup(N773,Categorizations!A:C,3,FALSE)</f>
        <v>#N/A</v>
      </c>
      <c r="Q773" s="31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</row>
    <row r="774" ht="22.5" customHeight="1">
      <c r="A774" s="261" t="str">
        <f t="shared" si="24"/>
        <v/>
      </c>
      <c r="B774" s="286"/>
      <c r="C774" s="312"/>
      <c r="D774" s="127"/>
      <c r="E774" s="313"/>
      <c r="F774" s="114"/>
      <c r="G774" s="314"/>
      <c r="H774" s="114"/>
      <c r="I774" s="315"/>
      <c r="J774" s="114"/>
      <c r="K774" s="305"/>
      <c r="L774" s="285"/>
      <c r="M774" s="285"/>
      <c r="N774" s="53"/>
      <c r="O774" s="53"/>
      <c r="P774" s="53" t="str">
        <f>vlookup(N774,Categorizations!A:C,3,FALSE)</f>
        <v>#N/A</v>
      </c>
      <c r="Q774" s="31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</row>
    <row r="775" ht="22.5" customHeight="1">
      <c r="A775" s="261" t="str">
        <f t="shared" si="24"/>
        <v/>
      </c>
      <c r="B775" s="286"/>
      <c r="C775" s="312"/>
      <c r="D775" s="127"/>
      <c r="E775" s="313"/>
      <c r="F775" s="114"/>
      <c r="G775" s="314"/>
      <c r="H775" s="114"/>
      <c r="I775" s="315"/>
      <c r="J775" s="114"/>
      <c r="K775" s="305"/>
      <c r="L775" s="285"/>
      <c r="M775" s="285"/>
      <c r="N775" s="53"/>
      <c r="O775" s="53"/>
      <c r="P775" s="53" t="str">
        <f>vlookup(N775,Categorizations!A:C,3,FALSE)</f>
        <v>#N/A</v>
      </c>
      <c r="Q775" s="31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</row>
    <row r="776" ht="22.5" customHeight="1">
      <c r="A776" s="261" t="str">
        <f t="shared" si="24"/>
        <v/>
      </c>
      <c r="B776" s="286"/>
      <c r="C776" s="312"/>
      <c r="D776" s="127"/>
      <c r="E776" s="313"/>
      <c r="F776" s="114"/>
      <c r="G776" s="314"/>
      <c r="H776" s="114"/>
      <c r="I776" s="315"/>
      <c r="J776" s="114"/>
      <c r="K776" s="305"/>
      <c r="L776" s="285"/>
      <c r="M776" s="285"/>
      <c r="N776" s="53"/>
      <c r="O776" s="53"/>
      <c r="P776" s="53" t="str">
        <f>vlookup(N776,Categorizations!A:C,3,FALSE)</f>
        <v>#N/A</v>
      </c>
      <c r="Q776" s="31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</row>
    <row r="777" ht="22.5" customHeight="1">
      <c r="A777" s="261" t="str">
        <f t="shared" si="24"/>
        <v/>
      </c>
      <c r="B777" s="286"/>
      <c r="C777" s="312"/>
      <c r="D777" s="127"/>
      <c r="E777" s="313"/>
      <c r="F777" s="114"/>
      <c r="G777" s="314"/>
      <c r="H777" s="114"/>
      <c r="I777" s="315"/>
      <c r="J777" s="114"/>
      <c r="K777" s="305"/>
      <c r="L777" s="285"/>
      <c r="M777" s="285"/>
      <c r="N777" s="53"/>
      <c r="O777" s="53"/>
      <c r="P777" s="53" t="str">
        <f>vlookup(N777,Categorizations!A:C,3,FALSE)</f>
        <v>#N/A</v>
      </c>
      <c r="Q777" s="31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</row>
    <row r="778" ht="22.5" customHeight="1">
      <c r="A778" s="261" t="str">
        <f t="shared" si="24"/>
        <v/>
      </c>
      <c r="B778" s="286"/>
      <c r="C778" s="312"/>
      <c r="D778" s="127"/>
      <c r="E778" s="313"/>
      <c r="F778" s="114"/>
      <c r="G778" s="314"/>
      <c r="H778" s="114"/>
      <c r="I778" s="315"/>
      <c r="J778" s="114"/>
      <c r="K778" s="305"/>
      <c r="L778" s="285"/>
      <c r="M778" s="285"/>
      <c r="N778" s="53"/>
      <c r="O778" s="53"/>
      <c r="P778" s="53" t="str">
        <f>vlookup(N778,Categorizations!A:C,3,FALSE)</f>
        <v>#N/A</v>
      </c>
      <c r="Q778" s="31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</row>
    <row r="779" ht="22.5" customHeight="1">
      <c r="A779" s="261" t="str">
        <f t="shared" si="24"/>
        <v/>
      </c>
      <c r="B779" s="286"/>
      <c r="C779" s="312"/>
      <c r="D779" s="127"/>
      <c r="E779" s="313"/>
      <c r="F779" s="114"/>
      <c r="G779" s="314"/>
      <c r="H779" s="114"/>
      <c r="I779" s="315"/>
      <c r="J779" s="114"/>
      <c r="K779" s="305"/>
      <c r="L779" s="285"/>
      <c r="M779" s="285"/>
      <c r="N779" s="53"/>
      <c r="O779" s="53"/>
      <c r="P779" s="53" t="str">
        <f>vlookup(N779,Categorizations!A:C,3,FALSE)</f>
        <v>#N/A</v>
      </c>
      <c r="Q779" s="31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</row>
    <row r="780" ht="22.5" customHeight="1">
      <c r="A780" s="261" t="str">
        <f t="shared" si="24"/>
        <v/>
      </c>
      <c r="B780" s="286"/>
      <c r="C780" s="312"/>
      <c r="D780" s="127"/>
      <c r="E780" s="313"/>
      <c r="F780" s="114"/>
      <c r="G780" s="314"/>
      <c r="H780" s="114"/>
      <c r="I780" s="315"/>
      <c r="J780" s="114"/>
      <c r="K780" s="305"/>
      <c r="L780" s="285"/>
      <c r="M780" s="285"/>
      <c r="N780" s="53"/>
      <c r="O780" s="53"/>
      <c r="P780" s="53" t="str">
        <f>vlookup(N780,Categorizations!A:C,3,FALSE)</f>
        <v>#N/A</v>
      </c>
      <c r="Q780" s="31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</row>
    <row r="781" ht="22.5" customHeight="1">
      <c r="A781" s="261" t="str">
        <f t="shared" si="24"/>
        <v/>
      </c>
      <c r="B781" s="286"/>
      <c r="C781" s="312"/>
      <c r="D781" s="127"/>
      <c r="E781" s="313"/>
      <c r="F781" s="114"/>
      <c r="G781" s="314"/>
      <c r="H781" s="114"/>
      <c r="I781" s="315"/>
      <c r="J781" s="114"/>
      <c r="K781" s="305"/>
      <c r="L781" s="285"/>
      <c r="M781" s="285"/>
      <c r="N781" s="53"/>
      <c r="O781" s="53"/>
      <c r="P781" s="53" t="str">
        <f>vlookup(N781,Categorizations!A:C,3,FALSE)</f>
        <v>#N/A</v>
      </c>
      <c r="Q781" s="31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</row>
    <row r="782" ht="22.5" customHeight="1">
      <c r="A782" s="261" t="str">
        <f t="shared" si="24"/>
        <v/>
      </c>
      <c r="B782" s="286"/>
      <c r="C782" s="312"/>
      <c r="D782" s="127"/>
      <c r="E782" s="313"/>
      <c r="F782" s="114"/>
      <c r="G782" s="314"/>
      <c r="H782" s="114"/>
      <c r="I782" s="315"/>
      <c r="J782" s="114"/>
      <c r="K782" s="305"/>
      <c r="L782" s="285"/>
      <c r="M782" s="285"/>
      <c r="N782" s="53"/>
      <c r="O782" s="53"/>
      <c r="P782" s="53" t="str">
        <f>vlookup(N782,Categorizations!A:C,3,FALSE)</f>
        <v>#N/A</v>
      </c>
      <c r="Q782" s="31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</row>
    <row r="783" ht="22.5" customHeight="1">
      <c r="A783" s="261" t="str">
        <f t="shared" si="24"/>
        <v/>
      </c>
      <c r="B783" s="286"/>
      <c r="C783" s="312"/>
      <c r="D783" s="127"/>
      <c r="E783" s="313"/>
      <c r="F783" s="114"/>
      <c r="G783" s="314"/>
      <c r="H783" s="114"/>
      <c r="I783" s="315"/>
      <c r="J783" s="114"/>
      <c r="K783" s="305"/>
      <c r="L783" s="285"/>
      <c r="M783" s="285"/>
      <c r="N783" s="53"/>
      <c r="O783" s="53"/>
      <c r="P783" s="53" t="str">
        <f>vlookup(N783,Categorizations!A:C,3,FALSE)</f>
        <v>#N/A</v>
      </c>
      <c r="Q783" s="31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</row>
    <row r="784" ht="22.5" customHeight="1">
      <c r="A784" s="261" t="str">
        <f t="shared" si="24"/>
        <v/>
      </c>
      <c r="B784" s="286"/>
      <c r="C784" s="312"/>
      <c r="D784" s="127"/>
      <c r="E784" s="313"/>
      <c r="F784" s="114"/>
      <c r="G784" s="314"/>
      <c r="H784" s="114"/>
      <c r="I784" s="315"/>
      <c r="J784" s="114"/>
      <c r="K784" s="305"/>
      <c r="L784" s="285"/>
      <c r="M784" s="285"/>
      <c r="N784" s="53"/>
      <c r="O784" s="53"/>
      <c r="P784" s="53" t="str">
        <f>vlookup(N784,Categorizations!A:C,3,FALSE)</f>
        <v>#N/A</v>
      </c>
      <c r="Q784" s="31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</row>
    <row r="785" ht="22.5" customHeight="1">
      <c r="A785" s="261" t="str">
        <f t="shared" si="24"/>
        <v/>
      </c>
      <c r="B785" s="286"/>
      <c r="C785" s="312"/>
      <c r="D785" s="127"/>
      <c r="E785" s="313"/>
      <c r="F785" s="114"/>
      <c r="G785" s="314"/>
      <c r="H785" s="114"/>
      <c r="I785" s="315"/>
      <c r="J785" s="114"/>
      <c r="K785" s="305"/>
      <c r="L785" s="285"/>
      <c r="M785" s="285"/>
      <c r="N785" s="53"/>
      <c r="O785" s="53"/>
      <c r="P785" s="53" t="str">
        <f>vlookup(N785,Categorizations!A:C,3,FALSE)</f>
        <v>#N/A</v>
      </c>
      <c r="Q785" s="31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</row>
    <row r="786" ht="22.5" customHeight="1">
      <c r="A786" s="261" t="str">
        <f t="shared" si="24"/>
        <v/>
      </c>
      <c r="B786" s="286"/>
      <c r="C786" s="312"/>
      <c r="D786" s="127"/>
      <c r="E786" s="313"/>
      <c r="F786" s="114"/>
      <c r="G786" s="314"/>
      <c r="H786" s="114"/>
      <c r="I786" s="315"/>
      <c r="J786" s="114"/>
      <c r="K786" s="305"/>
      <c r="L786" s="285"/>
      <c r="M786" s="285"/>
      <c r="N786" s="53"/>
      <c r="O786" s="53"/>
      <c r="P786" s="53" t="str">
        <f>vlookup(N786,Categorizations!A:C,3,FALSE)</f>
        <v>#N/A</v>
      </c>
      <c r="Q786" s="31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</row>
    <row r="787" ht="22.5" customHeight="1">
      <c r="A787" s="261" t="str">
        <f t="shared" si="24"/>
        <v/>
      </c>
      <c r="B787" s="286"/>
      <c r="C787" s="312"/>
      <c r="D787" s="127"/>
      <c r="E787" s="313"/>
      <c r="F787" s="114"/>
      <c r="G787" s="314"/>
      <c r="H787" s="114"/>
      <c r="I787" s="315"/>
      <c r="J787" s="114"/>
      <c r="K787" s="305"/>
      <c r="L787" s="285"/>
      <c r="M787" s="285"/>
      <c r="N787" s="53"/>
      <c r="O787" s="53"/>
      <c r="P787" s="53" t="str">
        <f>vlookup(N787,Categorizations!A:C,3,FALSE)</f>
        <v>#N/A</v>
      </c>
      <c r="Q787" s="31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</row>
    <row r="788" ht="22.5" customHeight="1">
      <c r="A788" s="261" t="str">
        <f t="shared" si="24"/>
        <v/>
      </c>
      <c r="B788" s="286"/>
      <c r="C788" s="312"/>
      <c r="D788" s="127"/>
      <c r="E788" s="313"/>
      <c r="F788" s="114"/>
      <c r="G788" s="314"/>
      <c r="H788" s="114"/>
      <c r="I788" s="315"/>
      <c r="J788" s="114"/>
      <c r="K788" s="305"/>
      <c r="L788" s="285"/>
      <c r="M788" s="285"/>
      <c r="N788" s="53"/>
      <c r="O788" s="53"/>
      <c r="P788" s="53" t="str">
        <f>vlookup(N788,Categorizations!A:C,3,FALSE)</f>
        <v>#N/A</v>
      </c>
      <c r="Q788" s="31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</row>
    <row r="789" ht="22.5" customHeight="1">
      <c r="A789" s="261" t="str">
        <f t="shared" si="24"/>
        <v/>
      </c>
      <c r="B789" s="286"/>
      <c r="C789" s="312"/>
      <c r="D789" s="127"/>
      <c r="E789" s="313"/>
      <c r="F789" s="114"/>
      <c r="G789" s="314"/>
      <c r="H789" s="114"/>
      <c r="I789" s="315"/>
      <c r="J789" s="114"/>
      <c r="K789" s="305"/>
      <c r="L789" s="285"/>
      <c r="M789" s="285"/>
      <c r="N789" s="53"/>
      <c r="O789" s="53"/>
      <c r="P789" s="53" t="str">
        <f>vlookup(N789,Categorizations!A:C,3,FALSE)</f>
        <v>#N/A</v>
      </c>
      <c r="Q789" s="31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</row>
    <row r="790" ht="22.5" customHeight="1">
      <c r="A790" s="261" t="str">
        <f t="shared" si="24"/>
        <v/>
      </c>
      <c r="B790" s="286"/>
      <c r="C790" s="312"/>
      <c r="D790" s="127"/>
      <c r="E790" s="313"/>
      <c r="F790" s="114"/>
      <c r="G790" s="314"/>
      <c r="H790" s="114"/>
      <c r="I790" s="315"/>
      <c r="J790" s="114"/>
      <c r="K790" s="305"/>
      <c r="L790" s="285"/>
      <c r="M790" s="285"/>
      <c r="N790" s="53"/>
      <c r="O790" s="53"/>
      <c r="P790" s="53" t="str">
        <f>vlookup(N790,Categorizations!A:C,3,FALSE)</f>
        <v>#N/A</v>
      </c>
      <c r="Q790" s="31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</row>
    <row r="791" ht="22.5" customHeight="1">
      <c r="A791" s="261" t="str">
        <f t="shared" si="24"/>
        <v/>
      </c>
      <c r="B791" s="286"/>
      <c r="C791" s="312"/>
      <c r="D791" s="127"/>
      <c r="E791" s="313"/>
      <c r="F791" s="114"/>
      <c r="G791" s="314"/>
      <c r="H791" s="114"/>
      <c r="I791" s="315"/>
      <c r="J791" s="114"/>
      <c r="K791" s="305"/>
      <c r="L791" s="285"/>
      <c r="M791" s="285"/>
      <c r="N791" s="53"/>
      <c r="O791" s="53"/>
      <c r="P791" s="53" t="str">
        <f>vlookup(N791,Categorizations!A:C,3,FALSE)</f>
        <v>#N/A</v>
      </c>
      <c r="Q791" s="31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</row>
    <row r="792" ht="22.5" customHeight="1">
      <c r="A792" s="261" t="str">
        <f t="shared" si="24"/>
        <v/>
      </c>
      <c r="B792" s="286"/>
      <c r="C792" s="312"/>
      <c r="D792" s="127"/>
      <c r="E792" s="313"/>
      <c r="F792" s="114"/>
      <c r="G792" s="314"/>
      <c r="H792" s="114"/>
      <c r="I792" s="315"/>
      <c r="J792" s="114"/>
      <c r="K792" s="305"/>
      <c r="L792" s="285"/>
      <c r="M792" s="285"/>
      <c r="N792" s="53"/>
      <c r="O792" s="53"/>
      <c r="P792" s="53" t="str">
        <f>vlookup(N792,Categorizations!A:C,3,FALSE)</f>
        <v>#N/A</v>
      </c>
      <c r="Q792" s="31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</row>
    <row r="793" ht="22.5" customHeight="1">
      <c r="A793" s="261" t="str">
        <f t="shared" si="24"/>
        <v/>
      </c>
      <c r="B793" s="286"/>
      <c r="C793" s="312"/>
      <c r="D793" s="127"/>
      <c r="E793" s="313"/>
      <c r="F793" s="114"/>
      <c r="G793" s="314"/>
      <c r="H793" s="114"/>
      <c r="I793" s="315"/>
      <c r="J793" s="114"/>
      <c r="K793" s="305"/>
      <c r="L793" s="285"/>
      <c r="M793" s="285"/>
      <c r="N793" s="53"/>
      <c r="O793" s="53"/>
      <c r="P793" s="53" t="str">
        <f>vlookup(N793,Categorizations!A:C,3,FALSE)</f>
        <v>#N/A</v>
      </c>
      <c r="Q793" s="31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</row>
    <row r="794" ht="22.5" customHeight="1">
      <c r="A794" s="261" t="str">
        <f t="shared" si="24"/>
        <v/>
      </c>
      <c r="B794" s="286"/>
      <c r="C794" s="312"/>
      <c r="D794" s="127"/>
      <c r="E794" s="313"/>
      <c r="F794" s="114"/>
      <c r="G794" s="314"/>
      <c r="H794" s="114"/>
      <c r="I794" s="315"/>
      <c r="J794" s="114"/>
      <c r="K794" s="305"/>
      <c r="L794" s="285"/>
      <c r="M794" s="285"/>
      <c r="N794" s="53"/>
      <c r="O794" s="53"/>
      <c r="P794" s="53" t="str">
        <f>vlookup(N794,Categorizations!A:C,3,FALSE)</f>
        <v>#N/A</v>
      </c>
      <c r="Q794" s="31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</row>
    <row r="795" ht="22.5" customHeight="1">
      <c r="A795" s="261" t="str">
        <f t="shared" si="24"/>
        <v/>
      </c>
      <c r="B795" s="286"/>
      <c r="C795" s="312"/>
      <c r="D795" s="127"/>
      <c r="E795" s="313"/>
      <c r="F795" s="114"/>
      <c r="G795" s="314"/>
      <c r="H795" s="114"/>
      <c r="I795" s="315"/>
      <c r="J795" s="114"/>
      <c r="K795" s="305"/>
      <c r="L795" s="285"/>
      <c r="M795" s="285"/>
      <c r="N795" s="53"/>
      <c r="O795" s="53"/>
      <c r="P795" s="53" t="str">
        <f>vlookup(N795,Categorizations!A:C,3,FALSE)</f>
        <v>#N/A</v>
      </c>
      <c r="Q795" s="31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</row>
    <row r="796" ht="22.5" customHeight="1">
      <c r="A796" s="261" t="str">
        <f t="shared" si="24"/>
        <v/>
      </c>
      <c r="B796" s="286"/>
      <c r="C796" s="312"/>
      <c r="D796" s="127"/>
      <c r="E796" s="313"/>
      <c r="F796" s="114"/>
      <c r="G796" s="314"/>
      <c r="H796" s="114"/>
      <c r="I796" s="315"/>
      <c r="J796" s="114"/>
      <c r="K796" s="305"/>
      <c r="L796" s="285"/>
      <c r="M796" s="285"/>
      <c r="N796" s="53"/>
      <c r="O796" s="53"/>
      <c r="P796" s="53" t="str">
        <f>vlookup(N796,Categorizations!A:C,3,FALSE)</f>
        <v>#N/A</v>
      </c>
      <c r="Q796" s="31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</row>
    <row r="797" ht="22.5" customHeight="1">
      <c r="A797" s="261" t="str">
        <f t="shared" si="24"/>
        <v/>
      </c>
      <c r="B797" s="286"/>
      <c r="C797" s="312"/>
      <c r="D797" s="127"/>
      <c r="E797" s="313"/>
      <c r="F797" s="114"/>
      <c r="G797" s="314"/>
      <c r="H797" s="114"/>
      <c r="I797" s="315"/>
      <c r="J797" s="114"/>
      <c r="K797" s="305"/>
      <c r="L797" s="285"/>
      <c r="M797" s="285"/>
      <c r="N797" s="53"/>
      <c r="O797" s="53"/>
      <c r="P797" s="53" t="str">
        <f>vlookup(N797,Categorizations!A:C,3,FALSE)</f>
        <v>#N/A</v>
      </c>
      <c r="Q797" s="31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</row>
    <row r="798" ht="22.5" customHeight="1">
      <c r="A798" s="261" t="str">
        <f t="shared" si="24"/>
        <v/>
      </c>
      <c r="B798" s="286"/>
      <c r="C798" s="312"/>
      <c r="D798" s="127"/>
      <c r="E798" s="313"/>
      <c r="F798" s="114"/>
      <c r="G798" s="314"/>
      <c r="H798" s="114"/>
      <c r="I798" s="315"/>
      <c r="J798" s="114"/>
      <c r="K798" s="305"/>
      <c r="L798" s="285"/>
      <c r="M798" s="285"/>
      <c r="N798" s="53"/>
      <c r="O798" s="53"/>
      <c r="P798" s="53" t="str">
        <f>vlookup(N798,Categorizations!A:C,3,FALSE)</f>
        <v>#N/A</v>
      </c>
      <c r="Q798" s="31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</row>
    <row r="799" ht="22.5" customHeight="1">
      <c r="A799" s="261" t="str">
        <f t="shared" si="24"/>
        <v/>
      </c>
      <c r="B799" s="286"/>
      <c r="C799" s="312"/>
      <c r="D799" s="127"/>
      <c r="E799" s="313"/>
      <c r="F799" s="114"/>
      <c r="G799" s="314"/>
      <c r="H799" s="114"/>
      <c r="I799" s="315"/>
      <c r="J799" s="114"/>
      <c r="K799" s="305"/>
      <c r="L799" s="285"/>
      <c r="M799" s="285"/>
      <c r="N799" s="53"/>
      <c r="O799" s="53"/>
      <c r="P799" s="53" t="str">
        <f>vlookup(N799,Categorizations!A:C,3,FALSE)</f>
        <v>#N/A</v>
      </c>
      <c r="Q799" s="31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</row>
    <row r="800" ht="22.5" customHeight="1">
      <c r="A800" s="261" t="str">
        <f t="shared" si="24"/>
        <v/>
      </c>
      <c r="B800" s="286"/>
      <c r="C800" s="312"/>
      <c r="D800" s="127"/>
      <c r="E800" s="313"/>
      <c r="F800" s="114"/>
      <c r="G800" s="314"/>
      <c r="H800" s="114"/>
      <c r="I800" s="315"/>
      <c r="J800" s="114"/>
      <c r="K800" s="305"/>
      <c r="L800" s="285"/>
      <c r="M800" s="285"/>
      <c r="N800" s="53"/>
      <c r="O800" s="53"/>
      <c r="P800" s="53" t="str">
        <f>vlookup(N800,Categorizations!A:C,3,FALSE)</f>
        <v>#N/A</v>
      </c>
      <c r="Q800" s="31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</row>
    <row r="801" ht="22.5" customHeight="1">
      <c r="A801" s="261" t="str">
        <f t="shared" si="24"/>
        <v/>
      </c>
      <c r="B801" s="286"/>
      <c r="C801" s="312"/>
      <c r="D801" s="127"/>
      <c r="E801" s="313"/>
      <c r="F801" s="114"/>
      <c r="G801" s="314"/>
      <c r="H801" s="114"/>
      <c r="I801" s="315"/>
      <c r="J801" s="114"/>
      <c r="K801" s="305"/>
      <c r="L801" s="285"/>
      <c r="M801" s="285"/>
      <c r="N801" s="53"/>
      <c r="O801" s="53"/>
      <c r="P801" s="53" t="str">
        <f>vlookup(N801,Categorizations!A:C,3,FALSE)</f>
        <v>#N/A</v>
      </c>
      <c r="Q801" s="31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</row>
    <row r="802" ht="22.5" customHeight="1">
      <c r="A802" s="261" t="str">
        <f t="shared" si="24"/>
        <v/>
      </c>
      <c r="B802" s="286"/>
      <c r="C802" s="312"/>
      <c r="D802" s="127"/>
      <c r="E802" s="313"/>
      <c r="F802" s="114"/>
      <c r="G802" s="314"/>
      <c r="H802" s="114"/>
      <c r="I802" s="315"/>
      <c r="J802" s="114"/>
      <c r="K802" s="305"/>
      <c r="L802" s="285"/>
      <c r="M802" s="285"/>
      <c r="N802" s="53"/>
      <c r="O802" s="53"/>
      <c r="P802" s="53" t="str">
        <f>vlookup(N802,Categorizations!A:C,3,FALSE)</f>
        <v>#N/A</v>
      </c>
      <c r="Q802" s="31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</row>
    <row r="803" ht="22.5" customHeight="1">
      <c r="A803" s="261" t="str">
        <f t="shared" si="24"/>
        <v/>
      </c>
      <c r="B803" s="286"/>
      <c r="C803" s="312"/>
      <c r="D803" s="127"/>
      <c r="E803" s="313"/>
      <c r="F803" s="114"/>
      <c r="G803" s="314"/>
      <c r="H803" s="114"/>
      <c r="I803" s="315"/>
      <c r="J803" s="114"/>
      <c r="K803" s="305"/>
      <c r="L803" s="285"/>
      <c r="M803" s="285"/>
      <c r="N803" s="53"/>
      <c r="O803" s="53"/>
      <c r="P803" s="53" t="str">
        <f>vlookup(N803,Categorizations!A:C,3,FALSE)</f>
        <v>#N/A</v>
      </c>
      <c r="Q803" s="31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</row>
    <row r="804" ht="22.5" customHeight="1">
      <c r="A804" s="261" t="str">
        <f t="shared" si="24"/>
        <v/>
      </c>
      <c r="B804" s="286"/>
      <c r="C804" s="312"/>
      <c r="D804" s="127"/>
      <c r="E804" s="313"/>
      <c r="F804" s="114"/>
      <c r="G804" s="314"/>
      <c r="H804" s="114"/>
      <c r="I804" s="315"/>
      <c r="J804" s="114"/>
      <c r="K804" s="305"/>
      <c r="L804" s="285"/>
      <c r="M804" s="285"/>
      <c r="N804" s="53"/>
      <c r="O804" s="53"/>
      <c r="P804" s="53" t="str">
        <f>vlookup(N804,Categorizations!A:C,3,FALSE)</f>
        <v>#N/A</v>
      </c>
      <c r="Q804" s="31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</row>
    <row r="805" ht="22.5" customHeight="1">
      <c r="A805" s="261" t="str">
        <f t="shared" si="24"/>
        <v/>
      </c>
      <c r="B805" s="286"/>
      <c r="C805" s="312"/>
      <c r="D805" s="127"/>
      <c r="E805" s="313"/>
      <c r="F805" s="114"/>
      <c r="G805" s="314"/>
      <c r="H805" s="114"/>
      <c r="I805" s="315"/>
      <c r="J805" s="114"/>
      <c r="K805" s="305"/>
      <c r="L805" s="285"/>
      <c r="M805" s="285"/>
      <c r="N805" s="53"/>
      <c r="O805" s="53"/>
      <c r="P805" s="53" t="str">
        <f>vlookup(N805,Categorizations!A:C,3,FALSE)</f>
        <v>#N/A</v>
      </c>
      <c r="Q805" s="31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</row>
    <row r="806" ht="22.5" customHeight="1">
      <c r="A806" s="261" t="str">
        <f t="shared" si="24"/>
        <v/>
      </c>
      <c r="B806" s="286"/>
      <c r="C806" s="312"/>
      <c r="D806" s="127"/>
      <c r="E806" s="313"/>
      <c r="F806" s="114"/>
      <c r="G806" s="314"/>
      <c r="H806" s="114"/>
      <c r="I806" s="315"/>
      <c r="J806" s="114"/>
      <c r="K806" s="305"/>
      <c r="L806" s="285"/>
      <c r="M806" s="285"/>
      <c r="N806" s="53"/>
      <c r="O806" s="53"/>
      <c r="P806" s="53" t="str">
        <f>vlookup(N806,Categorizations!A:C,3,FALSE)</f>
        <v>#N/A</v>
      </c>
      <c r="Q806" s="31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</row>
    <row r="807" ht="22.5" customHeight="1">
      <c r="A807" s="261" t="str">
        <f t="shared" si="24"/>
        <v/>
      </c>
      <c r="B807" s="286"/>
      <c r="C807" s="312"/>
      <c r="D807" s="127"/>
      <c r="E807" s="313"/>
      <c r="F807" s="114"/>
      <c r="G807" s="314"/>
      <c r="H807" s="114"/>
      <c r="I807" s="315"/>
      <c r="J807" s="114"/>
      <c r="K807" s="305"/>
      <c r="L807" s="285"/>
      <c r="M807" s="285"/>
      <c r="N807" s="53"/>
      <c r="O807" s="53"/>
      <c r="P807" s="53" t="str">
        <f>vlookup(N807,Categorizations!A:C,3,FALSE)</f>
        <v>#N/A</v>
      </c>
      <c r="Q807" s="31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</row>
    <row r="808" ht="22.5" customHeight="1">
      <c r="A808" s="261" t="str">
        <f t="shared" si="24"/>
        <v/>
      </c>
      <c r="B808" s="286"/>
      <c r="C808" s="312"/>
      <c r="D808" s="127"/>
      <c r="E808" s="313"/>
      <c r="F808" s="114"/>
      <c r="G808" s="314"/>
      <c r="H808" s="114"/>
      <c r="I808" s="315"/>
      <c r="J808" s="114"/>
      <c r="K808" s="305"/>
      <c r="L808" s="285"/>
      <c r="M808" s="285"/>
      <c r="N808" s="53"/>
      <c r="O808" s="53"/>
      <c r="P808" s="53" t="str">
        <f>vlookup(N808,Categorizations!A:C,3,FALSE)</f>
        <v>#N/A</v>
      </c>
      <c r="Q808" s="31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</row>
    <row r="809" ht="22.5" customHeight="1">
      <c r="A809" s="261" t="str">
        <f t="shared" si="24"/>
        <v/>
      </c>
      <c r="B809" s="286"/>
      <c r="C809" s="312"/>
      <c r="D809" s="127"/>
      <c r="E809" s="313"/>
      <c r="F809" s="114"/>
      <c r="G809" s="314"/>
      <c r="H809" s="114"/>
      <c r="I809" s="315"/>
      <c r="J809" s="114"/>
      <c r="K809" s="305"/>
      <c r="L809" s="285"/>
      <c r="M809" s="285"/>
      <c r="N809" s="53"/>
      <c r="O809" s="53"/>
      <c r="P809" s="53" t="str">
        <f>vlookup(N809,Categorizations!A:C,3,FALSE)</f>
        <v>#N/A</v>
      </c>
      <c r="Q809" s="31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</row>
    <row r="810" ht="22.5" customHeight="1">
      <c r="A810" s="261" t="str">
        <f t="shared" si="24"/>
        <v/>
      </c>
      <c r="B810" s="286"/>
      <c r="C810" s="312"/>
      <c r="D810" s="127"/>
      <c r="E810" s="313"/>
      <c r="F810" s="114"/>
      <c r="G810" s="314"/>
      <c r="H810" s="114"/>
      <c r="I810" s="315"/>
      <c r="J810" s="114"/>
      <c r="K810" s="305"/>
      <c r="L810" s="285"/>
      <c r="M810" s="285"/>
      <c r="N810" s="53"/>
      <c r="O810" s="53"/>
      <c r="P810" s="53" t="str">
        <f>vlookup(N810,Categorizations!A:C,3,FALSE)</f>
        <v>#N/A</v>
      </c>
      <c r="Q810" s="31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</row>
    <row r="811" ht="22.5" customHeight="1">
      <c r="A811" s="261" t="str">
        <f t="shared" si="24"/>
        <v/>
      </c>
      <c r="B811" s="286"/>
      <c r="C811" s="312"/>
      <c r="D811" s="127"/>
      <c r="E811" s="313"/>
      <c r="F811" s="114"/>
      <c r="G811" s="314"/>
      <c r="H811" s="114"/>
      <c r="I811" s="315"/>
      <c r="J811" s="114"/>
      <c r="K811" s="305"/>
      <c r="L811" s="285"/>
      <c r="M811" s="285"/>
      <c r="N811" s="53"/>
      <c r="O811" s="53"/>
      <c r="P811" s="53" t="str">
        <f>vlookup(N811,Categorizations!A:C,3,FALSE)</f>
        <v>#N/A</v>
      </c>
      <c r="Q811" s="31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</row>
    <row r="812" ht="22.5" customHeight="1">
      <c r="A812" s="261" t="str">
        <f t="shared" si="24"/>
        <v/>
      </c>
      <c r="B812" s="286"/>
      <c r="C812" s="312"/>
      <c r="D812" s="127"/>
      <c r="E812" s="313"/>
      <c r="F812" s="114"/>
      <c r="G812" s="314"/>
      <c r="H812" s="114"/>
      <c r="I812" s="315"/>
      <c r="J812" s="114"/>
      <c r="K812" s="305"/>
      <c r="L812" s="285"/>
      <c r="M812" s="285"/>
      <c r="N812" s="53"/>
      <c r="O812" s="53"/>
      <c r="P812" s="53" t="str">
        <f>vlookup(N812,Categorizations!A:C,3,FALSE)</f>
        <v>#N/A</v>
      </c>
      <c r="Q812" s="31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</row>
    <row r="813" ht="22.5" customHeight="1">
      <c r="A813" s="261" t="str">
        <f t="shared" si="24"/>
        <v/>
      </c>
      <c r="B813" s="286"/>
      <c r="C813" s="312"/>
      <c r="D813" s="127"/>
      <c r="E813" s="313"/>
      <c r="F813" s="114"/>
      <c r="G813" s="314"/>
      <c r="H813" s="114"/>
      <c r="I813" s="315"/>
      <c r="J813" s="114"/>
      <c r="K813" s="305"/>
      <c r="L813" s="285"/>
      <c r="M813" s="285"/>
      <c r="N813" s="53"/>
      <c r="O813" s="53"/>
      <c r="P813" s="53" t="str">
        <f>vlookup(N813,Categorizations!A:C,3,FALSE)</f>
        <v>#N/A</v>
      </c>
      <c r="Q813" s="31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</row>
    <row r="814" ht="22.5" customHeight="1">
      <c r="A814" s="261" t="str">
        <f t="shared" si="24"/>
        <v/>
      </c>
      <c r="B814" s="286"/>
      <c r="C814" s="312"/>
      <c r="D814" s="127"/>
      <c r="E814" s="313"/>
      <c r="F814" s="114"/>
      <c r="G814" s="314"/>
      <c r="H814" s="114"/>
      <c r="I814" s="315"/>
      <c r="J814" s="114"/>
      <c r="K814" s="305"/>
      <c r="L814" s="285"/>
      <c r="M814" s="285"/>
      <c r="N814" s="53"/>
      <c r="O814" s="53"/>
      <c r="P814" s="53" t="str">
        <f>vlookup(N814,Categorizations!A:C,3,FALSE)</f>
        <v>#N/A</v>
      </c>
      <c r="Q814" s="31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</row>
    <row r="815" ht="22.5" customHeight="1">
      <c r="A815" s="261" t="str">
        <f t="shared" si="24"/>
        <v/>
      </c>
      <c r="B815" s="286"/>
      <c r="C815" s="312"/>
      <c r="D815" s="127"/>
      <c r="E815" s="313"/>
      <c r="F815" s="114"/>
      <c r="G815" s="314"/>
      <c r="H815" s="114"/>
      <c r="I815" s="315"/>
      <c r="J815" s="114"/>
      <c r="K815" s="305"/>
      <c r="L815" s="285"/>
      <c r="M815" s="285"/>
      <c r="N815" s="53"/>
      <c r="O815" s="53"/>
      <c r="P815" s="53" t="str">
        <f>vlookup(N815,Categorizations!A:C,3,FALSE)</f>
        <v>#N/A</v>
      </c>
      <c r="Q815" s="31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</row>
    <row r="816" ht="22.5" customHeight="1">
      <c r="A816" s="261" t="str">
        <f t="shared" si="24"/>
        <v/>
      </c>
      <c r="B816" s="286"/>
      <c r="C816" s="312"/>
      <c r="D816" s="127"/>
      <c r="E816" s="313"/>
      <c r="F816" s="114"/>
      <c r="G816" s="314"/>
      <c r="H816" s="114"/>
      <c r="I816" s="315"/>
      <c r="J816" s="114"/>
      <c r="K816" s="305"/>
      <c r="L816" s="285"/>
      <c r="M816" s="285"/>
      <c r="N816" s="53"/>
      <c r="O816" s="53"/>
      <c r="P816" s="53" t="str">
        <f>vlookup(N816,Categorizations!A:C,3,FALSE)</f>
        <v>#N/A</v>
      </c>
      <c r="Q816" s="31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</row>
    <row r="817" ht="22.5" customHeight="1">
      <c r="A817" s="261" t="str">
        <f t="shared" si="24"/>
        <v/>
      </c>
      <c r="B817" s="286"/>
      <c r="C817" s="312"/>
      <c r="D817" s="127"/>
      <c r="E817" s="313"/>
      <c r="F817" s="114"/>
      <c r="G817" s="314"/>
      <c r="H817" s="114"/>
      <c r="I817" s="315"/>
      <c r="J817" s="114"/>
      <c r="K817" s="305"/>
      <c r="L817" s="285"/>
      <c r="M817" s="285"/>
      <c r="N817" s="53"/>
      <c r="O817" s="53"/>
      <c r="P817" s="53" t="str">
        <f>vlookup(N817,Categorizations!A:C,3,FALSE)</f>
        <v>#N/A</v>
      </c>
      <c r="Q817" s="31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</row>
    <row r="818" ht="22.5" customHeight="1">
      <c r="A818" s="261" t="str">
        <f t="shared" si="24"/>
        <v/>
      </c>
      <c r="B818" s="286"/>
      <c r="C818" s="312"/>
      <c r="D818" s="127"/>
      <c r="E818" s="313"/>
      <c r="F818" s="114"/>
      <c r="G818" s="314"/>
      <c r="H818" s="114"/>
      <c r="I818" s="315"/>
      <c r="J818" s="114"/>
      <c r="K818" s="305"/>
      <c r="L818" s="285"/>
      <c r="M818" s="285"/>
      <c r="N818" s="53"/>
      <c r="O818" s="53"/>
      <c r="P818" s="53" t="str">
        <f>vlookup(N818,Categorizations!A:C,3,FALSE)</f>
        <v>#N/A</v>
      </c>
      <c r="Q818" s="31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</row>
    <row r="819" ht="22.5" customHeight="1">
      <c r="A819" s="261" t="str">
        <f t="shared" si="24"/>
        <v/>
      </c>
      <c r="B819" s="286"/>
      <c r="C819" s="312"/>
      <c r="D819" s="127"/>
      <c r="E819" s="313"/>
      <c r="F819" s="114"/>
      <c r="G819" s="314"/>
      <c r="H819" s="114"/>
      <c r="I819" s="315"/>
      <c r="J819" s="114"/>
      <c r="K819" s="305"/>
      <c r="L819" s="285"/>
      <c r="M819" s="285"/>
      <c r="N819" s="53"/>
      <c r="O819" s="53"/>
      <c r="P819" s="53" t="str">
        <f>vlookup(N819,Categorizations!A:C,3,FALSE)</f>
        <v>#N/A</v>
      </c>
      <c r="Q819" s="31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</row>
    <row r="820" ht="22.5" customHeight="1">
      <c r="A820" s="261" t="str">
        <f t="shared" si="24"/>
        <v/>
      </c>
      <c r="B820" s="286"/>
      <c r="C820" s="312"/>
      <c r="D820" s="127"/>
      <c r="E820" s="313"/>
      <c r="F820" s="114"/>
      <c r="G820" s="314"/>
      <c r="H820" s="114"/>
      <c r="I820" s="315"/>
      <c r="J820" s="114"/>
      <c r="K820" s="305"/>
      <c r="L820" s="285"/>
      <c r="M820" s="285"/>
      <c r="N820" s="53"/>
      <c r="O820" s="53"/>
      <c r="P820" s="53" t="str">
        <f>vlookup(N820,Categorizations!A:C,3,FALSE)</f>
        <v>#N/A</v>
      </c>
      <c r="Q820" s="31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</row>
    <row r="821" ht="22.5" customHeight="1">
      <c r="A821" s="261" t="str">
        <f t="shared" si="24"/>
        <v/>
      </c>
      <c r="B821" s="286"/>
      <c r="C821" s="312"/>
      <c r="D821" s="127"/>
      <c r="E821" s="313"/>
      <c r="F821" s="114"/>
      <c r="G821" s="314"/>
      <c r="H821" s="114"/>
      <c r="I821" s="315"/>
      <c r="J821" s="114"/>
      <c r="K821" s="305"/>
      <c r="L821" s="285"/>
      <c r="M821" s="285"/>
      <c r="N821" s="53"/>
      <c r="O821" s="53"/>
      <c r="P821" s="53" t="str">
        <f>vlookup(N821,Categorizations!A:C,3,FALSE)</f>
        <v>#N/A</v>
      </c>
      <c r="Q821" s="31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</row>
    <row r="822" ht="22.5" customHeight="1">
      <c r="A822" s="261" t="str">
        <f t="shared" si="24"/>
        <v/>
      </c>
      <c r="B822" s="286"/>
      <c r="C822" s="312"/>
      <c r="D822" s="127"/>
      <c r="E822" s="313"/>
      <c r="F822" s="114"/>
      <c r="G822" s="314"/>
      <c r="H822" s="114"/>
      <c r="I822" s="315"/>
      <c r="J822" s="114"/>
      <c r="K822" s="305"/>
      <c r="L822" s="285"/>
      <c r="M822" s="285"/>
      <c r="N822" s="53"/>
      <c r="O822" s="53"/>
      <c r="P822" s="53" t="str">
        <f>vlookup(N822,Categorizations!A:C,3,FALSE)</f>
        <v>#N/A</v>
      </c>
      <c r="Q822" s="31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</row>
    <row r="823" ht="22.5" customHeight="1">
      <c r="A823" s="261" t="str">
        <f t="shared" si="24"/>
        <v/>
      </c>
      <c r="B823" s="286"/>
      <c r="C823" s="312"/>
      <c r="D823" s="127"/>
      <c r="E823" s="313"/>
      <c r="F823" s="114"/>
      <c r="G823" s="314"/>
      <c r="H823" s="114"/>
      <c r="I823" s="315"/>
      <c r="J823" s="114"/>
      <c r="K823" s="305"/>
      <c r="L823" s="285"/>
      <c r="M823" s="285"/>
      <c r="N823" s="53"/>
      <c r="O823" s="53"/>
      <c r="P823" s="53" t="str">
        <f>vlookup(N823,Categorizations!A:C,3,FALSE)</f>
        <v>#N/A</v>
      </c>
      <c r="Q823" s="31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</row>
    <row r="824" ht="22.5" customHeight="1">
      <c r="A824" s="261" t="str">
        <f t="shared" si="24"/>
        <v/>
      </c>
      <c r="B824" s="286"/>
      <c r="C824" s="312"/>
      <c r="D824" s="127"/>
      <c r="E824" s="313"/>
      <c r="F824" s="114"/>
      <c r="G824" s="314"/>
      <c r="H824" s="114"/>
      <c r="I824" s="315"/>
      <c r="J824" s="114"/>
      <c r="K824" s="305"/>
      <c r="L824" s="285"/>
      <c r="M824" s="285"/>
      <c r="N824" s="53"/>
      <c r="O824" s="53"/>
      <c r="P824" s="53" t="str">
        <f>vlookup(N824,Categorizations!A:C,3,FALSE)</f>
        <v>#N/A</v>
      </c>
      <c r="Q824" s="31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</row>
    <row r="825" ht="22.5" customHeight="1">
      <c r="A825" s="261" t="str">
        <f t="shared" si="24"/>
        <v/>
      </c>
      <c r="B825" s="286"/>
      <c r="C825" s="312"/>
      <c r="D825" s="127"/>
      <c r="E825" s="313"/>
      <c r="F825" s="114"/>
      <c r="G825" s="314"/>
      <c r="H825" s="114"/>
      <c r="I825" s="315"/>
      <c r="J825" s="114"/>
      <c r="K825" s="305"/>
      <c r="L825" s="285"/>
      <c r="M825" s="285"/>
      <c r="N825" s="53"/>
      <c r="O825" s="53"/>
      <c r="P825" s="53" t="str">
        <f>vlookup(N825,Categorizations!A:C,3,FALSE)</f>
        <v>#N/A</v>
      </c>
      <c r="Q825" s="31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</row>
    <row r="826" ht="22.5" customHeight="1">
      <c r="A826" s="261" t="str">
        <f t="shared" si="24"/>
        <v/>
      </c>
      <c r="B826" s="286"/>
      <c r="C826" s="312"/>
      <c r="D826" s="127"/>
      <c r="E826" s="313"/>
      <c r="F826" s="114"/>
      <c r="G826" s="314"/>
      <c r="H826" s="114"/>
      <c r="I826" s="315"/>
      <c r="J826" s="114"/>
      <c r="K826" s="305"/>
      <c r="L826" s="285"/>
      <c r="M826" s="285"/>
      <c r="N826" s="53"/>
      <c r="O826" s="53"/>
      <c r="P826" s="53" t="str">
        <f>vlookup(N826,Categorizations!A:C,3,FALSE)</f>
        <v>#N/A</v>
      </c>
      <c r="Q826" s="31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</row>
    <row r="827" ht="22.5" customHeight="1">
      <c r="A827" s="261" t="str">
        <f t="shared" si="24"/>
        <v/>
      </c>
      <c r="B827" s="286"/>
      <c r="C827" s="312"/>
      <c r="D827" s="127"/>
      <c r="E827" s="313"/>
      <c r="F827" s="114"/>
      <c r="G827" s="314"/>
      <c r="H827" s="114"/>
      <c r="I827" s="315"/>
      <c r="J827" s="114"/>
      <c r="K827" s="305"/>
      <c r="L827" s="285"/>
      <c r="M827" s="285"/>
      <c r="N827" s="53"/>
      <c r="O827" s="53"/>
      <c r="P827" s="53" t="str">
        <f>vlookup(N827,Categorizations!A:C,3,FALSE)</f>
        <v>#N/A</v>
      </c>
      <c r="Q827" s="31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</row>
    <row r="828" ht="22.5" customHeight="1">
      <c r="A828" s="261" t="str">
        <f t="shared" si="24"/>
        <v/>
      </c>
      <c r="B828" s="286"/>
      <c r="C828" s="312"/>
      <c r="D828" s="127"/>
      <c r="E828" s="313"/>
      <c r="F828" s="114"/>
      <c r="G828" s="314"/>
      <c r="H828" s="114"/>
      <c r="I828" s="315"/>
      <c r="J828" s="114"/>
      <c r="K828" s="305"/>
      <c r="L828" s="285"/>
      <c r="M828" s="285"/>
      <c r="N828" s="53"/>
      <c r="O828" s="53"/>
      <c r="P828" s="53" t="str">
        <f>vlookup(N828,Categorizations!A:C,3,FALSE)</f>
        <v>#N/A</v>
      </c>
      <c r="Q828" s="31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</row>
    <row r="829" ht="22.5" customHeight="1">
      <c r="A829" s="261" t="str">
        <f t="shared" si="24"/>
        <v/>
      </c>
      <c r="B829" s="286"/>
      <c r="C829" s="312"/>
      <c r="D829" s="127"/>
      <c r="E829" s="313"/>
      <c r="F829" s="114"/>
      <c r="G829" s="314"/>
      <c r="H829" s="114"/>
      <c r="I829" s="315"/>
      <c r="J829" s="114"/>
      <c r="K829" s="305"/>
      <c r="L829" s="285"/>
      <c r="M829" s="285"/>
      <c r="N829" s="53"/>
      <c r="O829" s="53"/>
      <c r="P829" s="53" t="str">
        <f>vlookup(N829,Categorizations!A:C,3,FALSE)</f>
        <v>#N/A</v>
      </c>
      <c r="Q829" s="31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</row>
    <row r="830" ht="22.5" customHeight="1">
      <c r="A830" s="261" t="str">
        <f t="shared" si="24"/>
        <v/>
      </c>
      <c r="B830" s="286"/>
      <c r="C830" s="312"/>
      <c r="D830" s="127"/>
      <c r="E830" s="313"/>
      <c r="F830" s="114"/>
      <c r="G830" s="314"/>
      <c r="H830" s="114"/>
      <c r="I830" s="315"/>
      <c r="J830" s="114"/>
      <c r="K830" s="305"/>
      <c r="L830" s="285"/>
      <c r="M830" s="285"/>
      <c r="N830" s="53"/>
      <c r="O830" s="53"/>
      <c r="P830" s="53" t="str">
        <f>vlookup(N830,Categorizations!A:C,3,FALSE)</f>
        <v>#N/A</v>
      </c>
      <c r="Q830" s="31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</row>
    <row r="831" ht="22.5" customHeight="1">
      <c r="A831" s="261" t="str">
        <f t="shared" si="24"/>
        <v/>
      </c>
      <c r="B831" s="286"/>
      <c r="C831" s="312"/>
      <c r="D831" s="127"/>
      <c r="E831" s="313"/>
      <c r="F831" s="114"/>
      <c r="G831" s="314"/>
      <c r="H831" s="114"/>
      <c r="I831" s="315"/>
      <c r="J831" s="114"/>
      <c r="K831" s="305"/>
      <c r="L831" s="285"/>
      <c r="M831" s="285"/>
      <c r="N831" s="53"/>
      <c r="O831" s="53"/>
      <c r="P831" s="53" t="str">
        <f>vlookup(N831,Categorizations!A:C,3,FALSE)</f>
        <v>#N/A</v>
      </c>
      <c r="Q831" s="31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</row>
    <row r="832" ht="22.5" customHeight="1">
      <c r="A832" s="261" t="str">
        <f t="shared" si="24"/>
        <v/>
      </c>
      <c r="B832" s="286"/>
      <c r="C832" s="312"/>
      <c r="D832" s="127"/>
      <c r="E832" s="313"/>
      <c r="F832" s="114"/>
      <c r="G832" s="314"/>
      <c r="H832" s="114"/>
      <c r="I832" s="315"/>
      <c r="J832" s="114"/>
      <c r="K832" s="305"/>
      <c r="L832" s="285"/>
      <c r="M832" s="285"/>
      <c r="N832" s="53"/>
      <c r="O832" s="53"/>
      <c r="P832" s="53" t="str">
        <f>vlookup(N832,Categorizations!A:C,3,FALSE)</f>
        <v>#N/A</v>
      </c>
      <c r="Q832" s="31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</row>
    <row r="833" ht="22.5" customHeight="1">
      <c r="A833" s="261" t="str">
        <f t="shared" si="24"/>
        <v/>
      </c>
      <c r="B833" s="286"/>
      <c r="C833" s="312"/>
      <c r="D833" s="127"/>
      <c r="E833" s="313"/>
      <c r="F833" s="114"/>
      <c r="G833" s="314"/>
      <c r="H833" s="114"/>
      <c r="I833" s="315"/>
      <c r="J833" s="114"/>
      <c r="K833" s="305"/>
      <c r="L833" s="285"/>
      <c r="M833" s="285"/>
      <c r="N833" s="53"/>
      <c r="O833" s="53"/>
      <c r="P833" s="53" t="str">
        <f>vlookup(N833,Categorizations!A:C,3,FALSE)</f>
        <v>#N/A</v>
      </c>
      <c r="Q833" s="31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</row>
    <row r="834" ht="22.5" customHeight="1">
      <c r="A834" s="261" t="str">
        <f t="shared" si="24"/>
        <v/>
      </c>
      <c r="B834" s="286"/>
      <c r="C834" s="312"/>
      <c r="D834" s="127"/>
      <c r="E834" s="313"/>
      <c r="F834" s="114"/>
      <c r="G834" s="314"/>
      <c r="H834" s="114"/>
      <c r="I834" s="315"/>
      <c r="J834" s="114"/>
      <c r="K834" s="305"/>
      <c r="L834" s="285"/>
      <c r="M834" s="285"/>
      <c r="N834" s="53"/>
      <c r="O834" s="53"/>
      <c r="P834" s="53" t="str">
        <f>vlookup(N834,Categorizations!A:C,3,FALSE)</f>
        <v>#N/A</v>
      </c>
      <c r="Q834" s="31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</row>
    <row r="835" ht="22.5" customHeight="1">
      <c r="A835" s="261" t="str">
        <f t="shared" si="24"/>
        <v/>
      </c>
      <c r="B835" s="286"/>
      <c r="C835" s="312"/>
      <c r="D835" s="127"/>
      <c r="E835" s="313"/>
      <c r="F835" s="114"/>
      <c r="G835" s="314"/>
      <c r="H835" s="114"/>
      <c r="I835" s="315"/>
      <c r="J835" s="114"/>
      <c r="K835" s="305"/>
      <c r="L835" s="285"/>
      <c r="M835" s="285"/>
      <c r="N835" s="53"/>
      <c r="O835" s="53"/>
      <c r="P835" s="53" t="str">
        <f>vlookup(N835,Categorizations!A:C,3,FALSE)</f>
        <v>#N/A</v>
      </c>
      <c r="Q835" s="31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</row>
    <row r="836" ht="22.5" customHeight="1">
      <c r="A836" s="261" t="str">
        <f t="shared" si="24"/>
        <v/>
      </c>
      <c r="B836" s="286"/>
      <c r="C836" s="312"/>
      <c r="D836" s="127"/>
      <c r="E836" s="313"/>
      <c r="F836" s="114"/>
      <c r="G836" s="314"/>
      <c r="H836" s="114"/>
      <c r="I836" s="315"/>
      <c r="J836" s="114"/>
      <c r="K836" s="305"/>
      <c r="L836" s="285"/>
      <c r="M836" s="285"/>
      <c r="N836" s="53"/>
      <c r="O836" s="53"/>
      <c r="P836" s="53" t="str">
        <f>vlookup(N836,Categorizations!A:C,3,FALSE)</f>
        <v>#N/A</v>
      </c>
      <c r="Q836" s="31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</row>
    <row r="837" ht="22.5" customHeight="1">
      <c r="A837" s="261" t="str">
        <f t="shared" si="24"/>
        <v/>
      </c>
      <c r="B837" s="286"/>
      <c r="C837" s="312"/>
      <c r="D837" s="127"/>
      <c r="E837" s="313"/>
      <c r="F837" s="114"/>
      <c r="G837" s="314"/>
      <c r="H837" s="114"/>
      <c r="I837" s="315"/>
      <c r="J837" s="114"/>
      <c r="K837" s="305"/>
      <c r="L837" s="285"/>
      <c r="M837" s="285"/>
      <c r="N837" s="53"/>
      <c r="O837" s="53"/>
      <c r="P837" s="53" t="str">
        <f>vlookup(N837,Categorizations!A:C,3,FALSE)</f>
        <v>#N/A</v>
      </c>
      <c r="Q837" s="31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</row>
    <row r="838" ht="22.5" customHeight="1">
      <c r="A838" s="261" t="str">
        <f t="shared" si="24"/>
        <v/>
      </c>
      <c r="B838" s="286"/>
      <c r="C838" s="312"/>
      <c r="D838" s="127"/>
      <c r="E838" s="313"/>
      <c r="F838" s="114"/>
      <c r="G838" s="314"/>
      <c r="H838" s="114"/>
      <c r="I838" s="315"/>
      <c r="J838" s="114"/>
      <c r="K838" s="305"/>
      <c r="L838" s="285"/>
      <c r="M838" s="285"/>
      <c r="N838" s="53"/>
      <c r="O838" s="53"/>
      <c r="P838" s="53" t="str">
        <f>vlookup(N838,Categorizations!A:C,3,FALSE)</f>
        <v>#N/A</v>
      </c>
      <c r="Q838" s="31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</row>
    <row r="839" ht="22.5" customHeight="1">
      <c r="A839" s="261" t="str">
        <f t="shared" si="24"/>
        <v/>
      </c>
      <c r="B839" s="286"/>
      <c r="C839" s="312"/>
      <c r="D839" s="127"/>
      <c r="E839" s="313"/>
      <c r="F839" s="114"/>
      <c r="G839" s="314"/>
      <c r="H839" s="114"/>
      <c r="I839" s="315"/>
      <c r="J839" s="114"/>
      <c r="K839" s="305"/>
      <c r="L839" s="285"/>
      <c r="M839" s="285"/>
      <c r="N839" s="53"/>
      <c r="O839" s="53"/>
      <c r="P839" s="53" t="str">
        <f>vlookup(N839,Categorizations!A:C,3,FALSE)</f>
        <v>#N/A</v>
      </c>
      <c r="Q839" s="31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</row>
    <row r="840" ht="22.5" customHeight="1">
      <c r="A840" s="261" t="str">
        <f t="shared" si="24"/>
        <v/>
      </c>
      <c r="B840" s="286"/>
      <c r="C840" s="312"/>
      <c r="D840" s="127"/>
      <c r="E840" s="313"/>
      <c r="F840" s="114"/>
      <c r="G840" s="314"/>
      <c r="H840" s="114"/>
      <c r="I840" s="315"/>
      <c r="J840" s="114"/>
      <c r="K840" s="305"/>
      <c r="L840" s="285"/>
      <c r="M840" s="285"/>
      <c r="N840" s="53"/>
      <c r="O840" s="53"/>
      <c r="P840" s="53" t="str">
        <f>vlookup(N840,Categorizations!A:C,3,FALSE)</f>
        <v>#N/A</v>
      </c>
      <c r="Q840" s="31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</row>
    <row r="841" ht="22.5" customHeight="1">
      <c r="A841" s="261" t="str">
        <f t="shared" si="24"/>
        <v/>
      </c>
      <c r="B841" s="286"/>
      <c r="C841" s="312"/>
      <c r="D841" s="127"/>
      <c r="E841" s="313"/>
      <c r="F841" s="114"/>
      <c r="G841" s="314"/>
      <c r="H841" s="114"/>
      <c r="I841" s="315"/>
      <c r="J841" s="114"/>
      <c r="K841" s="305"/>
      <c r="L841" s="285"/>
      <c r="M841" s="285"/>
      <c r="N841" s="53"/>
      <c r="O841" s="53"/>
      <c r="P841" s="53" t="str">
        <f>vlookup(N841,Categorizations!A:C,3,FALSE)</f>
        <v>#N/A</v>
      </c>
      <c r="Q841" s="31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</row>
    <row r="842" ht="22.5" customHeight="1">
      <c r="A842" s="261" t="str">
        <f t="shared" si="24"/>
        <v/>
      </c>
      <c r="B842" s="286"/>
      <c r="C842" s="312"/>
      <c r="D842" s="127"/>
      <c r="E842" s="313"/>
      <c r="F842" s="114"/>
      <c r="G842" s="314"/>
      <c r="H842" s="114"/>
      <c r="I842" s="315"/>
      <c r="J842" s="114"/>
      <c r="K842" s="305"/>
      <c r="L842" s="285"/>
      <c r="M842" s="285"/>
      <c r="N842" s="53"/>
      <c r="O842" s="53"/>
      <c r="P842" s="53" t="str">
        <f>vlookup(N842,Categorizations!A:C,3,FALSE)</f>
        <v>#N/A</v>
      </c>
      <c r="Q842" s="31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</row>
    <row r="843" ht="22.5" customHeight="1">
      <c r="A843" s="261" t="str">
        <f t="shared" si="24"/>
        <v/>
      </c>
      <c r="B843" s="286"/>
      <c r="C843" s="312"/>
      <c r="D843" s="127"/>
      <c r="E843" s="313"/>
      <c r="F843" s="114"/>
      <c r="G843" s="314"/>
      <c r="H843" s="114"/>
      <c r="I843" s="315"/>
      <c r="J843" s="114"/>
      <c r="K843" s="305"/>
      <c r="L843" s="285"/>
      <c r="M843" s="285"/>
      <c r="N843" s="53"/>
      <c r="O843" s="53"/>
      <c r="P843" s="53" t="str">
        <f>vlookup(N843,Categorizations!A:C,3,FALSE)</f>
        <v>#N/A</v>
      </c>
      <c r="Q843" s="31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</row>
    <row r="844" ht="22.5" customHeight="1">
      <c r="A844" s="261" t="str">
        <f t="shared" si="24"/>
        <v/>
      </c>
      <c r="B844" s="286"/>
      <c r="C844" s="312"/>
      <c r="D844" s="127"/>
      <c r="E844" s="313"/>
      <c r="F844" s="114"/>
      <c r="G844" s="314"/>
      <c r="H844" s="114"/>
      <c r="I844" s="315"/>
      <c r="J844" s="114"/>
      <c r="K844" s="305"/>
      <c r="L844" s="285"/>
      <c r="M844" s="285"/>
      <c r="N844" s="53"/>
      <c r="O844" s="53"/>
      <c r="P844" s="53" t="str">
        <f>vlookup(N844,Categorizations!A:C,3,FALSE)</f>
        <v>#N/A</v>
      </c>
      <c r="Q844" s="31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</row>
    <row r="845" ht="22.5" customHeight="1">
      <c r="A845" s="261" t="str">
        <f t="shared" si="24"/>
        <v/>
      </c>
      <c r="B845" s="286"/>
      <c r="C845" s="312"/>
      <c r="D845" s="127"/>
      <c r="E845" s="313"/>
      <c r="F845" s="114"/>
      <c r="G845" s="314"/>
      <c r="H845" s="114"/>
      <c r="I845" s="315"/>
      <c r="J845" s="114"/>
      <c r="K845" s="305"/>
      <c r="L845" s="285"/>
      <c r="M845" s="285"/>
      <c r="N845" s="53"/>
      <c r="O845" s="53"/>
      <c r="P845" s="53" t="str">
        <f>vlookup(N845,Categorizations!A:C,3,FALSE)</f>
        <v>#N/A</v>
      </c>
      <c r="Q845" s="31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</row>
    <row r="846" ht="22.5" customHeight="1">
      <c r="A846" s="261" t="str">
        <f t="shared" si="24"/>
        <v/>
      </c>
      <c r="B846" s="286"/>
      <c r="C846" s="312"/>
      <c r="D846" s="127"/>
      <c r="E846" s="313"/>
      <c r="F846" s="114"/>
      <c r="G846" s="314"/>
      <c r="H846" s="114"/>
      <c r="I846" s="315"/>
      <c r="J846" s="114"/>
      <c r="K846" s="305"/>
      <c r="L846" s="285"/>
      <c r="M846" s="285"/>
      <c r="N846" s="53"/>
      <c r="O846" s="53"/>
      <c r="P846" s="53" t="str">
        <f>vlookup(N846,Categorizations!A:C,3,FALSE)</f>
        <v>#N/A</v>
      </c>
      <c r="Q846" s="31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</row>
    <row r="847" ht="22.5" customHeight="1">
      <c r="A847" s="261" t="str">
        <f t="shared" si="24"/>
        <v/>
      </c>
      <c r="B847" s="286"/>
      <c r="C847" s="312"/>
      <c r="D847" s="127"/>
      <c r="E847" s="313"/>
      <c r="F847" s="114"/>
      <c r="G847" s="314"/>
      <c r="H847" s="114"/>
      <c r="I847" s="315"/>
      <c r="J847" s="114"/>
      <c r="K847" s="305"/>
      <c r="L847" s="285"/>
      <c r="M847" s="285"/>
      <c r="N847" s="53"/>
      <c r="O847" s="53"/>
      <c r="P847" s="53" t="str">
        <f>vlookup(N847,Categorizations!A:C,3,FALSE)</f>
        <v>#N/A</v>
      </c>
      <c r="Q847" s="31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</row>
    <row r="848" ht="22.5" customHeight="1">
      <c r="A848" s="261" t="str">
        <f t="shared" si="24"/>
        <v/>
      </c>
      <c r="B848" s="286"/>
      <c r="C848" s="312"/>
      <c r="D848" s="127"/>
      <c r="E848" s="313"/>
      <c r="F848" s="114"/>
      <c r="G848" s="314"/>
      <c r="H848" s="114"/>
      <c r="I848" s="315"/>
      <c r="J848" s="114"/>
      <c r="K848" s="305"/>
      <c r="L848" s="285"/>
      <c r="M848" s="285"/>
      <c r="N848" s="53"/>
      <c r="O848" s="53"/>
      <c r="P848" s="53" t="str">
        <f>vlookup(N848,Categorizations!A:C,3,FALSE)</f>
        <v>#N/A</v>
      </c>
      <c r="Q848" s="31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</row>
    <row r="849" ht="22.5" customHeight="1">
      <c r="A849" s="261" t="str">
        <f t="shared" si="24"/>
        <v/>
      </c>
      <c r="B849" s="286"/>
      <c r="C849" s="312"/>
      <c r="D849" s="127"/>
      <c r="E849" s="313"/>
      <c r="F849" s="114"/>
      <c r="G849" s="314"/>
      <c r="H849" s="114"/>
      <c r="I849" s="315"/>
      <c r="J849" s="114"/>
      <c r="K849" s="305"/>
      <c r="L849" s="285"/>
      <c r="M849" s="285"/>
      <c r="N849" s="53"/>
      <c r="O849" s="53"/>
      <c r="P849" s="53" t="str">
        <f>vlookup(N849,Categorizations!A:C,3,FALSE)</f>
        <v>#N/A</v>
      </c>
      <c r="Q849" s="31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</row>
    <row r="850" ht="22.5" customHeight="1">
      <c r="A850" s="261" t="str">
        <f t="shared" si="24"/>
        <v/>
      </c>
      <c r="B850" s="286"/>
      <c r="C850" s="312"/>
      <c r="D850" s="127"/>
      <c r="E850" s="313"/>
      <c r="F850" s="114"/>
      <c r="G850" s="314"/>
      <c r="H850" s="114"/>
      <c r="I850" s="315"/>
      <c r="J850" s="114"/>
      <c r="K850" s="305"/>
      <c r="L850" s="285"/>
      <c r="M850" s="285"/>
      <c r="N850" s="53"/>
      <c r="O850" s="53"/>
      <c r="P850" s="53" t="str">
        <f>vlookup(N850,Categorizations!A:C,3,FALSE)</f>
        <v>#N/A</v>
      </c>
      <c r="Q850" s="31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</row>
    <row r="851" ht="22.5" customHeight="1">
      <c r="A851" s="261" t="str">
        <f t="shared" si="24"/>
        <v/>
      </c>
      <c r="B851" s="286"/>
      <c r="C851" s="312"/>
      <c r="D851" s="127"/>
      <c r="E851" s="313"/>
      <c r="F851" s="114"/>
      <c r="G851" s="314"/>
      <c r="H851" s="114"/>
      <c r="I851" s="315"/>
      <c r="J851" s="114"/>
      <c r="K851" s="305"/>
      <c r="L851" s="285"/>
      <c r="M851" s="285"/>
      <c r="N851" s="53"/>
      <c r="O851" s="53"/>
      <c r="P851" s="53" t="str">
        <f>vlookup(N851,Categorizations!A:C,3,FALSE)</f>
        <v>#N/A</v>
      </c>
      <c r="Q851" s="31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</row>
    <row r="852" ht="22.5" customHeight="1">
      <c r="A852" s="261" t="str">
        <f t="shared" si="24"/>
        <v/>
      </c>
      <c r="B852" s="286"/>
      <c r="C852" s="312"/>
      <c r="D852" s="127"/>
      <c r="E852" s="313"/>
      <c r="F852" s="114"/>
      <c r="G852" s="314"/>
      <c r="H852" s="114"/>
      <c r="I852" s="315"/>
      <c r="J852" s="114"/>
      <c r="K852" s="305"/>
      <c r="L852" s="285"/>
      <c r="M852" s="285"/>
      <c r="N852" s="53"/>
      <c r="O852" s="53"/>
      <c r="P852" s="53" t="str">
        <f>vlookup(N852,Categorizations!A:C,3,FALSE)</f>
        <v>#N/A</v>
      </c>
      <c r="Q852" s="31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</row>
    <row r="853" ht="22.5" customHeight="1">
      <c r="A853" s="261" t="str">
        <f t="shared" si="24"/>
        <v/>
      </c>
      <c r="B853" s="286"/>
      <c r="C853" s="312"/>
      <c r="D853" s="127"/>
      <c r="E853" s="313"/>
      <c r="F853" s="114"/>
      <c r="G853" s="314"/>
      <c r="H853" s="114"/>
      <c r="I853" s="315"/>
      <c r="J853" s="114"/>
      <c r="K853" s="305"/>
      <c r="L853" s="285"/>
      <c r="M853" s="285"/>
      <c r="N853" s="53"/>
      <c r="O853" s="53"/>
      <c r="P853" s="53" t="str">
        <f>vlookup(N853,Categorizations!A:C,3,FALSE)</f>
        <v>#N/A</v>
      </c>
      <c r="Q853" s="31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</row>
    <row r="854" ht="22.5" customHeight="1">
      <c r="A854" s="261" t="str">
        <f t="shared" si="24"/>
        <v/>
      </c>
      <c r="B854" s="286"/>
      <c r="C854" s="312"/>
      <c r="D854" s="127"/>
      <c r="E854" s="313"/>
      <c r="F854" s="114"/>
      <c r="G854" s="314"/>
      <c r="H854" s="114"/>
      <c r="I854" s="315"/>
      <c r="J854" s="114"/>
      <c r="K854" s="305"/>
      <c r="L854" s="285"/>
      <c r="M854" s="285"/>
      <c r="N854" s="53"/>
      <c r="O854" s="53"/>
      <c r="P854" s="53" t="str">
        <f>vlookup(N854,Categorizations!A:C,3,FALSE)</f>
        <v>#N/A</v>
      </c>
      <c r="Q854" s="31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</row>
    <row r="855" ht="22.5" customHeight="1">
      <c r="A855" s="261" t="str">
        <f t="shared" si="24"/>
        <v/>
      </c>
      <c r="B855" s="286"/>
      <c r="C855" s="312"/>
      <c r="D855" s="127"/>
      <c r="E855" s="313"/>
      <c r="F855" s="114"/>
      <c r="G855" s="314"/>
      <c r="H855" s="114"/>
      <c r="I855" s="315"/>
      <c r="J855" s="114"/>
      <c r="K855" s="305"/>
      <c r="L855" s="285"/>
      <c r="M855" s="285"/>
      <c r="N855" s="53"/>
      <c r="O855" s="53"/>
      <c r="P855" s="53" t="str">
        <f>vlookup(N855,Categorizations!A:C,3,FALSE)</f>
        <v>#N/A</v>
      </c>
      <c r="Q855" s="31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</row>
    <row r="856" ht="22.5" customHeight="1">
      <c r="A856" s="261" t="str">
        <f t="shared" si="24"/>
        <v/>
      </c>
      <c r="B856" s="286"/>
      <c r="C856" s="312"/>
      <c r="D856" s="127"/>
      <c r="E856" s="313"/>
      <c r="F856" s="114"/>
      <c r="G856" s="314"/>
      <c r="H856" s="114"/>
      <c r="I856" s="315"/>
      <c r="J856" s="114"/>
      <c r="K856" s="305"/>
      <c r="L856" s="285"/>
      <c r="M856" s="285"/>
      <c r="N856" s="53"/>
      <c r="O856" s="53"/>
      <c r="P856" s="53" t="str">
        <f>vlookup(N856,Categorizations!A:C,3,FALSE)</f>
        <v>#N/A</v>
      </c>
      <c r="Q856" s="31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</row>
    <row r="857" ht="22.5" customHeight="1">
      <c r="A857" s="261" t="str">
        <f t="shared" si="24"/>
        <v/>
      </c>
      <c r="B857" s="286"/>
      <c r="C857" s="312"/>
      <c r="D857" s="127"/>
      <c r="E857" s="313"/>
      <c r="F857" s="114"/>
      <c r="G857" s="314"/>
      <c r="H857" s="114"/>
      <c r="I857" s="315"/>
      <c r="J857" s="114"/>
      <c r="K857" s="305"/>
      <c r="L857" s="285"/>
      <c r="M857" s="285"/>
      <c r="N857" s="53"/>
      <c r="O857" s="53"/>
      <c r="P857" s="53" t="str">
        <f>vlookup(N857,Categorizations!A:C,3,FALSE)</f>
        <v>#N/A</v>
      </c>
      <c r="Q857" s="31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</row>
    <row r="858" ht="22.5" customHeight="1">
      <c r="A858" s="261" t="str">
        <f t="shared" si="24"/>
        <v/>
      </c>
      <c r="B858" s="286"/>
      <c r="C858" s="312"/>
      <c r="D858" s="127"/>
      <c r="E858" s="313"/>
      <c r="F858" s="114"/>
      <c r="G858" s="314"/>
      <c r="H858" s="114"/>
      <c r="I858" s="315"/>
      <c r="J858" s="114"/>
      <c r="K858" s="305"/>
      <c r="L858" s="285"/>
      <c r="M858" s="285"/>
      <c r="N858" s="53"/>
      <c r="O858" s="53"/>
      <c r="P858" s="53" t="str">
        <f>vlookup(N858,Categorizations!A:C,3,FALSE)</f>
        <v>#N/A</v>
      </c>
      <c r="Q858" s="31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</row>
    <row r="859" ht="22.5" customHeight="1">
      <c r="A859" s="261" t="str">
        <f t="shared" si="24"/>
        <v/>
      </c>
      <c r="B859" s="286"/>
      <c r="C859" s="312"/>
      <c r="D859" s="127"/>
      <c r="E859" s="313"/>
      <c r="F859" s="114"/>
      <c r="G859" s="314"/>
      <c r="H859" s="114"/>
      <c r="I859" s="315"/>
      <c r="J859" s="114"/>
      <c r="K859" s="305"/>
      <c r="L859" s="285"/>
      <c r="M859" s="285"/>
      <c r="N859" s="53"/>
      <c r="O859" s="53"/>
      <c r="P859" s="53" t="str">
        <f>vlookup(N859,Categorizations!A:C,3,FALSE)</f>
        <v>#N/A</v>
      </c>
      <c r="Q859" s="31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</row>
    <row r="860" ht="22.5" customHeight="1">
      <c r="A860" s="261" t="str">
        <f t="shared" si="24"/>
        <v/>
      </c>
      <c r="B860" s="286"/>
      <c r="C860" s="312"/>
      <c r="D860" s="127"/>
      <c r="E860" s="313"/>
      <c r="F860" s="114"/>
      <c r="G860" s="314"/>
      <c r="H860" s="114"/>
      <c r="I860" s="315"/>
      <c r="J860" s="114"/>
      <c r="K860" s="305"/>
      <c r="L860" s="285"/>
      <c r="M860" s="285"/>
      <c r="N860" s="53"/>
      <c r="O860" s="53"/>
      <c r="P860" s="53" t="str">
        <f>vlookup(N860,Categorizations!A:C,3,FALSE)</f>
        <v>#N/A</v>
      </c>
      <c r="Q860" s="31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</row>
    <row r="861" ht="22.5" customHeight="1">
      <c r="A861" s="261" t="str">
        <f t="shared" si="24"/>
        <v/>
      </c>
      <c r="B861" s="286"/>
      <c r="C861" s="312"/>
      <c r="D861" s="127"/>
      <c r="E861" s="313"/>
      <c r="F861" s="114"/>
      <c r="G861" s="314"/>
      <c r="H861" s="114"/>
      <c r="I861" s="315"/>
      <c r="J861" s="114"/>
      <c r="K861" s="305"/>
      <c r="L861" s="285"/>
      <c r="M861" s="285"/>
      <c r="N861" s="53"/>
      <c r="O861" s="53"/>
      <c r="P861" s="53" t="str">
        <f>vlookup(N861,Categorizations!A:C,3,FALSE)</f>
        <v>#N/A</v>
      </c>
      <c r="Q861" s="31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</row>
    <row r="862" ht="22.5" customHeight="1">
      <c r="A862" s="261" t="str">
        <f t="shared" si="24"/>
        <v/>
      </c>
      <c r="B862" s="286"/>
      <c r="C862" s="312"/>
      <c r="D862" s="127"/>
      <c r="E862" s="313"/>
      <c r="F862" s="114"/>
      <c r="G862" s="314"/>
      <c r="H862" s="114"/>
      <c r="I862" s="315"/>
      <c r="J862" s="114"/>
      <c r="K862" s="305"/>
      <c r="L862" s="285"/>
      <c r="M862" s="285"/>
      <c r="N862" s="53"/>
      <c r="O862" s="53"/>
      <c r="P862" s="53" t="str">
        <f>vlookup(N862,Categorizations!A:C,3,FALSE)</f>
        <v>#N/A</v>
      </c>
      <c r="Q862" s="31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</row>
    <row r="863" ht="22.5" customHeight="1">
      <c r="A863" s="261" t="str">
        <f t="shared" si="24"/>
        <v/>
      </c>
      <c r="B863" s="286"/>
      <c r="C863" s="312"/>
      <c r="D863" s="127"/>
      <c r="E863" s="313"/>
      <c r="F863" s="114"/>
      <c r="G863" s="314"/>
      <c r="H863" s="114"/>
      <c r="I863" s="315"/>
      <c r="J863" s="114"/>
      <c r="K863" s="305"/>
      <c r="L863" s="285"/>
      <c r="M863" s="285"/>
      <c r="N863" s="53"/>
      <c r="O863" s="53"/>
      <c r="P863" s="53" t="str">
        <f>vlookup(N863,Categorizations!A:C,3,FALSE)</f>
        <v>#N/A</v>
      </c>
      <c r="Q863" s="31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</row>
    <row r="864" ht="22.5" customHeight="1">
      <c r="A864" s="261" t="str">
        <f t="shared" si="24"/>
        <v/>
      </c>
      <c r="B864" s="286"/>
      <c r="C864" s="312"/>
      <c r="D864" s="127"/>
      <c r="E864" s="313"/>
      <c r="F864" s="114"/>
      <c r="G864" s="314"/>
      <c r="H864" s="114"/>
      <c r="I864" s="315"/>
      <c r="J864" s="114"/>
      <c r="K864" s="305"/>
      <c r="L864" s="285"/>
      <c r="M864" s="285"/>
      <c r="N864" s="53"/>
      <c r="O864" s="53"/>
      <c r="P864" s="53" t="str">
        <f>vlookup(N864,Categorizations!A:C,3,FALSE)</f>
        <v>#N/A</v>
      </c>
      <c r="Q864" s="31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</row>
    <row r="865" ht="22.5" customHeight="1">
      <c r="A865" s="261" t="str">
        <f t="shared" si="24"/>
        <v/>
      </c>
      <c r="B865" s="286"/>
      <c r="C865" s="312"/>
      <c r="D865" s="127"/>
      <c r="E865" s="313"/>
      <c r="F865" s="114"/>
      <c r="G865" s="314"/>
      <c r="H865" s="114"/>
      <c r="I865" s="315"/>
      <c r="J865" s="114"/>
      <c r="K865" s="305"/>
      <c r="L865" s="285"/>
      <c r="M865" s="285"/>
      <c r="N865" s="53"/>
      <c r="O865" s="53"/>
      <c r="P865" s="53" t="str">
        <f>vlookup(N865,Categorizations!A:C,3,FALSE)</f>
        <v>#N/A</v>
      </c>
      <c r="Q865" s="31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</row>
    <row r="866" ht="22.5" customHeight="1">
      <c r="A866" s="261" t="str">
        <f t="shared" si="24"/>
        <v/>
      </c>
      <c r="B866" s="286"/>
      <c r="C866" s="312"/>
      <c r="D866" s="127"/>
      <c r="E866" s="313"/>
      <c r="F866" s="114"/>
      <c r="G866" s="314"/>
      <c r="H866" s="114"/>
      <c r="I866" s="315"/>
      <c r="J866" s="114"/>
      <c r="K866" s="305"/>
      <c r="L866" s="285"/>
      <c r="M866" s="285"/>
      <c r="N866" s="53"/>
      <c r="O866" s="53"/>
      <c r="P866" s="53" t="str">
        <f>vlookup(N866,Categorizations!A:C,3,FALSE)</f>
        <v>#N/A</v>
      </c>
      <c r="Q866" s="31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</row>
    <row r="867" ht="22.5" customHeight="1">
      <c r="A867" s="261" t="str">
        <f t="shared" si="24"/>
        <v/>
      </c>
      <c r="B867" s="286"/>
      <c r="C867" s="312"/>
      <c r="D867" s="127"/>
      <c r="E867" s="313"/>
      <c r="F867" s="114"/>
      <c r="G867" s="314"/>
      <c r="H867" s="114"/>
      <c r="I867" s="315"/>
      <c r="J867" s="114"/>
      <c r="K867" s="305"/>
      <c r="L867" s="285"/>
      <c r="M867" s="285"/>
      <c r="N867" s="53"/>
      <c r="O867" s="53"/>
      <c r="P867" s="53" t="str">
        <f>vlookup(N867,Categorizations!A:C,3,FALSE)</f>
        <v>#N/A</v>
      </c>
      <c r="Q867" s="31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</row>
    <row r="868" ht="22.5" customHeight="1">
      <c r="A868" s="261" t="str">
        <f t="shared" si="24"/>
        <v/>
      </c>
      <c r="B868" s="286"/>
      <c r="C868" s="312"/>
      <c r="D868" s="127"/>
      <c r="E868" s="313"/>
      <c r="F868" s="114"/>
      <c r="G868" s="314"/>
      <c r="H868" s="114"/>
      <c r="I868" s="315"/>
      <c r="J868" s="114"/>
      <c r="K868" s="305"/>
      <c r="L868" s="285"/>
      <c r="M868" s="285"/>
      <c r="N868" s="53"/>
      <c r="O868" s="53"/>
      <c r="P868" s="53" t="str">
        <f>vlookup(N868,Categorizations!A:C,3,FALSE)</f>
        <v>#N/A</v>
      </c>
      <c r="Q868" s="31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</row>
    <row r="869" ht="22.5" customHeight="1">
      <c r="A869" s="261" t="str">
        <f t="shared" si="24"/>
        <v/>
      </c>
      <c r="B869" s="286"/>
      <c r="C869" s="312"/>
      <c r="D869" s="127"/>
      <c r="E869" s="313"/>
      <c r="F869" s="114"/>
      <c r="G869" s="314"/>
      <c r="H869" s="114"/>
      <c r="I869" s="315"/>
      <c r="J869" s="114"/>
      <c r="K869" s="305"/>
      <c r="L869" s="285"/>
      <c r="M869" s="285"/>
      <c r="N869" s="53"/>
      <c r="O869" s="53"/>
      <c r="P869" s="53" t="str">
        <f>vlookup(N869,Categorizations!A:C,3,FALSE)</f>
        <v>#N/A</v>
      </c>
      <c r="Q869" s="31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</row>
    <row r="870" ht="22.5" customHeight="1">
      <c r="A870" s="261" t="str">
        <f t="shared" si="24"/>
        <v/>
      </c>
      <c r="B870" s="286"/>
      <c r="C870" s="312"/>
      <c r="D870" s="127"/>
      <c r="E870" s="313"/>
      <c r="F870" s="114"/>
      <c r="G870" s="314"/>
      <c r="H870" s="114"/>
      <c r="I870" s="315"/>
      <c r="J870" s="114"/>
      <c r="K870" s="305"/>
      <c r="L870" s="285"/>
      <c r="M870" s="285"/>
      <c r="N870" s="53"/>
      <c r="O870" s="53"/>
      <c r="P870" s="53" t="str">
        <f>vlookup(N870,Categorizations!A:C,3,FALSE)</f>
        <v>#N/A</v>
      </c>
      <c r="Q870" s="31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</row>
    <row r="871" ht="22.5" customHeight="1">
      <c r="A871" s="261" t="str">
        <f t="shared" si="24"/>
        <v/>
      </c>
      <c r="B871" s="286"/>
      <c r="C871" s="312"/>
      <c r="D871" s="127"/>
      <c r="E871" s="313"/>
      <c r="F871" s="114"/>
      <c r="G871" s="314"/>
      <c r="H871" s="114"/>
      <c r="I871" s="315"/>
      <c r="J871" s="114"/>
      <c r="K871" s="305"/>
      <c r="L871" s="285"/>
      <c r="M871" s="285"/>
      <c r="N871" s="53"/>
      <c r="O871" s="53"/>
      <c r="P871" s="53" t="str">
        <f>vlookup(N871,Categorizations!A:C,3,FALSE)</f>
        <v>#N/A</v>
      </c>
      <c r="Q871" s="31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</row>
    <row r="872" ht="22.5" customHeight="1">
      <c r="A872" s="261" t="str">
        <f t="shared" si="24"/>
        <v/>
      </c>
      <c r="B872" s="286"/>
      <c r="C872" s="312"/>
      <c r="D872" s="127"/>
      <c r="E872" s="313"/>
      <c r="F872" s="114"/>
      <c r="G872" s="314"/>
      <c r="H872" s="114"/>
      <c r="I872" s="315"/>
      <c r="J872" s="114"/>
      <c r="K872" s="305"/>
      <c r="L872" s="285"/>
      <c r="M872" s="285"/>
      <c r="N872" s="53"/>
      <c r="O872" s="53"/>
      <c r="P872" s="53" t="str">
        <f>vlookup(N872,Categorizations!A:C,3,FALSE)</f>
        <v>#N/A</v>
      </c>
      <c r="Q872" s="31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</row>
    <row r="873" ht="22.5" customHeight="1">
      <c r="A873" s="261" t="str">
        <f t="shared" si="24"/>
        <v/>
      </c>
      <c r="B873" s="286"/>
      <c r="C873" s="312"/>
      <c r="D873" s="127"/>
      <c r="E873" s="313"/>
      <c r="F873" s="114"/>
      <c r="G873" s="314"/>
      <c r="H873" s="114"/>
      <c r="I873" s="315"/>
      <c r="J873" s="114"/>
      <c r="K873" s="305"/>
      <c r="L873" s="285"/>
      <c r="M873" s="285"/>
      <c r="N873" s="53"/>
      <c r="O873" s="53"/>
      <c r="P873" s="53" t="str">
        <f>vlookup(N873,Categorizations!A:C,3,FALSE)</f>
        <v>#N/A</v>
      </c>
      <c r="Q873" s="31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</row>
    <row r="874" ht="22.5" customHeight="1">
      <c r="A874" s="261" t="str">
        <f t="shared" si="24"/>
        <v/>
      </c>
      <c r="B874" s="286"/>
      <c r="C874" s="312"/>
      <c r="D874" s="127"/>
      <c r="E874" s="313"/>
      <c r="F874" s="114"/>
      <c r="G874" s="314"/>
      <c r="H874" s="114"/>
      <c r="I874" s="315"/>
      <c r="J874" s="114"/>
      <c r="K874" s="305"/>
      <c r="L874" s="285"/>
      <c r="M874" s="285"/>
      <c r="N874" s="53"/>
      <c r="O874" s="53"/>
      <c r="P874" s="53" t="str">
        <f>vlookup(N874,Categorizations!A:C,3,FALSE)</f>
        <v>#N/A</v>
      </c>
      <c r="Q874" s="31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</row>
    <row r="875" ht="22.5" customHeight="1">
      <c r="A875" s="261" t="str">
        <f t="shared" si="24"/>
        <v/>
      </c>
      <c r="B875" s="286"/>
      <c r="C875" s="312"/>
      <c r="D875" s="127"/>
      <c r="E875" s="313"/>
      <c r="F875" s="114"/>
      <c r="G875" s="314"/>
      <c r="H875" s="114"/>
      <c r="I875" s="315"/>
      <c r="J875" s="114"/>
      <c r="K875" s="305"/>
      <c r="L875" s="285"/>
      <c r="M875" s="285"/>
      <c r="N875" s="53"/>
      <c r="O875" s="53"/>
      <c r="P875" s="53" t="str">
        <f>vlookup(N875,Categorizations!A:C,3,FALSE)</f>
        <v>#N/A</v>
      </c>
      <c r="Q875" s="31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</row>
    <row r="876" ht="22.5" customHeight="1">
      <c r="A876" s="261" t="str">
        <f t="shared" si="24"/>
        <v/>
      </c>
      <c r="B876" s="286"/>
      <c r="C876" s="312"/>
      <c r="D876" s="127"/>
      <c r="E876" s="313"/>
      <c r="F876" s="114"/>
      <c r="G876" s="314"/>
      <c r="H876" s="114"/>
      <c r="I876" s="315"/>
      <c r="J876" s="114"/>
      <c r="K876" s="305"/>
      <c r="L876" s="285"/>
      <c r="M876" s="285"/>
      <c r="N876" s="53"/>
      <c r="O876" s="53"/>
      <c r="P876" s="53" t="str">
        <f>vlookup(N876,Categorizations!A:C,3,FALSE)</f>
        <v>#N/A</v>
      </c>
      <c r="Q876" s="31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</row>
    <row r="877" ht="22.5" customHeight="1">
      <c r="A877" s="261" t="str">
        <f t="shared" si="24"/>
        <v/>
      </c>
      <c r="B877" s="286"/>
      <c r="C877" s="312"/>
      <c r="D877" s="127"/>
      <c r="E877" s="313"/>
      <c r="F877" s="114"/>
      <c r="G877" s="314"/>
      <c r="H877" s="114"/>
      <c r="I877" s="315"/>
      <c r="J877" s="114"/>
      <c r="K877" s="305"/>
      <c r="L877" s="285"/>
      <c r="M877" s="285"/>
      <c r="N877" s="53"/>
      <c r="O877" s="53"/>
      <c r="P877" s="53" t="str">
        <f>vlookup(N877,Categorizations!A:C,3,FALSE)</f>
        <v>#N/A</v>
      </c>
      <c r="Q877" s="31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</row>
    <row r="878" ht="22.5" customHeight="1">
      <c r="A878" s="261" t="str">
        <f t="shared" si="24"/>
        <v/>
      </c>
      <c r="B878" s="286"/>
      <c r="C878" s="312"/>
      <c r="D878" s="127"/>
      <c r="E878" s="313"/>
      <c r="F878" s="114"/>
      <c r="G878" s="314"/>
      <c r="H878" s="114"/>
      <c r="I878" s="315"/>
      <c r="J878" s="114"/>
      <c r="K878" s="305"/>
      <c r="L878" s="285"/>
      <c r="M878" s="285"/>
      <c r="N878" s="53"/>
      <c r="O878" s="53"/>
      <c r="P878" s="53" t="str">
        <f>vlookup(N878,Categorizations!A:C,3,FALSE)</f>
        <v>#N/A</v>
      </c>
      <c r="Q878" s="31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</row>
    <row r="879" ht="22.5" customHeight="1">
      <c r="A879" s="261" t="str">
        <f t="shared" si="24"/>
        <v/>
      </c>
      <c r="B879" s="286"/>
      <c r="C879" s="312"/>
      <c r="D879" s="127"/>
      <c r="E879" s="313"/>
      <c r="F879" s="114"/>
      <c r="G879" s="314"/>
      <c r="H879" s="114"/>
      <c r="I879" s="315"/>
      <c r="J879" s="114"/>
      <c r="K879" s="305"/>
      <c r="L879" s="285"/>
      <c r="M879" s="285"/>
      <c r="N879" s="53"/>
      <c r="O879" s="53"/>
      <c r="P879" s="53" t="str">
        <f>vlookup(N879,Categorizations!A:C,3,FALSE)</f>
        <v>#N/A</v>
      </c>
      <c r="Q879" s="31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</row>
    <row r="880" ht="22.5" customHeight="1">
      <c r="A880" s="261" t="str">
        <f t="shared" si="24"/>
        <v/>
      </c>
      <c r="B880" s="286"/>
      <c r="C880" s="312"/>
      <c r="D880" s="127"/>
      <c r="E880" s="313"/>
      <c r="F880" s="114"/>
      <c r="G880" s="314"/>
      <c r="H880" s="114"/>
      <c r="I880" s="315"/>
      <c r="J880" s="114"/>
      <c r="K880" s="305"/>
      <c r="L880" s="285"/>
      <c r="M880" s="285"/>
      <c r="N880" s="53"/>
      <c r="O880" s="53"/>
      <c r="P880" s="53" t="str">
        <f>vlookup(N880,Categorizations!A:C,3,FALSE)</f>
        <v>#N/A</v>
      </c>
      <c r="Q880" s="31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</row>
    <row r="881" ht="22.5" customHeight="1">
      <c r="A881" s="261" t="str">
        <f t="shared" si="24"/>
        <v/>
      </c>
      <c r="B881" s="286"/>
      <c r="C881" s="312"/>
      <c r="D881" s="127"/>
      <c r="E881" s="313"/>
      <c r="F881" s="114"/>
      <c r="G881" s="314"/>
      <c r="H881" s="114"/>
      <c r="I881" s="315"/>
      <c r="J881" s="114"/>
      <c r="K881" s="305"/>
      <c r="L881" s="285"/>
      <c r="M881" s="285"/>
      <c r="N881" s="53"/>
      <c r="O881" s="53"/>
      <c r="P881" s="53" t="str">
        <f>vlookup(N881,Categorizations!A:C,3,FALSE)</f>
        <v>#N/A</v>
      </c>
      <c r="Q881" s="31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</row>
    <row r="882" ht="22.5" customHeight="1">
      <c r="A882" s="261" t="str">
        <f t="shared" si="24"/>
        <v/>
      </c>
      <c r="B882" s="286"/>
      <c r="C882" s="312"/>
      <c r="D882" s="127"/>
      <c r="E882" s="313"/>
      <c r="F882" s="114"/>
      <c r="G882" s="314"/>
      <c r="H882" s="114"/>
      <c r="I882" s="315"/>
      <c r="J882" s="114"/>
      <c r="K882" s="305"/>
      <c r="L882" s="285"/>
      <c r="M882" s="285"/>
      <c r="N882" s="53"/>
      <c r="O882" s="53"/>
      <c r="P882" s="53" t="str">
        <f>vlookup(N882,Categorizations!A:C,3,FALSE)</f>
        <v>#N/A</v>
      </c>
      <c r="Q882" s="31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</row>
    <row r="883" ht="22.5" customHeight="1">
      <c r="A883" s="261" t="str">
        <f t="shared" si="24"/>
        <v/>
      </c>
      <c r="B883" s="286"/>
      <c r="C883" s="312"/>
      <c r="D883" s="127"/>
      <c r="E883" s="313"/>
      <c r="F883" s="114"/>
      <c r="G883" s="314"/>
      <c r="H883" s="114"/>
      <c r="I883" s="315"/>
      <c r="J883" s="114"/>
      <c r="K883" s="305"/>
      <c r="L883" s="285"/>
      <c r="M883" s="285"/>
      <c r="N883" s="53"/>
      <c r="O883" s="53"/>
      <c r="P883" s="53" t="str">
        <f>vlookup(N883,Categorizations!A:C,3,FALSE)</f>
        <v>#N/A</v>
      </c>
      <c r="Q883" s="31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</row>
    <row r="884" ht="22.5" customHeight="1">
      <c r="A884" s="261" t="str">
        <f t="shared" si="24"/>
        <v/>
      </c>
      <c r="B884" s="286"/>
      <c r="C884" s="312"/>
      <c r="D884" s="127"/>
      <c r="E884" s="313"/>
      <c r="F884" s="114"/>
      <c r="G884" s="314"/>
      <c r="H884" s="114"/>
      <c r="I884" s="315"/>
      <c r="J884" s="114"/>
      <c r="K884" s="305"/>
      <c r="L884" s="285"/>
      <c r="M884" s="285"/>
      <c r="N884" s="53"/>
      <c r="O884" s="53"/>
      <c r="P884" s="53" t="str">
        <f>vlookup(N884,Categorizations!A:C,3,FALSE)</f>
        <v>#N/A</v>
      </c>
      <c r="Q884" s="31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</row>
    <row r="885" ht="22.5" customHeight="1">
      <c r="A885" s="261" t="str">
        <f t="shared" si="24"/>
        <v/>
      </c>
      <c r="B885" s="286"/>
      <c r="C885" s="312"/>
      <c r="D885" s="127"/>
      <c r="E885" s="313"/>
      <c r="F885" s="114"/>
      <c r="G885" s="314"/>
      <c r="H885" s="114"/>
      <c r="I885" s="315"/>
      <c r="J885" s="114"/>
      <c r="K885" s="305"/>
      <c r="L885" s="285"/>
      <c r="M885" s="285"/>
      <c r="N885" s="53"/>
      <c r="O885" s="53"/>
      <c r="P885" s="53" t="str">
        <f>vlookup(N885,Categorizations!A:C,3,FALSE)</f>
        <v>#N/A</v>
      </c>
      <c r="Q885" s="31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</row>
    <row r="886" ht="22.5" customHeight="1">
      <c r="A886" s="261" t="str">
        <f t="shared" si="24"/>
        <v/>
      </c>
      <c r="B886" s="286"/>
      <c r="C886" s="312"/>
      <c r="D886" s="127"/>
      <c r="E886" s="313"/>
      <c r="F886" s="114"/>
      <c r="G886" s="314"/>
      <c r="H886" s="114"/>
      <c r="I886" s="315"/>
      <c r="J886" s="114"/>
      <c r="K886" s="305"/>
      <c r="L886" s="285"/>
      <c r="M886" s="285"/>
      <c r="N886" s="53"/>
      <c r="O886" s="53"/>
      <c r="P886" s="53" t="str">
        <f>vlookup(N886,Categorizations!A:C,3,FALSE)</f>
        <v>#N/A</v>
      </c>
      <c r="Q886" s="31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</row>
    <row r="887" ht="22.5" customHeight="1">
      <c r="A887" s="261" t="str">
        <f t="shared" si="24"/>
        <v/>
      </c>
      <c r="B887" s="286"/>
      <c r="C887" s="312"/>
      <c r="D887" s="127"/>
      <c r="E887" s="313"/>
      <c r="F887" s="114"/>
      <c r="G887" s="314"/>
      <c r="H887" s="114"/>
      <c r="I887" s="315"/>
      <c r="J887" s="114"/>
      <c r="K887" s="305"/>
      <c r="L887" s="285"/>
      <c r="M887" s="285"/>
      <c r="N887" s="53"/>
      <c r="O887" s="53"/>
      <c r="P887" s="53" t="str">
        <f>vlookup(N887,Categorizations!A:C,3,FALSE)</f>
        <v>#N/A</v>
      </c>
      <c r="Q887" s="31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</row>
    <row r="888" ht="22.5" customHeight="1">
      <c r="A888" s="261" t="str">
        <f t="shared" si="24"/>
        <v/>
      </c>
      <c r="B888" s="286"/>
      <c r="C888" s="312"/>
      <c r="D888" s="127"/>
      <c r="E888" s="313"/>
      <c r="F888" s="114"/>
      <c r="G888" s="314"/>
      <c r="H888" s="114"/>
      <c r="I888" s="315"/>
      <c r="J888" s="114"/>
      <c r="K888" s="305"/>
      <c r="L888" s="285"/>
      <c r="M888" s="285"/>
      <c r="N888" s="53"/>
      <c r="O888" s="53"/>
      <c r="P888" s="53" t="str">
        <f>vlookup(N888,Categorizations!A:C,3,FALSE)</f>
        <v>#N/A</v>
      </c>
      <c r="Q888" s="31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</row>
    <row r="889" ht="22.5" customHeight="1">
      <c r="A889" s="261" t="str">
        <f t="shared" si="24"/>
        <v/>
      </c>
      <c r="B889" s="286"/>
      <c r="C889" s="312"/>
      <c r="D889" s="127"/>
      <c r="E889" s="313"/>
      <c r="F889" s="114"/>
      <c r="G889" s="314"/>
      <c r="H889" s="114"/>
      <c r="I889" s="315"/>
      <c r="J889" s="114"/>
      <c r="K889" s="305"/>
      <c r="L889" s="285"/>
      <c r="M889" s="285"/>
      <c r="N889" s="53"/>
      <c r="O889" s="53"/>
      <c r="P889" s="53" t="str">
        <f>vlookup(N889,Categorizations!A:C,3,FALSE)</f>
        <v>#N/A</v>
      </c>
      <c r="Q889" s="31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</row>
    <row r="890" ht="22.5" customHeight="1">
      <c r="A890" s="261" t="str">
        <f t="shared" si="24"/>
        <v/>
      </c>
      <c r="B890" s="286"/>
      <c r="C890" s="312"/>
      <c r="D890" s="127"/>
      <c r="E890" s="313"/>
      <c r="F890" s="114"/>
      <c r="G890" s="314"/>
      <c r="H890" s="114"/>
      <c r="I890" s="315"/>
      <c r="J890" s="114"/>
      <c r="K890" s="305"/>
      <c r="L890" s="285"/>
      <c r="M890" s="285"/>
      <c r="N890" s="53"/>
      <c r="O890" s="53"/>
      <c r="P890" s="53" t="str">
        <f>vlookup(N890,Categorizations!A:C,3,FALSE)</f>
        <v>#N/A</v>
      </c>
      <c r="Q890" s="31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</row>
    <row r="891" ht="22.5" customHeight="1">
      <c r="A891" s="261" t="str">
        <f t="shared" si="24"/>
        <v/>
      </c>
      <c r="B891" s="286"/>
      <c r="C891" s="312"/>
      <c r="D891" s="127"/>
      <c r="E891" s="313"/>
      <c r="F891" s="114"/>
      <c r="G891" s="314"/>
      <c r="H891" s="114"/>
      <c r="I891" s="315"/>
      <c r="J891" s="114"/>
      <c r="K891" s="305"/>
      <c r="L891" s="285"/>
      <c r="M891" s="285"/>
      <c r="N891" s="53"/>
      <c r="O891" s="53"/>
      <c r="P891" s="53" t="str">
        <f>vlookup(N891,Categorizations!A:C,3,FALSE)</f>
        <v>#N/A</v>
      </c>
      <c r="Q891" s="31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</row>
    <row r="892" ht="22.5" customHeight="1">
      <c r="A892" s="261" t="str">
        <f t="shared" si="24"/>
        <v/>
      </c>
      <c r="B892" s="286"/>
      <c r="C892" s="312"/>
      <c r="D892" s="127"/>
      <c r="E892" s="313"/>
      <c r="F892" s="114"/>
      <c r="G892" s="314"/>
      <c r="H892" s="114"/>
      <c r="I892" s="315"/>
      <c r="J892" s="114"/>
      <c r="K892" s="305"/>
      <c r="L892" s="285"/>
      <c r="M892" s="285"/>
      <c r="N892" s="53"/>
      <c r="O892" s="53"/>
      <c r="P892" s="53" t="str">
        <f>vlookup(N892,Categorizations!A:C,3,FALSE)</f>
        <v>#N/A</v>
      </c>
      <c r="Q892" s="31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</row>
    <row r="893">
      <c r="A893" s="85"/>
      <c r="B893" s="85"/>
      <c r="C893" s="316"/>
      <c r="D893" s="317"/>
      <c r="E893" s="318"/>
      <c r="F893" s="41"/>
      <c r="G893" s="317"/>
      <c r="H893" s="41"/>
      <c r="I893" s="319"/>
      <c r="J893" s="41"/>
      <c r="K893" s="41"/>
      <c r="L893" s="320"/>
      <c r="M893" s="41"/>
      <c r="N893" s="321"/>
      <c r="O893" s="321"/>
      <c r="P893" s="32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</row>
    <row r="894">
      <c r="A894" s="85"/>
      <c r="B894" s="85"/>
      <c r="C894" s="316"/>
      <c r="D894" s="317"/>
      <c r="E894" s="318"/>
      <c r="F894" s="41"/>
      <c r="G894" s="317"/>
      <c r="H894" s="41"/>
      <c r="I894" s="319"/>
      <c r="J894" s="41"/>
      <c r="K894" s="41"/>
      <c r="L894" s="320"/>
      <c r="M894" s="41"/>
      <c r="N894" s="321"/>
      <c r="O894" s="321"/>
      <c r="P894" s="32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</row>
    <row r="895">
      <c r="A895" s="85"/>
      <c r="B895" s="85"/>
      <c r="C895" s="316"/>
      <c r="D895" s="317"/>
      <c r="E895" s="318"/>
      <c r="F895" s="41"/>
      <c r="G895" s="317"/>
      <c r="H895" s="41"/>
      <c r="I895" s="319"/>
      <c r="J895" s="41"/>
      <c r="K895" s="41"/>
      <c r="L895" s="320"/>
      <c r="M895" s="41"/>
      <c r="N895" s="321"/>
      <c r="O895" s="321"/>
      <c r="P895" s="32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</row>
    <row r="896">
      <c r="A896" s="85"/>
      <c r="B896" s="85"/>
      <c r="C896" s="316"/>
      <c r="D896" s="317"/>
      <c r="E896" s="318"/>
      <c r="F896" s="41"/>
      <c r="G896" s="317"/>
      <c r="H896" s="41"/>
      <c r="I896" s="319"/>
      <c r="J896" s="41"/>
      <c r="K896" s="41"/>
      <c r="L896" s="320"/>
      <c r="M896" s="41"/>
      <c r="N896" s="321"/>
      <c r="O896" s="321"/>
      <c r="P896" s="32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</row>
    <row r="897">
      <c r="A897" s="85"/>
      <c r="B897" s="85"/>
      <c r="C897" s="316"/>
      <c r="D897" s="317"/>
      <c r="E897" s="318"/>
      <c r="F897" s="41"/>
      <c r="G897" s="317"/>
      <c r="H897" s="41"/>
      <c r="I897" s="319"/>
      <c r="J897" s="41"/>
      <c r="K897" s="41"/>
      <c r="L897" s="320"/>
      <c r="M897" s="41"/>
      <c r="N897" s="321"/>
      <c r="O897" s="321"/>
      <c r="P897" s="32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</row>
    <row r="898">
      <c r="A898" s="85"/>
      <c r="B898" s="85"/>
      <c r="C898" s="316"/>
      <c r="D898" s="317"/>
      <c r="E898" s="318"/>
      <c r="F898" s="41"/>
      <c r="G898" s="317"/>
      <c r="H898" s="41"/>
      <c r="I898" s="319"/>
      <c r="J898" s="41"/>
      <c r="K898" s="41"/>
      <c r="L898" s="320"/>
      <c r="M898" s="41"/>
      <c r="N898" s="321"/>
      <c r="O898" s="321"/>
      <c r="P898" s="32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</row>
    <row r="899">
      <c r="A899" s="85"/>
      <c r="B899" s="85"/>
      <c r="C899" s="316"/>
      <c r="D899" s="317"/>
      <c r="E899" s="318"/>
      <c r="F899" s="41"/>
      <c r="G899" s="317"/>
      <c r="H899" s="41"/>
      <c r="I899" s="319"/>
      <c r="J899" s="41"/>
      <c r="K899" s="41"/>
      <c r="L899" s="320"/>
      <c r="M899" s="41"/>
      <c r="N899" s="321"/>
      <c r="O899" s="321"/>
      <c r="P899" s="32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</row>
    <row r="900">
      <c r="A900" s="85"/>
      <c r="B900" s="85"/>
      <c r="C900" s="316"/>
      <c r="D900" s="317"/>
      <c r="E900" s="318"/>
      <c r="F900" s="41"/>
      <c r="G900" s="317"/>
      <c r="H900" s="41"/>
      <c r="I900" s="319"/>
      <c r="J900" s="41"/>
      <c r="K900" s="41"/>
      <c r="L900" s="320"/>
      <c r="M900" s="41"/>
      <c r="N900" s="321"/>
      <c r="O900" s="321"/>
      <c r="P900" s="32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</row>
    <row r="901">
      <c r="A901" s="85"/>
      <c r="B901" s="85"/>
      <c r="C901" s="316"/>
      <c r="D901" s="317"/>
      <c r="E901" s="318"/>
      <c r="F901" s="41"/>
      <c r="G901" s="317"/>
      <c r="H901" s="41"/>
      <c r="I901" s="319"/>
      <c r="J901" s="41"/>
      <c r="K901" s="41"/>
      <c r="L901" s="320"/>
      <c r="M901" s="41"/>
      <c r="N901" s="321"/>
      <c r="O901" s="321"/>
      <c r="P901" s="32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</row>
    <row r="902">
      <c r="A902" s="85"/>
      <c r="B902" s="85"/>
      <c r="C902" s="316"/>
      <c r="D902" s="317"/>
      <c r="E902" s="318"/>
      <c r="F902" s="41"/>
      <c r="G902" s="317"/>
      <c r="H902" s="41"/>
      <c r="I902" s="319"/>
      <c r="J902" s="41"/>
      <c r="K902" s="41"/>
      <c r="L902" s="320"/>
      <c r="M902" s="41"/>
      <c r="N902" s="321"/>
      <c r="O902" s="321"/>
      <c r="P902" s="32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</row>
    <row r="903">
      <c r="A903" s="85"/>
      <c r="B903" s="85"/>
      <c r="C903" s="316"/>
      <c r="D903" s="317"/>
      <c r="E903" s="318"/>
      <c r="F903" s="41"/>
      <c r="G903" s="317"/>
      <c r="H903" s="41"/>
      <c r="I903" s="319"/>
      <c r="J903" s="41"/>
      <c r="K903" s="41"/>
      <c r="L903" s="320"/>
      <c r="M903" s="41"/>
      <c r="N903" s="321"/>
      <c r="O903" s="321"/>
      <c r="P903" s="32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</row>
    <row r="904">
      <c r="A904" s="85"/>
      <c r="B904" s="85"/>
      <c r="C904" s="316"/>
      <c r="D904" s="317"/>
      <c r="E904" s="318"/>
      <c r="F904" s="41"/>
      <c r="G904" s="317"/>
      <c r="H904" s="41"/>
      <c r="I904" s="319"/>
      <c r="J904" s="41"/>
      <c r="K904" s="41"/>
      <c r="L904" s="320"/>
      <c r="M904" s="41"/>
      <c r="N904" s="321"/>
      <c r="O904" s="321"/>
      <c r="P904" s="32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</row>
    <row r="905">
      <c r="A905" s="85"/>
      <c r="B905" s="85"/>
      <c r="C905" s="316"/>
      <c r="D905" s="317"/>
      <c r="E905" s="318"/>
      <c r="F905" s="41"/>
      <c r="G905" s="317"/>
      <c r="H905" s="41"/>
      <c r="I905" s="319"/>
      <c r="J905" s="41"/>
      <c r="K905" s="41"/>
      <c r="L905" s="320"/>
      <c r="M905" s="41"/>
      <c r="N905" s="321"/>
      <c r="O905" s="321"/>
      <c r="P905" s="32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</row>
    <row r="906">
      <c r="A906" s="85"/>
      <c r="B906" s="85"/>
      <c r="C906" s="316"/>
      <c r="D906" s="317"/>
      <c r="E906" s="318"/>
      <c r="F906" s="41"/>
      <c r="G906" s="317"/>
      <c r="H906" s="41"/>
      <c r="I906" s="319"/>
      <c r="J906" s="41"/>
      <c r="K906" s="41"/>
      <c r="L906" s="320"/>
      <c r="M906" s="41"/>
      <c r="N906" s="321"/>
      <c r="O906" s="321"/>
      <c r="P906" s="32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</row>
    <row r="907">
      <c r="A907" s="85"/>
      <c r="B907" s="85"/>
      <c r="C907" s="316"/>
      <c r="D907" s="317"/>
      <c r="E907" s="318"/>
      <c r="F907" s="41"/>
      <c r="G907" s="317"/>
      <c r="H907" s="41"/>
      <c r="I907" s="319"/>
      <c r="J907" s="41"/>
      <c r="K907" s="41"/>
      <c r="L907" s="320"/>
      <c r="M907" s="41"/>
      <c r="N907" s="321"/>
      <c r="O907" s="321"/>
      <c r="P907" s="32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</row>
    <row r="908">
      <c r="A908" s="85"/>
      <c r="B908" s="85"/>
      <c r="C908" s="316"/>
      <c r="D908" s="317"/>
      <c r="E908" s="318"/>
      <c r="F908" s="41"/>
      <c r="G908" s="317"/>
      <c r="H908" s="41"/>
      <c r="I908" s="319"/>
      <c r="J908" s="41"/>
      <c r="K908" s="41"/>
      <c r="L908" s="320"/>
      <c r="M908" s="41"/>
      <c r="N908" s="321"/>
      <c r="O908" s="321"/>
      <c r="P908" s="32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</row>
    <row r="909">
      <c r="A909" s="85"/>
      <c r="B909" s="85"/>
      <c r="C909" s="316"/>
      <c r="D909" s="317"/>
      <c r="E909" s="318"/>
      <c r="F909" s="41"/>
      <c r="G909" s="317"/>
      <c r="H909" s="41"/>
      <c r="I909" s="319"/>
      <c r="J909" s="41"/>
      <c r="K909" s="41"/>
      <c r="L909" s="320"/>
      <c r="M909" s="41"/>
      <c r="N909" s="321"/>
      <c r="O909" s="321"/>
      <c r="P909" s="32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</row>
    <row r="910">
      <c r="A910" s="85"/>
      <c r="B910" s="85"/>
      <c r="C910" s="316"/>
      <c r="D910" s="317"/>
      <c r="E910" s="318"/>
      <c r="F910" s="41"/>
      <c r="G910" s="317"/>
      <c r="H910" s="41"/>
      <c r="I910" s="319"/>
      <c r="J910" s="41"/>
      <c r="K910" s="41"/>
      <c r="L910" s="320"/>
      <c r="M910" s="41"/>
      <c r="N910" s="321"/>
      <c r="O910" s="321"/>
      <c r="P910" s="32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</row>
    <row r="911">
      <c r="A911" s="85"/>
      <c r="B911" s="85"/>
      <c r="C911" s="316"/>
      <c r="D911" s="317"/>
      <c r="E911" s="318"/>
      <c r="F911" s="41"/>
      <c r="G911" s="317"/>
      <c r="H911" s="41"/>
      <c r="I911" s="319"/>
      <c r="J911" s="41"/>
      <c r="K911" s="41"/>
      <c r="L911" s="320"/>
      <c r="M911" s="41"/>
      <c r="N911" s="321"/>
      <c r="O911" s="321"/>
      <c r="P911" s="32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</row>
    <row r="912">
      <c r="A912" s="85"/>
      <c r="B912" s="85"/>
      <c r="C912" s="316"/>
      <c r="D912" s="317"/>
      <c r="E912" s="318"/>
      <c r="F912" s="41"/>
      <c r="G912" s="317"/>
      <c r="H912" s="41"/>
      <c r="I912" s="319"/>
      <c r="J912" s="41"/>
      <c r="K912" s="41"/>
      <c r="L912" s="320"/>
      <c r="M912" s="41"/>
      <c r="N912" s="321"/>
      <c r="O912" s="321"/>
      <c r="P912" s="32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</row>
    <row r="913">
      <c r="A913" s="85"/>
      <c r="B913" s="85"/>
      <c r="C913" s="316"/>
      <c r="D913" s="317"/>
      <c r="E913" s="318"/>
      <c r="F913" s="41"/>
      <c r="G913" s="317"/>
      <c r="H913" s="41"/>
      <c r="I913" s="319"/>
      <c r="J913" s="41"/>
      <c r="K913" s="41"/>
      <c r="L913" s="320"/>
      <c r="M913" s="41"/>
      <c r="N913" s="321"/>
      <c r="O913" s="321"/>
      <c r="P913" s="32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</row>
    <row r="914">
      <c r="A914" s="85"/>
      <c r="B914" s="85"/>
      <c r="C914" s="316"/>
      <c r="D914" s="317"/>
      <c r="E914" s="318"/>
      <c r="F914" s="41"/>
      <c r="G914" s="317"/>
      <c r="H914" s="41"/>
      <c r="I914" s="319"/>
      <c r="J914" s="41"/>
      <c r="K914" s="41"/>
      <c r="L914" s="320"/>
      <c r="M914" s="41"/>
      <c r="N914" s="321"/>
      <c r="O914" s="321"/>
      <c r="P914" s="32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</row>
    <row r="915">
      <c r="A915" s="85"/>
      <c r="B915" s="85"/>
      <c r="C915" s="316"/>
      <c r="D915" s="317"/>
      <c r="E915" s="318"/>
      <c r="F915" s="41"/>
      <c r="G915" s="317"/>
      <c r="H915" s="41"/>
      <c r="I915" s="319"/>
      <c r="J915" s="41"/>
      <c r="K915" s="41"/>
      <c r="L915" s="320"/>
      <c r="M915" s="41"/>
      <c r="N915" s="321"/>
      <c r="O915" s="321"/>
      <c r="P915" s="32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</row>
    <row r="916">
      <c r="A916" s="85"/>
      <c r="B916" s="85"/>
      <c r="C916" s="316"/>
      <c r="D916" s="317"/>
      <c r="E916" s="318"/>
      <c r="F916" s="41"/>
      <c r="G916" s="317"/>
      <c r="H916" s="41"/>
      <c r="I916" s="319"/>
      <c r="J916" s="41"/>
      <c r="K916" s="41"/>
      <c r="L916" s="320"/>
      <c r="M916" s="41"/>
      <c r="N916" s="321"/>
      <c r="O916" s="321"/>
      <c r="P916" s="32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</row>
    <row r="917">
      <c r="A917" s="85"/>
      <c r="B917" s="85"/>
      <c r="C917" s="316"/>
      <c r="D917" s="317"/>
      <c r="E917" s="318"/>
      <c r="F917" s="41"/>
      <c r="G917" s="317"/>
      <c r="H917" s="41"/>
      <c r="I917" s="319"/>
      <c r="J917" s="41"/>
      <c r="K917" s="41"/>
      <c r="L917" s="320"/>
      <c r="M917" s="41"/>
      <c r="N917" s="321"/>
      <c r="O917" s="321"/>
      <c r="P917" s="32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</row>
    <row r="918">
      <c r="A918" s="85"/>
      <c r="B918" s="85"/>
      <c r="C918" s="316"/>
      <c r="D918" s="317"/>
      <c r="E918" s="318"/>
      <c r="F918" s="41"/>
      <c r="G918" s="317"/>
      <c r="H918" s="41"/>
      <c r="I918" s="319"/>
      <c r="J918" s="41"/>
      <c r="K918" s="41"/>
      <c r="L918" s="320"/>
      <c r="M918" s="41"/>
      <c r="N918" s="321"/>
      <c r="O918" s="321"/>
      <c r="P918" s="32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</row>
    <row r="919">
      <c r="A919" s="85"/>
      <c r="B919" s="85"/>
      <c r="C919" s="316"/>
      <c r="D919" s="317"/>
      <c r="E919" s="318"/>
      <c r="F919" s="41"/>
      <c r="G919" s="317"/>
      <c r="H919" s="41"/>
      <c r="I919" s="319"/>
      <c r="J919" s="41"/>
      <c r="K919" s="41"/>
      <c r="L919" s="320"/>
      <c r="M919" s="41"/>
      <c r="N919" s="321"/>
      <c r="O919" s="321"/>
      <c r="P919" s="32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</row>
    <row r="920">
      <c r="A920" s="85"/>
      <c r="B920" s="85"/>
      <c r="C920" s="316"/>
      <c r="D920" s="317"/>
      <c r="E920" s="318"/>
      <c r="F920" s="41"/>
      <c r="G920" s="317"/>
      <c r="H920" s="41"/>
      <c r="I920" s="319"/>
      <c r="J920" s="41"/>
      <c r="K920" s="41"/>
      <c r="L920" s="320"/>
      <c r="M920" s="41"/>
      <c r="N920" s="321"/>
      <c r="O920" s="321"/>
      <c r="P920" s="32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</row>
    <row r="921">
      <c r="A921" s="85"/>
      <c r="B921" s="85"/>
      <c r="C921" s="316"/>
      <c r="D921" s="317"/>
      <c r="E921" s="318"/>
      <c r="F921" s="41"/>
      <c r="G921" s="317"/>
      <c r="H921" s="41"/>
      <c r="I921" s="319"/>
      <c r="J921" s="41"/>
      <c r="K921" s="41"/>
      <c r="L921" s="320"/>
      <c r="M921" s="41"/>
      <c r="N921" s="321"/>
      <c r="O921" s="321"/>
      <c r="P921" s="32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</row>
    <row r="922">
      <c r="A922" s="85"/>
      <c r="B922" s="85"/>
      <c r="C922" s="316"/>
      <c r="D922" s="317"/>
      <c r="E922" s="318"/>
      <c r="F922" s="41"/>
      <c r="G922" s="317"/>
      <c r="H922" s="41"/>
      <c r="I922" s="319"/>
      <c r="J922" s="41"/>
      <c r="K922" s="41"/>
      <c r="L922" s="320"/>
      <c r="M922" s="41"/>
      <c r="N922" s="321"/>
      <c r="O922" s="321"/>
      <c r="P922" s="32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</row>
    <row r="923">
      <c r="A923" s="85"/>
      <c r="B923" s="85"/>
      <c r="C923" s="316"/>
      <c r="D923" s="317"/>
      <c r="E923" s="318"/>
      <c r="F923" s="41"/>
      <c r="G923" s="317"/>
      <c r="H923" s="41"/>
      <c r="I923" s="319"/>
      <c r="J923" s="41"/>
      <c r="K923" s="41"/>
      <c r="L923" s="320"/>
      <c r="M923" s="41"/>
      <c r="N923" s="321"/>
      <c r="O923" s="321"/>
      <c r="P923" s="32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</row>
    <row r="924">
      <c r="A924" s="85"/>
      <c r="B924" s="85"/>
      <c r="C924" s="316"/>
      <c r="D924" s="317"/>
      <c r="E924" s="318"/>
      <c r="F924" s="41"/>
      <c r="G924" s="317"/>
      <c r="H924" s="41"/>
      <c r="I924" s="319"/>
      <c r="J924" s="41"/>
      <c r="K924" s="41"/>
      <c r="L924" s="320"/>
      <c r="M924" s="41"/>
      <c r="N924" s="321"/>
      <c r="O924" s="321"/>
      <c r="P924" s="32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</row>
    <row r="925">
      <c r="A925" s="85"/>
      <c r="B925" s="85"/>
      <c r="C925" s="316"/>
      <c r="D925" s="317"/>
      <c r="E925" s="318"/>
      <c r="F925" s="41"/>
      <c r="G925" s="317"/>
      <c r="H925" s="41"/>
      <c r="I925" s="319"/>
      <c r="J925" s="41"/>
      <c r="K925" s="41"/>
      <c r="L925" s="320"/>
      <c r="M925" s="41"/>
      <c r="N925" s="321"/>
      <c r="O925" s="321"/>
      <c r="P925" s="32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</row>
    <row r="926">
      <c r="A926" s="85"/>
      <c r="B926" s="85"/>
      <c r="C926" s="316"/>
      <c r="D926" s="317"/>
      <c r="E926" s="318"/>
      <c r="F926" s="41"/>
      <c r="G926" s="317"/>
      <c r="H926" s="41"/>
      <c r="I926" s="319"/>
      <c r="J926" s="41"/>
      <c r="K926" s="41"/>
      <c r="L926" s="320"/>
      <c r="M926" s="41"/>
      <c r="N926" s="321"/>
      <c r="O926" s="321"/>
      <c r="P926" s="32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</row>
    <row r="927">
      <c r="A927" s="85"/>
      <c r="B927" s="85"/>
      <c r="C927" s="316"/>
      <c r="D927" s="317"/>
      <c r="E927" s="318"/>
      <c r="F927" s="41"/>
      <c r="G927" s="317"/>
      <c r="H927" s="41"/>
      <c r="I927" s="319"/>
      <c r="J927" s="41"/>
      <c r="K927" s="41"/>
      <c r="L927" s="320"/>
      <c r="M927" s="41"/>
      <c r="N927" s="321"/>
      <c r="O927" s="321"/>
      <c r="P927" s="32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</row>
    <row r="928">
      <c r="A928" s="85"/>
      <c r="B928" s="85"/>
      <c r="C928" s="316"/>
      <c r="D928" s="317"/>
      <c r="E928" s="318"/>
      <c r="F928" s="41"/>
      <c r="G928" s="317"/>
      <c r="H928" s="41"/>
      <c r="I928" s="319"/>
      <c r="J928" s="41"/>
      <c r="K928" s="41"/>
      <c r="L928" s="320"/>
      <c r="M928" s="41"/>
      <c r="N928" s="321"/>
      <c r="O928" s="321"/>
      <c r="P928" s="32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</row>
    <row r="929">
      <c r="A929" s="85"/>
      <c r="B929" s="85"/>
      <c r="C929" s="316"/>
      <c r="D929" s="317"/>
      <c r="E929" s="318"/>
      <c r="F929" s="41"/>
      <c r="G929" s="317"/>
      <c r="H929" s="41"/>
      <c r="I929" s="319"/>
      <c r="J929" s="41"/>
      <c r="K929" s="41"/>
      <c r="L929" s="320"/>
      <c r="M929" s="41"/>
      <c r="N929" s="321"/>
      <c r="O929" s="321"/>
      <c r="P929" s="32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</row>
    <row r="930">
      <c r="A930" s="85"/>
      <c r="B930" s="85"/>
      <c r="C930" s="316"/>
      <c r="D930" s="317"/>
      <c r="E930" s="318"/>
      <c r="F930" s="41"/>
      <c r="G930" s="317"/>
      <c r="H930" s="41"/>
      <c r="I930" s="319"/>
      <c r="J930" s="41"/>
      <c r="K930" s="41"/>
      <c r="L930" s="320"/>
      <c r="M930" s="41"/>
      <c r="N930" s="321"/>
      <c r="O930" s="321"/>
      <c r="P930" s="32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</row>
    <row r="931">
      <c r="A931" s="85"/>
      <c r="B931" s="85"/>
      <c r="C931" s="316"/>
      <c r="D931" s="317"/>
      <c r="E931" s="318"/>
      <c r="F931" s="41"/>
      <c r="G931" s="317"/>
      <c r="H931" s="41"/>
      <c r="I931" s="319"/>
      <c r="J931" s="41"/>
      <c r="K931" s="41"/>
      <c r="L931" s="320"/>
      <c r="M931" s="41"/>
      <c r="N931" s="321"/>
      <c r="O931" s="321"/>
      <c r="P931" s="32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</row>
    <row r="932">
      <c r="A932" s="85"/>
      <c r="B932" s="85"/>
      <c r="C932" s="316"/>
      <c r="D932" s="317"/>
      <c r="E932" s="318"/>
      <c r="F932" s="41"/>
      <c r="G932" s="317"/>
      <c r="H932" s="41"/>
      <c r="I932" s="319"/>
      <c r="J932" s="41"/>
      <c r="K932" s="41"/>
      <c r="L932" s="320"/>
      <c r="M932" s="41"/>
      <c r="N932" s="321"/>
      <c r="O932" s="321"/>
      <c r="P932" s="32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</row>
    <row r="933">
      <c r="A933" s="85"/>
      <c r="B933" s="85"/>
      <c r="C933" s="316"/>
      <c r="D933" s="317"/>
      <c r="E933" s="318"/>
      <c r="F933" s="41"/>
      <c r="G933" s="317"/>
      <c r="H933" s="41"/>
      <c r="I933" s="319"/>
      <c r="J933" s="41"/>
      <c r="K933" s="41"/>
      <c r="L933" s="320"/>
      <c r="M933" s="41"/>
      <c r="N933" s="321"/>
      <c r="O933" s="321"/>
      <c r="P933" s="32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</row>
    <row r="934">
      <c r="A934" s="85"/>
      <c r="B934" s="85"/>
      <c r="C934" s="316"/>
      <c r="D934" s="317"/>
      <c r="E934" s="318"/>
      <c r="F934" s="41"/>
      <c r="G934" s="317"/>
      <c r="H934" s="41"/>
      <c r="I934" s="319"/>
      <c r="J934" s="41"/>
      <c r="K934" s="41"/>
      <c r="L934" s="320"/>
      <c r="M934" s="41"/>
      <c r="N934" s="321"/>
      <c r="O934" s="321"/>
      <c r="P934" s="32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</row>
    <row r="935">
      <c r="A935" s="85"/>
      <c r="B935" s="85"/>
      <c r="C935" s="316"/>
      <c r="D935" s="317"/>
      <c r="E935" s="318"/>
      <c r="F935" s="41"/>
      <c r="G935" s="317"/>
      <c r="H935" s="41"/>
      <c r="I935" s="319"/>
      <c r="J935" s="41"/>
      <c r="K935" s="41"/>
      <c r="L935" s="320"/>
      <c r="M935" s="41"/>
      <c r="N935" s="321"/>
      <c r="O935" s="321"/>
      <c r="P935" s="32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</row>
    <row r="936">
      <c r="A936" s="85"/>
      <c r="B936" s="85"/>
      <c r="C936" s="316"/>
      <c r="D936" s="317"/>
      <c r="E936" s="318"/>
      <c r="F936" s="41"/>
      <c r="G936" s="317"/>
      <c r="H936" s="41"/>
      <c r="I936" s="319"/>
      <c r="J936" s="41"/>
      <c r="K936" s="41"/>
      <c r="L936" s="320"/>
      <c r="M936" s="41"/>
      <c r="N936" s="321"/>
      <c r="O936" s="321"/>
      <c r="P936" s="32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</row>
    <row r="937">
      <c r="A937" s="85"/>
      <c r="B937" s="85"/>
      <c r="C937" s="316"/>
      <c r="D937" s="317"/>
      <c r="E937" s="318"/>
      <c r="F937" s="41"/>
      <c r="G937" s="317"/>
      <c r="H937" s="41"/>
      <c r="I937" s="319"/>
      <c r="J937" s="41"/>
      <c r="K937" s="41"/>
      <c r="L937" s="320"/>
      <c r="M937" s="41"/>
      <c r="N937" s="321"/>
      <c r="O937" s="321"/>
      <c r="P937" s="32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</row>
    <row r="938">
      <c r="A938" s="85"/>
      <c r="B938" s="85"/>
      <c r="C938" s="316"/>
      <c r="D938" s="317"/>
      <c r="E938" s="318"/>
      <c r="F938" s="41"/>
      <c r="G938" s="317"/>
      <c r="H938" s="41"/>
      <c r="I938" s="319"/>
      <c r="J938" s="41"/>
      <c r="K938" s="41"/>
      <c r="L938" s="320"/>
      <c r="M938" s="41"/>
      <c r="N938" s="321"/>
      <c r="O938" s="321"/>
      <c r="P938" s="32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</row>
    <row r="939">
      <c r="A939" s="85"/>
      <c r="B939" s="85"/>
      <c r="C939" s="316"/>
      <c r="D939" s="317"/>
      <c r="E939" s="318"/>
      <c r="F939" s="41"/>
      <c r="G939" s="317"/>
      <c r="H939" s="41"/>
      <c r="I939" s="319"/>
      <c r="J939" s="41"/>
      <c r="K939" s="41"/>
      <c r="L939" s="320"/>
      <c r="M939" s="41"/>
      <c r="N939" s="321"/>
      <c r="O939" s="321"/>
      <c r="P939" s="32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</row>
    <row r="940">
      <c r="A940" s="85"/>
      <c r="B940" s="85"/>
      <c r="C940" s="316"/>
      <c r="D940" s="317"/>
      <c r="E940" s="318"/>
      <c r="F940" s="41"/>
      <c r="G940" s="317"/>
      <c r="H940" s="41"/>
      <c r="I940" s="319"/>
      <c r="J940" s="41"/>
      <c r="K940" s="41"/>
      <c r="L940" s="320"/>
      <c r="M940" s="41"/>
      <c r="N940" s="321"/>
      <c r="O940" s="321"/>
      <c r="P940" s="32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</row>
    <row r="941">
      <c r="A941" s="85"/>
      <c r="B941" s="85"/>
      <c r="C941" s="316"/>
      <c r="D941" s="317"/>
      <c r="E941" s="318"/>
      <c r="F941" s="41"/>
      <c r="G941" s="317"/>
      <c r="H941" s="41"/>
      <c r="I941" s="319"/>
      <c r="J941" s="41"/>
      <c r="K941" s="41"/>
      <c r="L941" s="320"/>
      <c r="M941" s="41"/>
      <c r="N941" s="321"/>
      <c r="O941" s="321"/>
      <c r="P941" s="32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</row>
    <row r="942">
      <c r="A942" s="85"/>
      <c r="B942" s="85"/>
      <c r="C942" s="316"/>
      <c r="D942" s="317"/>
      <c r="E942" s="318"/>
      <c r="F942" s="41"/>
      <c r="G942" s="317"/>
      <c r="H942" s="41"/>
      <c r="I942" s="319"/>
      <c r="J942" s="41"/>
      <c r="K942" s="41"/>
      <c r="L942" s="320"/>
      <c r="M942" s="41"/>
      <c r="N942" s="321"/>
      <c r="O942" s="321"/>
      <c r="P942" s="32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</row>
    <row r="943">
      <c r="A943" s="85"/>
      <c r="B943" s="85"/>
      <c r="C943" s="316"/>
      <c r="D943" s="317"/>
      <c r="E943" s="318"/>
      <c r="F943" s="41"/>
      <c r="G943" s="317"/>
      <c r="H943" s="41"/>
      <c r="I943" s="319"/>
      <c r="J943" s="41"/>
      <c r="K943" s="41"/>
      <c r="L943" s="320"/>
      <c r="M943" s="41"/>
      <c r="N943" s="321"/>
      <c r="O943" s="321"/>
      <c r="P943" s="32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</row>
    <row r="944">
      <c r="A944" s="85"/>
      <c r="B944" s="85"/>
      <c r="C944" s="316"/>
      <c r="D944" s="317"/>
      <c r="E944" s="318"/>
      <c r="F944" s="41"/>
      <c r="G944" s="317"/>
      <c r="H944" s="41"/>
      <c r="I944" s="319"/>
      <c r="J944" s="41"/>
      <c r="K944" s="41"/>
      <c r="L944" s="320"/>
      <c r="M944" s="41"/>
      <c r="N944" s="321"/>
      <c r="O944" s="321"/>
      <c r="P944" s="32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</row>
    <row r="945">
      <c r="A945" s="85"/>
      <c r="B945" s="85"/>
      <c r="C945" s="316"/>
      <c r="D945" s="317"/>
      <c r="E945" s="318"/>
      <c r="F945" s="41"/>
      <c r="G945" s="317"/>
      <c r="H945" s="41"/>
      <c r="I945" s="319"/>
      <c r="J945" s="41"/>
      <c r="K945" s="41"/>
      <c r="L945" s="320"/>
      <c r="M945" s="41"/>
      <c r="N945" s="321"/>
      <c r="O945" s="321"/>
      <c r="P945" s="32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</row>
    <row r="946">
      <c r="A946" s="85"/>
      <c r="B946" s="85"/>
      <c r="C946" s="316"/>
      <c r="D946" s="317"/>
      <c r="E946" s="318"/>
      <c r="F946" s="41"/>
      <c r="G946" s="317"/>
      <c r="H946" s="41"/>
      <c r="I946" s="319"/>
      <c r="J946" s="41"/>
      <c r="K946" s="41"/>
      <c r="L946" s="320"/>
      <c r="M946" s="41"/>
      <c r="N946" s="321"/>
      <c r="O946" s="321"/>
      <c r="P946" s="32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</row>
    <row r="947">
      <c r="A947" s="85"/>
      <c r="B947" s="85"/>
      <c r="C947" s="316"/>
      <c r="D947" s="317"/>
      <c r="E947" s="318"/>
      <c r="F947" s="41"/>
      <c r="G947" s="317"/>
      <c r="H947" s="41"/>
      <c r="I947" s="319"/>
      <c r="J947" s="41"/>
      <c r="K947" s="41"/>
      <c r="L947" s="320"/>
      <c r="M947" s="41"/>
      <c r="N947" s="321"/>
      <c r="O947" s="321"/>
      <c r="P947" s="32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</row>
    <row r="948">
      <c r="A948" s="85"/>
      <c r="B948" s="85"/>
      <c r="C948" s="316"/>
      <c r="D948" s="317"/>
      <c r="E948" s="318"/>
      <c r="F948" s="41"/>
      <c r="G948" s="317"/>
      <c r="H948" s="41"/>
      <c r="I948" s="319"/>
      <c r="J948" s="41"/>
      <c r="K948" s="41"/>
      <c r="L948" s="320"/>
      <c r="M948" s="41"/>
      <c r="N948" s="321"/>
      <c r="O948" s="321"/>
      <c r="P948" s="32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</row>
    <row r="949">
      <c r="A949" s="85"/>
      <c r="B949" s="85"/>
      <c r="C949" s="316"/>
      <c r="D949" s="317"/>
      <c r="E949" s="318"/>
      <c r="F949" s="41"/>
      <c r="G949" s="317"/>
      <c r="H949" s="41"/>
      <c r="I949" s="319"/>
      <c r="J949" s="41"/>
      <c r="K949" s="41"/>
      <c r="L949" s="320"/>
      <c r="M949" s="41"/>
      <c r="N949" s="321"/>
      <c r="O949" s="321"/>
      <c r="P949" s="32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</row>
    <row r="950">
      <c r="A950" s="85"/>
      <c r="B950" s="85"/>
      <c r="C950" s="316"/>
      <c r="D950" s="317"/>
      <c r="E950" s="318"/>
      <c r="F950" s="41"/>
      <c r="G950" s="317"/>
      <c r="H950" s="41"/>
      <c r="I950" s="319"/>
      <c r="J950" s="41"/>
      <c r="K950" s="41"/>
      <c r="L950" s="320"/>
      <c r="M950" s="41"/>
      <c r="N950" s="321"/>
      <c r="O950" s="321"/>
      <c r="P950" s="32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</row>
    <row r="951">
      <c r="A951" s="85"/>
      <c r="B951" s="85"/>
      <c r="C951" s="316"/>
      <c r="D951" s="317"/>
      <c r="E951" s="318"/>
      <c r="F951" s="41"/>
      <c r="G951" s="317"/>
      <c r="H951" s="41"/>
      <c r="I951" s="319"/>
      <c r="J951" s="41"/>
      <c r="K951" s="41"/>
      <c r="L951" s="320"/>
      <c r="M951" s="41"/>
      <c r="N951" s="321"/>
      <c r="O951" s="321"/>
      <c r="P951" s="32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</row>
    <row r="952">
      <c r="A952" s="85"/>
      <c r="B952" s="85"/>
      <c r="C952" s="316"/>
      <c r="D952" s="317"/>
      <c r="E952" s="318"/>
      <c r="F952" s="41"/>
      <c r="G952" s="317"/>
      <c r="H952" s="41"/>
      <c r="I952" s="319"/>
      <c r="J952" s="41"/>
      <c r="K952" s="41"/>
      <c r="L952" s="320"/>
      <c r="M952" s="41"/>
      <c r="N952" s="321"/>
      <c r="O952" s="321"/>
      <c r="P952" s="32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</row>
    <row r="953">
      <c r="A953" s="85"/>
      <c r="B953" s="85"/>
      <c r="C953" s="316"/>
      <c r="D953" s="317"/>
      <c r="E953" s="318"/>
      <c r="F953" s="41"/>
      <c r="G953" s="317"/>
      <c r="H953" s="41"/>
      <c r="I953" s="319"/>
      <c r="J953" s="41"/>
      <c r="K953" s="41"/>
      <c r="L953" s="320"/>
      <c r="M953" s="41"/>
      <c r="N953" s="321"/>
      <c r="O953" s="321"/>
      <c r="P953" s="32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</row>
    <row r="954">
      <c r="A954" s="85"/>
      <c r="B954" s="85"/>
      <c r="C954" s="316"/>
      <c r="D954" s="317"/>
      <c r="E954" s="318"/>
      <c r="F954" s="41"/>
      <c r="G954" s="317"/>
      <c r="H954" s="41"/>
      <c r="I954" s="319"/>
      <c r="J954" s="41"/>
      <c r="K954" s="41"/>
      <c r="L954" s="320"/>
      <c r="M954" s="41"/>
      <c r="N954" s="321"/>
      <c r="O954" s="321"/>
      <c r="P954" s="32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</row>
    <row r="955">
      <c r="A955" s="85"/>
      <c r="B955" s="85"/>
      <c r="C955" s="316"/>
      <c r="D955" s="317"/>
      <c r="E955" s="318"/>
      <c r="F955" s="41"/>
      <c r="G955" s="317"/>
      <c r="H955" s="41"/>
      <c r="I955" s="319"/>
      <c r="J955" s="41"/>
      <c r="K955" s="41"/>
      <c r="L955" s="320"/>
      <c r="M955" s="41"/>
      <c r="N955" s="321"/>
      <c r="O955" s="321"/>
      <c r="P955" s="32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</row>
    <row r="956">
      <c r="A956" s="85"/>
      <c r="B956" s="85"/>
      <c r="C956" s="316"/>
      <c r="D956" s="317"/>
      <c r="E956" s="318"/>
      <c r="F956" s="41"/>
      <c r="G956" s="317"/>
      <c r="H956" s="41"/>
      <c r="I956" s="319"/>
      <c r="J956" s="41"/>
      <c r="K956" s="41"/>
      <c r="L956" s="320"/>
      <c r="M956" s="41"/>
      <c r="N956" s="321"/>
      <c r="O956" s="321"/>
      <c r="P956" s="32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</row>
    <row r="957">
      <c r="A957" s="85"/>
      <c r="B957" s="85"/>
      <c r="C957" s="316"/>
      <c r="D957" s="317"/>
      <c r="E957" s="318"/>
      <c r="F957" s="41"/>
      <c r="G957" s="317"/>
      <c r="H957" s="41"/>
      <c r="I957" s="319"/>
      <c r="J957" s="41"/>
      <c r="K957" s="41"/>
      <c r="L957" s="320"/>
      <c r="M957" s="41"/>
      <c r="N957" s="321"/>
      <c r="O957" s="321"/>
      <c r="P957" s="32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</row>
    <row r="958">
      <c r="A958" s="85"/>
      <c r="B958" s="85"/>
      <c r="C958" s="316"/>
      <c r="D958" s="317"/>
      <c r="E958" s="318"/>
      <c r="F958" s="41"/>
      <c r="G958" s="317"/>
      <c r="H958" s="41"/>
      <c r="I958" s="319"/>
      <c r="J958" s="41"/>
      <c r="K958" s="41"/>
      <c r="L958" s="320"/>
      <c r="M958" s="41"/>
      <c r="N958" s="321"/>
      <c r="O958" s="321"/>
      <c r="P958" s="32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</row>
    <row r="959">
      <c r="A959" s="85"/>
      <c r="B959" s="85"/>
      <c r="C959" s="316"/>
      <c r="D959" s="317"/>
      <c r="E959" s="318"/>
      <c r="F959" s="41"/>
      <c r="G959" s="317"/>
      <c r="H959" s="41"/>
      <c r="I959" s="319"/>
      <c r="J959" s="41"/>
      <c r="K959" s="41"/>
      <c r="L959" s="320"/>
      <c r="M959" s="41"/>
      <c r="N959" s="321"/>
      <c r="O959" s="321"/>
      <c r="P959" s="32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</row>
    <row r="960">
      <c r="A960" s="85"/>
      <c r="B960" s="85"/>
      <c r="C960" s="316"/>
      <c r="D960" s="317"/>
      <c r="E960" s="318"/>
      <c r="F960" s="41"/>
      <c r="G960" s="317"/>
      <c r="H960" s="41"/>
      <c r="I960" s="319"/>
      <c r="J960" s="41"/>
      <c r="K960" s="41"/>
      <c r="L960" s="320"/>
      <c r="M960" s="41"/>
      <c r="N960" s="321"/>
      <c r="O960" s="321"/>
      <c r="P960" s="32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</row>
    <row r="961">
      <c r="A961" s="85"/>
      <c r="B961" s="85"/>
      <c r="C961" s="316"/>
      <c r="D961" s="317"/>
      <c r="E961" s="318"/>
      <c r="F961" s="41"/>
      <c r="G961" s="317"/>
      <c r="H961" s="41"/>
      <c r="I961" s="319"/>
      <c r="J961" s="41"/>
      <c r="K961" s="41"/>
      <c r="L961" s="320"/>
      <c r="M961" s="41"/>
      <c r="N961" s="321"/>
      <c r="O961" s="321"/>
      <c r="P961" s="32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</row>
    <row r="962">
      <c r="A962" s="85"/>
      <c r="B962" s="85"/>
      <c r="C962" s="316"/>
      <c r="D962" s="317"/>
      <c r="E962" s="318"/>
      <c r="F962" s="41"/>
      <c r="G962" s="317"/>
      <c r="H962" s="41"/>
      <c r="I962" s="319"/>
      <c r="J962" s="41"/>
      <c r="K962" s="41"/>
      <c r="L962" s="320"/>
      <c r="M962" s="41"/>
      <c r="N962" s="321"/>
      <c r="O962" s="321"/>
      <c r="P962" s="32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</row>
    <row r="963">
      <c r="A963" s="85"/>
      <c r="B963" s="85"/>
      <c r="C963" s="316"/>
      <c r="D963" s="317"/>
      <c r="E963" s="318"/>
      <c r="F963" s="41"/>
      <c r="G963" s="317"/>
      <c r="H963" s="41"/>
      <c r="I963" s="319"/>
      <c r="J963" s="41"/>
      <c r="K963" s="41"/>
      <c r="L963" s="320"/>
      <c r="M963" s="41"/>
      <c r="N963" s="321"/>
      <c r="O963" s="321"/>
      <c r="P963" s="32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</row>
    <row r="964">
      <c r="A964" s="85"/>
      <c r="B964" s="85"/>
      <c r="C964" s="316"/>
      <c r="D964" s="317"/>
      <c r="E964" s="318"/>
      <c r="F964" s="41"/>
      <c r="G964" s="317"/>
      <c r="H964" s="41"/>
      <c r="I964" s="319"/>
      <c r="J964" s="41"/>
      <c r="K964" s="41"/>
      <c r="L964" s="320"/>
      <c r="M964" s="41"/>
      <c r="N964" s="321"/>
      <c r="O964" s="321"/>
      <c r="P964" s="32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</row>
    <row r="965">
      <c r="A965" s="85"/>
      <c r="B965" s="85"/>
      <c r="C965" s="316"/>
      <c r="D965" s="317"/>
      <c r="E965" s="318"/>
      <c r="F965" s="41"/>
      <c r="G965" s="317"/>
      <c r="H965" s="41"/>
      <c r="I965" s="319"/>
      <c r="J965" s="41"/>
      <c r="K965" s="41"/>
      <c r="L965" s="320"/>
      <c r="M965" s="41"/>
      <c r="N965" s="321"/>
      <c r="O965" s="321"/>
      <c r="P965" s="32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</row>
    <row r="966">
      <c r="A966" s="85"/>
      <c r="B966" s="85"/>
      <c r="C966" s="316"/>
      <c r="D966" s="317"/>
      <c r="E966" s="318"/>
      <c r="F966" s="41"/>
      <c r="G966" s="317"/>
      <c r="H966" s="41"/>
      <c r="I966" s="319"/>
      <c r="J966" s="41"/>
      <c r="K966" s="41"/>
      <c r="L966" s="320"/>
      <c r="M966" s="41"/>
      <c r="N966" s="321"/>
      <c r="O966" s="321"/>
      <c r="P966" s="32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</row>
    <row r="967">
      <c r="A967" s="85"/>
      <c r="B967" s="85"/>
      <c r="C967" s="316"/>
      <c r="D967" s="317"/>
      <c r="E967" s="318"/>
      <c r="F967" s="41"/>
      <c r="G967" s="317"/>
      <c r="H967" s="41"/>
      <c r="I967" s="319"/>
      <c r="J967" s="41"/>
      <c r="K967" s="41"/>
      <c r="L967" s="320"/>
      <c r="M967" s="41"/>
      <c r="N967" s="321"/>
      <c r="O967" s="321"/>
      <c r="P967" s="32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</row>
    <row r="968">
      <c r="A968" s="85"/>
      <c r="B968" s="85"/>
      <c r="C968" s="316"/>
      <c r="D968" s="317"/>
      <c r="E968" s="318"/>
      <c r="F968" s="41"/>
      <c r="G968" s="317"/>
      <c r="H968" s="41"/>
      <c r="I968" s="319"/>
      <c r="J968" s="41"/>
      <c r="K968" s="41"/>
      <c r="L968" s="320"/>
      <c r="M968" s="41"/>
      <c r="N968" s="321"/>
      <c r="O968" s="321"/>
      <c r="P968" s="32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</row>
    <row r="969">
      <c r="A969" s="85"/>
      <c r="B969" s="85"/>
      <c r="C969" s="316"/>
      <c r="D969" s="317"/>
      <c r="E969" s="318"/>
      <c r="F969" s="41"/>
      <c r="G969" s="317"/>
      <c r="H969" s="41"/>
      <c r="I969" s="319"/>
      <c r="J969" s="41"/>
      <c r="K969" s="41"/>
      <c r="L969" s="320"/>
      <c r="M969" s="41"/>
      <c r="N969" s="321"/>
      <c r="O969" s="321"/>
      <c r="P969" s="32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</row>
    <row r="970">
      <c r="A970" s="85"/>
      <c r="B970" s="85"/>
      <c r="C970" s="316"/>
      <c r="D970" s="317"/>
      <c r="E970" s="318"/>
      <c r="F970" s="41"/>
      <c r="G970" s="317"/>
      <c r="H970" s="41"/>
      <c r="I970" s="319"/>
      <c r="J970" s="41"/>
      <c r="K970" s="41"/>
      <c r="L970" s="320"/>
      <c r="M970" s="41"/>
      <c r="N970" s="321"/>
      <c r="O970" s="321"/>
      <c r="P970" s="32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</row>
    <row r="971">
      <c r="A971" s="85"/>
      <c r="B971" s="85"/>
      <c r="C971" s="316"/>
      <c r="D971" s="317"/>
      <c r="E971" s="318"/>
      <c r="F971" s="41"/>
      <c r="G971" s="317"/>
      <c r="H971" s="41"/>
      <c r="I971" s="319"/>
      <c r="J971" s="41"/>
      <c r="K971" s="41"/>
      <c r="L971" s="320"/>
      <c r="M971" s="41"/>
      <c r="N971" s="321"/>
      <c r="O971" s="321"/>
      <c r="P971" s="32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</row>
    <row r="972">
      <c r="A972" s="85"/>
      <c r="B972" s="85"/>
      <c r="C972" s="316"/>
      <c r="D972" s="317"/>
      <c r="E972" s="318"/>
      <c r="F972" s="41"/>
      <c r="G972" s="317"/>
      <c r="H972" s="41"/>
      <c r="I972" s="319"/>
      <c r="J972" s="41"/>
      <c r="K972" s="41"/>
      <c r="L972" s="320"/>
      <c r="M972" s="41"/>
      <c r="N972" s="321"/>
      <c r="O972" s="321"/>
      <c r="P972" s="32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</row>
    <row r="973">
      <c r="A973" s="85"/>
      <c r="B973" s="85"/>
      <c r="C973" s="316"/>
      <c r="D973" s="317"/>
      <c r="E973" s="318"/>
      <c r="F973" s="41"/>
      <c r="G973" s="317"/>
      <c r="H973" s="41"/>
      <c r="I973" s="319"/>
      <c r="J973" s="41"/>
      <c r="K973" s="41"/>
      <c r="L973" s="320"/>
      <c r="M973" s="41"/>
      <c r="N973" s="321"/>
      <c r="O973" s="321"/>
      <c r="P973" s="32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</row>
    <row r="974">
      <c r="A974" s="85"/>
      <c r="B974" s="85"/>
      <c r="C974" s="316"/>
      <c r="D974" s="317"/>
      <c r="E974" s="318"/>
      <c r="F974" s="41"/>
      <c r="G974" s="317"/>
      <c r="H974" s="41"/>
      <c r="I974" s="319"/>
      <c r="J974" s="41"/>
      <c r="K974" s="41"/>
      <c r="L974" s="320"/>
      <c r="M974" s="41"/>
      <c r="N974" s="321"/>
      <c r="O974" s="321"/>
      <c r="P974" s="32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</row>
    <row r="975">
      <c r="A975" s="85"/>
      <c r="B975" s="85"/>
      <c r="C975" s="316"/>
      <c r="D975" s="317"/>
      <c r="E975" s="318"/>
      <c r="F975" s="41"/>
      <c r="G975" s="317"/>
      <c r="H975" s="41"/>
      <c r="I975" s="319"/>
      <c r="J975" s="41"/>
      <c r="K975" s="41"/>
      <c r="L975" s="320"/>
      <c r="M975" s="41"/>
      <c r="N975" s="321"/>
      <c r="O975" s="321"/>
      <c r="P975" s="32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</row>
    <row r="976">
      <c r="A976" s="85"/>
      <c r="B976" s="85"/>
      <c r="C976" s="316"/>
      <c r="D976" s="317"/>
      <c r="E976" s="318"/>
      <c r="F976" s="41"/>
      <c r="G976" s="317"/>
      <c r="H976" s="41"/>
      <c r="I976" s="319"/>
      <c r="J976" s="41"/>
      <c r="K976" s="41"/>
      <c r="L976" s="320"/>
      <c r="M976" s="41"/>
      <c r="N976" s="321"/>
      <c r="O976" s="321"/>
      <c r="P976" s="32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</row>
    <row r="977">
      <c r="A977" s="85"/>
      <c r="B977" s="85"/>
      <c r="C977" s="316"/>
      <c r="D977" s="317"/>
      <c r="E977" s="318"/>
      <c r="F977" s="41"/>
      <c r="G977" s="317"/>
      <c r="H977" s="41"/>
      <c r="I977" s="319"/>
      <c r="J977" s="41"/>
      <c r="K977" s="41"/>
      <c r="L977" s="320"/>
      <c r="M977" s="41"/>
      <c r="N977" s="321"/>
      <c r="O977" s="321"/>
      <c r="P977" s="32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</row>
    <row r="978">
      <c r="A978" s="85"/>
      <c r="B978" s="85"/>
      <c r="C978" s="316"/>
      <c r="D978" s="317"/>
      <c r="E978" s="318"/>
      <c r="F978" s="41"/>
      <c r="G978" s="317"/>
      <c r="H978" s="41"/>
      <c r="I978" s="319"/>
      <c r="J978" s="41"/>
      <c r="K978" s="41"/>
      <c r="L978" s="320"/>
      <c r="M978" s="41"/>
      <c r="N978" s="321"/>
      <c r="O978" s="321"/>
      <c r="P978" s="32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</row>
    <row r="979">
      <c r="A979" s="85"/>
      <c r="B979" s="85"/>
      <c r="C979" s="316"/>
      <c r="D979" s="317"/>
      <c r="E979" s="318"/>
      <c r="F979" s="41"/>
      <c r="G979" s="317"/>
      <c r="H979" s="41"/>
      <c r="I979" s="319"/>
      <c r="J979" s="41"/>
      <c r="K979" s="41"/>
      <c r="L979" s="320"/>
      <c r="M979" s="41"/>
      <c r="N979" s="321"/>
      <c r="O979" s="321"/>
      <c r="P979" s="32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</row>
    <row r="980">
      <c r="A980" s="85"/>
      <c r="B980" s="85"/>
      <c r="C980" s="316"/>
      <c r="D980" s="317"/>
      <c r="E980" s="318"/>
      <c r="F980" s="41"/>
      <c r="G980" s="317"/>
      <c r="H980" s="41"/>
      <c r="I980" s="319"/>
      <c r="J980" s="41"/>
      <c r="K980" s="41"/>
      <c r="L980" s="320"/>
      <c r="M980" s="41"/>
      <c r="N980" s="321"/>
      <c r="O980" s="321"/>
      <c r="P980" s="32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</row>
    <row r="981">
      <c r="A981" s="85"/>
      <c r="B981" s="85"/>
      <c r="C981" s="316"/>
      <c r="D981" s="317"/>
      <c r="E981" s="318"/>
      <c r="F981" s="41"/>
      <c r="G981" s="317"/>
      <c r="H981" s="41"/>
      <c r="I981" s="319"/>
      <c r="J981" s="41"/>
      <c r="K981" s="41"/>
      <c r="L981" s="320"/>
      <c r="M981" s="41"/>
      <c r="N981" s="321"/>
      <c r="O981" s="321"/>
      <c r="P981" s="32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</row>
    <row r="982">
      <c r="A982" s="85"/>
      <c r="B982" s="85"/>
      <c r="C982" s="316"/>
      <c r="D982" s="317"/>
      <c r="E982" s="318"/>
      <c r="F982" s="41"/>
      <c r="G982" s="317"/>
      <c r="H982" s="41"/>
      <c r="I982" s="319"/>
      <c r="J982" s="41"/>
      <c r="K982" s="41"/>
      <c r="L982" s="320"/>
      <c r="M982" s="41"/>
      <c r="N982" s="321"/>
      <c r="O982" s="321"/>
      <c r="P982" s="32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</row>
    <row r="983">
      <c r="A983" s="85"/>
      <c r="B983" s="85"/>
      <c r="C983" s="316"/>
      <c r="D983" s="317"/>
      <c r="E983" s="318"/>
      <c r="F983" s="41"/>
      <c r="G983" s="317"/>
      <c r="H983" s="41"/>
      <c r="I983" s="319"/>
      <c r="J983" s="41"/>
      <c r="K983" s="41"/>
      <c r="L983" s="320"/>
      <c r="M983" s="41"/>
      <c r="N983" s="321"/>
      <c r="O983" s="321"/>
      <c r="P983" s="32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</row>
    <row r="984">
      <c r="A984" s="85"/>
      <c r="B984" s="85"/>
      <c r="C984" s="316"/>
      <c r="D984" s="317"/>
      <c r="E984" s="318"/>
      <c r="F984" s="41"/>
      <c r="G984" s="317"/>
      <c r="H984" s="41"/>
      <c r="I984" s="319"/>
      <c r="J984" s="41"/>
      <c r="K984" s="41"/>
      <c r="L984" s="320"/>
      <c r="M984" s="41"/>
      <c r="N984" s="321"/>
      <c r="O984" s="321"/>
      <c r="P984" s="32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</row>
    <row r="985">
      <c r="A985" s="85"/>
      <c r="B985" s="85"/>
      <c r="C985" s="316"/>
      <c r="D985" s="317"/>
      <c r="E985" s="318"/>
      <c r="F985" s="41"/>
      <c r="G985" s="317"/>
      <c r="H985" s="41"/>
      <c r="I985" s="319"/>
      <c r="J985" s="41"/>
      <c r="K985" s="41"/>
      <c r="L985" s="320"/>
      <c r="M985" s="41"/>
      <c r="N985" s="321"/>
      <c r="O985" s="321"/>
      <c r="P985" s="32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</row>
    <row r="986">
      <c r="A986" s="85"/>
      <c r="B986" s="85"/>
      <c r="C986" s="316"/>
      <c r="D986" s="317"/>
      <c r="E986" s="318"/>
      <c r="F986" s="41"/>
      <c r="G986" s="317"/>
      <c r="H986" s="41"/>
      <c r="I986" s="319"/>
      <c r="J986" s="41"/>
      <c r="K986" s="41"/>
      <c r="L986" s="320"/>
      <c r="M986" s="41"/>
      <c r="N986" s="321"/>
      <c r="O986" s="321"/>
      <c r="P986" s="32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</row>
    <row r="987">
      <c r="A987" s="85"/>
      <c r="B987" s="85"/>
      <c r="C987" s="316"/>
      <c r="D987" s="317"/>
      <c r="E987" s="318"/>
      <c r="F987" s="41"/>
      <c r="G987" s="317"/>
      <c r="H987" s="41"/>
      <c r="I987" s="319"/>
      <c r="J987" s="41"/>
      <c r="K987" s="41"/>
      <c r="L987" s="320"/>
      <c r="M987" s="41"/>
      <c r="N987" s="321"/>
      <c r="O987" s="321"/>
      <c r="P987" s="32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</row>
    <row r="988">
      <c r="A988" s="85"/>
      <c r="B988" s="85"/>
      <c r="C988" s="316"/>
      <c r="D988" s="317"/>
      <c r="E988" s="318"/>
      <c r="F988" s="41"/>
      <c r="G988" s="317"/>
      <c r="H988" s="41"/>
      <c r="I988" s="319"/>
      <c r="J988" s="41"/>
      <c r="K988" s="41"/>
      <c r="L988" s="320"/>
      <c r="M988" s="41"/>
      <c r="N988" s="321"/>
      <c r="O988" s="321"/>
      <c r="P988" s="32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</row>
    <row r="989">
      <c r="A989" s="85"/>
      <c r="B989" s="85"/>
      <c r="C989" s="316"/>
      <c r="D989" s="317"/>
      <c r="E989" s="318"/>
      <c r="F989" s="41"/>
      <c r="G989" s="317"/>
      <c r="H989" s="41"/>
      <c r="I989" s="319"/>
      <c r="J989" s="41"/>
      <c r="K989" s="41"/>
      <c r="L989" s="320"/>
      <c r="M989" s="41"/>
      <c r="N989" s="321"/>
      <c r="O989" s="321"/>
      <c r="P989" s="32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</row>
    <row r="990">
      <c r="A990" s="85"/>
      <c r="B990" s="85"/>
      <c r="C990" s="316"/>
      <c r="D990" s="317"/>
      <c r="E990" s="318"/>
      <c r="F990" s="41"/>
      <c r="G990" s="317"/>
      <c r="H990" s="41"/>
      <c r="I990" s="319"/>
      <c r="J990" s="41"/>
      <c r="K990" s="41"/>
      <c r="L990" s="320"/>
      <c r="M990" s="41"/>
      <c r="N990" s="321"/>
      <c r="O990" s="321"/>
      <c r="P990" s="32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</row>
    <row r="991">
      <c r="A991" s="85"/>
      <c r="B991" s="85"/>
      <c r="C991" s="316"/>
      <c r="D991" s="317"/>
      <c r="E991" s="318"/>
      <c r="F991" s="41"/>
      <c r="G991" s="317"/>
      <c r="H991" s="41"/>
      <c r="I991" s="319"/>
      <c r="J991" s="41"/>
      <c r="K991" s="41"/>
      <c r="L991" s="320"/>
      <c r="M991" s="41"/>
      <c r="N991" s="321"/>
      <c r="O991" s="321"/>
      <c r="P991" s="32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</row>
    <row r="992">
      <c r="A992" s="85"/>
      <c r="B992" s="85"/>
      <c r="C992" s="316"/>
      <c r="D992" s="317"/>
      <c r="E992" s="318"/>
      <c r="F992" s="41"/>
      <c r="G992" s="317"/>
      <c r="H992" s="41"/>
      <c r="I992" s="319"/>
      <c r="J992" s="41"/>
      <c r="K992" s="41"/>
      <c r="L992" s="320"/>
      <c r="M992" s="41"/>
      <c r="N992" s="321"/>
      <c r="O992" s="321"/>
      <c r="P992" s="32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</row>
    <row r="993">
      <c r="A993" s="85"/>
      <c r="B993" s="85"/>
      <c r="C993" s="316"/>
      <c r="D993" s="317"/>
      <c r="E993" s="318"/>
      <c r="F993" s="41"/>
      <c r="G993" s="317"/>
      <c r="H993" s="41"/>
      <c r="I993" s="319"/>
      <c r="J993" s="41"/>
      <c r="K993" s="41"/>
      <c r="L993" s="320"/>
      <c r="M993" s="41"/>
      <c r="N993" s="321"/>
      <c r="O993" s="321"/>
      <c r="P993" s="32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</row>
    <row r="994">
      <c r="A994" s="85"/>
      <c r="B994" s="85"/>
      <c r="C994" s="316"/>
      <c r="D994" s="317"/>
      <c r="E994" s="318"/>
      <c r="F994" s="41"/>
      <c r="G994" s="317"/>
      <c r="H994" s="41"/>
      <c r="I994" s="319"/>
      <c r="J994" s="41"/>
      <c r="K994" s="41"/>
      <c r="L994" s="320"/>
      <c r="M994" s="41"/>
      <c r="N994" s="321"/>
      <c r="O994" s="321"/>
      <c r="P994" s="32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</row>
    <row r="995">
      <c r="A995" s="85"/>
      <c r="B995" s="85"/>
      <c r="C995" s="316"/>
      <c r="D995" s="317"/>
      <c r="E995" s="318"/>
      <c r="F995" s="41"/>
      <c r="G995" s="317"/>
      <c r="H995" s="41"/>
      <c r="I995" s="319"/>
      <c r="J995" s="41"/>
      <c r="K995" s="41"/>
      <c r="L995" s="320"/>
      <c r="M995" s="41"/>
      <c r="N995" s="321"/>
      <c r="O995" s="321"/>
      <c r="P995" s="32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</row>
    <row r="996">
      <c r="A996" s="85"/>
      <c r="B996" s="85"/>
      <c r="C996" s="316"/>
      <c r="D996" s="317"/>
      <c r="E996" s="318"/>
      <c r="F996" s="41"/>
      <c r="G996" s="317"/>
      <c r="H996" s="41"/>
      <c r="I996" s="319"/>
      <c r="J996" s="41"/>
      <c r="K996" s="41"/>
      <c r="L996" s="320"/>
      <c r="M996" s="41"/>
      <c r="N996" s="321"/>
      <c r="O996" s="321"/>
      <c r="P996" s="32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</row>
    <row r="997">
      <c r="A997" s="85"/>
      <c r="B997" s="85"/>
      <c r="C997" s="316"/>
      <c r="D997" s="317"/>
      <c r="E997" s="318"/>
      <c r="F997" s="41"/>
      <c r="G997" s="317"/>
      <c r="H997" s="41"/>
      <c r="I997" s="319"/>
      <c r="J997" s="41"/>
      <c r="K997" s="41"/>
      <c r="L997" s="320"/>
      <c r="M997" s="41"/>
      <c r="N997" s="321"/>
      <c r="O997" s="321"/>
      <c r="P997" s="32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</row>
    <row r="998">
      <c r="A998" s="85"/>
      <c r="B998" s="85"/>
      <c r="C998" s="316"/>
      <c r="D998" s="317"/>
      <c r="E998" s="318"/>
      <c r="F998" s="41"/>
      <c r="G998" s="317"/>
      <c r="H998" s="41"/>
      <c r="I998" s="319"/>
      <c r="J998" s="41"/>
      <c r="K998" s="41"/>
      <c r="L998" s="320"/>
      <c r="M998" s="41"/>
      <c r="N998" s="321"/>
      <c r="O998" s="321"/>
      <c r="P998" s="32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</row>
    <row r="999">
      <c r="A999" s="85"/>
      <c r="B999" s="85"/>
      <c r="C999" s="316"/>
      <c r="D999" s="317"/>
      <c r="E999" s="318"/>
      <c r="F999" s="41"/>
      <c r="G999" s="317"/>
      <c r="H999" s="41"/>
      <c r="I999" s="319"/>
      <c r="J999" s="41"/>
      <c r="K999" s="41"/>
      <c r="L999" s="320"/>
      <c r="M999" s="41"/>
      <c r="N999" s="321"/>
      <c r="O999" s="321"/>
      <c r="P999" s="32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</row>
    <row r="1000">
      <c r="A1000" s="85"/>
      <c r="B1000" s="85"/>
      <c r="C1000" s="316"/>
      <c r="D1000" s="317"/>
      <c r="E1000" s="318"/>
      <c r="F1000" s="41"/>
      <c r="G1000" s="317"/>
      <c r="H1000" s="41"/>
      <c r="I1000" s="319"/>
      <c r="J1000" s="41"/>
      <c r="K1000" s="41"/>
      <c r="L1000" s="320"/>
      <c r="M1000" s="41"/>
      <c r="N1000" s="321"/>
      <c r="O1000" s="321"/>
      <c r="P1000" s="32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</row>
    <row r="1001">
      <c r="A1001" s="85"/>
      <c r="B1001" s="85"/>
      <c r="C1001" s="316"/>
      <c r="D1001" s="317"/>
      <c r="E1001" s="318"/>
      <c r="F1001" s="41"/>
      <c r="G1001" s="317"/>
      <c r="H1001" s="41"/>
      <c r="I1001" s="319"/>
      <c r="J1001" s="41"/>
      <c r="K1001" s="41"/>
      <c r="L1001" s="320"/>
      <c r="M1001" s="41"/>
      <c r="N1001" s="321"/>
      <c r="O1001" s="321"/>
      <c r="P1001" s="321"/>
      <c r="Q1001" s="41"/>
      <c r="R1001" s="41"/>
      <c r="S1001" s="41"/>
      <c r="T1001" s="41"/>
      <c r="U1001" s="41"/>
      <c r="V1001" s="41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  <c r="AG1001" s="41"/>
      <c r="AH1001" s="41"/>
      <c r="AI1001" s="41"/>
      <c r="AJ1001" s="41"/>
    </row>
    <row r="1002">
      <c r="A1002" s="85"/>
      <c r="B1002" s="85"/>
      <c r="C1002" s="316"/>
      <c r="D1002" s="317"/>
      <c r="E1002" s="318"/>
      <c r="F1002" s="41"/>
      <c r="G1002" s="317"/>
      <c r="H1002" s="41"/>
      <c r="I1002" s="319"/>
      <c r="J1002" s="41"/>
      <c r="K1002" s="41"/>
      <c r="L1002" s="320"/>
      <c r="M1002" s="41"/>
      <c r="N1002" s="321"/>
      <c r="O1002" s="321"/>
      <c r="P1002" s="321"/>
      <c r="Q1002" s="41"/>
      <c r="R1002" s="41"/>
      <c r="S1002" s="41"/>
      <c r="T1002" s="41"/>
      <c r="U1002" s="41"/>
      <c r="V1002" s="41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  <c r="AG1002" s="41"/>
      <c r="AH1002" s="41"/>
      <c r="AI1002" s="41"/>
      <c r="AJ1002" s="41"/>
    </row>
    <row r="1003">
      <c r="A1003" s="85"/>
      <c r="B1003" s="85"/>
      <c r="C1003" s="316"/>
      <c r="D1003" s="317"/>
      <c r="E1003" s="318"/>
      <c r="F1003" s="41"/>
      <c r="G1003" s="317"/>
      <c r="H1003" s="41"/>
      <c r="I1003" s="319"/>
      <c r="J1003" s="41"/>
      <c r="K1003" s="41"/>
      <c r="L1003" s="320"/>
      <c r="M1003" s="41"/>
      <c r="N1003" s="321"/>
      <c r="O1003" s="321"/>
      <c r="P1003" s="321"/>
      <c r="Q1003" s="41"/>
      <c r="R1003" s="41"/>
      <c r="S1003" s="41"/>
      <c r="T1003" s="41"/>
      <c r="U1003" s="41"/>
      <c r="V1003" s="41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  <c r="AG1003" s="41"/>
      <c r="AH1003" s="41"/>
      <c r="AI1003" s="41"/>
      <c r="AJ1003" s="41"/>
    </row>
    <row r="1004">
      <c r="A1004" s="85"/>
      <c r="B1004" s="85"/>
      <c r="C1004" s="316"/>
      <c r="D1004" s="317"/>
      <c r="E1004" s="318"/>
      <c r="F1004" s="41"/>
      <c r="G1004" s="317"/>
      <c r="H1004" s="41"/>
      <c r="I1004" s="319"/>
      <c r="J1004" s="41"/>
      <c r="K1004" s="41"/>
      <c r="L1004" s="320"/>
      <c r="M1004" s="41"/>
      <c r="N1004" s="321"/>
      <c r="O1004" s="321"/>
      <c r="P1004" s="321"/>
      <c r="Q1004" s="41"/>
      <c r="R1004" s="41"/>
      <c r="S1004" s="41"/>
      <c r="T1004" s="41"/>
      <c r="U1004" s="41"/>
      <c r="V1004" s="41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  <c r="AG1004" s="41"/>
      <c r="AH1004" s="41"/>
      <c r="AI1004" s="41"/>
      <c r="AJ1004" s="41"/>
    </row>
    <row r="1005">
      <c r="A1005" s="85"/>
      <c r="B1005" s="85"/>
      <c r="C1005" s="316"/>
      <c r="D1005" s="317"/>
      <c r="E1005" s="318"/>
      <c r="F1005" s="41"/>
      <c r="G1005" s="317"/>
      <c r="H1005" s="41"/>
      <c r="I1005" s="319"/>
      <c r="J1005" s="41"/>
      <c r="K1005" s="41"/>
      <c r="L1005" s="320"/>
      <c r="M1005" s="41"/>
      <c r="N1005" s="321"/>
      <c r="O1005" s="321"/>
      <c r="P1005" s="321"/>
      <c r="Q1005" s="41"/>
      <c r="R1005" s="41"/>
      <c r="S1005" s="41"/>
      <c r="T1005" s="41"/>
      <c r="U1005" s="41"/>
      <c r="V1005" s="41"/>
      <c r="W1005" s="41"/>
      <c r="X1005" s="41"/>
      <c r="Y1005" s="41"/>
      <c r="Z1005" s="41"/>
      <c r="AA1005" s="41"/>
      <c r="AB1005" s="41"/>
      <c r="AC1005" s="41"/>
      <c r="AD1005" s="41"/>
      <c r="AE1005" s="41"/>
      <c r="AF1005" s="41"/>
      <c r="AG1005" s="41"/>
      <c r="AH1005" s="41"/>
      <c r="AI1005" s="41"/>
      <c r="AJ1005" s="41"/>
    </row>
    <row r="1006">
      <c r="A1006" s="85"/>
      <c r="B1006" s="85"/>
      <c r="C1006" s="316"/>
      <c r="D1006" s="317"/>
      <c r="E1006" s="318"/>
      <c r="F1006" s="41"/>
      <c r="G1006" s="317"/>
      <c r="H1006" s="41"/>
      <c r="I1006" s="319"/>
      <c r="J1006" s="41"/>
      <c r="K1006" s="41"/>
      <c r="L1006" s="320"/>
      <c r="M1006" s="41"/>
      <c r="N1006" s="321"/>
      <c r="O1006" s="321"/>
      <c r="P1006" s="321"/>
      <c r="Q1006" s="41"/>
      <c r="R1006" s="41"/>
      <c r="S1006" s="41"/>
      <c r="T1006" s="41"/>
      <c r="U1006" s="41"/>
      <c r="V1006" s="41"/>
      <c r="W1006" s="41"/>
      <c r="X1006" s="41"/>
      <c r="Y1006" s="41"/>
      <c r="Z1006" s="41"/>
      <c r="AA1006" s="41"/>
      <c r="AB1006" s="41"/>
      <c r="AC1006" s="41"/>
      <c r="AD1006" s="41"/>
      <c r="AE1006" s="41"/>
      <c r="AF1006" s="41"/>
      <c r="AG1006" s="41"/>
      <c r="AH1006" s="41"/>
      <c r="AI1006" s="41"/>
      <c r="AJ1006" s="41"/>
    </row>
    <row r="1007">
      <c r="A1007" s="85"/>
      <c r="B1007" s="85"/>
      <c r="C1007" s="316"/>
      <c r="D1007" s="317"/>
      <c r="E1007" s="318"/>
      <c r="F1007" s="41"/>
      <c r="G1007" s="317"/>
      <c r="H1007" s="41"/>
      <c r="I1007" s="319"/>
      <c r="J1007" s="41"/>
      <c r="K1007" s="41"/>
      <c r="L1007" s="320"/>
      <c r="M1007" s="41"/>
      <c r="N1007" s="321"/>
      <c r="O1007" s="321"/>
      <c r="P1007" s="321"/>
      <c r="Q1007" s="41"/>
      <c r="R1007" s="41"/>
      <c r="S1007" s="41"/>
      <c r="T1007" s="41"/>
      <c r="U1007" s="41"/>
      <c r="V1007" s="41"/>
      <c r="W1007" s="41"/>
      <c r="X1007" s="41"/>
      <c r="Y1007" s="41"/>
      <c r="Z1007" s="41"/>
      <c r="AA1007" s="41"/>
      <c r="AB1007" s="41"/>
      <c r="AC1007" s="41"/>
      <c r="AD1007" s="41"/>
      <c r="AE1007" s="41"/>
      <c r="AF1007" s="41"/>
      <c r="AG1007" s="41"/>
      <c r="AH1007" s="41"/>
      <c r="AI1007" s="41"/>
      <c r="AJ1007" s="41"/>
    </row>
    <row r="1008">
      <c r="A1008" s="85"/>
      <c r="B1008" s="85"/>
      <c r="C1008" s="316"/>
      <c r="D1008" s="317"/>
      <c r="E1008" s="318"/>
      <c r="F1008" s="41"/>
      <c r="G1008" s="317"/>
      <c r="H1008" s="41"/>
      <c r="I1008" s="319"/>
      <c r="J1008" s="41"/>
      <c r="K1008" s="41"/>
      <c r="L1008" s="320"/>
      <c r="M1008" s="41"/>
      <c r="N1008" s="321"/>
      <c r="O1008" s="321"/>
      <c r="P1008" s="321"/>
      <c r="Q1008" s="41"/>
      <c r="R1008" s="41"/>
      <c r="S1008" s="41"/>
      <c r="T1008" s="41"/>
      <c r="U1008" s="41"/>
      <c r="V1008" s="41"/>
      <c r="W1008" s="41"/>
      <c r="X1008" s="41"/>
      <c r="Y1008" s="41"/>
      <c r="Z1008" s="41"/>
      <c r="AA1008" s="41"/>
      <c r="AB1008" s="41"/>
      <c r="AC1008" s="41"/>
      <c r="AD1008" s="41"/>
      <c r="AE1008" s="41"/>
      <c r="AF1008" s="41"/>
      <c r="AG1008" s="41"/>
      <c r="AH1008" s="41"/>
      <c r="AI1008" s="41"/>
      <c r="AJ1008" s="41"/>
    </row>
    <row r="1009">
      <c r="A1009" s="85"/>
      <c r="B1009" s="85"/>
      <c r="C1009" s="316"/>
      <c r="D1009" s="317"/>
      <c r="E1009" s="318"/>
      <c r="F1009" s="41"/>
      <c r="G1009" s="317"/>
      <c r="H1009" s="41"/>
      <c r="I1009" s="319"/>
      <c r="J1009" s="41"/>
      <c r="K1009" s="41"/>
      <c r="L1009" s="320"/>
      <c r="M1009" s="41"/>
      <c r="N1009" s="321"/>
      <c r="O1009" s="321"/>
      <c r="P1009" s="321"/>
      <c r="Q1009" s="41"/>
      <c r="R1009" s="41"/>
      <c r="S1009" s="41"/>
      <c r="T1009" s="41"/>
      <c r="U1009" s="41"/>
      <c r="V1009" s="41"/>
      <c r="W1009" s="41"/>
      <c r="X1009" s="41"/>
      <c r="Y1009" s="41"/>
      <c r="Z1009" s="41"/>
      <c r="AA1009" s="41"/>
      <c r="AB1009" s="41"/>
      <c r="AC1009" s="41"/>
      <c r="AD1009" s="41"/>
      <c r="AE1009" s="41"/>
      <c r="AF1009" s="41"/>
      <c r="AG1009" s="41"/>
      <c r="AH1009" s="41"/>
      <c r="AI1009" s="41"/>
      <c r="AJ1009" s="41"/>
    </row>
    <row r="1010">
      <c r="A1010" s="85"/>
      <c r="B1010" s="85"/>
      <c r="C1010" s="316"/>
      <c r="D1010" s="317"/>
      <c r="E1010" s="318"/>
      <c r="F1010" s="41"/>
      <c r="G1010" s="317"/>
      <c r="H1010" s="41"/>
      <c r="I1010" s="319"/>
      <c r="J1010" s="41"/>
      <c r="K1010" s="41"/>
      <c r="L1010" s="320"/>
      <c r="M1010" s="41"/>
      <c r="N1010" s="321"/>
      <c r="O1010" s="321"/>
      <c r="P1010" s="321"/>
      <c r="Q1010" s="41"/>
      <c r="R1010" s="41"/>
      <c r="S1010" s="41"/>
      <c r="T1010" s="41"/>
      <c r="U1010" s="41"/>
      <c r="V1010" s="41"/>
      <c r="W1010" s="41"/>
      <c r="X1010" s="41"/>
      <c r="Y1010" s="41"/>
      <c r="Z1010" s="41"/>
      <c r="AA1010" s="41"/>
      <c r="AB1010" s="41"/>
      <c r="AC1010" s="41"/>
      <c r="AD1010" s="41"/>
      <c r="AE1010" s="41"/>
      <c r="AF1010" s="41"/>
      <c r="AG1010" s="41"/>
      <c r="AH1010" s="41"/>
      <c r="AI1010" s="41"/>
      <c r="AJ1010" s="41"/>
    </row>
    <row r="1011">
      <c r="A1011" s="85"/>
      <c r="B1011" s="85"/>
      <c r="C1011" s="316"/>
      <c r="D1011" s="317"/>
      <c r="E1011" s="318"/>
      <c r="F1011" s="41"/>
      <c r="G1011" s="317"/>
      <c r="H1011" s="41"/>
      <c r="I1011" s="319"/>
      <c r="J1011" s="41"/>
      <c r="K1011" s="41"/>
      <c r="L1011" s="320"/>
      <c r="M1011" s="41"/>
      <c r="N1011" s="321"/>
      <c r="O1011" s="321"/>
      <c r="P1011" s="321"/>
      <c r="Q1011" s="41"/>
      <c r="R1011" s="41"/>
      <c r="S1011" s="41"/>
      <c r="T1011" s="41"/>
      <c r="U1011" s="41"/>
      <c r="V1011" s="41"/>
      <c r="W1011" s="41"/>
      <c r="X1011" s="41"/>
      <c r="Y1011" s="41"/>
      <c r="Z1011" s="41"/>
      <c r="AA1011" s="41"/>
      <c r="AB1011" s="41"/>
      <c r="AC1011" s="41"/>
      <c r="AD1011" s="41"/>
      <c r="AE1011" s="41"/>
      <c r="AF1011" s="41"/>
      <c r="AG1011" s="41"/>
      <c r="AH1011" s="41"/>
      <c r="AI1011" s="41"/>
      <c r="AJ1011" s="41"/>
    </row>
    <row r="1012">
      <c r="A1012" s="85"/>
      <c r="B1012" s="85"/>
      <c r="C1012" s="316"/>
      <c r="D1012" s="317"/>
      <c r="E1012" s="318"/>
      <c r="F1012" s="41"/>
      <c r="G1012" s="317"/>
      <c r="H1012" s="41"/>
      <c r="I1012" s="319"/>
      <c r="J1012" s="41"/>
      <c r="K1012" s="41"/>
      <c r="L1012" s="320"/>
      <c r="M1012" s="41"/>
      <c r="N1012" s="321"/>
      <c r="O1012" s="321"/>
      <c r="P1012" s="321"/>
      <c r="Q1012" s="41"/>
      <c r="R1012" s="41"/>
      <c r="S1012" s="41"/>
      <c r="T1012" s="41"/>
      <c r="U1012" s="41"/>
      <c r="V1012" s="41"/>
      <c r="W1012" s="41"/>
      <c r="X1012" s="41"/>
      <c r="Y1012" s="41"/>
      <c r="Z1012" s="41"/>
      <c r="AA1012" s="41"/>
      <c r="AB1012" s="41"/>
      <c r="AC1012" s="41"/>
      <c r="AD1012" s="41"/>
      <c r="AE1012" s="41"/>
      <c r="AF1012" s="41"/>
      <c r="AG1012" s="41"/>
      <c r="AH1012" s="41"/>
      <c r="AI1012" s="41"/>
      <c r="AJ1012" s="41"/>
    </row>
    <row r="1013">
      <c r="A1013" s="85"/>
      <c r="B1013" s="85"/>
      <c r="C1013" s="316"/>
      <c r="D1013" s="317"/>
      <c r="E1013" s="318"/>
      <c r="F1013" s="41"/>
      <c r="G1013" s="317"/>
      <c r="H1013" s="41"/>
      <c r="I1013" s="319"/>
      <c r="J1013" s="41"/>
      <c r="K1013" s="41"/>
      <c r="L1013" s="320"/>
      <c r="M1013" s="41"/>
      <c r="N1013" s="321"/>
      <c r="O1013" s="321"/>
      <c r="P1013" s="321"/>
      <c r="Q1013" s="41"/>
      <c r="R1013" s="41"/>
      <c r="S1013" s="41"/>
      <c r="T1013" s="41"/>
      <c r="U1013" s="41"/>
      <c r="V1013" s="41"/>
      <c r="W1013" s="41"/>
      <c r="X1013" s="41"/>
      <c r="Y1013" s="41"/>
      <c r="Z1013" s="41"/>
      <c r="AA1013" s="41"/>
      <c r="AB1013" s="41"/>
      <c r="AC1013" s="41"/>
      <c r="AD1013" s="41"/>
      <c r="AE1013" s="41"/>
      <c r="AF1013" s="41"/>
      <c r="AG1013" s="41"/>
      <c r="AH1013" s="41"/>
      <c r="AI1013" s="41"/>
      <c r="AJ1013" s="41"/>
    </row>
    <row r="1014">
      <c r="A1014" s="85"/>
      <c r="B1014" s="85"/>
      <c r="C1014" s="316"/>
      <c r="D1014" s="317"/>
      <c r="E1014" s="318"/>
      <c r="F1014" s="41"/>
      <c r="G1014" s="317"/>
      <c r="H1014" s="41"/>
      <c r="I1014" s="319"/>
      <c r="J1014" s="41"/>
      <c r="K1014" s="41"/>
      <c r="L1014" s="320"/>
      <c r="M1014" s="41"/>
      <c r="N1014" s="321"/>
      <c r="O1014" s="321"/>
      <c r="P1014" s="321"/>
      <c r="Q1014" s="41"/>
      <c r="R1014" s="41"/>
      <c r="S1014" s="41"/>
      <c r="T1014" s="41"/>
      <c r="U1014" s="41"/>
      <c r="V1014" s="41"/>
      <c r="W1014" s="41"/>
      <c r="X1014" s="41"/>
      <c r="Y1014" s="41"/>
      <c r="Z1014" s="41"/>
      <c r="AA1014" s="41"/>
      <c r="AB1014" s="41"/>
      <c r="AC1014" s="41"/>
      <c r="AD1014" s="41"/>
      <c r="AE1014" s="41"/>
      <c r="AF1014" s="41"/>
      <c r="AG1014" s="41"/>
      <c r="AH1014" s="41"/>
      <c r="AI1014" s="41"/>
      <c r="AJ1014" s="41"/>
    </row>
    <row r="1015">
      <c r="A1015" s="85"/>
      <c r="B1015" s="85"/>
      <c r="C1015" s="316"/>
      <c r="D1015" s="317"/>
      <c r="E1015" s="318"/>
      <c r="F1015" s="41"/>
      <c r="G1015" s="317"/>
      <c r="H1015" s="41"/>
      <c r="I1015" s="319"/>
      <c r="J1015" s="41"/>
      <c r="K1015" s="41"/>
      <c r="L1015" s="320"/>
      <c r="M1015" s="41"/>
      <c r="N1015" s="321"/>
      <c r="O1015" s="321"/>
      <c r="P1015" s="321"/>
      <c r="Q1015" s="41"/>
      <c r="R1015" s="41"/>
      <c r="S1015" s="41"/>
      <c r="T1015" s="41"/>
      <c r="U1015" s="41"/>
      <c r="V1015" s="41"/>
      <c r="W1015" s="41"/>
      <c r="X1015" s="41"/>
      <c r="Y1015" s="41"/>
      <c r="Z1015" s="41"/>
      <c r="AA1015" s="41"/>
      <c r="AB1015" s="41"/>
      <c r="AC1015" s="41"/>
      <c r="AD1015" s="41"/>
      <c r="AE1015" s="41"/>
      <c r="AF1015" s="41"/>
      <c r="AG1015" s="41"/>
      <c r="AH1015" s="41"/>
      <c r="AI1015" s="41"/>
      <c r="AJ1015" s="41"/>
    </row>
    <row r="1016">
      <c r="A1016" s="85"/>
      <c r="B1016" s="85"/>
      <c r="C1016" s="316"/>
      <c r="D1016" s="317"/>
      <c r="E1016" s="318"/>
      <c r="F1016" s="41"/>
      <c r="G1016" s="317"/>
      <c r="H1016" s="41"/>
      <c r="I1016" s="319"/>
      <c r="J1016" s="41"/>
      <c r="K1016" s="41"/>
      <c r="L1016" s="320"/>
      <c r="M1016" s="41"/>
      <c r="N1016" s="321"/>
      <c r="O1016" s="321"/>
      <c r="P1016" s="321"/>
      <c r="Q1016" s="41"/>
      <c r="R1016" s="41"/>
      <c r="S1016" s="41"/>
      <c r="T1016" s="41"/>
      <c r="U1016" s="41"/>
      <c r="V1016" s="41"/>
      <c r="W1016" s="41"/>
      <c r="X1016" s="41"/>
      <c r="Y1016" s="41"/>
      <c r="Z1016" s="41"/>
      <c r="AA1016" s="41"/>
      <c r="AB1016" s="41"/>
      <c r="AC1016" s="41"/>
      <c r="AD1016" s="41"/>
      <c r="AE1016" s="41"/>
      <c r="AF1016" s="41"/>
      <c r="AG1016" s="41"/>
      <c r="AH1016" s="41"/>
      <c r="AI1016" s="41"/>
      <c r="AJ1016" s="41"/>
    </row>
    <row r="1017">
      <c r="A1017" s="85"/>
      <c r="B1017" s="85"/>
      <c r="C1017" s="316"/>
      <c r="D1017" s="317"/>
      <c r="E1017" s="318"/>
      <c r="F1017" s="41"/>
      <c r="G1017" s="317"/>
      <c r="H1017" s="41"/>
      <c r="I1017" s="319"/>
      <c r="J1017" s="41"/>
      <c r="K1017" s="41"/>
      <c r="L1017" s="320"/>
      <c r="M1017" s="41"/>
      <c r="N1017" s="321"/>
      <c r="O1017" s="321"/>
      <c r="P1017" s="321"/>
      <c r="Q1017" s="41"/>
      <c r="R1017" s="41"/>
      <c r="S1017" s="41"/>
      <c r="T1017" s="41"/>
      <c r="U1017" s="41"/>
      <c r="V1017" s="41"/>
      <c r="W1017" s="41"/>
      <c r="X1017" s="41"/>
      <c r="Y1017" s="41"/>
      <c r="Z1017" s="41"/>
      <c r="AA1017" s="41"/>
      <c r="AB1017" s="41"/>
      <c r="AC1017" s="41"/>
      <c r="AD1017" s="41"/>
      <c r="AE1017" s="41"/>
      <c r="AF1017" s="41"/>
      <c r="AG1017" s="41"/>
      <c r="AH1017" s="41"/>
      <c r="AI1017" s="41"/>
      <c r="AJ1017" s="41"/>
    </row>
    <row r="1018">
      <c r="A1018" s="85"/>
      <c r="B1018" s="85"/>
      <c r="C1018" s="316"/>
      <c r="D1018" s="317"/>
      <c r="E1018" s="318"/>
      <c r="F1018" s="41"/>
      <c r="G1018" s="317"/>
      <c r="H1018" s="41"/>
      <c r="I1018" s="319"/>
      <c r="J1018" s="41"/>
      <c r="K1018" s="41"/>
      <c r="L1018" s="320"/>
      <c r="M1018" s="41"/>
      <c r="N1018" s="321"/>
      <c r="O1018" s="321"/>
      <c r="P1018" s="321"/>
      <c r="Q1018" s="41"/>
      <c r="R1018" s="41"/>
      <c r="S1018" s="41"/>
      <c r="T1018" s="41"/>
      <c r="U1018" s="41"/>
      <c r="V1018" s="41"/>
      <c r="W1018" s="41"/>
      <c r="X1018" s="41"/>
      <c r="Y1018" s="41"/>
      <c r="Z1018" s="41"/>
      <c r="AA1018" s="41"/>
      <c r="AB1018" s="41"/>
      <c r="AC1018" s="41"/>
      <c r="AD1018" s="41"/>
      <c r="AE1018" s="41"/>
      <c r="AF1018" s="41"/>
      <c r="AG1018" s="41"/>
      <c r="AH1018" s="41"/>
      <c r="AI1018" s="41"/>
      <c r="AJ1018" s="41"/>
    </row>
    <row r="1019">
      <c r="A1019" s="85"/>
      <c r="B1019" s="85"/>
      <c r="C1019" s="316"/>
      <c r="D1019" s="317"/>
      <c r="E1019" s="318"/>
      <c r="F1019" s="41"/>
      <c r="G1019" s="317"/>
      <c r="H1019" s="41"/>
      <c r="I1019" s="319"/>
      <c r="J1019" s="41"/>
      <c r="K1019" s="41"/>
      <c r="L1019" s="320"/>
      <c r="M1019" s="41"/>
      <c r="N1019" s="321"/>
      <c r="O1019" s="321"/>
      <c r="P1019" s="321"/>
      <c r="Q1019" s="41"/>
      <c r="R1019" s="41"/>
      <c r="S1019" s="41"/>
      <c r="T1019" s="41"/>
      <c r="U1019" s="41"/>
      <c r="V1019" s="41"/>
      <c r="W1019" s="41"/>
      <c r="X1019" s="41"/>
      <c r="Y1019" s="41"/>
      <c r="Z1019" s="41"/>
      <c r="AA1019" s="41"/>
      <c r="AB1019" s="41"/>
      <c r="AC1019" s="41"/>
      <c r="AD1019" s="41"/>
      <c r="AE1019" s="41"/>
      <c r="AF1019" s="41"/>
      <c r="AG1019" s="41"/>
      <c r="AH1019" s="41"/>
      <c r="AI1019" s="41"/>
      <c r="AJ1019" s="41"/>
    </row>
    <row r="1020">
      <c r="A1020" s="85"/>
      <c r="B1020" s="85"/>
      <c r="C1020" s="316"/>
      <c r="D1020" s="317"/>
      <c r="E1020" s="318"/>
      <c r="F1020" s="41"/>
      <c r="G1020" s="317"/>
      <c r="H1020" s="41"/>
      <c r="I1020" s="319"/>
      <c r="J1020" s="41"/>
      <c r="K1020" s="41"/>
      <c r="L1020" s="320"/>
      <c r="M1020" s="41"/>
      <c r="N1020" s="321"/>
      <c r="O1020" s="321"/>
      <c r="P1020" s="321"/>
      <c r="Q1020" s="41"/>
      <c r="R1020" s="41"/>
      <c r="S1020" s="41"/>
      <c r="T1020" s="41"/>
      <c r="U1020" s="41"/>
      <c r="V1020" s="41"/>
      <c r="W1020" s="41"/>
      <c r="X1020" s="41"/>
      <c r="Y1020" s="41"/>
      <c r="Z1020" s="41"/>
      <c r="AA1020" s="41"/>
      <c r="AB1020" s="41"/>
      <c r="AC1020" s="41"/>
      <c r="AD1020" s="41"/>
      <c r="AE1020" s="41"/>
      <c r="AF1020" s="41"/>
      <c r="AG1020" s="41"/>
      <c r="AH1020" s="41"/>
      <c r="AI1020" s="41"/>
      <c r="AJ1020" s="41"/>
    </row>
    <row r="1021">
      <c r="A1021" s="85"/>
      <c r="B1021" s="85"/>
      <c r="C1021" s="316"/>
      <c r="D1021" s="317"/>
      <c r="E1021" s="318"/>
      <c r="F1021" s="41"/>
      <c r="G1021" s="317"/>
      <c r="H1021" s="41"/>
      <c r="I1021" s="319"/>
      <c r="J1021" s="41"/>
      <c r="K1021" s="41"/>
      <c r="L1021" s="320"/>
      <c r="M1021" s="41"/>
      <c r="N1021" s="321"/>
      <c r="O1021" s="321"/>
      <c r="P1021" s="321"/>
      <c r="Q1021" s="41"/>
      <c r="R1021" s="41"/>
      <c r="S1021" s="41"/>
      <c r="T1021" s="41"/>
      <c r="U1021" s="41"/>
      <c r="V1021" s="41"/>
      <c r="W1021" s="41"/>
      <c r="X1021" s="41"/>
      <c r="Y1021" s="41"/>
      <c r="Z1021" s="41"/>
      <c r="AA1021" s="41"/>
      <c r="AB1021" s="41"/>
      <c r="AC1021" s="41"/>
      <c r="AD1021" s="41"/>
      <c r="AE1021" s="41"/>
      <c r="AF1021" s="41"/>
      <c r="AG1021" s="41"/>
      <c r="AH1021" s="41"/>
      <c r="AI1021" s="41"/>
      <c r="AJ1021" s="41"/>
    </row>
    <row r="1022">
      <c r="A1022" s="85"/>
      <c r="B1022" s="85"/>
      <c r="C1022" s="316"/>
      <c r="D1022" s="317"/>
      <c r="E1022" s="318"/>
      <c r="F1022" s="41"/>
      <c r="G1022" s="317"/>
      <c r="H1022" s="41"/>
      <c r="I1022" s="319"/>
      <c r="J1022" s="41"/>
      <c r="K1022" s="41"/>
      <c r="L1022" s="320"/>
      <c r="M1022" s="41"/>
      <c r="N1022" s="321"/>
      <c r="O1022" s="321"/>
      <c r="P1022" s="321"/>
      <c r="Q1022" s="41"/>
      <c r="R1022" s="41"/>
      <c r="S1022" s="41"/>
      <c r="T1022" s="41"/>
      <c r="U1022" s="41"/>
      <c r="V1022" s="41"/>
      <c r="W1022" s="41"/>
      <c r="X1022" s="41"/>
      <c r="Y1022" s="41"/>
      <c r="Z1022" s="41"/>
      <c r="AA1022" s="41"/>
      <c r="AB1022" s="41"/>
      <c r="AC1022" s="41"/>
      <c r="AD1022" s="41"/>
      <c r="AE1022" s="41"/>
      <c r="AF1022" s="41"/>
      <c r="AG1022" s="41"/>
      <c r="AH1022" s="41"/>
      <c r="AI1022" s="41"/>
      <c r="AJ1022" s="41"/>
    </row>
    <row r="1023">
      <c r="A1023" s="85"/>
      <c r="B1023" s="85"/>
      <c r="C1023" s="316"/>
      <c r="D1023" s="317"/>
      <c r="E1023" s="318"/>
      <c r="F1023" s="41"/>
      <c r="G1023" s="317"/>
      <c r="H1023" s="41"/>
      <c r="I1023" s="319"/>
      <c r="J1023" s="41"/>
      <c r="K1023" s="41"/>
      <c r="L1023" s="320"/>
      <c r="M1023" s="41"/>
      <c r="N1023" s="321"/>
      <c r="O1023" s="321"/>
      <c r="P1023" s="321"/>
      <c r="Q1023" s="41"/>
      <c r="R1023" s="41"/>
      <c r="S1023" s="41"/>
      <c r="T1023" s="41"/>
      <c r="U1023" s="41"/>
      <c r="V1023" s="41"/>
      <c r="W1023" s="41"/>
      <c r="X1023" s="41"/>
      <c r="Y1023" s="41"/>
      <c r="Z1023" s="41"/>
      <c r="AA1023" s="41"/>
      <c r="AB1023" s="41"/>
      <c r="AC1023" s="41"/>
      <c r="AD1023" s="41"/>
      <c r="AE1023" s="41"/>
      <c r="AF1023" s="41"/>
      <c r="AG1023" s="41"/>
      <c r="AH1023" s="41"/>
      <c r="AI1023" s="41"/>
      <c r="AJ1023" s="41"/>
    </row>
    <row r="1024">
      <c r="A1024" s="85"/>
      <c r="B1024" s="85"/>
      <c r="C1024" s="316"/>
      <c r="D1024" s="317"/>
      <c r="E1024" s="318"/>
      <c r="F1024" s="41"/>
      <c r="G1024" s="317"/>
      <c r="H1024" s="41"/>
      <c r="I1024" s="319"/>
      <c r="J1024" s="41"/>
      <c r="K1024" s="41"/>
      <c r="L1024" s="320"/>
      <c r="M1024" s="41"/>
      <c r="N1024" s="321"/>
      <c r="O1024" s="321"/>
      <c r="P1024" s="321"/>
      <c r="Q1024" s="41"/>
      <c r="R1024" s="41"/>
      <c r="S1024" s="41"/>
      <c r="T1024" s="41"/>
      <c r="U1024" s="41"/>
      <c r="V1024" s="41"/>
      <c r="W1024" s="41"/>
      <c r="X1024" s="41"/>
      <c r="Y1024" s="41"/>
      <c r="Z1024" s="41"/>
      <c r="AA1024" s="41"/>
      <c r="AB1024" s="41"/>
      <c r="AC1024" s="41"/>
      <c r="AD1024" s="41"/>
      <c r="AE1024" s="41"/>
      <c r="AF1024" s="41"/>
      <c r="AG1024" s="41"/>
      <c r="AH1024" s="41"/>
      <c r="AI1024" s="41"/>
      <c r="AJ1024" s="41"/>
    </row>
    <row r="1025">
      <c r="A1025" s="85"/>
      <c r="B1025" s="85"/>
      <c r="C1025" s="316"/>
      <c r="D1025" s="317"/>
      <c r="E1025" s="318"/>
      <c r="F1025" s="41"/>
      <c r="G1025" s="317"/>
      <c r="H1025" s="41"/>
      <c r="I1025" s="319"/>
      <c r="J1025" s="41"/>
      <c r="K1025" s="41"/>
      <c r="L1025" s="320"/>
      <c r="M1025" s="41"/>
      <c r="N1025" s="321"/>
      <c r="O1025" s="321"/>
      <c r="P1025" s="321"/>
      <c r="Q1025" s="41"/>
      <c r="R1025" s="41"/>
      <c r="S1025" s="41"/>
      <c r="T1025" s="41"/>
      <c r="U1025" s="41"/>
      <c r="V1025" s="41"/>
      <c r="W1025" s="41"/>
      <c r="X1025" s="41"/>
      <c r="Y1025" s="41"/>
      <c r="Z1025" s="41"/>
      <c r="AA1025" s="41"/>
      <c r="AB1025" s="41"/>
      <c r="AC1025" s="41"/>
      <c r="AD1025" s="41"/>
      <c r="AE1025" s="41"/>
      <c r="AF1025" s="41"/>
      <c r="AG1025" s="41"/>
      <c r="AH1025" s="41"/>
      <c r="AI1025" s="41"/>
      <c r="AJ1025" s="41"/>
    </row>
    <row r="1026">
      <c r="A1026" s="85"/>
      <c r="B1026" s="85"/>
      <c r="C1026" s="316"/>
      <c r="D1026" s="317"/>
      <c r="E1026" s="318"/>
      <c r="F1026" s="41"/>
      <c r="G1026" s="317"/>
      <c r="H1026" s="41"/>
      <c r="I1026" s="319"/>
      <c r="J1026" s="41"/>
      <c r="K1026" s="41"/>
      <c r="L1026" s="320"/>
      <c r="M1026" s="41"/>
      <c r="N1026" s="321"/>
      <c r="O1026" s="321"/>
      <c r="P1026" s="321"/>
      <c r="Q1026" s="41"/>
      <c r="R1026" s="41"/>
      <c r="S1026" s="41"/>
      <c r="T1026" s="41"/>
      <c r="U1026" s="41"/>
      <c r="V1026" s="41"/>
      <c r="W1026" s="41"/>
      <c r="X1026" s="41"/>
      <c r="Y1026" s="41"/>
      <c r="Z1026" s="41"/>
      <c r="AA1026" s="41"/>
      <c r="AB1026" s="41"/>
      <c r="AC1026" s="41"/>
      <c r="AD1026" s="41"/>
      <c r="AE1026" s="41"/>
      <c r="AF1026" s="41"/>
      <c r="AG1026" s="41"/>
      <c r="AH1026" s="41"/>
      <c r="AI1026" s="41"/>
      <c r="AJ1026" s="41"/>
    </row>
    <row r="1027">
      <c r="A1027" s="85"/>
      <c r="B1027" s="85"/>
      <c r="C1027" s="316"/>
      <c r="D1027" s="317"/>
      <c r="E1027" s="318"/>
      <c r="F1027" s="41"/>
      <c r="G1027" s="317"/>
      <c r="H1027" s="41"/>
      <c r="I1027" s="319"/>
      <c r="J1027" s="41"/>
      <c r="K1027" s="41"/>
      <c r="L1027" s="320"/>
      <c r="M1027" s="41"/>
      <c r="N1027" s="321"/>
      <c r="O1027" s="321"/>
      <c r="P1027" s="321"/>
      <c r="Q1027" s="41"/>
      <c r="R1027" s="41"/>
      <c r="S1027" s="41"/>
      <c r="T1027" s="41"/>
      <c r="U1027" s="41"/>
      <c r="V1027" s="41"/>
      <c r="W1027" s="41"/>
      <c r="X1027" s="41"/>
      <c r="Y1027" s="41"/>
      <c r="Z1027" s="41"/>
      <c r="AA1027" s="41"/>
      <c r="AB1027" s="41"/>
      <c r="AC1027" s="41"/>
      <c r="AD1027" s="41"/>
      <c r="AE1027" s="41"/>
      <c r="AF1027" s="41"/>
      <c r="AG1027" s="41"/>
      <c r="AH1027" s="41"/>
      <c r="AI1027" s="41"/>
      <c r="AJ1027" s="41"/>
    </row>
    <row r="1028">
      <c r="A1028" s="85"/>
      <c r="B1028" s="85"/>
      <c r="C1028" s="316"/>
      <c r="D1028" s="317"/>
      <c r="E1028" s="318"/>
      <c r="F1028" s="41"/>
      <c r="G1028" s="317"/>
      <c r="H1028" s="41"/>
      <c r="I1028" s="319"/>
      <c r="J1028" s="41"/>
      <c r="K1028" s="41"/>
      <c r="L1028" s="320"/>
      <c r="M1028" s="41"/>
      <c r="N1028" s="321"/>
      <c r="O1028" s="321"/>
      <c r="P1028" s="321"/>
      <c r="Q1028" s="41"/>
      <c r="R1028" s="41"/>
      <c r="S1028" s="41"/>
      <c r="T1028" s="41"/>
      <c r="U1028" s="41"/>
      <c r="V1028" s="41"/>
      <c r="W1028" s="41"/>
      <c r="X1028" s="41"/>
      <c r="Y1028" s="41"/>
      <c r="Z1028" s="41"/>
      <c r="AA1028" s="41"/>
      <c r="AB1028" s="41"/>
      <c r="AC1028" s="41"/>
      <c r="AD1028" s="41"/>
      <c r="AE1028" s="41"/>
      <c r="AF1028" s="41"/>
      <c r="AG1028" s="41"/>
      <c r="AH1028" s="41"/>
      <c r="AI1028" s="41"/>
      <c r="AJ1028" s="41"/>
    </row>
    <row r="1029">
      <c r="A1029" s="85"/>
      <c r="B1029" s="85"/>
      <c r="C1029" s="316"/>
      <c r="D1029" s="317"/>
      <c r="E1029" s="318"/>
      <c r="F1029" s="41"/>
      <c r="G1029" s="317"/>
      <c r="H1029" s="41"/>
      <c r="I1029" s="319"/>
      <c r="J1029" s="41"/>
      <c r="K1029" s="41"/>
      <c r="L1029" s="320"/>
      <c r="M1029" s="41"/>
      <c r="N1029" s="321"/>
      <c r="O1029" s="321"/>
      <c r="P1029" s="321"/>
      <c r="Q1029" s="41"/>
      <c r="R1029" s="41"/>
      <c r="S1029" s="41"/>
      <c r="T1029" s="41"/>
      <c r="U1029" s="41"/>
      <c r="V1029" s="41"/>
      <c r="W1029" s="41"/>
      <c r="X1029" s="41"/>
      <c r="Y1029" s="41"/>
      <c r="Z1029" s="41"/>
      <c r="AA1029" s="41"/>
      <c r="AB1029" s="41"/>
      <c r="AC1029" s="41"/>
      <c r="AD1029" s="41"/>
      <c r="AE1029" s="41"/>
      <c r="AF1029" s="41"/>
      <c r="AG1029" s="41"/>
      <c r="AH1029" s="41"/>
      <c r="AI1029" s="41"/>
      <c r="AJ1029" s="41"/>
    </row>
    <row r="1030">
      <c r="A1030" s="85"/>
      <c r="B1030" s="85"/>
      <c r="C1030" s="316"/>
      <c r="D1030" s="317"/>
      <c r="E1030" s="318"/>
      <c r="F1030" s="41"/>
      <c r="G1030" s="317"/>
      <c r="H1030" s="41"/>
      <c r="I1030" s="319"/>
      <c r="J1030" s="41"/>
      <c r="K1030" s="41"/>
      <c r="L1030" s="320"/>
      <c r="M1030" s="41"/>
      <c r="N1030" s="321"/>
      <c r="O1030" s="321"/>
      <c r="P1030" s="321"/>
      <c r="Q1030" s="41"/>
      <c r="R1030" s="41"/>
      <c r="S1030" s="41"/>
      <c r="T1030" s="41"/>
      <c r="U1030" s="41"/>
      <c r="V1030" s="41"/>
      <c r="W1030" s="41"/>
      <c r="X1030" s="41"/>
      <c r="Y1030" s="41"/>
      <c r="Z1030" s="41"/>
      <c r="AA1030" s="41"/>
      <c r="AB1030" s="41"/>
      <c r="AC1030" s="41"/>
      <c r="AD1030" s="41"/>
      <c r="AE1030" s="41"/>
      <c r="AF1030" s="41"/>
      <c r="AG1030" s="41"/>
      <c r="AH1030" s="41"/>
      <c r="AI1030" s="41"/>
      <c r="AJ1030" s="41"/>
    </row>
    <row r="1031">
      <c r="A1031" s="85"/>
      <c r="B1031" s="85"/>
      <c r="C1031" s="316"/>
      <c r="D1031" s="317"/>
      <c r="E1031" s="318"/>
      <c r="F1031" s="41"/>
      <c r="G1031" s="317"/>
      <c r="H1031" s="41"/>
      <c r="I1031" s="319"/>
      <c r="J1031" s="41"/>
      <c r="K1031" s="41"/>
      <c r="L1031" s="320"/>
      <c r="M1031" s="41"/>
      <c r="N1031" s="321"/>
      <c r="O1031" s="321"/>
      <c r="P1031" s="321"/>
      <c r="Q1031" s="41"/>
      <c r="R1031" s="41"/>
      <c r="S1031" s="41"/>
      <c r="T1031" s="41"/>
      <c r="U1031" s="41"/>
      <c r="V1031" s="41"/>
      <c r="W1031" s="41"/>
      <c r="X1031" s="41"/>
      <c r="Y1031" s="41"/>
      <c r="Z1031" s="41"/>
      <c r="AA1031" s="41"/>
      <c r="AB1031" s="41"/>
      <c r="AC1031" s="41"/>
      <c r="AD1031" s="41"/>
      <c r="AE1031" s="41"/>
      <c r="AF1031" s="41"/>
      <c r="AG1031" s="41"/>
      <c r="AH1031" s="41"/>
      <c r="AI1031" s="41"/>
      <c r="AJ1031" s="41"/>
    </row>
    <row r="1032">
      <c r="A1032" s="85"/>
      <c r="B1032" s="85"/>
      <c r="C1032" s="316"/>
      <c r="D1032" s="317"/>
      <c r="E1032" s="318"/>
      <c r="F1032" s="41"/>
      <c r="G1032" s="317"/>
      <c r="H1032" s="41"/>
      <c r="I1032" s="319"/>
      <c r="J1032" s="41"/>
      <c r="K1032" s="41"/>
      <c r="L1032" s="320"/>
      <c r="M1032" s="41"/>
      <c r="N1032" s="321"/>
      <c r="O1032" s="321"/>
      <c r="P1032" s="321"/>
      <c r="Q1032" s="41"/>
      <c r="R1032" s="41"/>
      <c r="S1032" s="41"/>
      <c r="T1032" s="41"/>
      <c r="U1032" s="41"/>
      <c r="V1032" s="41"/>
      <c r="W1032" s="41"/>
      <c r="X1032" s="41"/>
      <c r="Y1032" s="41"/>
      <c r="Z1032" s="41"/>
      <c r="AA1032" s="41"/>
      <c r="AB1032" s="41"/>
      <c r="AC1032" s="41"/>
      <c r="AD1032" s="41"/>
      <c r="AE1032" s="41"/>
      <c r="AF1032" s="41"/>
      <c r="AG1032" s="41"/>
      <c r="AH1032" s="41"/>
      <c r="AI1032" s="41"/>
      <c r="AJ1032" s="41"/>
    </row>
    <row r="1033">
      <c r="A1033" s="85"/>
      <c r="B1033" s="85"/>
      <c r="C1033" s="316"/>
      <c r="D1033" s="317"/>
      <c r="E1033" s="318"/>
      <c r="F1033" s="41"/>
      <c r="G1033" s="317"/>
      <c r="H1033" s="41"/>
      <c r="I1033" s="319"/>
      <c r="J1033" s="41"/>
      <c r="K1033" s="41"/>
      <c r="L1033" s="320"/>
      <c r="M1033" s="41"/>
      <c r="N1033" s="321"/>
      <c r="O1033" s="321"/>
      <c r="P1033" s="321"/>
      <c r="Q1033" s="41"/>
      <c r="R1033" s="41"/>
      <c r="S1033" s="41"/>
      <c r="T1033" s="41"/>
      <c r="U1033" s="41"/>
      <c r="V1033" s="41"/>
      <c r="W1033" s="41"/>
      <c r="X1033" s="41"/>
      <c r="Y1033" s="41"/>
      <c r="Z1033" s="41"/>
      <c r="AA1033" s="41"/>
      <c r="AB1033" s="41"/>
      <c r="AC1033" s="41"/>
      <c r="AD1033" s="41"/>
      <c r="AE1033" s="41"/>
      <c r="AF1033" s="41"/>
      <c r="AG1033" s="41"/>
      <c r="AH1033" s="41"/>
      <c r="AI1033" s="41"/>
      <c r="AJ1033" s="41"/>
    </row>
    <row r="1034">
      <c r="A1034" s="85"/>
      <c r="B1034" s="85"/>
      <c r="C1034" s="316"/>
      <c r="D1034" s="317"/>
      <c r="E1034" s="318"/>
      <c r="F1034" s="41"/>
      <c r="G1034" s="317"/>
      <c r="H1034" s="41"/>
      <c r="I1034" s="319"/>
      <c r="J1034" s="41"/>
      <c r="K1034" s="41"/>
      <c r="L1034" s="320"/>
      <c r="M1034" s="41"/>
      <c r="N1034" s="321"/>
      <c r="O1034" s="321"/>
      <c r="P1034" s="321"/>
      <c r="Q1034" s="41"/>
      <c r="R1034" s="41"/>
      <c r="S1034" s="41"/>
      <c r="T1034" s="41"/>
      <c r="U1034" s="41"/>
      <c r="V1034" s="41"/>
      <c r="W1034" s="41"/>
      <c r="X1034" s="41"/>
      <c r="Y1034" s="41"/>
      <c r="Z1034" s="41"/>
      <c r="AA1034" s="41"/>
      <c r="AB1034" s="41"/>
      <c r="AC1034" s="41"/>
      <c r="AD1034" s="41"/>
      <c r="AE1034" s="41"/>
      <c r="AF1034" s="41"/>
      <c r="AG1034" s="41"/>
      <c r="AH1034" s="41"/>
      <c r="AI1034" s="41"/>
      <c r="AJ1034" s="41"/>
    </row>
    <row r="1035">
      <c r="A1035" s="85"/>
      <c r="B1035" s="85"/>
      <c r="C1035" s="316"/>
      <c r="D1035" s="317"/>
      <c r="E1035" s="318"/>
      <c r="F1035" s="41"/>
      <c r="G1035" s="317"/>
      <c r="H1035" s="41"/>
      <c r="I1035" s="319"/>
      <c r="J1035" s="41"/>
      <c r="K1035" s="41"/>
      <c r="L1035" s="320"/>
      <c r="M1035" s="41"/>
      <c r="N1035" s="321"/>
      <c r="O1035" s="321"/>
      <c r="P1035" s="321"/>
      <c r="Q1035" s="41"/>
      <c r="R1035" s="41"/>
      <c r="S1035" s="41"/>
      <c r="T1035" s="41"/>
      <c r="U1035" s="41"/>
      <c r="V1035" s="41"/>
      <c r="W1035" s="41"/>
      <c r="X1035" s="41"/>
      <c r="Y1035" s="41"/>
      <c r="Z1035" s="41"/>
      <c r="AA1035" s="41"/>
      <c r="AB1035" s="41"/>
      <c r="AC1035" s="41"/>
      <c r="AD1035" s="41"/>
      <c r="AE1035" s="41"/>
      <c r="AF1035" s="41"/>
      <c r="AG1035" s="41"/>
      <c r="AH1035" s="41"/>
      <c r="AI1035" s="41"/>
      <c r="AJ1035" s="41"/>
    </row>
    <row r="1036">
      <c r="A1036" s="85"/>
      <c r="B1036" s="85"/>
      <c r="C1036" s="316"/>
      <c r="D1036" s="317"/>
      <c r="E1036" s="318"/>
      <c r="F1036" s="41"/>
      <c r="G1036" s="317"/>
      <c r="H1036" s="41"/>
      <c r="I1036" s="319"/>
      <c r="J1036" s="41"/>
      <c r="K1036" s="41"/>
      <c r="L1036" s="320"/>
      <c r="M1036" s="41"/>
      <c r="N1036" s="321"/>
      <c r="O1036" s="321"/>
      <c r="P1036" s="321"/>
      <c r="Q1036" s="41"/>
      <c r="R1036" s="41"/>
      <c r="S1036" s="41"/>
      <c r="T1036" s="41"/>
      <c r="U1036" s="41"/>
      <c r="V1036" s="41"/>
      <c r="W1036" s="41"/>
      <c r="X1036" s="41"/>
      <c r="Y1036" s="41"/>
      <c r="Z1036" s="41"/>
      <c r="AA1036" s="41"/>
      <c r="AB1036" s="41"/>
      <c r="AC1036" s="41"/>
      <c r="AD1036" s="41"/>
      <c r="AE1036" s="41"/>
      <c r="AF1036" s="41"/>
      <c r="AG1036" s="41"/>
      <c r="AH1036" s="41"/>
      <c r="AI1036" s="41"/>
      <c r="AJ1036" s="41"/>
    </row>
    <row r="1037">
      <c r="A1037" s="85"/>
      <c r="B1037" s="85"/>
      <c r="C1037" s="316"/>
      <c r="D1037" s="317"/>
      <c r="E1037" s="318"/>
      <c r="F1037" s="41"/>
      <c r="G1037" s="317"/>
      <c r="H1037" s="41"/>
      <c r="I1037" s="319"/>
      <c r="J1037" s="41"/>
      <c r="K1037" s="41"/>
      <c r="L1037" s="320"/>
      <c r="M1037" s="41"/>
      <c r="N1037" s="321"/>
      <c r="O1037" s="321"/>
      <c r="P1037" s="321"/>
      <c r="Q1037" s="41"/>
      <c r="R1037" s="41"/>
      <c r="S1037" s="41"/>
      <c r="T1037" s="41"/>
      <c r="U1037" s="41"/>
      <c r="V1037" s="41"/>
      <c r="W1037" s="41"/>
      <c r="X1037" s="41"/>
      <c r="Y1037" s="41"/>
      <c r="Z1037" s="41"/>
      <c r="AA1037" s="41"/>
      <c r="AB1037" s="41"/>
      <c r="AC1037" s="41"/>
      <c r="AD1037" s="41"/>
      <c r="AE1037" s="41"/>
      <c r="AF1037" s="41"/>
      <c r="AG1037" s="41"/>
      <c r="AH1037" s="41"/>
      <c r="AI1037" s="41"/>
      <c r="AJ1037" s="41"/>
    </row>
    <row r="1038">
      <c r="A1038" s="85"/>
      <c r="B1038" s="85"/>
      <c r="C1038" s="316"/>
      <c r="D1038" s="317"/>
      <c r="E1038" s="318"/>
      <c r="F1038" s="41"/>
      <c r="G1038" s="317"/>
      <c r="H1038" s="41"/>
      <c r="I1038" s="319"/>
      <c r="J1038" s="41"/>
      <c r="K1038" s="41"/>
      <c r="L1038" s="320"/>
      <c r="M1038" s="41"/>
      <c r="N1038" s="321"/>
      <c r="O1038" s="321"/>
      <c r="P1038" s="321"/>
      <c r="Q1038" s="41"/>
      <c r="R1038" s="41"/>
      <c r="S1038" s="41"/>
      <c r="T1038" s="41"/>
      <c r="U1038" s="41"/>
      <c r="V1038" s="41"/>
      <c r="W1038" s="41"/>
      <c r="X1038" s="41"/>
      <c r="Y1038" s="41"/>
      <c r="Z1038" s="41"/>
      <c r="AA1038" s="41"/>
      <c r="AB1038" s="41"/>
      <c r="AC1038" s="41"/>
      <c r="AD1038" s="41"/>
      <c r="AE1038" s="41"/>
      <c r="AF1038" s="41"/>
      <c r="AG1038" s="41"/>
      <c r="AH1038" s="41"/>
      <c r="AI1038" s="41"/>
      <c r="AJ1038" s="41"/>
    </row>
    <row r="1039">
      <c r="A1039" s="85"/>
      <c r="B1039" s="85"/>
      <c r="C1039" s="316"/>
      <c r="D1039" s="317"/>
      <c r="E1039" s="318"/>
      <c r="F1039" s="41"/>
      <c r="G1039" s="317"/>
      <c r="H1039" s="41"/>
      <c r="I1039" s="319"/>
      <c r="J1039" s="41"/>
      <c r="K1039" s="41"/>
      <c r="L1039" s="320"/>
      <c r="M1039" s="41"/>
      <c r="N1039" s="321"/>
      <c r="O1039" s="321"/>
      <c r="P1039" s="321"/>
      <c r="Q1039" s="41"/>
      <c r="R1039" s="41"/>
      <c r="S1039" s="41"/>
      <c r="T1039" s="41"/>
      <c r="U1039" s="41"/>
      <c r="V1039" s="41"/>
      <c r="W1039" s="41"/>
      <c r="X1039" s="41"/>
      <c r="Y1039" s="41"/>
      <c r="Z1039" s="41"/>
      <c r="AA1039" s="41"/>
      <c r="AB1039" s="41"/>
      <c r="AC1039" s="41"/>
      <c r="AD1039" s="41"/>
      <c r="AE1039" s="41"/>
      <c r="AF1039" s="41"/>
      <c r="AG1039" s="41"/>
      <c r="AH1039" s="41"/>
      <c r="AI1039" s="41"/>
      <c r="AJ1039" s="41"/>
    </row>
    <row r="1040">
      <c r="A1040" s="85"/>
      <c r="B1040" s="85"/>
      <c r="C1040" s="316"/>
      <c r="D1040" s="317"/>
      <c r="E1040" s="318"/>
      <c r="F1040" s="41"/>
      <c r="G1040" s="317"/>
      <c r="H1040" s="41"/>
      <c r="I1040" s="319"/>
      <c r="J1040" s="41"/>
      <c r="K1040" s="41"/>
      <c r="L1040" s="320"/>
      <c r="M1040" s="41"/>
      <c r="N1040" s="321"/>
      <c r="O1040" s="321"/>
      <c r="P1040" s="321"/>
      <c r="Q1040" s="41"/>
      <c r="R1040" s="41"/>
      <c r="S1040" s="41"/>
      <c r="T1040" s="41"/>
      <c r="U1040" s="41"/>
      <c r="V1040" s="41"/>
      <c r="W1040" s="41"/>
      <c r="X1040" s="41"/>
      <c r="Y1040" s="41"/>
      <c r="Z1040" s="41"/>
      <c r="AA1040" s="41"/>
      <c r="AB1040" s="41"/>
      <c r="AC1040" s="41"/>
      <c r="AD1040" s="41"/>
      <c r="AE1040" s="41"/>
      <c r="AF1040" s="41"/>
      <c r="AG1040" s="41"/>
      <c r="AH1040" s="41"/>
      <c r="AI1040" s="41"/>
      <c r="AJ1040" s="41"/>
    </row>
    <row r="1041">
      <c r="A1041" s="85"/>
      <c r="B1041" s="85"/>
      <c r="C1041" s="316"/>
      <c r="D1041" s="317"/>
      <c r="E1041" s="318"/>
      <c r="F1041" s="41"/>
      <c r="G1041" s="317"/>
      <c r="H1041" s="41"/>
      <c r="I1041" s="319"/>
      <c r="J1041" s="41"/>
      <c r="K1041" s="41"/>
      <c r="L1041" s="320"/>
      <c r="M1041" s="41"/>
      <c r="N1041" s="321"/>
      <c r="O1041" s="321"/>
      <c r="P1041" s="321"/>
      <c r="Q1041" s="41"/>
      <c r="R1041" s="41"/>
      <c r="S1041" s="41"/>
      <c r="T1041" s="41"/>
      <c r="U1041" s="41"/>
      <c r="V1041" s="41"/>
      <c r="W1041" s="41"/>
      <c r="X1041" s="41"/>
      <c r="Y1041" s="41"/>
      <c r="Z1041" s="41"/>
      <c r="AA1041" s="41"/>
      <c r="AB1041" s="41"/>
      <c r="AC1041" s="41"/>
      <c r="AD1041" s="41"/>
      <c r="AE1041" s="41"/>
      <c r="AF1041" s="41"/>
      <c r="AG1041" s="41"/>
      <c r="AH1041" s="41"/>
      <c r="AI1041" s="41"/>
      <c r="AJ1041" s="41"/>
    </row>
    <row r="1042">
      <c r="A1042" s="85"/>
      <c r="B1042" s="85"/>
      <c r="C1042" s="316"/>
      <c r="D1042" s="317"/>
      <c r="E1042" s="318"/>
      <c r="F1042" s="41"/>
      <c r="G1042" s="317"/>
      <c r="H1042" s="41"/>
      <c r="I1042" s="319"/>
      <c r="J1042" s="41"/>
      <c r="K1042" s="41"/>
      <c r="L1042" s="320"/>
      <c r="M1042" s="41"/>
      <c r="N1042" s="321"/>
      <c r="O1042" s="321"/>
      <c r="P1042" s="321"/>
      <c r="Q1042" s="41"/>
      <c r="R1042" s="41"/>
      <c r="S1042" s="41"/>
      <c r="T1042" s="41"/>
      <c r="U1042" s="41"/>
      <c r="V1042" s="41"/>
      <c r="W1042" s="41"/>
      <c r="X1042" s="41"/>
      <c r="Y1042" s="41"/>
      <c r="Z1042" s="41"/>
      <c r="AA1042" s="41"/>
      <c r="AB1042" s="41"/>
      <c r="AC1042" s="41"/>
      <c r="AD1042" s="41"/>
      <c r="AE1042" s="41"/>
      <c r="AF1042" s="41"/>
      <c r="AG1042" s="41"/>
      <c r="AH1042" s="41"/>
      <c r="AI1042" s="41"/>
      <c r="AJ1042" s="41"/>
    </row>
    <row r="1043">
      <c r="A1043" s="85"/>
      <c r="B1043" s="85"/>
      <c r="C1043" s="316"/>
      <c r="D1043" s="317"/>
      <c r="E1043" s="318"/>
      <c r="F1043" s="41"/>
      <c r="G1043" s="317"/>
      <c r="H1043" s="41"/>
      <c r="I1043" s="319"/>
      <c r="J1043" s="41"/>
      <c r="K1043" s="41"/>
      <c r="L1043" s="320"/>
      <c r="M1043" s="41"/>
      <c r="N1043" s="321"/>
      <c r="O1043" s="321"/>
      <c r="P1043" s="321"/>
      <c r="Q1043" s="41"/>
      <c r="R1043" s="41"/>
      <c r="S1043" s="41"/>
      <c r="T1043" s="41"/>
      <c r="U1043" s="41"/>
      <c r="V1043" s="41"/>
      <c r="W1043" s="41"/>
      <c r="X1043" s="41"/>
      <c r="Y1043" s="41"/>
      <c r="Z1043" s="41"/>
      <c r="AA1043" s="41"/>
      <c r="AB1043" s="41"/>
      <c r="AC1043" s="41"/>
      <c r="AD1043" s="41"/>
      <c r="AE1043" s="41"/>
      <c r="AF1043" s="41"/>
      <c r="AG1043" s="41"/>
      <c r="AH1043" s="41"/>
      <c r="AI1043" s="41"/>
      <c r="AJ1043" s="41"/>
    </row>
    <row r="1044">
      <c r="A1044" s="85"/>
      <c r="B1044" s="85"/>
      <c r="C1044" s="316"/>
      <c r="D1044" s="317"/>
      <c r="E1044" s="318"/>
      <c r="F1044" s="41"/>
      <c r="G1044" s="317"/>
      <c r="H1044" s="41"/>
      <c r="I1044" s="319"/>
      <c r="J1044" s="41"/>
      <c r="K1044" s="41"/>
      <c r="L1044" s="320"/>
      <c r="M1044" s="41"/>
      <c r="N1044" s="321"/>
      <c r="O1044" s="321"/>
      <c r="P1044" s="321"/>
      <c r="Q1044" s="41"/>
      <c r="R1044" s="41"/>
      <c r="S1044" s="41"/>
      <c r="T1044" s="41"/>
      <c r="U1044" s="41"/>
      <c r="V1044" s="41"/>
      <c r="W1044" s="41"/>
      <c r="X1044" s="41"/>
      <c r="Y1044" s="41"/>
      <c r="Z1044" s="41"/>
      <c r="AA1044" s="41"/>
      <c r="AB1044" s="41"/>
      <c r="AC1044" s="41"/>
      <c r="AD1044" s="41"/>
      <c r="AE1044" s="41"/>
      <c r="AF1044" s="41"/>
      <c r="AG1044" s="41"/>
      <c r="AH1044" s="41"/>
      <c r="AI1044" s="41"/>
      <c r="AJ1044" s="41"/>
    </row>
    <row r="1045">
      <c r="A1045" s="85"/>
      <c r="B1045" s="85"/>
      <c r="C1045" s="316"/>
      <c r="D1045" s="317"/>
      <c r="E1045" s="318"/>
      <c r="F1045" s="41"/>
      <c r="G1045" s="317"/>
      <c r="H1045" s="41"/>
      <c r="I1045" s="319"/>
      <c r="J1045" s="41"/>
      <c r="K1045" s="41"/>
      <c r="L1045" s="320"/>
      <c r="M1045" s="41"/>
      <c r="N1045" s="321"/>
      <c r="O1045" s="321"/>
      <c r="P1045" s="321"/>
      <c r="Q1045" s="41"/>
      <c r="R1045" s="41"/>
      <c r="S1045" s="41"/>
      <c r="T1045" s="41"/>
      <c r="U1045" s="41"/>
      <c r="V1045" s="41"/>
      <c r="W1045" s="41"/>
      <c r="X1045" s="41"/>
      <c r="Y1045" s="41"/>
      <c r="Z1045" s="41"/>
      <c r="AA1045" s="41"/>
      <c r="AB1045" s="41"/>
      <c r="AC1045" s="41"/>
      <c r="AD1045" s="41"/>
      <c r="AE1045" s="41"/>
      <c r="AF1045" s="41"/>
      <c r="AG1045" s="41"/>
      <c r="AH1045" s="41"/>
      <c r="AI1045" s="41"/>
      <c r="AJ1045" s="41"/>
    </row>
    <row r="1046">
      <c r="A1046" s="85"/>
      <c r="B1046" s="85"/>
      <c r="C1046" s="316"/>
      <c r="D1046" s="317"/>
      <c r="E1046" s="318"/>
      <c r="F1046" s="41"/>
      <c r="G1046" s="317"/>
      <c r="H1046" s="41"/>
      <c r="I1046" s="319"/>
      <c r="J1046" s="41"/>
      <c r="K1046" s="41"/>
      <c r="L1046" s="320"/>
      <c r="M1046" s="41"/>
      <c r="N1046" s="321"/>
      <c r="O1046" s="321"/>
      <c r="P1046" s="321"/>
      <c r="Q1046" s="41"/>
      <c r="R1046" s="41"/>
      <c r="S1046" s="41"/>
      <c r="T1046" s="41"/>
      <c r="U1046" s="41"/>
      <c r="V1046" s="41"/>
      <c r="W1046" s="41"/>
      <c r="X1046" s="41"/>
      <c r="Y1046" s="41"/>
      <c r="Z1046" s="41"/>
      <c r="AA1046" s="41"/>
      <c r="AB1046" s="41"/>
      <c r="AC1046" s="41"/>
      <c r="AD1046" s="41"/>
      <c r="AE1046" s="41"/>
      <c r="AF1046" s="41"/>
      <c r="AG1046" s="41"/>
      <c r="AH1046" s="41"/>
      <c r="AI1046" s="41"/>
      <c r="AJ1046" s="41"/>
    </row>
    <row r="1047">
      <c r="A1047" s="85"/>
      <c r="B1047" s="85"/>
      <c r="C1047" s="316"/>
      <c r="D1047" s="317"/>
      <c r="E1047" s="318"/>
      <c r="F1047" s="41"/>
      <c r="G1047" s="317"/>
      <c r="H1047" s="41"/>
      <c r="I1047" s="319"/>
      <c r="J1047" s="41"/>
      <c r="K1047" s="41"/>
      <c r="L1047" s="320"/>
      <c r="M1047" s="41"/>
      <c r="N1047" s="321"/>
      <c r="O1047" s="321"/>
      <c r="P1047" s="321"/>
      <c r="Q1047" s="41"/>
      <c r="R1047" s="41"/>
      <c r="S1047" s="41"/>
      <c r="T1047" s="41"/>
      <c r="U1047" s="41"/>
      <c r="V1047" s="41"/>
      <c r="W1047" s="41"/>
      <c r="X1047" s="41"/>
      <c r="Y1047" s="41"/>
      <c r="Z1047" s="41"/>
      <c r="AA1047" s="41"/>
      <c r="AB1047" s="41"/>
      <c r="AC1047" s="41"/>
      <c r="AD1047" s="41"/>
      <c r="AE1047" s="41"/>
      <c r="AF1047" s="41"/>
      <c r="AG1047" s="41"/>
      <c r="AH1047" s="41"/>
      <c r="AI1047" s="41"/>
      <c r="AJ1047" s="41"/>
    </row>
    <row r="1048">
      <c r="A1048" s="85"/>
      <c r="B1048" s="85"/>
      <c r="C1048" s="316"/>
      <c r="D1048" s="317"/>
      <c r="E1048" s="318"/>
      <c r="F1048" s="41"/>
      <c r="G1048" s="317"/>
      <c r="H1048" s="41"/>
      <c r="I1048" s="319"/>
      <c r="J1048" s="41"/>
      <c r="K1048" s="41"/>
      <c r="L1048" s="320"/>
      <c r="M1048" s="41"/>
      <c r="N1048" s="321"/>
      <c r="O1048" s="321"/>
      <c r="P1048" s="321"/>
      <c r="Q1048" s="41"/>
      <c r="R1048" s="41"/>
      <c r="S1048" s="41"/>
      <c r="T1048" s="41"/>
      <c r="U1048" s="41"/>
      <c r="V1048" s="41"/>
      <c r="W1048" s="41"/>
      <c r="X1048" s="41"/>
      <c r="Y1048" s="41"/>
      <c r="Z1048" s="41"/>
      <c r="AA1048" s="41"/>
      <c r="AB1048" s="41"/>
      <c r="AC1048" s="41"/>
      <c r="AD1048" s="41"/>
      <c r="AE1048" s="41"/>
      <c r="AF1048" s="41"/>
      <c r="AG1048" s="41"/>
      <c r="AH1048" s="41"/>
      <c r="AI1048" s="41"/>
      <c r="AJ1048" s="41"/>
    </row>
    <row r="1049">
      <c r="A1049" s="85"/>
      <c r="B1049" s="85"/>
      <c r="C1049" s="316"/>
      <c r="D1049" s="317"/>
      <c r="E1049" s="318"/>
      <c r="F1049" s="41"/>
      <c r="G1049" s="317"/>
      <c r="H1049" s="41"/>
      <c r="I1049" s="319"/>
      <c r="J1049" s="41"/>
      <c r="K1049" s="41"/>
      <c r="L1049" s="320"/>
      <c r="M1049" s="41"/>
      <c r="N1049" s="321"/>
      <c r="O1049" s="321"/>
      <c r="P1049" s="321"/>
      <c r="Q1049" s="41"/>
      <c r="R1049" s="41"/>
      <c r="S1049" s="41"/>
      <c r="T1049" s="41"/>
      <c r="U1049" s="41"/>
      <c r="V1049" s="41"/>
      <c r="W1049" s="41"/>
      <c r="X1049" s="41"/>
      <c r="Y1049" s="41"/>
      <c r="Z1049" s="41"/>
      <c r="AA1049" s="41"/>
      <c r="AB1049" s="41"/>
      <c r="AC1049" s="41"/>
      <c r="AD1049" s="41"/>
      <c r="AE1049" s="41"/>
      <c r="AF1049" s="41"/>
      <c r="AG1049" s="41"/>
      <c r="AH1049" s="41"/>
      <c r="AI1049" s="41"/>
      <c r="AJ1049" s="41"/>
    </row>
    <row r="1050">
      <c r="A1050" s="85"/>
      <c r="B1050" s="85"/>
      <c r="C1050" s="316"/>
      <c r="D1050" s="317"/>
      <c r="E1050" s="318"/>
      <c r="F1050" s="41"/>
      <c r="G1050" s="317"/>
      <c r="H1050" s="41"/>
      <c r="I1050" s="319"/>
      <c r="J1050" s="41"/>
      <c r="K1050" s="41"/>
      <c r="L1050" s="320"/>
      <c r="M1050" s="41"/>
      <c r="N1050" s="321"/>
      <c r="O1050" s="321"/>
      <c r="P1050" s="321"/>
      <c r="Q1050" s="41"/>
      <c r="R1050" s="41"/>
      <c r="S1050" s="41"/>
      <c r="T1050" s="41"/>
      <c r="U1050" s="41"/>
      <c r="V1050" s="41"/>
      <c r="W1050" s="41"/>
      <c r="X1050" s="41"/>
      <c r="Y1050" s="41"/>
      <c r="Z1050" s="41"/>
      <c r="AA1050" s="41"/>
      <c r="AB1050" s="41"/>
      <c r="AC1050" s="41"/>
      <c r="AD1050" s="41"/>
      <c r="AE1050" s="41"/>
      <c r="AF1050" s="41"/>
      <c r="AG1050" s="41"/>
      <c r="AH1050" s="41"/>
      <c r="AI1050" s="41"/>
      <c r="AJ1050" s="41"/>
    </row>
    <row r="1051">
      <c r="A1051" s="85"/>
      <c r="B1051" s="85"/>
      <c r="C1051" s="316"/>
      <c r="D1051" s="317"/>
      <c r="E1051" s="318"/>
      <c r="F1051" s="41"/>
      <c r="G1051" s="317"/>
      <c r="H1051" s="41"/>
      <c r="I1051" s="319"/>
      <c r="J1051" s="41"/>
      <c r="K1051" s="41"/>
      <c r="L1051" s="320"/>
      <c r="M1051" s="41"/>
      <c r="N1051" s="321"/>
      <c r="O1051" s="321"/>
      <c r="P1051" s="321"/>
      <c r="Q1051" s="41"/>
      <c r="R1051" s="41"/>
      <c r="S1051" s="41"/>
      <c r="T1051" s="41"/>
      <c r="U1051" s="41"/>
      <c r="V1051" s="41"/>
      <c r="W1051" s="41"/>
      <c r="X1051" s="41"/>
      <c r="Y1051" s="41"/>
      <c r="Z1051" s="41"/>
      <c r="AA1051" s="41"/>
      <c r="AB1051" s="41"/>
      <c r="AC1051" s="41"/>
      <c r="AD1051" s="41"/>
      <c r="AE1051" s="41"/>
      <c r="AF1051" s="41"/>
      <c r="AG1051" s="41"/>
      <c r="AH1051" s="41"/>
      <c r="AI1051" s="41"/>
      <c r="AJ1051" s="41"/>
    </row>
    <row r="1052">
      <c r="A1052" s="85"/>
      <c r="B1052" s="85"/>
      <c r="C1052" s="316"/>
      <c r="D1052" s="317"/>
      <c r="E1052" s="318"/>
      <c r="F1052" s="41"/>
      <c r="G1052" s="317"/>
      <c r="H1052" s="41"/>
      <c r="I1052" s="319"/>
      <c r="J1052" s="41"/>
      <c r="K1052" s="41"/>
      <c r="L1052" s="320"/>
      <c r="M1052" s="41"/>
      <c r="N1052" s="321"/>
      <c r="O1052" s="321"/>
      <c r="P1052" s="321"/>
      <c r="Q1052" s="41"/>
      <c r="R1052" s="41"/>
      <c r="S1052" s="41"/>
      <c r="T1052" s="41"/>
      <c r="U1052" s="41"/>
      <c r="V1052" s="41"/>
      <c r="W1052" s="41"/>
      <c r="X1052" s="41"/>
      <c r="Y1052" s="41"/>
      <c r="Z1052" s="41"/>
      <c r="AA1052" s="41"/>
      <c r="AB1052" s="41"/>
      <c r="AC1052" s="41"/>
      <c r="AD1052" s="41"/>
      <c r="AE1052" s="41"/>
      <c r="AF1052" s="41"/>
      <c r="AG1052" s="41"/>
      <c r="AH1052" s="41"/>
      <c r="AI1052" s="41"/>
      <c r="AJ1052" s="41"/>
    </row>
    <row r="1053">
      <c r="A1053" s="85"/>
      <c r="B1053" s="85"/>
      <c r="C1053" s="316"/>
      <c r="D1053" s="317"/>
      <c r="E1053" s="318"/>
      <c r="F1053" s="41"/>
      <c r="G1053" s="317"/>
      <c r="H1053" s="41"/>
      <c r="I1053" s="319"/>
      <c r="J1053" s="41"/>
      <c r="K1053" s="41"/>
      <c r="L1053" s="320"/>
      <c r="M1053" s="41"/>
      <c r="N1053" s="321"/>
      <c r="O1053" s="321"/>
      <c r="P1053" s="321"/>
      <c r="Q1053" s="41"/>
      <c r="R1053" s="41"/>
      <c r="S1053" s="41"/>
      <c r="T1053" s="41"/>
      <c r="U1053" s="41"/>
      <c r="V1053" s="41"/>
      <c r="W1053" s="41"/>
      <c r="X1053" s="41"/>
      <c r="Y1053" s="41"/>
      <c r="Z1053" s="41"/>
      <c r="AA1053" s="41"/>
      <c r="AB1053" s="41"/>
      <c r="AC1053" s="41"/>
      <c r="AD1053" s="41"/>
      <c r="AE1053" s="41"/>
      <c r="AF1053" s="41"/>
      <c r="AG1053" s="41"/>
      <c r="AH1053" s="41"/>
      <c r="AI1053" s="41"/>
      <c r="AJ1053" s="41"/>
    </row>
    <row r="1054">
      <c r="A1054" s="85"/>
      <c r="B1054" s="85"/>
      <c r="C1054" s="316"/>
      <c r="D1054" s="317"/>
      <c r="E1054" s="318"/>
      <c r="F1054" s="41"/>
      <c r="G1054" s="317"/>
      <c r="H1054" s="41"/>
      <c r="I1054" s="319"/>
      <c r="J1054" s="41"/>
      <c r="K1054" s="41"/>
      <c r="L1054" s="320"/>
      <c r="M1054" s="41"/>
      <c r="N1054" s="321"/>
      <c r="O1054" s="321"/>
      <c r="P1054" s="321"/>
      <c r="Q1054" s="41"/>
      <c r="R1054" s="41"/>
      <c r="S1054" s="41"/>
      <c r="T1054" s="41"/>
      <c r="U1054" s="41"/>
      <c r="V1054" s="41"/>
      <c r="W1054" s="41"/>
      <c r="X1054" s="41"/>
      <c r="Y1054" s="41"/>
      <c r="Z1054" s="41"/>
      <c r="AA1054" s="41"/>
      <c r="AB1054" s="41"/>
      <c r="AC1054" s="41"/>
      <c r="AD1054" s="41"/>
      <c r="AE1054" s="41"/>
      <c r="AF1054" s="41"/>
      <c r="AG1054" s="41"/>
      <c r="AH1054" s="41"/>
      <c r="AI1054" s="41"/>
      <c r="AJ1054" s="41"/>
    </row>
    <row r="1055">
      <c r="A1055" s="85"/>
      <c r="B1055" s="85"/>
      <c r="C1055" s="316"/>
      <c r="D1055" s="317"/>
      <c r="E1055" s="318"/>
      <c r="F1055" s="41"/>
      <c r="G1055" s="317"/>
      <c r="H1055" s="41"/>
      <c r="I1055" s="319"/>
      <c r="J1055" s="41"/>
      <c r="K1055" s="41"/>
      <c r="L1055" s="320"/>
      <c r="M1055" s="41"/>
      <c r="N1055" s="321"/>
      <c r="O1055" s="321"/>
      <c r="P1055" s="321"/>
      <c r="Q1055" s="41"/>
      <c r="R1055" s="41"/>
      <c r="S1055" s="41"/>
      <c r="T1055" s="41"/>
      <c r="U1055" s="41"/>
      <c r="V1055" s="41"/>
      <c r="W1055" s="41"/>
      <c r="X1055" s="41"/>
      <c r="Y1055" s="41"/>
      <c r="Z1055" s="41"/>
      <c r="AA1055" s="41"/>
      <c r="AB1055" s="41"/>
      <c r="AC1055" s="41"/>
      <c r="AD1055" s="41"/>
      <c r="AE1055" s="41"/>
      <c r="AF1055" s="41"/>
      <c r="AG1055" s="41"/>
      <c r="AH1055" s="41"/>
      <c r="AI1055" s="41"/>
      <c r="AJ1055" s="41"/>
    </row>
    <row r="1056">
      <c r="A1056" s="85"/>
      <c r="B1056" s="85"/>
      <c r="C1056" s="316"/>
      <c r="D1056" s="317"/>
      <c r="E1056" s="318"/>
      <c r="F1056" s="41"/>
      <c r="G1056" s="317"/>
      <c r="H1056" s="41"/>
      <c r="I1056" s="319"/>
      <c r="J1056" s="41"/>
      <c r="K1056" s="41"/>
      <c r="L1056" s="320"/>
      <c r="M1056" s="41"/>
      <c r="N1056" s="321"/>
      <c r="O1056" s="321"/>
      <c r="P1056" s="321"/>
      <c r="Q1056" s="41"/>
      <c r="R1056" s="41"/>
      <c r="S1056" s="41"/>
      <c r="T1056" s="41"/>
      <c r="U1056" s="41"/>
      <c r="V1056" s="41"/>
      <c r="W1056" s="41"/>
      <c r="X1056" s="41"/>
      <c r="Y1056" s="41"/>
      <c r="Z1056" s="41"/>
      <c r="AA1056" s="41"/>
      <c r="AB1056" s="41"/>
      <c r="AC1056" s="41"/>
      <c r="AD1056" s="41"/>
      <c r="AE1056" s="41"/>
      <c r="AF1056" s="41"/>
      <c r="AG1056" s="41"/>
      <c r="AH1056" s="41"/>
      <c r="AI1056" s="41"/>
      <c r="AJ1056" s="41"/>
    </row>
    <row r="1057">
      <c r="A1057" s="85"/>
      <c r="B1057" s="85"/>
      <c r="C1057" s="316"/>
      <c r="D1057" s="317"/>
      <c r="E1057" s="318"/>
      <c r="F1057" s="41"/>
      <c r="G1057" s="317"/>
      <c r="H1057" s="41"/>
      <c r="I1057" s="319"/>
      <c r="J1057" s="41"/>
      <c r="K1057" s="41"/>
      <c r="L1057" s="320"/>
      <c r="M1057" s="41"/>
      <c r="N1057" s="321"/>
      <c r="O1057" s="321"/>
      <c r="P1057" s="321"/>
      <c r="Q1057" s="41"/>
      <c r="R1057" s="41"/>
      <c r="S1057" s="41"/>
      <c r="T1057" s="41"/>
      <c r="U1057" s="41"/>
      <c r="V1057" s="41"/>
      <c r="W1057" s="41"/>
      <c r="X1057" s="41"/>
      <c r="Y1057" s="41"/>
      <c r="Z1057" s="41"/>
      <c r="AA1057" s="41"/>
      <c r="AB1057" s="41"/>
      <c r="AC1057" s="41"/>
      <c r="AD1057" s="41"/>
      <c r="AE1057" s="41"/>
      <c r="AF1057" s="41"/>
      <c r="AG1057" s="41"/>
      <c r="AH1057" s="41"/>
      <c r="AI1057" s="41"/>
      <c r="AJ1057" s="41"/>
    </row>
    <row r="1058">
      <c r="A1058" s="85"/>
      <c r="B1058" s="85"/>
      <c r="C1058" s="316"/>
      <c r="D1058" s="317"/>
      <c r="E1058" s="318"/>
      <c r="F1058" s="41"/>
      <c r="G1058" s="317"/>
      <c r="H1058" s="41"/>
      <c r="I1058" s="319"/>
      <c r="J1058" s="41"/>
      <c r="K1058" s="41"/>
      <c r="L1058" s="320"/>
      <c r="M1058" s="41"/>
      <c r="N1058" s="321"/>
      <c r="O1058" s="321"/>
      <c r="P1058" s="321"/>
      <c r="Q1058" s="41"/>
      <c r="R1058" s="41"/>
      <c r="S1058" s="41"/>
      <c r="T1058" s="41"/>
      <c r="U1058" s="41"/>
      <c r="V1058" s="41"/>
      <c r="W1058" s="41"/>
      <c r="X1058" s="41"/>
      <c r="Y1058" s="41"/>
      <c r="Z1058" s="41"/>
      <c r="AA1058" s="41"/>
      <c r="AB1058" s="41"/>
      <c r="AC1058" s="41"/>
      <c r="AD1058" s="41"/>
      <c r="AE1058" s="41"/>
      <c r="AF1058" s="41"/>
      <c r="AG1058" s="41"/>
      <c r="AH1058" s="41"/>
      <c r="AI1058" s="41"/>
      <c r="AJ1058" s="41"/>
    </row>
    <row r="1059">
      <c r="A1059" s="85"/>
      <c r="B1059" s="85"/>
      <c r="C1059" s="316"/>
      <c r="D1059" s="317"/>
      <c r="E1059" s="318"/>
      <c r="F1059" s="41"/>
      <c r="G1059" s="317"/>
      <c r="H1059" s="41"/>
      <c r="I1059" s="319"/>
      <c r="J1059" s="41"/>
      <c r="K1059" s="41"/>
      <c r="L1059" s="320"/>
      <c r="M1059" s="41"/>
      <c r="N1059" s="321"/>
      <c r="O1059" s="321"/>
      <c r="P1059" s="321"/>
      <c r="Q1059" s="41"/>
      <c r="R1059" s="41"/>
      <c r="S1059" s="41"/>
      <c r="T1059" s="41"/>
      <c r="U1059" s="41"/>
      <c r="V1059" s="41"/>
      <c r="W1059" s="41"/>
      <c r="X1059" s="41"/>
      <c r="Y1059" s="41"/>
      <c r="Z1059" s="41"/>
      <c r="AA1059" s="41"/>
      <c r="AB1059" s="41"/>
      <c r="AC1059" s="41"/>
      <c r="AD1059" s="41"/>
      <c r="AE1059" s="41"/>
      <c r="AF1059" s="41"/>
      <c r="AG1059" s="41"/>
      <c r="AH1059" s="41"/>
      <c r="AI1059" s="41"/>
      <c r="AJ1059" s="41"/>
    </row>
    <row r="1060">
      <c r="A1060" s="85"/>
      <c r="B1060" s="85"/>
      <c r="C1060" s="316"/>
      <c r="D1060" s="317"/>
      <c r="E1060" s="318"/>
      <c r="F1060" s="41"/>
      <c r="G1060" s="317"/>
      <c r="H1060" s="41"/>
      <c r="I1060" s="319"/>
      <c r="J1060" s="41"/>
      <c r="K1060" s="41"/>
      <c r="L1060" s="320"/>
      <c r="M1060" s="41"/>
      <c r="N1060" s="321"/>
      <c r="O1060" s="321"/>
      <c r="P1060" s="321"/>
      <c r="Q1060" s="41"/>
      <c r="R1060" s="41"/>
      <c r="S1060" s="41"/>
      <c r="T1060" s="41"/>
      <c r="U1060" s="41"/>
      <c r="V1060" s="41"/>
      <c r="W1060" s="41"/>
      <c r="X1060" s="41"/>
      <c r="Y1060" s="41"/>
      <c r="Z1060" s="41"/>
      <c r="AA1060" s="41"/>
      <c r="AB1060" s="41"/>
      <c r="AC1060" s="41"/>
      <c r="AD1060" s="41"/>
      <c r="AE1060" s="41"/>
      <c r="AF1060" s="41"/>
      <c r="AG1060" s="41"/>
      <c r="AH1060" s="41"/>
      <c r="AI1060" s="41"/>
      <c r="AJ1060" s="41"/>
    </row>
    <row r="1061">
      <c r="A1061" s="85"/>
      <c r="B1061" s="85"/>
      <c r="C1061" s="316"/>
      <c r="D1061" s="317"/>
      <c r="E1061" s="318"/>
      <c r="F1061" s="41"/>
      <c r="G1061" s="317"/>
      <c r="H1061" s="41"/>
      <c r="I1061" s="319"/>
      <c r="J1061" s="41"/>
      <c r="K1061" s="41"/>
      <c r="L1061" s="320"/>
      <c r="M1061" s="41"/>
      <c r="N1061" s="321"/>
      <c r="O1061" s="321"/>
      <c r="P1061" s="321"/>
      <c r="Q1061" s="41"/>
      <c r="R1061" s="41"/>
      <c r="S1061" s="41"/>
      <c r="T1061" s="41"/>
      <c r="U1061" s="41"/>
      <c r="V1061" s="41"/>
      <c r="W1061" s="41"/>
      <c r="X1061" s="41"/>
      <c r="Y1061" s="41"/>
      <c r="Z1061" s="41"/>
      <c r="AA1061" s="41"/>
      <c r="AB1061" s="41"/>
      <c r="AC1061" s="41"/>
      <c r="AD1061" s="41"/>
      <c r="AE1061" s="41"/>
      <c r="AF1061" s="41"/>
      <c r="AG1061" s="41"/>
      <c r="AH1061" s="41"/>
      <c r="AI1061" s="41"/>
      <c r="AJ1061" s="41"/>
    </row>
    <row r="1062">
      <c r="A1062" s="85"/>
      <c r="B1062" s="85"/>
      <c r="C1062" s="316"/>
      <c r="D1062" s="317"/>
      <c r="E1062" s="318"/>
      <c r="F1062" s="41"/>
      <c r="G1062" s="317"/>
      <c r="H1062" s="41"/>
      <c r="I1062" s="319"/>
      <c r="J1062" s="41"/>
      <c r="K1062" s="41"/>
      <c r="L1062" s="320"/>
      <c r="M1062" s="41"/>
      <c r="N1062" s="321"/>
      <c r="O1062" s="321"/>
      <c r="P1062" s="321"/>
      <c r="Q1062" s="41"/>
      <c r="R1062" s="41"/>
      <c r="S1062" s="41"/>
      <c r="T1062" s="41"/>
      <c r="U1062" s="41"/>
      <c r="V1062" s="41"/>
      <c r="W1062" s="41"/>
      <c r="X1062" s="41"/>
      <c r="Y1062" s="41"/>
      <c r="Z1062" s="41"/>
      <c r="AA1062" s="41"/>
      <c r="AB1062" s="41"/>
      <c r="AC1062" s="41"/>
      <c r="AD1062" s="41"/>
      <c r="AE1062" s="41"/>
      <c r="AF1062" s="41"/>
      <c r="AG1062" s="41"/>
      <c r="AH1062" s="41"/>
      <c r="AI1062" s="41"/>
      <c r="AJ1062" s="41"/>
    </row>
    <row r="1063">
      <c r="A1063" s="85"/>
      <c r="B1063" s="85"/>
      <c r="C1063" s="316"/>
      <c r="D1063" s="317"/>
      <c r="E1063" s="318"/>
      <c r="F1063" s="41"/>
      <c r="G1063" s="317"/>
      <c r="H1063" s="41"/>
      <c r="I1063" s="319"/>
      <c r="J1063" s="41"/>
      <c r="K1063" s="41"/>
      <c r="L1063" s="320"/>
      <c r="M1063" s="41"/>
      <c r="N1063" s="321"/>
      <c r="O1063" s="321"/>
      <c r="P1063" s="321"/>
      <c r="Q1063" s="41"/>
      <c r="R1063" s="41"/>
      <c r="S1063" s="41"/>
      <c r="T1063" s="41"/>
      <c r="U1063" s="41"/>
      <c r="V1063" s="41"/>
      <c r="W1063" s="41"/>
      <c r="X1063" s="41"/>
      <c r="Y1063" s="41"/>
      <c r="Z1063" s="41"/>
      <c r="AA1063" s="41"/>
      <c r="AB1063" s="41"/>
      <c r="AC1063" s="41"/>
      <c r="AD1063" s="41"/>
      <c r="AE1063" s="41"/>
      <c r="AF1063" s="41"/>
      <c r="AG1063" s="41"/>
      <c r="AH1063" s="41"/>
      <c r="AI1063" s="41"/>
      <c r="AJ1063" s="41"/>
    </row>
    <row r="1064">
      <c r="A1064" s="85"/>
      <c r="B1064" s="85"/>
      <c r="C1064" s="316"/>
      <c r="D1064" s="317"/>
      <c r="E1064" s="318"/>
      <c r="F1064" s="41"/>
      <c r="G1064" s="317"/>
      <c r="H1064" s="41"/>
      <c r="I1064" s="319"/>
      <c r="J1064" s="41"/>
      <c r="K1064" s="41"/>
      <c r="L1064" s="320"/>
      <c r="M1064" s="41"/>
      <c r="N1064" s="321"/>
      <c r="O1064" s="321"/>
      <c r="P1064" s="321"/>
      <c r="Q1064" s="41"/>
      <c r="R1064" s="41"/>
      <c r="S1064" s="41"/>
      <c r="T1064" s="41"/>
      <c r="U1064" s="41"/>
      <c r="V1064" s="41"/>
      <c r="W1064" s="41"/>
      <c r="X1064" s="41"/>
      <c r="Y1064" s="41"/>
      <c r="Z1064" s="41"/>
      <c r="AA1064" s="41"/>
      <c r="AB1064" s="41"/>
      <c r="AC1064" s="41"/>
      <c r="AD1064" s="41"/>
      <c r="AE1064" s="41"/>
      <c r="AF1064" s="41"/>
      <c r="AG1064" s="41"/>
      <c r="AH1064" s="41"/>
      <c r="AI1064" s="41"/>
      <c r="AJ1064" s="41"/>
    </row>
    <row r="1065">
      <c r="A1065" s="85"/>
      <c r="B1065" s="85"/>
      <c r="C1065" s="316"/>
      <c r="D1065" s="317"/>
      <c r="E1065" s="318"/>
      <c r="F1065" s="41"/>
      <c r="G1065" s="317"/>
      <c r="H1065" s="41"/>
      <c r="I1065" s="319"/>
      <c r="J1065" s="41"/>
      <c r="K1065" s="41"/>
      <c r="L1065" s="320"/>
      <c r="M1065" s="41"/>
      <c r="N1065" s="321"/>
      <c r="O1065" s="321"/>
      <c r="P1065" s="321"/>
      <c r="Q1065" s="41"/>
      <c r="R1065" s="41"/>
      <c r="S1065" s="41"/>
      <c r="T1065" s="41"/>
      <c r="U1065" s="41"/>
      <c r="V1065" s="41"/>
      <c r="W1065" s="41"/>
      <c r="X1065" s="41"/>
      <c r="Y1065" s="41"/>
      <c r="Z1065" s="41"/>
      <c r="AA1065" s="41"/>
      <c r="AB1065" s="41"/>
      <c r="AC1065" s="41"/>
      <c r="AD1065" s="41"/>
      <c r="AE1065" s="41"/>
      <c r="AF1065" s="41"/>
      <c r="AG1065" s="41"/>
      <c r="AH1065" s="41"/>
      <c r="AI1065" s="41"/>
      <c r="AJ1065" s="41"/>
    </row>
    <row r="1066">
      <c r="A1066" s="85"/>
      <c r="B1066" s="85"/>
      <c r="C1066" s="316"/>
      <c r="D1066" s="317"/>
      <c r="E1066" s="318"/>
      <c r="F1066" s="41"/>
      <c r="G1066" s="317"/>
      <c r="H1066" s="41"/>
      <c r="I1066" s="319"/>
      <c r="J1066" s="41"/>
      <c r="K1066" s="41"/>
      <c r="L1066" s="320"/>
      <c r="M1066" s="41"/>
      <c r="N1066" s="321"/>
      <c r="O1066" s="321"/>
      <c r="P1066" s="321"/>
      <c r="Q1066" s="41"/>
      <c r="R1066" s="41"/>
      <c r="S1066" s="41"/>
      <c r="T1066" s="41"/>
      <c r="U1066" s="41"/>
      <c r="V1066" s="41"/>
      <c r="W1066" s="41"/>
      <c r="X1066" s="41"/>
      <c r="Y1066" s="41"/>
      <c r="Z1066" s="41"/>
      <c r="AA1066" s="41"/>
      <c r="AB1066" s="41"/>
      <c r="AC1066" s="41"/>
      <c r="AD1066" s="41"/>
      <c r="AE1066" s="41"/>
      <c r="AF1066" s="41"/>
      <c r="AG1066" s="41"/>
      <c r="AH1066" s="41"/>
      <c r="AI1066" s="41"/>
      <c r="AJ1066" s="41"/>
    </row>
    <row r="1067">
      <c r="A1067" s="85"/>
      <c r="B1067" s="85"/>
      <c r="C1067" s="316"/>
      <c r="D1067" s="317"/>
      <c r="E1067" s="318"/>
      <c r="F1067" s="41"/>
      <c r="G1067" s="317"/>
      <c r="H1067" s="41"/>
      <c r="I1067" s="319"/>
      <c r="J1067" s="41"/>
      <c r="K1067" s="41"/>
      <c r="L1067" s="320"/>
      <c r="M1067" s="41"/>
      <c r="N1067" s="321"/>
      <c r="O1067" s="321"/>
      <c r="P1067" s="321"/>
      <c r="Q1067" s="41"/>
      <c r="R1067" s="41"/>
      <c r="S1067" s="41"/>
      <c r="T1067" s="41"/>
      <c r="U1067" s="41"/>
      <c r="V1067" s="41"/>
      <c r="W1067" s="41"/>
      <c r="X1067" s="41"/>
      <c r="Y1067" s="41"/>
      <c r="Z1067" s="41"/>
      <c r="AA1067" s="41"/>
      <c r="AB1067" s="41"/>
      <c r="AC1067" s="41"/>
      <c r="AD1067" s="41"/>
      <c r="AE1067" s="41"/>
      <c r="AF1067" s="41"/>
      <c r="AG1067" s="41"/>
      <c r="AH1067" s="41"/>
      <c r="AI1067" s="41"/>
      <c r="AJ1067" s="41"/>
    </row>
    <row r="1068">
      <c r="A1068" s="85"/>
      <c r="B1068" s="85"/>
      <c r="C1068" s="316"/>
      <c r="D1068" s="317"/>
      <c r="E1068" s="318"/>
      <c r="F1068" s="41"/>
      <c r="G1068" s="317"/>
      <c r="H1068" s="41"/>
      <c r="I1068" s="319"/>
      <c r="J1068" s="41"/>
      <c r="K1068" s="41"/>
      <c r="L1068" s="320"/>
      <c r="M1068" s="41"/>
      <c r="N1068" s="321"/>
      <c r="O1068" s="321"/>
      <c r="P1068" s="321"/>
      <c r="Q1068" s="41"/>
      <c r="R1068" s="41"/>
      <c r="S1068" s="41"/>
      <c r="T1068" s="41"/>
      <c r="U1068" s="41"/>
      <c r="V1068" s="41"/>
      <c r="W1068" s="41"/>
      <c r="X1068" s="41"/>
      <c r="Y1068" s="41"/>
      <c r="Z1068" s="41"/>
      <c r="AA1068" s="41"/>
      <c r="AB1068" s="41"/>
      <c r="AC1068" s="41"/>
      <c r="AD1068" s="41"/>
      <c r="AE1068" s="41"/>
      <c r="AF1068" s="41"/>
      <c r="AG1068" s="41"/>
      <c r="AH1068" s="41"/>
      <c r="AI1068" s="41"/>
      <c r="AJ1068" s="41"/>
    </row>
    <row r="1069">
      <c r="A1069" s="85"/>
      <c r="B1069" s="85"/>
      <c r="C1069" s="316"/>
      <c r="D1069" s="317"/>
      <c r="E1069" s="318"/>
      <c r="F1069" s="41"/>
      <c r="G1069" s="317"/>
      <c r="H1069" s="41"/>
      <c r="I1069" s="319"/>
      <c r="J1069" s="41"/>
      <c r="K1069" s="41"/>
      <c r="L1069" s="320"/>
      <c r="M1069" s="41"/>
      <c r="N1069" s="321"/>
      <c r="O1069" s="321"/>
      <c r="P1069" s="321"/>
      <c r="Q1069" s="41"/>
      <c r="R1069" s="41"/>
      <c r="S1069" s="41"/>
      <c r="T1069" s="41"/>
      <c r="U1069" s="41"/>
      <c r="V1069" s="41"/>
      <c r="W1069" s="41"/>
      <c r="X1069" s="41"/>
      <c r="Y1069" s="41"/>
      <c r="Z1069" s="41"/>
      <c r="AA1069" s="41"/>
      <c r="AB1069" s="41"/>
      <c r="AC1069" s="41"/>
      <c r="AD1069" s="41"/>
      <c r="AE1069" s="41"/>
      <c r="AF1069" s="41"/>
      <c r="AG1069" s="41"/>
      <c r="AH1069" s="41"/>
      <c r="AI1069" s="41"/>
      <c r="AJ1069" s="41"/>
    </row>
    <row r="1070">
      <c r="A1070" s="85"/>
      <c r="B1070" s="85"/>
      <c r="C1070" s="316"/>
      <c r="D1070" s="317"/>
      <c r="E1070" s="318"/>
      <c r="F1070" s="41"/>
      <c r="G1070" s="317"/>
      <c r="H1070" s="41"/>
      <c r="I1070" s="319"/>
      <c r="J1070" s="41"/>
      <c r="K1070" s="41"/>
      <c r="L1070" s="320"/>
      <c r="M1070" s="41"/>
      <c r="N1070" s="321"/>
      <c r="O1070" s="321"/>
      <c r="P1070" s="321"/>
      <c r="Q1070" s="41"/>
      <c r="R1070" s="41"/>
      <c r="S1070" s="41"/>
      <c r="T1070" s="41"/>
      <c r="U1070" s="41"/>
      <c r="V1070" s="41"/>
      <c r="W1070" s="41"/>
      <c r="X1070" s="41"/>
      <c r="Y1070" s="41"/>
      <c r="Z1070" s="41"/>
      <c r="AA1070" s="41"/>
      <c r="AB1070" s="41"/>
      <c r="AC1070" s="41"/>
      <c r="AD1070" s="41"/>
      <c r="AE1070" s="41"/>
      <c r="AF1070" s="41"/>
      <c r="AG1070" s="41"/>
      <c r="AH1070" s="41"/>
      <c r="AI1070" s="41"/>
      <c r="AJ1070" s="41"/>
    </row>
    <row r="1071">
      <c r="A1071" s="85"/>
      <c r="B1071" s="85"/>
      <c r="C1071" s="316"/>
      <c r="D1071" s="317"/>
      <c r="E1071" s="318"/>
      <c r="F1071" s="41"/>
      <c r="G1071" s="317"/>
      <c r="H1071" s="41"/>
      <c r="I1071" s="319"/>
      <c r="J1071" s="41"/>
      <c r="K1071" s="41"/>
      <c r="L1071" s="320"/>
      <c r="M1071" s="41"/>
      <c r="N1071" s="321"/>
      <c r="O1071" s="321"/>
      <c r="P1071" s="321"/>
      <c r="Q1071" s="41"/>
      <c r="R1071" s="41"/>
      <c r="S1071" s="41"/>
      <c r="T1071" s="41"/>
      <c r="U1071" s="41"/>
      <c r="V1071" s="41"/>
      <c r="W1071" s="41"/>
      <c r="X1071" s="41"/>
      <c r="Y1071" s="41"/>
      <c r="Z1071" s="41"/>
      <c r="AA1071" s="41"/>
      <c r="AB1071" s="41"/>
      <c r="AC1071" s="41"/>
      <c r="AD1071" s="41"/>
      <c r="AE1071" s="41"/>
      <c r="AF1071" s="41"/>
      <c r="AG1071" s="41"/>
      <c r="AH1071" s="41"/>
      <c r="AI1071" s="41"/>
      <c r="AJ1071" s="41"/>
    </row>
    <row r="1072">
      <c r="A1072" s="85"/>
      <c r="B1072" s="85"/>
      <c r="C1072" s="316"/>
      <c r="D1072" s="317"/>
      <c r="E1072" s="318"/>
      <c r="F1072" s="41"/>
      <c r="G1072" s="317"/>
      <c r="H1072" s="41"/>
      <c r="I1072" s="319"/>
      <c r="J1072" s="41"/>
      <c r="K1072" s="41"/>
      <c r="L1072" s="320"/>
      <c r="M1072" s="41"/>
      <c r="N1072" s="321"/>
      <c r="O1072" s="321"/>
      <c r="P1072" s="321"/>
      <c r="Q1072" s="41"/>
      <c r="R1072" s="41"/>
      <c r="S1072" s="41"/>
      <c r="T1072" s="41"/>
      <c r="U1072" s="41"/>
      <c r="V1072" s="41"/>
      <c r="W1072" s="41"/>
      <c r="X1072" s="41"/>
      <c r="Y1072" s="41"/>
      <c r="Z1072" s="41"/>
      <c r="AA1072" s="41"/>
      <c r="AB1072" s="41"/>
      <c r="AC1072" s="41"/>
      <c r="AD1072" s="41"/>
      <c r="AE1072" s="41"/>
      <c r="AF1072" s="41"/>
      <c r="AG1072" s="41"/>
      <c r="AH1072" s="41"/>
      <c r="AI1072" s="41"/>
      <c r="AJ1072" s="41"/>
    </row>
    <row r="1073">
      <c r="A1073" s="85"/>
      <c r="B1073" s="85"/>
      <c r="C1073" s="316"/>
      <c r="D1073" s="317"/>
      <c r="E1073" s="318"/>
      <c r="F1073" s="41"/>
      <c r="G1073" s="317"/>
      <c r="H1073" s="41"/>
      <c r="I1073" s="319"/>
      <c r="J1073" s="41"/>
      <c r="K1073" s="41"/>
      <c r="L1073" s="320"/>
      <c r="M1073" s="41"/>
      <c r="N1073" s="321"/>
      <c r="O1073" s="321"/>
      <c r="P1073" s="321"/>
      <c r="Q1073" s="41"/>
      <c r="R1073" s="41"/>
      <c r="S1073" s="41"/>
      <c r="T1073" s="41"/>
      <c r="U1073" s="41"/>
      <c r="V1073" s="41"/>
      <c r="W1073" s="41"/>
      <c r="X1073" s="41"/>
      <c r="Y1073" s="41"/>
      <c r="Z1073" s="41"/>
      <c r="AA1073" s="41"/>
      <c r="AB1073" s="41"/>
      <c r="AC1073" s="41"/>
      <c r="AD1073" s="41"/>
      <c r="AE1073" s="41"/>
      <c r="AF1073" s="41"/>
      <c r="AG1073" s="41"/>
      <c r="AH1073" s="41"/>
      <c r="AI1073" s="41"/>
      <c r="AJ1073" s="41"/>
    </row>
    <row r="1074">
      <c r="A1074" s="85"/>
      <c r="B1074" s="85"/>
      <c r="C1074" s="316"/>
      <c r="D1074" s="317"/>
      <c r="E1074" s="318"/>
      <c r="F1074" s="41"/>
      <c r="G1074" s="317"/>
      <c r="H1074" s="41"/>
      <c r="I1074" s="319"/>
      <c r="J1074" s="41"/>
      <c r="K1074" s="41"/>
      <c r="L1074" s="320"/>
      <c r="M1074" s="41"/>
      <c r="N1074" s="321"/>
      <c r="O1074" s="321"/>
      <c r="P1074" s="321"/>
      <c r="Q1074" s="41"/>
      <c r="R1074" s="41"/>
      <c r="S1074" s="41"/>
      <c r="T1074" s="41"/>
      <c r="U1074" s="41"/>
      <c r="V1074" s="41"/>
      <c r="W1074" s="41"/>
      <c r="X1074" s="41"/>
      <c r="Y1074" s="41"/>
      <c r="Z1074" s="41"/>
      <c r="AA1074" s="41"/>
      <c r="AB1074" s="41"/>
      <c r="AC1074" s="41"/>
      <c r="AD1074" s="41"/>
      <c r="AE1074" s="41"/>
      <c r="AF1074" s="41"/>
      <c r="AG1074" s="41"/>
      <c r="AH1074" s="41"/>
      <c r="AI1074" s="41"/>
      <c r="AJ1074" s="41"/>
    </row>
    <row r="1075">
      <c r="A1075" s="85"/>
      <c r="B1075" s="85"/>
      <c r="C1075" s="316"/>
      <c r="D1075" s="317"/>
      <c r="E1075" s="318"/>
      <c r="F1075" s="41"/>
      <c r="G1075" s="317"/>
      <c r="H1075" s="41"/>
      <c r="I1075" s="319"/>
      <c r="J1075" s="41"/>
      <c r="K1075" s="41"/>
      <c r="L1075" s="320"/>
      <c r="M1075" s="41"/>
      <c r="N1075" s="321"/>
      <c r="O1075" s="321"/>
      <c r="P1075" s="321"/>
      <c r="Q1075" s="41"/>
      <c r="R1075" s="41"/>
      <c r="S1075" s="41"/>
      <c r="T1075" s="41"/>
      <c r="U1075" s="41"/>
      <c r="V1075" s="41"/>
      <c r="W1075" s="41"/>
      <c r="X1075" s="41"/>
      <c r="Y1075" s="41"/>
      <c r="Z1075" s="41"/>
      <c r="AA1075" s="41"/>
      <c r="AB1075" s="41"/>
      <c r="AC1075" s="41"/>
      <c r="AD1075" s="41"/>
      <c r="AE1075" s="41"/>
      <c r="AF1075" s="41"/>
      <c r="AG1075" s="41"/>
      <c r="AH1075" s="41"/>
      <c r="AI1075" s="41"/>
      <c r="AJ1075" s="41"/>
    </row>
    <row r="1076">
      <c r="A1076" s="85"/>
      <c r="B1076" s="85"/>
      <c r="C1076" s="316"/>
      <c r="D1076" s="317"/>
      <c r="E1076" s="318"/>
      <c r="F1076" s="41"/>
      <c r="G1076" s="317"/>
      <c r="H1076" s="41"/>
      <c r="I1076" s="319"/>
      <c r="J1076" s="41"/>
      <c r="K1076" s="41"/>
      <c r="L1076" s="320"/>
      <c r="M1076" s="41"/>
      <c r="N1076" s="321"/>
      <c r="O1076" s="321"/>
      <c r="P1076" s="321"/>
      <c r="Q1076" s="41"/>
      <c r="R1076" s="41"/>
      <c r="S1076" s="41"/>
      <c r="T1076" s="41"/>
      <c r="U1076" s="41"/>
      <c r="V1076" s="41"/>
      <c r="W1076" s="41"/>
      <c r="X1076" s="41"/>
      <c r="Y1076" s="41"/>
      <c r="Z1076" s="41"/>
      <c r="AA1076" s="41"/>
      <c r="AB1076" s="41"/>
      <c r="AC1076" s="41"/>
      <c r="AD1076" s="41"/>
      <c r="AE1076" s="41"/>
      <c r="AF1076" s="41"/>
      <c r="AG1076" s="41"/>
      <c r="AH1076" s="41"/>
      <c r="AI1076" s="41"/>
      <c r="AJ1076" s="41"/>
    </row>
    <row r="1077">
      <c r="A1077" s="85"/>
      <c r="B1077" s="85"/>
      <c r="C1077" s="316"/>
      <c r="D1077" s="317"/>
      <c r="E1077" s="318"/>
      <c r="F1077" s="41"/>
      <c r="G1077" s="317"/>
      <c r="H1077" s="41"/>
      <c r="I1077" s="319"/>
      <c r="J1077" s="41"/>
      <c r="K1077" s="41"/>
      <c r="L1077" s="320"/>
      <c r="M1077" s="41"/>
      <c r="N1077" s="321"/>
      <c r="O1077" s="321"/>
      <c r="P1077" s="321"/>
      <c r="Q1077" s="41"/>
      <c r="R1077" s="41"/>
      <c r="S1077" s="41"/>
      <c r="T1077" s="41"/>
      <c r="U1077" s="41"/>
      <c r="V1077" s="41"/>
      <c r="W1077" s="41"/>
      <c r="X1077" s="41"/>
      <c r="Y1077" s="41"/>
      <c r="Z1077" s="41"/>
      <c r="AA1077" s="41"/>
      <c r="AB1077" s="41"/>
      <c r="AC1077" s="41"/>
      <c r="AD1077" s="41"/>
      <c r="AE1077" s="41"/>
      <c r="AF1077" s="41"/>
      <c r="AG1077" s="41"/>
      <c r="AH1077" s="41"/>
      <c r="AI1077" s="41"/>
      <c r="AJ1077" s="41"/>
    </row>
    <row r="1078">
      <c r="A1078" s="85"/>
      <c r="B1078" s="85"/>
      <c r="C1078" s="316"/>
      <c r="D1078" s="317"/>
      <c r="E1078" s="318"/>
      <c r="F1078" s="41"/>
      <c r="G1078" s="317"/>
      <c r="H1078" s="41"/>
      <c r="I1078" s="319"/>
      <c r="J1078" s="41"/>
      <c r="K1078" s="41"/>
      <c r="L1078" s="320"/>
      <c r="M1078" s="41"/>
      <c r="N1078" s="321"/>
      <c r="O1078" s="321"/>
      <c r="P1078" s="321"/>
      <c r="Q1078" s="41"/>
      <c r="R1078" s="41"/>
      <c r="S1078" s="41"/>
      <c r="T1078" s="41"/>
      <c r="U1078" s="41"/>
      <c r="V1078" s="41"/>
      <c r="W1078" s="41"/>
      <c r="X1078" s="41"/>
      <c r="Y1078" s="41"/>
      <c r="Z1078" s="41"/>
      <c r="AA1078" s="41"/>
      <c r="AB1078" s="41"/>
      <c r="AC1078" s="41"/>
      <c r="AD1078" s="41"/>
      <c r="AE1078" s="41"/>
      <c r="AF1078" s="41"/>
      <c r="AG1078" s="41"/>
      <c r="AH1078" s="41"/>
      <c r="AI1078" s="41"/>
      <c r="AJ1078" s="41"/>
    </row>
    <row r="1079">
      <c r="A1079" s="85"/>
      <c r="B1079" s="85"/>
      <c r="C1079" s="316"/>
      <c r="D1079" s="317"/>
      <c r="E1079" s="318"/>
      <c r="F1079" s="41"/>
      <c r="G1079" s="317"/>
      <c r="H1079" s="41"/>
      <c r="I1079" s="319"/>
      <c r="J1079" s="41"/>
      <c r="K1079" s="41"/>
      <c r="L1079" s="320"/>
      <c r="M1079" s="41"/>
      <c r="N1079" s="321"/>
      <c r="O1079" s="321"/>
      <c r="P1079" s="321"/>
      <c r="Q1079" s="41"/>
      <c r="R1079" s="41"/>
      <c r="S1079" s="41"/>
      <c r="T1079" s="41"/>
      <c r="U1079" s="41"/>
      <c r="V1079" s="41"/>
      <c r="W1079" s="41"/>
      <c r="X1079" s="41"/>
      <c r="Y1079" s="41"/>
      <c r="Z1079" s="41"/>
      <c r="AA1079" s="41"/>
      <c r="AB1079" s="41"/>
      <c r="AC1079" s="41"/>
      <c r="AD1079" s="41"/>
      <c r="AE1079" s="41"/>
      <c r="AF1079" s="41"/>
      <c r="AG1079" s="41"/>
      <c r="AH1079" s="41"/>
      <c r="AI1079" s="41"/>
      <c r="AJ1079" s="41"/>
    </row>
    <row r="1080">
      <c r="A1080" s="85"/>
      <c r="B1080" s="85"/>
      <c r="C1080" s="316"/>
      <c r="D1080" s="317"/>
      <c r="E1080" s="318"/>
      <c r="F1080" s="41"/>
      <c r="G1080" s="317"/>
      <c r="H1080" s="41"/>
      <c r="I1080" s="319"/>
      <c r="J1080" s="41"/>
      <c r="K1080" s="41"/>
      <c r="L1080" s="320"/>
      <c r="M1080" s="41"/>
      <c r="N1080" s="321"/>
      <c r="O1080" s="321"/>
      <c r="P1080" s="321"/>
      <c r="Q1080" s="41"/>
      <c r="R1080" s="41"/>
      <c r="S1080" s="41"/>
      <c r="T1080" s="41"/>
      <c r="U1080" s="41"/>
      <c r="V1080" s="41"/>
      <c r="W1080" s="41"/>
      <c r="X1080" s="41"/>
      <c r="Y1080" s="41"/>
      <c r="Z1080" s="41"/>
      <c r="AA1080" s="41"/>
      <c r="AB1080" s="41"/>
      <c r="AC1080" s="41"/>
      <c r="AD1080" s="41"/>
      <c r="AE1080" s="41"/>
      <c r="AF1080" s="41"/>
      <c r="AG1080" s="41"/>
      <c r="AH1080" s="41"/>
      <c r="AI1080" s="41"/>
      <c r="AJ1080" s="41"/>
    </row>
    <row r="1081">
      <c r="A1081" s="85"/>
      <c r="B1081" s="85"/>
      <c r="C1081" s="316"/>
      <c r="D1081" s="317"/>
      <c r="E1081" s="318"/>
      <c r="F1081" s="41"/>
      <c r="G1081" s="317"/>
      <c r="H1081" s="41"/>
      <c r="I1081" s="319"/>
      <c r="J1081" s="41"/>
      <c r="K1081" s="41"/>
      <c r="L1081" s="320"/>
      <c r="M1081" s="41"/>
      <c r="N1081" s="321"/>
      <c r="O1081" s="321"/>
      <c r="P1081" s="321"/>
      <c r="Q1081" s="41"/>
      <c r="R1081" s="41"/>
      <c r="S1081" s="41"/>
      <c r="T1081" s="41"/>
      <c r="U1081" s="41"/>
      <c r="V1081" s="41"/>
      <c r="W1081" s="41"/>
      <c r="X1081" s="41"/>
      <c r="Y1081" s="41"/>
      <c r="Z1081" s="41"/>
      <c r="AA1081" s="41"/>
      <c r="AB1081" s="41"/>
      <c r="AC1081" s="41"/>
      <c r="AD1081" s="41"/>
      <c r="AE1081" s="41"/>
      <c r="AF1081" s="41"/>
      <c r="AG1081" s="41"/>
      <c r="AH1081" s="41"/>
      <c r="AI1081" s="41"/>
      <c r="AJ1081" s="41"/>
    </row>
    <row r="1082">
      <c r="A1082" s="85"/>
      <c r="B1082" s="85"/>
      <c r="C1082" s="316"/>
      <c r="D1082" s="317"/>
      <c r="E1082" s="318"/>
      <c r="F1082" s="41"/>
      <c r="G1082" s="317"/>
      <c r="H1082" s="41"/>
      <c r="I1082" s="319"/>
      <c r="J1082" s="41"/>
      <c r="K1082" s="41"/>
      <c r="L1082" s="320"/>
      <c r="M1082" s="41"/>
      <c r="N1082" s="321"/>
      <c r="O1082" s="321"/>
      <c r="P1082" s="321"/>
      <c r="Q1082" s="41"/>
      <c r="R1082" s="41"/>
      <c r="S1082" s="41"/>
      <c r="T1082" s="41"/>
      <c r="U1082" s="41"/>
      <c r="V1082" s="41"/>
      <c r="W1082" s="41"/>
      <c r="X1082" s="41"/>
      <c r="Y1082" s="41"/>
      <c r="Z1082" s="41"/>
      <c r="AA1082" s="41"/>
      <c r="AB1082" s="41"/>
      <c r="AC1082" s="41"/>
      <c r="AD1082" s="41"/>
      <c r="AE1082" s="41"/>
      <c r="AF1082" s="41"/>
      <c r="AG1082" s="41"/>
      <c r="AH1082" s="41"/>
      <c r="AI1082" s="41"/>
      <c r="AJ1082" s="41"/>
    </row>
    <row r="1083">
      <c r="A1083" s="85"/>
      <c r="B1083" s="85"/>
      <c r="C1083" s="316"/>
      <c r="D1083" s="317"/>
      <c r="E1083" s="318"/>
      <c r="F1083" s="41"/>
      <c r="G1083" s="317"/>
      <c r="H1083" s="41"/>
      <c r="I1083" s="319"/>
      <c r="J1083" s="41"/>
      <c r="K1083" s="41"/>
      <c r="L1083" s="320"/>
      <c r="M1083" s="41"/>
      <c r="N1083" s="321"/>
      <c r="O1083" s="321"/>
      <c r="P1083" s="321"/>
      <c r="Q1083" s="41"/>
      <c r="R1083" s="41"/>
      <c r="S1083" s="41"/>
      <c r="T1083" s="41"/>
      <c r="U1083" s="41"/>
      <c r="V1083" s="41"/>
      <c r="W1083" s="41"/>
      <c r="X1083" s="41"/>
      <c r="Y1083" s="41"/>
      <c r="Z1083" s="41"/>
      <c r="AA1083" s="41"/>
      <c r="AB1083" s="41"/>
      <c r="AC1083" s="41"/>
      <c r="AD1083" s="41"/>
      <c r="AE1083" s="41"/>
      <c r="AF1083" s="41"/>
      <c r="AG1083" s="41"/>
      <c r="AH1083" s="41"/>
      <c r="AI1083" s="41"/>
      <c r="AJ1083" s="41"/>
    </row>
    <row r="1084">
      <c r="A1084" s="85"/>
      <c r="B1084" s="85"/>
      <c r="C1084" s="316"/>
      <c r="D1084" s="317"/>
      <c r="E1084" s="318"/>
      <c r="F1084" s="41"/>
      <c r="G1084" s="317"/>
      <c r="H1084" s="41"/>
      <c r="I1084" s="319"/>
      <c r="J1084" s="41"/>
      <c r="K1084" s="41"/>
      <c r="L1084" s="320"/>
      <c r="M1084" s="41"/>
      <c r="N1084" s="321"/>
      <c r="O1084" s="321"/>
      <c r="P1084" s="321"/>
      <c r="Q1084" s="41"/>
      <c r="R1084" s="41"/>
      <c r="S1084" s="41"/>
      <c r="T1084" s="41"/>
      <c r="U1084" s="41"/>
      <c r="V1084" s="41"/>
      <c r="W1084" s="41"/>
      <c r="X1084" s="41"/>
      <c r="Y1084" s="41"/>
      <c r="Z1084" s="41"/>
      <c r="AA1084" s="41"/>
      <c r="AB1084" s="41"/>
      <c r="AC1084" s="41"/>
      <c r="AD1084" s="41"/>
      <c r="AE1084" s="41"/>
      <c r="AF1084" s="41"/>
      <c r="AG1084" s="41"/>
      <c r="AH1084" s="41"/>
      <c r="AI1084" s="41"/>
      <c r="AJ1084" s="41"/>
    </row>
    <row r="1085">
      <c r="A1085" s="85"/>
      <c r="B1085" s="85"/>
      <c r="C1085" s="316"/>
      <c r="D1085" s="317"/>
      <c r="E1085" s="318"/>
      <c r="F1085" s="41"/>
      <c r="G1085" s="317"/>
      <c r="H1085" s="41"/>
      <c r="I1085" s="319"/>
      <c r="J1085" s="41"/>
      <c r="K1085" s="41"/>
      <c r="L1085" s="320"/>
      <c r="M1085" s="41"/>
      <c r="N1085" s="321"/>
      <c r="O1085" s="321"/>
      <c r="P1085" s="321"/>
      <c r="Q1085" s="41"/>
      <c r="R1085" s="41"/>
      <c r="S1085" s="41"/>
      <c r="T1085" s="41"/>
      <c r="U1085" s="41"/>
      <c r="V1085" s="41"/>
      <c r="W1085" s="41"/>
      <c r="X1085" s="41"/>
      <c r="Y1085" s="41"/>
      <c r="Z1085" s="41"/>
      <c r="AA1085" s="41"/>
      <c r="AB1085" s="41"/>
      <c r="AC1085" s="41"/>
      <c r="AD1085" s="41"/>
      <c r="AE1085" s="41"/>
      <c r="AF1085" s="41"/>
      <c r="AG1085" s="41"/>
      <c r="AH1085" s="41"/>
      <c r="AI1085" s="41"/>
      <c r="AJ1085" s="41"/>
    </row>
    <row r="1086">
      <c r="A1086" s="85"/>
      <c r="B1086" s="85"/>
      <c r="C1086" s="316"/>
      <c r="D1086" s="317"/>
      <c r="E1086" s="318"/>
      <c r="F1086" s="41"/>
      <c r="G1086" s="317"/>
      <c r="H1086" s="41"/>
      <c r="I1086" s="319"/>
      <c r="J1086" s="41"/>
      <c r="K1086" s="41"/>
      <c r="L1086" s="320"/>
      <c r="M1086" s="41"/>
      <c r="N1086" s="321"/>
      <c r="O1086" s="321"/>
      <c r="P1086" s="321"/>
      <c r="Q1086" s="41"/>
      <c r="R1086" s="41"/>
      <c r="S1086" s="41"/>
      <c r="T1086" s="41"/>
      <c r="U1086" s="41"/>
      <c r="V1086" s="41"/>
      <c r="W1086" s="41"/>
      <c r="X1086" s="41"/>
      <c r="Y1086" s="41"/>
      <c r="Z1086" s="41"/>
      <c r="AA1086" s="41"/>
      <c r="AB1086" s="41"/>
      <c r="AC1086" s="41"/>
      <c r="AD1086" s="41"/>
      <c r="AE1086" s="41"/>
      <c r="AF1086" s="41"/>
      <c r="AG1086" s="41"/>
      <c r="AH1086" s="41"/>
      <c r="AI1086" s="41"/>
      <c r="AJ1086" s="41"/>
    </row>
    <row r="1087">
      <c r="A1087" s="85"/>
      <c r="B1087" s="85"/>
      <c r="C1087" s="316"/>
      <c r="D1087" s="317"/>
      <c r="E1087" s="318"/>
      <c r="F1087" s="41"/>
      <c r="G1087" s="317"/>
      <c r="H1087" s="41"/>
      <c r="I1087" s="319"/>
      <c r="J1087" s="41"/>
      <c r="K1087" s="41"/>
      <c r="L1087" s="320"/>
      <c r="M1087" s="41"/>
      <c r="N1087" s="321"/>
      <c r="O1087" s="321"/>
      <c r="P1087" s="321"/>
      <c r="Q1087" s="41"/>
      <c r="R1087" s="41"/>
      <c r="S1087" s="41"/>
      <c r="T1087" s="41"/>
      <c r="U1087" s="41"/>
      <c r="V1087" s="41"/>
      <c r="W1087" s="41"/>
      <c r="X1087" s="41"/>
      <c r="Y1087" s="41"/>
      <c r="Z1087" s="41"/>
      <c r="AA1087" s="41"/>
      <c r="AB1087" s="41"/>
      <c r="AC1087" s="41"/>
      <c r="AD1087" s="41"/>
      <c r="AE1087" s="41"/>
      <c r="AF1087" s="41"/>
      <c r="AG1087" s="41"/>
      <c r="AH1087" s="41"/>
      <c r="AI1087" s="41"/>
      <c r="AJ1087" s="41"/>
    </row>
    <row r="1088">
      <c r="A1088" s="85"/>
      <c r="B1088" s="85"/>
      <c r="C1088" s="316"/>
      <c r="D1088" s="317"/>
      <c r="E1088" s="318"/>
      <c r="F1088" s="41"/>
      <c r="G1088" s="317"/>
      <c r="H1088" s="41"/>
      <c r="I1088" s="319"/>
      <c r="J1088" s="41"/>
      <c r="K1088" s="41"/>
      <c r="L1088" s="320"/>
      <c r="M1088" s="41"/>
      <c r="N1088" s="321"/>
      <c r="O1088" s="321"/>
      <c r="P1088" s="321"/>
      <c r="Q1088" s="41"/>
      <c r="R1088" s="41"/>
      <c r="S1088" s="41"/>
      <c r="T1088" s="41"/>
      <c r="U1088" s="41"/>
      <c r="V1088" s="41"/>
      <c r="W1088" s="41"/>
      <c r="X1088" s="41"/>
      <c r="Y1088" s="41"/>
      <c r="Z1088" s="41"/>
      <c r="AA1088" s="41"/>
      <c r="AB1088" s="41"/>
      <c r="AC1088" s="41"/>
      <c r="AD1088" s="41"/>
      <c r="AE1088" s="41"/>
      <c r="AF1088" s="41"/>
      <c r="AG1088" s="41"/>
      <c r="AH1088" s="41"/>
      <c r="AI1088" s="41"/>
      <c r="AJ1088" s="41"/>
    </row>
    <row r="1089">
      <c r="A1089" s="85"/>
      <c r="B1089" s="85"/>
      <c r="C1089" s="316"/>
      <c r="D1089" s="317"/>
      <c r="E1089" s="318"/>
      <c r="F1089" s="41"/>
      <c r="G1089" s="317"/>
      <c r="H1089" s="41"/>
      <c r="I1089" s="319"/>
      <c r="J1089" s="41"/>
      <c r="K1089" s="41"/>
      <c r="L1089" s="320"/>
      <c r="M1089" s="41"/>
      <c r="N1089" s="321"/>
      <c r="O1089" s="321"/>
      <c r="P1089" s="321"/>
      <c r="Q1089" s="41"/>
      <c r="R1089" s="41"/>
      <c r="S1089" s="41"/>
      <c r="T1089" s="41"/>
      <c r="U1089" s="41"/>
      <c r="V1089" s="41"/>
      <c r="W1089" s="41"/>
      <c r="X1089" s="41"/>
      <c r="Y1089" s="41"/>
      <c r="Z1089" s="41"/>
      <c r="AA1089" s="41"/>
      <c r="AB1089" s="41"/>
      <c r="AC1089" s="41"/>
      <c r="AD1089" s="41"/>
      <c r="AE1089" s="41"/>
      <c r="AF1089" s="41"/>
      <c r="AG1089" s="41"/>
      <c r="AH1089" s="41"/>
      <c r="AI1089" s="41"/>
      <c r="AJ1089" s="41"/>
    </row>
    <row r="1090">
      <c r="A1090" s="85"/>
      <c r="B1090" s="85"/>
      <c r="C1090" s="316"/>
      <c r="D1090" s="317"/>
      <c r="E1090" s="318"/>
      <c r="F1090" s="41"/>
      <c r="G1090" s="317"/>
      <c r="H1090" s="41"/>
      <c r="I1090" s="319"/>
      <c r="J1090" s="41"/>
      <c r="K1090" s="41"/>
      <c r="L1090" s="320"/>
      <c r="M1090" s="41"/>
      <c r="N1090" s="321"/>
      <c r="O1090" s="321"/>
      <c r="P1090" s="321"/>
      <c r="Q1090" s="41"/>
      <c r="R1090" s="41"/>
      <c r="S1090" s="41"/>
      <c r="T1090" s="41"/>
      <c r="U1090" s="41"/>
      <c r="V1090" s="41"/>
      <c r="W1090" s="41"/>
      <c r="X1090" s="41"/>
      <c r="Y1090" s="41"/>
      <c r="Z1090" s="41"/>
      <c r="AA1090" s="41"/>
      <c r="AB1090" s="41"/>
      <c r="AC1090" s="41"/>
      <c r="AD1090" s="41"/>
      <c r="AE1090" s="41"/>
      <c r="AF1090" s="41"/>
      <c r="AG1090" s="41"/>
      <c r="AH1090" s="41"/>
      <c r="AI1090" s="41"/>
      <c r="AJ1090" s="41"/>
    </row>
    <row r="1091">
      <c r="A1091" s="85"/>
      <c r="B1091" s="85"/>
      <c r="C1091" s="316"/>
      <c r="D1091" s="317"/>
      <c r="E1091" s="318"/>
      <c r="F1091" s="41"/>
      <c r="G1091" s="317"/>
      <c r="H1091" s="41"/>
      <c r="I1091" s="319"/>
      <c r="J1091" s="41"/>
      <c r="K1091" s="41"/>
      <c r="L1091" s="320"/>
      <c r="M1091" s="41"/>
      <c r="N1091" s="321"/>
      <c r="O1091" s="321"/>
      <c r="P1091" s="321"/>
      <c r="Q1091" s="41"/>
      <c r="R1091" s="41"/>
      <c r="S1091" s="41"/>
      <c r="T1091" s="41"/>
      <c r="U1091" s="41"/>
      <c r="V1091" s="41"/>
      <c r="W1091" s="41"/>
      <c r="X1091" s="41"/>
      <c r="Y1091" s="41"/>
      <c r="Z1091" s="41"/>
      <c r="AA1091" s="41"/>
      <c r="AB1091" s="41"/>
      <c r="AC1091" s="41"/>
      <c r="AD1091" s="41"/>
      <c r="AE1091" s="41"/>
      <c r="AF1091" s="41"/>
      <c r="AG1091" s="41"/>
      <c r="AH1091" s="41"/>
      <c r="AI1091" s="41"/>
      <c r="AJ1091" s="41"/>
    </row>
    <row r="1092">
      <c r="A1092" s="85"/>
      <c r="B1092" s="85"/>
      <c r="C1092" s="316"/>
      <c r="D1092" s="317"/>
      <c r="E1092" s="318"/>
      <c r="F1092" s="41"/>
      <c r="G1092" s="317"/>
      <c r="H1092" s="41"/>
      <c r="I1092" s="319"/>
      <c r="J1092" s="41"/>
      <c r="K1092" s="41"/>
      <c r="L1092" s="320"/>
      <c r="M1092" s="41"/>
      <c r="N1092" s="321"/>
      <c r="O1092" s="321"/>
      <c r="P1092" s="321"/>
      <c r="Q1092" s="41"/>
      <c r="R1092" s="41"/>
      <c r="S1092" s="41"/>
      <c r="T1092" s="41"/>
      <c r="U1092" s="41"/>
      <c r="V1092" s="41"/>
      <c r="W1092" s="41"/>
      <c r="X1092" s="41"/>
      <c r="Y1092" s="41"/>
      <c r="Z1092" s="41"/>
      <c r="AA1092" s="41"/>
      <c r="AB1092" s="41"/>
      <c r="AC1092" s="41"/>
      <c r="AD1092" s="41"/>
      <c r="AE1092" s="41"/>
      <c r="AF1092" s="41"/>
      <c r="AG1092" s="41"/>
      <c r="AH1092" s="41"/>
      <c r="AI1092" s="41"/>
      <c r="AJ1092" s="41"/>
    </row>
    <row r="1093">
      <c r="A1093" s="85"/>
      <c r="B1093" s="85"/>
      <c r="C1093" s="316"/>
      <c r="D1093" s="317"/>
      <c r="E1093" s="318"/>
      <c r="F1093" s="41"/>
      <c r="G1093" s="317"/>
      <c r="H1093" s="41"/>
      <c r="I1093" s="319"/>
      <c r="J1093" s="41"/>
      <c r="K1093" s="41"/>
      <c r="L1093" s="320"/>
      <c r="M1093" s="41"/>
      <c r="N1093" s="321"/>
      <c r="O1093" s="321"/>
      <c r="P1093" s="321"/>
      <c r="Q1093" s="41"/>
      <c r="R1093" s="41"/>
      <c r="S1093" s="41"/>
      <c r="T1093" s="41"/>
      <c r="U1093" s="41"/>
      <c r="V1093" s="41"/>
      <c r="W1093" s="41"/>
      <c r="X1093" s="41"/>
      <c r="Y1093" s="41"/>
      <c r="Z1093" s="41"/>
      <c r="AA1093" s="41"/>
      <c r="AB1093" s="41"/>
      <c r="AC1093" s="41"/>
      <c r="AD1093" s="41"/>
      <c r="AE1093" s="41"/>
      <c r="AF1093" s="41"/>
      <c r="AG1093" s="41"/>
      <c r="AH1093" s="41"/>
      <c r="AI1093" s="41"/>
      <c r="AJ1093" s="41"/>
    </row>
    <row r="1094">
      <c r="A1094" s="85"/>
      <c r="B1094" s="85"/>
      <c r="C1094" s="316"/>
      <c r="D1094" s="317"/>
      <c r="E1094" s="318"/>
      <c r="F1094" s="41"/>
      <c r="G1094" s="317"/>
      <c r="H1094" s="41"/>
      <c r="I1094" s="319"/>
      <c r="J1094" s="41"/>
      <c r="K1094" s="41"/>
      <c r="L1094" s="320"/>
      <c r="M1094" s="41"/>
      <c r="N1094" s="321"/>
      <c r="O1094" s="321"/>
      <c r="P1094" s="321"/>
      <c r="Q1094" s="41"/>
      <c r="R1094" s="41"/>
      <c r="S1094" s="41"/>
      <c r="T1094" s="41"/>
      <c r="U1094" s="41"/>
      <c r="V1094" s="41"/>
      <c r="W1094" s="41"/>
      <c r="X1094" s="41"/>
      <c r="Y1094" s="41"/>
      <c r="Z1094" s="41"/>
      <c r="AA1094" s="41"/>
      <c r="AB1094" s="41"/>
      <c r="AC1094" s="41"/>
      <c r="AD1094" s="41"/>
      <c r="AE1094" s="41"/>
      <c r="AF1094" s="41"/>
      <c r="AG1094" s="41"/>
      <c r="AH1094" s="41"/>
      <c r="AI1094" s="41"/>
      <c r="AJ1094" s="41"/>
    </row>
    <row r="1095">
      <c r="A1095" s="85"/>
      <c r="B1095" s="85"/>
      <c r="C1095" s="316"/>
      <c r="D1095" s="317"/>
      <c r="E1095" s="318"/>
      <c r="F1095" s="41"/>
      <c r="G1095" s="317"/>
      <c r="H1095" s="41"/>
      <c r="I1095" s="319"/>
      <c r="J1095" s="41"/>
      <c r="K1095" s="41"/>
      <c r="L1095" s="320"/>
      <c r="M1095" s="41"/>
      <c r="N1095" s="321"/>
      <c r="O1095" s="321"/>
      <c r="P1095" s="321"/>
      <c r="Q1095" s="41"/>
      <c r="R1095" s="41"/>
      <c r="S1095" s="41"/>
      <c r="T1095" s="41"/>
      <c r="U1095" s="41"/>
      <c r="V1095" s="41"/>
      <c r="W1095" s="41"/>
      <c r="X1095" s="41"/>
      <c r="Y1095" s="41"/>
      <c r="Z1095" s="41"/>
      <c r="AA1095" s="41"/>
      <c r="AB1095" s="41"/>
      <c r="AC1095" s="41"/>
      <c r="AD1095" s="41"/>
      <c r="AE1095" s="41"/>
      <c r="AF1095" s="41"/>
      <c r="AG1095" s="41"/>
      <c r="AH1095" s="41"/>
      <c r="AI1095" s="41"/>
      <c r="AJ1095" s="41"/>
    </row>
    <row r="1096">
      <c r="A1096" s="85"/>
      <c r="B1096" s="85"/>
      <c r="C1096" s="316"/>
      <c r="D1096" s="317"/>
      <c r="E1096" s="318"/>
      <c r="F1096" s="41"/>
      <c r="G1096" s="317"/>
      <c r="H1096" s="41"/>
      <c r="I1096" s="319"/>
      <c r="J1096" s="41"/>
      <c r="K1096" s="41"/>
      <c r="L1096" s="320"/>
      <c r="M1096" s="41"/>
      <c r="N1096" s="321"/>
      <c r="O1096" s="321"/>
      <c r="P1096" s="321"/>
      <c r="Q1096" s="41"/>
      <c r="R1096" s="41"/>
      <c r="S1096" s="41"/>
      <c r="T1096" s="41"/>
      <c r="U1096" s="41"/>
      <c r="V1096" s="41"/>
      <c r="W1096" s="41"/>
      <c r="X1096" s="41"/>
      <c r="Y1096" s="41"/>
      <c r="Z1096" s="41"/>
      <c r="AA1096" s="41"/>
      <c r="AB1096" s="41"/>
      <c r="AC1096" s="41"/>
      <c r="AD1096" s="41"/>
      <c r="AE1096" s="41"/>
      <c r="AF1096" s="41"/>
      <c r="AG1096" s="41"/>
      <c r="AH1096" s="41"/>
      <c r="AI1096" s="41"/>
      <c r="AJ1096" s="41"/>
    </row>
    <row r="1097">
      <c r="A1097" s="85"/>
      <c r="B1097" s="85"/>
      <c r="C1097" s="316"/>
      <c r="D1097" s="317"/>
      <c r="E1097" s="318"/>
      <c r="F1097" s="41"/>
      <c r="G1097" s="317"/>
      <c r="H1097" s="41"/>
      <c r="I1097" s="319"/>
      <c r="J1097" s="41"/>
      <c r="K1097" s="41"/>
      <c r="L1097" s="320"/>
      <c r="M1097" s="41"/>
      <c r="N1097" s="321"/>
      <c r="O1097" s="321"/>
      <c r="P1097" s="321"/>
      <c r="Q1097" s="41"/>
      <c r="R1097" s="41"/>
      <c r="S1097" s="41"/>
      <c r="T1097" s="41"/>
      <c r="U1097" s="41"/>
      <c r="V1097" s="41"/>
      <c r="W1097" s="41"/>
      <c r="X1097" s="41"/>
      <c r="Y1097" s="41"/>
      <c r="Z1097" s="41"/>
      <c r="AA1097" s="41"/>
      <c r="AB1097" s="41"/>
      <c r="AC1097" s="41"/>
      <c r="AD1097" s="41"/>
      <c r="AE1097" s="41"/>
      <c r="AF1097" s="41"/>
      <c r="AG1097" s="41"/>
      <c r="AH1097" s="41"/>
      <c r="AI1097" s="41"/>
      <c r="AJ1097" s="41"/>
    </row>
    <row r="1098">
      <c r="A1098" s="85"/>
      <c r="B1098" s="85"/>
      <c r="C1098" s="316"/>
      <c r="D1098" s="317"/>
      <c r="E1098" s="318"/>
      <c r="F1098" s="41"/>
      <c r="G1098" s="317"/>
      <c r="H1098" s="41"/>
      <c r="I1098" s="319"/>
      <c r="J1098" s="41"/>
      <c r="K1098" s="41"/>
      <c r="L1098" s="320"/>
      <c r="M1098" s="41"/>
      <c r="N1098" s="321"/>
      <c r="O1098" s="321"/>
      <c r="P1098" s="321"/>
      <c r="Q1098" s="41"/>
      <c r="R1098" s="41"/>
      <c r="S1098" s="41"/>
      <c r="T1098" s="41"/>
      <c r="U1098" s="41"/>
      <c r="V1098" s="41"/>
      <c r="W1098" s="41"/>
      <c r="X1098" s="41"/>
      <c r="Y1098" s="41"/>
      <c r="Z1098" s="41"/>
      <c r="AA1098" s="41"/>
      <c r="AB1098" s="41"/>
      <c r="AC1098" s="41"/>
      <c r="AD1098" s="41"/>
      <c r="AE1098" s="41"/>
      <c r="AF1098" s="41"/>
      <c r="AG1098" s="41"/>
      <c r="AH1098" s="41"/>
      <c r="AI1098" s="41"/>
      <c r="AJ1098" s="41"/>
    </row>
    <row r="1099">
      <c r="A1099" s="85"/>
      <c r="B1099" s="85"/>
      <c r="C1099" s="316"/>
      <c r="D1099" s="317"/>
      <c r="E1099" s="318"/>
      <c r="F1099" s="41"/>
      <c r="G1099" s="317"/>
      <c r="H1099" s="41"/>
      <c r="I1099" s="319"/>
      <c r="J1099" s="41"/>
      <c r="K1099" s="41"/>
      <c r="L1099" s="320"/>
      <c r="M1099" s="41"/>
      <c r="N1099" s="321"/>
      <c r="O1099" s="321"/>
      <c r="P1099" s="321"/>
      <c r="Q1099" s="41"/>
      <c r="R1099" s="41"/>
      <c r="S1099" s="41"/>
      <c r="T1099" s="41"/>
      <c r="U1099" s="41"/>
      <c r="V1099" s="41"/>
      <c r="W1099" s="41"/>
      <c r="X1099" s="41"/>
      <c r="Y1099" s="41"/>
      <c r="Z1099" s="41"/>
      <c r="AA1099" s="41"/>
      <c r="AB1099" s="41"/>
      <c r="AC1099" s="41"/>
      <c r="AD1099" s="41"/>
      <c r="AE1099" s="41"/>
      <c r="AF1099" s="41"/>
      <c r="AG1099" s="41"/>
      <c r="AH1099" s="41"/>
      <c r="AI1099" s="41"/>
      <c r="AJ1099" s="41"/>
    </row>
    <row r="1100">
      <c r="A1100" s="85"/>
      <c r="B1100" s="85"/>
      <c r="C1100" s="316"/>
      <c r="D1100" s="317"/>
      <c r="E1100" s="318"/>
      <c r="F1100" s="41"/>
      <c r="G1100" s="317"/>
      <c r="H1100" s="41"/>
      <c r="I1100" s="319"/>
      <c r="J1100" s="41"/>
      <c r="K1100" s="41"/>
      <c r="L1100" s="320"/>
      <c r="M1100" s="41"/>
      <c r="N1100" s="321"/>
      <c r="O1100" s="321"/>
      <c r="P1100" s="321"/>
      <c r="Q1100" s="41"/>
      <c r="R1100" s="41"/>
      <c r="S1100" s="41"/>
      <c r="T1100" s="41"/>
      <c r="U1100" s="41"/>
      <c r="V1100" s="41"/>
      <c r="W1100" s="41"/>
      <c r="X1100" s="41"/>
      <c r="Y1100" s="41"/>
      <c r="Z1100" s="41"/>
      <c r="AA1100" s="41"/>
      <c r="AB1100" s="41"/>
      <c r="AC1100" s="41"/>
      <c r="AD1100" s="41"/>
      <c r="AE1100" s="41"/>
      <c r="AF1100" s="41"/>
      <c r="AG1100" s="41"/>
      <c r="AH1100" s="41"/>
      <c r="AI1100" s="41"/>
      <c r="AJ1100" s="41"/>
    </row>
    <row r="1101">
      <c r="A1101" s="85"/>
      <c r="B1101" s="85"/>
      <c r="C1101" s="316"/>
      <c r="D1101" s="317"/>
      <c r="E1101" s="318"/>
      <c r="F1101" s="41"/>
      <c r="G1101" s="317"/>
      <c r="H1101" s="41"/>
      <c r="I1101" s="319"/>
      <c r="J1101" s="41"/>
      <c r="K1101" s="41"/>
      <c r="L1101" s="320"/>
      <c r="M1101" s="41"/>
      <c r="N1101" s="321"/>
      <c r="O1101" s="321"/>
      <c r="P1101" s="321"/>
      <c r="Q1101" s="41"/>
      <c r="R1101" s="41"/>
      <c r="S1101" s="41"/>
      <c r="T1101" s="41"/>
      <c r="U1101" s="41"/>
      <c r="V1101" s="41"/>
      <c r="W1101" s="41"/>
      <c r="X1101" s="41"/>
      <c r="Y1101" s="41"/>
      <c r="Z1101" s="41"/>
      <c r="AA1101" s="41"/>
      <c r="AB1101" s="41"/>
      <c r="AC1101" s="41"/>
      <c r="AD1101" s="41"/>
      <c r="AE1101" s="41"/>
      <c r="AF1101" s="41"/>
      <c r="AG1101" s="41"/>
      <c r="AH1101" s="41"/>
      <c r="AI1101" s="41"/>
      <c r="AJ1101" s="41"/>
    </row>
    <row r="1102">
      <c r="A1102" s="85"/>
      <c r="B1102" s="85"/>
      <c r="C1102" s="316"/>
      <c r="D1102" s="317"/>
      <c r="E1102" s="318"/>
      <c r="F1102" s="41"/>
      <c r="G1102" s="317"/>
      <c r="H1102" s="41"/>
      <c r="I1102" s="319"/>
      <c r="J1102" s="41"/>
      <c r="K1102" s="41"/>
      <c r="L1102" s="320"/>
      <c r="M1102" s="41"/>
      <c r="N1102" s="321"/>
      <c r="O1102" s="321"/>
      <c r="P1102" s="321"/>
      <c r="Q1102" s="41"/>
      <c r="R1102" s="41"/>
      <c r="S1102" s="41"/>
      <c r="T1102" s="41"/>
      <c r="U1102" s="41"/>
      <c r="V1102" s="41"/>
      <c r="W1102" s="41"/>
      <c r="X1102" s="41"/>
      <c r="Y1102" s="41"/>
      <c r="Z1102" s="41"/>
      <c r="AA1102" s="41"/>
      <c r="AB1102" s="41"/>
      <c r="AC1102" s="41"/>
      <c r="AD1102" s="41"/>
      <c r="AE1102" s="41"/>
      <c r="AF1102" s="41"/>
      <c r="AG1102" s="41"/>
      <c r="AH1102" s="41"/>
      <c r="AI1102" s="41"/>
      <c r="AJ1102" s="41"/>
    </row>
    <row r="1103">
      <c r="A1103" s="85"/>
      <c r="B1103" s="85"/>
      <c r="C1103" s="316"/>
      <c r="D1103" s="317"/>
      <c r="E1103" s="318"/>
      <c r="F1103" s="41"/>
      <c r="G1103" s="317"/>
      <c r="H1103" s="41"/>
      <c r="I1103" s="319"/>
      <c r="J1103" s="41"/>
      <c r="K1103" s="41"/>
      <c r="L1103" s="320"/>
      <c r="M1103" s="41"/>
      <c r="N1103" s="321"/>
      <c r="O1103" s="321"/>
      <c r="P1103" s="321"/>
      <c r="Q1103" s="41"/>
      <c r="R1103" s="41"/>
      <c r="S1103" s="41"/>
      <c r="T1103" s="41"/>
      <c r="U1103" s="41"/>
      <c r="V1103" s="41"/>
      <c r="W1103" s="41"/>
      <c r="X1103" s="41"/>
      <c r="Y1103" s="41"/>
      <c r="Z1103" s="41"/>
      <c r="AA1103" s="41"/>
      <c r="AB1103" s="41"/>
      <c r="AC1103" s="41"/>
      <c r="AD1103" s="41"/>
      <c r="AE1103" s="41"/>
      <c r="AF1103" s="41"/>
      <c r="AG1103" s="41"/>
      <c r="AH1103" s="41"/>
      <c r="AI1103" s="41"/>
      <c r="AJ1103" s="41"/>
    </row>
    <row r="1104">
      <c r="A1104" s="85"/>
      <c r="B1104" s="85"/>
      <c r="C1104" s="316"/>
      <c r="D1104" s="317"/>
      <c r="E1104" s="318"/>
      <c r="F1104" s="41"/>
      <c r="G1104" s="317"/>
      <c r="H1104" s="41"/>
      <c r="I1104" s="319"/>
      <c r="J1104" s="41"/>
      <c r="K1104" s="41"/>
      <c r="L1104" s="320"/>
      <c r="M1104" s="41"/>
      <c r="N1104" s="321"/>
      <c r="O1104" s="321"/>
      <c r="P1104" s="321"/>
      <c r="Q1104" s="41"/>
      <c r="R1104" s="41"/>
      <c r="S1104" s="41"/>
      <c r="T1104" s="41"/>
      <c r="U1104" s="41"/>
      <c r="V1104" s="41"/>
      <c r="W1104" s="41"/>
      <c r="X1104" s="41"/>
      <c r="Y1104" s="41"/>
      <c r="Z1104" s="41"/>
      <c r="AA1104" s="41"/>
      <c r="AB1104" s="41"/>
      <c r="AC1104" s="41"/>
      <c r="AD1104" s="41"/>
      <c r="AE1104" s="41"/>
      <c r="AF1104" s="41"/>
      <c r="AG1104" s="41"/>
      <c r="AH1104" s="41"/>
      <c r="AI1104" s="41"/>
      <c r="AJ1104" s="41"/>
    </row>
    <row r="1105">
      <c r="A1105" s="85"/>
      <c r="B1105" s="85"/>
      <c r="C1105" s="316"/>
      <c r="D1105" s="317"/>
      <c r="E1105" s="318"/>
      <c r="F1105" s="41"/>
      <c r="G1105" s="317"/>
      <c r="H1105" s="41"/>
      <c r="I1105" s="319"/>
      <c r="J1105" s="41"/>
      <c r="K1105" s="41"/>
      <c r="L1105" s="320"/>
      <c r="M1105" s="41"/>
      <c r="N1105" s="321"/>
      <c r="O1105" s="321"/>
      <c r="P1105" s="321"/>
      <c r="Q1105" s="41"/>
      <c r="R1105" s="41"/>
      <c r="S1105" s="41"/>
      <c r="T1105" s="41"/>
      <c r="U1105" s="41"/>
      <c r="V1105" s="41"/>
      <c r="W1105" s="41"/>
      <c r="X1105" s="41"/>
      <c r="Y1105" s="41"/>
      <c r="Z1105" s="41"/>
      <c r="AA1105" s="41"/>
      <c r="AB1105" s="41"/>
      <c r="AC1105" s="41"/>
      <c r="AD1105" s="41"/>
      <c r="AE1105" s="41"/>
      <c r="AF1105" s="41"/>
      <c r="AG1105" s="41"/>
      <c r="AH1105" s="41"/>
      <c r="AI1105" s="41"/>
      <c r="AJ1105" s="41"/>
    </row>
    <row r="1106">
      <c r="A1106" s="85"/>
      <c r="B1106" s="85"/>
      <c r="C1106" s="316"/>
      <c r="D1106" s="317"/>
      <c r="E1106" s="318"/>
      <c r="F1106" s="41"/>
      <c r="G1106" s="317"/>
      <c r="H1106" s="41"/>
      <c r="I1106" s="319"/>
      <c r="J1106" s="41"/>
      <c r="K1106" s="41"/>
      <c r="L1106" s="320"/>
      <c r="M1106" s="41"/>
      <c r="N1106" s="321"/>
      <c r="O1106" s="321"/>
      <c r="P1106" s="321"/>
      <c r="Q1106" s="41"/>
      <c r="R1106" s="41"/>
      <c r="S1106" s="41"/>
      <c r="T1106" s="41"/>
      <c r="U1106" s="41"/>
      <c r="V1106" s="41"/>
      <c r="W1106" s="41"/>
      <c r="X1106" s="41"/>
      <c r="Y1106" s="41"/>
      <c r="Z1106" s="41"/>
      <c r="AA1106" s="41"/>
      <c r="AB1106" s="41"/>
      <c r="AC1106" s="41"/>
      <c r="AD1106" s="41"/>
      <c r="AE1106" s="41"/>
      <c r="AF1106" s="41"/>
      <c r="AG1106" s="41"/>
      <c r="AH1106" s="41"/>
      <c r="AI1106" s="41"/>
      <c r="AJ1106" s="41"/>
    </row>
    <row r="1107">
      <c r="A1107" s="85"/>
      <c r="B1107" s="85"/>
      <c r="C1107" s="316"/>
      <c r="D1107" s="317"/>
      <c r="E1107" s="318"/>
      <c r="F1107" s="41"/>
      <c r="G1107" s="317"/>
      <c r="H1107" s="41"/>
      <c r="I1107" s="319"/>
      <c r="J1107" s="41"/>
      <c r="K1107" s="41"/>
      <c r="L1107" s="320"/>
      <c r="M1107" s="41"/>
      <c r="N1107" s="321"/>
      <c r="O1107" s="321"/>
      <c r="P1107" s="321"/>
      <c r="Q1107" s="41"/>
      <c r="R1107" s="41"/>
      <c r="S1107" s="41"/>
      <c r="T1107" s="41"/>
      <c r="U1107" s="41"/>
      <c r="V1107" s="41"/>
      <c r="W1107" s="41"/>
      <c r="X1107" s="41"/>
      <c r="Y1107" s="41"/>
      <c r="Z1107" s="41"/>
      <c r="AA1107" s="41"/>
      <c r="AB1107" s="41"/>
      <c r="AC1107" s="41"/>
      <c r="AD1107" s="41"/>
      <c r="AE1107" s="41"/>
      <c r="AF1107" s="41"/>
      <c r="AG1107" s="41"/>
      <c r="AH1107" s="41"/>
      <c r="AI1107" s="41"/>
      <c r="AJ1107" s="41"/>
    </row>
    <row r="1108">
      <c r="A1108" s="85"/>
      <c r="B1108" s="85"/>
      <c r="C1108" s="316"/>
      <c r="D1108" s="317"/>
      <c r="E1108" s="318"/>
      <c r="F1108" s="41"/>
      <c r="G1108" s="317"/>
      <c r="H1108" s="41"/>
      <c r="I1108" s="319"/>
      <c r="J1108" s="41"/>
      <c r="K1108" s="41"/>
      <c r="L1108" s="320"/>
      <c r="M1108" s="41"/>
      <c r="N1108" s="321"/>
      <c r="O1108" s="321"/>
      <c r="P1108" s="321"/>
      <c r="Q1108" s="41"/>
      <c r="R1108" s="41"/>
      <c r="S1108" s="41"/>
      <c r="T1108" s="41"/>
      <c r="U1108" s="41"/>
      <c r="V1108" s="41"/>
      <c r="W1108" s="41"/>
      <c r="X1108" s="41"/>
      <c r="Y1108" s="41"/>
      <c r="Z1108" s="41"/>
      <c r="AA1108" s="41"/>
      <c r="AB1108" s="41"/>
      <c r="AC1108" s="41"/>
      <c r="AD1108" s="41"/>
      <c r="AE1108" s="41"/>
      <c r="AF1108" s="41"/>
      <c r="AG1108" s="41"/>
      <c r="AH1108" s="41"/>
      <c r="AI1108" s="41"/>
      <c r="AJ1108" s="41"/>
    </row>
    <row r="1109">
      <c r="A1109" s="85"/>
      <c r="B1109" s="85"/>
      <c r="C1109" s="316"/>
      <c r="D1109" s="317"/>
      <c r="E1109" s="318"/>
      <c r="F1109" s="41"/>
      <c r="G1109" s="317"/>
      <c r="H1109" s="41"/>
      <c r="I1109" s="319"/>
      <c r="J1109" s="41"/>
      <c r="K1109" s="41"/>
      <c r="L1109" s="320"/>
      <c r="M1109" s="41"/>
      <c r="N1109" s="321"/>
      <c r="O1109" s="321"/>
      <c r="P1109" s="321"/>
      <c r="Q1109" s="41"/>
      <c r="R1109" s="41"/>
      <c r="S1109" s="41"/>
      <c r="T1109" s="41"/>
      <c r="U1109" s="41"/>
      <c r="V1109" s="41"/>
      <c r="W1109" s="41"/>
      <c r="X1109" s="41"/>
      <c r="Y1109" s="41"/>
      <c r="Z1109" s="41"/>
      <c r="AA1109" s="41"/>
      <c r="AB1109" s="41"/>
      <c r="AC1109" s="41"/>
      <c r="AD1109" s="41"/>
      <c r="AE1109" s="41"/>
      <c r="AF1109" s="41"/>
      <c r="AG1109" s="41"/>
      <c r="AH1109" s="41"/>
      <c r="AI1109" s="41"/>
      <c r="AJ1109" s="41"/>
    </row>
    <row r="1110">
      <c r="A1110" s="85"/>
      <c r="B1110" s="85"/>
      <c r="C1110" s="316"/>
      <c r="D1110" s="317"/>
      <c r="E1110" s="318"/>
      <c r="F1110" s="41"/>
      <c r="G1110" s="317"/>
      <c r="H1110" s="41"/>
      <c r="I1110" s="319"/>
      <c r="J1110" s="41"/>
      <c r="K1110" s="41"/>
      <c r="L1110" s="320"/>
      <c r="M1110" s="41"/>
      <c r="N1110" s="321"/>
      <c r="O1110" s="321"/>
      <c r="P1110" s="321"/>
      <c r="Q1110" s="41"/>
      <c r="R1110" s="41"/>
      <c r="S1110" s="41"/>
      <c r="T1110" s="41"/>
      <c r="U1110" s="41"/>
      <c r="V1110" s="41"/>
      <c r="W1110" s="41"/>
      <c r="X1110" s="41"/>
      <c r="Y1110" s="41"/>
      <c r="Z1110" s="41"/>
      <c r="AA1110" s="41"/>
      <c r="AB1110" s="41"/>
      <c r="AC1110" s="41"/>
      <c r="AD1110" s="41"/>
      <c r="AE1110" s="41"/>
      <c r="AF1110" s="41"/>
      <c r="AG1110" s="41"/>
      <c r="AH1110" s="41"/>
      <c r="AI1110" s="41"/>
      <c r="AJ1110" s="41"/>
    </row>
    <row r="1111">
      <c r="A1111" s="85"/>
      <c r="B1111" s="85"/>
      <c r="C1111" s="316"/>
      <c r="D1111" s="317"/>
      <c r="E1111" s="318"/>
      <c r="F1111" s="41"/>
      <c r="G1111" s="317"/>
      <c r="H1111" s="41"/>
      <c r="I1111" s="319"/>
      <c r="J1111" s="41"/>
      <c r="K1111" s="41"/>
      <c r="L1111" s="320"/>
      <c r="M1111" s="41"/>
      <c r="N1111" s="321"/>
      <c r="O1111" s="321"/>
      <c r="P1111" s="321"/>
      <c r="Q1111" s="41"/>
      <c r="R1111" s="41"/>
      <c r="S1111" s="41"/>
      <c r="T1111" s="41"/>
      <c r="U1111" s="41"/>
      <c r="V1111" s="41"/>
      <c r="W1111" s="41"/>
      <c r="X1111" s="41"/>
      <c r="Y1111" s="41"/>
      <c r="Z1111" s="41"/>
      <c r="AA1111" s="41"/>
      <c r="AB1111" s="41"/>
      <c r="AC1111" s="41"/>
      <c r="AD1111" s="41"/>
      <c r="AE1111" s="41"/>
      <c r="AF1111" s="41"/>
      <c r="AG1111" s="41"/>
      <c r="AH1111" s="41"/>
      <c r="AI1111" s="41"/>
      <c r="AJ1111" s="41"/>
    </row>
    <row r="1112">
      <c r="A1112" s="85"/>
      <c r="B1112" s="85"/>
      <c r="C1112" s="316"/>
      <c r="D1112" s="317"/>
      <c r="E1112" s="318"/>
      <c r="F1112" s="41"/>
      <c r="G1112" s="317"/>
      <c r="H1112" s="41"/>
      <c r="I1112" s="319"/>
      <c r="J1112" s="41"/>
      <c r="K1112" s="41"/>
      <c r="L1112" s="320"/>
      <c r="M1112" s="41"/>
      <c r="N1112" s="321"/>
      <c r="O1112" s="321"/>
      <c r="P1112" s="321"/>
      <c r="Q1112" s="41"/>
      <c r="R1112" s="41"/>
      <c r="S1112" s="41"/>
      <c r="T1112" s="41"/>
      <c r="U1112" s="41"/>
      <c r="V1112" s="41"/>
      <c r="W1112" s="41"/>
      <c r="X1112" s="41"/>
      <c r="Y1112" s="41"/>
      <c r="Z1112" s="41"/>
      <c r="AA1112" s="41"/>
      <c r="AB1112" s="41"/>
      <c r="AC1112" s="41"/>
      <c r="AD1112" s="41"/>
      <c r="AE1112" s="41"/>
      <c r="AF1112" s="41"/>
      <c r="AG1112" s="41"/>
      <c r="AH1112" s="41"/>
      <c r="AI1112" s="41"/>
      <c r="AJ1112" s="41"/>
    </row>
    <row r="1113">
      <c r="A1113" s="85"/>
      <c r="B1113" s="85"/>
      <c r="C1113" s="316"/>
      <c r="D1113" s="317"/>
      <c r="E1113" s="318"/>
      <c r="F1113" s="41"/>
      <c r="G1113" s="317"/>
      <c r="H1113" s="41"/>
      <c r="I1113" s="319"/>
      <c r="J1113" s="41"/>
      <c r="K1113" s="41"/>
      <c r="L1113" s="320"/>
      <c r="M1113" s="41"/>
      <c r="N1113" s="321"/>
      <c r="O1113" s="321"/>
      <c r="P1113" s="321"/>
      <c r="Q1113" s="41"/>
      <c r="R1113" s="41"/>
      <c r="S1113" s="41"/>
      <c r="T1113" s="41"/>
      <c r="U1113" s="41"/>
      <c r="V1113" s="41"/>
      <c r="W1113" s="41"/>
      <c r="X1113" s="41"/>
      <c r="Y1113" s="41"/>
      <c r="Z1113" s="41"/>
      <c r="AA1113" s="41"/>
      <c r="AB1113" s="41"/>
      <c r="AC1113" s="41"/>
      <c r="AD1113" s="41"/>
      <c r="AE1113" s="41"/>
      <c r="AF1113" s="41"/>
      <c r="AG1113" s="41"/>
      <c r="AH1113" s="41"/>
      <c r="AI1113" s="41"/>
      <c r="AJ1113" s="41"/>
    </row>
    <row r="1114">
      <c r="A1114" s="85"/>
      <c r="B1114" s="85"/>
      <c r="C1114" s="316"/>
      <c r="D1114" s="317"/>
      <c r="E1114" s="318"/>
      <c r="F1114" s="41"/>
      <c r="G1114" s="317"/>
      <c r="H1114" s="41"/>
      <c r="I1114" s="319"/>
      <c r="J1114" s="41"/>
      <c r="K1114" s="41"/>
      <c r="L1114" s="320"/>
      <c r="M1114" s="41"/>
      <c r="N1114" s="321"/>
      <c r="O1114" s="321"/>
      <c r="P1114" s="321"/>
      <c r="Q1114" s="41"/>
      <c r="R1114" s="41"/>
      <c r="S1114" s="41"/>
      <c r="T1114" s="41"/>
      <c r="U1114" s="41"/>
      <c r="V1114" s="41"/>
      <c r="W1114" s="41"/>
      <c r="X1114" s="41"/>
      <c r="Y1114" s="41"/>
      <c r="Z1114" s="41"/>
      <c r="AA1114" s="41"/>
      <c r="AB1114" s="41"/>
      <c r="AC1114" s="41"/>
      <c r="AD1114" s="41"/>
      <c r="AE1114" s="41"/>
      <c r="AF1114" s="41"/>
      <c r="AG1114" s="41"/>
      <c r="AH1114" s="41"/>
      <c r="AI1114" s="41"/>
      <c r="AJ1114" s="41"/>
    </row>
  </sheetData>
  <dataValidations>
    <dataValidation type="list" allowBlank="1" showErrorMessage="1" sqref="F53">
      <formula1>"Mandatory,Voluntary,Shady,Unspecified"</formula1>
    </dataValidation>
    <dataValidation type="custom" allowBlank="1" showDropDown="1" sqref="M2:M892">
      <formula1>OR(NOT(ISERROR(DATEVALUE(M2))), AND(ISNUMBER(M2), LEFT(CELL("format", M2))="D"))</formula1>
    </dataValidation>
    <dataValidation type="list" allowBlank="1" showErrorMessage="1" sqref="F2:F52 F54:F296">
      <formula1>"Mandatory,Voluntary,Shady"</formula1>
    </dataValidation>
    <dataValidation type="list" allowBlank="1" showDropDown="1" showErrorMessage="1" sqref="K2:K892">
      <formula1>"N,C,Y"</formula1>
    </dataValidation>
  </dataValidations>
  <hyperlinks>
    <hyperlink r:id="rId4" location="page=7" ref="E2"/>
    <hyperlink r:id="rId5" ref="E3"/>
    <hyperlink r:id="rId6" location="news-release-062321" ref="E4"/>
    <hyperlink r:id="rId7" location="news-release-062321" ref="E5"/>
    <hyperlink r:id="rId8" location="news-release-062321" ref="E6"/>
    <hyperlink r:id="rId9" location="news-release-062321" ref="E7"/>
    <hyperlink r:id="rId10" location="news-release-062321" ref="E8"/>
    <hyperlink r:id="rId11" location="news-release-062321" ref="E9"/>
    <hyperlink r:id="rId12" location="news-release-062321" ref="E10"/>
    <hyperlink r:id="rId13" location="news-release-062321" ref="E11"/>
    <hyperlink r:id="rId14" location="news-release-111121" ref="E12"/>
    <hyperlink r:id="rId15" location="news-release-111121" ref="E13"/>
    <hyperlink r:id="rId16" location="news-release-111022" ref="E14"/>
    <hyperlink r:id="rId17" location="news-release-111022" ref="E15"/>
    <hyperlink r:id="rId18" location="news-release-111022" ref="E16"/>
    <hyperlink r:id="rId19" location="news-release-111022" ref="E17"/>
    <hyperlink r:id="rId20" location="news-release-111022" ref="E18"/>
    <hyperlink r:id="rId21" location="news-release-111022" ref="E19"/>
    <hyperlink r:id="rId22" location="news-release-032123" ref="E20"/>
    <hyperlink r:id="rId23" location="news-release-032123" ref="E21"/>
    <hyperlink r:id="rId24" location="news-release-032123" ref="E22"/>
    <hyperlink r:id="rId25" location="news-release-032123" ref="E23"/>
    <hyperlink r:id="rId26" location="news-release-032123" ref="E24"/>
    <hyperlink r:id="rId27" location="news-release-060223" ref="E25"/>
    <hyperlink r:id="rId28" location="news-release-060223" ref="E26"/>
    <hyperlink r:id="rId29" location="news-release-072423" ref="E27"/>
    <hyperlink r:id="rId30" location="news-release-072423" ref="E28"/>
    <hyperlink r:id="rId31" location="news-release-072423" ref="E29"/>
    <hyperlink r:id="rId32" location="news-release-072423" ref="E30"/>
    <hyperlink r:id="rId33" location="news-release-080723" ref="E31"/>
    <hyperlink r:id="rId34" location="news-release-082323" ref="E32"/>
    <hyperlink r:id="rId35" location="news-release-102023" ref="E33"/>
    <hyperlink r:id="rId36" location="news-release-110923" ref="E34"/>
    <hyperlink r:id="rId37" location="news-release-110923" ref="E35"/>
    <hyperlink r:id="rId38" location="news-release-112723" ref="E36"/>
    <hyperlink r:id="rId39" location="news-release-050624" ref="E37"/>
    <hyperlink r:id="rId40" ref="E38"/>
    <hyperlink r:id="rId41" ref="E39"/>
    <hyperlink r:id="rId42" ref="E40"/>
    <hyperlink r:id="rId43" ref="E41"/>
    <hyperlink r:id="rId44" ref="E42"/>
    <hyperlink r:id="rId45" ref="E43"/>
    <hyperlink r:id="rId46" ref="E44"/>
    <hyperlink r:id="rId47" ref="E45"/>
    <hyperlink r:id="rId48" ref="E46"/>
    <hyperlink r:id="rId49" ref="E47"/>
    <hyperlink r:id="rId50" ref="E48"/>
    <hyperlink r:id="rId51" ref="E49"/>
    <hyperlink r:id="rId52" ref="E50"/>
    <hyperlink r:id="rId53" ref="E51"/>
    <hyperlink r:id="rId54" ref="E52"/>
    <hyperlink r:id="rId55" ref="E53"/>
    <hyperlink r:id="rId56" ref="E54"/>
    <hyperlink r:id="rId57" ref="E55"/>
    <hyperlink r:id="rId58" ref="E56"/>
    <hyperlink r:id="rId59" ref="E57"/>
    <hyperlink r:id="rId60" ref="E58"/>
    <hyperlink r:id="rId61" ref="E59"/>
    <hyperlink r:id="rId62" ref="E60"/>
    <hyperlink r:id="rId63" ref="E61"/>
    <hyperlink r:id="rId64" ref="E62"/>
    <hyperlink r:id="rId65" ref="E63"/>
    <hyperlink r:id="rId66" ref="E64"/>
    <hyperlink r:id="rId67" ref="E65"/>
    <hyperlink r:id="rId68" ref="E66"/>
    <hyperlink r:id="rId69" ref="E67"/>
    <hyperlink r:id="rId70" ref="E68"/>
    <hyperlink r:id="rId71" ref="E69"/>
    <hyperlink r:id="rId72" ref="E70"/>
    <hyperlink r:id="rId73" ref="E71"/>
    <hyperlink r:id="rId74" ref="E72"/>
    <hyperlink r:id="rId75" ref="E73"/>
    <hyperlink r:id="rId76" ref="E74"/>
    <hyperlink r:id="rId77" ref="E75"/>
    <hyperlink r:id="rId78" ref="E76"/>
    <hyperlink r:id="rId79" ref="E77"/>
    <hyperlink r:id="rId80" ref="E78"/>
    <hyperlink r:id="rId81" ref="E79"/>
    <hyperlink r:id="rId82" ref="E80"/>
    <hyperlink r:id="rId83" ref="E81"/>
    <hyperlink r:id="rId84" ref="E82"/>
    <hyperlink r:id="rId85" ref="E83"/>
    <hyperlink r:id="rId86" ref="E84"/>
    <hyperlink r:id="rId87" ref="E85"/>
    <hyperlink r:id="rId88" ref="E86"/>
    <hyperlink r:id="rId89" ref="E87"/>
    <hyperlink r:id="rId90" ref="E88"/>
    <hyperlink r:id="rId91" ref="E89"/>
    <hyperlink r:id="rId92" ref="E90"/>
    <hyperlink r:id="rId93" ref="E91"/>
    <hyperlink r:id="rId94" ref="E92"/>
    <hyperlink r:id="rId95" ref="E93"/>
    <hyperlink r:id="rId96" ref="E94"/>
    <hyperlink r:id="rId97" ref="E95"/>
    <hyperlink r:id="rId98" ref="E96"/>
    <hyperlink r:id="rId99" ref="E97"/>
    <hyperlink r:id="rId100" ref="E98"/>
    <hyperlink r:id="rId101" ref="E99"/>
    <hyperlink r:id="rId102" ref="E100"/>
    <hyperlink r:id="rId103" ref="E101"/>
    <hyperlink r:id="rId104" ref="E102"/>
    <hyperlink r:id="rId105" ref="E103"/>
    <hyperlink r:id="rId106" ref="E104"/>
    <hyperlink r:id="rId107" ref="E105"/>
    <hyperlink r:id="rId108" ref="E106"/>
    <hyperlink r:id="rId109" ref="E107"/>
    <hyperlink r:id="rId110" ref="E108"/>
    <hyperlink r:id="rId111" ref="E109"/>
    <hyperlink r:id="rId112" ref="E110"/>
    <hyperlink r:id="rId113" ref="E111"/>
    <hyperlink r:id="rId114" ref="E112"/>
    <hyperlink r:id="rId115" ref="E113"/>
    <hyperlink r:id="rId116" ref="E114"/>
    <hyperlink r:id="rId117" ref="E115"/>
    <hyperlink r:id="rId118" ref="E116"/>
    <hyperlink r:id="rId119" ref="E117"/>
    <hyperlink r:id="rId120" ref="E118"/>
    <hyperlink r:id="rId121" ref="E119"/>
    <hyperlink r:id="rId122" ref="E120"/>
    <hyperlink r:id="rId123" ref="E121"/>
    <hyperlink r:id="rId124" ref="E122"/>
    <hyperlink r:id="rId125" ref="E123"/>
    <hyperlink r:id="rId126" ref="E124"/>
    <hyperlink r:id="rId127" ref="E125"/>
    <hyperlink r:id="rId128" ref="E126"/>
    <hyperlink r:id="rId129" ref="E127"/>
    <hyperlink r:id="rId130" ref="E128"/>
    <hyperlink r:id="rId131" ref="E129"/>
    <hyperlink r:id="rId132" ref="E130"/>
    <hyperlink r:id="rId133" ref="E131"/>
    <hyperlink r:id="rId134" ref="E132"/>
    <hyperlink r:id="rId135" ref="E133"/>
    <hyperlink r:id="rId136" ref="E134"/>
    <hyperlink r:id="rId137" ref="E135"/>
    <hyperlink r:id="rId138" ref="E136"/>
    <hyperlink r:id="rId139" ref="E137"/>
    <hyperlink r:id="rId140" ref="E138"/>
    <hyperlink r:id="rId141" ref="E139"/>
    <hyperlink r:id="rId142" ref="I139"/>
    <hyperlink r:id="rId143" ref="E140"/>
    <hyperlink r:id="rId144" ref="E141"/>
    <hyperlink r:id="rId145" ref="E142"/>
    <hyperlink r:id="rId146" ref="E143"/>
    <hyperlink r:id="rId147" ref="E144"/>
    <hyperlink r:id="rId148" ref="E145"/>
    <hyperlink r:id="rId149" ref="E146"/>
    <hyperlink r:id="rId150" ref="E147"/>
    <hyperlink r:id="rId151" ref="E148"/>
    <hyperlink r:id="rId152" ref="E149"/>
    <hyperlink r:id="rId153" ref="E150"/>
    <hyperlink r:id="rId154" ref="E151"/>
    <hyperlink r:id="rId155" ref="E152"/>
    <hyperlink r:id="rId156" ref="E153"/>
    <hyperlink r:id="rId157" ref="E154"/>
    <hyperlink r:id="rId158" ref="E155"/>
    <hyperlink r:id="rId159" ref="E156"/>
    <hyperlink r:id="rId160" ref="E157"/>
    <hyperlink r:id="rId161" ref="E158"/>
    <hyperlink r:id="rId162" ref="E159"/>
    <hyperlink r:id="rId163" ref="E160"/>
    <hyperlink r:id="rId164" ref="E161"/>
    <hyperlink r:id="rId165" ref="E162"/>
    <hyperlink r:id="rId166" ref="E163"/>
    <hyperlink r:id="rId167" ref="E164"/>
    <hyperlink r:id="rId168" ref="E165"/>
    <hyperlink r:id="rId169" ref="E166"/>
    <hyperlink r:id="rId170" ref="E167"/>
    <hyperlink r:id="rId171" ref="E168"/>
    <hyperlink r:id="rId172" ref="E169"/>
    <hyperlink r:id="rId173" ref="E170"/>
    <hyperlink r:id="rId174" ref="E171"/>
    <hyperlink r:id="rId175" ref="E172"/>
    <hyperlink r:id="rId176" ref="E173"/>
    <hyperlink r:id="rId177" ref="E174"/>
    <hyperlink r:id="rId178" ref="E175"/>
    <hyperlink r:id="rId179" ref="E176"/>
    <hyperlink r:id="rId180" ref="E177"/>
    <hyperlink r:id="rId181" ref="E178"/>
    <hyperlink r:id="rId182" ref="E179"/>
    <hyperlink r:id="rId183" ref="E180"/>
    <hyperlink r:id="rId184" ref="E181"/>
    <hyperlink r:id="rId185" ref="E182"/>
    <hyperlink r:id="rId186" ref="E183"/>
    <hyperlink r:id="rId187" ref="E184"/>
    <hyperlink r:id="rId188" ref="E185"/>
    <hyperlink r:id="rId189" ref="E186"/>
    <hyperlink r:id="rId190" ref="E187"/>
    <hyperlink r:id="rId191" ref="E188"/>
    <hyperlink r:id="rId192" ref="E189"/>
    <hyperlink r:id="rId193" ref="E190"/>
    <hyperlink r:id="rId194" ref="E191"/>
    <hyperlink r:id="rId195" ref="E192"/>
    <hyperlink r:id="rId196" ref="E193"/>
    <hyperlink r:id="rId197" ref="E194"/>
    <hyperlink r:id="rId198" ref="E195"/>
    <hyperlink r:id="rId199" ref="E196"/>
    <hyperlink r:id="rId200" ref="E197"/>
    <hyperlink r:id="rId201" ref="E198"/>
    <hyperlink r:id="rId202" ref="E199"/>
    <hyperlink r:id="rId203" ref="E200"/>
    <hyperlink r:id="rId204" ref="E201"/>
    <hyperlink r:id="rId205" ref="E202"/>
    <hyperlink r:id="rId206" ref="E203"/>
    <hyperlink r:id="rId207" ref="E204"/>
    <hyperlink r:id="rId208" ref="E205"/>
    <hyperlink r:id="rId209" ref="E206"/>
    <hyperlink r:id="rId210" ref="E207"/>
    <hyperlink r:id="rId211" ref="E208"/>
    <hyperlink r:id="rId212" ref="E209"/>
    <hyperlink r:id="rId213" ref="E210"/>
    <hyperlink r:id="rId214" ref="E211"/>
    <hyperlink r:id="rId215" ref="E212"/>
    <hyperlink r:id="rId216" ref="E213"/>
    <hyperlink r:id="rId217" ref="E214"/>
    <hyperlink r:id="rId218" ref="E215"/>
    <hyperlink r:id="rId219" ref="E216"/>
    <hyperlink r:id="rId220" ref="E217"/>
    <hyperlink r:id="rId221" ref="E218"/>
    <hyperlink r:id="rId222" ref="E219"/>
    <hyperlink r:id="rId223" ref="E220"/>
    <hyperlink r:id="rId224" location=":~:text=Products%20subject%20to%20this%20recall,Diamonds%2C%20and%20OG%20Kush%20Shatter." ref="E221"/>
    <hyperlink r:id="rId225" ref="E222"/>
    <hyperlink r:id="rId226" ref="E223"/>
    <hyperlink r:id="rId227" ref="E224"/>
    <hyperlink r:id="rId228" ref="E225"/>
    <hyperlink r:id="rId229" ref="E226"/>
    <hyperlink r:id="rId230" ref="E227"/>
    <hyperlink r:id="rId231" ref="E228"/>
    <hyperlink r:id="rId232" ref="E229"/>
    <hyperlink r:id="rId233" ref="E230"/>
    <hyperlink r:id="rId234" ref="E231"/>
    <hyperlink r:id="rId235" ref="E232"/>
    <hyperlink r:id="rId236" ref="E233"/>
    <hyperlink r:id="rId237" ref="E234"/>
    <hyperlink r:id="rId238" ref="E235"/>
    <hyperlink r:id="rId239" ref="E236"/>
    <hyperlink r:id="rId240" location="recall-product-and-business-list" ref="E237"/>
    <hyperlink r:id="rId241" ref="E238"/>
    <hyperlink r:id="rId242" ref="E239"/>
    <hyperlink r:id="rId243" ref="E240"/>
    <hyperlink r:id="rId244" ref="E241"/>
    <hyperlink r:id="rId245" ref="E242"/>
    <hyperlink r:id="rId246" ref="E243"/>
    <hyperlink r:id="rId247" ref="E244"/>
    <hyperlink r:id="rId248" ref="E245"/>
    <hyperlink r:id="rId249" ref="E246"/>
    <hyperlink r:id="rId250" ref="E247"/>
    <hyperlink r:id="rId251" ref="E248"/>
    <hyperlink r:id="rId252" ref="E249"/>
    <hyperlink r:id="rId253" ref="E250"/>
    <hyperlink r:id="rId254" ref="E251"/>
    <hyperlink r:id="rId255" ref="E252"/>
    <hyperlink r:id="rId256" ref="E253"/>
    <hyperlink r:id="rId257" ref="E254"/>
    <hyperlink r:id="rId258" ref="E255"/>
    <hyperlink r:id="rId259" ref="E256"/>
    <hyperlink r:id="rId260" ref="E257"/>
    <hyperlink r:id="rId261" ref="E258"/>
    <hyperlink r:id="rId262" ref="E259"/>
    <hyperlink r:id="rId263" ref="E260"/>
    <hyperlink r:id="rId264" ref="E261"/>
    <hyperlink r:id="rId265" ref="E262"/>
    <hyperlink r:id="rId266" ref="E263"/>
    <hyperlink r:id="rId267" ref="E264"/>
    <hyperlink r:id="rId268" ref="E265"/>
    <hyperlink r:id="rId269" ref="E266"/>
    <hyperlink r:id="rId270" ref="E267"/>
    <hyperlink r:id="rId271" ref="E268"/>
    <hyperlink r:id="rId272" ref="E269"/>
    <hyperlink r:id="rId273" ref="E270"/>
    <hyperlink r:id="rId274" ref="E271"/>
    <hyperlink r:id="rId275" ref="E272"/>
    <hyperlink r:id="rId276" ref="E273"/>
    <hyperlink r:id="rId277" ref="E274"/>
    <hyperlink r:id="rId278" ref="E275"/>
    <hyperlink r:id="rId279" ref="E276"/>
    <hyperlink r:id="rId280" ref="E277"/>
    <hyperlink r:id="rId281" ref="E278"/>
    <hyperlink r:id="rId282" ref="E279"/>
    <hyperlink r:id="rId283" ref="E280"/>
    <hyperlink r:id="rId284" ref="E281"/>
    <hyperlink r:id="rId285" ref="E282"/>
    <hyperlink r:id="rId286" ref="E283"/>
    <hyperlink r:id="rId287" ref="E284"/>
    <hyperlink r:id="rId288" ref="E285"/>
    <hyperlink r:id="rId289" ref="E286"/>
    <hyperlink r:id="rId290" ref="E287"/>
    <hyperlink r:id="rId291" ref="E288"/>
    <hyperlink r:id="rId292" ref="E289"/>
    <hyperlink r:id="rId293" ref="E290"/>
    <hyperlink r:id="rId294" ref="E291"/>
    <hyperlink r:id="rId295" ref="E292"/>
    <hyperlink r:id="rId296" ref="E293"/>
    <hyperlink r:id="rId297" ref="E294"/>
    <hyperlink r:id="rId298" ref="E295"/>
    <hyperlink r:id="rId299" ref="E296"/>
    <hyperlink r:id="rId300" ref="E297"/>
    <hyperlink r:id="rId301" ref="N297"/>
    <hyperlink r:id="rId302" ref="E298"/>
    <hyperlink r:id="rId303" ref="N298"/>
    <hyperlink r:id="rId304" ref="E299"/>
    <hyperlink r:id="rId305" ref="N299"/>
    <hyperlink r:id="rId306" ref="E300"/>
    <hyperlink r:id="rId307" ref="E301"/>
    <hyperlink r:id="rId308" ref="E302"/>
    <hyperlink r:id="rId309" ref="E303"/>
    <hyperlink r:id="rId310" ref="E304"/>
    <hyperlink r:id="rId311" ref="E305"/>
    <hyperlink r:id="rId312" ref="E306"/>
    <hyperlink r:id="rId313" ref="E307"/>
    <hyperlink r:id="rId314" ref="E308"/>
    <hyperlink r:id="rId315" ref="E309"/>
    <hyperlink r:id="rId316" ref="E310"/>
    <hyperlink r:id="rId317" ref="E311"/>
    <hyperlink r:id="rId318" ref="E312"/>
    <hyperlink r:id="rId319" ref="E313"/>
    <hyperlink r:id="rId320" ref="E314"/>
    <hyperlink r:id="rId321" ref="E315"/>
    <hyperlink r:id="rId322" ref="E316"/>
    <hyperlink r:id="rId323" ref="E317"/>
    <hyperlink r:id="rId324" ref="E318"/>
    <hyperlink r:id="rId325" ref="E319"/>
    <hyperlink r:id="rId326" ref="E320"/>
    <hyperlink r:id="rId327" ref="E321"/>
    <hyperlink r:id="rId328" ref="E322"/>
    <hyperlink r:id="rId329" ref="E323"/>
    <hyperlink r:id="rId330" ref="E324"/>
    <hyperlink r:id="rId331" ref="E325"/>
    <hyperlink r:id="rId332" ref="E326"/>
    <hyperlink r:id="rId333" ref="E327"/>
    <hyperlink r:id="rId334" ref="E328"/>
    <hyperlink r:id="rId335" ref="E329"/>
    <hyperlink r:id="rId336" ref="E330"/>
    <hyperlink r:id="rId337" ref="E331"/>
    <hyperlink r:id="rId338" ref="E332"/>
    <hyperlink r:id="rId339" ref="E333"/>
    <hyperlink r:id="rId340" ref="E334"/>
    <hyperlink r:id="rId341" ref="E335"/>
    <hyperlink r:id="rId342" ref="E336"/>
    <hyperlink r:id="rId343" ref="E337"/>
    <hyperlink r:id="rId344" ref="E338"/>
    <hyperlink r:id="rId345" ref="E339"/>
    <hyperlink r:id="rId346" ref="E340"/>
    <hyperlink r:id="rId347" ref="E341"/>
    <hyperlink r:id="rId348" ref="E342"/>
    <hyperlink r:id="rId349" ref="E343"/>
    <hyperlink r:id="rId350" ref="E344"/>
    <hyperlink r:id="rId351" ref="E345"/>
    <hyperlink r:id="rId352" ref="E346"/>
    <hyperlink r:id="rId353" ref="E347"/>
    <hyperlink r:id="rId354" ref="E348"/>
    <hyperlink r:id="rId355" ref="E349"/>
    <hyperlink r:id="rId356" ref="E350"/>
    <hyperlink r:id="rId357" ref="E351"/>
    <hyperlink r:id="rId358" ref="E352"/>
    <hyperlink r:id="rId359" ref="E353"/>
    <hyperlink r:id="rId360" ref="E354"/>
    <hyperlink r:id="rId361" ref="E355"/>
    <hyperlink r:id="rId362" ref="E356"/>
    <hyperlink r:id="rId363" ref="E357"/>
    <hyperlink r:id="rId364" ref="E358"/>
    <hyperlink r:id="rId365" ref="E359"/>
    <hyperlink r:id="rId366" ref="E360"/>
    <hyperlink r:id="rId367" ref="E361"/>
    <hyperlink r:id="rId368" ref="E362"/>
    <hyperlink r:id="rId369" ref="E363"/>
    <hyperlink r:id="rId370" ref="E364"/>
    <hyperlink r:id="rId371" ref="E365"/>
    <hyperlink r:id="rId372" ref="E366"/>
    <hyperlink r:id="rId373" ref="E367"/>
    <hyperlink r:id="rId374" ref="E368"/>
    <hyperlink r:id="rId375" ref="E369"/>
    <hyperlink r:id="rId376" ref="E370"/>
    <hyperlink r:id="rId377" ref="E371"/>
    <hyperlink r:id="rId378" ref="E372"/>
    <hyperlink r:id="rId379" ref="E373"/>
    <hyperlink r:id="rId380" ref="E374"/>
    <hyperlink r:id="rId381" ref="E375"/>
    <hyperlink r:id="rId382" ref="E376"/>
    <hyperlink r:id="rId383" ref="E377"/>
    <hyperlink r:id="rId384" ref="E378"/>
    <hyperlink r:id="rId385" ref="E379"/>
    <hyperlink r:id="rId386" ref="E380"/>
    <hyperlink r:id="rId387" ref="E381"/>
    <hyperlink r:id="rId388" ref="E382"/>
    <hyperlink r:id="rId389" ref="E383"/>
    <hyperlink r:id="rId390" ref="E384"/>
    <hyperlink r:id="rId391" ref="E385"/>
    <hyperlink r:id="rId392" ref="E386"/>
    <hyperlink r:id="rId393" ref="E387"/>
    <hyperlink r:id="rId394" ref="E388"/>
    <hyperlink r:id="rId395" ref="E389"/>
    <hyperlink r:id="rId396" ref="E390"/>
    <hyperlink r:id="rId397" ref="E391"/>
    <hyperlink r:id="rId398" ref="E392"/>
    <hyperlink r:id="rId399" ref="E393"/>
    <hyperlink r:id="rId400" ref="E394"/>
    <hyperlink r:id="rId401" ref="E395"/>
    <hyperlink r:id="rId402" ref="E396"/>
    <hyperlink r:id="rId403" ref="E397"/>
    <hyperlink r:id="rId404" ref="E398"/>
    <hyperlink r:id="rId405" ref="E399"/>
    <hyperlink r:id="rId406" ref="E400"/>
    <hyperlink r:id="rId407" ref="E401"/>
    <hyperlink r:id="rId408" ref="E402"/>
    <hyperlink r:id="rId409" ref="E403"/>
    <hyperlink r:id="rId410" ref="E404"/>
    <hyperlink r:id="rId411" ref="E405"/>
    <hyperlink r:id="rId412" ref="E406"/>
    <hyperlink r:id="rId413" ref="E407"/>
    <hyperlink r:id="rId414" ref="E408"/>
    <hyperlink r:id="rId415" ref="E409"/>
    <hyperlink r:id="rId416" ref="E410"/>
    <hyperlink r:id="rId417" ref="E411"/>
    <hyperlink r:id="rId418" ref="E412"/>
    <hyperlink r:id="rId419" ref="E413"/>
    <hyperlink r:id="rId420" ref="E414"/>
    <hyperlink r:id="rId421" ref="E415"/>
    <hyperlink r:id="rId422" ref="E416"/>
    <hyperlink r:id="rId423" ref="E417"/>
    <hyperlink r:id="rId424" ref="E418"/>
    <hyperlink r:id="rId425" ref="E419"/>
    <hyperlink r:id="rId426" ref="E420"/>
    <hyperlink r:id="rId427" ref="E421"/>
    <hyperlink r:id="rId428" ref="E422"/>
    <hyperlink r:id="rId429" ref="E423"/>
    <hyperlink r:id="rId430" ref="E424"/>
    <hyperlink r:id="rId431" ref="E425"/>
    <hyperlink r:id="rId432" ref="E426"/>
    <hyperlink r:id="rId433" ref="E427"/>
    <hyperlink r:id="rId434" ref="E428"/>
    <hyperlink r:id="rId435" ref="E429"/>
    <hyperlink r:id="rId436" ref="E430"/>
    <hyperlink r:id="rId437" ref="E431"/>
    <hyperlink r:id="rId438" ref="E432"/>
    <hyperlink r:id="rId439" ref="E433"/>
    <hyperlink r:id="rId440" ref="E434"/>
    <hyperlink r:id="rId441" ref="E435"/>
    <hyperlink r:id="rId442" ref="E436"/>
    <hyperlink r:id="rId443" ref="E437"/>
    <hyperlink r:id="rId444" ref="E438"/>
    <hyperlink r:id="rId445" ref="E439"/>
    <hyperlink r:id="rId446" ref="E440"/>
    <hyperlink r:id="rId447" ref="E441"/>
    <hyperlink r:id="rId448" ref="E442"/>
    <hyperlink r:id="rId449" ref="E443"/>
    <hyperlink r:id="rId450" ref="E444"/>
    <hyperlink r:id="rId451" ref="E445"/>
    <hyperlink r:id="rId452" ref="E446"/>
    <hyperlink r:id="rId453" ref="E447"/>
    <hyperlink r:id="rId454" ref="E448"/>
    <hyperlink r:id="rId455" location="gid=0" ref="E449"/>
    <hyperlink r:id="rId456" ref="E450"/>
    <hyperlink r:id="rId457" ref="E451"/>
    <hyperlink r:id="rId458" ref="E452"/>
    <hyperlink r:id="rId459" ref="E453"/>
    <hyperlink r:id="rId460" ref="E454"/>
    <hyperlink r:id="rId461" ref="E455"/>
    <hyperlink r:id="rId462" ref="E456"/>
    <hyperlink r:id="rId463" ref="E457"/>
    <hyperlink r:id="rId464" ref="E458"/>
    <hyperlink r:id="rId465" ref="E459"/>
    <hyperlink r:id="rId466" location="gid=0" ref="E460"/>
    <hyperlink r:id="rId467" ref="E461"/>
    <hyperlink r:id="rId468" ref="E462"/>
    <hyperlink r:id="rId469" location="gid=0" ref="E463"/>
    <hyperlink r:id="rId470" ref="E464"/>
    <hyperlink r:id="rId471" ref="E465"/>
    <hyperlink r:id="rId472" ref="E466"/>
    <hyperlink r:id="rId473" ref="E467"/>
    <hyperlink r:id="rId474" ref="E468"/>
    <hyperlink r:id="rId475" ref="E469"/>
    <hyperlink r:id="rId476" ref="E470"/>
    <hyperlink r:id="rId477" ref="E471"/>
    <hyperlink r:id="rId478" ref="E472"/>
    <hyperlink r:id="rId479" ref="E473"/>
    <hyperlink r:id="rId480" ref="E474"/>
    <hyperlink r:id="rId481" ref="E475"/>
    <hyperlink r:id="rId482" location="lightbox" ref="E476"/>
    <hyperlink r:id="rId483" ref="E477"/>
    <hyperlink r:id="rId484" ref="E478"/>
    <hyperlink r:id="rId485" ref="E479"/>
    <hyperlink r:id="rId486" ref="E480"/>
    <hyperlink r:id="rId487" ref="E481"/>
    <hyperlink r:id="rId488" ref="E482"/>
    <hyperlink r:id="rId489" ref="E483"/>
    <hyperlink r:id="rId490" ref="E484"/>
    <hyperlink r:id="rId491" ref="E485"/>
    <hyperlink r:id="rId492" ref="E486"/>
    <hyperlink r:id="rId493" ref="E487"/>
    <hyperlink r:id="rId494" ref="E488"/>
    <hyperlink r:id="rId495" ref="E489"/>
    <hyperlink r:id="rId496" ref="E490"/>
    <hyperlink r:id="rId497" ref="E491"/>
    <hyperlink r:id="rId498" ref="E492"/>
    <hyperlink r:id="rId499" ref="E493"/>
    <hyperlink r:id="rId500" ref="E494"/>
    <hyperlink r:id="rId501" ref="E495"/>
    <hyperlink r:id="rId502" ref="E496"/>
    <hyperlink r:id="rId503" ref="E497"/>
    <hyperlink r:id="rId504" ref="E498"/>
    <hyperlink r:id="rId505" ref="E499"/>
    <hyperlink r:id="rId506" ref="E500"/>
    <hyperlink r:id="rId507" ref="E501"/>
    <hyperlink r:id="rId508" ref="E502"/>
    <hyperlink r:id="rId509" ref="E503"/>
    <hyperlink r:id="rId510" ref="E504"/>
    <hyperlink r:id="rId511" ref="E505"/>
    <hyperlink r:id="rId512" ref="E506"/>
    <hyperlink r:id="rId513" ref="E507"/>
    <hyperlink r:id="rId514" ref="E508"/>
    <hyperlink r:id="rId515" ref="E509"/>
    <hyperlink r:id="rId516" ref="E510"/>
    <hyperlink r:id="rId517" ref="E511"/>
    <hyperlink r:id="rId518" ref="E512"/>
    <hyperlink r:id="rId519" ref="E513"/>
    <hyperlink r:id="rId520" ref="E514"/>
    <hyperlink r:id="rId521" ref="E515"/>
    <hyperlink r:id="rId522" ref="E516"/>
    <hyperlink r:id="rId523" ref="E517"/>
    <hyperlink r:id="rId524" ref="E518"/>
    <hyperlink r:id="rId525" ref="E519"/>
    <hyperlink r:id="rId526" ref="E520"/>
    <hyperlink r:id="rId527" ref="E521"/>
    <hyperlink r:id="rId528" ref="E522"/>
    <hyperlink r:id="rId529" ref="E523"/>
    <hyperlink r:id="rId530" ref="E524"/>
    <hyperlink r:id="rId531" ref="E525"/>
    <hyperlink r:id="rId532" ref="E526"/>
    <hyperlink r:id="rId533" ref="E527"/>
    <hyperlink r:id="rId534" ref="E528"/>
    <hyperlink r:id="rId535" ref="E529"/>
    <hyperlink r:id="rId536" ref="E530"/>
    <hyperlink r:id="rId537" ref="E531"/>
    <hyperlink r:id="rId538" ref="E532"/>
    <hyperlink r:id="rId539" ref="E533"/>
    <hyperlink r:id="rId540" ref="E534"/>
    <hyperlink r:id="rId541" location="accordion-08efa350b5-item-4d4e4ec992" ref="E535"/>
    <hyperlink r:id="rId542" ref="E536"/>
    <hyperlink r:id="rId543" ref="E537"/>
    <hyperlink r:id="rId544" ref="E538"/>
    <hyperlink r:id="rId545" ref="E539"/>
    <hyperlink r:id="rId546" ref="E540"/>
    <hyperlink r:id="rId547" ref="E541"/>
    <hyperlink r:id="rId548" ref="E542"/>
    <hyperlink r:id="rId549" ref="E543"/>
    <hyperlink r:id="rId550" ref="E544"/>
    <hyperlink r:id="rId551" ref="E545"/>
    <hyperlink r:id="rId552" ref="E546"/>
    <hyperlink r:id="rId553" ref="E547"/>
    <hyperlink r:id="rId554" ref="E548"/>
    <hyperlink r:id="rId555" ref="E549"/>
    <hyperlink r:id="rId556" ref="E550"/>
    <hyperlink r:id="rId557" ref="E551"/>
    <hyperlink r:id="rId558" ref="E552"/>
    <hyperlink r:id="rId559" ref="E553"/>
    <hyperlink r:id="rId560" ref="E554"/>
    <hyperlink r:id="rId561" ref="E555"/>
    <hyperlink r:id="rId562" ref="E556"/>
  </hyperlinks>
  <drawing r:id="rId563"/>
  <legacyDrawing r:id="rId564"/>
  <tableParts count="1">
    <tablePart r:id="rId56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5.25"/>
    <col customWidth="1" min="11" max="11" width="75.25"/>
    <col customWidth="1" min="12" max="12" width="13.88"/>
    <col customWidth="1" min="16" max="16" width="18.5"/>
    <col customWidth="1" min="40" max="40" width="75.25"/>
    <col customWidth="1" min="41" max="41" width="13.88"/>
    <col customWidth="1" min="45" max="45" width="18.5"/>
    <col customWidth="1" min="69" max="69" width="75.25"/>
    <col customWidth="1" min="70" max="70" width="13.88"/>
    <col customWidth="1" min="74" max="74" width="18.5"/>
    <col customWidth="1" min="98" max="98" width="75.25"/>
    <col customWidth="1" min="99" max="99" width="13.88"/>
    <col customWidth="1" min="103" max="103" width="18.5"/>
    <col customWidth="1" min="127" max="127" width="75.25"/>
    <col customWidth="1" min="128" max="128" width="13.88"/>
    <col customWidth="1" min="132" max="132" width="18.5"/>
    <col customWidth="1" min="156" max="156" width="75.25"/>
    <col customWidth="1" min="157" max="157" width="13.88"/>
    <col customWidth="1" min="161" max="161" width="18.5"/>
    <col customWidth="1" min="185" max="185" width="75.25"/>
    <col customWidth="1" min="186" max="186" width="13.88"/>
    <col customWidth="1" min="190" max="190" width="18.5"/>
    <col customWidth="1" min="214" max="214" width="75.25"/>
    <col customWidth="1" min="215" max="215" width="13.88"/>
    <col customWidth="1" min="219" max="219" width="18.5"/>
    <col customWidth="1" min="243" max="243" width="75.25"/>
    <col customWidth="1" min="244" max="244" width="13.88"/>
    <col customWidth="1" min="248" max="248" width="18.5"/>
    <col customWidth="1" min="272" max="272" width="75.25"/>
    <col customWidth="1" min="273" max="273" width="13.88"/>
    <col customWidth="1" min="277" max="277" width="18.5"/>
    <col customWidth="1" min="301" max="301" width="75.25"/>
    <col customWidth="1" min="302" max="302" width="13.88"/>
    <col customWidth="1" min="306" max="306" width="18.5"/>
    <col customWidth="1" min="330" max="330" width="75.25"/>
    <col customWidth="1" min="331" max="331" width="13.88"/>
    <col customWidth="1" min="335" max="335" width="18.5"/>
    <col customWidth="1" min="359" max="359" width="75.25"/>
    <col customWidth="1" min="360" max="360" width="13.88"/>
    <col customWidth="1" min="364" max="364" width="18.5"/>
    <col customWidth="1" min="388" max="388" width="75.25"/>
    <col customWidth="1" min="389" max="389" width="13.88"/>
    <col customWidth="1" min="393" max="393" width="18.5"/>
    <col customWidth="1" min="417" max="417" width="75.25"/>
    <col customWidth="1" min="418" max="418" width="13.88"/>
    <col customWidth="1" min="422" max="422" width="18.5"/>
    <col customWidth="1" min="446" max="446" width="75.25"/>
    <col customWidth="1" min="447" max="447" width="13.88"/>
    <col customWidth="1" min="451" max="451" width="18.5"/>
    <col customWidth="1" min="475" max="475" width="75.25"/>
    <col customWidth="1" min="476" max="476" width="13.88"/>
    <col customWidth="1" min="480" max="480" width="18.5"/>
    <col customWidth="1" min="504" max="504" width="75.25"/>
    <col customWidth="1" min="505" max="505" width="13.88"/>
    <col customWidth="1" min="509" max="509" width="18.5"/>
    <col customWidth="1" min="533" max="533" width="75.25"/>
    <col customWidth="1" min="534" max="534" width="13.88"/>
    <col customWidth="1" min="538" max="538" width="18.5"/>
    <col customWidth="1" min="562" max="562" width="75.25"/>
    <col customWidth="1" min="563" max="563" width="13.88"/>
    <col customWidth="1" min="567" max="567" width="18.5"/>
    <col customWidth="1" min="591" max="591" width="75.25"/>
    <col customWidth="1" min="592" max="592" width="13.88"/>
    <col customWidth="1" min="596" max="596" width="18.5"/>
    <col customWidth="1" min="620" max="620" width="75.25"/>
    <col customWidth="1" min="621" max="621" width="13.88"/>
    <col customWidth="1" min="625" max="625" width="18.5"/>
    <col customWidth="1" min="649" max="649" width="75.25"/>
    <col customWidth="1" min="650" max="650" width="13.88"/>
    <col customWidth="1" min="654" max="654" width="18.5"/>
    <col customWidth="1" min="678" max="678" width="75.25"/>
    <col customWidth="1" min="679" max="679" width="13.88"/>
    <col customWidth="1" min="683" max="683" width="18.5"/>
    <col customWidth="1" min="707" max="707" width="75.25"/>
    <col customWidth="1" min="708" max="708" width="13.88"/>
    <col customWidth="1" min="712" max="712" width="18.5"/>
    <col customWidth="1" min="736" max="736" width="75.25"/>
    <col customWidth="1" min="737" max="737" width="13.88"/>
    <col customWidth="1" min="741" max="741" width="18.5"/>
    <col customWidth="1" min="765" max="765" width="75.25"/>
    <col customWidth="1" min="766" max="766" width="13.88"/>
    <col customWidth="1" min="770" max="770" width="18.5"/>
    <col customWidth="1" min="794" max="794" width="75.25"/>
    <col customWidth="1" min="795" max="795" width="13.88"/>
    <col customWidth="1" min="799" max="799" width="18.5"/>
    <col customWidth="1" min="823" max="823" width="75.25"/>
    <col customWidth="1" min="824" max="824" width="13.88"/>
    <col customWidth="1" min="828" max="828" width="18.5"/>
    <col customWidth="1" min="852" max="852" width="75.25"/>
    <col customWidth="1" min="853" max="853" width="13.88"/>
    <col customWidth="1" min="857" max="857" width="18.5"/>
    <col customWidth="1" min="881" max="881" width="75.25"/>
    <col customWidth="1" min="882" max="882" width="13.88"/>
    <col customWidth="1" min="886" max="886" width="18.5"/>
    <col customWidth="1" min="910" max="910" width="75.25"/>
    <col customWidth="1" min="911" max="911" width="13.88"/>
    <col customWidth="1" min="915" max="915" width="18.5"/>
    <col customWidth="1" min="939" max="939" width="75.25"/>
    <col customWidth="1" min="940" max="940" width="13.88"/>
    <col customWidth="1" min="944" max="944" width="18.5"/>
  </cols>
  <sheetData>
    <row r="1">
      <c r="A1" s="2" t="s">
        <v>13</v>
      </c>
      <c r="B1" s="2" t="s">
        <v>14</v>
      </c>
      <c r="C1" s="2" t="s">
        <v>15</v>
      </c>
    </row>
    <row r="2">
      <c r="A2" s="2" t="s">
        <v>17</v>
      </c>
      <c r="B2" s="13" t="s">
        <v>18</v>
      </c>
      <c r="C2" s="13" t="s">
        <v>18</v>
      </c>
    </row>
    <row r="3">
      <c r="A3" s="2" t="s">
        <v>25</v>
      </c>
      <c r="B3" s="13" t="s">
        <v>18</v>
      </c>
      <c r="C3" s="13" t="s">
        <v>18</v>
      </c>
    </row>
    <row r="4">
      <c r="A4" s="2" t="s">
        <v>30</v>
      </c>
      <c r="B4" s="13" t="s">
        <v>18</v>
      </c>
      <c r="C4" s="13" t="s">
        <v>18</v>
      </c>
    </row>
    <row r="5">
      <c r="A5" s="22" t="s">
        <v>37</v>
      </c>
      <c r="B5" s="13" t="s">
        <v>18</v>
      </c>
      <c r="C5" s="13" t="s">
        <v>18</v>
      </c>
    </row>
    <row r="6">
      <c r="A6" s="2" t="s">
        <v>44</v>
      </c>
      <c r="B6" s="13" t="s">
        <v>18</v>
      </c>
      <c r="C6" s="13" t="s">
        <v>18</v>
      </c>
    </row>
    <row r="7">
      <c r="A7" s="2" t="s">
        <v>55</v>
      </c>
      <c r="B7" s="13" t="s">
        <v>18</v>
      </c>
      <c r="C7" s="13" t="s">
        <v>18</v>
      </c>
    </row>
    <row r="8">
      <c r="A8" s="2" t="s">
        <v>64</v>
      </c>
      <c r="B8" s="13" t="s">
        <v>18</v>
      </c>
      <c r="C8" s="13" t="s">
        <v>18</v>
      </c>
    </row>
    <row r="9">
      <c r="A9" s="2" t="s">
        <v>71</v>
      </c>
      <c r="B9" s="13" t="s">
        <v>18</v>
      </c>
      <c r="C9" s="13" t="s">
        <v>18</v>
      </c>
    </row>
    <row r="10">
      <c r="A10" s="2" t="s">
        <v>79</v>
      </c>
      <c r="B10" s="13" t="s">
        <v>18</v>
      </c>
      <c r="C10" s="13" t="s">
        <v>18</v>
      </c>
    </row>
    <row r="11">
      <c r="A11" s="2" t="s">
        <v>89</v>
      </c>
      <c r="B11" s="13" t="s">
        <v>18</v>
      </c>
      <c r="C11" s="13" t="s">
        <v>18</v>
      </c>
    </row>
    <row r="12">
      <c r="A12" s="2" t="s">
        <v>95</v>
      </c>
      <c r="B12" s="13" t="s">
        <v>18</v>
      </c>
      <c r="C12" s="13" t="s">
        <v>18</v>
      </c>
    </row>
    <row r="13">
      <c r="A13" s="2" t="s">
        <v>100</v>
      </c>
      <c r="B13" s="13" t="s">
        <v>18</v>
      </c>
      <c r="C13" s="13" t="s">
        <v>18</v>
      </c>
    </row>
    <row r="14">
      <c r="A14" s="2" t="s">
        <v>105</v>
      </c>
      <c r="B14" s="13" t="s">
        <v>18</v>
      </c>
      <c r="C14" s="13" t="s">
        <v>18</v>
      </c>
    </row>
    <row r="15">
      <c r="A15" s="2" t="s">
        <v>108</v>
      </c>
      <c r="B15" s="13" t="s">
        <v>18</v>
      </c>
      <c r="C15" s="13" t="s">
        <v>18</v>
      </c>
    </row>
    <row r="16">
      <c r="A16" s="2" t="s">
        <v>113</v>
      </c>
      <c r="B16" s="13" t="s">
        <v>18</v>
      </c>
      <c r="C16" s="13" t="s">
        <v>18</v>
      </c>
    </row>
    <row r="17">
      <c r="A17" s="2" t="s">
        <v>118</v>
      </c>
      <c r="B17" s="13" t="s">
        <v>18</v>
      </c>
      <c r="C17" s="13" t="s">
        <v>18</v>
      </c>
    </row>
    <row r="18">
      <c r="A18" s="2" t="s">
        <v>122</v>
      </c>
      <c r="B18" s="13" t="s">
        <v>18</v>
      </c>
      <c r="C18" s="13" t="s">
        <v>18</v>
      </c>
    </row>
    <row r="19">
      <c r="A19" s="2" t="s">
        <v>129</v>
      </c>
      <c r="B19" s="13" t="s">
        <v>18</v>
      </c>
      <c r="C19" s="13" t="s">
        <v>18</v>
      </c>
    </row>
    <row r="20">
      <c r="A20" s="2" t="s">
        <v>131</v>
      </c>
      <c r="B20" s="13" t="s">
        <v>18</v>
      </c>
      <c r="C20" s="13" t="s">
        <v>18</v>
      </c>
    </row>
    <row r="21">
      <c r="A21" s="2" t="s">
        <v>134</v>
      </c>
      <c r="B21" s="13" t="s">
        <v>18</v>
      </c>
      <c r="C21" s="13" t="s">
        <v>18</v>
      </c>
    </row>
    <row r="22">
      <c r="A22" s="2" t="s">
        <v>139</v>
      </c>
      <c r="B22" s="13" t="s">
        <v>18</v>
      </c>
      <c r="C22" s="13" t="s">
        <v>18</v>
      </c>
    </row>
    <row r="23">
      <c r="A23" s="2" t="s">
        <v>144</v>
      </c>
      <c r="B23" s="13" t="s">
        <v>18</v>
      </c>
      <c r="C23" s="13" t="s">
        <v>18</v>
      </c>
    </row>
    <row r="24">
      <c r="A24" s="2" t="s">
        <v>148</v>
      </c>
      <c r="B24" s="13" t="s">
        <v>18</v>
      </c>
      <c r="C24" s="13" t="s">
        <v>18</v>
      </c>
    </row>
    <row r="25">
      <c r="A25" s="2" t="s">
        <v>125</v>
      </c>
      <c r="B25" s="13" t="s">
        <v>18</v>
      </c>
      <c r="C25" s="13" t="s">
        <v>18</v>
      </c>
    </row>
    <row r="26">
      <c r="A26" s="2" t="s">
        <v>160</v>
      </c>
      <c r="B26" s="13" t="s">
        <v>18</v>
      </c>
      <c r="C26" s="13" t="s">
        <v>18</v>
      </c>
    </row>
    <row r="27">
      <c r="A27" s="2" t="s">
        <v>163</v>
      </c>
      <c r="B27" s="13" t="s">
        <v>18</v>
      </c>
      <c r="C27" s="13" t="s">
        <v>18</v>
      </c>
    </row>
    <row r="28">
      <c r="A28" s="2" t="s">
        <v>164</v>
      </c>
      <c r="B28" s="13" t="s">
        <v>18</v>
      </c>
      <c r="C28" s="13" t="s">
        <v>18</v>
      </c>
    </row>
    <row r="29">
      <c r="A29" s="2" t="s">
        <v>165</v>
      </c>
      <c r="B29" s="13" t="s">
        <v>18</v>
      </c>
      <c r="C29" s="13" t="s">
        <v>18</v>
      </c>
    </row>
    <row r="30">
      <c r="A30" s="2" t="s">
        <v>166</v>
      </c>
      <c r="B30" s="13" t="s">
        <v>18</v>
      </c>
      <c r="C30" s="13" t="s">
        <v>18</v>
      </c>
    </row>
    <row r="31">
      <c r="A31" s="2" t="s">
        <v>167</v>
      </c>
      <c r="B31" s="13" t="s">
        <v>18</v>
      </c>
      <c r="C31" s="13" t="s">
        <v>18</v>
      </c>
    </row>
    <row r="32">
      <c r="A32" s="2" t="s">
        <v>173</v>
      </c>
      <c r="B32" s="13" t="s">
        <v>18</v>
      </c>
      <c r="C32" s="13" t="s">
        <v>18</v>
      </c>
    </row>
    <row r="33">
      <c r="A33" s="2" t="s">
        <v>179</v>
      </c>
      <c r="B33" s="13" t="s">
        <v>18</v>
      </c>
      <c r="C33" s="13" t="s">
        <v>18</v>
      </c>
    </row>
    <row r="34">
      <c r="A34" s="2" t="s">
        <v>184</v>
      </c>
      <c r="B34" s="13" t="s">
        <v>18</v>
      </c>
      <c r="C34" s="13" t="s">
        <v>18</v>
      </c>
    </row>
    <row r="35">
      <c r="A35" s="2" t="s">
        <v>190</v>
      </c>
      <c r="B35" s="13" t="s">
        <v>18</v>
      </c>
      <c r="C35" s="13" t="s">
        <v>18</v>
      </c>
    </row>
    <row r="36">
      <c r="A36" s="2" t="s">
        <v>18</v>
      </c>
      <c r="B36" s="13" t="s">
        <v>18</v>
      </c>
      <c r="C36" s="13" t="s">
        <v>18</v>
      </c>
    </row>
    <row r="37">
      <c r="A37" s="2" t="s">
        <v>196</v>
      </c>
      <c r="B37" s="13" t="s">
        <v>18</v>
      </c>
      <c r="C37" s="13" t="s">
        <v>18</v>
      </c>
    </row>
    <row r="38">
      <c r="A38" s="2" t="s">
        <v>200</v>
      </c>
      <c r="B38" s="13" t="s">
        <v>201</v>
      </c>
      <c r="C38" s="13" t="s">
        <v>18</v>
      </c>
    </row>
    <row r="39">
      <c r="A39" s="2" t="s">
        <v>204</v>
      </c>
      <c r="B39" s="13" t="s">
        <v>201</v>
      </c>
      <c r="C39" s="13" t="s">
        <v>18</v>
      </c>
    </row>
    <row r="40">
      <c r="A40" s="2" t="s">
        <v>208</v>
      </c>
      <c r="B40" s="13" t="s">
        <v>201</v>
      </c>
      <c r="C40" s="13" t="s">
        <v>201</v>
      </c>
    </row>
    <row r="41">
      <c r="A41" s="2" t="s">
        <v>217</v>
      </c>
      <c r="B41" s="13" t="s">
        <v>219</v>
      </c>
      <c r="C41" s="13" t="s">
        <v>201</v>
      </c>
    </row>
    <row r="42">
      <c r="A42" s="2" t="s">
        <v>229</v>
      </c>
      <c r="B42" s="13" t="s">
        <v>229</v>
      </c>
      <c r="C42" s="13" t="s">
        <v>201</v>
      </c>
    </row>
    <row r="43">
      <c r="A43" s="2" t="s">
        <v>242</v>
      </c>
      <c r="B43" s="13" t="s">
        <v>219</v>
      </c>
      <c r="C43" s="13" t="s">
        <v>219</v>
      </c>
    </row>
    <row r="44">
      <c r="A44" s="2" t="s">
        <v>246</v>
      </c>
      <c r="B44" s="13" t="s">
        <v>247</v>
      </c>
      <c r="C44" s="13" t="s">
        <v>229</v>
      </c>
    </row>
    <row r="45">
      <c r="A45" s="2" t="s">
        <v>255</v>
      </c>
      <c r="B45" s="13" t="s">
        <v>247</v>
      </c>
      <c r="C45" s="13" t="s">
        <v>219</v>
      </c>
    </row>
    <row r="46">
      <c r="A46" s="2" t="s">
        <v>262</v>
      </c>
      <c r="B46" s="13" t="s">
        <v>263</v>
      </c>
      <c r="C46" s="13" t="s">
        <v>247</v>
      </c>
    </row>
    <row r="47">
      <c r="A47" s="2" t="s">
        <v>272</v>
      </c>
      <c r="B47" s="41" t="s">
        <v>210</v>
      </c>
      <c r="C47" s="13" t="s">
        <v>247</v>
      </c>
    </row>
    <row r="48">
      <c r="A48" s="2" t="s">
        <v>165</v>
      </c>
      <c r="B48" s="41" t="s">
        <v>18</v>
      </c>
      <c r="C48" s="13" t="s">
        <v>263</v>
      </c>
    </row>
    <row r="49">
      <c r="A49" s="2" t="s">
        <v>282</v>
      </c>
      <c r="B49" s="41" t="s">
        <v>282</v>
      </c>
      <c r="C49" s="13" t="s">
        <v>210</v>
      </c>
    </row>
    <row r="50">
      <c r="A50" s="2" t="s">
        <v>283</v>
      </c>
      <c r="B50" s="41" t="s">
        <v>210</v>
      </c>
      <c r="C50" s="13" t="s">
        <v>18</v>
      </c>
    </row>
    <row r="51">
      <c r="A51" s="2" t="s">
        <v>284</v>
      </c>
      <c r="B51" s="13" t="s">
        <v>285</v>
      </c>
      <c r="C51" s="13" t="s">
        <v>282</v>
      </c>
    </row>
    <row r="52">
      <c r="A52" s="2" t="s">
        <v>284</v>
      </c>
      <c r="B52" s="13" t="s">
        <v>288</v>
      </c>
      <c r="C52" s="13" t="s">
        <v>210</v>
      </c>
    </row>
    <row r="53">
      <c r="A53" s="2" t="s">
        <v>210</v>
      </c>
      <c r="B53" s="41" t="s">
        <v>210</v>
      </c>
      <c r="C53" s="13" t="s">
        <v>285</v>
      </c>
    </row>
    <row r="54">
      <c r="A54" s="2" t="s">
        <v>291</v>
      </c>
      <c r="B54" s="13" t="s">
        <v>288</v>
      </c>
      <c r="C54" s="13" t="s">
        <v>288</v>
      </c>
    </row>
    <row r="55">
      <c r="A55" s="2" t="s">
        <v>295</v>
      </c>
      <c r="B55" s="13" t="s">
        <v>288</v>
      </c>
      <c r="C55" s="13" t="s">
        <v>210</v>
      </c>
    </row>
    <row r="56">
      <c r="A56" s="2" t="s">
        <v>295</v>
      </c>
      <c r="B56" s="13" t="s">
        <v>285</v>
      </c>
      <c r="C56" s="13" t="s">
        <v>288</v>
      </c>
    </row>
    <row r="57">
      <c r="A57" s="2" t="s">
        <v>295</v>
      </c>
      <c r="B57" s="13" t="s">
        <v>210</v>
      </c>
      <c r="C57" s="13" t="s">
        <v>288</v>
      </c>
    </row>
    <row r="58">
      <c r="A58" s="2" t="s">
        <v>295</v>
      </c>
      <c r="B58" s="13" t="s">
        <v>282</v>
      </c>
      <c r="C58" s="13" t="s">
        <v>285</v>
      </c>
    </row>
    <row r="59">
      <c r="A59" s="2" t="s">
        <v>295</v>
      </c>
      <c r="B59" s="13" t="s">
        <v>303</v>
      </c>
      <c r="C59" s="13" t="s">
        <v>210</v>
      </c>
    </row>
    <row r="60">
      <c r="A60" s="2" t="s">
        <v>295</v>
      </c>
      <c r="B60" s="13" t="s">
        <v>306</v>
      </c>
      <c r="C60" s="13" t="s">
        <v>282</v>
      </c>
    </row>
    <row r="61">
      <c r="A61" s="2" t="s">
        <v>295</v>
      </c>
      <c r="B61" s="13" t="s">
        <v>312</v>
      </c>
      <c r="C61" s="13" t="s">
        <v>303</v>
      </c>
    </row>
    <row r="62">
      <c r="A62" s="2" t="s">
        <v>295</v>
      </c>
      <c r="B62" s="13" t="s">
        <v>313</v>
      </c>
      <c r="C62" s="13" t="s">
        <v>306</v>
      </c>
    </row>
    <row r="63">
      <c r="A63" s="2" t="s">
        <v>317</v>
      </c>
      <c r="B63" s="13" t="s">
        <v>318</v>
      </c>
      <c r="C63" s="13" t="s">
        <v>312</v>
      </c>
    </row>
    <row r="64">
      <c r="A64" s="2" t="s">
        <v>291</v>
      </c>
      <c r="B64" s="13" t="s">
        <v>288</v>
      </c>
      <c r="C64" s="13" t="s">
        <v>313</v>
      </c>
    </row>
    <row r="65">
      <c r="A65" s="2" t="s">
        <v>330</v>
      </c>
      <c r="B65" s="13" t="s">
        <v>303</v>
      </c>
      <c r="C65" s="13" t="s">
        <v>318</v>
      </c>
    </row>
    <row r="66">
      <c r="A66" s="2" t="s">
        <v>337</v>
      </c>
      <c r="B66" s="13" t="s">
        <v>318</v>
      </c>
      <c r="C66" s="13" t="s">
        <v>288</v>
      </c>
    </row>
    <row r="67">
      <c r="A67" s="2" t="s">
        <v>339</v>
      </c>
      <c r="B67" s="13" t="s">
        <v>282</v>
      </c>
      <c r="C67" s="13" t="s">
        <v>303</v>
      </c>
    </row>
    <row r="68">
      <c r="A68" s="2" t="s">
        <v>219</v>
      </c>
      <c r="B68" s="13" t="s">
        <v>219</v>
      </c>
      <c r="C68" s="13" t="s">
        <v>318</v>
      </c>
    </row>
    <row r="69">
      <c r="A69" s="2" t="s">
        <v>219</v>
      </c>
      <c r="B69" s="13" t="s">
        <v>313</v>
      </c>
      <c r="C69" s="13" t="s">
        <v>282</v>
      </c>
    </row>
    <row r="70">
      <c r="A70" s="2" t="s">
        <v>352</v>
      </c>
      <c r="B70" s="13" t="s">
        <v>219</v>
      </c>
      <c r="C70" s="13" t="s">
        <v>219</v>
      </c>
    </row>
    <row r="71">
      <c r="A71" s="2" t="s">
        <v>352</v>
      </c>
      <c r="B71" s="13" t="s">
        <v>313</v>
      </c>
      <c r="C71" s="13" t="s">
        <v>313</v>
      </c>
    </row>
    <row r="72">
      <c r="A72" s="2" t="s">
        <v>362</v>
      </c>
      <c r="B72" s="13" t="s">
        <v>363</v>
      </c>
      <c r="C72" s="13" t="s">
        <v>219</v>
      </c>
    </row>
    <row r="73">
      <c r="A73" s="2" t="s">
        <v>367</v>
      </c>
      <c r="B73" s="13" t="s">
        <v>313</v>
      </c>
      <c r="C73" s="13" t="s">
        <v>313</v>
      </c>
    </row>
    <row r="74">
      <c r="A74" s="2" t="s">
        <v>371</v>
      </c>
      <c r="B74" s="13" t="s">
        <v>372</v>
      </c>
      <c r="C74" s="13" t="s">
        <v>363</v>
      </c>
    </row>
    <row r="75">
      <c r="A75" s="2" t="s">
        <v>371</v>
      </c>
      <c r="B75" s="13" t="s">
        <v>372</v>
      </c>
      <c r="C75" s="13" t="s">
        <v>313</v>
      </c>
    </row>
    <row r="76">
      <c r="A76" s="2" t="s">
        <v>382</v>
      </c>
      <c r="B76" s="13" t="s">
        <v>219</v>
      </c>
      <c r="C76" s="13" t="s">
        <v>372</v>
      </c>
    </row>
    <row r="77">
      <c r="A77" s="2" t="s">
        <v>382</v>
      </c>
      <c r="B77" s="13" t="s">
        <v>313</v>
      </c>
      <c r="C77" s="13" t="s">
        <v>372</v>
      </c>
    </row>
    <row r="78">
      <c r="A78" s="2" t="s">
        <v>382</v>
      </c>
      <c r="B78" s="13" t="s">
        <v>372</v>
      </c>
      <c r="C78" s="13" t="s">
        <v>219</v>
      </c>
    </row>
    <row r="79">
      <c r="A79" s="2" t="s">
        <v>389</v>
      </c>
      <c r="B79" s="13" t="s">
        <v>288</v>
      </c>
      <c r="C79" s="13" t="s">
        <v>313</v>
      </c>
    </row>
    <row r="80">
      <c r="A80" s="2" t="s">
        <v>393</v>
      </c>
      <c r="B80" s="13" t="s">
        <v>288</v>
      </c>
      <c r="C80" s="13" t="s">
        <v>372</v>
      </c>
    </row>
    <row r="81">
      <c r="A81" s="2" t="s">
        <v>399</v>
      </c>
      <c r="B81" s="13" t="s">
        <v>288</v>
      </c>
      <c r="C81" s="13" t="s">
        <v>288</v>
      </c>
    </row>
    <row r="82">
      <c r="A82" s="2" t="s">
        <v>399</v>
      </c>
      <c r="B82" s="13" t="s">
        <v>285</v>
      </c>
      <c r="C82" s="13" t="s">
        <v>288</v>
      </c>
    </row>
    <row r="83">
      <c r="A83" s="2" t="s">
        <v>399</v>
      </c>
      <c r="B83" s="13" t="s">
        <v>282</v>
      </c>
      <c r="C83" s="13" t="s">
        <v>288</v>
      </c>
    </row>
    <row r="84">
      <c r="A84" s="2" t="s">
        <v>410</v>
      </c>
      <c r="B84" s="13" t="s">
        <v>288</v>
      </c>
      <c r="C84" s="13" t="s">
        <v>285</v>
      </c>
    </row>
    <row r="85">
      <c r="A85" s="2" t="s">
        <v>414</v>
      </c>
      <c r="B85" s="13" t="s">
        <v>303</v>
      </c>
      <c r="C85" s="13" t="s">
        <v>282</v>
      </c>
    </row>
    <row r="86">
      <c r="A86" s="2" t="s">
        <v>419</v>
      </c>
      <c r="B86" s="13" t="s">
        <v>303</v>
      </c>
      <c r="C86" s="13" t="s">
        <v>288</v>
      </c>
    </row>
    <row r="87">
      <c r="A87" s="2" t="s">
        <v>419</v>
      </c>
      <c r="B87" s="13" t="s">
        <v>313</v>
      </c>
      <c r="C87" s="13" t="s">
        <v>303</v>
      </c>
    </row>
    <row r="88">
      <c r="A88" s="2" t="s">
        <v>428</v>
      </c>
      <c r="B88" s="13" t="s">
        <v>219</v>
      </c>
      <c r="C88" s="13" t="s">
        <v>303</v>
      </c>
    </row>
    <row r="89">
      <c r="A89" s="2" t="s">
        <v>428</v>
      </c>
      <c r="B89" s="13" t="s">
        <v>313</v>
      </c>
      <c r="C89" s="13" t="s">
        <v>313</v>
      </c>
    </row>
    <row r="90">
      <c r="A90" s="2" t="s">
        <v>435</v>
      </c>
      <c r="B90" s="13" t="s">
        <v>285</v>
      </c>
      <c r="C90" s="13" t="s">
        <v>219</v>
      </c>
    </row>
    <row r="91">
      <c r="A91" s="2" t="s">
        <v>435</v>
      </c>
      <c r="B91" s="13" t="s">
        <v>210</v>
      </c>
      <c r="C91" s="13" t="s">
        <v>313</v>
      </c>
    </row>
    <row r="92">
      <c r="A92" s="2" t="s">
        <v>211</v>
      </c>
      <c r="B92" s="13" t="s">
        <v>18</v>
      </c>
      <c r="C92" s="13" t="s">
        <v>285</v>
      </c>
    </row>
    <row r="93">
      <c r="A93" s="2" t="s">
        <v>306</v>
      </c>
      <c r="B93" s="13" t="s">
        <v>306</v>
      </c>
      <c r="C93" s="13" t="s">
        <v>210</v>
      </c>
    </row>
    <row r="94">
      <c r="A94" s="2" t="s">
        <v>452</v>
      </c>
      <c r="B94" s="13" t="s">
        <v>318</v>
      </c>
      <c r="C94" s="13" t="s">
        <v>18</v>
      </c>
    </row>
    <row r="95">
      <c r="A95" s="2" t="s">
        <v>212</v>
      </c>
      <c r="B95" s="13" t="s">
        <v>18</v>
      </c>
      <c r="C95" s="13" t="s">
        <v>306</v>
      </c>
    </row>
    <row r="96">
      <c r="A96" s="2" t="s">
        <v>213</v>
      </c>
      <c r="B96" s="13" t="s">
        <v>18</v>
      </c>
      <c r="C96" s="13" t="s">
        <v>318</v>
      </c>
    </row>
    <row r="97">
      <c r="A97" s="2" t="s">
        <v>215</v>
      </c>
      <c r="B97" s="13" t="s">
        <v>18</v>
      </c>
      <c r="C97" s="13" t="s">
        <v>18</v>
      </c>
    </row>
    <row r="98">
      <c r="A98" s="2" t="s">
        <v>464</v>
      </c>
      <c r="B98" s="13" t="s">
        <v>210</v>
      </c>
      <c r="C98" s="13" t="s">
        <v>18</v>
      </c>
    </row>
    <row r="99">
      <c r="A99" s="2" t="s">
        <v>469</v>
      </c>
      <c r="B99" s="13" t="s">
        <v>210</v>
      </c>
      <c r="C99" s="13" t="s">
        <v>18</v>
      </c>
    </row>
    <row r="100">
      <c r="A100" s="2" t="s">
        <v>469</v>
      </c>
      <c r="B100" s="13" t="s">
        <v>189</v>
      </c>
      <c r="C100" s="13" t="s">
        <v>210</v>
      </c>
    </row>
    <row r="101">
      <c r="A101" s="2" t="s">
        <v>476</v>
      </c>
      <c r="B101" s="13" t="s">
        <v>247</v>
      </c>
      <c r="C101" s="13" t="s">
        <v>210</v>
      </c>
    </row>
    <row r="102">
      <c r="A102" s="2" t="s">
        <v>481</v>
      </c>
      <c r="B102" s="13" t="s">
        <v>219</v>
      </c>
      <c r="C102" s="13" t="s">
        <v>189</v>
      </c>
    </row>
    <row r="103">
      <c r="A103" s="2" t="s">
        <v>481</v>
      </c>
      <c r="B103" s="13" t="s">
        <v>313</v>
      </c>
      <c r="C103" s="13" t="s">
        <v>247</v>
      </c>
    </row>
    <row r="104">
      <c r="A104" s="2" t="s">
        <v>481</v>
      </c>
      <c r="B104" s="13" t="s">
        <v>372</v>
      </c>
      <c r="C104" s="13" t="s">
        <v>219</v>
      </c>
    </row>
    <row r="105">
      <c r="A105" s="2" t="s">
        <v>492</v>
      </c>
      <c r="B105" s="13" t="s">
        <v>247</v>
      </c>
      <c r="C105" s="13" t="s">
        <v>313</v>
      </c>
    </row>
    <row r="106">
      <c r="A106" s="2" t="s">
        <v>497</v>
      </c>
      <c r="B106" s="13" t="s">
        <v>318</v>
      </c>
      <c r="C106" s="13" t="s">
        <v>372</v>
      </c>
    </row>
    <row r="107">
      <c r="A107" s="2" t="s">
        <v>504</v>
      </c>
      <c r="B107" s="13" t="s">
        <v>201</v>
      </c>
      <c r="C107" s="13" t="s">
        <v>247</v>
      </c>
    </row>
    <row r="108">
      <c r="A108" s="2" t="s">
        <v>508</v>
      </c>
      <c r="B108" s="13" t="s">
        <v>201</v>
      </c>
      <c r="C108" s="13" t="s">
        <v>318</v>
      </c>
    </row>
    <row r="109">
      <c r="A109" s="2" t="s">
        <v>513</v>
      </c>
      <c r="B109" s="13" t="s">
        <v>201</v>
      </c>
      <c r="C109" s="13" t="s">
        <v>201</v>
      </c>
    </row>
    <row r="110">
      <c r="A110" s="2" t="s">
        <v>518</v>
      </c>
      <c r="B110" s="13" t="s">
        <v>312</v>
      </c>
      <c r="C110" s="13" t="s">
        <v>201</v>
      </c>
    </row>
    <row r="111">
      <c r="A111" s="2" t="s">
        <v>522</v>
      </c>
      <c r="B111" s="13" t="s">
        <v>318</v>
      </c>
      <c r="C111" s="13" t="s">
        <v>201</v>
      </c>
    </row>
    <row r="112">
      <c r="A112" s="2" t="s">
        <v>523</v>
      </c>
      <c r="B112" s="13" t="s">
        <v>219</v>
      </c>
      <c r="C112" s="13" t="s">
        <v>312</v>
      </c>
    </row>
    <row r="113">
      <c r="A113" s="2" t="s">
        <v>523</v>
      </c>
      <c r="B113" s="13" t="s">
        <v>313</v>
      </c>
      <c r="C113" s="13" t="s">
        <v>318</v>
      </c>
    </row>
    <row r="114">
      <c r="A114" s="2" t="s">
        <v>523</v>
      </c>
      <c r="B114" s="13" t="s">
        <v>372</v>
      </c>
      <c r="C114" s="13" t="s">
        <v>219</v>
      </c>
    </row>
    <row r="115">
      <c r="A115" s="2" t="s">
        <v>535</v>
      </c>
      <c r="B115" s="13" t="s">
        <v>536</v>
      </c>
      <c r="C115" s="13" t="s">
        <v>313</v>
      </c>
    </row>
    <row r="116">
      <c r="A116" s="2" t="s">
        <v>216</v>
      </c>
      <c r="B116" s="13" t="s">
        <v>18</v>
      </c>
      <c r="C116" s="13" t="s">
        <v>372</v>
      </c>
    </row>
    <row r="117">
      <c r="A117" s="2" t="s">
        <v>543</v>
      </c>
      <c r="B117" s="13" t="s">
        <v>536</v>
      </c>
      <c r="C117" s="13" t="s">
        <v>536</v>
      </c>
    </row>
    <row r="118">
      <c r="A118" s="2" t="s">
        <v>543</v>
      </c>
      <c r="B118" s="13" t="s">
        <v>372</v>
      </c>
      <c r="C118" s="13" t="s">
        <v>18</v>
      </c>
    </row>
    <row r="119">
      <c r="A119" s="2" t="s">
        <v>161</v>
      </c>
      <c r="B119" s="13" t="s">
        <v>201</v>
      </c>
      <c r="C119" s="13" t="s">
        <v>536</v>
      </c>
    </row>
    <row r="120">
      <c r="A120" s="2" t="s">
        <v>550</v>
      </c>
      <c r="B120" s="13" t="s">
        <v>372</v>
      </c>
      <c r="C120" s="13" t="s">
        <v>372</v>
      </c>
    </row>
    <row r="121">
      <c r="A121" s="2" t="s">
        <v>550</v>
      </c>
      <c r="B121" s="13" t="s">
        <v>372</v>
      </c>
      <c r="C121" s="13" t="s">
        <v>201</v>
      </c>
    </row>
    <row r="122">
      <c r="A122" s="2" t="s">
        <v>536</v>
      </c>
      <c r="B122" s="13" t="s">
        <v>536</v>
      </c>
      <c r="C122" s="13" t="s">
        <v>372</v>
      </c>
    </row>
    <row r="123">
      <c r="A123" s="2" t="s">
        <v>559</v>
      </c>
      <c r="B123" s="13" t="s">
        <v>282</v>
      </c>
      <c r="C123" s="13" t="s">
        <v>372</v>
      </c>
    </row>
    <row r="124">
      <c r="A124" s="2" t="s">
        <v>559</v>
      </c>
      <c r="B124" s="13" t="s">
        <v>536</v>
      </c>
      <c r="C124" s="13" t="s">
        <v>536</v>
      </c>
    </row>
    <row r="125">
      <c r="A125" s="2" t="s">
        <v>569</v>
      </c>
      <c r="B125" s="13" t="s">
        <v>285</v>
      </c>
      <c r="C125" s="13" t="s">
        <v>282</v>
      </c>
    </row>
    <row r="126">
      <c r="A126" s="2" t="s">
        <v>569</v>
      </c>
      <c r="B126" s="13" t="s">
        <v>282</v>
      </c>
      <c r="C126" s="13" t="s">
        <v>536</v>
      </c>
    </row>
    <row r="127">
      <c r="A127" s="2" t="s">
        <v>586</v>
      </c>
      <c r="B127" s="13" t="s">
        <v>285</v>
      </c>
      <c r="C127" s="13" t="s">
        <v>285</v>
      </c>
    </row>
    <row r="128">
      <c r="A128" s="2" t="s">
        <v>586</v>
      </c>
      <c r="B128" s="13" t="s">
        <v>210</v>
      </c>
      <c r="C128" s="13" t="s">
        <v>282</v>
      </c>
    </row>
    <row r="129">
      <c r="A129" s="2" t="s">
        <v>593</v>
      </c>
      <c r="B129" s="13" t="s">
        <v>318</v>
      </c>
      <c r="C129" s="13" t="s">
        <v>285</v>
      </c>
    </row>
    <row r="130">
      <c r="A130" s="2" t="s">
        <v>596</v>
      </c>
      <c r="B130" s="13" t="s">
        <v>285</v>
      </c>
      <c r="C130" s="13" t="s">
        <v>210</v>
      </c>
    </row>
    <row r="131">
      <c r="A131" s="2" t="s">
        <v>600</v>
      </c>
      <c r="B131" s="13" t="s">
        <v>285</v>
      </c>
      <c r="C131" s="13" t="s">
        <v>318</v>
      </c>
    </row>
    <row r="132">
      <c r="A132" s="2" t="s">
        <v>600</v>
      </c>
      <c r="B132" s="13" t="s">
        <v>210</v>
      </c>
      <c r="C132" s="13" t="s">
        <v>285</v>
      </c>
    </row>
    <row r="133">
      <c r="A133" s="2" t="s">
        <v>605</v>
      </c>
      <c r="B133" s="13" t="s">
        <v>247</v>
      </c>
      <c r="C133" s="13" t="s">
        <v>285</v>
      </c>
    </row>
    <row r="134">
      <c r="A134" s="2" t="s">
        <v>607</v>
      </c>
      <c r="B134" s="13" t="s">
        <v>282</v>
      </c>
      <c r="C134" s="13" t="s">
        <v>210</v>
      </c>
    </row>
    <row r="135">
      <c r="A135" s="2" t="s">
        <v>610</v>
      </c>
      <c r="B135" s="13" t="s">
        <v>363</v>
      </c>
      <c r="C135" s="13" t="s">
        <v>247</v>
      </c>
    </row>
    <row r="136">
      <c r="A136" s="2" t="s">
        <v>616</v>
      </c>
      <c r="B136" s="13" t="s">
        <v>285</v>
      </c>
      <c r="C136" s="13" t="s">
        <v>282</v>
      </c>
    </row>
    <row r="137">
      <c r="A137" s="2" t="s">
        <v>616</v>
      </c>
      <c r="B137" s="13" t="s">
        <v>210</v>
      </c>
      <c r="C137" s="13" t="s">
        <v>363</v>
      </c>
    </row>
    <row r="138">
      <c r="A138" s="2" t="s">
        <v>620</v>
      </c>
      <c r="B138" s="13" t="s">
        <v>247</v>
      </c>
      <c r="C138" s="13" t="s">
        <v>285</v>
      </c>
    </row>
    <row r="139">
      <c r="A139" s="2" t="s">
        <v>218</v>
      </c>
      <c r="B139" s="13" t="s">
        <v>18</v>
      </c>
      <c r="C139" s="13" t="s">
        <v>210</v>
      </c>
    </row>
    <row r="140">
      <c r="A140" s="2" t="s">
        <v>625</v>
      </c>
      <c r="B140" s="41" t="s">
        <v>282</v>
      </c>
      <c r="C140" s="13" t="s">
        <v>247</v>
      </c>
    </row>
    <row r="141">
      <c r="A141" s="2" t="s">
        <v>627</v>
      </c>
      <c r="B141" s="13" t="s">
        <v>536</v>
      </c>
      <c r="C141" s="13" t="s">
        <v>18</v>
      </c>
    </row>
    <row r="142">
      <c r="A142" s="2" t="s">
        <v>630</v>
      </c>
      <c r="B142" s="13" t="s">
        <v>288</v>
      </c>
      <c r="C142" s="13" t="s">
        <v>282</v>
      </c>
    </row>
    <row r="143">
      <c r="A143" s="2" t="s">
        <v>410</v>
      </c>
      <c r="B143" s="13" t="s">
        <v>288</v>
      </c>
      <c r="C143" s="13" t="s">
        <v>536</v>
      </c>
    </row>
    <row r="144">
      <c r="A144" s="2" t="s">
        <v>637</v>
      </c>
      <c r="B144" s="13" t="s">
        <v>247</v>
      </c>
      <c r="C144" s="13" t="s">
        <v>288</v>
      </c>
    </row>
    <row r="145">
      <c r="A145" s="2" t="s">
        <v>640</v>
      </c>
      <c r="B145" s="13" t="s">
        <v>318</v>
      </c>
      <c r="C145" s="13" t="s">
        <v>288</v>
      </c>
    </row>
    <row r="146">
      <c r="A146" s="2" t="s">
        <v>643</v>
      </c>
      <c r="B146" s="13" t="s">
        <v>318</v>
      </c>
      <c r="C146" s="13" t="s">
        <v>247</v>
      </c>
    </row>
    <row r="147">
      <c r="A147" s="2" t="s">
        <v>647</v>
      </c>
      <c r="B147" s="13" t="s">
        <v>313</v>
      </c>
      <c r="C147" s="13" t="s">
        <v>318</v>
      </c>
    </row>
    <row r="148">
      <c r="A148" s="2" t="s">
        <v>650</v>
      </c>
      <c r="B148" s="13" t="s">
        <v>210</v>
      </c>
      <c r="C148" s="13" t="s">
        <v>318</v>
      </c>
    </row>
    <row r="149">
      <c r="A149" s="2" t="s">
        <v>650</v>
      </c>
      <c r="B149" s="13" t="s">
        <v>285</v>
      </c>
      <c r="C149" s="13" t="s">
        <v>313</v>
      </c>
    </row>
    <row r="150">
      <c r="A150" s="2" t="s">
        <v>650</v>
      </c>
      <c r="B150" s="13" t="s">
        <v>282</v>
      </c>
      <c r="C150" s="13" t="s">
        <v>210</v>
      </c>
    </row>
    <row r="151">
      <c r="A151" s="2" t="s">
        <v>658</v>
      </c>
      <c r="B151" s="13" t="s">
        <v>201</v>
      </c>
      <c r="C151" s="13" t="s">
        <v>285</v>
      </c>
    </row>
    <row r="152">
      <c r="A152" s="2" t="s">
        <v>662</v>
      </c>
      <c r="B152" s="13" t="s">
        <v>318</v>
      </c>
      <c r="C152" s="13" t="s">
        <v>282</v>
      </c>
    </row>
    <row r="153">
      <c r="A153" s="2" t="s">
        <v>666</v>
      </c>
      <c r="B153" s="13" t="s">
        <v>410</v>
      </c>
      <c r="C153" s="13" t="s">
        <v>201</v>
      </c>
    </row>
    <row r="154">
      <c r="A154" s="2" t="s">
        <v>666</v>
      </c>
      <c r="B154" s="13" t="s">
        <v>291</v>
      </c>
      <c r="C154" s="13" t="s">
        <v>318</v>
      </c>
    </row>
    <row r="155">
      <c r="A155" s="2" t="s">
        <v>666</v>
      </c>
      <c r="B155" s="13" t="s">
        <v>282</v>
      </c>
      <c r="C155" s="13" t="s">
        <v>410</v>
      </c>
    </row>
    <row r="156">
      <c r="A156" s="2" t="s">
        <v>129</v>
      </c>
      <c r="B156" s="13" t="s">
        <v>18</v>
      </c>
      <c r="C156" s="13" t="s">
        <v>291</v>
      </c>
    </row>
    <row r="157">
      <c r="A157" s="2" t="s">
        <v>679</v>
      </c>
      <c r="B157" s="13" t="s">
        <v>219</v>
      </c>
      <c r="C157" s="13" t="s">
        <v>282</v>
      </c>
    </row>
    <row r="158">
      <c r="A158" s="2" t="s">
        <v>220</v>
      </c>
      <c r="B158" s="13" t="s">
        <v>18</v>
      </c>
      <c r="C158" s="13" t="s">
        <v>18</v>
      </c>
    </row>
    <row r="159">
      <c r="A159" s="2" t="s">
        <v>222</v>
      </c>
      <c r="B159" s="13" t="s">
        <v>18</v>
      </c>
      <c r="C159" s="13" t="s">
        <v>219</v>
      </c>
    </row>
    <row r="160">
      <c r="A160" s="2" t="s">
        <v>691</v>
      </c>
      <c r="B160" s="13" t="s">
        <v>210</v>
      </c>
      <c r="C160" s="13" t="s">
        <v>18</v>
      </c>
    </row>
    <row r="161">
      <c r="A161" s="2" t="s">
        <v>694</v>
      </c>
      <c r="B161" s="13" t="s">
        <v>210</v>
      </c>
      <c r="C161" s="13" t="s">
        <v>18</v>
      </c>
    </row>
    <row r="162">
      <c r="A162" s="2" t="s">
        <v>697</v>
      </c>
      <c r="B162" s="13" t="s">
        <v>313</v>
      </c>
      <c r="C162" s="13" t="s">
        <v>210</v>
      </c>
    </row>
    <row r="163">
      <c r="A163" s="2" t="s">
        <v>702</v>
      </c>
      <c r="B163" s="13" t="s">
        <v>210</v>
      </c>
      <c r="C163" s="13" t="s">
        <v>210</v>
      </c>
    </row>
    <row r="164">
      <c r="A164" s="2" t="s">
        <v>707</v>
      </c>
      <c r="B164" s="13" t="s">
        <v>210</v>
      </c>
      <c r="C164" s="13" t="s">
        <v>313</v>
      </c>
    </row>
    <row r="165">
      <c r="A165" s="2" t="s">
        <v>711</v>
      </c>
      <c r="B165" s="13" t="s">
        <v>210</v>
      </c>
      <c r="C165" s="13" t="s">
        <v>210</v>
      </c>
    </row>
    <row r="166">
      <c r="A166" s="2" t="s">
        <v>714</v>
      </c>
      <c r="B166" s="13" t="s">
        <v>219</v>
      </c>
      <c r="C166" s="13" t="s">
        <v>210</v>
      </c>
    </row>
    <row r="167">
      <c r="A167" s="2" t="s">
        <v>720</v>
      </c>
      <c r="B167" s="41" t="s">
        <v>721</v>
      </c>
      <c r="C167" s="13" t="s">
        <v>210</v>
      </c>
    </row>
    <row r="168">
      <c r="A168" s="2" t="s">
        <v>724</v>
      </c>
      <c r="B168" s="41" t="s">
        <v>721</v>
      </c>
      <c r="C168" s="13" t="s">
        <v>219</v>
      </c>
    </row>
    <row r="169">
      <c r="A169" s="2" t="s">
        <v>728</v>
      </c>
      <c r="B169" s="13" t="s">
        <v>219</v>
      </c>
      <c r="C169" s="2" t="s">
        <v>729</v>
      </c>
    </row>
    <row r="170">
      <c r="A170" s="2" t="s">
        <v>731</v>
      </c>
      <c r="B170" s="41" t="s">
        <v>721</v>
      </c>
      <c r="C170" s="2" t="s">
        <v>729</v>
      </c>
    </row>
    <row r="171">
      <c r="A171" s="2" t="s">
        <v>735</v>
      </c>
      <c r="B171" s="13" t="s">
        <v>219</v>
      </c>
      <c r="C171" s="13" t="s">
        <v>219</v>
      </c>
    </row>
    <row r="172">
      <c r="A172" s="2" t="s">
        <v>740</v>
      </c>
      <c r="B172" s="41" t="s">
        <v>721</v>
      </c>
      <c r="C172" s="2" t="s">
        <v>729</v>
      </c>
    </row>
    <row r="173">
      <c r="A173" s="2" t="s">
        <v>743</v>
      </c>
      <c r="B173" s="13" t="s">
        <v>247</v>
      </c>
      <c r="C173" s="13" t="s">
        <v>219</v>
      </c>
    </row>
    <row r="174">
      <c r="A174" s="2" t="s">
        <v>748</v>
      </c>
      <c r="B174" s="41" t="s">
        <v>721</v>
      </c>
      <c r="C174" s="2" t="s">
        <v>729</v>
      </c>
    </row>
    <row r="175">
      <c r="A175" s="2" t="s">
        <v>223</v>
      </c>
      <c r="B175" s="13" t="s">
        <v>18</v>
      </c>
      <c r="C175" s="13" t="s">
        <v>247</v>
      </c>
    </row>
    <row r="176">
      <c r="A176" s="2" t="s">
        <v>273</v>
      </c>
      <c r="B176" s="13" t="s">
        <v>210</v>
      </c>
      <c r="C176" s="2" t="s">
        <v>729</v>
      </c>
    </row>
    <row r="177">
      <c r="A177" s="2" t="s">
        <v>189</v>
      </c>
      <c r="B177" s="13" t="s">
        <v>189</v>
      </c>
      <c r="C177" s="13" t="s">
        <v>18</v>
      </c>
    </row>
    <row r="178">
      <c r="A178" s="75" t="s">
        <v>757</v>
      </c>
      <c r="B178" s="13" t="s">
        <v>210</v>
      </c>
      <c r="C178" s="13" t="s">
        <v>210</v>
      </c>
    </row>
    <row r="179">
      <c r="A179" s="75" t="s">
        <v>759</v>
      </c>
      <c r="B179" s="13" t="s">
        <v>210</v>
      </c>
      <c r="C179" s="13" t="s">
        <v>189</v>
      </c>
    </row>
    <row r="180">
      <c r="A180" s="75" t="s">
        <v>224</v>
      </c>
      <c r="B180" s="13" t="s">
        <v>18</v>
      </c>
      <c r="C180" s="13" t="s">
        <v>210</v>
      </c>
    </row>
    <row r="181">
      <c r="A181" s="75" t="s">
        <v>767</v>
      </c>
      <c r="B181" s="13" t="s">
        <v>263</v>
      </c>
      <c r="C181" s="13" t="s">
        <v>210</v>
      </c>
    </row>
    <row r="182">
      <c r="A182" s="75" t="s">
        <v>225</v>
      </c>
      <c r="B182" s="13" t="s">
        <v>18</v>
      </c>
      <c r="C182" s="13" t="s">
        <v>18</v>
      </c>
    </row>
    <row r="183">
      <c r="A183" s="75" t="s">
        <v>227</v>
      </c>
      <c r="B183" s="13" t="s">
        <v>18</v>
      </c>
      <c r="C183" s="13" t="s">
        <v>263</v>
      </c>
    </row>
    <row r="184">
      <c r="A184" s="75" t="s">
        <v>227</v>
      </c>
      <c r="B184" s="13" t="s">
        <v>779</v>
      </c>
      <c r="C184" s="13" t="s">
        <v>18</v>
      </c>
    </row>
    <row r="185">
      <c r="A185" s="75" t="s">
        <v>784</v>
      </c>
      <c r="B185" s="13" t="s">
        <v>210</v>
      </c>
      <c r="C185" s="13" t="s">
        <v>18</v>
      </c>
    </row>
    <row r="186">
      <c r="A186" s="75" t="s">
        <v>791</v>
      </c>
      <c r="B186" s="41" t="s">
        <v>721</v>
      </c>
      <c r="C186" s="2" t="s">
        <v>729</v>
      </c>
    </row>
    <row r="187">
      <c r="A187" s="75" t="s">
        <v>233</v>
      </c>
      <c r="B187" s="13" t="s">
        <v>18</v>
      </c>
      <c r="C187" s="13" t="s">
        <v>210</v>
      </c>
    </row>
    <row r="188">
      <c r="A188" s="75" t="s">
        <v>802</v>
      </c>
      <c r="B188" s="13" t="s">
        <v>201</v>
      </c>
      <c r="C188" s="2" t="s">
        <v>729</v>
      </c>
    </row>
    <row r="189">
      <c r="A189" s="75" t="s">
        <v>807</v>
      </c>
      <c r="B189" s="13" t="s">
        <v>809</v>
      </c>
      <c r="C189" s="13" t="s">
        <v>18</v>
      </c>
    </row>
    <row r="190">
      <c r="A190" s="75" t="s">
        <v>815</v>
      </c>
      <c r="B190" s="13" t="s">
        <v>288</v>
      </c>
      <c r="C190" s="13" t="s">
        <v>201</v>
      </c>
    </row>
    <row r="191">
      <c r="A191" s="75" t="s">
        <v>228</v>
      </c>
      <c r="B191" s="13" t="s">
        <v>18</v>
      </c>
      <c r="C191" s="13" t="s">
        <v>809</v>
      </c>
    </row>
    <row r="192">
      <c r="A192" s="75" t="s">
        <v>5</v>
      </c>
      <c r="B192" s="13" t="s">
        <v>201</v>
      </c>
      <c r="C192" s="13" t="s">
        <v>288</v>
      </c>
    </row>
    <row r="193">
      <c r="A193" s="75" t="s">
        <v>231</v>
      </c>
      <c r="B193" s="13" t="s">
        <v>18</v>
      </c>
      <c r="C193" s="13" t="s">
        <v>18</v>
      </c>
    </row>
    <row r="194">
      <c r="A194" s="75" t="s">
        <v>834</v>
      </c>
      <c r="B194" s="41" t="s">
        <v>721</v>
      </c>
      <c r="C194" s="13" t="s">
        <v>201</v>
      </c>
    </row>
    <row r="195">
      <c r="A195" s="75" t="s">
        <v>841</v>
      </c>
      <c r="B195" s="13" t="s">
        <v>312</v>
      </c>
      <c r="C195" s="13" t="s">
        <v>18</v>
      </c>
    </row>
    <row r="196">
      <c r="A196" s="75" t="s">
        <v>846</v>
      </c>
      <c r="B196" s="41" t="s">
        <v>847</v>
      </c>
      <c r="C196" s="2" t="s">
        <v>729</v>
      </c>
    </row>
    <row r="197">
      <c r="A197" s="64" t="s">
        <v>853</v>
      </c>
      <c r="B197" s="13" t="s">
        <v>854</v>
      </c>
      <c r="C197" s="13" t="s">
        <v>312</v>
      </c>
    </row>
    <row r="198">
      <c r="A198" s="75" t="s">
        <v>859</v>
      </c>
      <c r="B198" s="13" t="s">
        <v>210</v>
      </c>
      <c r="C198" s="2" t="s">
        <v>729</v>
      </c>
    </row>
    <row r="199">
      <c r="A199" s="75" t="s">
        <v>860</v>
      </c>
      <c r="B199" s="13" t="s">
        <v>861</v>
      </c>
      <c r="C199" s="2" t="s">
        <v>729</v>
      </c>
    </row>
    <row r="200">
      <c r="A200" s="75" t="s">
        <v>865</v>
      </c>
      <c r="B200" s="13" t="s">
        <v>866</v>
      </c>
      <c r="C200" s="13" t="s">
        <v>210</v>
      </c>
    </row>
    <row r="201">
      <c r="A201" s="75" t="s">
        <v>870</v>
      </c>
      <c r="B201" s="13" t="s">
        <v>861</v>
      </c>
      <c r="C201" s="13" t="s">
        <v>861</v>
      </c>
    </row>
    <row r="202">
      <c r="A202" s="75" t="s">
        <v>874</v>
      </c>
      <c r="B202" s="41" t="s">
        <v>721</v>
      </c>
      <c r="C202" s="2" t="s">
        <v>729</v>
      </c>
    </row>
    <row r="203">
      <c r="A203" s="75" t="s">
        <v>876</v>
      </c>
      <c r="B203" s="13" t="s">
        <v>210</v>
      </c>
      <c r="C203" s="13" t="s">
        <v>861</v>
      </c>
    </row>
    <row r="204">
      <c r="A204" s="75" t="s">
        <v>881</v>
      </c>
      <c r="B204" s="13" t="s">
        <v>210</v>
      </c>
      <c r="C204" s="2" t="s">
        <v>729</v>
      </c>
    </row>
    <row r="205">
      <c r="A205" s="75" t="s">
        <v>884</v>
      </c>
      <c r="B205" s="13" t="s">
        <v>210</v>
      </c>
      <c r="C205" s="13" t="s">
        <v>210</v>
      </c>
    </row>
    <row r="206">
      <c r="A206" s="75" t="s">
        <v>888</v>
      </c>
      <c r="B206" s="13" t="s">
        <v>210</v>
      </c>
      <c r="C206" s="13" t="s">
        <v>210</v>
      </c>
    </row>
    <row r="207">
      <c r="A207" s="75" t="s">
        <v>892</v>
      </c>
      <c r="B207" s="13" t="s">
        <v>861</v>
      </c>
      <c r="C207" s="13" t="s">
        <v>210</v>
      </c>
    </row>
    <row r="208">
      <c r="A208" s="75" t="s">
        <v>894</v>
      </c>
      <c r="B208" s="13" t="s">
        <v>866</v>
      </c>
      <c r="C208" s="13" t="s">
        <v>210</v>
      </c>
    </row>
    <row r="209">
      <c r="A209" s="75" t="s">
        <v>896</v>
      </c>
      <c r="B209" s="13" t="s">
        <v>897</v>
      </c>
      <c r="C209" s="13" t="s">
        <v>861</v>
      </c>
    </row>
    <row r="210">
      <c r="A210" s="75" t="s">
        <v>901</v>
      </c>
      <c r="B210" s="13" t="s">
        <v>902</v>
      </c>
      <c r="C210" s="2" t="s">
        <v>729</v>
      </c>
    </row>
    <row r="211">
      <c r="A211" s="75" t="s">
        <v>906</v>
      </c>
      <c r="B211" s="13" t="s">
        <v>907</v>
      </c>
      <c r="C211" s="2" t="s">
        <v>729</v>
      </c>
    </row>
    <row r="212">
      <c r="A212" s="75" t="s">
        <v>911</v>
      </c>
      <c r="B212" s="13" t="s">
        <v>912</v>
      </c>
      <c r="C212" s="2" t="s">
        <v>729</v>
      </c>
    </row>
    <row r="213">
      <c r="A213" s="75" t="s">
        <v>916</v>
      </c>
      <c r="B213" s="13" t="s">
        <v>917</v>
      </c>
      <c r="C213" s="2" t="s">
        <v>729</v>
      </c>
    </row>
    <row r="214">
      <c r="A214" s="75" t="s">
        <v>922</v>
      </c>
      <c r="B214" s="13" t="s">
        <v>210</v>
      </c>
      <c r="C214" s="2" t="s">
        <v>729</v>
      </c>
    </row>
    <row r="215">
      <c r="A215" s="75" t="s">
        <v>927</v>
      </c>
      <c r="B215" s="13" t="s">
        <v>210</v>
      </c>
      <c r="C215" s="2" t="s">
        <v>729</v>
      </c>
    </row>
    <row r="216">
      <c r="A216" s="75" t="s">
        <v>930</v>
      </c>
      <c r="B216" s="13" t="s">
        <v>210</v>
      </c>
      <c r="C216" s="13" t="s">
        <v>210</v>
      </c>
    </row>
    <row r="217">
      <c r="A217" s="75" t="s">
        <v>933</v>
      </c>
      <c r="B217" s="144" t="s">
        <v>933</v>
      </c>
      <c r="C217" s="13" t="s">
        <v>210</v>
      </c>
    </row>
    <row r="218">
      <c r="A218" s="75" t="s">
        <v>939</v>
      </c>
      <c r="B218" s="13" t="s">
        <v>201</v>
      </c>
      <c r="C218" s="13" t="s">
        <v>210</v>
      </c>
    </row>
    <row r="219">
      <c r="A219" s="75" t="s">
        <v>945</v>
      </c>
      <c r="B219" s="13" t="s">
        <v>201</v>
      </c>
      <c r="C219" s="13" t="s">
        <v>933</v>
      </c>
    </row>
    <row r="220">
      <c r="A220" s="75" t="s">
        <v>234</v>
      </c>
      <c r="B220" s="13" t="s">
        <v>18</v>
      </c>
      <c r="C220" s="13" t="s">
        <v>201</v>
      </c>
    </row>
    <row r="221">
      <c r="A221" s="75" t="s">
        <v>956</v>
      </c>
      <c r="B221" s="144" t="s">
        <v>958</v>
      </c>
      <c r="C221" s="13" t="s">
        <v>201</v>
      </c>
    </row>
    <row r="222">
      <c r="A222" s="64" t="s">
        <v>966</v>
      </c>
      <c r="B222" s="13" t="s">
        <v>968</v>
      </c>
      <c r="C222" s="13" t="s">
        <v>18</v>
      </c>
    </row>
    <row r="223">
      <c r="A223" s="146" t="s">
        <v>977</v>
      </c>
      <c r="B223" s="147" t="s">
        <v>977</v>
      </c>
      <c r="C223" s="2" t="s">
        <v>729</v>
      </c>
    </row>
    <row r="224">
      <c r="A224" s="75" t="s">
        <v>994</v>
      </c>
      <c r="B224" s="144" t="s">
        <v>994</v>
      </c>
      <c r="C224" s="2" t="s">
        <v>729</v>
      </c>
    </row>
    <row r="225">
      <c r="A225" s="2" t="s">
        <v>236</v>
      </c>
      <c r="B225" s="13" t="s">
        <v>236</v>
      </c>
      <c r="C225" s="13" t="s">
        <v>977</v>
      </c>
    </row>
    <row r="226">
      <c r="A226" s="64" t="s">
        <v>1012</v>
      </c>
      <c r="B226" s="13" t="s">
        <v>1013</v>
      </c>
      <c r="C226" s="13" t="s">
        <v>994</v>
      </c>
    </row>
    <row r="227">
      <c r="A227" s="64" t="s">
        <v>1023</v>
      </c>
      <c r="B227" s="13" t="s">
        <v>1024</v>
      </c>
      <c r="C227" s="2" t="s">
        <v>729</v>
      </c>
    </row>
    <row r="228">
      <c r="A228" s="64" t="s">
        <v>1029</v>
      </c>
      <c r="B228" s="13" t="s">
        <v>607</v>
      </c>
      <c r="C228" s="13" t="s">
        <v>1013</v>
      </c>
    </row>
    <row r="229">
      <c r="A229" s="64" t="s">
        <v>1032</v>
      </c>
      <c r="B229" s="13" t="s">
        <v>1034</v>
      </c>
      <c r="C229" s="2" t="s">
        <v>729</v>
      </c>
    </row>
    <row r="230">
      <c r="A230" s="76" t="s">
        <v>172</v>
      </c>
      <c r="B230" s="13" t="s">
        <v>18</v>
      </c>
      <c r="C230" s="13" t="s">
        <v>607</v>
      </c>
    </row>
    <row r="231">
      <c r="A231" s="2" t="s">
        <v>238</v>
      </c>
      <c r="B231" s="13" t="s">
        <v>18</v>
      </c>
      <c r="C231" s="2" t="s">
        <v>729</v>
      </c>
    </row>
    <row r="232">
      <c r="A232" s="2" t="s">
        <v>239</v>
      </c>
      <c r="B232" s="13" t="s">
        <v>18</v>
      </c>
      <c r="C232" s="13" t="s">
        <v>18</v>
      </c>
    </row>
    <row r="233">
      <c r="A233" s="76" t="s">
        <v>1057</v>
      </c>
      <c r="B233" s="13" t="s">
        <v>1058</v>
      </c>
      <c r="C233" s="13" t="s">
        <v>18</v>
      </c>
    </row>
    <row r="234">
      <c r="A234" s="2" t="s">
        <v>1065</v>
      </c>
      <c r="B234" s="13" t="s">
        <v>288</v>
      </c>
      <c r="C234" s="13" t="s">
        <v>18</v>
      </c>
    </row>
    <row r="235">
      <c r="A235" s="76" t="s">
        <v>1072</v>
      </c>
      <c r="B235" s="13" t="s">
        <v>1058</v>
      </c>
      <c r="C235" s="2" t="s">
        <v>729</v>
      </c>
    </row>
    <row r="236">
      <c r="A236" s="76" t="s">
        <v>241</v>
      </c>
      <c r="B236" s="13" t="s">
        <v>18</v>
      </c>
      <c r="C236" s="13" t="s">
        <v>288</v>
      </c>
    </row>
    <row r="237">
      <c r="A237" s="2" t="s">
        <v>244</v>
      </c>
      <c r="B237" s="13" t="s">
        <v>18</v>
      </c>
      <c r="C237" s="2" t="s">
        <v>729</v>
      </c>
    </row>
    <row r="238">
      <c r="A238" s="2" t="s">
        <v>248</v>
      </c>
      <c r="B238" s="13" t="s">
        <v>18</v>
      </c>
      <c r="C238" s="13" t="s">
        <v>18</v>
      </c>
    </row>
    <row r="239">
      <c r="A239" s="76" t="s">
        <v>250</v>
      </c>
      <c r="B239" s="13" t="s">
        <v>18</v>
      </c>
      <c r="C239" s="13" t="s">
        <v>18</v>
      </c>
    </row>
    <row r="240">
      <c r="A240" s="2" t="s">
        <v>1109</v>
      </c>
      <c r="B240" s="2" t="s">
        <v>607</v>
      </c>
      <c r="C240" s="13" t="s">
        <v>18</v>
      </c>
    </row>
    <row r="241">
      <c r="A241" s="76" t="s">
        <v>1117</v>
      </c>
      <c r="B241" s="2" t="s">
        <v>1119</v>
      </c>
      <c r="C241" s="13" t="s">
        <v>18</v>
      </c>
    </row>
    <row r="242">
      <c r="A242" s="76" t="s">
        <v>1127</v>
      </c>
      <c r="B242" s="2" t="s">
        <v>607</v>
      </c>
      <c r="C242" s="2" t="s">
        <v>607</v>
      </c>
    </row>
    <row r="243">
      <c r="A243" s="152" t="s">
        <v>1136</v>
      </c>
      <c r="B243" s="2" t="s">
        <v>1139</v>
      </c>
      <c r="C243" s="2" t="s">
        <v>729</v>
      </c>
    </row>
    <row r="244">
      <c r="A244" s="76" t="s">
        <v>1146</v>
      </c>
      <c r="B244" s="76" t="s">
        <v>1146</v>
      </c>
      <c r="C244" s="2" t="s">
        <v>607</v>
      </c>
    </row>
    <row r="245">
      <c r="A245" s="76" t="s">
        <v>1153</v>
      </c>
      <c r="B245" s="2" t="s">
        <v>1154</v>
      </c>
      <c r="C245" s="2" t="s">
        <v>729</v>
      </c>
    </row>
    <row r="246">
      <c r="A246" s="2" t="s">
        <v>1164</v>
      </c>
      <c r="B246" s="2" t="s">
        <v>18</v>
      </c>
      <c r="C246" s="2" t="s">
        <v>1146</v>
      </c>
    </row>
    <row r="247">
      <c r="A247" s="76" t="s">
        <v>254</v>
      </c>
      <c r="B247" s="2" t="s">
        <v>18</v>
      </c>
      <c r="C247" s="2" t="s">
        <v>729</v>
      </c>
    </row>
    <row r="248">
      <c r="A248" s="141" t="s">
        <v>607</v>
      </c>
      <c r="B248" s="2" t="s">
        <v>607</v>
      </c>
      <c r="C248" s="2" t="s">
        <v>18</v>
      </c>
    </row>
    <row r="249">
      <c r="A249" s="2" t="s">
        <v>1184</v>
      </c>
      <c r="B249" s="2" t="s">
        <v>1186</v>
      </c>
      <c r="C249" s="2" t="s">
        <v>18</v>
      </c>
    </row>
    <row r="250">
      <c r="A250" s="76" t="s">
        <v>1191</v>
      </c>
      <c r="B250" s="13" t="s">
        <v>861</v>
      </c>
      <c r="C250" s="2" t="s">
        <v>607</v>
      </c>
    </row>
    <row r="251">
      <c r="A251" s="76" t="s">
        <v>1197</v>
      </c>
      <c r="B251" s="13" t="s">
        <v>201</v>
      </c>
      <c r="C251" s="2" t="s">
        <v>1186</v>
      </c>
    </row>
    <row r="252">
      <c r="A252" s="2" t="s">
        <v>1205</v>
      </c>
      <c r="B252" s="13" t="s">
        <v>201</v>
      </c>
      <c r="C252" s="13" t="s">
        <v>861</v>
      </c>
    </row>
    <row r="253">
      <c r="A253" s="76" t="s">
        <v>1210</v>
      </c>
      <c r="B253" s="2" t="s">
        <v>1211</v>
      </c>
      <c r="C253" s="13" t="s">
        <v>201</v>
      </c>
    </row>
    <row r="254">
      <c r="A254" s="2" t="s">
        <v>1222</v>
      </c>
      <c r="B254" s="13" t="s">
        <v>201</v>
      </c>
      <c r="C254" s="13" t="s">
        <v>201</v>
      </c>
    </row>
    <row r="255">
      <c r="A255" s="76" t="s">
        <v>861</v>
      </c>
      <c r="B255" s="2" t="s">
        <v>861</v>
      </c>
      <c r="C255" s="2" t="s">
        <v>1211</v>
      </c>
    </row>
    <row r="256">
      <c r="A256" s="144" t="s">
        <v>933</v>
      </c>
      <c r="B256" s="144" t="s">
        <v>933</v>
      </c>
      <c r="C256" s="13" t="s">
        <v>201</v>
      </c>
    </row>
    <row r="257">
      <c r="A257" s="76" t="s">
        <v>1243</v>
      </c>
      <c r="B257" s="2" t="s">
        <v>1244</v>
      </c>
      <c r="C257" s="2" t="s">
        <v>861</v>
      </c>
    </row>
    <row r="258">
      <c r="A258" s="76" t="s">
        <v>1251</v>
      </c>
      <c r="B258" s="76" t="s">
        <v>1251</v>
      </c>
      <c r="C258" s="13" t="s">
        <v>933</v>
      </c>
    </row>
    <row r="259">
      <c r="A259" s="2" t="s">
        <v>1260</v>
      </c>
      <c r="B259" s="13" t="s">
        <v>201</v>
      </c>
      <c r="C259" s="2" t="s">
        <v>1244</v>
      </c>
    </row>
    <row r="260">
      <c r="A260" s="2" t="s">
        <v>265</v>
      </c>
      <c r="B260" s="2" t="s">
        <v>18</v>
      </c>
      <c r="C260" s="2" t="s">
        <v>1251</v>
      </c>
    </row>
    <row r="261">
      <c r="A261" s="76" t="s">
        <v>1269</v>
      </c>
      <c r="B261" s="2" t="s">
        <v>1270</v>
      </c>
      <c r="C261" s="13" t="s">
        <v>201</v>
      </c>
    </row>
    <row r="262">
      <c r="A262" s="76" t="s">
        <v>267</v>
      </c>
      <c r="B262" s="2" t="s">
        <v>18</v>
      </c>
      <c r="C262" s="2" t="s">
        <v>18</v>
      </c>
    </row>
    <row r="263">
      <c r="A263" s="155" t="s">
        <v>1285</v>
      </c>
      <c r="B263" s="2" t="s">
        <v>1287</v>
      </c>
      <c r="C263" s="2" t="s">
        <v>729</v>
      </c>
    </row>
    <row r="264">
      <c r="A264" s="2" t="s">
        <v>1295</v>
      </c>
      <c r="B264" s="2" t="s">
        <v>1211</v>
      </c>
      <c r="C264" s="2" t="s">
        <v>18</v>
      </c>
    </row>
    <row r="265">
      <c r="A265" s="2" t="s">
        <v>268</v>
      </c>
      <c r="B265" s="2" t="s">
        <v>18</v>
      </c>
      <c r="C265" s="2" t="s">
        <v>1287</v>
      </c>
    </row>
    <row r="266">
      <c r="A266" s="2" t="s">
        <v>1310</v>
      </c>
      <c r="B266" s="2" t="s">
        <v>18</v>
      </c>
      <c r="C266" s="2" t="s">
        <v>1211</v>
      </c>
    </row>
    <row r="267">
      <c r="A267" s="76" t="s">
        <v>269</v>
      </c>
      <c r="B267" s="2" t="s">
        <v>1315</v>
      </c>
      <c r="C267" s="2" t="s">
        <v>18</v>
      </c>
    </row>
    <row r="268">
      <c r="A268" s="76" t="s">
        <v>1321</v>
      </c>
      <c r="B268" s="2" t="s">
        <v>1322</v>
      </c>
      <c r="C268" s="2" t="s">
        <v>18</v>
      </c>
    </row>
    <row r="269">
      <c r="A269" s="76" t="s">
        <v>1328</v>
      </c>
      <c r="B269" s="2" t="s">
        <v>1329</v>
      </c>
      <c r="C269" s="2" t="s">
        <v>729</v>
      </c>
    </row>
    <row r="270">
      <c r="A270" s="76" t="s">
        <v>1336</v>
      </c>
      <c r="B270" s="76" t="s">
        <v>1336</v>
      </c>
      <c r="C270" s="2" t="s">
        <v>729</v>
      </c>
    </row>
    <row r="271">
      <c r="A271" s="2" t="s">
        <v>1342</v>
      </c>
      <c r="B271" s="2" t="s">
        <v>247</v>
      </c>
      <c r="C271" s="2" t="s">
        <v>1329</v>
      </c>
    </row>
    <row r="272">
      <c r="A272" s="76" t="s">
        <v>1348</v>
      </c>
      <c r="B272" s="2" t="s">
        <v>1350</v>
      </c>
      <c r="C272" s="2" t="s">
        <v>729</v>
      </c>
    </row>
    <row r="273">
      <c r="A273" s="81" t="s">
        <v>271</v>
      </c>
      <c r="B273" s="2" t="s">
        <v>18</v>
      </c>
      <c r="C273" s="2" t="s">
        <v>247</v>
      </c>
    </row>
    <row r="274">
      <c r="A274" s="2" t="s">
        <v>1362</v>
      </c>
      <c r="B274" s="2" t="s">
        <v>1363</v>
      </c>
      <c r="C274" s="2" t="s">
        <v>1363</v>
      </c>
    </row>
    <row r="275">
      <c r="A275" s="82" t="s">
        <v>1370</v>
      </c>
      <c r="B275" s="2" t="s">
        <v>861</v>
      </c>
      <c r="C275" s="2" t="s">
        <v>18</v>
      </c>
    </row>
    <row r="276">
      <c r="A276" s="82" t="s">
        <v>274</v>
      </c>
      <c r="B276" s="2" t="s">
        <v>18</v>
      </c>
      <c r="C276" s="2" t="s">
        <v>1363</v>
      </c>
    </row>
    <row r="277">
      <c r="A277" s="2" t="s">
        <v>1378</v>
      </c>
      <c r="B277" s="2" t="s">
        <v>303</v>
      </c>
      <c r="C277" s="2" t="s">
        <v>861</v>
      </c>
    </row>
    <row r="278">
      <c r="A278" s="76" t="s">
        <v>1385</v>
      </c>
      <c r="B278" s="76" t="s">
        <v>1385</v>
      </c>
      <c r="C278" s="2" t="s">
        <v>18</v>
      </c>
    </row>
    <row r="279">
      <c r="A279" s="76" t="s">
        <v>1391</v>
      </c>
      <c r="B279" s="2" t="s">
        <v>1392</v>
      </c>
      <c r="C279" s="2" t="s">
        <v>303</v>
      </c>
    </row>
    <row r="280">
      <c r="A280" s="156" t="s">
        <v>1398</v>
      </c>
      <c r="B280" s="13" t="s">
        <v>201</v>
      </c>
      <c r="C280" s="2" t="s">
        <v>1385</v>
      </c>
    </row>
    <row r="281">
      <c r="A281" s="76" t="s">
        <v>275</v>
      </c>
      <c r="B281" s="2" t="s">
        <v>18</v>
      </c>
      <c r="C281" s="2" t="s">
        <v>1392</v>
      </c>
    </row>
    <row r="282">
      <c r="A282" s="76" t="s">
        <v>276</v>
      </c>
      <c r="B282" s="2" t="s">
        <v>18</v>
      </c>
      <c r="C282" s="13" t="s">
        <v>201</v>
      </c>
    </row>
    <row r="283">
      <c r="A283" s="76" t="s">
        <v>277</v>
      </c>
      <c r="B283" s="157" t="s">
        <v>1419</v>
      </c>
      <c r="C283" s="2" t="s">
        <v>18</v>
      </c>
    </row>
    <row r="284">
      <c r="A284" s="84" t="s">
        <v>278</v>
      </c>
      <c r="B284" s="2" t="s">
        <v>18</v>
      </c>
      <c r="C284" s="2" t="s">
        <v>18</v>
      </c>
    </row>
    <row r="285">
      <c r="A285" s="84" t="s">
        <v>279</v>
      </c>
      <c r="B285" s="2" t="s">
        <v>18</v>
      </c>
      <c r="C285" s="2" t="s">
        <v>729</v>
      </c>
    </row>
    <row r="286">
      <c r="A286" s="84" t="s">
        <v>1436</v>
      </c>
      <c r="B286" s="2" t="s">
        <v>18</v>
      </c>
      <c r="C286" s="2" t="s">
        <v>18</v>
      </c>
    </row>
    <row r="287">
      <c r="A287" s="2" t="s">
        <v>1442</v>
      </c>
      <c r="B287" s="2" t="s">
        <v>210</v>
      </c>
      <c r="C287" s="2" t="s">
        <v>729</v>
      </c>
    </row>
    <row r="288">
      <c r="A288" s="2" t="s">
        <v>1442</v>
      </c>
      <c r="B288" s="2" t="s">
        <v>389</v>
      </c>
      <c r="C288" s="2" t="s">
        <v>729</v>
      </c>
    </row>
    <row r="289">
      <c r="A289" s="2" t="s">
        <v>266</v>
      </c>
      <c r="B289" s="2" t="s">
        <v>18</v>
      </c>
      <c r="C289" s="2" t="s">
        <v>18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9.88"/>
    <col customWidth="1" min="2" max="2" width="21.25"/>
  </cols>
  <sheetData>
    <row r="1">
      <c r="A1" s="2" t="s">
        <v>13</v>
      </c>
      <c r="B1" s="2" t="s">
        <v>18</v>
      </c>
    </row>
    <row r="2" ht="15.0" customHeight="1">
      <c r="A2" s="2" t="s">
        <v>25</v>
      </c>
      <c r="B2" s="61" t="s">
        <v>169</v>
      </c>
    </row>
    <row r="3" ht="15.0" customHeight="1">
      <c r="A3" s="2" t="s">
        <v>25</v>
      </c>
      <c r="B3" s="61" t="s">
        <v>170</v>
      </c>
    </row>
    <row r="4" ht="15.0" customHeight="1">
      <c r="A4" s="2" t="s">
        <v>30</v>
      </c>
      <c r="B4" s="2" t="s">
        <v>30</v>
      </c>
    </row>
    <row r="5" ht="15.0" customHeight="1">
      <c r="A5" s="2" t="s">
        <v>17</v>
      </c>
      <c r="B5" s="61" t="s">
        <v>171</v>
      </c>
    </row>
    <row r="6" ht="15.0" customHeight="1">
      <c r="A6" s="2" t="s">
        <v>17</v>
      </c>
      <c r="B6" s="61" t="s">
        <v>172</v>
      </c>
    </row>
    <row r="7" ht="15.0" customHeight="1">
      <c r="A7" s="22" t="s">
        <v>174</v>
      </c>
      <c r="B7" s="2" t="s">
        <v>129</v>
      </c>
    </row>
    <row r="8" ht="15.0" customHeight="1">
      <c r="A8" s="22" t="s">
        <v>174</v>
      </c>
      <c r="B8" s="2" t="s">
        <v>131</v>
      </c>
    </row>
    <row r="9" ht="15.0" customHeight="1">
      <c r="A9" s="22" t="s">
        <v>37</v>
      </c>
      <c r="B9" s="2" t="s">
        <v>129</v>
      </c>
    </row>
    <row r="10" ht="15.0" customHeight="1">
      <c r="A10" s="22" t="s">
        <v>37</v>
      </c>
      <c r="B10" s="61" t="s">
        <v>175</v>
      </c>
    </row>
    <row r="11" ht="15.0" customHeight="1">
      <c r="A11" s="62" t="s">
        <v>44</v>
      </c>
      <c r="B11" s="61" t="s">
        <v>176</v>
      </c>
    </row>
    <row r="12" ht="15.0" customHeight="1">
      <c r="A12" s="62" t="s">
        <v>44</v>
      </c>
      <c r="B12" s="61" t="s">
        <v>178</v>
      </c>
    </row>
    <row r="13" ht="15.0" customHeight="1">
      <c r="A13" s="63" t="s">
        <v>55</v>
      </c>
      <c r="B13" s="63" t="s">
        <v>55</v>
      </c>
    </row>
    <row r="14" ht="15.0" customHeight="1">
      <c r="A14" s="2" t="s">
        <v>64</v>
      </c>
      <c r="B14" s="2" t="s">
        <v>64</v>
      </c>
    </row>
    <row r="15" ht="15.0" customHeight="1">
      <c r="A15" s="64" t="s">
        <v>71</v>
      </c>
      <c r="B15" s="2" t="s">
        <v>112</v>
      </c>
    </row>
    <row r="16">
      <c r="A16" s="2" t="s">
        <v>79</v>
      </c>
      <c r="B16" s="2" t="s">
        <v>79</v>
      </c>
    </row>
    <row r="17">
      <c r="A17" s="2" t="s">
        <v>89</v>
      </c>
      <c r="B17" s="2" t="s">
        <v>171</v>
      </c>
    </row>
    <row r="18">
      <c r="A18" s="2" t="s">
        <v>89</v>
      </c>
      <c r="B18" s="2" t="s">
        <v>79</v>
      </c>
    </row>
    <row r="19">
      <c r="A19" s="2" t="s">
        <v>95</v>
      </c>
      <c r="B19" s="2" t="s">
        <v>95</v>
      </c>
    </row>
    <row r="20">
      <c r="A20" s="2" t="s">
        <v>100</v>
      </c>
      <c r="B20" s="2" t="s">
        <v>129</v>
      </c>
    </row>
    <row r="21">
      <c r="A21" s="2" t="s">
        <v>100</v>
      </c>
      <c r="B21" s="61" t="s">
        <v>183</v>
      </c>
    </row>
    <row r="22">
      <c r="A22" s="2" t="s">
        <v>100</v>
      </c>
      <c r="B22" s="2" t="s">
        <v>139</v>
      </c>
    </row>
    <row r="23">
      <c r="A23" s="2" t="s">
        <v>100</v>
      </c>
      <c r="B23" s="61" t="s">
        <v>175</v>
      </c>
    </row>
    <row r="24">
      <c r="A24" s="2" t="s">
        <v>105</v>
      </c>
      <c r="B24" s="61" t="s">
        <v>185</v>
      </c>
    </row>
    <row r="25">
      <c r="A25" s="2" t="s">
        <v>105</v>
      </c>
      <c r="B25" s="61" t="s">
        <v>186</v>
      </c>
    </row>
    <row r="26">
      <c r="A26" s="2" t="s">
        <v>105</v>
      </c>
      <c r="B26" s="61" t="s">
        <v>188</v>
      </c>
    </row>
    <row r="27">
      <c r="A27" s="2" t="s">
        <v>108</v>
      </c>
      <c r="B27" s="61" t="s">
        <v>175</v>
      </c>
    </row>
    <row r="28">
      <c r="A28" s="2" t="s">
        <v>108</v>
      </c>
      <c r="B28" s="2" t="s">
        <v>129</v>
      </c>
    </row>
    <row r="29">
      <c r="A29" s="2" t="s">
        <v>108</v>
      </c>
      <c r="B29" s="2" t="s">
        <v>139</v>
      </c>
    </row>
    <row r="30">
      <c r="A30" s="2" t="s">
        <v>108</v>
      </c>
      <c r="B30" s="61" t="s">
        <v>144</v>
      </c>
    </row>
    <row r="31">
      <c r="A31" s="2" t="s">
        <v>113</v>
      </c>
      <c r="B31" s="2" t="s">
        <v>129</v>
      </c>
    </row>
    <row r="32">
      <c r="A32" s="2" t="s">
        <v>113</v>
      </c>
      <c r="B32" s="2" t="s">
        <v>188</v>
      </c>
    </row>
    <row r="33">
      <c r="A33" s="2" t="s">
        <v>118</v>
      </c>
      <c r="B33" s="2" t="s">
        <v>118</v>
      </c>
    </row>
    <row r="34">
      <c r="A34" s="2" t="s">
        <v>122</v>
      </c>
      <c r="B34" s="2" t="s">
        <v>129</v>
      </c>
    </row>
    <row r="35">
      <c r="A35" s="2" t="s">
        <v>122</v>
      </c>
      <c r="B35" s="61" t="s">
        <v>144</v>
      </c>
    </row>
    <row r="36">
      <c r="A36" s="2" t="s">
        <v>129</v>
      </c>
      <c r="B36" s="2" t="s">
        <v>129</v>
      </c>
    </row>
    <row r="37">
      <c r="A37" s="2" t="s">
        <v>134</v>
      </c>
      <c r="B37" s="61" t="s">
        <v>191</v>
      </c>
    </row>
    <row r="38">
      <c r="A38" s="2" t="s">
        <v>134</v>
      </c>
      <c r="B38" s="61" t="s">
        <v>175</v>
      </c>
    </row>
    <row r="39">
      <c r="A39" s="2" t="s">
        <v>144</v>
      </c>
      <c r="B39" s="2" t="s">
        <v>144</v>
      </c>
    </row>
    <row r="40">
      <c r="A40" s="2" t="s">
        <v>131</v>
      </c>
      <c r="B40" s="2" t="s">
        <v>131</v>
      </c>
    </row>
    <row r="41">
      <c r="A41" s="2" t="s">
        <v>125</v>
      </c>
      <c r="B41" s="68" t="s">
        <v>192</v>
      </c>
    </row>
    <row r="42">
      <c r="A42" s="2" t="s">
        <v>139</v>
      </c>
      <c r="B42" s="2" t="s">
        <v>139</v>
      </c>
    </row>
    <row r="43">
      <c r="A43" s="69" t="s">
        <v>193</v>
      </c>
      <c r="B43" s="69" t="s">
        <v>194</v>
      </c>
    </row>
    <row r="44">
      <c r="A44" s="2" t="s">
        <v>160</v>
      </c>
      <c r="B44" s="69" t="s">
        <v>195</v>
      </c>
    </row>
    <row r="45">
      <c r="A45" s="2" t="s">
        <v>160</v>
      </c>
      <c r="B45" s="2" t="s">
        <v>131</v>
      </c>
    </row>
    <row r="46">
      <c r="A46" s="70" t="s">
        <v>197</v>
      </c>
      <c r="B46" s="2" t="s">
        <v>129</v>
      </c>
    </row>
    <row r="47">
      <c r="A47" s="71" t="s">
        <v>199</v>
      </c>
      <c r="B47" s="61" t="s">
        <v>139</v>
      </c>
    </row>
    <row r="48">
      <c r="A48" s="71" t="s">
        <v>199</v>
      </c>
      <c r="B48" s="61" t="s">
        <v>175</v>
      </c>
    </row>
    <row r="49">
      <c r="A49" s="2" t="s">
        <v>148</v>
      </c>
      <c r="B49" s="61" t="s">
        <v>139</v>
      </c>
    </row>
    <row r="50">
      <c r="A50" s="2" t="s">
        <v>148</v>
      </c>
      <c r="B50" s="2" t="s">
        <v>129</v>
      </c>
    </row>
    <row r="51">
      <c r="A51" s="2" t="s">
        <v>164</v>
      </c>
      <c r="B51" s="2" t="s">
        <v>129</v>
      </c>
    </row>
    <row r="52">
      <c r="A52" s="2" t="s">
        <v>164</v>
      </c>
      <c r="B52" s="2" t="s">
        <v>202</v>
      </c>
    </row>
    <row r="53">
      <c r="A53" s="2" t="s">
        <v>163</v>
      </c>
      <c r="B53" s="2" t="s">
        <v>129</v>
      </c>
    </row>
    <row r="54">
      <c r="A54" s="2" t="s">
        <v>163</v>
      </c>
      <c r="B54" s="2" t="s">
        <v>131</v>
      </c>
    </row>
    <row r="55">
      <c r="A55" s="74" t="s">
        <v>173</v>
      </c>
      <c r="B55" s="2" t="s">
        <v>129</v>
      </c>
    </row>
    <row r="56">
      <c r="A56" s="74" t="s">
        <v>173</v>
      </c>
      <c r="B56" s="2" t="s">
        <v>205</v>
      </c>
    </row>
    <row r="57">
      <c r="A57" s="74" t="s">
        <v>173</v>
      </c>
      <c r="B57" s="69" t="s">
        <v>206</v>
      </c>
    </row>
    <row r="58">
      <c r="A58" s="69" t="s">
        <v>207</v>
      </c>
      <c r="B58" s="2" t="s">
        <v>205</v>
      </c>
    </row>
    <row r="59">
      <c r="A59" s="74" t="s">
        <v>184</v>
      </c>
      <c r="B59" s="2" t="s">
        <v>129</v>
      </c>
    </row>
    <row r="60">
      <c r="A60" s="74" t="s">
        <v>184</v>
      </c>
      <c r="B60" s="2" t="s">
        <v>205</v>
      </c>
    </row>
    <row r="61">
      <c r="A61" s="74" t="s">
        <v>184</v>
      </c>
      <c r="B61" s="61" t="s">
        <v>139</v>
      </c>
    </row>
    <row r="62">
      <c r="A62" s="74" t="s">
        <v>190</v>
      </c>
      <c r="B62" s="69" t="s">
        <v>209</v>
      </c>
    </row>
    <row r="63">
      <c r="A63" s="74" t="s">
        <v>190</v>
      </c>
      <c r="B63" s="2" t="s">
        <v>129</v>
      </c>
    </row>
    <row r="64">
      <c r="A64" s="74" t="s">
        <v>190</v>
      </c>
      <c r="B64" s="61" t="s">
        <v>139</v>
      </c>
    </row>
    <row r="65">
      <c r="A65" s="64" t="s">
        <v>18</v>
      </c>
      <c r="B65" s="2" t="s">
        <v>112</v>
      </c>
    </row>
    <row r="66">
      <c r="A66" s="64" t="s">
        <v>196</v>
      </c>
      <c r="B66" s="2" t="s">
        <v>129</v>
      </c>
    </row>
    <row r="67">
      <c r="A67" s="2" t="s">
        <v>165</v>
      </c>
      <c r="B67" s="61" t="s">
        <v>170</v>
      </c>
    </row>
    <row r="68">
      <c r="A68" s="13" t="s">
        <v>211</v>
      </c>
      <c r="B68" s="2" t="s">
        <v>129</v>
      </c>
    </row>
    <row r="69">
      <c r="A69" s="13" t="s">
        <v>212</v>
      </c>
      <c r="B69" s="2" t="s">
        <v>112</v>
      </c>
    </row>
    <row r="70">
      <c r="A70" s="13" t="s">
        <v>213</v>
      </c>
      <c r="B70" s="69" t="s">
        <v>214</v>
      </c>
    </row>
    <row r="71">
      <c r="A71" s="13" t="s">
        <v>215</v>
      </c>
      <c r="B71" s="2" t="s">
        <v>112</v>
      </c>
    </row>
    <row r="72">
      <c r="A72" s="13" t="s">
        <v>216</v>
      </c>
      <c r="B72" s="61" t="s">
        <v>64</v>
      </c>
    </row>
    <row r="73">
      <c r="A73" s="64" t="s">
        <v>218</v>
      </c>
      <c r="B73" s="2" t="s">
        <v>112</v>
      </c>
    </row>
    <row r="74">
      <c r="A74" s="2" t="s">
        <v>129</v>
      </c>
      <c r="B74" s="2" t="s">
        <v>129</v>
      </c>
    </row>
    <row r="75">
      <c r="A75" s="2" t="s">
        <v>220</v>
      </c>
      <c r="B75" s="61" t="s">
        <v>221</v>
      </c>
    </row>
    <row r="76">
      <c r="A76" s="2" t="s">
        <v>222</v>
      </c>
      <c r="B76" s="2" t="s">
        <v>205</v>
      </c>
    </row>
    <row r="77">
      <c r="A77" s="2" t="s">
        <v>223</v>
      </c>
      <c r="B77" s="61" t="s">
        <v>221</v>
      </c>
    </row>
    <row r="78">
      <c r="A78" s="75" t="s">
        <v>224</v>
      </c>
      <c r="B78" s="61" t="s">
        <v>221</v>
      </c>
    </row>
    <row r="79">
      <c r="A79" s="75" t="s">
        <v>225</v>
      </c>
      <c r="B79" s="2" t="s">
        <v>226</v>
      </c>
    </row>
    <row r="80">
      <c r="A80" s="75" t="s">
        <v>227</v>
      </c>
      <c r="B80" s="61" t="s">
        <v>221</v>
      </c>
    </row>
    <row r="81">
      <c r="A81" s="75" t="s">
        <v>228</v>
      </c>
      <c r="B81" s="2" t="s">
        <v>230</v>
      </c>
    </row>
    <row r="82">
      <c r="A82" s="75" t="s">
        <v>231</v>
      </c>
      <c r="B82" s="2" t="s">
        <v>232</v>
      </c>
    </row>
    <row r="83">
      <c r="A83" s="75" t="s">
        <v>233</v>
      </c>
      <c r="B83" s="2" t="s">
        <v>230</v>
      </c>
    </row>
    <row r="84">
      <c r="A84" s="75" t="s">
        <v>234</v>
      </c>
      <c r="B84" s="2" t="s">
        <v>235</v>
      </c>
    </row>
    <row r="85">
      <c r="A85" s="2" t="s">
        <v>236</v>
      </c>
      <c r="B85" s="2" t="s">
        <v>237</v>
      </c>
    </row>
    <row r="86">
      <c r="A86" s="2" t="s">
        <v>172</v>
      </c>
      <c r="B86" s="2" t="s">
        <v>172</v>
      </c>
    </row>
    <row r="87">
      <c r="A87" s="2" t="s">
        <v>238</v>
      </c>
      <c r="B87" s="2" t="s">
        <v>172</v>
      </c>
    </row>
    <row r="88">
      <c r="A88" s="2" t="s">
        <v>239</v>
      </c>
      <c r="B88" s="2" t="s">
        <v>183</v>
      </c>
    </row>
    <row r="89">
      <c r="A89" s="2" t="s">
        <v>239</v>
      </c>
      <c r="B89" s="2" t="s">
        <v>240</v>
      </c>
    </row>
    <row r="90">
      <c r="A90" s="2" t="s">
        <v>239</v>
      </c>
      <c r="B90" s="2" t="s">
        <v>129</v>
      </c>
    </row>
    <row r="91">
      <c r="A91" s="76" t="s">
        <v>241</v>
      </c>
      <c r="B91" s="76" t="s">
        <v>172</v>
      </c>
    </row>
    <row r="92">
      <c r="A92" s="76" t="s">
        <v>241</v>
      </c>
      <c r="B92" s="2" t="s">
        <v>243</v>
      </c>
    </row>
    <row r="93">
      <c r="A93" s="2" t="s">
        <v>244</v>
      </c>
      <c r="B93" s="2" t="s">
        <v>221</v>
      </c>
    </row>
    <row r="94">
      <c r="A94" s="2" t="s">
        <v>244</v>
      </c>
      <c r="B94" s="2" t="s">
        <v>245</v>
      </c>
    </row>
    <row r="95">
      <c r="A95" s="2" t="s">
        <v>248</v>
      </c>
      <c r="B95" s="2" t="s">
        <v>249</v>
      </c>
    </row>
    <row r="96">
      <c r="A96" s="76" t="s">
        <v>250</v>
      </c>
      <c r="B96" s="76" t="s">
        <v>251</v>
      </c>
    </row>
    <row r="97">
      <c r="A97" s="76" t="s">
        <v>250</v>
      </c>
      <c r="B97" s="76" t="s">
        <v>252</v>
      </c>
    </row>
    <row r="98">
      <c r="A98" s="76" t="s">
        <v>250</v>
      </c>
      <c r="B98" s="76" t="s">
        <v>253</v>
      </c>
    </row>
    <row r="99">
      <c r="A99" s="76" t="s">
        <v>254</v>
      </c>
      <c r="B99" s="2" t="s">
        <v>171</v>
      </c>
    </row>
    <row r="100">
      <c r="A100" s="76" t="s">
        <v>254</v>
      </c>
      <c r="B100" s="77" t="s">
        <v>256</v>
      </c>
    </row>
    <row r="101">
      <c r="A101" s="76" t="s">
        <v>254</v>
      </c>
      <c r="B101" s="77" t="s">
        <v>257</v>
      </c>
    </row>
    <row r="102">
      <c r="A102" s="76" t="s">
        <v>254</v>
      </c>
      <c r="B102" s="77" t="s">
        <v>256</v>
      </c>
    </row>
    <row r="103">
      <c r="A103" s="76" t="s">
        <v>254</v>
      </c>
      <c r="B103" s="78" t="s">
        <v>258</v>
      </c>
    </row>
    <row r="104">
      <c r="A104" s="76" t="s">
        <v>254</v>
      </c>
      <c r="B104" s="79" t="s">
        <v>260</v>
      </c>
    </row>
    <row r="105">
      <c r="A105" s="76" t="s">
        <v>254</v>
      </c>
      <c r="B105" s="77" t="s">
        <v>172</v>
      </c>
    </row>
    <row r="106">
      <c r="A106" s="76" t="s">
        <v>254</v>
      </c>
      <c r="B106" s="77" t="s">
        <v>264</v>
      </c>
    </row>
    <row r="107">
      <c r="A107" s="76" t="s">
        <v>254</v>
      </c>
      <c r="B107" s="77" t="s">
        <v>260</v>
      </c>
    </row>
    <row r="108">
      <c r="A108" s="2" t="s">
        <v>265</v>
      </c>
      <c r="B108" s="2" t="s">
        <v>266</v>
      </c>
    </row>
    <row r="109">
      <c r="A109" s="2" t="s">
        <v>267</v>
      </c>
      <c r="B109" s="80" t="s">
        <v>129</v>
      </c>
    </row>
    <row r="110">
      <c r="A110" s="2" t="s">
        <v>268</v>
      </c>
      <c r="B110" s="2" t="s">
        <v>188</v>
      </c>
    </row>
    <row r="111">
      <c r="A111" s="76" t="s">
        <v>269</v>
      </c>
      <c r="B111" s="2" t="s">
        <v>270</v>
      </c>
    </row>
    <row r="112">
      <c r="A112" s="81" t="s">
        <v>271</v>
      </c>
      <c r="B112" s="81" t="s">
        <v>176</v>
      </c>
    </row>
    <row r="113">
      <c r="A113" s="81" t="s">
        <v>271</v>
      </c>
      <c r="B113" s="81" t="s">
        <v>178</v>
      </c>
    </row>
    <row r="114">
      <c r="A114" s="82" t="s">
        <v>274</v>
      </c>
      <c r="B114" s="2" t="s">
        <v>270</v>
      </c>
    </row>
    <row r="115">
      <c r="A115" s="76" t="s">
        <v>275</v>
      </c>
      <c r="B115" s="2" t="s">
        <v>270</v>
      </c>
    </row>
    <row r="116">
      <c r="A116" s="76" t="s">
        <v>276</v>
      </c>
      <c r="B116" s="83" t="s">
        <v>276</v>
      </c>
    </row>
    <row r="117">
      <c r="A117" s="76" t="s">
        <v>277</v>
      </c>
      <c r="B117" s="2" t="s">
        <v>270</v>
      </c>
    </row>
    <row r="118">
      <c r="A118" s="84" t="s">
        <v>278</v>
      </c>
      <c r="B118" s="84" t="s">
        <v>278</v>
      </c>
    </row>
    <row r="119">
      <c r="A119" s="84" t="s">
        <v>279</v>
      </c>
      <c r="B119" s="84" t="s">
        <v>280</v>
      </c>
    </row>
    <row r="120">
      <c r="A120" s="84" t="s">
        <v>279</v>
      </c>
      <c r="B120" s="84" t="s">
        <v>281</v>
      </c>
    </row>
    <row r="121">
      <c r="A121" s="2" t="s">
        <v>18</v>
      </c>
      <c r="B121" s="2" t="s">
        <v>270</v>
      </c>
    </row>
    <row r="122">
      <c r="A122" s="2" t="s">
        <v>266</v>
      </c>
      <c r="B122" s="2" t="s">
        <v>266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13"/>
    <col customWidth="1" min="3" max="3" width="15.88"/>
    <col customWidth="1" min="4" max="4" width="11.25"/>
    <col customWidth="1" min="5" max="6" width="25.0"/>
  </cols>
  <sheetData>
    <row r="1">
      <c r="A1" s="85" t="s">
        <v>289</v>
      </c>
      <c r="B1" s="41" t="s">
        <v>0</v>
      </c>
      <c r="C1" s="41" t="s">
        <v>46</v>
      </c>
      <c r="D1" s="86" t="s">
        <v>50</v>
      </c>
      <c r="E1" s="64" t="s">
        <v>24</v>
      </c>
      <c r="F1" s="64" t="s">
        <v>63</v>
      </c>
      <c r="G1" s="2" t="s">
        <v>290</v>
      </c>
      <c r="I1" s="2" t="s">
        <v>292</v>
      </c>
      <c r="J1" s="2" t="s">
        <v>293</v>
      </c>
    </row>
    <row r="2">
      <c r="A2" s="87">
        <v>43675.0</v>
      </c>
      <c r="B2" s="64" t="s">
        <v>137</v>
      </c>
      <c r="C2" s="88" t="s">
        <v>294</v>
      </c>
      <c r="D2" s="64" t="s">
        <v>177</v>
      </c>
      <c r="E2" s="2" t="s">
        <v>296</v>
      </c>
      <c r="F2" s="2" t="s">
        <v>297</v>
      </c>
      <c r="H2" s="2" t="s">
        <v>298</v>
      </c>
    </row>
    <row r="3">
      <c r="A3" s="87"/>
      <c r="B3" s="64"/>
      <c r="C3" s="89"/>
      <c r="D3" s="64"/>
      <c r="E3" s="2"/>
      <c r="F3" s="2"/>
      <c r="H3" s="2" t="s">
        <v>299</v>
      </c>
    </row>
    <row r="4">
      <c r="A4" s="87"/>
      <c r="B4" s="64"/>
      <c r="C4" s="89"/>
      <c r="D4" s="64"/>
      <c r="E4" s="2"/>
      <c r="F4" s="2"/>
    </row>
    <row r="5">
      <c r="A5" s="87"/>
      <c r="B5" s="64"/>
      <c r="C5" s="89"/>
      <c r="D5" s="64"/>
      <c r="E5" s="2"/>
      <c r="F5" s="2"/>
    </row>
    <row r="6">
      <c r="A6" s="87"/>
      <c r="B6" s="64"/>
      <c r="C6" s="89"/>
      <c r="D6" s="64"/>
      <c r="E6" s="2"/>
      <c r="F6" s="2"/>
    </row>
    <row r="7">
      <c r="A7" s="87">
        <v>43788.0</v>
      </c>
      <c r="B7" s="64" t="s">
        <v>137</v>
      </c>
      <c r="C7" s="89" t="s">
        <v>301</v>
      </c>
      <c r="D7" s="64" t="s">
        <v>109</v>
      </c>
      <c r="E7" s="2" t="s">
        <v>304</v>
      </c>
      <c r="F7" s="2" t="s">
        <v>305</v>
      </c>
    </row>
    <row r="8">
      <c r="A8" s="87">
        <v>43819.0</v>
      </c>
      <c r="B8" s="64" t="s">
        <v>137</v>
      </c>
      <c r="C8" s="89" t="s">
        <v>294</v>
      </c>
      <c r="D8" s="64" t="s">
        <v>109</v>
      </c>
      <c r="E8" s="2" t="s">
        <v>307</v>
      </c>
      <c r="F8" s="2" t="s">
        <v>308</v>
      </c>
      <c r="G8" s="2" t="s">
        <v>308</v>
      </c>
      <c r="H8" s="2" t="s">
        <v>309</v>
      </c>
      <c r="I8" s="2" t="s">
        <v>310</v>
      </c>
    </row>
    <row r="9">
      <c r="A9" s="87"/>
      <c r="B9" s="64"/>
      <c r="C9" s="89"/>
      <c r="D9" s="64"/>
      <c r="E9" s="2"/>
      <c r="F9" s="2"/>
      <c r="G9" s="2" t="s">
        <v>308</v>
      </c>
      <c r="H9" s="2" t="s">
        <v>311</v>
      </c>
      <c r="I9" s="2" t="s">
        <v>310</v>
      </c>
    </row>
    <row r="10">
      <c r="A10" s="87"/>
      <c r="B10" s="64"/>
      <c r="C10" s="89"/>
      <c r="D10" s="64"/>
      <c r="E10" s="2"/>
      <c r="F10" s="2"/>
      <c r="G10" s="2" t="s">
        <v>308</v>
      </c>
      <c r="H10" s="2" t="s">
        <v>309</v>
      </c>
      <c r="I10" s="2" t="s">
        <v>310</v>
      </c>
    </row>
    <row r="11">
      <c r="A11" s="87"/>
      <c r="B11" s="64"/>
      <c r="C11" s="89"/>
      <c r="D11" s="64"/>
      <c r="E11" s="2"/>
      <c r="F11" s="2"/>
      <c r="G11" s="2" t="s">
        <v>308</v>
      </c>
      <c r="H11" s="2" t="s">
        <v>314</v>
      </c>
      <c r="I11" s="2" t="s">
        <v>310</v>
      </c>
    </row>
    <row r="12">
      <c r="A12" s="87"/>
      <c r="B12" s="64"/>
      <c r="C12" s="89"/>
      <c r="D12" s="64"/>
      <c r="E12" s="2"/>
      <c r="F12" s="2"/>
      <c r="G12" s="2" t="s">
        <v>308</v>
      </c>
      <c r="H12" s="2" t="s">
        <v>315</v>
      </c>
      <c r="I12" s="2" t="s">
        <v>316</v>
      </c>
    </row>
    <row r="13">
      <c r="A13" s="87"/>
      <c r="B13" s="64"/>
      <c r="C13" s="89"/>
      <c r="D13" s="64"/>
      <c r="E13" s="2"/>
      <c r="F13" s="2"/>
    </row>
    <row r="14">
      <c r="A14" s="87"/>
      <c r="B14" s="64"/>
      <c r="C14" s="89"/>
      <c r="D14" s="64"/>
      <c r="E14" s="2"/>
      <c r="F14" s="2"/>
    </row>
    <row r="15">
      <c r="A15" s="87"/>
      <c r="B15" s="64"/>
      <c r="C15" s="89"/>
      <c r="D15" s="64"/>
      <c r="E15" s="2"/>
      <c r="F15" s="2"/>
    </row>
    <row r="16">
      <c r="A16" s="87">
        <v>43537.0</v>
      </c>
      <c r="B16" s="64" t="s">
        <v>137</v>
      </c>
      <c r="C16" s="89" t="s">
        <v>294</v>
      </c>
      <c r="D16" s="64" t="s">
        <v>109</v>
      </c>
      <c r="E16" s="2" t="s">
        <v>319</v>
      </c>
      <c r="F16" s="2" t="s">
        <v>320</v>
      </c>
    </row>
    <row r="17">
      <c r="A17" s="87">
        <v>43540.0</v>
      </c>
      <c r="B17" s="64" t="s">
        <v>137</v>
      </c>
      <c r="C17" s="89" t="s">
        <v>294</v>
      </c>
      <c r="D17" s="64" t="s">
        <v>109</v>
      </c>
      <c r="E17" s="2" t="s">
        <v>322</v>
      </c>
      <c r="F17" s="2" t="s">
        <v>323</v>
      </c>
    </row>
    <row r="18">
      <c r="A18" s="87">
        <v>44420.0</v>
      </c>
      <c r="B18" s="64" t="s">
        <v>137</v>
      </c>
      <c r="C18" s="89" t="s">
        <v>294</v>
      </c>
      <c r="D18" s="64" t="s">
        <v>109</v>
      </c>
      <c r="E18" s="2" t="s">
        <v>325</v>
      </c>
      <c r="F18" s="2" t="s">
        <v>326</v>
      </c>
    </row>
    <row r="19">
      <c r="A19" s="87">
        <v>44106.0</v>
      </c>
      <c r="B19" s="64" t="s">
        <v>137</v>
      </c>
      <c r="C19" s="89" t="s">
        <v>294</v>
      </c>
      <c r="D19" s="64" t="s">
        <v>109</v>
      </c>
      <c r="E19" s="2" t="s">
        <v>328</v>
      </c>
      <c r="F19" s="2" t="s">
        <v>329</v>
      </c>
    </row>
    <row r="20">
      <c r="A20" s="87">
        <v>44105.0</v>
      </c>
      <c r="B20" s="64" t="s">
        <v>137</v>
      </c>
      <c r="C20" s="89" t="s">
        <v>294</v>
      </c>
      <c r="D20" s="64" t="s">
        <v>109</v>
      </c>
      <c r="E20" s="2" t="s">
        <v>331</v>
      </c>
      <c r="F20" s="2" t="s">
        <v>329</v>
      </c>
    </row>
    <row r="21">
      <c r="A21" s="87">
        <v>44482.0</v>
      </c>
      <c r="B21" s="64" t="s">
        <v>137</v>
      </c>
      <c r="C21" s="89" t="s">
        <v>294</v>
      </c>
      <c r="D21" s="64" t="s">
        <v>109</v>
      </c>
      <c r="E21" s="2" t="s">
        <v>332</v>
      </c>
      <c r="F21" s="2" t="s">
        <v>333</v>
      </c>
    </row>
    <row r="22">
      <c r="A22" s="87">
        <v>44536.0</v>
      </c>
      <c r="B22" s="64" t="s">
        <v>137</v>
      </c>
      <c r="C22" s="89" t="s">
        <v>294</v>
      </c>
      <c r="D22" s="64" t="s">
        <v>109</v>
      </c>
      <c r="E22" s="2" t="s">
        <v>334</v>
      </c>
      <c r="F22" s="2" t="s">
        <v>308</v>
      </c>
    </row>
    <row r="23">
      <c r="A23" s="87">
        <v>44536.0</v>
      </c>
      <c r="B23" s="64" t="s">
        <v>137</v>
      </c>
      <c r="C23" s="89" t="s">
        <v>294</v>
      </c>
      <c r="D23" s="64" t="s">
        <v>177</v>
      </c>
      <c r="E23" s="2" t="s">
        <v>335</v>
      </c>
      <c r="F23" s="2" t="s">
        <v>336</v>
      </c>
    </row>
    <row r="24">
      <c r="A24" s="91">
        <v>42140.0</v>
      </c>
      <c r="B24" s="41" t="s">
        <v>76</v>
      </c>
      <c r="C24" s="92" t="s">
        <v>338</v>
      </c>
      <c r="D24" s="41" t="s">
        <v>177</v>
      </c>
      <c r="E24" s="2" t="s">
        <v>340</v>
      </c>
      <c r="F24" s="2" t="s">
        <v>341</v>
      </c>
    </row>
    <row r="25">
      <c r="A25" s="93">
        <v>42417.0</v>
      </c>
      <c r="B25" s="41" t="s">
        <v>42</v>
      </c>
      <c r="C25" s="92" t="s">
        <v>342</v>
      </c>
      <c r="D25" s="41" t="s">
        <v>109</v>
      </c>
      <c r="E25" s="2" t="s">
        <v>343</v>
      </c>
      <c r="F25" s="2" t="s">
        <v>344</v>
      </c>
      <c r="G25" s="2"/>
      <c r="H25" s="2" t="s">
        <v>345</v>
      </c>
    </row>
    <row r="26">
      <c r="A26" s="94">
        <v>42417.0</v>
      </c>
      <c r="B26" s="41" t="s">
        <v>42</v>
      </c>
      <c r="C26" s="92" t="s">
        <v>346</v>
      </c>
      <c r="D26" s="41" t="s">
        <v>109</v>
      </c>
      <c r="E26" s="2" t="s">
        <v>347</v>
      </c>
      <c r="F26" s="2" t="s">
        <v>348</v>
      </c>
    </row>
    <row r="27">
      <c r="A27" s="93">
        <v>42423.0</v>
      </c>
      <c r="B27" s="41" t="s">
        <v>42</v>
      </c>
      <c r="C27" s="92" t="s">
        <v>350</v>
      </c>
      <c r="D27" s="41" t="s">
        <v>109</v>
      </c>
      <c r="E27" s="2" t="s">
        <v>353</v>
      </c>
      <c r="F27" s="2" t="s">
        <v>354</v>
      </c>
    </row>
    <row r="28">
      <c r="A28" s="93">
        <v>42424.0</v>
      </c>
      <c r="B28" s="41" t="s">
        <v>42</v>
      </c>
      <c r="C28" s="92" t="s">
        <v>355</v>
      </c>
      <c r="D28" s="41" t="s">
        <v>109</v>
      </c>
      <c r="E28" s="2" t="s">
        <v>356</v>
      </c>
      <c r="F28" s="2" t="s">
        <v>357</v>
      </c>
    </row>
    <row r="29">
      <c r="A29" s="93">
        <v>42425.0</v>
      </c>
      <c r="B29" s="41" t="s">
        <v>42</v>
      </c>
      <c r="C29" s="92" t="s">
        <v>358</v>
      </c>
      <c r="D29" s="41" t="s">
        <v>109</v>
      </c>
      <c r="E29" s="2" t="s">
        <v>359</v>
      </c>
      <c r="F29" s="2" t="s">
        <v>360</v>
      </c>
    </row>
    <row r="30">
      <c r="A30" s="93">
        <v>42436.0</v>
      </c>
      <c r="B30" s="41" t="s">
        <v>42</v>
      </c>
      <c r="C30" s="92" t="s">
        <v>361</v>
      </c>
      <c r="D30" s="41" t="s">
        <v>109</v>
      </c>
      <c r="E30" s="2" t="s">
        <v>364</v>
      </c>
      <c r="F30" s="2" t="s">
        <v>365</v>
      </c>
    </row>
    <row r="31">
      <c r="A31" s="93">
        <v>42438.0</v>
      </c>
      <c r="B31" s="41" t="s">
        <v>42</v>
      </c>
      <c r="C31" s="92" t="s">
        <v>366</v>
      </c>
      <c r="D31" s="41" t="s">
        <v>109</v>
      </c>
      <c r="E31" s="2" t="s">
        <v>368</v>
      </c>
      <c r="F31" s="2" t="s">
        <v>369</v>
      </c>
    </row>
    <row r="32">
      <c r="A32" s="93">
        <v>42439.0</v>
      </c>
      <c r="B32" s="41" t="s">
        <v>42</v>
      </c>
      <c r="C32" s="92" t="s">
        <v>370</v>
      </c>
      <c r="D32" s="41" t="s">
        <v>109</v>
      </c>
      <c r="E32" s="2" t="s">
        <v>373</v>
      </c>
      <c r="F32" s="2" t="s">
        <v>374</v>
      </c>
    </row>
    <row r="33">
      <c r="A33" s="93">
        <v>42439.0</v>
      </c>
      <c r="B33" s="41" t="s">
        <v>42</v>
      </c>
      <c r="C33" s="92" t="s">
        <v>376</v>
      </c>
      <c r="D33" s="41" t="s">
        <v>109</v>
      </c>
      <c r="E33" s="2" t="s">
        <v>379</v>
      </c>
      <c r="F33" s="2" t="s">
        <v>380</v>
      </c>
    </row>
    <row r="34">
      <c r="A34" s="93">
        <v>42443.0</v>
      </c>
      <c r="B34" s="41" t="s">
        <v>42</v>
      </c>
      <c r="C34" s="92" t="s">
        <v>381</v>
      </c>
      <c r="D34" s="41" t="s">
        <v>109</v>
      </c>
      <c r="E34" s="2" t="s">
        <v>383</v>
      </c>
      <c r="F34" s="2" t="s">
        <v>384</v>
      </c>
    </row>
    <row r="35">
      <c r="A35" s="93">
        <v>42443.0</v>
      </c>
      <c r="B35" s="41" t="s">
        <v>42</v>
      </c>
      <c r="C35" s="92" t="s">
        <v>385</v>
      </c>
      <c r="D35" s="41" t="s">
        <v>109</v>
      </c>
      <c r="E35" s="2" t="s">
        <v>386</v>
      </c>
      <c r="F35" s="2" t="s">
        <v>387</v>
      </c>
    </row>
    <row r="36">
      <c r="A36" s="93">
        <v>42446.0</v>
      </c>
      <c r="B36" s="41" t="s">
        <v>42</v>
      </c>
      <c r="C36" s="92" t="s">
        <v>388</v>
      </c>
      <c r="D36" s="41" t="s">
        <v>109</v>
      </c>
      <c r="E36" s="2" t="s">
        <v>390</v>
      </c>
      <c r="F36" s="2" t="s">
        <v>391</v>
      </c>
    </row>
    <row r="37">
      <c r="A37" s="93">
        <v>42450.0</v>
      </c>
      <c r="B37" s="41" t="s">
        <v>42</v>
      </c>
      <c r="C37" s="92" t="s">
        <v>392</v>
      </c>
      <c r="D37" s="41" t="s">
        <v>109</v>
      </c>
      <c r="E37" s="2" t="s">
        <v>395</v>
      </c>
      <c r="F37" s="2" t="s">
        <v>396</v>
      </c>
    </row>
    <row r="38">
      <c r="A38" s="93">
        <v>42452.0</v>
      </c>
      <c r="B38" s="41" t="s">
        <v>42</v>
      </c>
      <c r="C38" s="92" t="s">
        <v>397</v>
      </c>
      <c r="D38" s="41" t="s">
        <v>109</v>
      </c>
      <c r="E38" s="2" t="s">
        <v>400</v>
      </c>
      <c r="F38" s="2" t="s">
        <v>401</v>
      </c>
    </row>
    <row r="39">
      <c r="A39" s="93">
        <v>42461.0</v>
      </c>
      <c r="B39" s="41" t="s">
        <v>42</v>
      </c>
      <c r="C39" s="92" t="s">
        <v>402</v>
      </c>
      <c r="D39" s="41" t="s">
        <v>109</v>
      </c>
      <c r="E39" s="2" t="s">
        <v>404</v>
      </c>
      <c r="F39" s="2" t="s">
        <v>405</v>
      </c>
    </row>
    <row r="40">
      <c r="A40" s="93">
        <v>42461.0</v>
      </c>
      <c r="B40" s="41" t="s">
        <v>42</v>
      </c>
      <c r="C40" s="92" t="s">
        <v>406</v>
      </c>
      <c r="D40" s="41" t="s">
        <v>109</v>
      </c>
      <c r="E40" s="2" t="s">
        <v>407</v>
      </c>
      <c r="F40" s="2" t="s">
        <v>408</v>
      </c>
    </row>
    <row r="41">
      <c r="A41" s="93">
        <v>42465.0</v>
      </c>
      <c r="B41" s="41" t="s">
        <v>42</v>
      </c>
      <c r="C41" s="92" t="s">
        <v>409</v>
      </c>
      <c r="D41" s="41" t="s">
        <v>109</v>
      </c>
      <c r="E41" s="2" t="s">
        <v>411</v>
      </c>
      <c r="F41" s="2" t="s">
        <v>412</v>
      </c>
    </row>
    <row r="42">
      <c r="A42" s="93">
        <v>42467.0</v>
      </c>
      <c r="B42" s="41" t="s">
        <v>42</v>
      </c>
      <c r="C42" s="92" t="s">
        <v>413</v>
      </c>
      <c r="D42" s="41" t="s">
        <v>109</v>
      </c>
      <c r="E42" s="2" t="s">
        <v>415</v>
      </c>
      <c r="F42" s="2" t="s">
        <v>416</v>
      </c>
    </row>
    <row r="43">
      <c r="A43" s="93">
        <v>42467.0</v>
      </c>
      <c r="B43" s="41" t="s">
        <v>42</v>
      </c>
      <c r="C43" s="92" t="s">
        <v>417</v>
      </c>
      <c r="D43" s="41" t="s">
        <v>109</v>
      </c>
      <c r="E43" s="2" t="s">
        <v>420</v>
      </c>
      <c r="F43" s="2" t="s">
        <v>421</v>
      </c>
    </row>
    <row r="44">
      <c r="A44" s="93">
        <v>42481.0</v>
      </c>
      <c r="B44" s="41" t="s">
        <v>42</v>
      </c>
      <c r="C44" s="92" t="s">
        <v>422</v>
      </c>
      <c r="D44" s="41" t="s">
        <v>109</v>
      </c>
      <c r="E44" s="2" t="s">
        <v>425</v>
      </c>
      <c r="F44" s="2" t="s">
        <v>426</v>
      </c>
    </row>
    <row r="45">
      <c r="A45" s="93">
        <v>42482.0</v>
      </c>
      <c r="B45" s="41" t="s">
        <v>42</v>
      </c>
      <c r="C45" s="92" t="s">
        <v>427</v>
      </c>
      <c r="D45" s="41" t="s">
        <v>109</v>
      </c>
      <c r="E45" s="2" t="s">
        <v>429</v>
      </c>
      <c r="F45" s="2" t="s">
        <v>430</v>
      </c>
    </row>
    <row r="46">
      <c r="A46" s="93">
        <v>42486.0</v>
      </c>
      <c r="B46" s="41" t="s">
        <v>42</v>
      </c>
      <c r="C46" s="92" t="s">
        <v>431</v>
      </c>
      <c r="D46" s="41" t="s">
        <v>109</v>
      </c>
      <c r="E46" s="2" t="s">
        <v>432</v>
      </c>
      <c r="F46" s="2" t="s">
        <v>433</v>
      </c>
    </row>
    <row r="47">
      <c r="A47" s="93">
        <v>42513.0</v>
      </c>
      <c r="B47" s="41" t="s">
        <v>42</v>
      </c>
      <c r="C47" s="98" t="s">
        <v>434</v>
      </c>
      <c r="D47" s="41" t="s">
        <v>109</v>
      </c>
      <c r="E47" s="2" t="s">
        <v>438</v>
      </c>
      <c r="F47" s="2" t="s">
        <v>439</v>
      </c>
    </row>
    <row r="48">
      <c r="A48" s="93">
        <v>42513.0</v>
      </c>
      <c r="B48" s="41" t="s">
        <v>42</v>
      </c>
      <c r="C48" s="92" t="s">
        <v>440</v>
      </c>
      <c r="D48" s="41" t="s">
        <v>109</v>
      </c>
      <c r="E48" s="2" t="s">
        <v>443</v>
      </c>
      <c r="F48" s="2" t="s">
        <v>444</v>
      </c>
    </row>
    <row r="49">
      <c r="A49" s="93">
        <v>42620.0</v>
      </c>
      <c r="B49" s="41" t="s">
        <v>42</v>
      </c>
      <c r="C49" s="92" t="s">
        <v>445</v>
      </c>
      <c r="D49" s="41" t="s">
        <v>109</v>
      </c>
      <c r="E49" s="2" t="s">
        <v>446</v>
      </c>
      <c r="F49" s="2" t="s">
        <v>447</v>
      </c>
    </row>
    <row r="50">
      <c r="A50" s="93">
        <v>42620.0</v>
      </c>
      <c r="B50" s="41" t="s">
        <v>42</v>
      </c>
      <c r="C50" s="92" t="s">
        <v>448</v>
      </c>
      <c r="D50" s="41" t="s">
        <v>109</v>
      </c>
      <c r="E50" s="2" t="s">
        <v>449</v>
      </c>
      <c r="F50" s="2" t="s">
        <v>450</v>
      </c>
    </row>
    <row r="51">
      <c r="A51" s="93">
        <v>42626.0</v>
      </c>
      <c r="B51" s="41" t="s">
        <v>42</v>
      </c>
      <c r="C51" s="92" t="s">
        <v>451</v>
      </c>
      <c r="D51" s="41" t="s">
        <v>109</v>
      </c>
      <c r="E51" s="2" t="s">
        <v>454</v>
      </c>
      <c r="F51" s="2" t="s">
        <v>455</v>
      </c>
    </row>
    <row r="52">
      <c r="A52" s="93">
        <v>42626.0</v>
      </c>
      <c r="B52" s="41" t="s">
        <v>42</v>
      </c>
      <c r="C52" s="92" t="s">
        <v>456</v>
      </c>
      <c r="D52" s="41" t="s">
        <v>109</v>
      </c>
      <c r="E52" s="2" t="s">
        <v>458</v>
      </c>
      <c r="F52" s="2" t="s">
        <v>459</v>
      </c>
    </row>
    <row r="53">
      <c r="A53" s="93">
        <v>42636.0</v>
      </c>
      <c r="B53" s="41" t="s">
        <v>42</v>
      </c>
      <c r="C53" s="92" t="s">
        <v>460</v>
      </c>
      <c r="D53" s="41" t="s">
        <v>109</v>
      </c>
      <c r="E53" s="2" t="s">
        <v>461</v>
      </c>
      <c r="F53" s="2" t="s">
        <v>462</v>
      </c>
    </row>
    <row r="54">
      <c r="A54" s="93">
        <v>42636.0</v>
      </c>
      <c r="B54" s="41" t="s">
        <v>42</v>
      </c>
      <c r="C54" s="92" t="s">
        <v>463</v>
      </c>
      <c r="D54" s="41" t="s">
        <v>109</v>
      </c>
      <c r="E54" s="2" t="s">
        <v>466</v>
      </c>
      <c r="F54" s="2" t="s">
        <v>467</v>
      </c>
    </row>
    <row r="55">
      <c r="A55" s="93">
        <v>42662.0</v>
      </c>
      <c r="B55" s="41" t="s">
        <v>42</v>
      </c>
      <c r="C55" s="92" t="s">
        <v>468</v>
      </c>
      <c r="D55" s="41" t="s">
        <v>109</v>
      </c>
      <c r="E55" s="2" t="s">
        <v>471</v>
      </c>
      <c r="F55" s="99" t="s">
        <v>472</v>
      </c>
    </row>
    <row r="56">
      <c r="A56" s="91">
        <v>42713.0</v>
      </c>
      <c r="B56" s="41" t="s">
        <v>153</v>
      </c>
      <c r="C56" s="92" t="s">
        <v>473</v>
      </c>
      <c r="D56" s="41" t="s">
        <v>177</v>
      </c>
      <c r="E56" s="2" t="s">
        <v>474</v>
      </c>
      <c r="F56" s="100" t="s">
        <v>475</v>
      </c>
    </row>
    <row r="57">
      <c r="A57" s="91">
        <v>42811.0</v>
      </c>
      <c r="B57" s="41" t="s">
        <v>145</v>
      </c>
      <c r="C57" s="92" t="s">
        <v>477</v>
      </c>
      <c r="D57" s="41" t="s">
        <v>109</v>
      </c>
      <c r="E57" s="2" t="s">
        <v>479</v>
      </c>
      <c r="F57" s="101" t="s">
        <v>480</v>
      </c>
    </row>
    <row r="58">
      <c r="A58" s="93">
        <v>42851.0</v>
      </c>
      <c r="B58" s="41" t="s">
        <v>42</v>
      </c>
      <c r="C58" s="92" t="s">
        <v>482</v>
      </c>
      <c r="D58" s="41" t="s">
        <v>109</v>
      </c>
      <c r="E58" s="2" t="s">
        <v>484</v>
      </c>
      <c r="F58" s="2" t="s">
        <v>485</v>
      </c>
    </row>
    <row r="59">
      <c r="A59" s="93">
        <v>42851.0</v>
      </c>
      <c r="B59" s="41" t="s">
        <v>42</v>
      </c>
      <c r="C59" s="92" t="s">
        <v>486</v>
      </c>
      <c r="D59" s="41" t="s">
        <v>109</v>
      </c>
      <c r="E59" s="2" t="s">
        <v>487</v>
      </c>
      <c r="F59" s="2" t="s">
        <v>488</v>
      </c>
    </row>
    <row r="60">
      <c r="A60" s="93">
        <v>42873.0</v>
      </c>
      <c r="B60" s="41" t="s">
        <v>153</v>
      </c>
      <c r="C60" s="92" t="s">
        <v>473</v>
      </c>
      <c r="D60" s="41" t="s">
        <v>177</v>
      </c>
      <c r="E60" s="2" t="s">
        <v>489</v>
      </c>
      <c r="F60" s="100" t="s">
        <v>490</v>
      </c>
    </row>
    <row r="61">
      <c r="A61" s="93">
        <v>42940.0</v>
      </c>
      <c r="B61" s="41" t="s">
        <v>42</v>
      </c>
      <c r="C61" s="92" t="s">
        <v>491</v>
      </c>
      <c r="D61" s="41" t="s">
        <v>109</v>
      </c>
      <c r="E61" s="2" t="s">
        <v>493</v>
      </c>
      <c r="F61" s="2" t="s">
        <v>494</v>
      </c>
    </row>
    <row r="62">
      <c r="A62" s="93">
        <v>42940.0</v>
      </c>
      <c r="B62" s="41" t="s">
        <v>42</v>
      </c>
      <c r="C62" s="92" t="s">
        <v>496</v>
      </c>
      <c r="D62" s="41" t="s">
        <v>109</v>
      </c>
      <c r="E62" s="2" t="s">
        <v>498</v>
      </c>
      <c r="F62" s="2" t="s">
        <v>499</v>
      </c>
    </row>
    <row r="63">
      <c r="A63" s="93">
        <v>42941.0</v>
      </c>
      <c r="B63" s="41" t="s">
        <v>153</v>
      </c>
      <c r="C63" s="92" t="s">
        <v>473</v>
      </c>
      <c r="D63" s="41" t="s">
        <v>177</v>
      </c>
      <c r="E63" s="2" t="s">
        <v>501</v>
      </c>
      <c r="F63" s="100" t="s">
        <v>502</v>
      </c>
    </row>
    <row r="64">
      <c r="A64" s="93">
        <v>43000.0</v>
      </c>
      <c r="B64" s="41" t="s">
        <v>42</v>
      </c>
      <c r="C64" s="92" t="s">
        <v>503</v>
      </c>
      <c r="D64" s="41" t="s">
        <v>109</v>
      </c>
      <c r="E64" s="2" t="s">
        <v>505</v>
      </c>
      <c r="F64" s="64" t="s">
        <v>506</v>
      </c>
    </row>
    <row r="65">
      <c r="A65" s="93">
        <v>43042.0</v>
      </c>
      <c r="B65" s="41" t="s">
        <v>42</v>
      </c>
      <c r="C65" s="92" t="s">
        <v>507</v>
      </c>
      <c r="D65" s="41" t="s">
        <v>109</v>
      </c>
      <c r="E65" s="2" t="s">
        <v>509</v>
      </c>
      <c r="F65" s="2" t="s">
        <v>510</v>
      </c>
    </row>
    <row r="66">
      <c r="A66" s="93">
        <v>43056.0</v>
      </c>
      <c r="B66" s="41" t="s">
        <v>42</v>
      </c>
      <c r="C66" s="92" t="s">
        <v>511</v>
      </c>
      <c r="D66" s="41" t="s">
        <v>109</v>
      </c>
      <c r="E66" s="2" t="s">
        <v>514</v>
      </c>
      <c r="F66" s="2" t="s">
        <v>515</v>
      </c>
    </row>
    <row r="67">
      <c r="A67" s="93">
        <v>43061.0</v>
      </c>
      <c r="B67" s="41" t="s">
        <v>42</v>
      </c>
      <c r="C67" s="92" t="s">
        <v>516</v>
      </c>
      <c r="D67" s="41" t="s">
        <v>109</v>
      </c>
      <c r="E67" s="2" t="s">
        <v>519</v>
      </c>
      <c r="F67" s="2" t="s">
        <v>520</v>
      </c>
    </row>
    <row r="68">
      <c r="A68" s="103">
        <v>43101.0</v>
      </c>
      <c r="B68" s="64" t="s">
        <v>36</v>
      </c>
      <c r="C68" s="89" t="s">
        <v>521</v>
      </c>
      <c r="D68" s="104" t="s">
        <v>109</v>
      </c>
      <c r="E68" s="2" t="s">
        <v>524</v>
      </c>
      <c r="F68" s="105" t="s">
        <v>525</v>
      </c>
    </row>
    <row r="69">
      <c r="A69" s="93">
        <v>43124.0</v>
      </c>
      <c r="B69" s="41" t="s">
        <v>42</v>
      </c>
      <c r="C69" s="92" t="s">
        <v>526</v>
      </c>
      <c r="D69" s="41" t="s">
        <v>177</v>
      </c>
      <c r="E69" s="2" t="s">
        <v>527</v>
      </c>
      <c r="F69" s="2" t="s">
        <v>528</v>
      </c>
    </row>
    <row r="70">
      <c r="A70" s="93">
        <v>43392.0</v>
      </c>
      <c r="B70" s="41" t="s">
        <v>153</v>
      </c>
      <c r="C70" s="92" t="s">
        <v>473</v>
      </c>
      <c r="D70" s="41" t="s">
        <v>177</v>
      </c>
      <c r="E70" s="2" t="s">
        <v>529</v>
      </c>
      <c r="F70" s="100" t="s">
        <v>530</v>
      </c>
    </row>
    <row r="71">
      <c r="A71" s="93">
        <v>43425.0</v>
      </c>
      <c r="B71" s="41" t="s">
        <v>42</v>
      </c>
      <c r="C71" s="92" t="s">
        <v>531</v>
      </c>
      <c r="D71" s="41" t="s">
        <v>109</v>
      </c>
      <c r="E71" s="2" t="s">
        <v>533</v>
      </c>
      <c r="F71" s="2" t="s">
        <v>534</v>
      </c>
    </row>
    <row r="72">
      <c r="A72" s="93">
        <v>43432.0</v>
      </c>
      <c r="B72" s="41" t="s">
        <v>42</v>
      </c>
      <c r="C72" s="92" t="s">
        <v>537</v>
      </c>
      <c r="D72" s="41" t="s">
        <v>109</v>
      </c>
      <c r="E72" s="2" t="s">
        <v>540</v>
      </c>
      <c r="F72" s="2" t="s">
        <v>541</v>
      </c>
    </row>
    <row r="73">
      <c r="A73" s="107">
        <v>43469.0</v>
      </c>
      <c r="B73" s="41" t="s">
        <v>94</v>
      </c>
      <c r="C73" s="92" t="s">
        <v>542</v>
      </c>
      <c r="D73" s="41" t="s">
        <v>109</v>
      </c>
      <c r="E73" s="2" t="s">
        <v>544</v>
      </c>
      <c r="F73" s="2" t="s">
        <v>545</v>
      </c>
    </row>
    <row r="74">
      <c r="A74" s="107">
        <v>43507.0</v>
      </c>
      <c r="B74" s="41" t="s">
        <v>94</v>
      </c>
      <c r="C74" s="92" t="s">
        <v>546</v>
      </c>
      <c r="D74" s="41" t="s">
        <v>109</v>
      </c>
      <c r="E74" s="2" t="s">
        <v>551</v>
      </c>
      <c r="F74" s="2" t="s">
        <v>552</v>
      </c>
    </row>
    <row r="75">
      <c r="A75" s="93">
        <v>43511.0</v>
      </c>
      <c r="B75" s="41" t="s">
        <v>153</v>
      </c>
      <c r="C75" s="92" t="s">
        <v>473</v>
      </c>
      <c r="D75" s="41" t="s">
        <v>177</v>
      </c>
      <c r="E75" s="2" t="s">
        <v>553</v>
      </c>
      <c r="F75" s="100" t="s">
        <v>554</v>
      </c>
    </row>
    <row r="76">
      <c r="A76" s="107">
        <v>43522.0</v>
      </c>
      <c r="B76" s="41" t="s">
        <v>94</v>
      </c>
      <c r="C76" s="92" t="s">
        <v>555</v>
      </c>
      <c r="D76" s="41" t="s">
        <v>109</v>
      </c>
      <c r="E76" s="2" t="s">
        <v>556</v>
      </c>
      <c r="F76" s="2" t="s">
        <v>557</v>
      </c>
    </row>
    <row r="77">
      <c r="A77" s="93">
        <v>43566.0</v>
      </c>
      <c r="B77" s="41" t="s">
        <v>42</v>
      </c>
      <c r="C77" s="92" t="s">
        <v>558</v>
      </c>
      <c r="D77" s="41" t="s">
        <v>109</v>
      </c>
      <c r="E77" s="2" t="s">
        <v>560</v>
      </c>
      <c r="F77" s="2" t="s">
        <v>561</v>
      </c>
    </row>
    <row r="78">
      <c r="A78" s="107">
        <v>43567.0</v>
      </c>
      <c r="B78" s="41" t="s">
        <v>94</v>
      </c>
      <c r="C78" s="92" t="s">
        <v>564</v>
      </c>
      <c r="D78" s="41" t="s">
        <v>109</v>
      </c>
      <c r="E78" s="2" t="s">
        <v>565</v>
      </c>
      <c r="F78" s="64" t="s">
        <v>566</v>
      </c>
    </row>
    <row r="79">
      <c r="A79" s="93">
        <v>43570.0</v>
      </c>
      <c r="B79" s="41" t="s">
        <v>153</v>
      </c>
      <c r="C79" s="92" t="s">
        <v>473</v>
      </c>
      <c r="D79" s="41" t="s">
        <v>177</v>
      </c>
      <c r="E79" s="2" t="s">
        <v>567</v>
      </c>
      <c r="F79" s="100" t="s">
        <v>568</v>
      </c>
    </row>
    <row r="80">
      <c r="A80" s="93">
        <v>43573.0</v>
      </c>
      <c r="B80" s="41" t="s">
        <v>153</v>
      </c>
      <c r="C80" s="92" t="s">
        <v>473</v>
      </c>
      <c r="D80" s="41" t="s">
        <v>177</v>
      </c>
      <c r="E80" s="2" t="s">
        <v>570</v>
      </c>
      <c r="F80" s="100" t="s">
        <v>571</v>
      </c>
    </row>
    <row r="81">
      <c r="A81" s="91">
        <v>43591.0</v>
      </c>
      <c r="B81" s="41" t="s">
        <v>153</v>
      </c>
      <c r="C81" s="92" t="s">
        <v>473</v>
      </c>
      <c r="D81" s="41" t="s">
        <v>177</v>
      </c>
      <c r="E81" s="2" t="s">
        <v>572</v>
      </c>
      <c r="F81" s="100" t="s">
        <v>573</v>
      </c>
    </row>
    <row r="82">
      <c r="A82" s="93">
        <v>43591.0</v>
      </c>
      <c r="B82" s="41" t="s">
        <v>153</v>
      </c>
      <c r="C82" s="92" t="s">
        <v>473</v>
      </c>
      <c r="D82" s="41" t="s">
        <v>177</v>
      </c>
      <c r="E82" s="2" t="s">
        <v>574</v>
      </c>
      <c r="F82" s="100" t="s">
        <v>575</v>
      </c>
    </row>
    <row r="83">
      <c r="A83" s="93">
        <v>43594.0</v>
      </c>
      <c r="B83" s="41" t="s">
        <v>153</v>
      </c>
      <c r="C83" s="92" t="s">
        <v>473</v>
      </c>
      <c r="D83" s="41" t="s">
        <v>177</v>
      </c>
      <c r="E83" s="2" t="s">
        <v>576</v>
      </c>
      <c r="F83" s="100" t="s">
        <v>577</v>
      </c>
    </row>
    <row r="84">
      <c r="A84" s="91">
        <v>43595.0</v>
      </c>
      <c r="B84" s="41" t="s">
        <v>153</v>
      </c>
      <c r="C84" s="92" t="s">
        <v>473</v>
      </c>
      <c r="D84" s="41" t="s">
        <v>177</v>
      </c>
      <c r="E84" s="2" t="s">
        <v>578</v>
      </c>
      <c r="F84" s="100" t="s">
        <v>579</v>
      </c>
    </row>
    <row r="85">
      <c r="A85" s="91">
        <v>43649.0</v>
      </c>
      <c r="B85" s="41" t="s">
        <v>153</v>
      </c>
      <c r="C85" s="92" t="s">
        <v>473</v>
      </c>
      <c r="D85" s="41" t="s">
        <v>177</v>
      </c>
      <c r="E85" s="2" t="s">
        <v>581</v>
      </c>
      <c r="F85" s="100" t="s">
        <v>582</v>
      </c>
    </row>
    <row r="86">
      <c r="A86" s="91">
        <v>43662.0</v>
      </c>
      <c r="B86" s="41" t="s">
        <v>153</v>
      </c>
      <c r="C86" s="92" t="s">
        <v>473</v>
      </c>
      <c r="D86" s="41" t="s">
        <v>177</v>
      </c>
      <c r="E86" s="2" t="s">
        <v>584</v>
      </c>
      <c r="F86" s="100" t="s">
        <v>585</v>
      </c>
    </row>
    <row r="87">
      <c r="A87" s="91">
        <v>43669.0</v>
      </c>
      <c r="B87" s="41" t="s">
        <v>153</v>
      </c>
      <c r="C87" s="92" t="s">
        <v>473</v>
      </c>
      <c r="D87" s="41" t="s">
        <v>177</v>
      </c>
      <c r="E87" s="2" t="s">
        <v>587</v>
      </c>
      <c r="F87" s="100" t="s">
        <v>588</v>
      </c>
    </row>
    <row r="88">
      <c r="A88" s="91">
        <v>43669.0</v>
      </c>
      <c r="B88" s="41" t="s">
        <v>153</v>
      </c>
      <c r="C88" s="92" t="s">
        <v>473</v>
      </c>
      <c r="D88" s="41" t="s">
        <v>177</v>
      </c>
      <c r="E88" s="2" t="s">
        <v>589</v>
      </c>
      <c r="F88" s="100" t="s">
        <v>590</v>
      </c>
    </row>
    <row r="89">
      <c r="A89" s="91">
        <v>43671.0</v>
      </c>
      <c r="B89" s="41" t="s">
        <v>153</v>
      </c>
      <c r="C89" s="92" t="s">
        <v>473</v>
      </c>
      <c r="D89" s="41" t="s">
        <v>177</v>
      </c>
      <c r="E89" s="2" t="s">
        <v>591</v>
      </c>
      <c r="F89" s="100" t="s">
        <v>502</v>
      </c>
    </row>
    <row r="90">
      <c r="A90" s="107">
        <v>43684.0</v>
      </c>
      <c r="B90" s="41" t="s">
        <v>94</v>
      </c>
      <c r="C90" s="92" t="s">
        <v>592</v>
      </c>
      <c r="D90" s="41" t="s">
        <v>109</v>
      </c>
      <c r="E90" s="2" t="s">
        <v>594</v>
      </c>
      <c r="F90" s="100" t="s">
        <v>502</v>
      </c>
    </row>
    <row r="91">
      <c r="A91" s="93">
        <v>43693.0</v>
      </c>
      <c r="B91" s="41" t="s">
        <v>42</v>
      </c>
      <c r="C91" s="92" t="s">
        <v>595</v>
      </c>
      <c r="D91" s="41" t="s">
        <v>109</v>
      </c>
      <c r="E91" s="2" t="s">
        <v>597</v>
      </c>
      <c r="F91" s="2" t="s">
        <v>598</v>
      </c>
    </row>
    <row r="92">
      <c r="A92" s="107">
        <v>43693.0</v>
      </c>
      <c r="B92" s="41" t="s">
        <v>94</v>
      </c>
      <c r="C92" s="92" t="s">
        <v>599</v>
      </c>
      <c r="D92" s="41" t="s">
        <v>109</v>
      </c>
      <c r="E92" s="2" t="s">
        <v>602</v>
      </c>
      <c r="F92" s="2" t="s">
        <v>603</v>
      </c>
    </row>
    <row r="93">
      <c r="A93" s="107">
        <v>43707.0</v>
      </c>
      <c r="B93" s="41" t="s">
        <v>94</v>
      </c>
      <c r="C93" s="92" t="s">
        <v>604</v>
      </c>
      <c r="D93" s="41" t="s">
        <v>109</v>
      </c>
      <c r="E93" s="2" t="s">
        <v>606</v>
      </c>
      <c r="F93" s="2" t="s">
        <v>603</v>
      </c>
    </row>
    <row r="94">
      <c r="A94" s="91">
        <v>43781.0</v>
      </c>
      <c r="B94" s="41" t="s">
        <v>9</v>
      </c>
      <c r="C94" s="92" t="s">
        <v>101</v>
      </c>
      <c r="D94" s="86" t="s">
        <v>109</v>
      </c>
      <c r="E94" s="2" t="s">
        <v>97</v>
      </c>
      <c r="F94" s="2" t="s">
        <v>116</v>
      </c>
    </row>
    <row r="95">
      <c r="A95" s="93">
        <v>43791.0</v>
      </c>
      <c r="B95" s="41" t="s">
        <v>42</v>
      </c>
      <c r="C95" s="92" t="s">
        <v>611</v>
      </c>
      <c r="D95" s="41" t="s">
        <v>109</v>
      </c>
      <c r="E95" s="2" t="s">
        <v>614</v>
      </c>
      <c r="F95" s="64" t="s">
        <v>615</v>
      </c>
    </row>
    <row r="96">
      <c r="A96" s="107">
        <v>43816.0</v>
      </c>
      <c r="B96" s="41" t="s">
        <v>94</v>
      </c>
      <c r="C96" s="92" t="s">
        <v>617</v>
      </c>
      <c r="D96" s="41" t="s">
        <v>109</v>
      </c>
      <c r="E96" s="2" t="s">
        <v>618</v>
      </c>
      <c r="F96" s="64" t="s">
        <v>615</v>
      </c>
    </row>
    <row r="97">
      <c r="A97" s="91">
        <v>43840.0</v>
      </c>
      <c r="B97" s="41" t="s">
        <v>94</v>
      </c>
      <c r="C97" s="92" t="s">
        <v>619</v>
      </c>
      <c r="D97" s="41" t="s">
        <v>109</v>
      </c>
      <c r="E97" s="2" t="s">
        <v>623</v>
      </c>
      <c r="F97" s="2" t="s">
        <v>624</v>
      </c>
    </row>
    <row r="98">
      <c r="A98" s="107">
        <v>43847.0</v>
      </c>
      <c r="B98" s="41" t="s">
        <v>94</v>
      </c>
      <c r="C98" s="92" t="s">
        <v>626</v>
      </c>
      <c r="D98" s="41" t="s">
        <v>109</v>
      </c>
      <c r="E98" s="2" t="s">
        <v>628</v>
      </c>
      <c r="F98" s="2" t="s">
        <v>624</v>
      </c>
    </row>
    <row r="99">
      <c r="A99" s="107">
        <v>43850.0</v>
      </c>
      <c r="B99" s="41" t="s">
        <v>94</v>
      </c>
      <c r="C99" s="92" t="s">
        <v>629</v>
      </c>
      <c r="D99" s="41" t="s">
        <v>109</v>
      </c>
      <c r="E99" s="2" t="s">
        <v>631</v>
      </c>
      <c r="F99" s="2" t="s">
        <v>624</v>
      </c>
    </row>
    <row r="100">
      <c r="A100" s="107">
        <v>43852.0</v>
      </c>
      <c r="B100" s="41" t="s">
        <v>94</v>
      </c>
      <c r="C100" s="92" t="s">
        <v>632</v>
      </c>
      <c r="D100" s="41" t="s">
        <v>109</v>
      </c>
      <c r="E100" s="2" t="s">
        <v>638</v>
      </c>
      <c r="F100" s="2" t="s">
        <v>624</v>
      </c>
    </row>
    <row r="101">
      <c r="A101" s="107">
        <v>43868.0</v>
      </c>
      <c r="B101" s="41" t="s">
        <v>94</v>
      </c>
      <c r="C101" s="92" t="s">
        <v>639</v>
      </c>
      <c r="D101" s="41" t="s">
        <v>109</v>
      </c>
      <c r="E101" s="2" t="s">
        <v>641</v>
      </c>
      <c r="F101" s="2" t="s">
        <v>624</v>
      </c>
    </row>
    <row r="102">
      <c r="A102" s="93">
        <v>43894.0</v>
      </c>
      <c r="B102" s="41" t="s">
        <v>42</v>
      </c>
      <c r="C102" s="92" t="s">
        <v>642</v>
      </c>
      <c r="D102" s="41" t="s">
        <v>109</v>
      </c>
      <c r="E102" s="2" t="s">
        <v>644</v>
      </c>
      <c r="F102" s="64" t="s">
        <v>645</v>
      </c>
    </row>
    <row r="103">
      <c r="A103" s="107">
        <v>43910.0</v>
      </c>
      <c r="B103" s="41" t="s">
        <v>94</v>
      </c>
      <c r="C103" s="92" t="s">
        <v>646</v>
      </c>
      <c r="D103" s="41" t="s">
        <v>109</v>
      </c>
      <c r="E103" s="2" t="s">
        <v>649</v>
      </c>
      <c r="F103" s="2" t="s">
        <v>624</v>
      </c>
    </row>
    <row r="104">
      <c r="A104" s="93">
        <v>44022.0</v>
      </c>
      <c r="B104" s="41" t="s">
        <v>42</v>
      </c>
      <c r="C104" s="92" t="s">
        <v>651</v>
      </c>
      <c r="D104" s="41" t="s">
        <v>109</v>
      </c>
      <c r="E104" s="2" t="s">
        <v>652</v>
      </c>
      <c r="F104" s="64" t="s">
        <v>653</v>
      </c>
    </row>
    <row r="105">
      <c r="A105" s="107">
        <v>44049.0</v>
      </c>
      <c r="B105" s="41" t="s">
        <v>94</v>
      </c>
      <c r="C105" s="92" t="s">
        <v>654</v>
      </c>
      <c r="D105" s="41" t="s">
        <v>109</v>
      </c>
      <c r="E105" s="2" t="s">
        <v>655</v>
      </c>
      <c r="F105" s="64" t="s">
        <v>656</v>
      </c>
    </row>
    <row r="106">
      <c r="A106" s="91">
        <v>44062.0</v>
      </c>
      <c r="B106" s="41" t="s">
        <v>61</v>
      </c>
      <c r="C106" s="92" t="s">
        <v>657</v>
      </c>
      <c r="D106" s="41" t="s">
        <v>109</v>
      </c>
      <c r="E106" s="2" t="s">
        <v>659</v>
      </c>
      <c r="F106" s="112" t="s">
        <v>660</v>
      </c>
    </row>
    <row r="107">
      <c r="A107" s="93">
        <v>44069.0</v>
      </c>
      <c r="B107" s="41" t="s">
        <v>42</v>
      </c>
      <c r="C107" s="92" t="s">
        <v>661</v>
      </c>
      <c r="D107" s="41" t="s">
        <v>109</v>
      </c>
      <c r="E107" s="2" t="s">
        <v>663</v>
      </c>
      <c r="F107" s="64" t="s">
        <v>664</v>
      </c>
    </row>
    <row r="108">
      <c r="A108" s="107">
        <v>44091.0</v>
      </c>
      <c r="B108" s="41" t="s">
        <v>94</v>
      </c>
      <c r="C108" s="92" t="s">
        <v>665</v>
      </c>
      <c r="D108" s="41" t="s">
        <v>109</v>
      </c>
      <c r="E108" s="2" t="s">
        <v>667</v>
      </c>
      <c r="F108" s="2" t="s">
        <v>624</v>
      </c>
    </row>
    <row r="109">
      <c r="A109" s="93">
        <v>44112.0</v>
      </c>
      <c r="B109" s="41" t="s">
        <v>42</v>
      </c>
      <c r="C109" s="92" t="s">
        <v>668</v>
      </c>
      <c r="D109" s="41" t="s">
        <v>109</v>
      </c>
      <c r="E109" s="2" t="s">
        <v>670</v>
      </c>
      <c r="F109" s="64" t="s">
        <v>671</v>
      </c>
    </row>
    <row r="110">
      <c r="A110" s="93">
        <v>44140.0</v>
      </c>
      <c r="B110" s="41" t="s">
        <v>42</v>
      </c>
      <c r="C110" s="92" t="s">
        <v>673</v>
      </c>
      <c r="D110" s="41" t="s">
        <v>109</v>
      </c>
      <c r="E110" s="2" t="s">
        <v>674</v>
      </c>
      <c r="F110" s="2" t="s">
        <v>675</v>
      </c>
    </row>
    <row r="111">
      <c r="A111" s="93">
        <v>44155.0</v>
      </c>
      <c r="B111" s="41" t="s">
        <v>153</v>
      </c>
      <c r="C111" s="92" t="s">
        <v>473</v>
      </c>
      <c r="D111" s="41" t="s">
        <v>177</v>
      </c>
      <c r="E111" s="2" t="s">
        <v>676</v>
      </c>
      <c r="F111" s="100" t="s">
        <v>677</v>
      </c>
    </row>
    <row r="112">
      <c r="A112" s="93">
        <v>44176.0</v>
      </c>
      <c r="B112" s="41" t="s">
        <v>145</v>
      </c>
      <c r="C112" s="92" t="s">
        <v>678</v>
      </c>
      <c r="D112" s="41" t="s">
        <v>109</v>
      </c>
      <c r="E112" s="2" t="s">
        <v>680</v>
      </c>
      <c r="F112" s="2" t="s">
        <v>681</v>
      </c>
    </row>
    <row r="113">
      <c r="A113" s="91">
        <v>44202.0</v>
      </c>
      <c r="B113" s="41" t="s">
        <v>145</v>
      </c>
      <c r="C113" s="92" t="s">
        <v>682</v>
      </c>
      <c r="D113" s="41" t="s">
        <v>109</v>
      </c>
      <c r="E113" s="2" t="s">
        <v>684</v>
      </c>
      <c r="F113" s="2" t="s">
        <v>685</v>
      </c>
    </row>
    <row r="114">
      <c r="A114" s="91">
        <v>44202.0</v>
      </c>
      <c r="B114" s="41" t="s">
        <v>145</v>
      </c>
      <c r="C114" s="92" t="s">
        <v>682</v>
      </c>
      <c r="D114" s="41" t="s">
        <v>109</v>
      </c>
      <c r="E114" s="2" t="s">
        <v>684</v>
      </c>
      <c r="F114" s="2" t="s">
        <v>685</v>
      </c>
    </row>
    <row r="115">
      <c r="A115" s="93">
        <v>44204.0</v>
      </c>
      <c r="B115" s="41" t="s">
        <v>42</v>
      </c>
      <c r="C115" s="92" t="s">
        <v>687</v>
      </c>
      <c r="D115" s="41" t="s">
        <v>109</v>
      </c>
      <c r="E115" s="2" t="s">
        <v>689</v>
      </c>
      <c r="F115" s="2" t="s">
        <v>690</v>
      </c>
    </row>
    <row r="116">
      <c r="A116" s="93">
        <v>44237.0</v>
      </c>
      <c r="B116" s="41" t="s">
        <v>42</v>
      </c>
      <c r="C116" s="92" t="s">
        <v>692</v>
      </c>
      <c r="D116" s="41" t="s">
        <v>177</v>
      </c>
      <c r="E116" s="2" t="s">
        <v>693</v>
      </c>
      <c r="F116" s="2" t="s">
        <v>695</v>
      </c>
    </row>
    <row r="117">
      <c r="A117" s="93">
        <v>44247.0</v>
      </c>
      <c r="B117" s="41" t="s">
        <v>117</v>
      </c>
      <c r="C117" s="92" t="s">
        <v>696</v>
      </c>
      <c r="D117" s="41" t="s">
        <v>109</v>
      </c>
      <c r="E117" s="2" t="s">
        <v>699</v>
      </c>
      <c r="F117" s="64" t="s">
        <v>624</v>
      </c>
    </row>
    <row r="118">
      <c r="A118" s="91">
        <v>44281.0</v>
      </c>
      <c r="B118" s="41" t="s">
        <v>153</v>
      </c>
      <c r="C118" s="92" t="s">
        <v>473</v>
      </c>
      <c r="D118" s="41" t="s">
        <v>177</v>
      </c>
      <c r="E118" s="2" t="s">
        <v>700</v>
      </c>
      <c r="F118" s="100" t="s">
        <v>701</v>
      </c>
    </row>
    <row r="119">
      <c r="A119" s="93">
        <v>44285.0</v>
      </c>
      <c r="B119" s="41" t="s">
        <v>153</v>
      </c>
      <c r="C119" s="92" t="s">
        <v>473</v>
      </c>
      <c r="D119" s="41" t="s">
        <v>109</v>
      </c>
      <c r="E119" s="2" t="s">
        <v>704</v>
      </c>
      <c r="F119" s="100" t="s">
        <v>705</v>
      </c>
    </row>
    <row r="120">
      <c r="A120" s="93">
        <v>44286.0</v>
      </c>
      <c r="B120" s="41" t="s">
        <v>42</v>
      </c>
      <c r="C120" s="92" t="s">
        <v>706</v>
      </c>
      <c r="D120" s="41" t="s">
        <v>109</v>
      </c>
      <c r="E120" s="2" t="s">
        <v>708</v>
      </c>
      <c r="F120" s="2" t="s">
        <v>709</v>
      </c>
    </row>
    <row r="121">
      <c r="A121" s="91">
        <v>44299.0</v>
      </c>
      <c r="B121" s="41" t="s">
        <v>153</v>
      </c>
      <c r="C121" s="92" t="s">
        <v>473</v>
      </c>
      <c r="D121" s="41" t="s">
        <v>109</v>
      </c>
      <c r="E121" s="2" t="s">
        <v>710</v>
      </c>
      <c r="F121" s="100" t="s">
        <v>712</v>
      </c>
    </row>
    <row r="122">
      <c r="A122" s="93">
        <v>44305.0</v>
      </c>
      <c r="B122" s="41" t="s">
        <v>42</v>
      </c>
      <c r="C122" s="92" t="s">
        <v>713</v>
      </c>
      <c r="D122" s="41" t="s">
        <v>109</v>
      </c>
      <c r="E122" s="2" t="s">
        <v>715</v>
      </c>
      <c r="F122" s="2" t="s">
        <v>716</v>
      </c>
    </row>
    <row r="123">
      <c r="A123" s="94">
        <v>44335.0</v>
      </c>
      <c r="B123" s="64" t="s">
        <v>123</v>
      </c>
      <c r="C123" s="89" t="s">
        <v>718</v>
      </c>
      <c r="D123" s="64" t="s">
        <v>109</v>
      </c>
      <c r="E123" s="2" t="s">
        <v>723</v>
      </c>
      <c r="F123" s="64" t="s">
        <v>722</v>
      </c>
    </row>
    <row r="124">
      <c r="A124" s="91">
        <v>44337.0</v>
      </c>
      <c r="B124" s="41" t="s">
        <v>145</v>
      </c>
      <c r="C124" s="92" t="s">
        <v>725</v>
      </c>
      <c r="D124" s="41" t="s">
        <v>109</v>
      </c>
      <c r="E124" s="2" t="s">
        <v>726</v>
      </c>
      <c r="F124" s="2" t="s">
        <v>727</v>
      </c>
    </row>
    <row r="125">
      <c r="A125" s="93">
        <v>44370.0</v>
      </c>
      <c r="B125" s="41" t="s">
        <v>20</v>
      </c>
      <c r="C125" s="92" t="s">
        <v>168</v>
      </c>
      <c r="D125" s="86" t="s">
        <v>177</v>
      </c>
      <c r="E125" s="2" t="s">
        <v>730</v>
      </c>
      <c r="F125" s="64" t="s">
        <v>615</v>
      </c>
    </row>
    <row r="126">
      <c r="A126" s="107">
        <v>44384.0</v>
      </c>
      <c r="B126" s="41" t="s">
        <v>94</v>
      </c>
      <c r="C126" s="92" t="s">
        <v>732</v>
      </c>
      <c r="D126" s="41" t="s">
        <v>109</v>
      </c>
      <c r="E126" s="2" t="s">
        <v>738</v>
      </c>
      <c r="F126" s="64" t="s">
        <v>624</v>
      </c>
    </row>
    <row r="127">
      <c r="A127" s="93">
        <v>44385.0</v>
      </c>
      <c r="B127" s="41" t="s">
        <v>117</v>
      </c>
      <c r="C127" s="92" t="s">
        <v>739</v>
      </c>
      <c r="D127" s="41" t="s">
        <v>109</v>
      </c>
      <c r="E127" s="2" t="s">
        <v>741</v>
      </c>
      <c r="F127" s="64" t="s">
        <v>742</v>
      </c>
    </row>
    <row r="128">
      <c r="A128" s="91">
        <v>44390.0</v>
      </c>
      <c r="B128" s="41" t="s">
        <v>153</v>
      </c>
      <c r="C128" s="92" t="s">
        <v>473</v>
      </c>
      <c r="D128" s="41" t="s">
        <v>177</v>
      </c>
      <c r="E128" s="2" t="s">
        <v>744</v>
      </c>
      <c r="F128" s="100" t="s">
        <v>530</v>
      </c>
    </row>
    <row r="129">
      <c r="A129" s="91">
        <v>44397.0</v>
      </c>
      <c r="B129" s="41" t="s">
        <v>153</v>
      </c>
      <c r="C129" s="92" t="s">
        <v>473</v>
      </c>
      <c r="D129" s="41" t="s">
        <v>177</v>
      </c>
      <c r="E129" s="2" t="s">
        <v>745</v>
      </c>
      <c r="F129" s="100" t="s">
        <v>746</v>
      </c>
    </row>
    <row r="130">
      <c r="A130" s="91">
        <v>44460.0</v>
      </c>
      <c r="B130" s="41" t="s">
        <v>145</v>
      </c>
      <c r="C130" s="92" t="s">
        <v>747</v>
      </c>
      <c r="D130" s="41" t="s">
        <v>109</v>
      </c>
      <c r="E130" s="2" t="s">
        <v>749</v>
      </c>
      <c r="F130" s="64" t="s">
        <v>750</v>
      </c>
    </row>
    <row r="131">
      <c r="A131" s="107">
        <v>44463.0</v>
      </c>
      <c r="B131" s="41" t="s">
        <v>94</v>
      </c>
      <c r="C131" s="92" t="s">
        <v>751</v>
      </c>
      <c r="D131" s="41" t="s">
        <v>109</v>
      </c>
      <c r="E131" s="2" t="s">
        <v>753</v>
      </c>
      <c r="F131" s="2" t="s">
        <v>754</v>
      </c>
    </row>
    <row r="132">
      <c r="A132" s="91">
        <v>44463.0</v>
      </c>
      <c r="B132" s="41" t="s">
        <v>145</v>
      </c>
      <c r="C132" s="92" t="s">
        <v>755</v>
      </c>
      <c r="D132" s="41" t="s">
        <v>109</v>
      </c>
      <c r="E132" s="2" t="s">
        <v>756</v>
      </c>
      <c r="F132" s="64" t="s">
        <v>750</v>
      </c>
    </row>
    <row r="133">
      <c r="A133" s="93">
        <v>44484.0</v>
      </c>
      <c r="B133" s="41" t="s">
        <v>42</v>
      </c>
      <c r="C133" s="92" t="s">
        <v>758</v>
      </c>
      <c r="D133" s="41" t="s">
        <v>109</v>
      </c>
      <c r="E133" s="2" t="s">
        <v>761</v>
      </c>
      <c r="F133" s="2" t="s">
        <v>762</v>
      </c>
    </row>
    <row r="134">
      <c r="A134" s="93">
        <v>44505.0</v>
      </c>
      <c r="B134" s="41" t="s">
        <v>117</v>
      </c>
      <c r="C134" s="92" t="s">
        <v>763</v>
      </c>
      <c r="D134" s="41" t="s">
        <v>109</v>
      </c>
      <c r="E134" s="2" t="s">
        <v>765</v>
      </c>
      <c r="F134" s="2" t="s">
        <v>766</v>
      </c>
    </row>
    <row r="135">
      <c r="A135" s="93">
        <v>44511.0</v>
      </c>
      <c r="B135" s="41" t="s">
        <v>20</v>
      </c>
      <c r="C135" s="92" t="s">
        <v>398</v>
      </c>
      <c r="D135" s="86" t="s">
        <v>177</v>
      </c>
      <c r="E135" s="2" t="s">
        <v>394</v>
      </c>
      <c r="F135" s="64" t="s">
        <v>768</v>
      </c>
    </row>
    <row r="136">
      <c r="A136" s="91">
        <v>44512.0</v>
      </c>
      <c r="B136" s="41" t="s">
        <v>61</v>
      </c>
      <c r="C136" s="92" t="s">
        <v>770</v>
      </c>
      <c r="D136" s="41" t="s">
        <v>109</v>
      </c>
      <c r="E136" s="2" t="s">
        <v>772</v>
      </c>
      <c r="F136" s="64" t="s">
        <v>722</v>
      </c>
    </row>
    <row r="137">
      <c r="A137" s="107">
        <v>44517.0</v>
      </c>
      <c r="B137" s="41" t="s">
        <v>94</v>
      </c>
      <c r="C137" s="92" t="s">
        <v>773</v>
      </c>
      <c r="D137" s="41" t="s">
        <v>109</v>
      </c>
      <c r="E137" s="2" t="s">
        <v>774</v>
      </c>
      <c r="F137" s="64" t="s">
        <v>775</v>
      </c>
    </row>
    <row r="138">
      <c r="A138" s="93">
        <v>44518.0</v>
      </c>
      <c r="B138" s="41" t="s">
        <v>42</v>
      </c>
      <c r="C138" s="92" t="s">
        <v>776</v>
      </c>
      <c r="D138" s="41" t="s">
        <v>109</v>
      </c>
      <c r="E138" s="2" t="s">
        <v>777</v>
      </c>
      <c r="F138" s="118" t="s">
        <v>778</v>
      </c>
    </row>
    <row r="139">
      <c r="A139" s="91">
        <v>44538.0</v>
      </c>
      <c r="B139" s="41" t="s">
        <v>42</v>
      </c>
      <c r="C139" s="92" t="s">
        <v>781</v>
      </c>
      <c r="D139" s="41" t="s">
        <v>109</v>
      </c>
      <c r="E139" s="2" t="s">
        <v>785</v>
      </c>
      <c r="F139" s="2" t="s">
        <v>786</v>
      </c>
    </row>
    <row r="140">
      <c r="A140" s="91">
        <v>44540.0</v>
      </c>
      <c r="B140" s="41" t="s">
        <v>67</v>
      </c>
      <c r="C140" s="92" t="s">
        <v>787</v>
      </c>
      <c r="D140" s="41" t="s">
        <v>788</v>
      </c>
      <c r="E140" s="2" t="s">
        <v>789</v>
      </c>
      <c r="F140" s="119" t="s">
        <v>790</v>
      </c>
    </row>
    <row r="141">
      <c r="A141" s="93">
        <v>44544.0</v>
      </c>
      <c r="B141" s="41" t="s">
        <v>42</v>
      </c>
      <c r="C141" s="92" t="s">
        <v>792</v>
      </c>
      <c r="D141" s="41" t="s">
        <v>109</v>
      </c>
      <c r="E141" s="2" t="s">
        <v>793</v>
      </c>
      <c r="F141" s="2" t="s">
        <v>794</v>
      </c>
    </row>
    <row r="142">
      <c r="A142" s="93">
        <v>44587.0</v>
      </c>
      <c r="B142" s="121" t="s">
        <v>36</v>
      </c>
      <c r="C142" s="122" t="s">
        <v>795</v>
      </c>
      <c r="D142" s="123" t="s">
        <v>109</v>
      </c>
      <c r="E142" s="2" t="s">
        <v>798</v>
      </c>
      <c r="F142" s="124" t="s">
        <v>799</v>
      </c>
    </row>
    <row r="143">
      <c r="A143" s="93">
        <v>44594.0</v>
      </c>
      <c r="B143" s="41" t="s">
        <v>42</v>
      </c>
      <c r="C143" s="92" t="s">
        <v>800</v>
      </c>
      <c r="D143" s="41" t="s">
        <v>109</v>
      </c>
      <c r="E143" s="2" t="s">
        <v>803</v>
      </c>
      <c r="F143" s="126" t="s">
        <v>804</v>
      </c>
    </row>
    <row r="144">
      <c r="A144" s="91">
        <v>44609.0</v>
      </c>
      <c r="B144" s="41" t="s">
        <v>86</v>
      </c>
      <c r="C144" s="92" t="s">
        <v>805</v>
      </c>
      <c r="D144" s="41" t="s">
        <v>109</v>
      </c>
      <c r="E144" s="2" t="s">
        <v>806</v>
      </c>
      <c r="F144" s="128" t="s">
        <v>808</v>
      </c>
    </row>
    <row r="145">
      <c r="A145" s="93">
        <v>44620.0</v>
      </c>
      <c r="B145" s="41" t="s">
        <v>42</v>
      </c>
      <c r="C145" s="92" t="s">
        <v>810</v>
      </c>
      <c r="D145" s="41" t="s">
        <v>109</v>
      </c>
      <c r="E145" s="2" t="s">
        <v>812</v>
      </c>
      <c r="F145" s="64" t="s">
        <v>813</v>
      </c>
    </row>
    <row r="146">
      <c r="A146" s="93">
        <v>44624.0</v>
      </c>
      <c r="B146" s="41" t="s">
        <v>117</v>
      </c>
      <c r="C146" s="92" t="s">
        <v>814</v>
      </c>
      <c r="D146" s="41" t="s">
        <v>109</v>
      </c>
      <c r="E146" s="2" t="s">
        <v>816</v>
      </c>
      <c r="F146" s="2" t="s">
        <v>817</v>
      </c>
    </row>
    <row r="147">
      <c r="A147" s="93">
        <v>44631.0</v>
      </c>
      <c r="B147" s="41" t="s">
        <v>42</v>
      </c>
      <c r="C147" s="92" t="s">
        <v>818</v>
      </c>
      <c r="D147" s="41" t="s">
        <v>109</v>
      </c>
      <c r="E147" s="2" t="s">
        <v>819</v>
      </c>
      <c r="F147" s="2" t="s">
        <v>820</v>
      </c>
    </row>
    <row r="148">
      <c r="A148" s="93">
        <v>44648.0</v>
      </c>
      <c r="B148" s="41" t="s">
        <v>128</v>
      </c>
      <c r="C148" s="92" t="s">
        <v>821</v>
      </c>
      <c r="D148" s="86" t="s">
        <v>109</v>
      </c>
      <c r="E148" s="2" t="s">
        <v>824</v>
      </c>
      <c r="F148" s="137" t="s">
        <v>825</v>
      </c>
    </row>
    <row r="149">
      <c r="A149" s="93">
        <v>44650.0</v>
      </c>
      <c r="B149" s="41" t="s">
        <v>117</v>
      </c>
      <c r="C149" s="92" t="s">
        <v>826</v>
      </c>
      <c r="D149" s="41" t="s">
        <v>177</v>
      </c>
      <c r="E149" s="2" t="s">
        <v>827</v>
      </c>
      <c r="F149" s="2" t="s">
        <v>828</v>
      </c>
    </row>
    <row r="150">
      <c r="A150" s="93">
        <v>44671.0</v>
      </c>
      <c r="B150" s="41" t="s">
        <v>42</v>
      </c>
      <c r="C150" s="92" t="s">
        <v>829</v>
      </c>
      <c r="D150" s="41" t="s">
        <v>109</v>
      </c>
      <c r="E150" s="2" t="s">
        <v>830</v>
      </c>
      <c r="F150" s="2" t="s">
        <v>831</v>
      </c>
    </row>
    <row r="151">
      <c r="A151" s="93">
        <v>44684.0</v>
      </c>
      <c r="B151" s="41" t="s">
        <v>42</v>
      </c>
      <c r="C151" s="92" t="s">
        <v>832</v>
      </c>
      <c r="D151" s="41" t="s">
        <v>109</v>
      </c>
      <c r="E151" s="2" t="s">
        <v>835</v>
      </c>
      <c r="F151" s="2" t="s">
        <v>836</v>
      </c>
    </row>
    <row r="152">
      <c r="A152" s="138">
        <v>44699.0</v>
      </c>
      <c r="B152" s="41" t="s">
        <v>42</v>
      </c>
      <c r="C152" s="92" t="s">
        <v>839</v>
      </c>
      <c r="D152" s="41" t="s">
        <v>109</v>
      </c>
      <c r="E152" s="2" t="s">
        <v>840</v>
      </c>
      <c r="F152" s="2" t="s">
        <v>831</v>
      </c>
    </row>
    <row r="153">
      <c r="A153" s="93">
        <v>44700.0</v>
      </c>
      <c r="B153" s="41" t="s">
        <v>141</v>
      </c>
      <c r="C153" s="92" t="s">
        <v>842</v>
      </c>
      <c r="D153" s="41" t="s">
        <v>109</v>
      </c>
      <c r="E153" s="2" t="s">
        <v>843</v>
      </c>
      <c r="F153" s="64" t="s">
        <v>844</v>
      </c>
    </row>
    <row r="154">
      <c r="A154" s="93">
        <v>44756.0</v>
      </c>
      <c r="B154" s="41" t="s">
        <v>42</v>
      </c>
      <c r="C154" s="92" t="s">
        <v>845</v>
      </c>
      <c r="D154" s="41" t="s">
        <v>109</v>
      </c>
      <c r="E154" s="2" t="s">
        <v>849</v>
      </c>
      <c r="F154" s="2" t="s">
        <v>850</v>
      </c>
    </row>
    <row r="155">
      <c r="A155" s="139">
        <v>44764.0</v>
      </c>
      <c r="B155" s="41" t="s">
        <v>42</v>
      </c>
      <c r="C155" s="98" t="s">
        <v>851</v>
      </c>
      <c r="D155" s="41" t="s">
        <v>109</v>
      </c>
      <c r="E155" s="2" t="s">
        <v>856</v>
      </c>
      <c r="F155" s="2" t="s">
        <v>857</v>
      </c>
    </row>
    <row r="156">
      <c r="A156" s="93">
        <v>44785.0</v>
      </c>
      <c r="B156" s="41" t="s">
        <v>132</v>
      </c>
      <c r="C156" s="92" t="s">
        <v>858</v>
      </c>
      <c r="D156" s="41" t="s">
        <v>109</v>
      </c>
      <c r="E156" s="2" t="s">
        <v>862</v>
      </c>
      <c r="F156" s="64" t="s">
        <v>722</v>
      </c>
    </row>
    <row r="157">
      <c r="A157" s="91">
        <v>44791.0</v>
      </c>
      <c r="B157" s="41" t="s">
        <v>145</v>
      </c>
      <c r="C157" s="92" t="s">
        <v>864</v>
      </c>
      <c r="D157" s="41" t="s">
        <v>109</v>
      </c>
      <c r="E157" s="2" t="s">
        <v>868</v>
      </c>
      <c r="F157" s="64" t="s">
        <v>869</v>
      </c>
    </row>
    <row r="158">
      <c r="A158" s="93">
        <v>44804.0</v>
      </c>
      <c r="B158" s="41" t="s">
        <v>153</v>
      </c>
      <c r="C158" s="92" t="s">
        <v>473</v>
      </c>
      <c r="D158" s="41" t="s">
        <v>177</v>
      </c>
      <c r="E158" s="2" t="s">
        <v>871</v>
      </c>
      <c r="F158" s="100" t="s">
        <v>872</v>
      </c>
    </row>
    <row r="159">
      <c r="A159" s="93">
        <v>44820.0</v>
      </c>
      <c r="B159" s="41" t="s">
        <v>141</v>
      </c>
      <c r="C159" s="92" t="s">
        <v>873</v>
      </c>
      <c r="D159" s="41" t="s">
        <v>109</v>
      </c>
      <c r="E159" s="2" t="s">
        <v>875</v>
      </c>
      <c r="F159" s="64" t="s">
        <v>615</v>
      </c>
    </row>
    <row r="160">
      <c r="A160" s="93">
        <v>44832.0</v>
      </c>
      <c r="B160" s="121" t="s">
        <v>36</v>
      </c>
      <c r="C160" s="122" t="s">
        <v>795</v>
      </c>
      <c r="D160" s="123" t="s">
        <v>109</v>
      </c>
      <c r="E160" s="2" t="s">
        <v>822</v>
      </c>
      <c r="F160" s="124" t="s">
        <v>823</v>
      </c>
    </row>
    <row r="161">
      <c r="A161" s="139">
        <v>44846.0</v>
      </c>
      <c r="B161" s="41" t="s">
        <v>42</v>
      </c>
      <c r="C161" s="92" t="s">
        <v>877</v>
      </c>
      <c r="D161" s="41" t="s">
        <v>109</v>
      </c>
      <c r="E161" s="2" t="s">
        <v>880</v>
      </c>
      <c r="F161" s="64" t="s">
        <v>820</v>
      </c>
    </row>
    <row r="162">
      <c r="A162" s="93">
        <v>44847.0</v>
      </c>
      <c r="B162" s="121" t="s">
        <v>36</v>
      </c>
      <c r="C162" s="122" t="s">
        <v>795</v>
      </c>
      <c r="D162" s="123" t="s">
        <v>177</v>
      </c>
      <c r="E162" s="2" t="s">
        <v>833</v>
      </c>
      <c r="F162" s="124" t="s">
        <v>838</v>
      </c>
    </row>
    <row r="163">
      <c r="A163" s="93">
        <v>44853.0</v>
      </c>
      <c r="B163" s="41" t="s">
        <v>132</v>
      </c>
      <c r="C163" s="92" t="s">
        <v>882</v>
      </c>
      <c r="D163" s="41" t="s">
        <v>109</v>
      </c>
      <c r="E163" s="2" t="s">
        <v>886</v>
      </c>
      <c r="F163" s="64" t="s">
        <v>722</v>
      </c>
    </row>
    <row r="164">
      <c r="A164" s="139">
        <v>44860.0</v>
      </c>
      <c r="B164" s="41" t="s">
        <v>42</v>
      </c>
      <c r="C164" s="92" t="s">
        <v>887</v>
      </c>
      <c r="D164" s="41" t="s">
        <v>109</v>
      </c>
      <c r="E164" s="2" t="s">
        <v>889</v>
      </c>
      <c r="F164" s="2" t="s">
        <v>890</v>
      </c>
    </row>
    <row r="165">
      <c r="A165" s="91">
        <v>44862.0</v>
      </c>
      <c r="B165" s="41" t="s">
        <v>86</v>
      </c>
      <c r="C165" s="92" t="s">
        <v>891</v>
      </c>
      <c r="D165" s="41" t="s">
        <v>109</v>
      </c>
      <c r="E165" s="2" t="s">
        <v>893</v>
      </c>
      <c r="F165" s="141" t="s">
        <v>808</v>
      </c>
    </row>
    <row r="166">
      <c r="A166" s="93">
        <v>44875.0</v>
      </c>
      <c r="B166" s="41" t="s">
        <v>20</v>
      </c>
      <c r="C166" s="92" t="s">
        <v>437</v>
      </c>
      <c r="D166" s="86" t="s">
        <v>177</v>
      </c>
      <c r="E166" s="2" t="s">
        <v>436</v>
      </c>
      <c r="F166" s="142" t="s">
        <v>442</v>
      </c>
    </row>
    <row r="167">
      <c r="A167" s="93">
        <v>44875.0</v>
      </c>
      <c r="B167" s="41" t="s">
        <v>145</v>
      </c>
      <c r="C167" s="92" t="s">
        <v>898</v>
      </c>
      <c r="D167" s="41" t="s">
        <v>177</v>
      </c>
      <c r="E167" s="2" t="s">
        <v>903</v>
      </c>
      <c r="F167" s="64" t="s">
        <v>904</v>
      </c>
    </row>
    <row r="168">
      <c r="A168" s="107">
        <v>44880.0</v>
      </c>
      <c r="B168" s="41" t="s">
        <v>94</v>
      </c>
      <c r="C168" s="92" t="s">
        <v>905</v>
      </c>
      <c r="D168" s="41" t="s">
        <v>109</v>
      </c>
      <c r="E168" s="2" t="s">
        <v>908</v>
      </c>
      <c r="F168" s="64" t="s">
        <v>909</v>
      </c>
    </row>
    <row r="169">
      <c r="A169" s="139">
        <v>44888.0</v>
      </c>
      <c r="B169" s="41" t="s">
        <v>42</v>
      </c>
      <c r="C169" s="92" t="s">
        <v>910</v>
      </c>
      <c r="D169" s="41" t="s">
        <v>109</v>
      </c>
      <c r="E169" s="2" t="s">
        <v>913</v>
      </c>
      <c r="F169" s="2" t="s">
        <v>914</v>
      </c>
    </row>
    <row r="170">
      <c r="A170" s="91">
        <v>44897.0</v>
      </c>
      <c r="B170" s="41" t="s">
        <v>145</v>
      </c>
      <c r="C170" s="92" t="s">
        <v>915</v>
      </c>
      <c r="D170" s="41" t="s">
        <v>109</v>
      </c>
      <c r="E170" s="2" t="s">
        <v>919</v>
      </c>
      <c r="F170" s="64" t="s">
        <v>920</v>
      </c>
    </row>
    <row r="171">
      <c r="A171" s="139">
        <v>44910.0</v>
      </c>
      <c r="B171" s="41" t="s">
        <v>42</v>
      </c>
      <c r="C171" s="92" t="s">
        <v>921</v>
      </c>
      <c r="D171" s="41" t="s">
        <v>109</v>
      </c>
      <c r="E171" s="2" t="s">
        <v>923</v>
      </c>
      <c r="F171" s="2" t="s">
        <v>924</v>
      </c>
    </row>
    <row r="172">
      <c r="A172" s="93">
        <v>44910.0</v>
      </c>
      <c r="B172" s="41" t="s">
        <v>145</v>
      </c>
      <c r="C172" s="92" t="s">
        <v>926</v>
      </c>
      <c r="D172" s="41" t="s">
        <v>177</v>
      </c>
      <c r="E172" s="2" t="s">
        <v>928</v>
      </c>
      <c r="F172" s="2" t="s">
        <v>929</v>
      </c>
    </row>
    <row r="173">
      <c r="A173" s="93">
        <v>44918.0</v>
      </c>
      <c r="B173" s="121" t="s">
        <v>36</v>
      </c>
      <c r="C173" s="122" t="s">
        <v>795</v>
      </c>
      <c r="D173" s="123" t="s">
        <v>177</v>
      </c>
      <c r="E173" s="2" t="s">
        <v>848</v>
      </c>
      <c r="F173" s="124" t="s">
        <v>855</v>
      </c>
    </row>
    <row r="174">
      <c r="A174" s="139">
        <v>44931.0</v>
      </c>
      <c r="B174" s="41" t="s">
        <v>42</v>
      </c>
      <c r="C174" s="92" t="s">
        <v>931</v>
      </c>
      <c r="D174" s="41" t="s">
        <v>109</v>
      </c>
      <c r="E174" s="2" t="s">
        <v>932</v>
      </c>
      <c r="F174" s="2" t="s">
        <v>934</v>
      </c>
    </row>
    <row r="175">
      <c r="A175" s="139">
        <v>44931.0</v>
      </c>
      <c r="B175" s="41" t="s">
        <v>42</v>
      </c>
      <c r="C175" s="92" t="s">
        <v>935</v>
      </c>
      <c r="D175" s="41" t="s">
        <v>109</v>
      </c>
      <c r="E175" s="2" t="s">
        <v>936</v>
      </c>
      <c r="F175" s="2" t="s">
        <v>937</v>
      </c>
    </row>
    <row r="176">
      <c r="A176" s="91">
        <v>44938.0</v>
      </c>
      <c r="B176" s="41" t="s">
        <v>145</v>
      </c>
      <c r="C176" s="92" t="s">
        <v>938</v>
      </c>
      <c r="D176" s="41" t="s">
        <v>109</v>
      </c>
      <c r="E176" s="2" t="s">
        <v>941</v>
      </c>
      <c r="F176" s="2" t="s">
        <v>942</v>
      </c>
    </row>
    <row r="177">
      <c r="A177" s="91">
        <v>44942.0</v>
      </c>
      <c r="B177" s="41" t="s">
        <v>153</v>
      </c>
      <c r="C177" s="92" t="s">
        <v>473</v>
      </c>
      <c r="D177" s="41" t="s">
        <v>109</v>
      </c>
      <c r="E177" s="2" t="s">
        <v>943</v>
      </c>
      <c r="F177" s="100" t="s">
        <v>944</v>
      </c>
    </row>
    <row r="178">
      <c r="A178" s="93">
        <v>44945.0</v>
      </c>
      <c r="B178" s="41" t="s">
        <v>117</v>
      </c>
      <c r="C178" s="92" t="s">
        <v>946</v>
      </c>
      <c r="D178" s="41" t="s">
        <v>109</v>
      </c>
      <c r="E178" s="2" t="s">
        <v>949</v>
      </c>
      <c r="F178" s="64" t="s">
        <v>950</v>
      </c>
    </row>
    <row r="179">
      <c r="A179" s="91">
        <v>44952.0</v>
      </c>
      <c r="B179" s="41" t="s">
        <v>145</v>
      </c>
      <c r="C179" s="92" t="s">
        <v>951</v>
      </c>
      <c r="D179" s="41" t="s">
        <v>109</v>
      </c>
      <c r="E179" s="2" t="s">
        <v>952</v>
      </c>
      <c r="F179" s="2" t="s">
        <v>953</v>
      </c>
    </row>
    <row r="180">
      <c r="A180" s="139">
        <v>44953.0</v>
      </c>
      <c r="B180" s="41" t="s">
        <v>42</v>
      </c>
      <c r="C180" s="92" t="s">
        <v>954</v>
      </c>
      <c r="D180" s="86" t="s">
        <v>109</v>
      </c>
      <c r="E180" s="2" t="s">
        <v>974</v>
      </c>
      <c r="F180" s="2" t="s">
        <v>675</v>
      </c>
    </row>
    <row r="181">
      <c r="A181" s="93">
        <v>44959.0</v>
      </c>
      <c r="B181" s="41" t="s">
        <v>152</v>
      </c>
      <c r="C181" s="92" t="s">
        <v>980</v>
      </c>
      <c r="D181" s="41" t="s">
        <v>109</v>
      </c>
      <c r="E181" s="2" t="s">
        <v>990</v>
      </c>
      <c r="F181" s="64" t="s">
        <v>991</v>
      </c>
    </row>
    <row r="182">
      <c r="A182" s="91">
        <v>44971.0</v>
      </c>
      <c r="B182" s="41" t="s">
        <v>145</v>
      </c>
      <c r="C182" s="92" t="s">
        <v>995</v>
      </c>
      <c r="D182" s="41" t="s">
        <v>109</v>
      </c>
      <c r="E182" s="2" t="s">
        <v>1006</v>
      </c>
      <c r="F182" s="2" t="s">
        <v>942</v>
      </c>
    </row>
    <row r="183">
      <c r="A183" s="91">
        <v>44988.0</v>
      </c>
      <c r="B183" s="41" t="s">
        <v>9</v>
      </c>
      <c r="C183" s="89" t="s">
        <v>147</v>
      </c>
      <c r="D183" s="86" t="s">
        <v>109</v>
      </c>
      <c r="E183" s="2" t="s">
        <v>143</v>
      </c>
      <c r="F183" s="2" t="s">
        <v>159</v>
      </c>
    </row>
    <row r="184">
      <c r="A184" s="91">
        <v>44988.0</v>
      </c>
      <c r="B184" s="41" t="s">
        <v>145</v>
      </c>
      <c r="C184" s="92" t="s">
        <v>1030</v>
      </c>
      <c r="D184" s="41" t="s">
        <v>109</v>
      </c>
      <c r="E184" s="2" t="s">
        <v>1031</v>
      </c>
      <c r="F184" s="64" t="s">
        <v>1033</v>
      </c>
    </row>
    <row r="185">
      <c r="A185" s="139">
        <v>44994.0</v>
      </c>
      <c r="B185" s="41" t="s">
        <v>42</v>
      </c>
      <c r="C185" s="92" t="s">
        <v>1035</v>
      </c>
      <c r="D185" s="86" t="s">
        <v>109</v>
      </c>
      <c r="E185" s="2" t="s">
        <v>1036</v>
      </c>
      <c r="F185" s="2" t="s">
        <v>1037</v>
      </c>
    </row>
    <row r="186">
      <c r="A186" s="91">
        <v>45000.0</v>
      </c>
      <c r="B186" s="41" t="s">
        <v>145</v>
      </c>
      <c r="C186" s="92" t="s">
        <v>1038</v>
      </c>
      <c r="D186" s="41" t="s">
        <v>177</v>
      </c>
      <c r="E186" s="2" t="s">
        <v>1040</v>
      </c>
      <c r="F186" s="2" t="s">
        <v>1041</v>
      </c>
    </row>
    <row r="187">
      <c r="A187" s="139">
        <v>45005.0</v>
      </c>
      <c r="B187" s="41" t="s">
        <v>42</v>
      </c>
      <c r="C187" s="92" t="s">
        <v>1042</v>
      </c>
      <c r="D187" s="86" t="s">
        <v>109</v>
      </c>
      <c r="E187" s="2" t="s">
        <v>1045</v>
      </c>
      <c r="F187" s="2" t="s">
        <v>1047</v>
      </c>
    </row>
    <row r="188">
      <c r="A188" s="93">
        <v>45006.0</v>
      </c>
      <c r="B188" s="41" t="s">
        <v>20</v>
      </c>
      <c r="C188" s="92" t="s">
        <v>547</v>
      </c>
      <c r="D188" s="86" t="s">
        <v>177</v>
      </c>
      <c r="E188" s="2" t="s">
        <v>1055</v>
      </c>
      <c r="F188" s="142" t="s">
        <v>783</v>
      </c>
    </row>
    <row r="189">
      <c r="A189" s="103">
        <v>45008.0</v>
      </c>
      <c r="B189" s="41" t="s">
        <v>42</v>
      </c>
      <c r="C189" s="92" t="s">
        <v>1061</v>
      </c>
      <c r="D189" s="86" t="s">
        <v>109</v>
      </c>
      <c r="E189" s="2" t="s">
        <v>1067</v>
      </c>
      <c r="F189" s="2" t="s">
        <v>690</v>
      </c>
    </row>
    <row r="190">
      <c r="A190" s="87">
        <v>45022.0</v>
      </c>
      <c r="B190" s="64" t="s">
        <v>153</v>
      </c>
      <c r="C190" s="92" t="s">
        <v>473</v>
      </c>
      <c r="D190" s="64" t="s">
        <v>177</v>
      </c>
      <c r="E190" s="2" t="s">
        <v>1070</v>
      </c>
      <c r="F190" s="100" t="s">
        <v>1071</v>
      </c>
    </row>
    <row r="191">
      <c r="A191" s="87">
        <v>45022.0</v>
      </c>
      <c r="B191" s="64" t="s">
        <v>153</v>
      </c>
      <c r="C191" s="92" t="s">
        <v>473</v>
      </c>
      <c r="D191" s="64" t="s">
        <v>177</v>
      </c>
      <c r="E191" s="2" t="s">
        <v>1073</v>
      </c>
      <c r="F191" s="100" t="s">
        <v>1075</v>
      </c>
    </row>
    <row r="192">
      <c r="A192" s="87">
        <v>45022.0</v>
      </c>
      <c r="B192" s="64" t="s">
        <v>153</v>
      </c>
      <c r="C192" s="92" t="s">
        <v>473</v>
      </c>
      <c r="D192" s="64" t="s">
        <v>177</v>
      </c>
      <c r="E192" s="2" t="s">
        <v>1078</v>
      </c>
      <c r="F192" s="100" t="s">
        <v>1079</v>
      </c>
    </row>
    <row r="193">
      <c r="A193" s="87">
        <v>45022.0</v>
      </c>
      <c r="B193" s="64" t="s">
        <v>153</v>
      </c>
      <c r="C193" s="92" t="s">
        <v>473</v>
      </c>
      <c r="D193" s="64" t="s">
        <v>177</v>
      </c>
      <c r="E193" s="2" t="s">
        <v>1080</v>
      </c>
      <c r="F193" s="100" t="s">
        <v>1082</v>
      </c>
    </row>
    <row r="194">
      <c r="A194" s="87">
        <v>45022.0</v>
      </c>
      <c r="B194" s="64" t="s">
        <v>153</v>
      </c>
      <c r="C194" s="92" t="s">
        <v>473</v>
      </c>
      <c r="D194" s="64" t="s">
        <v>177</v>
      </c>
      <c r="E194" s="2" t="s">
        <v>1084</v>
      </c>
      <c r="F194" s="100" t="s">
        <v>1085</v>
      </c>
    </row>
    <row r="195">
      <c r="A195" s="103">
        <v>45028.0</v>
      </c>
      <c r="B195" s="64" t="s">
        <v>42</v>
      </c>
      <c r="C195" s="89" t="s">
        <v>1088</v>
      </c>
      <c r="D195" s="104" t="s">
        <v>109</v>
      </c>
      <c r="E195" s="2" t="s">
        <v>1092</v>
      </c>
      <c r="F195" s="2" t="s">
        <v>1093</v>
      </c>
    </row>
    <row r="196">
      <c r="A196" s="103">
        <v>45028.0</v>
      </c>
      <c r="B196" s="64" t="s">
        <v>42</v>
      </c>
      <c r="C196" s="89" t="s">
        <v>1095</v>
      </c>
      <c r="D196" s="104" t="s">
        <v>109</v>
      </c>
      <c r="E196" s="2" t="s">
        <v>1099</v>
      </c>
      <c r="F196" s="2" t="s">
        <v>1100</v>
      </c>
    </row>
    <row r="197">
      <c r="A197" s="103">
        <v>45028.0</v>
      </c>
      <c r="B197" s="64" t="s">
        <v>42</v>
      </c>
      <c r="C197" s="89" t="s">
        <v>1102</v>
      </c>
      <c r="D197" s="104" t="s">
        <v>109</v>
      </c>
      <c r="E197" s="2" t="s">
        <v>1105</v>
      </c>
      <c r="F197" s="2" t="s">
        <v>1106</v>
      </c>
    </row>
    <row r="198">
      <c r="A198" s="87">
        <v>45029.0</v>
      </c>
      <c r="B198" s="64" t="s">
        <v>145</v>
      </c>
      <c r="C198" s="89" t="s">
        <v>1108</v>
      </c>
      <c r="D198" s="64" t="s">
        <v>109</v>
      </c>
      <c r="E198" s="2" t="s">
        <v>1112</v>
      </c>
      <c r="F198" s="2" t="s">
        <v>1114</v>
      </c>
    </row>
    <row r="199">
      <c r="A199" s="103">
        <v>45033.0</v>
      </c>
      <c r="B199" s="64" t="s">
        <v>42</v>
      </c>
      <c r="C199" s="89" t="s">
        <v>1115</v>
      </c>
      <c r="D199" s="104" t="s">
        <v>109</v>
      </c>
      <c r="E199" s="2" t="s">
        <v>1121</v>
      </c>
      <c r="F199" s="2" t="s">
        <v>1123</v>
      </c>
    </row>
    <row r="200">
      <c r="A200" s="94">
        <v>45038.0</v>
      </c>
      <c r="B200" s="64" t="s">
        <v>117</v>
      </c>
      <c r="C200" s="89" t="s">
        <v>1124</v>
      </c>
      <c r="D200" s="64" t="s">
        <v>109</v>
      </c>
      <c r="E200" s="2" t="s">
        <v>1129</v>
      </c>
      <c r="F200" s="2" t="s">
        <v>1130</v>
      </c>
    </row>
    <row r="201">
      <c r="A201" s="87">
        <v>45048.0</v>
      </c>
      <c r="B201" s="64" t="s">
        <v>153</v>
      </c>
      <c r="C201" s="92" t="s">
        <v>473</v>
      </c>
      <c r="D201" s="64" t="s">
        <v>177</v>
      </c>
      <c r="E201" s="2" t="s">
        <v>1132</v>
      </c>
      <c r="F201" s="100" t="s">
        <v>1133</v>
      </c>
    </row>
    <row r="202">
      <c r="A202" s="87">
        <v>45051.0</v>
      </c>
      <c r="B202" s="64" t="s">
        <v>153</v>
      </c>
      <c r="C202" s="92" t="s">
        <v>473</v>
      </c>
      <c r="D202" s="64" t="s">
        <v>177</v>
      </c>
      <c r="E202" s="2" t="s">
        <v>1135</v>
      </c>
      <c r="F202" s="100" t="s">
        <v>1137</v>
      </c>
    </row>
    <row r="203">
      <c r="A203" s="103">
        <v>45054.0</v>
      </c>
      <c r="B203" s="64" t="s">
        <v>42</v>
      </c>
      <c r="C203" s="89" t="s">
        <v>1140</v>
      </c>
      <c r="D203" s="104" t="s">
        <v>109</v>
      </c>
      <c r="E203" s="2" t="s">
        <v>1143</v>
      </c>
      <c r="F203" s="2" t="s">
        <v>1145</v>
      </c>
    </row>
    <row r="204">
      <c r="A204" s="103">
        <v>45055.0</v>
      </c>
      <c r="B204" s="64" t="s">
        <v>42</v>
      </c>
      <c r="C204" s="89" t="s">
        <v>1147</v>
      </c>
      <c r="D204" s="104" t="s">
        <v>109</v>
      </c>
      <c r="E204" s="2" t="s">
        <v>1152</v>
      </c>
      <c r="F204" s="2" t="s">
        <v>1047</v>
      </c>
    </row>
    <row r="205">
      <c r="A205" s="87">
        <v>45055.0</v>
      </c>
      <c r="B205" s="64" t="s">
        <v>153</v>
      </c>
      <c r="C205" s="92" t="s">
        <v>473</v>
      </c>
      <c r="D205" s="64" t="s">
        <v>177</v>
      </c>
      <c r="E205" s="2" t="s">
        <v>1156</v>
      </c>
      <c r="F205" s="100" t="s">
        <v>1157</v>
      </c>
    </row>
    <row r="206">
      <c r="A206" s="87">
        <v>45055.0</v>
      </c>
      <c r="B206" s="64" t="s">
        <v>153</v>
      </c>
      <c r="C206" s="92" t="s">
        <v>473</v>
      </c>
      <c r="D206" s="64" t="s">
        <v>177</v>
      </c>
      <c r="E206" s="2" t="s">
        <v>1159</v>
      </c>
      <c r="F206" s="100" t="s">
        <v>1160</v>
      </c>
    </row>
    <row r="207">
      <c r="A207" s="94">
        <v>45065.0</v>
      </c>
      <c r="B207" s="64" t="s">
        <v>36</v>
      </c>
      <c r="C207" s="122" t="s">
        <v>795</v>
      </c>
      <c r="D207" s="104" t="s">
        <v>177</v>
      </c>
      <c r="E207" s="2" t="s">
        <v>863</v>
      </c>
      <c r="F207" s="124" t="s">
        <v>867</v>
      </c>
    </row>
    <row r="208">
      <c r="A208" s="103">
        <v>45069.0</v>
      </c>
      <c r="B208" s="64" t="s">
        <v>42</v>
      </c>
      <c r="C208" s="89" t="s">
        <v>1166</v>
      </c>
      <c r="D208" s="104" t="s">
        <v>109</v>
      </c>
      <c r="E208" s="2" t="s">
        <v>1169</v>
      </c>
      <c r="F208" s="2" t="s">
        <v>1171</v>
      </c>
    </row>
    <row r="209">
      <c r="A209" s="103">
        <v>45078.0</v>
      </c>
      <c r="B209" s="64" t="s">
        <v>42</v>
      </c>
      <c r="C209" s="89" t="s">
        <v>1172</v>
      </c>
      <c r="D209" s="104" t="s">
        <v>109</v>
      </c>
      <c r="E209" s="2" t="s">
        <v>1177</v>
      </c>
      <c r="F209" s="2" t="s">
        <v>857</v>
      </c>
    </row>
    <row r="210">
      <c r="A210" s="94">
        <v>45079.0</v>
      </c>
      <c r="B210" s="64" t="s">
        <v>20</v>
      </c>
      <c r="C210" s="89" t="s">
        <v>1179</v>
      </c>
      <c r="D210" s="104" t="s">
        <v>177</v>
      </c>
      <c r="E210" s="2" t="s">
        <v>608</v>
      </c>
      <c r="F210" s="142" t="s">
        <v>613</v>
      </c>
    </row>
    <row r="211">
      <c r="A211" s="103">
        <v>45089.0</v>
      </c>
      <c r="B211" s="64" t="s">
        <v>42</v>
      </c>
      <c r="C211" s="89" t="s">
        <v>1183</v>
      </c>
      <c r="D211" s="104" t="s">
        <v>109</v>
      </c>
      <c r="E211" s="2" t="s">
        <v>1194</v>
      </c>
      <c r="F211" s="2" t="s">
        <v>1195</v>
      </c>
    </row>
    <row r="212">
      <c r="A212" s="87">
        <v>45097.0</v>
      </c>
      <c r="B212" s="64" t="s">
        <v>145</v>
      </c>
      <c r="C212" s="89" t="s">
        <v>1198</v>
      </c>
      <c r="D212" s="64" t="s">
        <v>109</v>
      </c>
      <c r="E212" s="2" t="s">
        <v>1202</v>
      </c>
      <c r="F212" s="2" t="s">
        <v>1203</v>
      </c>
    </row>
    <row r="213">
      <c r="A213" s="103">
        <v>45099.0</v>
      </c>
      <c r="B213" s="64" t="s">
        <v>42</v>
      </c>
      <c r="C213" s="89" t="s">
        <v>1206</v>
      </c>
      <c r="D213" s="104" t="s">
        <v>109</v>
      </c>
      <c r="E213" s="2" t="s">
        <v>1212</v>
      </c>
      <c r="F213" s="2" t="s">
        <v>1213</v>
      </c>
    </row>
    <row r="214">
      <c r="A214" s="94">
        <v>45100.0</v>
      </c>
      <c r="B214" s="64" t="s">
        <v>117</v>
      </c>
      <c r="C214" s="89" t="s">
        <v>1216</v>
      </c>
      <c r="D214" s="41" t="s">
        <v>109</v>
      </c>
      <c r="E214" s="2" t="s">
        <v>1220</v>
      </c>
      <c r="F214" s="2" t="s">
        <v>1221</v>
      </c>
    </row>
    <row r="215">
      <c r="A215" s="87">
        <v>45103.0</v>
      </c>
      <c r="B215" s="64" t="s">
        <v>145</v>
      </c>
      <c r="C215" s="89" t="s">
        <v>1223</v>
      </c>
      <c r="D215" s="64" t="s">
        <v>109</v>
      </c>
      <c r="E215" s="2" t="s">
        <v>1228</v>
      </c>
      <c r="F215" s="2" t="s">
        <v>1229</v>
      </c>
    </row>
    <row r="216">
      <c r="A216" s="153">
        <v>45114.0</v>
      </c>
      <c r="B216" s="64" t="s">
        <v>94</v>
      </c>
      <c r="C216" s="89" t="s">
        <v>1232</v>
      </c>
      <c r="D216" s="64" t="s">
        <v>109</v>
      </c>
      <c r="E216" s="2" t="s">
        <v>1238</v>
      </c>
      <c r="F216" s="2" t="s">
        <v>1239</v>
      </c>
    </row>
    <row r="217">
      <c r="A217" s="87">
        <v>45121.0</v>
      </c>
      <c r="B217" s="64" t="s">
        <v>145</v>
      </c>
      <c r="C217" s="88" t="s">
        <v>1241</v>
      </c>
      <c r="D217" s="64" t="s">
        <v>109</v>
      </c>
      <c r="E217" s="2" t="s">
        <v>1247</v>
      </c>
      <c r="F217" s="2" t="s">
        <v>1249</v>
      </c>
    </row>
    <row r="218">
      <c r="A218" s="94">
        <v>45131.0</v>
      </c>
      <c r="B218" s="64" t="s">
        <v>20</v>
      </c>
      <c r="C218" s="154" t="s">
        <v>1252</v>
      </c>
      <c r="D218" s="64" t="s">
        <v>109</v>
      </c>
      <c r="E218" s="2" t="s">
        <v>1254</v>
      </c>
      <c r="F218" s="142" t="s">
        <v>1256</v>
      </c>
    </row>
    <row r="219">
      <c r="A219" s="94">
        <v>45162.0</v>
      </c>
      <c r="B219" s="64" t="s">
        <v>20</v>
      </c>
      <c r="C219" s="154" t="s">
        <v>1259</v>
      </c>
      <c r="D219" s="64" t="s">
        <v>109</v>
      </c>
      <c r="E219" s="2" t="s">
        <v>1261</v>
      </c>
      <c r="F219" s="142" t="s">
        <v>635</v>
      </c>
    </row>
    <row r="220">
      <c r="A220" s="94">
        <v>45121.0</v>
      </c>
      <c r="B220" s="64" t="s">
        <v>36</v>
      </c>
      <c r="C220" s="154" t="s">
        <v>879</v>
      </c>
      <c r="D220" s="64" t="s">
        <v>177</v>
      </c>
      <c r="E220" s="2" t="s">
        <v>878</v>
      </c>
      <c r="F220" s="124" t="s">
        <v>885</v>
      </c>
    </row>
    <row r="221">
      <c r="A221" s="94">
        <v>45162.0</v>
      </c>
      <c r="B221" s="64" t="s">
        <v>42</v>
      </c>
      <c r="C221" s="154" t="s">
        <v>1271</v>
      </c>
      <c r="D221" s="64" t="s">
        <v>109</v>
      </c>
      <c r="E221" s="2" t="s">
        <v>1276</v>
      </c>
      <c r="F221" s="2" t="s">
        <v>1277</v>
      </c>
    </row>
    <row r="222">
      <c r="A222" s="94">
        <v>45114.0</v>
      </c>
      <c r="B222" s="64" t="s">
        <v>94</v>
      </c>
      <c r="C222" s="154" t="s">
        <v>1232</v>
      </c>
      <c r="D222" s="64" t="s">
        <v>177</v>
      </c>
      <c r="E222" s="2" t="s">
        <v>1281</v>
      </c>
      <c r="F222" s="2" t="s">
        <v>1282</v>
      </c>
    </row>
    <row r="223">
      <c r="A223" s="94">
        <v>45128.0</v>
      </c>
      <c r="B223" s="64" t="s">
        <v>94</v>
      </c>
      <c r="C223" s="154" t="s">
        <v>1284</v>
      </c>
      <c r="D223" s="64" t="s">
        <v>177</v>
      </c>
      <c r="E223" s="2" t="s">
        <v>1294</v>
      </c>
      <c r="F223" s="2" t="s">
        <v>1296</v>
      </c>
    </row>
    <row r="224">
      <c r="A224" s="94">
        <v>45120.0</v>
      </c>
      <c r="B224" s="64" t="s">
        <v>145</v>
      </c>
      <c r="C224" s="154" t="s">
        <v>1241</v>
      </c>
      <c r="D224" s="64" t="s">
        <v>109</v>
      </c>
      <c r="E224" s="2" t="s">
        <v>1299</v>
      </c>
      <c r="F224" s="2" t="s">
        <v>1249</v>
      </c>
    </row>
    <row r="225">
      <c r="A225" s="94">
        <v>45140.0</v>
      </c>
      <c r="B225" s="64" t="s">
        <v>153</v>
      </c>
      <c r="C225" s="154" t="s">
        <v>473</v>
      </c>
      <c r="D225" s="64" t="s">
        <v>109</v>
      </c>
      <c r="E225" s="2" t="s">
        <v>1301</v>
      </c>
      <c r="F225" s="100" t="s">
        <v>1302</v>
      </c>
    </row>
    <row r="226">
      <c r="A226" s="85"/>
      <c r="B226" s="41"/>
      <c r="C226" s="41"/>
      <c r="D226" s="41"/>
      <c r="E226" s="41"/>
      <c r="F226" s="41"/>
    </row>
    <row r="227">
      <c r="A227" s="85"/>
      <c r="B227" s="41"/>
      <c r="C227" s="41"/>
      <c r="D227" s="41"/>
      <c r="E227" s="41"/>
      <c r="F227" s="41"/>
    </row>
    <row r="228">
      <c r="A228" s="85"/>
      <c r="B228" s="41"/>
      <c r="C228" s="41"/>
      <c r="D228" s="41"/>
      <c r="E228" s="41"/>
      <c r="F228" s="41"/>
    </row>
    <row r="229">
      <c r="A229" s="85"/>
      <c r="B229" s="41"/>
      <c r="C229" s="41"/>
      <c r="D229" s="41"/>
      <c r="E229" s="41"/>
      <c r="F229" s="41"/>
    </row>
    <row r="230">
      <c r="A230" s="85"/>
      <c r="B230" s="41"/>
      <c r="C230" s="41"/>
      <c r="D230" s="41"/>
      <c r="E230" s="41"/>
      <c r="F230" s="41"/>
    </row>
    <row r="231">
      <c r="A231" s="85"/>
      <c r="B231" s="41"/>
      <c r="C231" s="41"/>
      <c r="D231" s="41"/>
      <c r="E231" s="41"/>
      <c r="F231" s="41"/>
    </row>
    <row r="232">
      <c r="A232" s="85"/>
      <c r="B232" s="41"/>
      <c r="C232" s="41"/>
      <c r="D232" s="41"/>
      <c r="E232" s="41"/>
      <c r="F232" s="41"/>
    </row>
    <row r="233">
      <c r="A233" s="85"/>
      <c r="B233" s="41"/>
      <c r="C233" s="41"/>
      <c r="D233" s="41"/>
      <c r="E233" s="41"/>
      <c r="F233" s="41"/>
    </row>
    <row r="234">
      <c r="A234" s="85"/>
      <c r="B234" s="41"/>
      <c r="C234" s="41"/>
      <c r="D234" s="41"/>
      <c r="E234" s="41"/>
      <c r="F234" s="41"/>
    </row>
    <row r="235">
      <c r="A235" s="85"/>
      <c r="B235" s="41"/>
      <c r="C235" s="41"/>
      <c r="D235" s="41"/>
      <c r="E235" s="41"/>
      <c r="F235" s="41"/>
    </row>
    <row r="236">
      <c r="A236" s="85"/>
      <c r="B236" s="41"/>
      <c r="C236" s="41"/>
      <c r="D236" s="41"/>
      <c r="E236" s="41"/>
      <c r="F236" s="41"/>
    </row>
    <row r="237">
      <c r="A237" s="85"/>
      <c r="B237" s="41"/>
      <c r="C237" s="41"/>
      <c r="D237" s="41"/>
      <c r="E237" s="41"/>
      <c r="F237" s="41"/>
    </row>
    <row r="238">
      <c r="A238" s="85"/>
      <c r="B238" s="41"/>
      <c r="C238" s="41"/>
      <c r="D238" s="41"/>
      <c r="E238" s="41"/>
      <c r="F238" s="41"/>
    </row>
    <row r="239">
      <c r="A239" s="85"/>
      <c r="B239" s="41"/>
      <c r="C239" s="41"/>
      <c r="D239" s="41"/>
      <c r="E239" s="41"/>
      <c r="F239" s="41"/>
    </row>
    <row r="240">
      <c r="A240" s="85"/>
      <c r="B240" s="41"/>
      <c r="C240" s="41"/>
      <c r="D240" s="41"/>
      <c r="E240" s="41"/>
      <c r="F240" s="41"/>
    </row>
    <row r="241">
      <c r="A241" s="85"/>
      <c r="B241" s="41"/>
      <c r="C241" s="41"/>
      <c r="D241" s="41"/>
      <c r="E241" s="41"/>
      <c r="F241" s="41"/>
    </row>
    <row r="242">
      <c r="A242" s="85"/>
      <c r="B242" s="41"/>
      <c r="C242" s="41"/>
      <c r="D242" s="41"/>
      <c r="E242" s="41"/>
      <c r="F242" s="41"/>
    </row>
    <row r="243">
      <c r="A243" s="85"/>
      <c r="B243" s="41"/>
      <c r="C243" s="41"/>
      <c r="D243" s="41"/>
      <c r="E243" s="41"/>
      <c r="F243" s="41"/>
    </row>
    <row r="244">
      <c r="A244" s="85"/>
      <c r="B244" s="41"/>
      <c r="C244" s="41"/>
      <c r="D244" s="41"/>
      <c r="E244" s="41"/>
      <c r="F244" s="41"/>
    </row>
    <row r="245">
      <c r="A245" s="85"/>
      <c r="B245" s="41"/>
      <c r="C245" s="41"/>
      <c r="D245" s="41"/>
      <c r="E245" s="41"/>
      <c r="F245" s="41"/>
    </row>
    <row r="246">
      <c r="A246" s="85"/>
      <c r="B246" s="41"/>
      <c r="C246" s="41"/>
      <c r="D246" s="41"/>
      <c r="E246" s="41"/>
      <c r="F246" s="41"/>
    </row>
    <row r="247">
      <c r="A247" s="85"/>
      <c r="B247" s="41"/>
      <c r="C247" s="41"/>
      <c r="D247" s="41"/>
      <c r="E247" s="41"/>
      <c r="F247" s="41"/>
    </row>
    <row r="248">
      <c r="A248" s="85"/>
      <c r="B248" s="41"/>
      <c r="C248" s="41"/>
      <c r="D248" s="41"/>
      <c r="E248" s="41"/>
      <c r="F248" s="41"/>
    </row>
    <row r="249">
      <c r="A249" s="85"/>
      <c r="B249" s="41"/>
      <c r="C249" s="41"/>
      <c r="D249" s="41"/>
      <c r="E249" s="41"/>
      <c r="F249" s="41"/>
    </row>
    <row r="250">
      <c r="A250" s="85"/>
      <c r="B250" s="41"/>
      <c r="C250" s="41"/>
      <c r="D250" s="41"/>
      <c r="E250" s="41"/>
      <c r="F250" s="41"/>
    </row>
    <row r="251">
      <c r="A251" s="85"/>
      <c r="B251" s="41"/>
      <c r="C251" s="41"/>
      <c r="D251" s="41"/>
      <c r="E251" s="41"/>
      <c r="F251" s="41"/>
    </row>
    <row r="252">
      <c r="A252" s="85"/>
      <c r="B252" s="41"/>
      <c r="C252" s="41"/>
      <c r="D252" s="41"/>
      <c r="E252" s="41"/>
      <c r="F252" s="41"/>
    </row>
    <row r="253">
      <c r="A253" s="85"/>
      <c r="B253" s="41"/>
      <c r="C253" s="41"/>
      <c r="D253" s="41"/>
      <c r="E253" s="41"/>
      <c r="F253" s="41"/>
    </row>
    <row r="254">
      <c r="A254" s="85"/>
      <c r="B254" s="41"/>
      <c r="C254" s="41"/>
      <c r="D254" s="41"/>
      <c r="E254" s="41"/>
      <c r="F254" s="41"/>
    </row>
    <row r="255">
      <c r="A255" s="85"/>
      <c r="B255" s="41"/>
      <c r="C255" s="41"/>
      <c r="D255" s="41"/>
      <c r="E255" s="41"/>
      <c r="F255" s="41"/>
    </row>
    <row r="256">
      <c r="A256" s="85"/>
      <c r="B256" s="41"/>
      <c r="C256" s="41"/>
      <c r="D256" s="41"/>
      <c r="E256" s="41"/>
      <c r="F256" s="41"/>
    </row>
    <row r="257">
      <c r="A257" s="85"/>
      <c r="B257" s="41"/>
      <c r="C257" s="41"/>
      <c r="D257" s="41"/>
      <c r="E257" s="41"/>
      <c r="F257" s="41"/>
    </row>
    <row r="258">
      <c r="A258" s="85"/>
      <c r="B258" s="41"/>
      <c r="C258" s="41"/>
      <c r="D258" s="41"/>
      <c r="E258" s="41"/>
      <c r="F258" s="41"/>
    </row>
    <row r="259">
      <c r="A259" s="85"/>
      <c r="B259" s="41"/>
      <c r="C259" s="41"/>
      <c r="D259" s="41"/>
      <c r="E259" s="41"/>
      <c r="F259" s="41"/>
    </row>
    <row r="260">
      <c r="A260" s="85"/>
      <c r="B260" s="41"/>
      <c r="C260" s="41"/>
      <c r="D260" s="41"/>
      <c r="E260" s="41"/>
      <c r="F260" s="41"/>
    </row>
    <row r="261">
      <c r="A261" s="85"/>
      <c r="B261" s="41"/>
      <c r="C261" s="41"/>
      <c r="D261" s="41"/>
      <c r="E261" s="41"/>
      <c r="F261" s="41"/>
    </row>
    <row r="262">
      <c r="A262" s="85"/>
      <c r="B262" s="41"/>
      <c r="C262" s="41"/>
      <c r="D262" s="41"/>
      <c r="E262" s="41"/>
      <c r="F262" s="41"/>
    </row>
    <row r="263">
      <c r="A263" s="85"/>
      <c r="B263" s="41"/>
      <c r="C263" s="41"/>
      <c r="D263" s="41"/>
      <c r="E263" s="41"/>
      <c r="F263" s="41"/>
    </row>
    <row r="264">
      <c r="A264" s="85"/>
      <c r="B264" s="41"/>
      <c r="C264" s="41"/>
      <c r="D264" s="41"/>
      <c r="E264" s="41"/>
      <c r="F264" s="41"/>
    </row>
    <row r="265">
      <c r="A265" s="85"/>
      <c r="B265" s="41"/>
      <c r="C265" s="41"/>
      <c r="D265" s="41"/>
      <c r="E265" s="41"/>
      <c r="F265" s="41"/>
    </row>
    <row r="266">
      <c r="A266" s="85"/>
      <c r="B266" s="41"/>
      <c r="C266" s="41"/>
      <c r="D266" s="41"/>
      <c r="E266" s="41"/>
      <c r="F266" s="41"/>
    </row>
    <row r="267">
      <c r="A267" s="85"/>
      <c r="B267" s="41"/>
      <c r="C267" s="41"/>
      <c r="D267" s="41"/>
      <c r="E267" s="41"/>
      <c r="F267" s="41"/>
    </row>
    <row r="268">
      <c r="A268" s="85"/>
      <c r="B268" s="41"/>
      <c r="C268" s="41"/>
      <c r="D268" s="41"/>
      <c r="E268" s="41"/>
      <c r="F268" s="41"/>
    </row>
    <row r="269">
      <c r="A269" s="85"/>
      <c r="B269" s="41"/>
      <c r="C269" s="41"/>
      <c r="D269" s="41"/>
      <c r="E269" s="41"/>
      <c r="F269" s="41"/>
    </row>
    <row r="270">
      <c r="A270" s="85"/>
      <c r="B270" s="41"/>
      <c r="C270" s="41"/>
      <c r="D270" s="41"/>
      <c r="E270" s="41"/>
      <c r="F270" s="41"/>
    </row>
    <row r="271">
      <c r="A271" s="85"/>
      <c r="B271" s="41"/>
      <c r="C271" s="41"/>
      <c r="D271" s="41"/>
      <c r="E271" s="41"/>
      <c r="F271" s="41"/>
    </row>
    <row r="272">
      <c r="A272" s="85"/>
      <c r="B272" s="41"/>
      <c r="C272" s="41"/>
      <c r="D272" s="41"/>
      <c r="E272" s="41"/>
      <c r="F272" s="41"/>
    </row>
    <row r="273">
      <c r="A273" s="85"/>
      <c r="B273" s="41"/>
      <c r="C273" s="41"/>
      <c r="D273" s="41"/>
      <c r="E273" s="41"/>
      <c r="F273" s="41"/>
    </row>
    <row r="274">
      <c r="A274" s="85"/>
      <c r="B274" s="41"/>
      <c r="C274" s="41"/>
      <c r="D274" s="41"/>
      <c r="E274" s="41"/>
      <c r="F274" s="41"/>
    </row>
    <row r="275">
      <c r="A275" s="85"/>
      <c r="B275" s="41"/>
      <c r="C275" s="41"/>
      <c r="D275" s="41"/>
      <c r="E275" s="41"/>
      <c r="F275" s="41"/>
    </row>
    <row r="276">
      <c r="A276" s="85"/>
      <c r="B276" s="41"/>
      <c r="C276" s="41"/>
      <c r="D276" s="41"/>
      <c r="E276" s="41"/>
      <c r="F276" s="41"/>
    </row>
    <row r="277">
      <c r="A277" s="85"/>
      <c r="B277" s="41"/>
      <c r="C277" s="41"/>
      <c r="D277" s="41"/>
      <c r="E277" s="41"/>
      <c r="F277" s="41"/>
    </row>
    <row r="278">
      <c r="A278" s="85"/>
      <c r="B278" s="41"/>
      <c r="C278" s="41"/>
      <c r="D278" s="41"/>
      <c r="E278" s="41"/>
      <c r="F278" s="41"/>
    </row>
    <row r="279">
      <c r="A279" s="85"/>
      <c r="B279" s="41"/>
      <c r="C279" s="41"/>
      <c r="D279" s="41"/>
      <c r="E279" s="41"/>
      <c r="F279" s="41"/>
    </row>
    <row r="280">
      <c r="A280" s="85"/>
      <c r="B280" s="41"/>
      <c r="C280" s="41"/>
      <c r="D280" s="41"/>
      <c r="E280" s="41"/>
      <c r="F280" s="41"/>
    </row>
    <row r="281">
      <c r="A281" s="85"/>
      <c r="B281" s="41"/>
      <c r="C281" s="41"/>
      <c r="D281" s="41"/>
      <c r="E281" s="41"/>
      <c r="F281" s="41"/>
    </row>
    <row r="282">
      <c r="A282" s="85"/>
      <c r="B282" s="41"/>
      <c r="C282" s="41"/>
      <c r="D282" s="41"/>
      <c r="E282" s="41"/>
      <c r="F282" s="41"/>
    </row>
    <row r="283">
      <c r="A283" s="85"/>
      <c r="B283" s="41"/>
      <c r="C283" s="41"/>
      <c r="D283" s="41"/>
      <c r="E283" s="41"/>
      <c r="F283" s="41"/>
    </row>
    <row r="284">
      <c r="A284" s="85"/>
      <c r="B284" s="41"/>
      <c r="C284" s="41"/>
      <c r="D284" s="41"/>
      <c r="E284" s="41"/>
      <c r="F284" s="41"/>
    </row>
    <row r="285">
      <c r="A285" s="85"/>
      <c r="B285" s="41"/>
      <c r="C285" s="41"/>
      <c r="D285" s="41"/>
      <c r="E285" s="41"/>
      <c r="F285" s="41"/>
    </row>
    <row r="286">
      <c r="A286" s="85"/>
      <c r="B286" s="41"/>
      <c r="C286" s="41"/>
      <c r="D286" s="41"/>
      <c r="E286" s="41"/>
      <c r="F286" s="41"/>
    </row>
    <row r="287">
      <c r="A287" s="85"/>
      <c r="B287" s="41"/>
      <c r="C287" s="41"/>
      <c r="D287" s="41"/>
      <c r="E287" s="41"/>
      <c r="F287" s="41"/>
    </row>
    <row r="288">
      <c r="A288" s="85"/>
      <c r="B288" s="41"/>
      <c r="C288" s="41"/>
      <c r="D288" s="41"/>
      <c r="E288" s="41"/>
      <c r="F288" s="41"/>
    </row>
    <row r="289">
      <c r="A289" s="85"/>
      <c r="B289" s="41"/>
      <c r="C289" s="41"/>
      <c r="D289" s="41"/>
      <c r="E289" s="41"/>
      <c r="F289" s="41"/>
    </row>
    <row r="290">
      <c r="A290" s="85"/>
      <c r="B290" s="41"/>
      <c r="C290" s="41"/>
      <c r="D290" s="41"/>
      <c r="E290" s="41"/>
      <c r="F290" s="41"/>
    </row>
    <row r="291">
      <c r="A291" s="85"/>
      <c r="B291" s="41"/>
      <c r="C291" s="41"/>
      <c r="D291" s="41"/>
      <c r="E291" s="41"/>
      <c r="F291" s="41"/>
    </row>
    <row r="292">
      <c r="A292" s="85"/>
      <c r="B292" s="41"/>
      <c r="C292" s="41"/>
      <c r="D292" s="41"/>
      <c r="E292" s="41"/>
      <c r="F292" s="41"/>
    </row>
    <row r="293">
      <c r="A293" s="85"/>
      <c r="B293" s="41"/>
      <c r="C293" s="41"/>
      <c r="D293" s="41"/>
      <c r="E293" s="41"/>
      <c r="F293" s="41"/>
    </row>
    <row r="294">
      <c r="A294" s="85"/>
      <c r="B294" s="41"/>
      <c r="C294" s="41"/>
      <c r="D294" s="41"/>
      <c r="E294" s="41"/>
      <c r="F294" s="41"/>
    </row>
    <row r="295">
      <c r="A295" s="85"/>
      <c r="B295" s="41"/>
      <c r="C295" s="41"/>
      <c r="D295" s="41"/>
      <c r="E295" s="41"/>
      <c r="F295" s="41"/>
    </row>
    <row r="296">
      <c r="A296" s="85"/>
      <c r="B296" s="41"/>
      <c r="C296" s="41"/>
      <c r="D296" s="41"/>
      <c r="E296" s="41"/>
      <c r="F296" s="41"/>
    </row>
    <row r="297">
      <c r="A297" s="85"/>
      <c r="B297" s="41"/>
      <c r="C297" s="41"/>
      <c r="D297" s="41"/>
      <c r="E297" s="41"/>
      <c r="F297" s="41"/>
    </row>
    <row r="298">
      <c r="A298" s="85"/>
      <c r="B298" s="41"/>
      <c r="C298" s="41"/>
      <c r="D298" s="41"/>
      <c r="E298" s="41"/>
      <c r="F298" s="41"/>
    </row>
    <row r="299">
      <c r="A299" s="85"/>
      <c r="B299" s="41"/>
      <c r="C299" s="41"/>
      <c r="D299" s="41"/>
      <c r="E299" s="41"/>
      <c r="F299" s="41"/>
    </row>
    <row r="300">
      <c r="A300" s="85"/>
      <c r="B300" s="41"/>
      <c r="C300" s="41"/>
      <c r="D300" s="41"/>
      <c r="E300" s="41"/>
      <c r="F300" s="41"/>
    </row>
    <row r="301">
      <c r="A301" s="85"/>
      <c r="B301" s="41"/>
      <c r="C301" s="41"/>
      <c r="D301" s="41"/>
      <c r="E301" s="41"/>
      <c r="F301" s="41"/>
    </row>
    <row r="302">
      <c r="A302" s="85"/>
      <c r="B302" s="41"/>
      <c r="C302" s="41"/>
      <c r="D302" s="41"/>
      <c r="E302" s="41"/>
      <c r="F302" s="41"/>
    </row>
    <row r="303">
      <c r="A303" s="85"/>
      <c r="B303" s="41"/>
      <c r="C303" s="41"/>
      <c r="D303" s="41"/>
      <c r="E303" s="41"/>
      <c r="F303" s="41"/>
    </row>
    <row r="304">
      <c r="A304" s="85"/>
      <c r="B304" s="41"/>
      <c r="C304" s="41"/>
      <c r="D304" s="41"/>
      <c r="E304" s="41"/>
      <c r="F304" s="41"/>
    </row>
    <row r="305">
      <c r="A305" s="85"/>
      <c r="B305" s="41"/>
      <c r="C305" s="41"/>
      <c r="D305" s="41"/>
      <c r="E305" s="41"/>
      <c r="F305" s="41"/>
    </row>
    <row r="306">
      <c r="A306" s="85"/>
      <c r="B306" s="41"/>
      <c r="C306" s="41"/>
      <c r="D306" s="41"/>
      <c r="E306" s="41"/>
      <c r="F306" s="41"/>
    </row>
    <row r="307">
      <c r="A307" s="85"/>
      <c r="B307" s="41"/>
      <c r="C307" s="41"/>
      <c r="D307" s="41"/>
      <c r="E307" s="41"/>
      <c r="F307" s="41"/>
    </row>
    <row r="308">
      <c r="A308" s="85"/>
      <c r="B308" s="41"/>
      <c r="C308" s="41"/>
      <c r="D308" s="41"/>
      <c r="E308" s="41"/>
      <c r="F308" s="41"/>
    </row>
    <row r="309">
      <c r="A309" s="85"/>
      <c r="B309" s="41"/>
      <c r="C309" s="41"/>
      <c r="D309" s="41"/>
      <c r="E309" s="41"/>
      <c r="F309" s="41"/>
    </row>
    <row r="310">
      <c r="A310" s="85"/>
      <c r="B310" s="41"/>
      <c r="C310" s="41"/>
      <c r="D310" s="41"/>
      <c r="E310" s="41"/>
      <c r="F310" s="41"/>
    </row>
    <row r="311">
      <c r="A311" s="85"/>
      <c r="B311" s="41"/>
      <c r="C311" s="41"/>
      <c r="D311" s="41"/>
      <c r="E311" s="41"/>
      <c r="F311" s="41"/>
    </row>
    <row r="312">
      <c r="A312" s="85"/>
      <c r="B312" s="41"/>
      <c r="C312" s="41"/>
      <c r="D312" s="41"/>
      <c r="E312" s="41"/>
      <c r="F312" s="41"/>
    </row>
    <row r="313">
      <c r="A313" s="85"/>
      <c r="B313" s="41"/>
      <c r="C313" s="41"/>
      <c r="D313" s="41"/>
      <c r="E313" s="41"/>
      <c r="F313" s="41"/>
    </row>
    <row r="314">
      <c r="A314" s="85"/>
      <c r="B314" s="41"/>
      <c r="C314" s="41"/>
      <c r="D314" s="41"/>
      <c r="E314" s="41"/>
      <c r="F314" s="41"/>
    </row>
    <row r="315">
      <c r="A315" s="85"/>
      <c r="B315" s="41"/>
      <c r="C315" s="41"/>
      <c r="D315" s="41"/>
      <c r="E315" s="41"/>
      <c r="F315" s="41"/>
    </row>
    <row r="316">
      <c r="A316" s="85"/>
      <c r="B316" s="41"/>
      <c r="C316" s="41"/>
      <c r="D316" s="41"/>
      <c r="E316" s="41"/>
      <c r="F316" s="41"/>
    </row>
    <row r="317">
      <c r="A317" s="85"/>
      <c r="B317" s="41"/>
      <c r="C317" s="41"/>
      <c r="D317" s="41"/>
      <c r="E317" s="41"/>
      <c r="F317" s="41"/>
    </row>
    <row r="318">
      <c r="A318" s="85"/>
      <c r="B318" s="41"/>
      <c r="C318" s="41"/>
      <c r="D318" s="41"/>
      <c r="E318" s="41"/>
      <c r="F318" s="41"/>
    </row>
    <row r="319">
      <c r="A319" s="85"/>
      <c r="B319" s="41"/>
      <c r="C319" s="41"/>
      <c r="D319" s="41"/>
      <c r="E319" s="41"/>
      <c r="F319" s="41"/>
    </row>
    <row r="320">
      <c r="A320" s="85"/>
      <c r="B320" s="41"/>
      <c r="C320" s="41"/>
      <c r="D320" s="41"/>
      <c r="E320" s="41"/>
      <c r="F320" s="41"/>
    </row>
    <row r="321">
      <c r="A321" s="85"/>
      <c r="B321" s="41"/>
      <c r="C321" s="41"/>
      <c r="D321" s="41"/>
      <c r="E321" s="41"/>
      <c r="F321" s="41"/>
    </row>
    <row r="322">
      <c r="A322" s="85"/>
      <c r="B322" s="41"/>
      <c r="C322" s="41"/>
      <c r="D322" s="41"/>
      <c r="E322" s="41"/>
      <c r="F322" s="41"/>
    </row>
    <row r="323">
      <c r="A323" s="85"/>
      <c r="B323" s="41"/>
      <c r="C323" s="41"/>
      <c r="D323" s="41"/>
      <c r="E323" s="41"/>
      <c r="F323" s="41"/>
    </row>
    <row r="324">
      <c r="A324" s="85"/>
      <c r="B324" s="41"/>
      <c r="C324" s="41"/>
      <c r="D324" s="41"/>
      <c r="E324" s="41"/>
      <c r="F324" s="41"/>
    </row>
    <row r="325">
      <c r="A325" s="85"/>
      <c r="B325" s="41"/>
      <c r="C325" s="41"/>
      <c r="D325" s="41"/>
      <c r="E325" s="41"/>
      <c r="F325" s="41"/>
    </row>
    <row r="326">
      <c r="A326" s="85"/>
      <c r="B326" s="41"/>
      <c r="C326" s="41"/>
      <c r="D326" s="41"/>
      <c r="E326" s="41"/>
      <c r="F326" s="41"/>
    </row>
    <row r="327">
      <c r="A327" s="85"/>
      <c r="B327" s="41"/>
      <c r="C327" s="41"/>
      <c r="D327" s="41"/>
      <c r="E327" s="41"/>
      <c r="F327" s="41"/>
    </row>
    <row r="328">
      <c r="A328" s="85"/>
      <c r="B328" s="41"/>
      <c r="C328" s="41"/>
      <c r="D328" s="41"/>
      <c r="E328" s="41"/>
      <c r="F328" s="41"/>
    </row>
    <row r="329">
      <c r="A329" s="85"/>
      <c r="B329" s="41"/>
      <c r="C329" s="41"/>
      <c r="D329" s="41"/>
      <c r="E329" s="41"/>
      <c r="F329" s="41"/>
    </row>
    <row r="330">
      <c r="A330" s="85"/>
      <c r="B330" s="41"/>
      <c r="C330" s="41"/>
      <c r="D330" s="41"/>
      <c r="E330" s="41"/>
      <c r="F330" s="41"/>
    </row>
    <row r="331">
      <c r="A331" s="85"/>
      <c r="B331" s="41"/>
      <c r="C331" s="41"/>
      <c r="D331" s="41"/>
      <c r="E331" s="41"/>
      <c r="F331" s="41"/>
    </row>
    <row r="332">
      <c r="A332" s="85"/>
      <c r="B332" s="41"/>
      <c r="C332" s="41"/>
      <c r="D332" s="41"/>
      <c r="E332" s="41"/>
      <c r="F332" s="41"/>
    </row>
    <row r="333">
      <c r="A333" s="85"/>
      <c r="B333" s="41"/>
      <c r="C333" s="41"/>
      <c r="D333" s="41"/>
      <c r="E333" s="41"/>
      <c r="F333" s="41"/>
    </row>
    <row r="334">
      <c r="A334" s="85"/>
      <c r="B334" s="41"/>
      <c r="C334" s="41"/>
      <c r="D334" s="41"/>
      <c r="E334" s="41"/>
      <c r="F334" s="41"/>
    </row>
    <row r="335">
      <c r="A335" s="85"/>
      <c r="B335" s="41"/>
      <c r="C335" s="41"/>
      <c r="D335" s="41"/>
      <c r="E335" s="41"/>
      <c r="F335" s="41"/>
    </row>
    <row r="336">
      <c r="A336" s="85"/>
      <c r="B336" s="41"/>
      <c r="C336" s="41"/>
      <c r="D336" s="41"/>
      <c r="E336" s="41"/>
      <c r="F336" s="41"/>
    </row>
    <row r="337">
      <c r="A337" s="85"/>
      <c r="B337" s="41"/>
      <c r="C337" s="41"/>
      <c r="D337" s="41"/>
      <c r="E337" s="41"/>
      <c r="F337" s="41"/>
    </row>
    <row r="338">
      <c r="A338" s="85"/>
      <c r="B338" s="41"/>
      <c r="C338" s="41"/>
      <c r="D338" s="41"/>
      <c r="E338" s="41"/>
      <c r="F338" s="41"/>
    </row>
    <row r="339">
      <c r="A339" s="85"/>
      <c r="B339" s="41"/>
      <c r="C339" s="41"/>
      <c r="D339" s="41"/>
      <c r="E339" s="41"/>
      <c r="F339" s="41"/>
    </row>
    <row r="340">
      <c r="A340" s="85"/>
      <c r="B340" s="41"/>
      <c r="C340" s="41"/>
      <c r="D340" s="41"/>
      <c r="E340" s="41"/>
      <c r="F340" s="41"/>
    </row>
    <row r="341">
      <c r="A341" s="85"/>
      <c r="B341" s="41"/>
      <c r="C341" s="41"/>
      <c r="D341" s="41"/>
      <c r="E341" s="41"/>
      <c r="F341" s="41"/>
    </row>
    <row r="342">
      <c r="A342" s="85"/>
      <c r="B342" s="41"/>
      <c r="C342" s="41"/>
      <c r="D342" s="41"/>
      <c r="E342" s="41"/>
      <c r="F342" s="41"/>
    </row>
    <row r="343">
      <c r="A343" s="85"/>
      <c r="B343" s="41"/>
      <c r="C343" s="41"/>
      <c r="D343" s="41"/>
      <c r="E343" s="41"/>
      <c r="F343" s="41"/>
    </row>
    <row r="344">
      <c r="A344" s="85"/>
      <c r="B344" s="41"/>
      <c r="C344" s="41"/>
      <c r="D344" s="41"/>
      <c r="E344" s="41"/>
      <c r="F344" s="41"/>
    </row>
    <row r="345">
      <c r="A345" s="85"/>
      <c r="B345" s="41"/>
      <c r="C345" s="41"/>
      <c r="D345" s="41"/>
      <c r="E345" s="41"/>
      <c r="F345" s="41"/>
    </row>
    <row r="346">
      <c r="A346" s="85"/>
      <c r="B346" s="41"/>
      <c r="C346" s="41"/>
      <c r="D346" s="41"/>
      <c r="E346" s="41"/>
      <c r="F346" s="41"/>
    </row>
    <row r="347">
      <c r="A347" s="85"/>
      <c r="B347" s="41"/>
      <c r="C347" s="41"/>
      <c r="D347" s="41"/>
      <c r="E347" s="41"/>
      <c r="F347" s="41"/>
    </row>
    <row r="348">
      <c r="A348" s="85"/>
      <c r="B348" s="41"/>
      <c r="C348" s="41"/>
      <c r="D348" s="41"/>
      <c r="E348" s="41"/>
      <c r="F348" s="41"/>
    </row>
    <row r="349">
      <c r="A349" s="85"/>
      <c r="B349" s="41"/>
      <c r="C349" s="41"/>
      <c r="D349" s="41"/>
      <c r="E349" s="41"/>
      <c r="F349" s="41"/>
    </row>
    <row r="350">
      <c r="A350" s="85"/>
      <c r="B350" s="41"/>
      <c r="C350" s="41"/>
      <c r="D350" s="41"/>
      <c r="E350" s="41"/>
      <c r="F350" s="41"/>
    </row>
    <row r="351">
      <c r="A351" s="85"/>
      <c r="B351" s="41"/>
      <c r="C351" s="41"/>
      <c r="D351" s="41"/>
      <c r="E351" s="41"/>
      <c r="F351" s="41"/>
    </row>
    <row r="352">
      <c r="A352" s="85"/>
      <c r="B352" s="41"/>
      <c r="C352" s="41"/>
      <c r="D352" s="41"/>
      <c r="E352" s="41"/>
      <c r="F352" s="41"/>
    </row>
    <row r="353">
      <c r="A353" s="85"/>
      <c r="B353" s="41"/>
      <c r="C353" s="41"/>
      <c r="D353" s="41"/>
      <c r="E353" s="41"/>
      <c r="F353" s="41"/>
    </row>
    <row r="354">
      <c r="A354" s="85"/>
      <c r="B354" s="41"/>
      <c r="C354" s="41"/>
      <c r="D354" s="41"/>
      <c r="E354" s="41"/>
      <c r="F354" s="41"/>
    </row>
    <row r="355">
      <c r="A355" s="85"/>
      <c r="B355" s="41"/>
      <c r="C355" s="41"/>
      <c r="D355" s="41"/>
      <c r="E355" s="41"/>
      <c r="F355" s="41"/>
    </row>
    <row r="356">
      <c r="A356" s="85"/>
      <c r="B356" s="41"/>
      <c r="C356" s="41"/>
      <c r="D356" s="41"/>
      <c r="E356" s="41"/>
      <c r="F356" s="41"/>
    </row>
    <row r="357">
      <c r="A357" s="85"/>
      <c r="B357" s="41"/>
      <c r="C357" s="41"/>
      <c r="D357" s="41"/>
      <c r="E357" s="41"/>
      <c r="F357" s="41"/>
    </row>
    <row r="358">
      <c r="A358" s="85"/>
      <c r="B358" s="41"/>
      <c r="C358" s="41"/>
      <c r="D358" s="41"/>
      <c r="E358" s="41"/>
      <c r="F358" s="41"/>
    </row>
    <row r="359">
      <c r="A359" s="85"/>
      <c r="B359" s="41"/>
      <c r="C359" s="41"/>
      <c r="D359" s="41"/>
      <c r="E359" s="41"/>
      <c r="F359" s="41"/>
    </row>
    <row r="360">
      <c r="A360" s="85"/>
      <c r="B360" s="41"/>
      <c r="C360" s="41"/>
      <c r="D360" s="41"/>
      <c r="E360" s="41"/>
      <c r="F360" s="41"/>
    </row>
    <row r="361">
      <c r="A361" s="85"/>
      <c r="B361" s="41"/>
      <c r="C361" s="41"/>
      <c r="D361" s="41"/>
      <c r="E361" s="41"/>
      <c r="F361" s="41"/>
    </row>
    <row r="362">
      <c r="A362" s="85"/>
      <c r="B362" s="41"/>
      <c r="C362" s="41"/>
      <c r="D362" s="41"/>
      <c r="E362" s="41"/>
      <c r="F362" s="41"/>
    </row>
    <row r="363">
      <c r="A363" s="85"/>
      <c r="B363" s="41"/>
      <c r="C363" s="41"/>
      <c r="D363" s="41"/>
      <c r="E363" s="41"/>
      <c r="F363" s="41"/>
    </row>
    <row r="364">
      <c r="A364" s="85"/>
      <c r="B364" s="41"/>
      <c r="C364" s="41"/>
      <c r="D364" s="41"/>
      <c r="E364" s="41"/>
      <c r="F364" s="41"/>
    </row>
    <row r="365">
      <c r="A365" s="85"/>
      <c r="B365" s="41"/>
      <c r="C365" s="41"/>
      <c r="D365" s="41"/>
      <c r="E365" s="41"/>
      <c r="F365" s="41"/>
    </row>
    <row r="366">
      <c r="A366" s="85"/>
      <c r="B366" s="41"/>
      <c r="C366" s="41"/>
      <c r="D366" s="41"/>
      <c r="E366" s="41"/>
      <c r="F366" s="41"/>
    </row>
    <row r="367">
      <c r="A367" s="85"/>
      <c r="B367" s="41"/>
      <c r="C367" s="41"/>
      <c r="D367" s="41"/>
      <c r="E367" s="41"/>
      <c r="F367" s="41"/>
    </row>
    <row r="368">
      <c r="A368" s="85"/>
      <c r="B368" s="41"/>
      <c r="C368" s="41"/>
      <c r="D368" s="41"/>
      <c r="E368" s="41"/>
      <c r="F368" s="41"/>
    </row>
    <row r="369">
      <c r="A369" s="85"/>
      <c r="B369" s="41"/>
      <c r="C369" s="41"/>
      <c r="D369" s="41"/>
      <c r="E369" s="41"/>
      <c r="F369" s="41"/>
    </row>
    <row r="370">
      <c r="A370" s="85"/>
      <c r="B370" s="41"/>
      <c r="C370" s="41"/>
      <c r="D370" s="41"/>
      <c r="E370" s="41"/>
      <c r="F370" s="41"/>
    </row>
    <row r="371">
      <c r="A371" s="85"/>
      <c r="B371" s="41"/>
      <c r="C371" s="41"/>
      <c r="D371" s="41"/>
      <c r="E371" s="41"/>
      <c r="F371" s="41"/>
    </row>
    <row r="372">
      <c r="A372" s="85"/>
      <c r="B372" s="41"/>
      <c r="C372" s="41"/>
      <c r="D372" s="41"/>
      <c r="E372" s="41"/>
      <c r="F372" s="41"/>
    </row>
    <row r="373">
      <c r="A373" s="85"/>
      <c r="B373" s="41"/>
      <c r="C373" s="41"/>
      <c r="D373" s="41"/>
      <c r="E373" s="41"/>
      <c r="F373" s="41"/>
    </row>
    <row r="374">
      <c r="A374" s="85"/>
      <c r="B374" s="41"/>
      <c r="C374" s="41"/>
      <c r="D374" s="41"/>
      <c r="E374" s="41"/>
      <c r="F374" s="41"/>
    </row>
    <row r="375">
      <c r="A375" s="85"/>
      <c r="B375" s="41"/>
      <c r="C375" s="41"/>
      <c r="D375" s="41"/>
      <c r="E375" s="41"/>
      <c r="F375" s="41"/>
    </row>
    <row r="376">
      <c r="A376" s="85"/>
      <c r="B376" s="41"/>
      <c r="C376" s="41"/>
      <c r="D376" s="41"/>
      <c r="E376" s="41"/>
      <c r="F376" s="41"/>
    </row>
    <row r="377">
      <c r="A377" s="85"/>
      <c r="B377" s="41"/>
      <c r="C377" s="41"/>
      <c r="D377" s="41"/>
      <c r="E377" s="41"/>
      <c r="F377" s="41"/>
    </row>
    <row r="378">
      <c r="A378" s="85"/>
      <c r="B378" s="41"/>
      <c r="C378" s="41"/>
      <c r="D378" s="41"/>
      <c r="E378" s="41"/>
      <c r="F378" s="41"/>
    </row>
    <row r="379">
      <c r="A379" s="85"/>
      <c r="B379" s="41"/>
      <c r="C379" s="41"/>
      <c r="D379" s="41"/>
      <c r="E379" s="41"/>
      <c r="F379" s="41"/>
    </row>
    <row r="380">
      <c r="A380" s="85"/>
      <c r="B380" s="41"/>
      <c r="C380" s="41"/>
      <c r="D380" s="41"/>
      <c r="E380" s="41"/>
      <c r="F380" s="41"/>
    </row>
    <row r="381">
      <c r="A381" s="85"/>
      <c r="B381" s="41"/>
      <c r="C381" s="41"/>
      <c r="D381" s="41"/>
      <c r="E381" s="41"/>
      <c r="F381" s="41"/>
    </row>
    <row r="382">
      <c r="A382" s="85"/>
      <c r="B382" s="41"/>
      <c r="C382" s="41"/>
      <c r="D382" s="41"/>
      <c r="E382" s="41"/>
      <c r="F382" s="41"/>
    </row>
    <row r="383">
      <c r="A383" s="85"/>
      <c r="B383" s="41"/>
      <c r="C383" s="41"/>
      <c r="D383" s="41"/>
      <c r="E383" s="41"/>
      <c r="F383" s="41"/>
    </row>
    <row r="384">
      <c r="A384" s="85"/>
      <c r="B384" s="41"/>
      <c r="C384" s="41"/>
      <c r="D384" s="41"/>
      <c r="E384" s="41"/>
      <c r="F384" s="41"/>
    </row>
    <row r="385">
      <c r="A385" s="85"/>
      <c r="B385" s="41"/>
      <c r="C385" s="41"/>
      <c r="D385" s="41"/>
      <c r="E385" s="41"/>
      <c r="F385" s="41"/>
    </row>
    <row r="386">
      <c r="A386" s="85"/>
      <c r="B386" s="41"/>
      <c r="C386" s="41"/>
      <c r="D386" s="41"/>
      <c r="E386" s="41"/>
      <c r="F386" s="41"/>
    </row>
    <row r="387">
      <c r="A387" s="85"/>
      <c r="B387" s="41"/>
      <c r="C387" s="41"/>
      <c r="D387" s="41"/>
      <c r="E387" s="41"/>
      <c r="F387" s="41"/>
    </row>
    <row r="388">
      <c r="A388" s="85"/>
      <c r="B388" s="41"/>
      <c r="C388" s="41"/>
      <c r="D388" s="41"/>
      <c r="E388" s="41"/>
      <c r="F388" s="41"/>
    </row>
    <row r="389">
      <c r="A389" s="85"/>
      <c r="B389" s="41"/>
      <c r="C389" s="41"/>
      <c r="D389" s="41"/>
      <c r="E389" s="41"/>
      <c r="F389" s="41"/>
    </row>
    <row r="390">
      <c r="A390" s="85"/>
      <c r="B390" s="41"/>
      <c r="C390" s="41"/>
      <c r="D390" s="41"/>
      <c r="E390" s="41"/>
      <c r="F390" s="41"/>
    </row>
    <row r="391">
      <c r="A391" s="85"/>
      <c r="B391" s="41"/>
      <c r="C391" s="41"/>
      <c r="D391" s="41"/>
      <c r="E391" s="41"/>
      <c r="F391" s="41"/>
    </row>
    <row r="392">
      <c r="A392" s="85"/>
      <c r="B392" s="41"/>
      <c r="C392" s="41"/>
      <c r="D392" s="41"/>
      <c r="E392" s="41"/>
      <c r="F392" s="41"/>
    </row>
    <row r="393">
      <c r="A393" s="85"/>
      <c r="B393" s="41"/>
      <c r="C393" s="41"/>
      <c r="D393" s="41"/>
      <c r="E393" s="41"/>
      <c r="F393" s="41"/>
    </row>
    <row r="394">
      <c r="A394" s="85"/>
      <c r="B394" s="41"/>
      <c r="C394" s="41"/>
      <c r="D394" s="41"/>
      <c r="E394" s="41"/>
      <c r="F394" s="41"/>
    </row>
    <row r="395">
      <c r="A395" s="85"/>
      <c r="B395" s="41"/>
      <c r="C395" s="41"/>
      <c r="D395" s="41"/>
      <c r="E395" s="41"/>
      <c r="F395" s="41"/>
    </row>
    <row r="396">
      <c r="A396" s="85"/>
      <c r="B396" s="41"/>
      <c r="C396" s="41"/>
      <c r="D396" s="41"/>
      <c r="E396" s="41"/>
      <c r="F396" s="41"/>
    </row>
    <row r="397">
      <c r="A397" s="85"/>
      <c r="B397" s="41"/>
      <c r="C397" s="41"/>
      <c r="D397" s="41"/>
      <c r="E397" s="41"/>
      <c r="F397" s="41"/>
    </row>
    <row r="398">
      <c r="A398" s="85"/>
      <c r="B398" s="41"/>
      <c r="C398" s="41"/>
      <c r="D398" s="41"/>
      <c r="E398" s="41"/>
      <c r="F398" s="41"/>
    </row>
    <row r="399">
      <c r="A399" s="85"/>
      <c r="B399" s="41"/>
      <c r="C399" s="41"/>
      <c r="D399" s="41"/>
      <c r="E399" s="41"/>
      <c r="F399" s="41"/>
    </row>
    <row r="400">
      <c r="A400" s="85"/>
      <c r="B400" s="41"/>
      <c r="C400" s="41"/>
      <c r="D400" s="41"/>
      <c r="E400" s="41"/>
      <c r="F400" s="41"/>
    </row>
    <row r="401">
      <c r="A401" s="85"/>
      <c r="B401" s="41"/>
      <c r="C401" s="41"/>
      <c r="D401" s="41"/>
      <c r="E401" s="41"/>
      <c r="F401" s="41"/>
    </row>
    <row r="402">
      <c r="A402" s="85"/>
      <c r="B402" s="41"/>
      <c r="C402" s="41"/>
      <c r="D402" s="41"/>
      <c r="E402" s="41"/>
      <c r="F402" s="41"/>
    </row>
    <row r="403">
      <c r="A403" s="85"/>
      <c r="B403" s="41"/>
      <c r="C403" s="41"/>
      <c r="D403" s="41"/>
      <c r="E403" s="41"/>
      <c r="F403" s="41"/>
    </row>
    <row r="404">
      <c r="A404" s="85"/>
      <c r="B404" s="41"/>
      <c r="C404" s="41"/>
      <c r="D404" s="41"/>
      <c r="E404" s="41"/>
      <c r="F404" s="41"/>
    </row>
    <row r="405">
      <c r="A405" s="85"/>
      <c r="B405" s="41"/>
      <c r="C405" s="41"/>
      <c r="D405" s="41"/>
      <c r="E405" s="41"/>
      <c r="F405" s="41"/>
    </row>
    <row r="406">
      <c r="A406" s="85"/>
      <c r="B406" s="41"/>
      <c r="C406" s="41"/>
      <c r="D406" s="41"/>
      <c r="E406" s="41"/>
      <c r="F406" s="41"/>
    </row>
    <row r="407">
      <c r="A407" s="85"/>
      <c r="B407" s="41"/>
      <c r="C407" s="41"/>
      <c r="D407" s="41"/>
      <c r="E407" s="41"/>
      <c r="F407" s="41"/>
    </row>
    <row r="408">
      <c r="A408" s="85"/>
      <c r="B408" s="41"/>
      <c r="C408" s="41"/>
      <c r="D408" s="41"/>
      <c r="E408" s="41"/>
      <c r="F408" s="41"/>
    </row>
    <row r="409">
      <c r="A409" s="85"/>
      <c r="B409" s="41"/>
      <c r="C409" s="41"/>
      <c r="D409" s="41"/>
      <c r="E409" s="41"/>
      <c r="F409" s="41"/>
    </row>
    <row r="410">
      <c r="A410" s="85"/>
      <c r="B410" s="41"/>
      <c r="C410" s="41"/>
      <c r="D410" s="41"/>
      <c r="E410" s="41"/>
      <c r="F410" s="41"/>
    </row>
    <row r="411">
      <c r="A411" s="85"/>
      <c r="B411" s="41"/>
      <c r="C411" s="41"/>
      <c r="D411" s="41"/>
      <c r="E411" s="41"/>
      <c r="F411" s="41"/>
    </row>
    <row r="412">
      <c r="A412" s="85"/>
      <c r="B412" s="41"/>
      <c r="C412" s="41"/>
      <c r="D412" s="41"/>
      <c r="E412" s="41"/>
      <c r="F412" s="41"/>
    </row>
    <row r="413">
      <c r="A413" s="85"/>
      <c r="B413" s="41"/>
      <c r="C413" s="41"/>
      <c r="D413" s="41"/>
      <c r="E413" s="41"/>
      <c r="F413" s="41"/>
    </row>
    <row r="414">
      <c r="A414" s="85"/>
      <c r="B414" s="41"/>
      <c r="C414" s="41"/>
      <c r="D414" s="41"/>
      <c r="E414" s="41"/>
      <c r="F414" s="41"/>
    </row>
    <row r="415">
      <c r="A415" s="85"/>
      <c r="B415" s="41"/>
      <c r="C415" s="41"/>
      <c r="D415" s="41"/>
      <c r="E415" s="41"/>
      <c r="F415" s="41"/>
    </row>
    <row r="416">
      <c r="A416" s="85"/>
      <c r="B416" s="41"/>
      <c r="C416" s="41"/>
      <c r="D416" s="41"/>
      <c r="E416" s="41"/>
      <c r="F416" s="41"/>
    </row>
    <row r="417">
      <c r="A417" s="85"/>
      <c r="B417" s="41"/>
      <c r="C417" s="41"/>
      <c r="D417" s="41"/>
      <c r="E417" s="41"/>
      <c r="F417" s="41"/>
    </row>
    <row r="418">
      <c r="A418" s="85"/>
      <c r="B418" s="41"/>
      <c r="C418" s="41"/>
      <c r="D418" s="41"/>
      <c r="E418" s="41"/>
      <c r="F418" s="41"/>
    </row>
    <row r="419">
      <c r="A419" s="85"/>
      <c r="B419" s="41"/>
      <c r="C419" s="41"/>
      <c r="D419" s="41"/>
      <c r="E419" s="41"/>
      <c r="F419" s="41"/>
    </row>
    <row r="420">
      <c r="A420" s="85"/>
      <c r="B420" s="41"/>
      <c r="C420" s="41"/>
      <c r="D420" s="41"/>
      <c r="E420" s="41"/>
      <c r="F420" s="41"/>
    </row>
    <row r="421">
      <c r="A421" s="85"/>
      <c r="B421" s="41"/>
      <c r="C421" s="41"/>
      <c r="D421" s="41"/>
      <c r="E421" s="41"/>
      <c r="F421" s="41"/>
    </row>
    <row r="422">
      <c r="A422" s="85"/>
      <c r="B422" s="41"/>
      <c r="C422" s="41"/>
      <c r="D422" s="41"/>
      <c r="E422" s="41"/>
      <c r="F422" s="41"/>
    </row>
    <row r="423">
      <c r="A423" s="85"/>
      <c r="B423" s="41"/>
      <c r="C423" s="41"/>
      <c r="D423" s="41"/>
      <c r="E423" s="41"/>
      <c r="F423" s="41"/>
    </row>
    <row r="424">
      <c r="A424" s="85"/>
      <c r="B424" s="41"/>
      <c r="C424" s="41"/>
      <c r="D424" s="41"/>
      <c r="E424" s="41"/>
      <c r="F424" s="41"/>
    </row>
    <row r="425">
      <c r="A425" s="85"/>
      <c r="B425" s="41"/>
      <c r="C425" s="41"/>
      <c r="D425" s="41"/>
      <c r="E425" s="41"/>
      <c r="F425" s="41"/>
    </row>
    <row r="426">
      <c r="A426" s="85"/>
      <c r="B426" s="41"/>
      <c r="C426" s="41"/>
      <c r="D426" s="41"/>
      <c r="E426" s="41"/>
      <c r="F426" s="41"/>
    </row>
    <row r="427">
      <c r="A427" s="85"/>
      <c r="B427" s="41"/>
      <c r="C427" s="41"/>
      <c r="D427" s="41"/>
      <c r="E427" s="41"/>
      <c r="F427" s="41"/>
    </row>
    <row r="428">
      <c r="A428" s="85"/>
      <c r="B428" s="41"/>
      <c r="C428" s="41"/>
      <c r="D428" s="41"/>
      <c r="E428" s="41"/>
      <c r="F428" s="41"/>
    </row>
    <row r="429">
      <c r="A429" s="85"/>
      <c r="B429" s="41"/>
      <c r="C429" s="41"/>
      <c r="D429" s="41"/>
      <c r="E429" s="41"/>
      <c r="F429" s="41"/>
    </row>
    <row r="430">
      <c r="A430" s="85"/>
      <c r="B430" s="41"/>
      <c r="C430" s="41"/>
      <c r="D430" s="41"/>
      <c r="E430" s="41"/>
      <c r="F430" s="41"/>
    </row>
    <row r="431">
      <c r="A431" s="85"/>
      <c r="B431" s="41"/>
      <c r="C431" s="41"/>
      <c r="D431" s="41"/>
      <c r="E431" s="41"/>
      <c r="F431" s="41"/>
    </row>
    <row r="432">
      <c r="A432" s="85"/>
      <c r="B432" s="41"/>
      <c r="C432" s="41"/>
      <c r="D432" s="41"/>
      <c r="E432" s="41"/>
      <c r="F432" s="41"/>
    </row>
    <row r="433">
      <c r="A433" s="85"/>
      <c r="B433" s="41"/>
      <c r="C433" s="41"/>
      <c r="D433" s="41"/>
      <c r="E433" s="41"/>
      <c r="F433" s="41"/>
    </row>
    <row r="434">
      <c r="A434" s="85"/>
      <c r="B434" s="41"/>
      <c r="C434" s="41"/>
      <c r="D434" s="41"/>
      <c r="E434" s="41"/>
      <c r="F434" s="41"/>
    </row>
    <row r="435">
      <c r="A435" s="85"/>
      <c r="B435" s="41"/>
      <c r="C435" s="41"/>
      <c r="D435" s="41"/>
      <c r="E435" s="41"/>
      <c r="F435" s="41"/>
    </row>
    <row r="436">
      <c r="A436" s="85"/>
      <c r="B436" s="41"/>
      <c r="C436" s="41"/>
      <c r="D436" s="41"/>
      <c r="E436" s="41"/>
      <c r="F436" s="41"/>
    </row>
    <row r="437">
      <c r="A437" s="85"/>
      <c r="B437" s="41"/>
      <c r="C437" s="41"/>
      <c r="D437" s="41"/>
      <c r="E437" s="41"/>
      <c r="F437" s="41"/>
    </row>
    <row r="438">
      <c r="A438" s="85"/>
      <c r="B438" s="41"/>
      <c r="C438" s="41"/>
      <c r="D438" s="41"/>
      <c r="E438" s="41"/>
      <c r="F438" s="41"/>
    </row>
    <row r="439">
      <c r="A439" s="85"/>
      <c r="B439" s="41"/>
      <c r="C439" s="41"/>
      <c r="D439" s="41"/>
      <c r="E439" s="41"/>
      <c r="F439" s="41"/>
    </row>
    <row r="440">
      <c r="A440" s="85"/>
      <c r="B440" s="41"/>
      <c r="C440" s="41"/>
      <c r="D440" s="41"/>
      <c r="E440" s="41"/>
      <c r="F440" s="41"/>
    </row>
    <row r="441">
      <c r="A441" s="85"/>
      <c r="B441" s="41"/>
      <c r="C441" s="41"/>
      <c r="D441" s="41"/>
      <c r="E441" s="41"/>
      <c r="F441" s="41"/>
    </row>
    <row r="442">
      <c r="A442" s="85"/>
      <c r="B442" s="41"/>
      <c r="C442" s="41"/>
      <c r="D442" s="41"/>
      <c r="E442" s="41"/>
      <c r="F442" s="41"/>
    </row>
    <row r="443">
      <c r="A443" s="85"/>
      <c r="B443" s="41"/>
      <c r="C443" s="41"/>
      <c r="D443" s="41"/>
      <c r="E443" s="41"/>
      <c r="F443" s="41"/>
    </row>
    <row r="444">
      <c r="A444" s="85"/>
      <c r="B444" s="41"/>
      <c r="C444" s="41"/>
      <c r="D444" s="41"/>
      <c r="E444" s="41"/>
      <c r="F444" s="41"/>
    </row>
    <row r="445">
      <c r="A445" s="85"/>
      <c r="B445" s="41"/>
      <c r="C445" s="41"/>
      <c r="D445" s="41"/>
      <c r="E445" s="41"/>
      <c r="F445" s="41"/>
    </row>
    <row r="446">
      <c r="A446" s="85"/>
      <c r="B446" s="41"/>
      <c r="C446" s="41"/>
      <c r="D446" s="41"/>
      <c r="E446" s="41"/>
      <c r="F446" s="41"/>
    </row>
    <row r="447">
      <c r="A447" s="85"/>
      <c r="B447" s="41"/>
      <c r="C447" s="41"/>
      <c r="D447" s="41"/>
      <c r="E447" s="41"/>
      <c r="F447" s="41"/>
    </row>
    <row r="448">
      <c r="A448" s="85"/>
      <c r="B448" s="41"/>
      <c r="C448" s="41"/>
      <c r="D448" s="41"/>
      <c r="E448" s="41"/>
      <c r="F448" s="41"/>
    </row>
    <row r="449">
      <c r="A449" s="85"/>
      <c r="B449" s="41"/>
      <c r="C449" s="41"/>
      <c r="D449" s="41"/>
      <c r="E449" s="41"/>
      <c r="F449" s="41"/>
    </row>
    <row r="450">
      <c r="A450" s="85"/>
      <c r="B450" s="41"/>
      <c r="C450" s="41"/>
      <c r="D450" s="41"/>
      <c r="E450" s="41"/>
      <c r="F450" s="41"/>
    </row>
    <row r="451">
      <c r="A451" s="85"/>
      <c r="B451" s="41"/>
      <c r="C451" s="41"/>
      <c r="D451" s="41"/>
      <c r="E451" s="41"/>
      <c r="F451" s="41"/>
    </row>
    <row r="452">
      <c r="A452" s="85"/>
      <c r="B452" s="41"/>
      <c r="C452" s="41"/>
      <c r="D452" s="41"/>
      <c r="E452" s="41"/>
      <c r="F452" s="41"/>
    </row>
    <row r="453">
      <c r="A453" s="85"/>
      <c r="B453" s="41"/>
      <c r="C453" s="41"/>
      <c r="D453" s="41"/>
      <c r="E453" s="41"/>
      <c r="F453" s="41"/>
    </row>
    <row r="454">
      <c r="A454" s="85"/>
      <c r="B454" s="41"/>
      <c r="C454" s="41"/>
      <c r="D454" s="41"/>
      <c r="E454" s="41"/>
      <c r="F454" s="41"/>
    </row>
    <row r="455">
      <c r="A455" s="85"/>
      <c r="B455" s="41"/>
      <c r="C455" s="41"/>
      <c r="D455" s="41"/>
      <c r="E455" s="41"/>
      <c r="F455" s="41"/>
    </row>
    <row r="456">
      <c r="A456" s="85"/>
      <c r="B456" s="41"/>
      <c r="C456" s="41"/>
      <c r="D456" s="41"/>
      <c r="E456" s="41"/>
      <c r="F456" s="41"/>
    </row>
    <row r="457">
      <c r="A457" s="85"/>
      <c r="B457" s="41"/>
      <c r="C457" s="41"/>
      <c r="D457" s="41"/>
      <c r="E457" s="41"/>
      <c r="F457" s="41"/>
    </row>
    <row r="458">
      <c r="A458" s="85"/>
      <c r="B458" s="41"/>
      <c r="C458" s="41"/>
      <c r="D458" s="41"/>
      <c r="E458" s="41"/>
      <c r="F458" s="41"/>
    </row>
    <row r="459">
      <c r="A459" s="85"/>
      <c r="B459" s="41"/>
      <c r="C459" s="41"/>
      <c r="D459" s="41"/>
      <c r="E459" s="41"/>
      <c r="F459" s="41"/>
    </row>
    <row r="460">
      <c r="A460" s="85"/>
      <c r="B460" s="41"/>
      <c r="C460" s="41"/>
      <c r="D460" s="41"/>
      <c r="E460" s="41"/>
      <c r="F460" s="41"/>
    </row>
    <row r="461">
      <c r="A461" s="85"/>
      <c r="B461" s="41"/>
      <c r="C461" s="41"/>
      <c r="D461" s="41"/>
      <c r="E461" s="41"/>
      <c r="F461" s="41"/>
    </row>
    <row r="462">
      <c r="A462" s="85"/>
      <c r="B462" s="41"/>
      <c r="C462" s="41"/>
      <c r="D462" s="41"/>
      <c r="E462" s="41"/>
      <c r="F462" s="41"/>
    </row>
    <row r="463">
      <c r="A463" s="85"/>
      <c r="B463" s="41"/>
      <c r="C463" s="41"/>
      <c r="D463" s="41"/>
      <c r="E463" s="41"/>
      <c r="F463" s="41"/>
    </row>
    <row r="464">
      <c r="A464" s="85"/>
      <c r="B464" s="41"/>
      <c r="C464" s="41"/>
      <c r="D464" s="41"/>
      <c r="E464" s="41"/>
      <c r="F464" s="41"/>
    </row>
    <row r="465">
      <c r="A465" s="85"/>
      <c r="B465" s="41"/>
      <c r="C465" s="41"/>
      <c r="D465" s="41"/>
      <c r="E465" s="41"/>
      <c r="F465" s="41"/>
    </row>
    <row r="466">
      <c r="A466" s="85"/>
      <c r="B466" s="41"/>
      <c r="C466" s="41"/>
      <c r="D466" s="41"/>
      <c r="E466" s="41"/>
      <c r="F466" s="41"/>
    </row>
    <row r="467">
      <c r="A467" s="85"/>
      <c r="B467" s="41"/>
      <c r="C467" s="41"/>
      <c r="D467" s="41"/>
      <c r="E467" s="41"/>
      <c r="F467" s="41"/>
    </row>
    <row r="468">
      <c r="A468" s="85"/>
      <c r="B468" s="41"/>
      <c r="C468" s="41"/>
      <c r="D468" s="41"/>
      <c r="E468" s="41"/>
      <c r="F468" s="41"/>
    </row>
    <row r="469">
      <c r="A469" s="85"/>
      <c r="B469" s="41"/>
      <c r="C469" s="41"/>
      <c r="D469" s="41"/>
      <c r="E469" s="41"/>
      <c r="F469" s="41"/>
    </row>
    <row r="470">
      <c r="A470" s="85"/>
      <c r="B470" s="41"/>
      <c r="C470" s="41"/>
      <c r="D470" s="41"/>
      <c r="E470" s="41"/>
      <c r="F470" s="41"/>
    </row>
    <row r="471">
      <c r="A471" s="85"/>
      <c r="B471" s="41"/>
      <c r="C471" s="41"/>
      <c r="D471" s="41"/>
      <c r="E471" s="41"/>
      <c r="F471" s="41"/>
    </row>
    <row r="472">
      <c r="A472" s="85"/>
      <c r="B472" s="41"/>
      <c r="C472" s="41"/>
      <c r="D472" s="41"/>
      <c r="E472" s="41"/>
      <c r="F472" s="41"/>
    </row>
    <row r="473">
      <c r="A473" s="85"/>
      <c r="B473" s="41"/>
      <c r="C473" s="41"/>
      <c r="D473" s="41"/>
      <c r="E473" s="41"/>
      <c r="F473" s="41"/>
    </row>
    <row r="474">
      <c r="A474" s="85"/>
      <c r="B474" s="41"/>
      <c r="C474" s="41"/>
      <c r="D474" s="41"/>
      <c r="E474" s="41"/>
      <c r="F474" s="41"/>
    </row>
    <row r="475">
      <c r="A475" s="85"/>
      <c r="B475" s="41"/>
      <c r="C475" s="41"/>
      <c r="D475" s="41"/>
      <c r="E475" s="41"/>
      <c r="F475" s="41"/>
    </row>
    <row r="476">
      <c r="A476" s="85"/>
      <c r="B476" s="41"/>
      <c r="C476" s="41"/>
      <c r="D476" s="41"/>
      <c r="E476" s="41"/>
      <c r="F476" s="41"/>
    </row>
    <row r="477">
      <c r="A477" s="85"/>
      <c r="B477" s="41"/>
      <c r="C477" s="41"/>
      <c r="D477" s="41"/>
      <c r="E477" s="41"/>
      <c r="F477" s="41"/>
    </row>
    <row r="478">
      <c r="A478" s="85"/>
      <c r="B478" s="41"/>
      <c r="C478" s="41"/>
      <c r="D478" s="41"/>
      <c r="E478" s="41"/>
      <c r="F478" s="41"/>
    </row>
    <row r="479">
      <c r="A479" s="85"/>
      <c r="B479" s="41"/>
      <c r="C479" s="41"/>
      <c r="D479" s="41"/>
      <c r="E479" s="41"/>
      <c r="F479" s="41"/>
    </row>
    <row r="480">
      <c r="A480" s="85"/>
      <c r="B480" s="41"/>
      <c r="C480" s="41"/>
      <c r="D480" s="41"/>
      <c r="E480" s="41"/>
      <c r="F480" s="41"/>
    </row>
    <row r="481">
      <c r="A481" s="85"/>
      <c r="B481" s="41"/>
      <c r="C481" s="41"/>
      <c r="D481" s="41"/>
      <c r="E481" s="41"/>
      <c r="F481" s="41"/>
    </row>
    <row r="482">
      <c r="A482" s="85"/>
      <c r="B482" s="41"/>
      <c r="C482" s="41"/>
      <c r="D482" s="41"/>
      <c r="E482" s="41"/>
      <c r="F482" s="41"/>
    </row>
    <row r="483">
      <c r="A483" s="85"/>
      <c r="B483" s="41"/>
      <c r="C483" s="41"/>
      <c r="D483" s="41"/>
      <c r="E483" s="41"/>
      <c r="F483" s="41"/>
    </row>
    <row r="484">
      <c r="A484" s="85"/>
      <c r="B484" s="41"/>
      <c r="C484" s="41"/>
      <c r="D484" s="41"/>
      <c r="E484" s="41"/>
      <c r="F484" s="41"/>
    </row>
    <row r="485">
      <c r="A485" s="85"/>
      <c r="B485" s="41"/>
      <c r="C485" s="41"/>
      <c r="D485" s="41"/>
      <c r="E485" s="41"/>
      <c r="F485" s="41"/>
    </row>
    <row r="486">
      <c r="A486" s="85"/>
      <c r="B486" s="41"/>
      <c r="C486" s="41"/>
      <c r="D486" s="41"/>
      <c r="E486" s="41"/>
      <c r="F486" s="41"/>
    </row>
    <row r="487">
      <c r="A487" s="85"/>
      <c r="B487" s="41"/>
      <c r="C487" s="41"/>
      <c r="D487" s="41"/>
      <c r="E487" s="41"/>
      <c r="F487" s="41"/>
    </row>
    <row r="488">
      <c r="A488" s="85"/>
      <c r="B488" s="41"/>
      <c r="C488" s="41"/>
      <c r="D488" s="41"/>
      <c r="E488" s="41"/>
      <c r="F488" s="41"/>
    </row>
    <row r="489">
      <c r="A489" s="85"/>
      <c r="B489" s="41"/>
      <c r="C489" s="41"/>
      <c r="D489" s="41"/>
      <c r="E489" s="41"/>
      <c r="F489" s="41"/>
    </row>
    <row r="490">
      <c r="A490" s="85"/>
      <c r="B490" s="41"/>
      <c r="C490" s="41"/>
      <c r="D490" s="41"/>
      <c r="E490" s="41"/>
      <c r="F490" s="41"/>
    </row>
    <row r="491">
      <c r="A491" s="85"/>
      <c r="B491" s="41"/>
      <c r="C491" s="41"/>
      <c r="D491" s="41"/>
      <c r="E491" s="41"/>
      <c r="F491" s="41"/>
    </row>
    <row r="492">
      <c r="A492" s="85"/>
      <c r="B492" s="41"/>
      <c r="C492" s="41"/>
      <c r="D492" s="41"/>
      <c r="E492" s="41"/>
      <c r="F492" s="41"/>
    </row>
    <row r="493">
      <c r="A493" s="85"/>
      <c r="B493" s="41"/>
      <c r="C493" s="41"/>
      <c r="D493" s="41"/>
      <c r="E493" s="41"/>
      <c r="F493" s="41"/>
    </row>
    <row r="494">
      <c r="A494" s="85"/>
      <c r="B494" s="41"/>
      <c r="C494" s="41"/>
      <c r="D494" s="41"/>
      <c r="E494" s="41"/>
      <c r="F494" s="41"/>
    </row>
    <row r="495">
      <c r="A495" s="85"/>
      <c r="B495" s="41"/>
      <c r="C495" s="41"/>
      <c r="D495" s="41"/>
      <c r="E495" s="41"/>
      <c r="F495" s="41"/>
    </row>
    <row r="496">
      <c r="A496" s="85"/>
      <c r="B496" s="41"/>
      <c r="C496" s="41"/>
      <c r="D496" s="41"/>
      <c r="E496" s="41"/>
      <c r="F496" s="41"/>
    </row>
    <row r="497">
      <c r="A497" s="85"/>
      <c r="B497" s="41"/>
      <c r="C497" s="41"/>
      <c r="D497" s="41"/>
      <c r="E497" s="41"/>
      <c r="F497" s="41"/>
    </row>
    <row r="498">
      <c r="A498" s="85"/>
      <c r="B498" s="41"/>
      <c r="C498" s="41"/>
      <c r="D498" s="41"/>
      <c r="E498" s="41"/>
      <c r="F498" s="41"/>
    </row>
    <row r="499">
      <c r="A499" s="85"/>
      <c r="B499" s="41"/>
      <c r="C499" s="41"/>
      <c r="D499" s="41"/>
      <c r="E499" s="41"/>
      <c r="F499" s="41"/>
    </row>
    <row r="500">
      <c r="A500" s="85"/>
      <c r="B500" s="41"/>
      <c r="C500" s="41"/>
      <c r="D500" s="41"/>
      <c r="E500" s="41"/>
      <c r="F500" s="41"/>
    </row>
    <row r="501">
      <c r="A501" s="85"/>
      <c r="B501" s="41"/>
      <c r="C501" s="41"/>
      <c r="D501" s="41"/>
      <c r="E501" s="41"/>
      <c r="F501" s="41"/>
    </row>
    <row r="502">
      <c r="A502" s="85"/>
      <c r="B502" s="41"/>
      <c r="C502" s="41"/>
      <c r="D502" s="41"/>
      <c r="E502" s="41"/>
      <c r="F502" s="41"/>
    </row>
    <row r="503">
      <c r="A503" s="85"/>
      <c r="B503" s="41"/>
      <c r="C503" s="41"/>
      <c r="D503" s="41"/>
      <c r="E503" s="41"/>
      <c r="F503" s="41"/>
    </row>
    <row r="504">
      <c r="A504" s="85"/>
      <c r="B504" s="41"/>
      <c r="C504" s="41"/>
      <c r="D504" s="41"/>
      <c r="E504" s="41"/>
      <c r="F504" s="41"/>
    </row>
    <row r="505">
      <c r="A505" s="85"/>
      <c r="B505" s="41"/>
      <c r="C505" s="41"/>
      <c r="D505" s="41"/>
      <c r="E505" s="41"/>
      <c r="F505" s="41"/>
    </row>
    <row r="506">
      <c r="A506" s="85"/>
      <c r="B506" s="41"/>
      <c r="C506" s="41"/>
      <c r="D506" s="41"/>
      <c r="E506" s="41"/>
      <c r="F506" s="41"/>
    </row>
    <row r="507">
      <c r="A507" s="85"/>
      <c r="B507" s="41"/>
      <c r="C507" s="41"/>
      <c r="D507" s="41"/>
      <c r="E507" s="41"/>
      <c r="F507" s="41"/>
    </row>
    <row r="508">
      <c r="A508" s="85"/>
      <c r="B508" s="41"/>
      <c r="C508" s="41"/>
      <c r="D508" s="41"/>
      <c r="E508" s="41"/>
      <c r="F508" s="41"/>
    </row>
    <row r="509">
      <c r="A509" s="85"/>
      <c r="B509" s="41"/>
      <c r="C509" s="41"/>
      <c r="D509" s="41"/>
      <c r="E509" s="41"/>
      <c r="F509" s="41"/>
    </row>
    <row r="510">
      <c r="A510" s="85"/>
      <c r="B510" s="41"/>
      <c r="C510" s="41"/>
      <c r="D510" s="41"/>
      <c r="E510" s="41"/>
      <c r="F510" s="41"/>
    </row>
    <row r="511">
      <c r="A511" s="85"/>
      <c r="B511" s="41"/>
      <c r="C511" s="41"/>
      <c r="D511" s="41"/>
      <c r="E511" s="41"/>
      <c r="F511" s="41"/>
    </row>
    <row r="512">
      <c r="A512" s="85"/>
      <c r="B512" s="41"/>
      <c r="C512" s="41"/>
      <c r="D512" s="41"/>
      <c r="E512" s="41"/>
      <c r="F512" s="41"/>
    </row>
    <row r="513">
      <c r="A513" s="85"/>
      <c r="B513" s="41"/>
      <c r="C513" s="41"/>
      <c r="D513" s="41"/>
      <c r="E513" s="41"/>
      <c r="F513" s="41"/>
    </row>
    <row r="514">
      <c r="A514" s="85"/>
      <c r="B514" s="41"/>
      <c r="C514" s="41"/>
      <c r="D514" s="41"/>
      <c r="E514" s="41"/>
      <c r="F514" s="41"/>
    </row>
    <row r="515">
      <c r="A515" s="85"/>
      <c r="B515" s="41"/>
      <c r="C515" s="41"/>
      <c r="D515" s="41"/>
      <c r="E515" s="41"/>
      <c r="F515" s="41"/>
    </row>
    <row r="516">
      <c r="A516" s="85"/>
      <c r="B516" s="41"/>
      <c r="C516" s="41"/>
      <c r="D516" s="41"/>
      <c r="E516" s="41"/>
      <c r="F516" s="41"/>
    </row>
    <row r="517">
      <c r="A517" s="85"/>
      <c r="B517" s="41"/>
      <c r="C517" s="41"/>
      <c r="D517" s="41"/>
      <c r="E517" s="41"/>
      <c r="F517" s="41"/>
    </row>
    <row r="518">
      <c r="A518" s="85"/>
      <c r="B518" s="41"/>
      <c r="C518" s="41"/>
      <c r="D518" s="41"/>
      <c r="E518" s="41"/>
      <c r="F518" s="41"/>
    </row>
    <row r="519">
      <c r="A519" s="85"/>
      <c r="B519" s="41"/>
      <c r="C519" s="41"/>
      <c r="D519" s="41"/>
      <c r="E519" s="41"/>
      <c r="F519" s="41"/>
    </row>
    <row r="520">
      <c r="A520" s="85"/>
      <c r="B520" s="41"/>
      <c r="C520" s="41"/>
      <c r="D520" s="41"/>
      <c r="E520" s="41"/>
      <c r="F520" s="41"/>
    </row>
    <row r="521">
      <c r="A521" s="85"/>
      <c r="B521" s="41"/>
      <c r="C521" s="41"/>
      <c r="D521" s="41"/>
      <c r="E521" s="41"/>
      <c r="F521" s="41"/>
    </row>
    <row r="522">
      <c r="A522" s="85"/>
      <c r="B522" s="41"/>
      <c r="C522" s="41"/>
      <c r="D522" s="41"/>
      <c r="E522" s="41"/>
      <c r="F522" s="41"/>
    </row>
    <row r="523">
      <c r="A523" s="85"/>
      <c r="B523" s="41"/>
      <c r="C523" s="41"/>
      <c r="D523" s="41"/>
      <c r="E523" s="41"/>
      <c r="F523" s="41"/>
    </row>
    <row r="524">
      <c r="A524" s="85"/>
      <c r="B524" s="41"/>
      <c r="C524" s="41"/>
      <c r="D524" s="41"/>
      <c r="E524" s="41"/>
      <c r="F524" s="41"/>
    </row>
    <row r="525">
      <c r="A525" s="85"/>
      <c r="B525" s="41"/>
      <c r="C525" s="41"/>
      <c r="D525" s="41"/>
      <c r="E525" s="41"/>
      <c r="F525" s="41"/>
    </row>
    <row r="526">
      <c r="A526" s="85"/>
      <c r="B526" s="41"/>
      <c r="C526" s="41"/>
      <c r="D526" s="41"/>
      <c r="E526" s="41"/>
      <c r="F526" s="41"/>
    </row>
    <row r="527">
      <c r="A527" s="85"/>
      <c r="B527" s="41"/>
      <c r="C527" s="41"/>
      <c r="D527" s="41"/>
      <c r="E527" s="41"/>
      <c r="F527" s="41"/>
    </row>
    <row r="528">
      <c r="A528" s="85"/>
      <c r="B528" s="41"/>
      <c r="C528" s="41"/>
      <c r="D528" s="41"/>
      <c r="E528" s="41"/>
      <c r="F528" s="41"/>
    </row>
    <row r="529">
      <c r="A529" s="85"/>
      <c r="B529" s="41"/>
      <c r="C529" s="41"/>
      <c r="D529" s="41"/>
      <c r="E529" s="41"/>
      <c r="F529" s="41"/>
    </row>
    <row r="530">
      <c r="A530" s="85"/>
      <c r="B530" s="41"/>
      <c r="C530" s="41"/>
      <c r="D530" s="41"/>
      <c r="E530" s="41"/>
      <c r="F530" s="41"/>
    </row>
    <row r="531">
      <c r="A531" s="85"/>
      <c r="B531" s="41"/>
      <c r="C531" s="41"/>
      <c r="D531" s="41"/>
      <c r="E531" s="41"/>
      <c r="F531" s="41"/>
    </row>
    <row r="532">
      <c r="A532" s="85"/>
      <c r="B532" s="41"/>
      <c r="C532" s="41"/>
      <c r="D532" s="41"/>
      <c r="E532" s="41"/>
      <c r="F532" s="41"/>
    </row>
    <row r="533">
      <c r="A533" s="85"/>
      <c r="B533" s="41"/>
      <c r="C533" s="41"/>
      <c r="D533" s="41"/>
      <c r="E533" s="41"/>
      <c r="F533" s="41"/>
    </row>
    <row r="534">
      <c r="A534" s="85"/>
      <c r="B534" s="41"/>
      <c r="C534" s="41"/>
      <c r="D534" s="41"/>
      <c r="E534" s="41"/>
      <c r="F534" s="41"/>
    </row>
    <row r="535">
      <c r="A535" s="85"/>
      <c r="B535" s="41"/>
      <c r="C535" s="41"/>
      <c r="D535" s="41"/>
      <c r="E535" s="41"/>
      <c r="F535" s="41"/>
    </row>
    <row r="536">
      <c r="A536" s="85"/>
      <c r="B536" s="41"/>
      <c r="C536" s="41"/>
      <c r="D536" s="41"/>
      <c r="E536" s="41"/>
      <c r="F536" s="41"/>
    </row>
    <row r="537">
      <c r="A537" s="85"/>
      <c r="B537" s="41"/>
      <c r="C537" s="41"/>
      <c r="D537" s="41"/>
      <c r="E537" s="41"/>
      <c r="F537" s="41"/>
    </row>
    <row r="538">
      <c r="A538" s="85"/>
      <c r="B538" s="41"/>
      <c r="C538" s="41"/>
      <c r="D538" s="41"/>
      <c r="E538" s="41"/>
      <c r="F538" s="41"/>
    </row>
    <row r="539">
      <c r="A539" s="85"/>
      <c r="B539" s="41"/>
      <c r="C539" s="41"/>
      <c r="D539" s="41"/>
      <c r="E539" s="41"/>
      <c r="F539" s="41"/>
    </row>
    <row r="540">
      <c r="A540" s="85"/>
      <c r="B540" s="41"/>
      <c r="C540" s="41"/>
      <c r="D540" s="41"/>
      <c r="E540" s="41"/>
      <c r="F540" s="41"/>
    </row>
    <row r="541">
      <c r="A541" s="85"/>
      <c r="B541" s="41"/>
      <c r="C541" s="41"/>
      <c r="D541" s="41"/>
      <c r="E541" s="41"/>
      <c r="F541" s="41"/>
    </row>
    <row r="542">
      <c r="A542" s="85"/>
      <c r="B542" s="41"/>
      <c r="C542" s="41"/>
      <c r="D542" s="41"/>
      <c r="E542" s="41"/>
      <c r="F542" s="41"/>
    </row>
    <row r="543">
      <c r="A543" s="85"/>
      <c r="B543" s="41"/>
      <c r="C543" s="41"/>
      <c r="D543" s="41"/>
      <c r="E543" s="41"/>
      <c r="F543" s="41"/>
    </row>
    <row r="544">
      <c r="A544" s="85"/>
      <c r="B544" s="41"/>
      <c r="C544" s="41"/>
      <c r="D544" s="41"/>
      <c r="E544" s="41"/>
      <c r="F544" s="41"/>
    </row>
    <row r="545">
      <c r="A545" s="85"/>
      <c r="B545" s="41"/>
      <c r="C545" s="41"/>
      <c r="D545" s="41"/>
      <c r="E545" s="41"/>
      <c r="F545" s="41"/>
    </row>
    <row r="546">
      <c r="A546" s="85"/>
      <c r="B546" s="41"/>
      <c r="C546" s="41"/>
      <c r="D546" s="41"/>
      <c r="E546" s="41"/>
      <c r="F546" s="41"/>
    </row>
    <row r="547">
      <c r="A547" s="85"/>
      <c r="B547" s="41"/>
      <c r="C547" s="41"/>
      <c r="D547" s="41"/>
      <c r="E547" s="41"/>
      <c r="F547" s="41"/>
    </row>
    <row r="548">
      <c r="A548" s="85"/>
      <c r="B548" s="41"/>
      <c r="C548" s="41"/>
      <c r="D548" s="41"/>
      <c r="E548" s="41"/>
      <c r="F548" s="41"/>
    </row>
    <row r="549">
      <c r="A549" s="85"/>
      <c r="B549" s="41"/>
      <c r="C549" s="41"/>
      <c r="D549" s="41"/>
      <c r="E549" s="41"/>
      <c r="F549" s="41"/>
    </row>
    <row r="550">
      <c r="A550" s="85"/>
      <c r="B550" s="41"/>
      <c r="C550" s="41"/>
      <c r="D550" s="41"/>
      <c r="E550" s="41"/>
      <c r="F550" s="41"/>
    </row>
    <row r="551">
      <c r="A551" s="85"/>
      <c r="B551" s="41"/>
      <c r="C551" s="41"/>
      <c r="D551" s="41"/>
      <c r="E551" s="41"/>
      <c r="F551" s="41"/>
    </row>
    <row r="552">
      <c r="A552" s="85"/>
      <c r="B552" s="41"/>
      <c r="C552" s="41"/>
      <c r="D552" s="41"/>
      <c r="E552" s="41"/>
      <c r="F552" s="41"/>
    </row>
    <row r="553">
      <c r="A553" s="85"/>
      <c r="B553" s="41"/>
      <c r="C553" s="41"/>
      <c r="D553" s="41"/>
      <c r="E553" s="41"/>
      <c r="F553" s="41"/>
    </row>
    <row r="554">
      <c r="A554" s="85"/>
      <c r="B554" s="41"/>
      <c r="C554" s="41"/>
      <c r="D554" s="41"/>
      <c r="E554" s="41"/>
      <c r="F554" s="41"/>
    </row>
    <row r="555">
      <c r="A555" s="85"/>
      <c r="B555" s="41"/>
      <c r="C555" s="41"/>
      <c r="D555" s="41"/>
      <c r="E555" s="41"/>
      <c r="F555" s="41"/>
    </row>
    <row r="556">
      <c r="A556" s="85"/>
      <c r="B556" s="41"/>
      <c r="C556" s="41"/>
      <c r="D556" s="41"/>
      <c r="E556" s="41"/>
      <c r="F556" s="41"/>
    </row>
    <row r="557">
      <c r="A557" s="85"/>
      <c r="B557" s="41"/>
      <c r="C557" s="41"/>
      <c r="D557" s="41"/>
      <c r="E557" s="41"/>
      <c r="F557" s="41"/>
    </row>
    <row r="558">
      <c r="A558" s="85"/>
      <c r="B558" s="41"/>
      <c r="C558" s="41"/>
      <c r="D558" s="41"/>
      <c r="E558" s="41"/>
      <c r="F558" s="41"/>
    </row>
    <row r="559">
      <c r="A559" s="85"/>
      <c r="B559" s="41"/>
      <c r="C559" s="41"/>
      <c r="D559" s="41"/>
      <c r="E559" s="41"/>
      <c r="F559" s="41"/>
    </row>
    <row r="560">
      <c r="A560" s="85"/>
      <c r="B560" s="41"/>
      <c r="C560" s="41"/>
      <c r="D560" s="41"/>
      <c r="E560" s="41"/>
      <c r="F560" s="41"/>
    </row>
    <row r="561">
      <c r="A561" s="85"/>
      <c r="B561" s="41"/>
      <c r="C561" s="41"/>
      <c r="D561" s="41"/>
      <c r="E561" s="41"/>
      <c r="F561" s="41"/>
    </row>
    <row r="562">
      <c r="A562" s="85"/>
      <c r="B562" s="41"/>
      <c r="C562" s="41"/>
      <c r="D562" s="41"/>
      <c r="E562" s="41"/>
      <c r="F562" s="41"/>
    </row>
    <row r="563">
      <c r="A563" s="85"/>
      <c r="B563" s="41"/>
      <c r="C563" s="41"/>
      <c r="D563" s="41"/>
      <c r="E563" s="41"/>
      <c r="F563" s="41"/>
    </row>
    <row r="564">
      <c r="A564" s="85"/>
      <c r="B564" s="41"/>
      <c r="C564" s="41"/>
      <c r="D564" s="41"/>
      <c r="E564" s="41"/>
      <c r="F564" s="41"/>
    </row>
    <row r="565">
      <c r="A565" s="85"/>
      <c r="B565" s="41"/>
      <c r="C565" s="41"/>
      <c r="D565" s="41"/>
      <c r="E565" s="41"/>
      <c r="F565" s="41"/>
    </row>
    <row r="566">
      <c r="A566" s="85"/>
      <c r="B566" s="41"/>
      <c r="C566" s="41"/>
      <c r="D566" s="41"/>
      <c r="E566" s="41"/>
      <c r="F566" s="41"/>
    </row>
    <row r="567">
      <c r="A567" s="85"/>
      <c r="B567" s="41"/>
      <c r="C567" s="41"/>
      <c r="D567" s="41"/>
      <c r="E567" s="41"/>
      <c r="F567" s="41"/>
    </row>
    <row r="568">
      <c r="A568" s="85"/>
      <c r="B568" s="41"/>
      <c r="C568" s="41"/>
      <c r="D568" s="41"/>
      <c r="E568" s="41"/>
      <c r="F568" s="41"/>
    </row>
    <row r="569">
      <c r="A569" s="85"/>
      <c r="B569" s="41"/>
      <c r="C569" s="41"/>
      <c r="D569" s="41"/>
      <c r="E569" s="41"/>
      <c r="F569" s="41"/>
    </row>
    <row r="570">
      <c r="A570" s="85"/>
      <c r="B570" s="41"/>
      <c r="C570" s="41"/>
      <c r="D570" s="41"/>
      <c r="E570" s="41"/>
      <c r="F570" s="41"/>
    </row>
    <row r="571">
      <c r="A571" s="85"/>
      <c r="B571" s="41"/>
      <c r="C571" s="41"/>
      <c r="D571" s="41"/>
      <c r="E571" s="41"/>
      <c r="F571" s="41"/>
    </row>
    <row r="572">
      <c r="A572" s="85"/>
      <c r="B572" s="41"/>
      <c r="C572" s="41"/>
      <c r="D572" s="41"/>
      <c r="E572" s="41"/>
      <c r="F572" s="41"/>
    </row>
    <row r="573">
      <c r="A573" s="85"/>
      <c r="B573" s="41"/>
      <c r="C573" s="41"/>
      <c r="D573" s="41"/>
      <c r="E573" s="41"/>
      <c r="F573" s="41"/>
    </row>
    <row r="574">
      <c r="A574" s="85"/>
      <c r="B574" s="41"/>
      <c r="C574" s="41"/>
      <c r="D574" s="41"/>
      <c r="E574" s="41"/>
      <c r="F574" s="41"/>
    </row>
    <row r="575">
      <c r="A575" s="85"/>
      <c r="B575" s="41"/>
      <c r="C575" s="41"/>
      <c r="D575" s="41"/>
      <c r="E575" s="41"/>
      <c r="F575" s="41"/>
    </row>
    <row r="576">
      <c r="A576" s="85"/>
      <c r="B576" s="41"/>
      <c r="C576" s="41"/>
      <c r="D576" s="41"/>
      <c r="E576" s="41"/>
      <c r="F576" s="41"/>
    </row>
    <row r="577">
      <c r="A577" s="85"/>
      <c r="B577" s="41"/>
      <c r="C577" s="41"/>
      <c r="D577" s="41"/>
      <c r="E577" s="41"/>
      <c r="F577" s="41"/>
    </row>
    <row r="578">
      <c r="A578" s="85"/>
      <c r="B578" s="41"/>
      <c r="C578" s="41"/>
      <c r="D578" s="41"/>
      <c r="E578" s="41"/>
      <c r="F578" s="41"/>
    </row>
    <row r="579">
      <c r="A579" s="85"/>
      <c r="B579" s="41"/>
      <c r="C579" s="41"/>
      <c r="D579" s="41"/>
      <c r="E579" s="41"/>
      <c r="F579" s="41"/>
    </row>
    <row r="580">
      <c r="A580" s="85"/>
      <c r="B580" s="41"/>
      <c r="C580" s="41"/>
      <c r="D580" s="41"/>
      <c r="E580" s="41"/>
      <c r="F580" s="41"/>
    </row>
    <row r="581">
      <c r="A581" s="85"/>
      <c r="B581" s="41"/>
      <c r="C581" s="41"/>
      <c r="D581" s="41"/>
      <c r="E581" s="41"/>
      <c r="F581" s="41"/>
    </row>
    <row r="582">
      <c r="A582" s="85"/>
      <c r="B582" s="41"/>
      <c r="C582" s="41"/>
      <c r="D582" s="41"/>
      <c r="E582" s="41"/>
      <c r="F582" s="41"/>
    </row>
    <row r="583">
      <c r="A583" s="85"/>
      <c r="B583" s="41"/>
      <c r="C583" s="41"/>
      <c r="D583" s="41"/>
      <c r="E583" s="41"/>
      <c r="F583" s="41"/>
    </row>
    <row r="584">
      <c r="A584" s="85"/>
      <c r="B584" s="41"/>
      <c r="C584" s="41"/>
      <c r="D584" s="41"/>
      <c r="E584" s="41"/>
      <c r="F584" s="41"/>
    </row>
    <row r="585">
      <c r="A585" s="85"/>
      <c r="B585" s="41"/>
      <c r="C585" s="41"/>
      <c r="D585" s="41"/>
      <c r="E585" s="41"/>
      <c r="F585" s="41"/>
    </row>
    <row r="586">
      <c r="A586" s="85"/>
      <c r="B586" s="41"/>
      <c r="C586" s="41"/>
      <c r="D586" s="41"/>
      <c r="E586" s="41"/>
      <c r="F586" s="41"/>
    </row>
    <row r="587">
      <c r="A587" s="85"/>
      <c r="B587" s="41"/>
      <c r="C587" s="41"/>
      <c r="D587" s="41"/>
      <c r="E587" s="41"/>
      <c r="F587" s="41"/>
    </row>
    <row r="588">
      <c r="A588" s="85"/>
      <c r="B588" s="41"/>
      <c r="C588" s="41"/>
      <c r="D588" s="41"/>
      <c r="E588" s="41"/>
      <c r="F588" s="41"/>
    </row>
    <row r="589">
      <c r="A589" s="85"/>
      <c r="B589" s="41"/>
      <c r="C589" s="41"/>
      <c r="D589" s="41"/>
      <c r="E589" s="41"/>
      <c r="F589" s="41"/>
    </row>
    <row r="590">
      <c r="A590" s="85"/>
      <c r="B590" s="41"/>
      <c r="C590" s="41"/>
      <c r="D590" s="41"/>
      <c r="E590" s="41"/>
      <c r="F590" s="41"/>
    </row>
    <row r="591">
      <c r="A591" s="85"/>
      <c r="B591" s="41"/>
      <c r="C591" s="41"/>
      <c r="D591" s="41"/>
      <c r="E591" s="41"/>
      <c r="F591" s="41"/>
    </row>
    <row r="592">
      <c r="A592" s="85"/>
      <c r="B592" s="41"/>
      <c r="C592" s="41"/>
      <c r="D592" s="41"/>
      <c r="E592" s="41"/>
      <c r="F592" s="41"/>
    </row>
    <row r="593">
      <c r="A593" s="85"/>
      <c r="B593" s="41"/>
      <c r="C593" s="41"/>
      <c r="D593" s="41"/>
      <c r="E593" s="41"/>
      <c r="F593" s="41"/>
    </row>
    <row r="594">
      <c r="A594" s="85"/>
      <c r="B594" s="41"/>
      <c r="C594" s="41"/>
      <c r="D594" s="41"/>
      <c r="E594" s="41"/>
      <c r="F594" s="41"/>
    </row>
    <row r="595">
      <c r="A595" s="85"/>
      <c r="B595" s="41"/>
      <c r="C595" s="41"/>
      <c r="D595" s="41"/>
      <c r="E595" s="41"/>
      <c r="F595" s="41"/>
    </row>
    <row r="596">
      <c r="A596" s="85"/>
      <c r="B596" s="41"/>
      <c r="C596" s="41"/>
      <c r="D596" s="41"/>
      <c r="E596" s="41"/>
      <c r="F596" s="41"/>
    </row>
    <row r="597">
      <c r="A597" s="85"/>
      <c r="B597" s="41"/>
      <c r="C597" s="41"/>
      <c r="D597" s="41"/>
      <c r="E597" s="41"/>
      <c r="F597" s="41"/>
    </row>
    <row r="598">
      <c r="A598" s="85"/>
      <c r="B598" s="41"/>
      <c r="C598" s="41"/>
      <c r="D598" s="41"/>
      <c r="E598" s="41"/>
      <c r="F598" s="41"/>
    </row>
    <row r="599">
      <c r="A599" s="85"/>
      <c r="B599" s="41"/>
      <c r="C599" s="41"/>
      <c r="D599" s="41"/>
      <c r="E599" s="41"/>
      <c r="F599" s="41"/>
    </row>
    <row r="600">
      <c r="A600" s="85"/>
      <c r="B600" s="41"/>
      <c r="C600" s="41"/>
      <c r="D600" s="41"/>
      <c r="E600" s="41"/>
      <c r="F600" s="41"/>
    </row>
    <row r="601">
      <c r="A601" s="85"/>
      <c r="B601" s="41"/>
      <c r="C601" s="41"/>
      <c r="D601" s="41"/>
      <c r="E601" s="41"/>
      <c r="F601" s="41"/>
    </row>
    <row r="602">
      <c r="A602" s="85"/>
      <c r="B602" s="41"/>
      <c r="C602" s="41"/>
      <c r="D602" s="41"/>
      <c r="E602" s="41"/>
      <c r="F602" s="41"/>
    </row>
    <row r="603">
      <c r="A603" s="85"/>
      <c r="B603" s="41"/>
      <c r="C603" s="41"/>
      <c r="D603" s="41"/>
      <c r="E603" s="41"/>
      <c r="F603" s="41"/>
    </row>
    <row r="604">
      <c r="A604" s="85"/>
      <c r="B604" s="41"/>
      <c r="C604" s="41"/>
      <c r="D604" s="41"/>
      <c r="E604" s="41"/>
      <c r="F604" s="41"/>
    </row>
    <row r="605">
      <c r="A605" s="85"/>
      <c r="B605" s="41"/>
      <c r="C605" s="41"/>
      <c r="D605" s="41"/>
      <c r="E605" s="41"/>
      <c r="F605" s="41"/>
    </row>
    <row r="606">
      <c r="A606" s="85"/>
      <c r="B606" s="41"/>
      <c r="C606" s="41"/>
      <c r="D606" s="41"/>
      <c r="E606" s="41"/>
      <c r="F606" s="41"/>
    </row>
    <row r="607">
      <c r="A607" s="85"/>
      <c r="B607" s="41"/>
      <c r="C607" s="41"/>
      <c r="D607" s="41"/>
      <c r="E607" s="41"/>
      <c r="F607" s="41"/>
    </row>
    <row r="608">
      <c r="A608" s="85"/>
      <c r="B608" s="41"/>
      <c r="C608" s="41"/>
      <c r="D608" s="41"/>
      <c r="E608" s="41"/>
      <c r="F608" s="41"/>
    </row>
    <row r="609">
      <c r="A609" s="85"/>
      <c r="B609" s="41"/>
      <c r="C609" s="41"/>
      <c r="D609" s="41"/>
      <c r="E609" s="41"/>
      <c r="F609" s="41"/>
    </row>
    <row r="610">
      <c r="A610" s="85"/>
      <c r="B610" s="41"/>
      <c r="C610" s="41"/>
      <c r="D610" s="41"/>
      <c r="E610" s="41"/>
      <c r="F610" s="41"/>
    </row>
    <row r="611">
      <c r="A611" s="85"/>
      <c r="B611" s="41"/>
      <c r="C611" s="41"/>
      <c r="D611" s="41"/>
      <c r="E611" s="41"/>
      <c r="F611" s="41"/>
    </row>
    <row r="612">
      <c r="A612" s="85"/>
      <c r="B612" s="41"/>
      <c r="C612" s="41"/>
      <c r="D612" s="41"/>
      <c r="E612" s="41"/>
      <c r="F612" s="41"/>
    </row>
    <row r="613">
      <c r="A613" s="85"/>
      <c r="B613" s="41"/>
      <c r="C613" s="41"/>
      <c r="D613" s="41"/>
      <c r="E613" s="41"/>
      <c r="F613" s="41"/>
    </row>
    <row r="614">
      <c r="A614" s="85"/>
      <c r="B614" s="41"/>
      <c r="C614" s="41"/>
      <c r="D614" s="41"/>
      <c r="E614" s="41"/>
      <c r="F614" s="41"/>
    </row>
    <row r="615">
      <c r="A615" s="85"/>
      <c r="B615" s="41"/>
      <c r="C615" s="41"/>
      <c r="D615" s="41"/>
      <c r="E615" s="41"/>
      <c r="F615" s="41"/>
    </row>
    <row r="616">
      <c r="A616" s="85"/>
      <c r="B616" s="41"/>
      <c r="C616" s="41"/>
      <c r="D616" s="41"/>
      <c r="E616" s="41"/>
      <c r="F616" s="41"/>
    </row>
    <row r="617">
      <c r="A617" s="85"/>
      <c r="B617" s="41"/>
      <c r="C617" s="41"/>
      <c r="D617" s="41"/>
      <c r="E617" s="41"/>
      <c r="F617" s="41"/>
    </row>
    <row r="618">
      <c r="A618" s="85"/>
      <c r="B618" s="41"/>
      <c r="C618" s="41"/>
      <c r="D618" s="41"/>
      <c r="E618" s="41"/>
      <c r="F618" s="41"/>
    </row>
    <row r="619">
      <c r="A619" s="85"/>
      <c r="B619" s="41"/>
      <c r="C619" s="41"/>
      <c r="D619" s="41"/>
      <c r="E619" s="41"/>
      <c r="F619" s="41"/>
    </row>
    <row r="620">
      <c r="A620" s="85"/>
      <c r="B620" s="41"/>
      <c r="C620" s="41"/>
      <c r="D620" s="41"/>
      <c r="E620" s="41"/>
      <c r="F620" s="41"/>
    </row>
    <row r="621">
      <c r="A621" s="85"/>
      <c r="B621" s="41"/>
      <c r="C621" s="41"/>
      <c r="D621" s="41"/>
      <c r="E621" s="41"/>
      <c r="F621" s="41"/>
    </row>
    <row r="622">
      <c r="A622" s="85"/>
      <c r="B622" s="41"/>
      <c r="C622" s="41"/>
      <c r="D622" s="41"/>
      <c r="E622" s="41"/>
      <c r="F622" s="41"/>
    </row>
    <row r="623">
      <c r="A623" s="85"/>
      <c r="B623" s="41"/>
      <c r="C623" s="41"/>
      <c r="D623" s="41"/>
      <c r="E623" s="41"/>
      <c r="F623" s="41"/>
    </row>
    <row r="624">
      <c r="A624" s="85"/>
      <c r="B624" s="41"/>
      <c r="C624" s="41"/>
      <c r="D624" s="41"/>
      <c r="E624" s="41"/>
      <c r="F624" s="41"/>
    </row>
    <row r="625">
      <c r="A625" s="85"/>
      <c r="B625" s="41"/>
      <c r="C625" s="41"/>
      <c r="D625" s="41"/>
      <c r="E625" s="41"/>
      <c r="F625" s="41"/>
    </row>
    <row r="626">
      <c r="A626" s="85"/>
      <c r="B626" s="41"/>
      <c r="C626" s="41"/>
      <c r="D626" s="41"/>
      <c r="E626" s="41"/>
      <c r="F626" s="41"/>
    </row>
    <row r="627">
      <c r="A627" s="85"/>
      <c r="B627" s="41"/>
      <c r="C627" s="41"/>
      <c r="D627" s="41"/>
      <c r="E627" s="41"/>
      <c r="F627" s="41"/>
    </row>
    <row r="628">
      <c r="A628" s="85"/>
      <c r="B628" s="41"/>
      <c r="C628" s="41"/>
      <c r="D628" s="41"/>
      <c r="E628" s="41"/>
      <c r="F628" s="41"/>
    </row>
    <row r="629">
      <c r="A629" s="85"/>
      <c r="B629" s="41"/>
      <c r="C629" s="41"/>
      <c r="D629" s="41"/>
      <c r="E629" s="41"/>
      <c r="F629" s="41"/>
    </row>
    <row r="630">
      <c r="A630" s="85"/>
      <c r="B630" s="41"/>
      <c r="C630" s="41"/>
      <c r="D630" s="41"/>
      <c r="E630" s="41"/>
      <c r="F630" s="41"/>
    </row>
    <row r="631">
      <c r="A631" s="85"/>
      <c r="B631" s="41"/>
      <c r="C631" s="41"/>
      <c r="D631" s="41"/>
      <c r="E631" s="41"/>
      <c r="F631" s="41"/>
    </row>
    <row r="632">
      <c r="A632" s="85"/>
      <c r="B632" s="41"/>
      <c r="C632" s="41"/>
      <c r="D632" s="41"/>
      <c r="E632" s="41"/>
      <c r="F632" s="41"/>
    </row>
    <row r="633">
      <c r="A633" s="85"/>
      <c r="B633" s="41"/>
      <c r="C633" s="41"/>
      <c r="D633" s="41"/>
      <c r="E633" s="41"/>
      <c r="F633" s="41"/>
    </row>
    <row r="634">
      <c r="A634" s="85"/>
      <c r="B634" s="41"/>
      <c r="C634" s="41"/>
      <c r="D634" s="41"/>
      <c r="E634" s="41"/>
      <c r="F634" s="41"/>
    </row>
    <row r="635">
      <c r="A635" s="85"/>
      <c r="B635" s="41"/>
      <c r="C635" s="41"/>
      <c r="D635" s="41"/>
      <c r="E635" s="41"/>
      <c r="F635" s="41"/>
    </row>
    <row r="636">
      <c r="A636" s="85"/>
      <c r="B636" s="41"/>
      <c r="C636" s="41"/>
      <c r="D636" s="41"/>
      <c r="E636" s="41"/>
      <c r="F636" s="41"/>
    </row>
    <row r="637">
      <c r="A637" s="85"/>
      <c r="B637" s="41"/>
      <c r="C637" s="41"/>
      <c r="D637" s="41"/>
      <c r="E637" s="41"/>
      <c r="F637" s="41"/>
    </row>
    <row r="638">
      <c r="A638" s="85"/>
      <c r="B638" s="41"/>
      <c r="C638" s="41"/>
      <c r="D638" s="41"/>
      <c r="E638" s="41"/>
      <c r="F638" s="41"/>
    </row>
    <row r="639">
      <c r="A639" s="85"/>
      <c r="B639" s="41"/>
      <c r="C639" s="41"/>
      <c r="D639" s="41"/>
      <c r="E639" s="41"/>
      <c r="F639" s="41"/>
    </row>
    <row r="640">
      <c r="A640" s="85"/>
      <c r="B640" s="41"/>
      <c r="C640" s="41"/>
      <c r="D640" s="41"/>
      <c r="E640" s="41"/>
      <c r="F640" s="41"/>
    </row>
    <row r="641">
      <c r="A641" s="85"/>
      <c r="B641" s="41"/>
      <c r="C641" s="41"/>
      <c r="D641" s="41"/>
      <c r="E641" s="41"/>
      <c r="F641" s="41"/>
    </row>
    <row r="642">
      <c r="A642" s="85"/>
      <c r="B642" s="41"/>
      <c r="C642" s="41"/>
      <c r="D642" s="41"/>
      <c r="E642" s="41"/>
      <c r="F642" s="41"/>
    </row>
    <row r="643">
      <c r="A643" s="85"/>
      <c r="B643" s="41"/>
      <c r="C643" s="41"/>
      <c r="D643" s="41"/>
      <c r="E643" s="41"/>
      <c r="F643" s="41"/>
    </row>
    <row r="644">
      <c r="A644" s="85"/>
      <c r="B644" s="41"/>
      <c r="C644" s="41"/>
      <c r="D644" s="41"/>
      <c r="E644" s="41"/>
      <c r="F644" s="41"/>
    </row>
    <row r="645">
      <c r="A645" s="85"/>
      <c r="B645" s="41"/>
      <c r="C645" s="41"/>
      <c r="D645" s="41"/>
      <c r="E645" s="41"/>
      <c r="F645" s="41"/>
    </row>
    <row r="646">
      <c r="A646" s="85"/>
      <c r="B646" s="41"/>
      <c r="C646" s="41"/>
      <c r="D646" s="41"/>
      <c r="E646" s="41"/>
      <c r="F646" s="41"/>
    </row>
    <row r="647">
      <c r="A647" s="85"/>
      <c r="B647" s="41"/>
      <c r="C647" s="41"/>
      <c r="D647" s="41"/>
      <c r="E647" s="41"/>
      <c r="F647" s="41"/>
    </row>
    <row r="648">
      <c r="A648" s="85"/>
      <c r="B648" s="41"/>
      <c r="C648" s="41"/>
      <c r="D648" s="41"/>
      <c r="E648" s="41"/>
      <c r="F648" s="41"/>
    </row>
    <row r="649">
      <c r="A649" s="85"/>
      <c r="B649" s="41"/>
      <c r="C649" s="41"/>
      <c r="D649" s="41"/>
      <c r="E649" s="41"/>
      <c r="F649" s="41"/>
    </row>
    <row r="650">
      <c r="A650" s="85"/>
      <c r="B650" s="41"/>
      <c r="C650" s="41"/>
      <c r="D650" s="41"/>
      <c r="E650" s="41"/>
      <c r="F650" s="41"/>
    </row>
    <row r="651">
      <c r="A651" s="85"/>
      <c r="B651" s="41"/>
      <c r="C651" s="41"/>
      <c r="D651" s="41"/>
      <c r="E651" s="41"/>
      <c r="F651" s="41"/>
    </row>
    <row r="652">
      <c r="A652" s="85"/>
      <c r="B652" s="41"/>
      <c r="C652" s="41"/>
      <c r="D652" s="41"/>
      <c r="E652" s="41"/>
      <c r="F652" s="41"/>
    </row>
    <row r="653">
      <c r="A653" s="85"/>
      <c r="B653" s="41"/>
      <c r="C653" s="41"/>
      <c r="D653" s="41"/>
      <c r="E653" s="41"/>
      <c r="F653" s="41"/>
    </row>
    <row r="654">
      <c r="A654" s="85"/>
      <c r="B654" s="41"/>
      <c r="C654" s="41"/>
      <c r="D654" s="41"/>
      <c r="E654" s="41"/>
      <c r="F654" s="41"/>
    </row>
    <row r="655">
      <c r="A655" s="85"/>
      <c r="B655" s="41"/>
      <c r="C655" s="41"/>
      <c r="D655" s="41"/>
      <c r="E655" s="41"/>
      <c r="F655" s="41"/>
    </row>
    <row r="656">
      <c r="A656" s="85"/>
      <c r="B656" s="41"/>
      <c r="C656" s="41"/>
      <c r="D656" s="41"/>
      <c r="E656" s="41"/>
      <c r="F656" s="41"/>
    </row>
    <row r="657">
      <c r="A657" s="85"/>
      <c r="B657" s="41"/>
      <c r="C657" s="41"/>
      <c r="D657" s="41"/>
      <c r="E657" s="41"/>
      <c r="F657" s="41"/>
    </row>
    <row r="658">
      <c r="A658" s="85"/>
      <c r="B658" s="41"/>
      <c r="C658" s="41"/>
      <c r="D658" s="41"/>
      <c r="E658" s="41"/>
      <c r="F658" s="41"/>
    </row>
    <row r="659">
      <c r="A659" s="85"/>
      <c r="B659" s="41"/>
      <c r="C659" s="41"/>
      <c r="D659" s="41"/>
      <c r="E659" s="41"/>
      <c r="F659" s="41"/>
    </row>
    <row r="660">
      <c r="A660" s="85"/>
      <c r="B660" s="41"/>
      <c r="C660" s="41"/>
      <c r="D660" s="41"/>
      <c r="E660" s="41"/>
      <c r="F660" s="41"/>
    </row>
    <row r="661">
      <c r="A661" s="85"/>
      <c r="B661" s="41"/>
      <c r="C661" s="41"/>
      <c r="D661" s="41"/>
      <c r="E661" s="41"/>
      <c r="F661" s="41"/>
    </row>
    <row r="662">
      <c r="A662" s="85"/>
      <c r="B662" s="41"/>
      <c r="C662" s="41"/>
      <c r="D662" s="41"/>
      <c r="E662" s="41"/>
      <c r="F662" s="41"/>
    </row>
    <row r="663">
      <c r="A663" s="85"/>
      <c r="B663" s="41"/>
      <c r="C663" s="41"/>
      <c r="D663" s="41"/>
      <c r="E663" s="41"/>
      <c r="F663" s="41"/>
    </row>
    <row r="664">
      <c r="A664" s="85"/>
      <c r="B664" s="41"/>
      <c r="C664" s="41"/>
      <c r="D664" s="41"/>
      <c r="E664" s="41"/>
      <c r="F664" s="41"/>
    </row>
    <row r="665">
      <c r="A665" s="85"/>
      <c r="B665" s="41"/>
      <c r="C665" s="41"/>
      <c r="D665" s="41"/>
      <c r="E665" s="41"/>
      <c r="F665" s="41"/>
    </row>
    <row r="666">
      <c r="A666" s="85"/>
      <c r="B666" s="41"/>
      <c r="C666" s="41"/>
      <c r="D666" s="41"/>
      <c r="E666" s="41"/>
      <c r="F666" s="41"/>
    </row>
    <row r="667">
      <c r="A667" s="85"/>
      <c r="B667" s="41"/>
      <c r="C667" s="41"/>
      <c r="D667" s="41"/>
      <c r="E667" s="41"/>
      <c r="F667" s="41"/>
    </row>
    <row r="668">
      <c r="A668" s="85"/>
      <c r="B668" s="41"/>
      <c r="C668" s="41"/>
      <c r="D668" s="41"/>
      <c r="E668" s="41"/>
      <c r="F668" s="41"/>
    </row>
    <row r="669">
      <c r="A669" s="85"/>
      <c r="B669" s="41"/>
      <c r="C669" s="41"/>
      <c r="D669" s="41"/>
      <c r="E669" s="41"/>
      <c r="F669" s="41"/>
    </row>
    <row r="670">
      <c r="A670" s="85"/>
      <c r="B670" s="41"/>
      <c r="C670" s="41"/>
      <c r="D670" s="41"/>
      <c r="E670" s="41"/>
      <c r="F670" s="41"/>
    </row>
    <row r="671">
      <c r="A671" s="85"/>
      <c r="B671" s="41"/>
      <c r="C671" s="41"/>
      <c r="D671" s="41"/>
      <c r="E671" s="41"/>
      <c r="F671" s="41"/>
    </row>
    <row r="672">
      <c r="A672" s="85"/>
      <c r="B672" s="41"/>
      <c r="C672" s="41"/>
      <c r="D672" s="41"/>
      <c r="E672" s="41"/>
      <c r="F672" s="41"/>
    </row>
    <row r="673">
      <c r="A673" s="85"/>
      <c r="B673" s="41"/>
      <c r="C673" s="41"/>
      <c r="D673" s="41"/>
      <c r="E673" s="41"/>
      <c r="F673" s="41"/>
    </row>
    <row r="674">
      <c r="A674" s="85"/>
      <c r="B674" s="41"/>
      <c r="C674" s="41"/>
      <c r="D674" s="41"/>
      <c r="E674" s="41"/>
      <c r="F674" s="41"/>
    </row>
    <row r="675">
      <c r="A675" s="85"/>
      <c r="B675" s="41"/>
      <c r="C675" s="41"/>
      <c r="D675" s="41"/>
      <c r="E675" s="41"/>
      <c r="F675" s="41"/>
    </row>
    <row r="676">
      <c r="A676" s="85"/>
      <c r="B676" s="41"/>
      <c r="C676" s="41"/>
      <c r="D676" s="41"/>
      <c r="E676" s="41"/>
      <c r="F676" s="41"/>
    </row>
    <row r="677">
      <c r="A677" s="85"/>
      <c r="B677" s="41"/>
      <c r="C677" s="41"/>
      <c r="D677" s="41"/>
      <c r="E677" s="41"/>
      <c r="F677" s="41"/>
    </row>
    <row r="678">
      <c r="A678" s="85"/>
      <c r="B678" s="41"/>
      <c r="C678" s="41"/>
      <c r="D678" s="41"/>
      <c r="E678" s="41"/>
      <c r="F678" s="41"/>
    </row>
    <row r="679">
      <c r="A679" s="85"/>
      <c r="B679" s="41"/>
      <c r="C679" s="41"/>
      <c r="D679" s="41"/>
      <c r="E679" s="41"/>
      <c r="F679" s="41"/>
    </row>
    <row r="680">
      <c r="A680" s="85"/>
      <c r="B680" s="41"/>
      <c r="C680" s="41"/>
      <c r="D680" s="41"/>
      <c r="E680" s="41"/>
      <c r="F680" s="41"/>
    </row>
    <row r="681">
      <c r="A681" s="85"/>
      <c r="B681" s="41"/>
      <c r="C681" s="41"/>
      <c r="D681" s="41"/>
      <c r="E681" s="41"/>
      <c r="F681" s="41"/>
    </row>
    <row r="682">
      <c r="A682" s="85"/>
      <c r="B682" s="41"/>
      <c r="C682" s="41"/>
      <c r="D682" s="41"/>
      <c r="E682" s="41"/>
      <c r="F682" s="41"/>
    </row>
    <row r="683">
      <c r="A683" s="85"/>
      <c r="B683" s="41"/>
      <c r="C683" s="41"/>
      <c r="D683" s="41"/>
      <c r="E683" s="41"/>
      <c r="F683" s="41"/>
    </row>
    <row r="684">
      <c r="A684" s="85"/>
      <c r="B684" s="41"/>
      <c r="C684" s="41"/>
      <c r="D684" s="41"/>
      <c r="E684" s="41"/>
      <c r="F684" s="41"/>
    </row>
    <row r="685">
      <c r="A685" s="85"/>
      <c r="B685" s="41"/>
      <c r="C685" s="41"/>
      <c r="D685" s="41"/>
      <c r="E685" s="41"/>
      <c r="F685" s="41"/>
    </row>
    <row r="686">
      <c r="A686" s="85"/>
      <c r="B686" s="41"/>
      <c r="C686" s="41"/>
      <c r="D686" s="41"/>
      <c r="E686" s="41"/>
      <c r="F686" s="41"/>
    </row>
    <row r="687">
      <c r="A687" s="85"/>
      <c r="B687" s="41"/>
      <c r="C687" s="41"/>
      <c r="D687" s="41"/>
      <c r="E687" s="41"/>
      <c r="F687" s="41"/>
    </row>
    <row r="688">
      <c r="A688" s="85"/>
      <c r="B688" s="41"/>
      <c r="C688" s="41"/>
      <c r="D688" s="41"/>
      <c r="E688" s="41"/>
      <c r="F688" s="41"/>
    </row>
    <row r="689">
      <c r="A689" s="85"/>
      <c r="B689" s="41"/>
      <c r="C689" s="41"/>
      <c r="D689" s="41"/>
      <c r="E689" s="41"/>
      <c r="F689" s="41"/>
    </row>
    <row r="690">
      <c r="A690" s="85"/>
      <c r="B690" s="41"/>
      <c r="C690" s="41"/>
      <c r="D690" s="41"/>
      <c r="E690" s="41"/>
      <c r="F690" s="41"/>
    </row>
    <row r="691">
      <c r="A691" s="85"/>
      <c r="B691" s="41"/>
      <c r="C691" s="41"/>
      <c r="D691" s="41"/>
      <c r="E691" s="41"/>
      <c r="F691" s="41"/>
    </row>
    <row r="692">
      <c r="A692" s="85"/>
      <c r="B692" s="41"/>
      <c r="C692" s="41"/>
      <c r="D692" s="41"/>
      <c r="E692" s="41"/>
      <c r="F692" s="41"/>
    </row>
    <row r="693">
      <c r="A693" s="85"/>
      <c r="B693" s="41"/>
      <c r="C693" s="41"/>
      <c r="D693" s="41"/>
      <c r="E693" s="41"/>
      <c r="F693" s="41"/>
    </row>
    <row r="694">
      <c r="A694" s="85"/>
      <c r="B694" s="41"/>
      <c r="C694" s="41"/>
      <c r="D694" s="41"/>
      <c r="E694" s="41"/>
      <c r="F694" s="41"/>
    </row>
    <row r="695">
      <c r="A695" s="85"/>
      <c r="B695" s="41"/>
      <c r="C695" s="41"/>
      <c r="D695" s="41"/>
      <c r="E695" s="41"/>
      <c r="F695" s="41"/>
    </row>
    <row r="696">
      <c r="A696" s="85"/>
      <c r="B696" s="41"/>
      <c r="C696" s="41"/>
      <c r="D696" s="41"/>
      <c r="E696" s="41"/>
      <c r="F696" s="41"/>
    </row>
    <row r="697">
      <c r="A697" s="85"/>
      <c r="B697" s="41"/>
      <c r="C697" s="41"/>
      <c r="D697" s="41"/>
      <c r="E697" s="41"/>
      <c r="F697" s="41"/>
    </row>
    <row r="698">
      <c r="A698" s="85"/>
      <c r="B698" s="41"/>
      <c r="C698" s="41"/>
      <c r="D698" s="41"/>
      <c r="E698" s="41"/>
      <c r="F698" s="41"/>
    </row>
    <row r="699">
      <c r="A699" s="85"/>
      <c r="B699" s="41"/>
      <c r="C699" s="41"/>
      <c r="D699" s="41"/>
      <c r="E699" s="41"/>
      <c r="F699" s="41"/>
    </row>
    <row r="700">
      <c r="A700" s="85"/>
      <c r="B700" s="41"/>
      <c r="C700" s="41"/>
      <c r="D700" s="41"/>
      <c r="E700" s="41"/>
      <c r="F700" s="41"/>
    </row>
    <row r="701">
      <c r="A701" s="85"/>
      <c r="B701" s="41"/>
      <c r="C701" s="41"/>
      <c r="D701" s="41"/>
      <c r="E701" s="41"/>
      <c r="F701" s="41"/>
    </row>
    <row r="702">
      <c r="A702" s="85"/>
      <c r="B702" s="41"/>
      <c r="C702" s="41"/>
      <c r="D702" s="41"/>
      <c r="E702" s="41"/>
      <c r="F702" s="41"/>
    </row>
    <row r="703">
      <c r="A703" s="85"/>
      <c r="B703" s="41"/>
      <c r="C703" s="41"/>
      <c r="D703" s="41"/>
      <c r="E703" s="41"/>
      <c r="F703" s="41"/>
    </row>
    <row r="704">
      <c r="A704" s="85"/>
      <c r="B704" s="41"/>
      <c r="C704" s="41"/>
      <c r="D704" s="41"/>
      <c r="E704" s="41"/>
      <c r="F704" s="41"/>
    </row>
    <row r="705">
      <c r="A705" s="85"/>
      <c r="B705" s="41"/>
      <c r="C705" s="41"/>
      <c r="D705" s="41"/>
      <c r="E705" s="41"/>
      <c r="F705" s="41"/>
    </row>
    <row r="706">
      <c r="A706" s="85"/>
      <c r="B706" s="41"/>
      <c r="C706" s="41"/>
      <c r="D706" s="41"/>
      <c r="E706" s="41"/>
      <c r="F706" s="41"/>
    </row>
    <row r="707">
      <c r="A707" s="85"/>
      <c r="B707" s="41"/>
      <c r="C707" s="41"/>
      <c r="D707" s="41"/>
      <c r="E707" s="41"/>
      <c r="F707" s="41"/>
    </row>
    <row r="708">
      <c r="A708" s="85"/>
      <c r="B708" s="41"/>
      <c r="C708" s="41"/>
      <c r="D708" s="41"/>
      <c r="E708" s="41"/>
      <c r="F708" s="41"/>
    </row>
    <row r="709">
      <c r="A709" s="85"/>
      <c r="B709" s="41"/>
      <c r="C709" s="41"/>
      <c r="D709" s="41"/>
      <c r="E709" s="41"/>
      <c r="F709" s="41"/>
    </row>
    <row r="710">
      <c r="A710" s="85"/>
      <c r="B710" s="41"/>
      <c r="C710" s="41"/>
      <c r="D710" s="41"/>
      <c r="E710" s="41"/>
      <c r="F710" s="41"/>
    </row>
    <row r="711">
      <c r="A711" s="85"/>
      <c r="B711" s="41"/>
      <c r="C711" s="41"/>
      <c r="D711" s="41"/>
      <c r="E711" s="41"/>
      <c r="F711" s="41"/>
    </row>
    <row r="712">
      <c r="A712" s="85"/>
      <c r="B712" s="41"/>
      <c r="C712" s="41"/>
      <c r="D712" s="41"/>
      <c r="E712" s="41"/>
      <c r="F712" s="41"/>
    </row>
    <row r="713">
      <c r="A713" s="85"/>
      <c r="B713" s="41"/>
      <c r="C713" s="41"/>
      <c r="D713" s="41"/>
      <c r="E713" s="41"/>
      <c r="F713" s="41"/>
    </row>
    <row r="714">
      <c r="A714" s="85"/>
      <c r="B714" s="41"/>
      <c r="C714" s="41"/>
      <c r="D714" s="41"/>
      <c r="E714" s="41"/>
      <c r="F714" s="41"/>
    </row>
    <row r="715">
      <c r="A715" s="85"/>
      <c r="B715" s="41"/>
      <c r="C715" s="41"/>
      <c r="D715" s="41"/>
      <c r="E715" s="41"/>
      <c r="F715" s="41"/>
    </row>
    <row r="716">
      <c r="A716" s="85"/>
      <c r="B716" s="41"/>
      <c r="C716" s="41"/>
      <c r="D716" s="41"/>
      <c r="E716" s="41"/>
      <c r="F716" s="41"/>
    </row>
    <row r="717">
      <c r="A717" s="85"/>
      <c r="B717" s="41"/>
      <c r="C717" s="41"/>
      <c r="D717" s="41"/>
      <c r="E717" s="41"/>
      <c r="F717" s="41"/>
    </row>
    <row r="718">
      <c r="A718" s="85"/>
      <c r="B718" s="41"/>
      <c r="C718" s="41"/>
      <c r="D718" s="41"/>
      <c r="E718" s="41"/>
      <c r="F718" s="41"/>
    </row>
    <row r="719">
      <c r="A719" s="85"/>
      <c r="B719" s="41"/>
      <c r="C719" s="41"/>
      <c r="D719" s="41"/>
      <c r="E719" s="41"/>
      <c r="F719" s="41"/>
    </row>
    <row r="720">
      <c r="A720" s="85"/>
      <c r="B720" s="41"/>
      <c r="C720" s="41"/>
      <c r="D720" s="41"/>
      <c r="E720" s="41"/>
      <c r="F720" s="41"/>
    </row>
    <row r="721">
      <c r="A721" s="85"/>
      <c r="B721" s="41"/>
      <c r="C721" s="41"/>
      <c r="D721" s="41"/>
      <c r="E721" s="41"/>
      <c r="F721" s="41"/>
    </row>
    <row r="722">
      <c r="A722" s="85"/>
      <c r="B722" s="41"/>
      <c r="C722" s="41"/>
      <c r="D722" s="41"/>
      <c r="E722" s="41"/>
      <c r="F722" s="41"/>
    </row>
    <row r="723">
      <c r="A723" s="85"/>
      <c r="B723" s="41"/>
      <c r="C723" s="41"/>
      <c r="D723" s="41"/>
      <c r="E723" s="41"/>
      <c r="F723" s="41"/>
    </row>
    <row r="724">
      <c r="A724" s="85"/>
      <c r="B724" s="41"/>
      <c r="C724" s="41"/>
      <c r="D724" s="41"/>
      <c r="E724" s="41"/>
      <c r="F724" s="41"/>
    </row>
    <row r="725">
      <c r="A725" s="85"/>
      <c r="B725" s="41"/>
      <c r="C725" s="41"/>
      <c r="D725" s="41"/>
      <c r="E725" s="41"/>
      <c r="F725" s="41"/>
    </row>
    <row r="726">
      <c r="A726" s="85"/>
      <c r="B726" s="41"/>
      <c r="C726" s="41"/>
      <c r="D726" s="41"/>
      <c r="E726" s="41"/>
      <c r="F726" s="41"/>
    </row>
    <row r="727">
      <c r="A727" s="85"/>
      <c r="B727" s="41"/>
      <c r="C727" s="41"/>
      <c r="D727" s="41"/>
      <c r="E727" s="41"/>
      <c r="F727" s="41"/>
    </row>
    <row r="728">
      <c r="A728" s="85"/>
      <c r="B728" s="41"/>
      <c r="C728" s="41"/>
      <c r="D728" s="41"/>
      <c r="E728" s="41"/>
      <c r="F728" s="41"/>
    </row>
    <row r="729">
      <c r="A729" s="85"/>
      <c r="B729" s="41"/>
      <c r="C729" s="41"/>
      <c r="D729" s="41"/>
      <c r="E729" s="41"/>
      <c r="F729" s="41"/>
    </row>
    <row r="730">
      <c r="A730" s="85"/>
      <c r="B730" s="41"/>
      <c r="C730" s="41"/>
      <c r="D730" s="41"/>
      <c r="E730" s="41"/>
      <c r="F730" s="41"/>
    </row>
    <row r="731">
      <c r="A731" s="85"/>
      <c r="B731" s="41"/>
      <c r="C731" s="41"/>
      <c r="D731" s="41"/>
      <c r="E731" s="41"/>
      <c r="F731" s="41"/>
    </row>
    <row r="732">
      <c r="A732" s="85"/>
      <c r="B732" s="41"/>
      <c r="C732" s="41"/>
      <c r="D732" s="41"/>
      <c r="E732" s="41"/>
      <c r="F732" s="41"/>
    </row>
    <row r="733">
      <c r="A733" s="85"/>
      <c r="B733" s="41"/>
      <c r="C733" s="41"/>
      <c r="D733" s="41"/>
      <c r="E733" s="41"/>
      <c r="F733" s="41"/>
    </row>
    <row r="734">
      <c r="A734" s="85"/>
      <c r="B734" s="41"/>
      <c r="C734" s="41"/>
      <c r="D734" s="41"/>
      <c r="E734" s="41"/>
      <c r="F734" s="41"/>
    </row>
    <row r="735">
      <c r="A735" s="85"/>
      <c r="B735" s="41"/>
      <c r="C735" s="41"/>
      <c r="D735" s="41"/>
      <c r="E735" s="41"/>
      <c r="F735" s="41"/>
    </row>
    <row r="736">
      <c r="A736" s="85"/>
      <c r="B736" s="41"/>
      <c r="C736" s="41"/>
      <c r="D736" s="41"/>
      <c r="E736" s="41"/>
      <c r="F736" s="41"/>
    </row>
    <row r="737">
      <c r="A737" s="85"/>
      <c r="B737" s="41"/>
      <c r="C737" s="41"/>
      <c r="D737" s="41"/>
      <c r="E737" s="41"/>
      <c r="F737" s="41"/>
    </row>
    <row r="738">
      <c r="A738" s="85"/>
      <c r="B738" s="41"/>
      <c r="C738" s="41"/>
      <c r="D738" s="41"/>
      <c r="E738" s="41"/>
      <c r="F738" s="41"/>
    </row>
    <row r="739">
      <c r="A739" s="85"/>
      <c r="B739" s="41"/>
      <c r="C739" s="41"/>
      <c r="D739" s="41"/>
      <c r="E739" s="41"/>
      <c r="F739" s="41"/>
    </row>
    <row r="740">
      <c r="A740" s="85"/>
      <c r="B740" s="41"/>
      <c r="C740" s="41"/>
      <c r="D740" s="41"/>
      <c r="E740" s="41"/>
      <c r="F740" s="41"/>
    </row>
    <row r="741">
      <c r="A741" s="85"/>
      <c r="B741" s="41"/>
      <c r="C741" s="41"/>
      <c r="D741" s="41"/>
      <c r="E741" s="41"/>
      <c r="F741" s="41"/>
    </row>
    <row r="742">
      <c r="A742" s="85"/>
      <c r="B742" s="41"/>
      <c r="C742" s="41"/>
      <c r="D742" s="41"/>
      <c r="E742" s="41"/>
      <c r="F742" s="41"/>
    </row>
    <row r="743">
      <c r="A743" s="85"/>
      <c r="B743" s="41"/>
      <c r="C743" s="41"/>
      <c r="D743" s="41"/>
      <c r="E743" s="41"/>
      <c r="F743" s="41"/>
    </row>
    <row r="744">
      <c r="A744" s="85"/>
      <c r="B744" s="41"/>
      <c r="C744" s="41"/>
      <c r="D744" s="41"/>
      <c r="E744" s="41"/>
      <c r="F744" s="41"/>
    </row>
    <row r="745">
      <c r="A745" s="85"/>
      <c r="B745" s="41"/>
      <c r="C745" s="41"/>
      <c r="D745" s="41"/>
      <c r="E745" s="41"/>
      <c r="F745" s="41"/>
    </row>
    <row r="746">
      <c r="A746" s="85"/>
      <c r="B746" s="41"/>
      <c r="C746" s="41"/>
      <c r="D746" s="41"/>
      <c r="E746" s="41"/>
      <c r="F746" s="41"/>
    </row>
    <row r="747">
      <c r="A747" s="85"/>
      <c r="B747" s="41"/>
      <c r="C747" s="41"/>
      <c r="D747" s="41"/>
      <c r="E747" s="41"/>
      <c r="F747" s="41"/>
    </row>
    <row r="748">
      <c r="A748" s="85"/>
      <c r="B748" s="41"/>
      <c r="C748" s="41"/>
      <c r="D748" s="41"/>
      <c r="E748" s="41"/>
      <c r="F748" s="41"/>
    </row>
    <row r="749">
      <c r="A749" s="85"/>
      <c r="B749" s="41"/>
      <c r="C749" s="41"/>
      <c r="D749" s="41"/>
      <c r="E749" s="41"/>
      <c r="F749" s="41"/>
    </row>
    <row r="750">
      <c r="A750" s="85"/>
      <c r="B750" s="41"/>
      <c r="C750" s="41"/>
      <c r="D750" s="41"/>
      <c r="E750" s="41"/>
      <c r="F750" s="41"/>
    </row>
    <row r="751">
      <c r="A751" s="85"/>
      <c r="B751" s="41"/>
      <c r="C751" s="41"/>
      <c r="D751" s="41"/>
      <c r="E751" s="41"/>
      <c r="F751" s="41"/>
    </row>
    <row r="752">
      <c r="A752" s="85"/>
      <c r="B752" s="41"/>
      <c r="C752" s="41"/>
      <c r="D752" s="41"/>
      <c r="E752" s="41"/>
      <c r="F752" s="41"/>
    </row>
    <row r="753">
      <c r="A753" s="85"/>
      <c r="B753" s="41"/>
      <c r="C753" s="41"/>
      <c r="D753" s="41"/>
      <c r="E753" s="41"/>
      <c r="F753" s="41"/>
    </row>
    <row r="754">
      <c r="A754" s="85"/>
      <c r="B754" s="41"/>
      <c r="C754" s="41"/>
      <c r="D754" s="41"/>
      <c r="E754" s="41"/>
      <c r="F754" s="41"/>
    </row>
    <row r="755">
      <c r="A755" s="85"/>
      <c r="B755" s="41"/>
      <c r="C755" s="41"/>
      <c r="D755" s="41"/>
      <c r="E755" s="41"/>
      <c r="F755" s="41"/>
    </row>
    <row r="756">
      <c r="A756" s="85"/>
      <c r="B756" s="41"/>
      <c r="C756" s="41"/>
      <c r="D756" s="41"/>
      <c r="E756" s="41"/>
      <c r="F756" s="41"/>
    </row>
    <row r="757">
      <c r="A757" s="85"/>
      <c r="B757" s="41"/>
      <c r="C757" s="41"/>
      <c r="D757" s="41"/>
      <c r="E757" s="41"/>
      <c r="F757" s="41"/>
    </row>
    <row r="758">
      <c r="A758" s="85"/>
      <c r="B758" s="41"/>
      <c r="C758" s="41"/>
      <c r="D758" s="41"/>
      <c r="E758" s="41"/>
      <c r="F758" s="41"/>
    </row>
    <row r="759">
      <c r="A759" s="85"/>
      <c r="B759" s="41"/>
      <c r="C759" s="41"/>
      <c r="D759" s="41"/>
      <c r="E759" s="41"/>
      <c r="F759" s="41"/>
    </row>
    <row r="760">
      <c r="A760" s="85"/>
      <c r="B760" s="41"/>
      <c r="C760" s="41"/>
      <c r="D760" s="41"/>
      <c r="E760" s="41"/>
      <c r="F760" s="41"/>
    </row>
    <row r="761">
      <c r="A761" s="85"/>
      <c r="B761" s="41"/>
      <c r="C761" s="41"/>
      <c r="D761" s="41"/>
      <c r="E761" s="41"/>
      <c r="F761" s="41"/>
    </row>
    <row r="762">
      <c r="A762" s="85"/>
      <c r="B762" s="41"/>
      <c r="C762" s="41"/>
      <c r="D762" s="41"/>
      <c r="E762" s="41"/>
      <c r="F762" s="41"/>
    </row>
    <row r="763">
      <c r="A763" s="85"/>
      <c r="B763" s="41"/>
      <c r="C763" s="41"/>
      <c r="D763" s="41"/>
      <c r="E763" s="41"/>
      <c r="F763" s="41"/>
    </row>
    <row r="764">
      <c r="A764" s="85"/>
      <c r="B764" s="41"/>
      <c r="C764" s="41"/>
      <c r="D764" s="41"/>
      <c r="E764" s="41"/>
      <c r="F764" s="41"/>
    </row>
    <row r="765">
      <c r="A765" s="85"/>
      <c r="B765" s="41"/>
      <c r="C765" s="41"/>
      <c r="D765" s="41"/>
      <c r="E765" s="41"/>
      <c r="F765" s="41"/>
    </row>
    <row r="766">
      <c r="A766" s="85"/>
      <c r="B766" s="41"/>
      <c r="C766" s="41"/>
      <c r="D766" s="41"/>
      <c r="E766" s="41"/>
      <c r="F766" s="41"/>
    </row>
    <row r="767">
      <c r="A767" s="85"/>
      <c r="B767" s="41"/>
      <c r="C767" s="41"/>
      <c r="D767" s="41"/>
      <c r="E767" s="41"/>
      <c r="F767" s="41"/>
    </row>
    <row r="768">
      <c r="A768" s="85"/>
      <c r="B768" s="41"/>
      <c r="C768" s="41"/>
      <c r="D768" s="41"/>
      <c r="E768" s="41"/>
      <c r="F768" s="41"/>
    </row>
    <row r="769">
      <c r="A769" s="85"/>
      <c r="B769" s="41"/>
      <c r="C769" s="41"/>
      <c r="D769" s="41"/>
      <c r="E769" s="41"/>
      <c r="F769" s="41"/>
    </row>
    <row r="770">
      <c r="A770" s="85"/>
      <c r="B770" s="41"/>
      <c r="C770" s="41"/>
      <c r="D770" s="41"/>
      <c r="E770" s="41"/>
      <c r="F770" s="41"/>
    </row>
    <row r="771">
      <c r="A771" s="85"/>
      <c r="B771" s="41"/>
      <c r="C771" s="41"/>
      <c r="D771" s="41"/>
      <c r="E771" s="41"/>
      <c r="F771" s="41"/>
    </row>
    <row r="772">
      <c r="A772" s="85"/>
      <c r="B772" s="41"/>
      <c r="C772" s="41"/>
      <c r="D772" s="41"/>
      <c r="E772" s="41"/>
      <c r="F772" s="41"/>
    </row>
    <row r="773">
      <c r="A773" s="85"/>
      <c r="B773" s="41"/>
      <c r="C773" s="41"/>
      <c r="D773" s="41"/>
      <c r="E773" s="41"/>
      <c r="F773" s="41"/>
    </row>
    <row r="774">
      <c r="A774" s="85"/>
      <c r="B774" s="41"/>
      <c r="C774" s="41"/>
      <c r="D774" s="41"/>
      <c r="E774" s="41"/>
      <c r="F774" s="41"/>
    </row>
    <row r="775">
      <c r="A775" s="85"/>
      <c r="B775" s="41"/>
      <c r="C775" s="41"/>
      <c r="D775" s="41"/>
      <c r="E775" s="41"/>
      <c r="F775" s="41"/>
    </row>
    <row r="776">
      <c r="A776" s="85"/>
      <c r="B776" s="41"/>
      <c r="C776" s="41"/>
      <c r="D776" s="41"/>
      <c r="E776" s="41"/>
      <c r="F776" s="41"/>
    </row>
    <row r="777">
      <c r="A777" s="85"/>
      <c r="B777" s="41"/>
      <c r="C777" s="41"/>
      <c r="D777" s="41"/>
      <c r="E777" s="41"/>
      <c r="F777" s="41"/>
    </row>
    <row r="778">
      <c r="A778" s="85"/>
      <c r="B778" s="41"/>
      <c r="C778" s="41"/>
      <c r="D778" s="41"/>
      <c r="E778" s="41"/>
      <c r="F778" s="41"/>
    </row>
    <row r="779">
      <c r="A779" s="85"/>
      <c r="B779" s="41"/>
      <c r="C779" s="41"/>
      <c r="D779" s="41"/>
      <c r="E779" s="41"/>
      <c r="F779" s="41"/>
    </row>
    <row r="780">
      <c r="A780" s="85"/>
      <c r="B780" s="41"/>
      <c r="C780" s="41"/>
      <c r="D780" s="41"/>
      <c r="E780" s="41"/>
      <c r="F780" s="41"/>
    </row>
    <row r="781">
      <c r="A781" s="85"/>
      <c r="B781" s="41"/>
      <c r="C781" s="41"/>
      <c r="D781" s="41"/>
      <c r="E781" s="41"/>
      <c r="F781" s="41"/>
    </row>
    <row r="782">
      <c r="A782" s="85"/>
      <c r="B782" s="41"/>
      <c r="C782" s="41"/>
      <c r="D782" s="41"/>
      <c r="E782" s="41"/>
      <c r="F782" s="41"/>
    </row>
    <row r="783">
      <c r="A783" s="85"/>
      <c r="B783" s="41"/>
      <c r="C783" s="41"/>
      <c r="D783" s="41"/>
      <c r="E783" s="41"/>
      <c r="F783" s="41"/>
    </row>
    <row r="784">
      <c r="A784" s="85"/>
      <c r="B784" s="41"/>
      <c r="C784" s="41"/>
      <c r="D784" s="41"/>
      <c r="E784" s="41"/>
      <c r="F784" s="41"/>
    </row>
    <row r="785">
      <c r="A785" s="85"/>
      <c r="B785" s="41"/>
      <c r="C785" s="41"/>
      <c r="D785" s="41"/>
      <c r="E785" s="41"/>
      <c r="F785" s="41"/>
    </row>
    <row r="786">
      <c r="A786" s="85"/>
      <c r="B786" s="41"/>
      <c r="C786" s="41"/>
      <c r="D786" s="41"/>
      <c r="E786" s="41"/>
      <c r="F786" s="41"/>
    </row>
    <row r="787">
      <c r="A787" s="85"/>
      <c r="B787" s="41"/>
      <c r="C787" s="41"/>
      <c r="D787" s="41"/>
      <c r="E787" s="41"/>
      <c r="F787" s="41"/>
    </row>
    <row r="788">
      <c r="A788" s="85"/>
      <c r="B788" s="41"/>
      <c r="C788" s="41"/>
      <c r="D788" s="41"/>
      <c r="E788" s="41"/>
      <c r="F788" s="41"/>
    </row>
    <row r="789">
      <c r="A789" s="85"/>
      <c r="B789" s="41"/>
      <c r="C789" s="41"/>
      <c r="D789" s="41"/>
      <c r="E789" s="41"/>
      <c r="F789" s="41"/>
    </row>
    <row r="790">
      <c r="A790" s="85"/>
      <c r="B790" s="41"/>
      <c r="C790" s="41"/>
      <c r="D790" s="41"/>
      <c r="E790" s="41"/>
      <c r="F790" s="41"/>
    </row>
    <row r="791">
      <c r="A791" s="85"/>
      <c r="B791" s="41"/>
      <c r="C791" s="41"/>
      <c r="D791" s="41"/>
      <c r="E791" s="41"/>
      <c r="F791" s="41"/>
    </row>
    <row r="792">
      <c r="A792" s="85"/>
      <c r="B792" s="41"/>
      <c r="C792" s="41"/>
      <c r="D792" s="41"/>
      <c r="E792" s="41"/>
      <c r="F792" s="41"/>
    </row>
    <row r="793">
      <c r="A793" s="85"/>
      <c r="B793" s="41"/>
      <c r="C793" s="41"/>
      <c r="D793" s="41"/>
      <c r="E793" s="41"/>
      <c r="F793" s="41"/>
    </row>
    <row r="794">
      <c r="A794" s="85"/>
      <c r="B794" s="41"/>
      <c r="C794" s="41"/>
      <c r="D794" s="41"/>
      <c r="E794" s="41"/>
      <c r="F794" s="41"/>
    </row>
    <row r="795">
      <c r="A795" s="85"/>
      <c r="B795" s="41"/>
      <c r="C795" s="41"/>
      <c r="D795" s="41"/>
      <c r="E795" s="41"/>
      <c r="F795" s="41"/>
    </row>
    <row r="796">
      <c r="A796" s="85"/>
      <c r="B796" s="41"/>
      <c r="C796" s="41"/>
      <c r="D796" s="41"/>
      <c r="E796" s="41"/>
      <c r="F796" s="41"/>
    </row>
    <row r="797">
      <c r="A797" s="85"/>
      <c r="B797" s="41"/>
      <c r="C797" s="41"/>
      <c r="D797" s="41"/>
      <c r="E797" s="41"/>
      <c r="F797" s="41"/>
    </row>
    <row r="798">
      <c r="A798" s="85"/>
      <c r="B798" s="41"/>
      <c r="C798" s="41"/>
      <c r="D798" s="41"/>
      <c r="E798" s="41"/>
      <c r="F798" s="41"/>
    </row>
    <row r="799">
      <c r="A799" s="85"/>
      <c r="B799" s="41"/>
      <c r="C799" s="41"/>
      <c r="D799" s="41"/>
      <c r="E799" s="41"/>
      <c r="F799" s="41"/>
    </row>
    <row r="800">
      <c r="A800" s="85"/>
      <c r="B800" s="41"/>
      <c r="C800" s="41"/>
      <c r="D800" s="41"/>
      <c r="E800" s="41"/>
      <c r="F800" s="41"/>
    </row>
    <row r="801">
      <c r="A801" s="85"/>
      <c r="B801" s="41"/>
      <c r="C801" s="41"/>
      <c r="D801" s="41"/>
      <c r="E801" s="41"/>
      <c r="F801" s="41"/>
    </row>
    <row r="802">
      <c r="A802" s="85"/>
      <c r="B802" s="41"/>
      <c r="C802" s="41"/>
      <c r="D802" s="41"/>
      <c r="E802" s="41"/>
      <c r="F802" s="41"/>
    </row>
    <row r="803">
      <c r="A803" s="85"/>
      <c r="B803" s="41"/>
      <c r="C803" s="41"/>
      <c r="D803" s="41"/>
      <c r="E803" s="41"/>
      <c r="F803" s="41"/>
    </row>
    <row r="804">
      <c r="A804" s="85"/>
      <c r="B804" s="41"/>
      <c r="C804" s="41"/>
      <c r="D804" s="41"/>
      <c r="E804" s="41"/>
      <c r="F804" s="41"/>
    </row>
    <row r="805">
      <c r="A805" s="85"/>
      <c r="B805" s="41"/>
      <c r="C805" s="41"/>
      <c r="D805" s="41"/>
      <c r="E805" s="41"/>
      <c r="F805" s="41"/>
    </row>
    <row r="806">
      <c r="A806" s="85"/>
      <c r="B806" s="41"/>
      <c r="C806" s="41"/>
      <c r="D806" s="41"/>
      <c r="E806" s="41"/>
      <c r="F806" s="41"/>
    </row>
    <row r="807">
      <c r="A807" s="85"/>
      <c r="B807" s="41"/>
      <c r="C807" s="41"/>
      <c r="D807" s="41"/>
      <c r="E807" s="41"/>
      <c r="F807" s="41"/>
    </row>
    <row r="808">
      <c r="A808" s="85"/>
      <c r="B808" s="41"/>
      <c r="C808" s="41"/>
      <c r="D808" s="41"/>
      <c r="E808" s="41"/>
      <c r="F808" s="41"/>
    </row>
    <row r="809">
      <c r="A809" s="85"/>
      <c r="B809" s="41"/>
      <c r="C809" s="41"/>
      <c r="D809" s="41"/>
      <c r="E809" s="41"/>
      <c r="F809" s="41"/>
    </row>
    <row r="810">
      <c r="A810" s="85"/>
      <c r="B810" s="41"/>
      <c r="C810" s="41"/>
      <c r="D810" s="41"/>
      <c r="E810" s="41"/>
      <c r="F810" s="41"/>
    </row>
    <row r="811">
      <c r="A811" s="85"/>
      <c r="B811" s="41"/>
      <c r="C811" s="41"/>
      <c r="D811" s="41"/>
      <c r="E811" s="41"/>
      <c r="F811" s="41"/>
    </row>
    <row r="812">
      <c r="A812" s="85"/>
      <c r="B812" s="41"/>
      <c r="C812" s="41"/>
      <c r="D812" s="41"/>
      <c r="E812" s="41"/>
      <c r="F812" s="41"/>
    </row>
    <row r="813">
      <c r="A813" s="85"/>
      <c r="B813" s="41"/>
      <c r="C813" s="41"/>
      <c r="D813" s="41"/>
      <c r="E813" s="41"/>
      <c r="F813" s="41"/>
    </row>
    <row r="814">
      <c r="A814" s="85"/>
      <c r="B814" s="41"/>
      <c r="C814" s="41"/>
      <c r="D814" s="41"/>
      <c r="E814" s="41"/>
      <c r="F814" s="41"/>
    </row>
    <row r="815">
      <c r="A815" s="85"/>
      <c r="B815" s="41"/>
      <c r="C815" s="41"/>
      <c r="D815" s="41"/>
      <c r="E815" s="41"/>
      <c r="F815" s="41"/>
    </row>
    <row r="816">
      <c r="A816" s="85"/>
      <c r="B816" s="41"/>
      <c r="C816" s="41"/>
      <c r="D816" s="41"/>
      <c r="E816" s="41"/>
      <c r="F816" s="41"/>
    </row>
    <row r="817">
      <c r="A817" s="85"/>
      <c r="B817" s="41"/>
      <c r="C817" s="41"/>
      <c r="D817" s="41"/>
      <c r="E817" s="41"/>
      <c r="F817" s="41"/>
    </row>
    <row r="818">
      <c r="A818" s="85"/>
      <c r="B818" s="41"/>
      <c r="C818" s="41"/>
      <c r="D818" s="41"/>
      <c r="E818" s="41"/>
      <c r="F818" s="41"/>
    </row>
    <row r="819">
      <c r="A819" s="85"/>
      <c r="B819" s="41"/>
      <c r="C819" s="41"/>
      <c r="D819" s="41"/>
      <c r="E819" s="41"/>
      <c r="F819" s="41"/>
    </row>
    <row r="820">
      <c r="A820" s="85"/>
      <c r="B820" s="41"/>
      <c r="C820" s="41"/>
      <c r="D820" s="41"/>
      <c r="E820" s="41"/>
      <c r="F820" s="41"/>
    </row>
    <row r="821">
      <c r="A821" s="85"/>
      <c r="B821" s="41"/>
      <c r="C821" s="41"/>
      <c r="D821" s="41"/>
      <c r="E821" s="41"/>
      <c r="F821" s="41"/>
    </row>
    <row r="822">
      <c r="A822" s="85"/>
      <c r="B822" s="41"/>
      <c r="C822" s="41"/>
      <c r="D822" s="41"/>
      <c r="E822" s="41"/>
      <c r="F822" s="41"/>
    </row>
    <row r="823">
      <c r="A823" s="85"/>
      <c r="B823" s="41"/>
      <c r="C823" s="41"/>
      <c r="D823" s="41"/>
      <c r="E823" s="41"/>
      <c r="F823" s="41"/>
    </row>
    <row r="824">
      <c r="A824" s="85"/>
      <c r="B824" s="41"/>
      <c r="C824" s="41"/>
      <c r="D824" s="41"/>
      <c r="E824" s="41"/>
      <c r="F824" s="41"/>
    </row>
    <row r="825">
      <c r="A825" s="85"/>
      <c r="B825" s="41"/>
      <c r="C825" s="41"/>
      <c r="D825" s="41"/>
      <c r="E825" s="41"/>
      <c r="F825" s="41"/>
    </row>
    <row r="826">
      <c r="A826" s="85"/>
      <c r="B826" s="41"/>
      <c r="C826" s="41"/>
      <c r="D826" s="41"/>
      <c r="E826" s="41"/>
      <c r="F826" s="41"/>
    </row>
    <row r="827">
      <c r="A827" s="85"/>
      <c r="B827" s="41"/>
      <c r="C827" s="41"/>
      <c r="D827" s="41"/>
      <c r="E827" s="41"/>
      <c r="F827" s="41"/>
    </row>
    <row r="828">
      <c r="A828" s="85"/>
      <c r="B828" s="41"/>
      <c r="C828" s="41"/>
      <c r="D828" s="41"/>
      <c r="E828" s="41"/>
      <c r="F828" s="41"/>
    </row>
    <row r="829">
      <c r="A829" s="85"/>
      <c r="B829" s="41"/>
      <c r="C829" s="41"/>
      <c r="D829" s="41"/>
      <c r="E829" s="41"/>
      <c r="F829" s="41"/>
    </row>
    <row r="830">
      <c r="A830" s="85"/>
      <c r="B830" s="41"/>
      <c r="C830" s="41"/>
      <c r="D830" s="41"/>
      <c r="E830" s="41"/>
      <c r="F830" s="41"/>
    </row>
    <row r="831">
      <c r="A831" s="85"/>
      <c r="B831" s="41"/>
      <c r="C831" s="41"/>
      <c r="D831" s="41"/>
      <c r="E831" s="41"/>
      <c r="F831" s="41"/>
    </row>
    <row r="832">
      <c r="A832" s="85"/>
      <c r="B832" s="41"/>
      <c r="C832" s="41"/>
      <c r="D832" s="41"/>
      <c r="E832" s="41"/>
      <c r="F832" s="41"/>
    </row>
    <row r="833">
      <c r="A833" s="85"/>
      <c r="B833" s="41"/>
      <c r="C833" s="41"/>
      <c r="D833" s="41"/>
      <c r="E833" s="41"/>
      <c r="F833" s="41"/>
    </row>
    <row r="834">
      <c r="A834" s="85"/>
      <c r="B834" s="41"/>
      <c r="C834" s="41"/>
      <c r="D834" s="41"/>
      <c r="E834" s="41"/>
      <c r="F834" s="41"/>
    </row>
    <row r="835">
      <c r="A835" s="85"/>
      <c r="B835" s="41"/>
      <c r="C835" s="41"/>
      <c r="D835" s="41"/>
      <c r="E835" s="41"/>
      <c r="F835" s="41"/>
    </row>
    <row r="836">
      <c r="A836" s="85"/>
      <c r="B836" s="41"/>
      <c r="C836" s="41"/>
      <c r="D836" s="41"/>
      <c r="E836" s="41"/>
      <c r="F836" s="41"/>
    </row>
    <row r="837">
      <c r="A837" s="85"/>
      <c r="B837" s="41"/>
      <c r="C837" s="41"/>
      <c r="D837" s="41"/>
      <c r="E837" s="41"/>
      <c r="F837" s="41"/>
    </row>
    <row r="838">
      <c r="A838" s="85"/>
      <c r="B838" s="41"/>
      <c r="C838" s="41"/>
      <c r="D838" s="41"/>
      <c r="E838" s="41"/>
      <c r="F838" s="41"/>
    </row>
    <row r="839">
      <c r="A839" s="85"/>
      <c r="B839" s="41"/>
      <c r="C839" s="41"/>
      <c r="D839" s="41"/>
      <c r="E839" s="41"/>
      <c r="F839" s="41"/>
    </row>
    <row r="840">
      <c r="A840" s="85"/>
      <c r="B840" s="41"/>
      <c r="C840" s="41"/>
      <c r="D840" s="41"/>
      <c r="E840" s="41"/>
      <c r="F840" s="41"/>
    </row>
    <row r="841">
      <c r="A841" s="85"/>
      <c r="B841" s="41"/>
      <c r="C841" s="41"/>
      <c r="D841" s="41"/>
      <c r="E841" s="41"/>
      <c r="F841" s="41"/>
    </row>
    <row r="842">
      <c r="A842" s="85"/>
      <c r="B842" s="41"/>
      <c r="C842" s="41"/>
      <c r="D842" s="41"/>
      <c r="E842" s="41"/>
      <c r="F842" s="41"/>
    </row>
    <row r="843">
      <c r="A843" s="85"/>
      <c r="B843" s="41"/>
      <c r="C843" s="41"/>
      <c r="D843" s="41"/>
      <c r="E843" s="41"/>
      <c r="F843" s="41"/>
    </row>
    <row r="844">
      <c r="A844" s="85"/>
      <c r="B844" s="41"/>
      <c r="C844" s="41"/>
      <c r="D844" s="41"/>
      <c r="E844" s="41"/>
      <c r="F844" s="41"/>
    </row>
    <row r="845">
      <c r="A845" s="85"/>
      <c r="B845" s="41"/>
      <c r="C845" s="41"/>
      <c r="D845" s="41"/>
      <c r="E845" s="41"/>
      <c r="F845" s="41"/>
    </row>
    <row r="846">
      <c r="A846" s="85"/>
      <c r="B846" s="41"/>
      <c r="C846" s="41"/>
      <c r="D846" s="41"/>
      <c r="E846" s="41"/>
      <c r="F846" s="41"/>
    </row>
    <row r="847">
      <c r="A847" s="85"/>
      <c r="B847" s="41"/>
      <c r="C847" s="41"/>
      <c r="D847" s="41"/>
      <c r="E847" s="41"/>
      <c r="F847" s="41"/>
    </row>
    <row r="848">
      <c r="A848" s="85"/>
      <c r="B848" s="41"/>
      <c r="C848" s="41"/>
      <c r="D848" s="41"/>
      <c r="E848" s="41"/>
      <c r="F848" s="41"/>
    </row>
    <row r="849">
      <c r="A849" s="85"/>
      <c r="B849" s="41"/>
      <c r="C849" s="41"/>
      <c r="D849" s="41"/>
      <c r="E849" s="41"/>
      <c r="F849" s="41"/>
    </row>
    <row r="850">
      <c r="A850" s="85"/>
      <c r="B850" s="41"/>
      <c r="C850" s="41"/>
      <c r="D850" s="41"/>
      <c r="E850" s="41"/>
      <c r="F850" s="41"/>
    </row>
    <row r="851">
      <c r="A851" s="85"/>
      <c r="B851" s="41"/>
      <c r="C851" s="41"/>
      <c r="D851" s="41"/>
      <c r="E851" s="41"/>
      <c r="F851" s="41"/>
    </row>
    <row r="852">
      <c r="A852" s="85"/>
      <c r="B852" s="41"/>
      <c r="C852" s="41"/>
      <c r="D852" s="41"/>
      <c r="E852" s="41"/>
      <c r="F852" s="41"/>
    </row>
    <row r="853">
      <c r="A853" s="85"/>
      <c r="B853" s="41"/>
      <c r="C853" s="41"/>
      <c r="D853" s="41"/>
      <c r="E853" s="41"/>
      <c r="F853" s="41"/>
    </row>
    <row r="854">
      <c r="A854" s="85"/>
      <c r="B854" s="41"/>
      <c r="C854" s="41"/>
      <c r="D854" s="41"/>
      <c r="E854" s="41"/>
      <c r="F854" s="41"/>
    </row>
    <row r="855">
      <c r="A855" s="85"/>
      <c r="B855" s="41"/>
      <c r="C855" s="41"/>
      <c r="D855" s="41"/>
      <c r="E855" s="41"/>
      <c r="F855" s="41"/>
    </row>
    <row r="856">
      <c r="A856" s="85"/>
      <c r="B856" s="41"/>
      <c r="C856" s="41"/>
      <c r="D856" s="41"/>
      <c r="E856" s="41"/>
      <c r="F856" s="41"/>
    </row>
    <row r="857">
      <c r="A857" s="85"/>
      <c r="B857" s="41"/>
      <c r="C857" s="41"/>
      <c r="D857" s="41"/>
      <c r="E857" s="41"/>
      <c r="F857" s="41"/>
    </row>
    <row r="858">
      <c r="A858" s="85"/>
      <c r="B858" s="41"/>
      <c r="C858" s="41"/>
      <c r="D858" s="41"/>
      <c r="E858" s="41"/>
      <c r="F858" s="41"/>
    </row>
    <row r="859">
      <c r="A859" s="85"/>
      <c r="B859" s="41"/>
      <c r="C859" s="41"/>
      <c r="D859" s="41"/>
      <c r="E859" s="41"/>
      <c r="F859" s="41"/>
    </row>
    <row r="860">
      <c r="A860" s="85"/>
      <c r="B860" s="41"/>
      <c r="C860" s="41"/>
      <c r="D860" s="41"/>
      <c r="E860" s="41"/>
      <c r="F860" s="41"/>
    </row>
    <row r="861">
      <c r="A861" s="85"/>
      <c r="B861" s="41"/>
      <c r="C861" s="41"/>
      <c r="D861" s="41"/>
      <c r="E861" s="41"/>
      <c r="F861" s="41"/>
    </row>
    <row r="862">
      <c r="A862" s="85"/>
      <c r="B862" s="41"/>
      <c r="C862" s="41"/>
      <c r="D862" s="41"/>
      <c r="E862" s="41"/>
      <c r="F862" s="41"/>
    </row>
    <row r="863">
      <c r="A863" s="85"/>
      <c r="B863" s="41"/>
      <c r="C863" s="41"/>
      <c r="D863" s="41"/>
      <c r="E863" s="41"/>
      <c r="F863" s="41"/>
    </row>
    <row r="864">
      <c r="A864" s="85"/>
      <c r="B864" s="41"/>
      <c r="C864" s="41"/>
      <c r="D864" s="41"/>
      <c r="E864" s="41"/>
      <c r="F864" s="41"/>
    </row>
    <row r="865">
      <c r="A865" s="85"/>
      <c r="B865" s="41"/>
      <c r="C865" s="41"/>
      <c r="D865" s="41"/>
      <c r="E865" s="41"/>
      <c r="F865" s="41"/>
    </row>
    <row r="866">
      <c r="A866" s="85"/>
      <c r="B866" s="41"/>
      <c r="C866" s="41"/>
      <c r="D866" s="41"/>
      <c r="E866" s="41"/>
      <c r="F866" s="41"/>
    </row>
    <row r="867">
      <c r="A867" s="85"/>
      <c r="B867" s="41"/>
      <c r="C867" s="41"/>
      <c r="D867" s="41"/>
      <c r="E867" s="41"/>
      <c r="F867" s="41"/>
    </row>
    <row r="868">
      <c r="A868" s="85"/>
      <c r="B868" s="41"/>
      <c r="C868" s="41"/>
      <c r="D868" s="41"/>
      <c r="E868" s="41"/>
      <c r="F868" s="41"/>
    </row>
    <row r="869">
      <c r="A869" s="85"/>
      <c r="B869" s="41"/>
      <c r="C869" s="41"/>
      <c r="D869" s="41"/>
      <c r="E869" s="41"/>
      <c r="F869" s="41"/>
    </row>
    <row r="870">
      <c r="A870" s="85"/>
      <c r="B870" s="41"/>
      <c r="C870" s="41"/>
      <c r="D870" s="41"/>
      <c r="E870" s="41"/>
      <c r="F870" s="41"/>
    </row>
    <row r="871">
      <c r="A871" s="85"/>
      <c r="B871" s="41"/>
      <c r="C871" s="41"/>
      <c r="D871" s="41"/>
      <c r="E871" s="41"/>
      <c r="F871" s="41"/>
    </row>
    <row r="872">
      <c r="A872" s="85"/>
      <c r="B872" s="41"/>
      <c r="C872" s="41"/>
      <c r="D872" s="41"/>
      <c r="E872" s="41"/>
      <c r="F872" s="41"/>
    </row>
    <row r="873">
      <c r="A873" s="85"/>
      <c r="B873" s="41"/>
      <c r="C873" s="41"/>
      <c r="D873" s="41"/>
      <c r="E873" s="41"/>
      <c r="F873" s="41"/>
    </row>
    <row r="874">
      <c r="A874" s="85"/>
      <c r="B874" s="41"/>
      <c r="C874" s="41"/>
      <c r="D874" s="41"/>
      <c r="E874" s="41"/>
      <c r="F874" s="41"/>
    </row>
    <row r="875">
      <c r="A875" s="85"/>
      <c r="B875" s="41"/>
      <c r="C875" s="41"/>
      <c r="D875" s="41"/>
      <c r="E875" s="41"/>
      <c r="F875" s="41"/>
    </row>
    <row r="876">
      <c r="A876" s="85"/>
      <c r="B876" s="41"/>
      <c r="C876" s="41"/>
      <c r="D876" s="41"/>
      <c r="E876" s="41"/>
      <c r="F876" s="41"/>
    </row>
    <row r="877">
      <c r="A877" s="85"/>
      <c r="B877" s="41"/>
      <c r="C877" s="41"/>
      <c r="D877" s="41"/>
      <c r="E877" s="41"/>
      <c r="F877" s="41"/>
    </row>
    <row r="878">
      <c r="A878" s="85"/>
      <c r="B878" s="41"/>
      <c r="C878" s="41"/>
      <c r="D878" s="41"/>
      <c r="E878" s="41"/>
      <c r="F878" s="41"/>
    </row>
    <row r="879">
      <c r="A879" s="85"/>
      <c r="B879" s="41"/>
      <c r="C879" s="41"/>
      <c r="D879" s="41"/>
      <c r="E879" s="41"/>
      <c r="F879" s="41"/>
    </row>
    <row r="880">
      <c r="A880" s="85"/>
      <c r="B880" s="41"/>
      <c r="C880" s="41"/>
      <c r="D880" s="41"/>
      <c r="E880" s="41"/>
      <c r="F880" s="41"/>
    </row>
    <row r="881">
      <c r="A881" s="85"/>
      <c r="B881" s="41"/>
      <c r="C881" s="41"/>
      <c r="D881" s="41"/>
      <c r="E881" s="41"/>
      <c r="F881" s="41"/>
    </row>
    <row r="882">
      <c r="A882" s="85"/>
      <c r="B882" s="41"/>
      <c r="C882" s="41"/>
      <c r="D882" s="41"/>
      <c r="E882" s="41"/>
      <c r="F882" s="41"/>
    </row>
    <row r="883">
      <c r="A883" s="85"/>
      <c r="B883" s="41"/>
      <c r="C883" s="41"/>
      <c r="D883" s="41"/>
      <c r="E883" s="41"/>
      <c r="F883" s="41"/>
    </row>
    <row r="884">
      <c r="A884" s="85"/>
      <c r="B884" s="41"/>
      <c r="C884" s="41"/>
      <c r="D884" s="41"/>
      <c r="E884" s="41"/>
      <c r="F884" s="41"/>
    </row>
    <row r="885">
      <c r="A885" s="85"/>
      <c r="B885" s="41"/>
      <c r="C885" s="41"/>
      <c r="D885" s="41"/>
      <c r="E885" s="41"/>
      <c r="F885" s="41"/>
    </row>
    <row r="886">
      <c r="A886" s="85"/>
      <c r="B886" s="41"/>
      <c r="C886" s="41"/>
      <c r="D886" s="41"/>
      <c r="E886" s="41"/>
      <c r="F886" s="41"/>
    </row>
    <row r="887">
      <c r="A887" s="85"/>
      <c r="B887" s="41"/>
      <c r="C887" s="41"/>
      <c r="D887" s="41"/>
      <c r="E887" s="41"/>
      <c r="F887" s="41"/>
    </row>
    <row r="888">
      <c r="A888" s="85"/>
      <c r="B888" s="41"/>
      <c r="C888" s="41"/>
      <c r="D888" s="41"/>
      <c r="E888" s="41"/>
      <c r="F888" s="41"/>
    </row>
    <row r="889">
      <c r="A889" s="85"/>
      <c r="B889" s="41"/>
      <c r="C889" s="41"/>
      <c r="D889" s="41"/>
      <c r="E889" s="41"/>
      <c r="F889" s="41"/>
    </row>
    <row r="890">
      <c r="A890" s="85"/>
      <c r="B890" s="41"/>
      <c r="C890" s="41"/>
      <c r="D890" s="41"/>
      <c r="E890" s="41"/>
      <c r="F890" s="41"/>
    </row>
    <row r="891">
      <c r="A891" s="85"/>
      <c r="B891" s="41"/>
      <c r="C891" s="41"/>
      <c r="D891" s="41"/>
      <c r="E891" s="41"/>
      <c r="F891" s="41"/>
    </row>
    <row r="892">
      <c r="A892" s="85"/>
      <c r="B892" s="41"/>
      <c r="C892" s="41"/>
      <c r="D892" s="41"/>
      <c r="E892" s="41"/>
      <c r="F892" s="41"/>
    </row>
    <row r="893">
      <c r="A893" s="85"/>
      <c r="B893" s="41"/>
      <c r="C893" s="41"/>
      <c r="D893" s="41"/>
      <c r="E893" s="41"/>
      <c r="F893" s="41"/>
    </row>
    <row r="894">
      <c r="A894" s="85"/>
      <c r="B894" s="41"/>
      <c r="C894" s="41"/>
      <c r="D894" s="41"/>
      <c r="E894" s="41"/>
      <c r="F894" s="41"/>
    </row>
    <row r="895">
      <c r="A895" s="85"/>
      <c r="B895" s="41"/>
      <c r="C895" s="41"/>
      <c r="D895" s="41"/>
      <c r="E895" s="41"/>
      <c r="F895" s="41"/>
    </row>
    <row r="896">
      <c r="A896" s="85"/>
      <c r="B896" s="41"/>
      <c r="C896" s="41"/>
      <c r="D896" s="41"/>
      <c r="E896" s="41"/>
      <c r="F896" s="41"/>
    </row>
    <row r="897">
      <c r="A897" s="85"/>
      <c r="B897" s="41"/>
      <c r="C897" s="41"/>
      <c r="D897" s="41"/>
      <c r="E897" s="41"/>
      <c r="F897" s="41"/>
    </row>
    <row r="898">
      <c r="A898" s="85"/>
      <c r="B898" s="41"/>
      <c r="C898" s="41"/>
      <c r="D898" s="41"/>
      <c r="E898" s="41"/>
      <c r="F898" s="41"/>
    </row>
    <row r="899">
      <c r="A899" s="85"/>
      <c r="B899" s="41"/>
      <c r="C899" s="41"/>
      <c r="D899" s="41"/>
      <c r="E899" s="41"/>
      <c r="F899" s="41"/>
    </row>
    <row r="900">
      <c r="A900" s="85"/>
      <c r="B900" s="41"/>
      <c r="C900" s="41"/>
      <c r="D900" s="41"/>
      <c r="E900" s="41"/>
      <c r="F900" s="41"/>
    </row>
    <row r="901">
      <c r="A901" s="85"/>
      <c r="B901" s="41"/>
      <c r="C901" s="41"/>
      <c r="D901" s="41"/>
      <c r="E901" s="41"/>
      <c r="F901" s="41"/>
    </row>
    <row r="902">
      <c r="A902" s="85"/>
      <c r="B902" s="41"/>
      <c r="C902" s="41"/>
      <c r="D902" s="41"/>
      <c r="E902" s="41"/>
      <c r="F902" s="41"/>
    </row>
    <row r="903">
      <c r="A903" s="85"/>
      <c r="B903" s="41"/>
      <c r="C903" s="41"/>
      <c r="D903" s="41"/>
      <c r="E903" s="41"/>
      <c r="F903" s="41"/>
    </row>
    <row r="904">
      <c r="A904" s="85"/>
      <c r="B904" s="41"/>
      <c r="C904" s="41"/>
      <c r="D904" s="41"/>
      <c r="E904" s="41"/>
      <c r="F904" s="41"/>
    </row>
    <row r="905">
      <c r="A905" s="85"/>
      <c r="B905" s="41"/>
      <c r="C905" s="41"/>
      <c r="D905" s="41"/>
      <c r="E905" s="41"/>
      <c r="F905" s="41"/>
    </row>
    <row r="906">
      <c r="A906" s="85"/>
      <c r="B906" s="41"/>
      <c r="C906" s="41"/>
      <c r="D906" s="41"/>
      <c r="E906" s="41"/>
      <c r="F906" s="41"/>
    </row>
    <row r="907">
      <c r="A907" s="85"/>
      <c r="B907" s="41"/>
      <c r="C907" s="41"/>
      <c r="D907" s="41"/>
      <c r="E907" s="41"/>
      <c r="F907" s="41"/>
    </row>
    <row r="908">
      <c r="A908" s="85"/>
      <c r="B908" s="41"/>
      <c r="C908" s="41"/>
      <c r="D908" s="41"/>
      <c r="E908" s="41"/>
      <c r="F908" s="41"/>
    </row>
    <row r="909">
      <c r="A909" s="85"/>
      <c r="B909" s="41"/>
      <c r="C909" s="41"/>
      <c r="D909" s="41"/>
      <c r="E909" s="41"/>
      <c r="F909" s="41"/>
    </row>
    <row r="910">
      <c r="A910" s="85"/>
      <c r="B910" s="41"/>
      <c r="C910" s="41"/>
      <c r="D910" s="41"/>
      <c r="E910" s="41"/>
      <c r="F910" s="41"/>
    </row>
    <row r="911">
      <c r="A911" s="85"/>
      <c r="B911" s="41"/>
      <c r="C911" s="41"/>
      <c r="D911" s="41"/>
      <c r="E911" s="41"/>
      <c r="F911" s="41"/>
    </row>
    <row r="912">
      <c r="A912" s="85"/>
      <c r="B912" s="41"/>
      <c r="C912" s="41"/>
      <c r="D912" s="41"/>
      <c r="E912" s="41"/>
      <c r="F912" s="41"/>
    </row>
    <row r="913">
      <c r="A913" s="85"/>
      <c r="B913" s="41"/>
      <c r="C913" s="41"/>
      <c r="D913" s="41"/>
      <c r="E913" s="41"/>
      <c r="F913" s="41"/>
    </row>
    <row r="914">
      <c r="A914" s="85"/>
      <c r="B914" s="41"/>
      <c r="C914" s="41"/>
      <c r="D914" s="41"/>
      <c r="E914" s="41"/>
      <c r="F914" s="41"/>
    </row>
    <row r="915">
      <c r="A915" s="85"/>
      <c r="B915" s="41"/>
      <c r="C915" s="41"/>
      <c r="D915" s="41"/>
      <c r="E915" s="41"/>
      <c r="F915" s="41"/>
    </row>
    <row r="916">
      <c r="A916" s="85"/>
      <c r="B916" s="41"/>
      <c r="C916" s="41"/>
      <c r="D916" s="41"/>
      <c r="E916" s="41"/>
      <c r="F916" s="41"/>
    </row>
    <row r="917">
      <c r="A917" s="85"/>
      <c r="B917" s="41"/>
      <c r="C917" s="41"/>
      <c r="D917" s="41"/>
      <c r="E917" s="41"/>
      <c r="F917" s="41"/>
    </row>
    <row r="918">
      <c r="A918" s="85"/>
      <c r="B918" s="41"/>
      <c r="C918" s="41"/>
      <c r="D918" s="41"/>
      <c r="E918" s="41"/>
      <c r="F918" s="41"/>
    </row>
    <row r="919">
      <c r="A919" s="85"/>
      <c r="B919" s="41"/>
      <c r="C919" s="41"/>
      <c r="D919" s="41"/>
      <c r="E919" s="41"/>
      <c r="F919" s="41"/>
    </row>
    <row r="920">
      <c r="A920" s="85"/>
      <c r="B920" s="41"/>
      <c r="C920" s="41"/>
      <c r="D920" s="41"/>
      <c r="E920" s="41"/>
      <c r="F920" s="41"/>
    </row>
    <row r="921">
      <c r="A921" s="85"/>
      <c r="B921" s="41"/>
      <c r="C921" s="41"/>
      <c r="D921" s="41"/>
      <c r="E921" s="41"/>
      <c r="F921" s="41"/>
    </row>
    <row r="922">
      <c r="A922" s="85"/>
      <c r="B922" s="41"/>
      <c r="C922" s="41"/>
      <c r="D922" s="41"/>
      <c r="E922" s="41"/>
      <c r="F922" s="41"/>
    </row>
    <row r="923">
      <c r="A923" s="85"/>
      <c r="B923" s="41"/>
      <c r="C923" s="41"/>
      <c r="D923" s="41"/>
      <c r="E923" s="41"/>
      <c r="F923" s="41"/>
    </row>
    <row r="924">
      <c r="A924" s="85"/>
      <c r="B924" s="41"/>
      <c r="C924" s="41"/>
      <c r="D924" s="41"/>
      <c r="E924" s="41"/>
      <c r="F924" s="41"/>
    </row>
    <row r="925">
      <c r="A925" s="85"/>
      <c r="B925" s="41"/>
      <c r="C925" s="41"/>
      <c r="D925" s="41"/>
      <c r="E925" s="41"/>
      <c r="F925" s="41"/>
    </row>
    <row r="926">
      <c r="A926" s="85"/>
      <c r="B926" s="41"/>
      <c r="C926" s="41"/>
      <c r="D926" s="41"/>
      <c r="E926" s="41"/>
      <c r="F926" s="41"/>
    </row>
    <row r="927">
      <c r="A927" s="85"/>
      <c r="B927" s="41"/>
      <c r="C927" s="41"/>
      <c r="D927" s="41"/>
      <c r="E927" s="41"/>
      <c r="F927" s="41"/>
    </row>
    <row r="928">
      <c r="A928" s="85"/>
      <c r="B928" s="41"/>
      <c r="C928" s="41"/>
      <c r="D928" s="41"/>
      <c r="E928" s="41"/>
      <c r="F928" s="41"/>
    </row>
    <row r="929">
      <c r="A929" s="85"/>
      <c r="B929" s="41"/>
      <c r="C929" s="41"/>
      <c r="D929" s="41"/>
      <c r="E929" s="41"/>
      <c r="F929" s="41"/>
    </row>
    <row r="930">
      <c r="A930" s="85"/>
      <c r="B930" s="41"/>
      <c r="C930" s="41"/>
      <c r="D930" s="41"/>
      <c r="E930" s="41"/>
      <c r="F930" s="41"/>
    </row>
    <row r="931">
      <c r="A931" s="85"/>
      <c r="B931" s="41"/>
      <c r="C931" s="41"/>
      <c r="D931" s="41"/>
      <c r="E931" s="41"/>
      <c r="F931" s="41"/>
    </row>
    <row r="932">
      <c r="A932" s="85"/>
      <c r="B932" s="41"/>
      <c r="C932" s="41"/>
      <c r="D932" s="41"/>
      <c r="E932" s="41"/>
      <c r="F932" s="41"/>
    </row>
    <row r="933">
      <c r="A933" s="85"/>
      <c r="B933" s="41"/>
      <c r="C933" s="41"/>
      <c r="D933" s="41"/>
      <c r="E933" s="41"/>
      <c r="F933" s="41"/>
    </row>
    <row r="934">
      <c r="A934" s="85"/>
      <c r="B934" s="41"/>
      <c r="C934" s="41"/>
      <c r="D934" s="41"/>
      <c r="E934" s="41"/>
      <c r="F934" s="41"/>
    </row>
    <row r="935">
      <c r="A935" s="85"/>
      <c r="B935" s="41"/>
      <c r="C935" s="41"/>
      <c r="D935" s="41"/>
      <c r="E935" s="41"/>
      <c r="F935" s="41"/>
    </row>
    <row r="936">
      <c r="A936" s="85"/>
      <c r="B936" s="41"/>
      <c r="C936" s="41"/>
      <c r="D936" s="41"/>
      <c r="E936" s="41"/>
      <c r="F936" s="41"/>
    </row>
    <row r="937">
      <c r="A937" s="85"/>
      <c r="B937" s="41"/>
      <c r="C937" s="41"/>
      <c r="D937" s="41"/>
      <c r="E937" s="41"/>
      <c r="F937" s="41"/>
    </row>
    <row r="938">
      <c r="A938" s="85"/>
      <c r="B938" s="41"/>
      <c r="C938" s="41"/>
      <c r="D938" s="41"/>
      <c r="E938" s="41"/>
      <c r="F938" s="41"/>
    </row>
    <row r="939">
      <c r="A939" s="85"/>
      <c r="B939" s="41"/>
      <c r="C939" s="41"/>
      <c r="D939" s="41"/>
      <c r="E939" s="41"/>
      <c r="F939" s="41"/>
    </row>
    <row r="940">
      <c r="A940" s="85"/>
      <c r="B940" s="41"/>
      <c r="C940" s="41"/>
      <c r="D940" s="41"/>
      <c r="E940" s="41"/>
      <c r="F940" s="41"/>
    </row>
    <row r="941">
      <c r="A941" s="85"/>
      <c r="B941" s="41"/>
      <c r="C941" s="41"/>
      <c r="D941" s="41"/>
      <c r="E941" s="41"/>
      <c r="F941" s="41"/>
    </row>
    <row r="942">
      <c r="A942" s="85"/>
      <c r="B942" s="41"/>
      <c r="C942" s="41"/>
      <c r="D942" s="41"/>
      <c r="E942" s="41"/>
      <c r="F942" s="41"/>
    </row>
    <row r="943">
      <c r="A943" s="85"/>
      <c r="B943" s="41"/>
      <c r="C943" s="41"/>
      <c r="D943" s="41"/>
      <c r="E943" s="41"/>
      <c r="F943" s="41"/>
    </row>
    <row r="944">
      <c r="A944" s="85"/>
      <c r="B944" s="41"/>
      <c r="C944" s="41"/>
      <c r="D944" s="41"/>
      <c r="E944" s="41"/>
      <c r="F944" s="41"/>
    </row>
    <row r="945">
      <c r="A945" s="85"/>
      <c r="B945" s="41"/>
      <c r="C945" s="41"/>
      <c r="D945" s="41"/>
      <c r="E945" s="41"/>
      <c r="F945" s="41"/>
    </row>
    <row r="946">
      <c r="A946" s="85"/>
      <c r="B946" s="41"/>
      <c r="C946" s="41"/>
      <c r="D946" s="41"/>
      <c r="E946" s="41"/>
      <c r="F946" s="41"/>
    </row>
    <row r="947">
      <c r="A947" s="85"/>
      <c r="B947" s="41"/>
      <c r="C947" s="41"/>
      <c r="D947" s="41"/>
      <c r="E947" s="41"/>
      <c r="F947" s="41"/>
    </row>
    <row r="948">
      <c r="A948" s="85"/>
      <c r="B948" s="41"/>
      <c r="C948" s="41"/>
      <c r="D948" s="41"/>
      <c r="E948" s="41"/>
      <c r="F948" s="41"/>
    </row>
    <row r="949">
      <c r="A949" s="85"/>
      <c r="B949" s="41"/>
      <c r="C949" s="41"/>
      <c r="D949" s="41"/>
      <c r="E949" s="41"/>
      <c r="F949" s="41"/>
    </row>
    <row r="950">
      <c r="A950" s="85"/>
      <c r="B950" s="41"/>
      <c r="C950" s="41"/>
      <c r="D950" s="41"/>
      <c r="E950" s="41"/>
      <c r="F950" s="41"/>
    </row>
    <row r="951">
      <c r="A951" s="85"/>
      <c r="B951" s="41"/>
      <c r="C951" s="41"/>
      <c r="D951" s="41"/>
      <c r="E951" s="41"/>
      <c r="F951" s="41"/>
    </row>
    <row r="952">
      <c r="A952" s="85"/>
      <c r="B952" s="41"/>
      <c r="C952" s="41"/>
      <c r="D952" s="41"/>
      <c r="E952" s="41"/>
      <c r="F952" s="41"/>
    </row>
    <row r="953">
      <c r="A953" s="85"/>
      <c r="B953" s="41"/>
      <c r="C953" s="41"/>
      <c r="D953" s="41"/>
      <c r="E953" s="41"/>
      <c r="F953" s="41"/>
    </row>
    <row r="954">
      <c r="A954" s="85"/>
      <c r="B954" s="41"/>
      <c r="C954" s="41"/>
      <c r="D954" s="41"/>
      <c r="E954" s="41"/>
      <c r="F954" s="41"/>
    </row>
    <row r="955">
      <c r="A955" s="85"/>
      <c r="B955" s="41"/>
      <c r="C955" s="41"/>
      <c r="D955" s="41"/>
      <c r="E955" s="41"/>
      <c r="F955" s="41"/>
    </row>
    <row r="956">
      <c r="A956" s="85"/>
      <c r="B956" s="41"/>
      <c r="C956" s="41"/>
      <c r="D956" s="41"/>
      <c r="E956" s="41"/>
      <c r="F956" s="41"/>
    </row>
    <row r="957">
      <c r="A957" s="85"/>
      <c r="B957" s="41"/>
      <c r="C957" s="41"/>
      <c r="D957" s="41"/>
      <c r="E957" s="41"/>
      <c r="F957" s="41"/>
    </row>
    <row r="958">
      <c r="A958" s="85"/>
      <c r="B958" s="41"/>
      <c r="C958" s="41"/>
      <c r="D958" s="41"/>
      <c r="E958" s="41"/>
      <c r="F958" s="41"/>
    </row>
    <row r="959">
      <c r="A959" s="85"/>
      <c r="B959" s="41"/>
      <c r="C959" s="41"/>
      <c r="D959" s="41"/>
      <c r="E959" s="41"/>
      <c r="F959" s="41"/>
    </row>
    <row r="960">
      <c r="A960" s="85"/>
      <c r="B960" s="41"/>
      <c r="C960" s="41"/>
      <c r="D960" s="41"/>
      <c r="E960" s="41"/>
      <c r="F960" s="41"/>
    </row>
    <row r="961">
      <c r="A961" s="85"/>
      <c r="B961" s="41"/>
      <c r="C961" s="41"/>
      <c r="D961" s="41"/>
      <c r="E961" s="41"/>
      <c r="F961" s="41"/>
    </row>
    <row r="962">
      <c r="A962" s="85"/>
      <c r="B962" s="41"/>
      <c r="C962" s="41"/>
      <c r="D962" s="41"/>
      <c r="E962" s="41"/>
      <c r="F962" s="41"/>
    </row>
    <row r="963">
      <c r="A963" s="85"/>
      <c r="B963" s="41"/>
      <c r="C963" s="41"/>
      <c r="D963" s="41"/>
      <c r="E963" s="41"/>
      <c r="F963" s="41"/>
    </row>
    <row r="964">
      <c r="A964" s="85"/>
      <c r="B964" s="41"/>
      <c r="C964" s="41"/>
      <c r="D964" s="41"/>
      <c r="E964" s="41"/>
      <c r="F964" s="41"/>
    </row>
    <row r="965">
      <c r="A965" s="85"/>
      <c r="B965" s="41"/>
      <c r="C965" s="41"/>
      <c r="D965" s="41"/>
      <c r="E965" s="41"/>
      <c r="F965" s="41"/>
    </row>
    <row r="966">
      <c r="A966" s="85"/>
      <c r="B966" s="41"/>
      <c r="C966" s="41"/>
      <c r="D966" s="41"/>
      <c r="E966" s="41"/>
      <c r="F966" s="41"/>
    </row>
    <row r="967">
      <c r="A967" s="85"/>
      <c r="B967" s="41"/>
      <c r="C967" s="41"/>
      <c r="D967" s="41"/>
      <c r="E967" s="41"/>
      <c r="F967" s="41"/>
    </row>
    <row r="968">
      <c r="A968" s="85"/>
      <c r="B968" s="41"/>
      <c r="C968" s="41"/>
      <c r="D968" s="41"/>
      <c r="E968" s="41"/>
      <c r="F968" s="41"/>
    </row>
    <row r="969">
      <c r="A969" s="85"/>
      <c r="B969" s="41"/>
      <c r="C969" s="41"/>
      <c r="D969" s="41"/>
      <c r="E969" s="41"/>
      <c r="F969" s="41"/>
    </row>
    <row r="970">
      <c r="A970" s="85"/>
      <c r="B970" s="41"/>
      <c r="C970" s="41"/>
      <c r="D970" s="41"/>
      <c r="E970" s="41"/>
      <c r="F970" s="41"/>
    </row>
    <row r="971">
      <c r="A971" s="85"/>
      <c r="B971" s="41"/>
      <c r="C971" s="41"/>
      <c r="D971" s="41"/>
      <c r="E971" s="41"/>
      <c r="F971" s="41"/>
    </row>
    <row r="972">
      <c r="A972" s="85"/>
      <c r="B972" s="41"/>
      <c r="C972" s="41"/>
      <c r="D972" s="41"/>
      <c r="E972" s="41"/>
      <c r="F972" s="41"/>
    </row>
    <row r="973">
      <c r="A973" s="85"/>
      <c r="B973" s="41"/>
      <c r="C973" s="41"/>
      <c r="D973" s="41"/>
      <c r="E973" s="41"/>
      <c r="F973" s="41"/>
    </row>
    <row r="974">
      <c r="A974" s="85"/>
      <c r="B974" s="41"/>
      <c r="C974" s="41"/>
      <c r="D974" s="41"/>
      <c r="E974" s="41"/>
      <c r="F974" s="41"/>
    </row>
    <row r="975">
      <c r="A975" s="85"/>
      <c r="B975" s="41"/>
      <c r="C975" s="41"/>
      <c r="D975" s="41"/>
      <c r="E975" s="41"/>
      <c r="F975" s="41"/>
    </row>
    <row r="976">
      <c r="A976" s="85"/>
      <c r="B976" s="41"/>
      <c r="C976" s="41"/>
      <c r="D976" s="41"/>
      <c r="E976" s="41"/>
      <c r="F976" s="41"/>
    </row>
    <row r="977">
      <c r="A977" s="85"/>
      <c r="B977" s="41"/>
      <c r="C977" s="41"/>
      <c r="D977" s="41"/>
      <c r="E977" s="41"/>
      <c r="F977" s="41"/>
    </row>
    <row r="978">
      <c r="A978" s="85"/>
      <c r="B978" s="41"/>
      <c r="C978" s="41"/>
      <c r="D978" s="41"/>
      <c r="E978" s="41"/>
      <c r="F978" s="41"/>
    </row>
    <row r="979">
      <c r="A979" s="85"/>
      <c r="B979" s="41"/>
      <c r="C979" s="41"/>
      <c r="D979" s="41"/>
      <c r="E979" s="41"/>
      <c r="F979" s="41"/>
    </row>
    <row r="980">
      <c r="A980" s="85"/>
      <c r="B980" s="41"/>
      <c r="C980" s="41"/>
      <c r="D980" s="41"/>
      <c r="E980" s="41"/>
      <c r="F980" s="41"/>
    </row>
    <row r="981">
      <c r="A981" s="85"/>
      <c r="B981" s="41"/>
      <c r="C981" s="41"/>
      <c r="D981" s="41"/>
      <c r="E981" s="41"/>
      <c r="F981" s="41"/>
    </row>
    <row r="982">
      <c r="A982" s="85"/>
      <c r="B982" s="41"/>
      <c r="C982" s="41"/>
      <c r="D982" s="41"/>
      <c r="E982" s="41"/>
      <c r="F982" s="41"/>
    </row>
    <row r="983">
      <c r="A983" s="85"/>
      <c r="B983" s="41"/>
      <c r="C983" s="41"/>
      <c r="D983" s="41"/>
      <c r="E983" s="41"/>
      <c r="F983" s="41"/>
    </row>
    <row r="984">
      <c r="A984" s="85"/>
      <c r="B984" s="41"/>
      <c r="C984" s="41"/>
      <c r="D984" s="41"/>
      <c r="E984" s="41"/>
      <c r="F984" s="41"/>
    </row>
    <row r="985">
      <c r="A985" s="85"/>
      <c r="B985" s="41"/>
      <c r="C985" s="41"/>
      <c r="D985" s="41"/>
      <c r="E985" s="41"/>
      <c r="F985" s="41"/>
    </row>
    <row r="986">
      <c r="A986" s="85"/>
      <c r="B986" s="41"/>
      <c r="C986" s="41"/>
      <c r="D986" s="41"/>
      <c r="E986" s="41"/>
      <c r="F986" s="41"/>
    </row>
    <row r="987">
      <c r="A987" s="85"/>
      <c r="B987" s="41"/>
      <c r="C987" s="41"/>
      <c r="D987" s="41"/>
      <c r="E987" s="41"/>
      <c r="F987" s="41"/>
    </row>
    <row r="988">
      <c r="A988" s="85"/>
      <c r="B988" s="41"/>
      <c r="C988" s="41"/>
      <c r="D988" s="41"/>
      <c r="E988" s="41"/>
      <c r="F988" s="41"/>
    </row>
    <row r="989">
      <c r="A989" s="85"/>
      <c r="B989" s="41"/>
      <c r="C989" s="41"/>
      <c r="D989" s="41"/>
      <c r="E989" s="41"/>
      <c r="F989" s="41"/>
    </row>
    <row r="990">
      <c r="A990" s="85"/>
      <c r="B990" s="41"/>
      <c r="C990" s="41"/>
      <c r="D990" s="41"/>
      <c r="E990" s="41"/>
      <c r="F990" s="41"/>
    </row>
    <row r="991">
      <c r="A991" s="85"/>
      <c r="B991" s="41"/>
      <c r="C991" s="41"/>
      <c r="D991" s="41"/>
      <c r="E991" s="41"/>
      <c r="F991" s="41"/>
    </row>
    <row r="992">
      <c r="A992" s="85"/>
      <c r="B992" s="41"/>
      <c r="C992" s="41"/>
      <c r="D992" s="41"/>
      <c r="E992" s="41"/>
      <c r="F992" s="41"/>
    </row>
    <row r="993">
      <c r="A993" s="85"/>
      <c r="B993" s="41"/>
      <c r="C993" s="41"/>
      <c r="D993" s="41"/>
      <c r="E993" s="41"/>
      <c r="F993" s="41"/>
    </row>
    <row r="994">
      <c r="A994" s="85"/>
      <c r="B994" s="41"/>
      <c r="C994" s="41"/>
      <c r="D994" s="41"/>
      <c r="E994" s="41"/>
      <c r="F994" s="41"/>
    </row>
    <row r="995">
      <c r="A995" s="85"/>
      <c r="B995" s="41"/>
      <c r="C995" s="41"/>
      <c r="D995" s="41"/>
      <c r="E995" s="41"/>
      <c r="F995" s="41"/>
    </row>
    <row r="996">
      <c r="A996" s="85"/>
      <c r="B996" s="41"/>
      <c r="C996" s="41"/>
      <c r="D996" s="41"/>
      <c r="E996" s="41"/>
      <c r="F996" s="41"/>
    </row>
    <row r="997">
      <c r="A997" s="85"/>
      <c r="B997" s="41"/>
      <c r="C997" s="41"/>
      <c r="D997" s="41"/>
      <c r="E997" s="41"/>
      <c r="F997" s="41"/>
    </row>
    <row r="998">
      <c r="A998" s="85"/>
      <c r="B998" s="41"/>
      <c r="C998" s="41"/>
      <c r="D998" s="41"/>
      <c r="E998" s="41"/>
      <c r="F998" s="41"/>
    </row>
    <row r="999">
      <c r="A999" s="85"/>
      <c r="B999" s="41"/>
      <c r="C999" s="41"/>
      <c r="D999" s="41"/>
      <c r="E999" s="41"/>
      <c r="F999" s="41"/>
    </row>
    <row r="1000">
      <c r="A1000" s="85"/>
      <c r="B1000" s="41"/>
      <c r="C1000" s="41"/>
      <c r="D1000" s="41"/>
      <c r="E1000" s="41"/>
      <c r="F1000" s="41"/>
    </row>
    <row r="1001">
      <c r="A1001" s="85"/>
      <c r="B1001" s="41"/>
      <c r="C1001" s="41"/>
      <c r="D1001" s="41"/>
      <c r="E1001" s="41"/>
      <c r="F1001" s="41"/>
    </row>
    <row r="1002">
      <c r="A1002" s="85"/>
      <c r="B1002" s="41"/>
      <c r="C1002" s="41"/>
      <c r="D1002" s="41"/>
      <c r="E1002" s="41"/>
      <c r="F1002" s="41"/>
    </row>
    <row r="1003">
      <c r="A1003" s="85"/>
      <c r="B1003" s="41"/>
      <c r="C1003" s="41"/>
      <c r="D1003" s="41"/>
      <c r="E1003" s="41"/>
      <c r="F1003" s="41"/>
    </row>
    <row r="1004">
      <c r="A1004" s="85"/>
      <c r="B1004" s="41"/>
      <c r="C1004" s="41"/>
      <c r="D1004" s="41"/>
      <c r="E1004" s="41"/>
      <c r="F1004" s="41"/>
    </row>
    <row r="1005">
      <c r="A1005" s="85"/>
      <c r="B1005" s="41"/>
      <c r="C1005" s="41"/>
      <c r="D1005" s="41"/>
      <c r="E1005" s="41"/>
      <c r="F1005" s="41"/>
    </row>
    <row r="1006">
      <c r="A1006" s="85"/>
      <c r="B1006" s="41"/>
      <c r="C1006" s="41"/>
      <c r="D1006" s="41"/>
      <c r="E1006" s="41"/>
      <c r="F1006" s="41"/>
    </row>
    <row r="1007">
      <c r="A1007" s="85"/>
      <c r="B1007" s="41"/>
      <c r="C1007" s="41"/>
      <c r="D1007" s="41"/>
      <c r="E1007" s="41"/>
      <c r="F1007" s="41"/>
    </row>
    <row r="1008">
      <c r="A1008" s="85"/>
      <c r="B1008" s="41"/>
      <c r="C1008" s="41"/>
      <c r="D1008" s="41"/>
      <c r="E1008" s="41"/>
      <c r="F1008" s="41"/>
    </row>
    <row r="1009">
      <c r="A1009" s="85"/>
      <c r="B1009" s="41"/>
      <c r="C1009" s="41"/>
      <c r="D1009" s="41"/>
      <c r="E1009" s="41"/>
      <c r="F1009" s="41"/>
    </row>
    <row r="1010">
      <c r="A1010" s="85"/>
      <c r="B1010" s="41"/>
      <c r="C1010" s="41"/>
      <c r="D1010" s="41"/>
      <c r="E1010" s="41"/>
      <c r="F1010" s="41"/>
    </row>
    <row r="1011">
      <c r="A1011" s="85"/>
      <c r="B1011" s="41"/>
      <c r="C1011" s="41"/>
      <c r="D1011" s="41"/>
      <c r="E1011" s="41"/>
      <c r="F1011" s="41"/>
    </row>
    <row r="1012">
      <c r="A1012" s="85"/>
      <c r="B1012" s="41"/>
      <c r="C1012" s="41"/>
      <c r="D1012" s="41"/>
      <c r="E1012" s="41"/>
      <c r="F1012" s="41"/>
    </row>
    <row r="1013">
      <c r="A1013" s="85"/>
      <c r="B1013" s="41"/>
      <c r="C1013" s="41"/>
      <c r="D1013" s="41"/>
      <c r="E1013" s="41"/>
      <c r="F1013" s="41"/>
    </row>
    <row r="1014">
      <c r="A1014" s="85"/>
      <c r="B1014" s="41"/>
      <c r="C1014" s="41"/>
      <c r="D1014" s="41"/>
      <c r="E1014" s="41"/>
      <c r="F1014" s="41"/>
    </row>
    <row r="1015">
      <c r="A1015" s="85"/>
      <c r="B1015" s="41"/>
      <c r="C1015" s="41"/>
      <c r="D1015" s="41"/>
      <c r="E1015" s="41"/>
      <c r="F1015" s="41"/>
    </row>
    <row r="1016">
      <c r="A1016" s="85"/>
      <c r="B1016" s="41"/>
      <c r="C1016" s="41"/>
      <c r="D1016" s="41"/>
      <c r="E1016" s="41"/>
      <c r="F1016" s="41"/>
    </row>
    <row r="1017">
      <c r="A1017" s="85"/>
      <c r="B1017" s="41"/>
      <c r="C1017" s="41"/>
      <c r="D1017" s="41"/>
      <c r="E1017" s="41"/>
      <c r="F1017" s="41"/>
    </row>
    <row r="1018">
      <c r="A1018" s="85"/>
      <c r="B1018" s="41"/>
      <c r="C1018" s="41"/>
      <c r="D1018" s="41"/>
      <c r="E1018" s="41"/>
      <c r="F1018" s="41"/>
    </row>
    <row r="1019">
      <c r="A1019" s="85"/>
      <c r="B1019" s="41"/>
      <c r="C1019" s="41"/>
      <c r="D1019" s="41"/>
      <c r="E1019" s="41"/>
      <c r="F1019" s="41"/>
    </row>
    <row r="1020">
      <c r="A1020" s="85"/>
      <c r="B1020" s="41"/>
      <c r="C1020" s="41"/>
      <c r="D1020" s="41"/>
      <c r="E1020" s="41"/>
      <c r="F1020" s="41"/>
    </row>
    <row r="1021">
      <c r="A1021" s="85"/>
      <c r="B1021" s="41"/>
      <c r="C1021" s="41"/>
      <c r="D1021" s="41"/>
      <c r="E1021" s="41"/>
      <c r="F1021" s="41"/>
    </row>
    <row r="1022">
      <c r="A1022" s="85"/>
      <c r="B1022" s="41"/>
      <c r="C1022" s="41"/>
      <c r="D1022" s="41"/>
      <c r="E1022" s="41"/>
      <c r="F1022" s="41"/>
    </row>
    <row r="1023">
      <c r="A1023" s="85"/>
      <c r="B1023" s="41"/>
      <c r="C1023" s="41"/>
      <c r="D1023" s="41"/>
      <c r="E1023" s="41"/>
      <c r="F1023" s="41"/>
    </row>
    <row r="1024">
      <c r="A1024" s="85"/>
      <c r="B1024" s="41"/>
      <c r="C1024" s="41"/>
      <c r="D1024" s="41"/>
      <c r="E1024" s="41"/>
      <c r="F1024" s="41"/>
    </row>
    <row r="1025">
      <c r="A1025" s="85"/>
      <c r="B1025" s="41"/>
      <c r="C1025" s="41"/>
      <c r="D1025" s="41"/>
      <c r="E1025" s="41"/>
      <c r="F1025" s="41"/>
    </row>
    <row r="1026">
      <c r="A1026" s="85"/>
      <c r="B1026" s="41"/>
      <c r="C1026" s="41"/>
      <c r="D1026" s="41"/>
      <c r="E1026" s="41"/>
      <c r="F1026" s="41"/>
    </row>
    <row r="1027">
      <c r="A1027" s="85"/>
      <c r="B1027" s="41"/>
      <c r="C1027" s="41"/>
      <c r="D1027" s="41"/>
      <c r="E1027" s="41"/>
      <c r="F1027" s="41"/>
    </row>
    <row r="1028">
      <c r="A1028" s="85"/>
      <c r="B1028" s="41"/>
      <c r="C1028" s="41"/>
      <c r="D1028" s="41"/>
      <c r="E1028" s="41"/>
      <c r="F1028" s="41"/>
    </row>
    <row r="1029">
      <c r="A1029" s="85"/>
      <c r="B1029" s="41"/>
      <c r="C1029" s="41"/>
      <c r="D1029" s="41"/>
      <c r="E1029" s="41"/>
      <c r="F1029" s="41"/>
    </row>
    <row r="1030">
      <c r="A1030" s="85"/>
      <c r="B1030" s="41"/>
      <c r="C1030" s="41"/>
      <c r="D1030" s="41"/>
      <c r="E1030" s="41"/>
      <c r="F1030" s="41"/>
    </row>
    <row r="1031">
      <c r="A1031" s="85"/>
      <c r="B1031" s="41"/>
      <c r="C1031" s="41"/>
      <c r="D1031" s="41"/>
      <c r="E1031" s="41"/>
      <c r="F1031" s="41"/>
    </row>
    <row r="1032">
      <c r="A1032" s="85"/>
      <c r="B1032" s="41"/>
      <c r="C1032" s="41"/>
      <c r="D1032" s="41"/>
      <c r="E1032" s="41"/>
      <c r="F1032" s="41"/>
    </row>
    <row r="1033">
      <c r="A1033" s="85"/>
      <c r="B1033" s="41"/>
      <c r="C1033" s="41"/>
      <c r="D1033" s="41"/>
      <c r="E1033" s="41"/>
      <c r="F1033" s="41"/>
    </row>
    <row r="1034">
      <c r="A1034" s="85"/>
      <c r="B1034" s="41"/>
      <c r="C1034" s="41"/>
      <c r="D1034" s="41"/>
      <c r="E1034" s="41"/>
      <c r="F1034" s="41"/>
    </row>
    <row r="1035">
      <c r="A1035" s="85"/>
      <c r="B1035" s="41"/>
      <c r="C1035" s="41"/>
      <c r="D1035" s="41"/>
      <c r="E1035" s="41"/>
      <c r="F1035" s="41"/>
    </row>
    <row r="1036">
      <c r="A1036" s="85"/>
      <c r="B1036" s="41"/>
      <c r="C1036" s="41"/>
      <c r="D1036" s="41"/>
      <c r="E1036" s="41"/>
      <c r="F1036" s="41"/>
    </row>
    <row r="1037">
      <c r="A1037" s="85"/>
      <c r="B1037" s="41"/>
      <c r="C1037" s="41"/>
      <c r="D1037" s="41"/>
      <c r="E1037" s="41"/>
      <c r="F1037" s="41"/>
    </row>
    <row r="1038">
      <c r="A1038" s="85"/>
      <c r="B1038" s="41"/>
      <c r="C1038" s="41"/>
      <c r="D1038" s="41"/>
      <c r="E1038" s="41"/>
      <c r="F1038" s="41"/>
    </row>
    <row r="1039">
      <c r="A1039" s="85"/>
      <c r="B1039" s="41"/>
      <c r="C1039" s="41"/>
      <c r="D1039" s="41"/>
      <c r="E1039" s="41"/>
      <c r="F1039" s="41"/>
    </row>
    <row r="1040">
      <c r="A1040" s="85"/>
      <c r="B1040" s="41"/>
      <c r="C1040" s="41"/>
      <c r="D1040" s="41"/>
      <c r="E1040" s="41"/>
      <c r="F1040" s="41"/>
    </row>
    <row r="1041">
      <c r="A1041" s="85"/>
      <c r="B1041" s="41"/>
      <c r="C1041" s="41"/>
      <c r="D1041" s="41"/>
      <c r="E1041" s="41"/>
      <c r="F1041" s="41"/>
    </row>
    <row r="1042">
      <c r="A1042" s="85"/>
      <c r="B1042" s="41"/>
      <c r="C1042" s="41"/>
      <c r="D1042" s="41"/>
      <c r="E1042" s="41"/>
      <c r="F1042" s="41"/>
    </row>
    <row r="1043">
      <c r="A1043" s="85"/>
      <c r="B1043" s="41"/>
      <c r="C1043" s="41"/>
      <c r="D1043" s="41"/>
      <c r="E1043" s="41"/>
      <c r="F1043" s="41"/>
    </row>
    <row r="1044">
      <c r="A1044" s="85"/>
      <c r="B1044" s="41"/>
      <c r="C1044" s="41"/>
      <c r="D1044" s="41"/>
      <c r="E1044" s="41"/>
      <c r="F1044" s="41"/>
    </row>
    <row r="1045">
      <c r="A1045" s="85"/>
      <c r="B1045" s="41"/>
      <c r="C1045" s="41"/>
      <c r="D1045" s="41"/>
      <c r="E1045" s="41"/>
      <c r="F1045" s="41"/>
    </row>
    <row r="1046">
      <c r="A1046" s="85"/>
      <c r="B1046" s="41"/>
      <c r="C1046" s="41"/>
      <c r="D1046" s="41"/>
      <c r="E1046" s="41"/>
      <c r="F1046" s="41"/>
    </row>
    <row r="1047">
      <c r="A1047" s="85"/>
      <c r="B1047" s="41"/>
      <c r="C1047" s="41"/>
      <c r="D1047" s="41"/>
      <c r="E1047" s="41"/>
      <c r="F1047" s="41"/>
    </row>
    <row r="1048">
      <c r="A1048" s="85"/>
      <c r="B1048" s="41"/>
      <c r="C1048" s="41"/>
      <c r="D1048" s="41"/>
      <c r="E1048" s="41"/>
      <c r="F1048" s="41"/>
    </row>
    <row r="1049">
      <c r="A1049" s="85"/>
      <c r="B1049" s="41"/>
      <c r="C1049" s="41"/>
      <c r="D1049" s="41"/>
      <c r="E1049" s="41"/>
      <c r="F1049" s="41"/>
    </row>
    <row r="1050">
      <c r="A1050" s="85"/>
      <c r="B1050" s="41"/>
      <c r="C1050" s="41"/>
      <c r="D1050" s="41"/>
      <c r="E1050" s="41"/>
      <c r="F1050" s="41"/>
    </row>
    <row r="1051">
      <c r="A1051" s="85"/>
      <c r="B1051" s="41"/>
      <c r="C1051" s="41"/>
      <c r="D1051" s="41"/>
      <c r="E1051" s="41"/>
      <c r="F1051" s="41"/>
    </row>
  </sheetData>
  <hyperlinks>
    <hyperlink r:id="rId1" ref="C2"/>
    <hyperlink r:id="rId2" ref="C7"/>
    <hyperlink r:id="rId3" ref="C8"/>
    <hyperlink r:id="rId4" ref="C16"/>
    <hyperlink r:id="rId5" ref="C17"/>
    <hyperlink r:id="rId6" ref="C18"/>
    <hyperlink r:id="rId7" ref="C19"/>
    <hyperlink r:id="rId8" ref="C20"/>
    <hyperlink r:id="rId9" ref="C21"/>
    <hyperlink r:id="rId10" ref="C22"/>
    <hyperlink r:id="rId11" ref="C23"/>
    <hyperlink r:id="rId12" ref="C24"/>
    <hyperlink r:id="rId13" ref="C25"/>
    <hyperlink r:id="rId14" ref="C26"/>
    <hyperlink r:id="rId15" ref="C27"/>
    <hyperlink r:id="rId16" ref="C28"/>
    <hyperlink r:id="rId17" ref="C29"/>
    <hyperlink r:id="rId18" ref="C30"/>
    <hyperlink r:id="rId19" ref="C31"/>
    <hyperlink r:id="rId20" ref="C32"/>
    <hyperlink r:id="rId21" ref="C33"/>
    <hyperlink r:id="rId22" ref="C34"/>
    <hyperlink r:id="rId23" ref="C35"/>
    <hyperlink r:id="rId24" ref="C36"/>
    <hyperlink r:id="rId25" ref="C37"/>
    <hyperlink r:id="rId26" ref="C38"/>
    <hyperlink r:id="rId27" ref="C39"/>
    <hyperlink r:id="rId28" ref="C40"/>
    <hyperlink r:id="rId29" ref="C41"/>
    <hyperlink r:id="rId30" ref="C42"/>
    <hyperlink r:id="rId31" ref="C43"/>
    <hyperlink r:id="rId32" ref="C44"/>
    <hyperlink r:id="rId33" ref="C45"/>
    <hyperlink r:id="rId34" ref="C46"/>
    <hyperlink r:id="rId35" ref="C47"/>
    <hyperlink r:id="rId36" ref="C48"/>
    <hyperlink r:id="rId37" ref="C49"/>
    <hyperlink r:id="rId38" ref="C50"/>
    <hyperlink r:id="rId39" ref="C51"/>
    <hyperlink r:id="rId40" ref="C52"/>
    <hyperlink r:id="rId41" ref="C53"/>
    <hyperlink r:id="rId42" ref="C54"/>
    <hyperlink r:id="rId43" ref="C55"/>
    <hyperlink r:id="rId44" ref="C56"/>
    <hyperlink r:id="rId45" ref="C57"/>
    <hyperlink r:id="rId46" ref="C58"/>
    <hyperlink r:id="rId47" ref="C59"/>
    <hyperlink r:id="rId48" ref="C60"/>
    <hyperlink r:id="rId49" ref="C61"/>
    <hyperlink r:id="rId50" ref="C62"/>
    <hyperlink r:id="rId51" ref="C63"/>
    <hyperlink r:id="rId52" ref="C64"/>
    <hyperlink r:id="rId53" ref="C65"/>
    <hyperlink r:id="rId54" ref="C66"/>
    <hyperlink r:id="rId55" ref="C67"/>
    <hyperlink r:id="rId56" ref="C68"/>
    <hyperlink r:id="rId57" ref="C69"/>
    <hyperlink r:id="rId58" ref="C70"/>
    <hyperlink r:id="rId59" ref="C71"/>
    <hyperlink r:id="rId60" ref="C72"/>
    <hyperlink r:id="rId61" ref="C73"/>
    <hyperlink r:id="rId62" ref="C74"/>
    <hyperlink r:id="rId63" ref="C75"/>
    <hyperlink r:id="rId64" ref="C76"/>
    <hyperlink r:id="rId65" ref="C77"/>
    <hyperlink r:id="rId66" ref="C78"/>
    <hyperlink r:id="rId67" ref="C79"/>
    <hyperlink r:id="rId68" ref="C80"/>
    <hyperlink r:id="rId69" ref="C81"/>
    <hyperlink r:id="rId70" ref="C82"/>
    <hyperlink r:id="rId71" ref="C83"/>
    <hyperlink r:id="rId72" ref="C84"/>
    <hyperlink r:id="rId73" ref="C85"/>
    <hyperlink r:id="rId74" ref="C86"/>
    <hyperlink r:id="rId75" ref="C87"/>
    <hyperlink r:id="rId76" ref="C88"/>
    <hyperlink r:id="rId77" ref="C89"/>
    <hyperlink r:id="rId78" ref="C90"/>
    <hyperlink r:id="rId79" ref="C91"/>
    <hyperlink r:id="rId80" ref="C92"/>
    <hyperlink r:id="rId81" ref="C93"/>
    <hyperlink r:id="rId82" location="page=7" ref="C94"/>
    <hyperlink r:id="rId83" ref="C95"/>
    <hyperlink r:id="rId84" ref="C96"/>
    <hyperlink r:id="rId85" ref="C97"/>
    <hyperlink r:id="rId86" ref="C98"/>
    <hyperlink r:id="rId87" ref="C99"/>
    <hyperlink r:id="rId88" ref="C100"/>
    <hyperlink r:id="rId89" ref="C101"/>
    <hyperlink r:id="rId90" ref="C102"/>
    <hyperlink r:id="rId91" ref="C103"/>
    <hyperlink r:id="rId92" ref="C104"/>
    <hyperlink r:id="rId93" ref="C105"/>
    <hyperlink r:id="rId94" ref="C106"/>
    <hyperlink r:id="rId95" ref="C107"/>
    <hyperlink r:id="rId96" ref="C108"/>
    <hyperlink r:id="rId97" ref="C109"/>
    <hyperlink r:id="rId98" ref="C110"/>
    <hyperlink r:id="rId99" ref="C111"/>
    <hyperlink r:id="rId100" ref="C112"/>
    <hyperlink r:id="rId101" ref="C113"/>
    <hyperlink r:id="rId102" ref="C114"/>
    <hyperlink r:id="rId103" ref="C115"/>
    <hyperlink r:id="rId104" ref="C116"/>
    <hyperlink r:id="rId105" ref="C117"/>
    <hyperlink r:id="rId106" ref="C118"/>
    <hyperlink r:id="rId107" ref="C119"/>
    <hyperlink r:id="rId108" ref="C120"/>
    <hyperlink r:id="rId109" ref="C121"/>
    <hyperlink r:id="rId110" ref="C122"/>
    <hyperlink r:id="rId111" ref="C123"/>
    <hyperlink r:id="rId112" ref="C124"/>
    <hyperlink r:id="rId113" location="news-release-062321" ref="C125"/>
    <hyperlink r:id="rId114" ref="C126"/>
    <hyperlink r:id="rId115" ref="C127"/>
    <hyperlink r:id="rId116" ref="C128"/>
    <hyperlink r:id="rId117" ref="C129"/>
    <hyperlink r:id="rId118" ref="C130"/>
    <hyperlink r:id="rId119" ref="C131"/>
    <hyperlink r:id="rId120" ref="C132"/>
    <hyperlink r:id="rId121" ref="C133"/>
    <hyperlink r:id="rId122" ref="C134"/>
    <hyperlink r:id="rId123" location="news-release-111121" ref="C135"/>
    <hyperlink r:id="rId124" ref="C136"/>
    <hyperlink r:id="rId125" ref="C137"/>
    <hyperlink r:id="rId126" ref="C138"/>
    <hyperlink r:id="rId127" ref="F138"/>
    <hyperlink r:id="rId128" ref="C139"/>
    <hyperlink r:id="rId129" ref="C140"/>
    <hyperlink r:id="rId130" ref="C141"/>
    <hyperlink r:id="rId131" ref="C142"/>
    <hyperlink r:id="rId132" ref="C143"/>
    <hyperlink r:id="rId133" ref="C144"/>
    <hyperlink r:id="rId134" ref="C145"/>
    <hyperlink r:id="rId135" ref="C146"/>
    <hyperlink r:id="rId136" ref="C147"/>
    <hyperlink r:id="rId137" ref="C148"/>
    <hyperlink r:id="rId138" ref="C149"/>
    <hyperlink r:id="rId139" ref="C150"/>
    <hyperlink r:id="rId140" ref="C151"/>
    <hyperlink r:id="rId141" ref="C152"/>
    <hyperlink r:id="rId142" ref="C153"/>
    <hyperlink r:id="rId143" ref="C154"/>
    <hyperlink r:id="rId144" ref="C155"/>
    <hyperlink r:id="rId145" ref="C156"/>
    <hyperlink r:id="rId146" ref="C157"/>
    <hyperlink r:id="rId147" ref="C158"/>
    <hyperlink r:id="rId148" ref="C159"/>
    <hyperlink r:id="rId149" ref="C160"/>
    <hyperlink r:id="rId150" ref="C161"/>
    <hyperlink r:id="rId151" ref="C162"/>
    <hyperlink r:id="rId152" ref="C163"/>
    <hyperlink r:id="rId153" ref="C164"/>
    <hyperlink r:id="rId154" ref="C165"/>
    <hyperlink r:id="rId155" location="news-release-111022" ref="C166"/>
    <hyperlink r:id="rId156" ref="C167"/>
    <hyperlink r:id="rId157" ref="C168"/>
    <hyperlink r:id="rId158" ref="C169"/>
    <hyperlink r:id="rId159" ref="C170"/>
    <hyperlink r:id="rId160" ref="C171"/>
    <hyperlink r:id="rId161" ref="C172"/>
    <hyperlink r:id="rId162" ref="C173"/>
    <hyperlink r:id="rId163" ref="C174"/>
    <hyperlink r:id="rId164" ref="C175"/>
    <hyperlink r:id="rId165" ref="C176"/>
    <hyperlink r:id="rId166" ref="C177"/>
    <hyperlink r:id="rId167" ref="C178"/>
    <hyperlink r:id="rId168" ref="C179"/>
    <hyperlink r:id="rId169" ref="C180"/>
    <hyperlink r:id="rId170" ref="C181"/>
    <hyperlink r:id="rId171" ref="C182"/>
    <hyperlink r:id="rId172" ref="C183"/>
    <hyperlink r:id="rId173" ref="C184"/>
    <hyperlink r:id="rId174" ref="C185"/>
    <hyperlink r:id="rId175" ref="C186"/>
    <hyperlink r:id="rId176" ref="C187"/>
    <hyperlink r:id="rId177" location="news-release-032123" ref="C188"/>
    <hyperlink r:id="rId178" ref="C189"/>
    <hyperlink r:id="rId179" ref="C190"/>
    <hyperlink r:id="rId180" ref="C191"/>
    <hyperlink r:id="rId181" ref="C192"/>
    <hyperlink r:id="rId182" ref="C193"/>
    <hyperlink r:id="rId183" ref="C194"/>
    <hyperlink r:id="rId184" ref="C195"/>
    <hyperlink r:id="rId185" ref="C196"/>
    <hyperlink r:id="rId186" ref="C197"/>
    <hyperlink r:id="rId187" ref="C198"/>
    <hyperlink r:id="rId188" ref="C199"/>
    <hyperlink r:id="rId189" ref="C200"/>
    <hyperlink r:id="rId190" ref="C201"/>
    <hyperlink r:id="rId191" ref="C202"/>
    <hyperlink r:id="rId192" ref="C203"/>
    <hyperlink r:id="rId193" ref="C204"/>
    <hyperlink r:id="rId194" ref="C205"/>
    <hyperlink r:id="rId195" ref="C206"/>
    <hyperlink r:id="rId196" ref="C207"/>
    <hyperlink r:id="rId197" ref="C208"/>
    <hyperlink r:id="rId198" ref="C209"/>
    <hyperlink r:id="rId199" location="news-release-060223" ref="C210"/>
    <hyperlink r:id="rId200" ref="C211"/>
    <hyperlink r:id="rId201" ref="C212"/>
    <hyperlink r:id="rId202" ref="C213"/>
    <hyperlink r:id="rId203" ref="C214"/>
    <hyperlink r:id="rId204" ref="C215"/>
    <hyperlink r:id="rId205" ref="C216"/>
    <hyperlink r:id="rId206" ref="C217"/>
    <hyperlink r:id="rId207" location="news-release-072423" ref="C218"/>
    <hyperlink r:id="rId208" location="news-release-082323" ref="C219"/>
    <hyperlink r:id="rId209" ref="C220"/>
    <hyperlink r:id="rId210" ref="C221"/>
    <hyperlink r:id="rId211" ref="C222"/>
    <hyperlink r:id="rId212" ref="C223"/>
    <hyperlink r:id="rId213" ref="C224"/>
    <hyperlink r:id="rId214" ref="C225"/>
  </hyperlinks>
  <drawing r:id="rId21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955</v>
      </c>
      <c r="B1" s="2" t="s">
        <v>957</v>
      </c>
    </row>
    <row r="2">
      <c r="A2" s="2" t="s">
        <v>722</v>
      </c>
      <c r="B2" s="2" t="s">
        <v>722</v>
      </c>
    </row>
    <row r="3">
      <c r="A3" s="2" t="s">
        <v>959</v>
      </c>
    </row>
    <row r="4">
      <c r="A4" s="2" t="s">
        <v>960</v>
      </c>
      <c r="B4" s="2" t="s">
        <v>960</v>
      </c>
    </row>
    <row r="5">
      <c r="A5" s="2" t="s">
        <v>961</v>
      </c>
      <c r="B5" s="2" t="s">
        <v>961</v>
      </c>
    </row>
    <row r="6">
      <c r="A6" s="2" t="s">
        <v>962</v>
      </c>
      <c r="B6" s="2" t="s">
        <v>962</v>
      </c>
    </row>
    <row r="7">
      <c r="A7" s="2" t="s">
        <v>722</v>
      </c>
      <c r="B7" s="2" t="s">
        <v>963</v>
      </c>
    </row>
    <row r="8">
      <c r="A8" s="2" t="s">
        <v>959</v>
      </c>
      <c r="B8" s="2" t="s">
        <v>964</v>
      </c>
    </row>
    <row r="9">
      <c r="A9" s="2" t="s">
        <v>960</v>
      </c>
      <c r="B9" s="2" t="s">
        <v>967</v>
      </c>
    </row>
    <row r="10">
      <c r="A10" s="2" t="s">
        <v>961</v>
      </c>
      <c r="B10" s="2" t="s">
        <v>961</v>
      </c>
    </row>
    <row r="11">
      <c r="A11" s="2" t="s">
        <v>962</v>
      </c>
      <c r="B11" s="2" t="s">
        <v>969</v>
      </c>
    </row>
    <row r="12">
      <c r="A12" s="2" t="s">
        <v>722</v>
      </c>
      <c r="B12" s="2" t="s">
        <v>963</v>
      </c>
    </row>
    <row r="13">
      <c r="A13" s="2" t="s">
        <v>959</v>
      </c>
      <c r="B13" s="145" t="s">
        <v>970</v>
      </c>
    </row>
    <row r="14">
      <c r="A14" s="2" t="s">
        <v>959</v>
      </c>
      <c r="B14" s="2" t="s">
        <v>971</v>
      </c>
    </row>
    <row r="15">
      <c r="A15" s="2" t="s">
        <v>959</v>
      </c>
      <c r="B15" s="2" t="s">
        <v>972</v>
      </c>
    </row>
    <row r="16">
      <c r="A16" s="2" t="s">
        <v>959</v>
      </c>
      <c r="B16" s="2" t="s">
        <v>973</v>
      </c>
    </row>
    <row r="17">
      <c r="A17" s="2" t="s">
        <v>959</v>
      </c>
      <c r="B17" s="2" t="s">
        <v>975</v>
      </c>
    </row>
    <row r="18">
      <c r="A18" s="2" t="s">
        <v>959</v>
      </c>
      <c r="B18" s="2" t="s">
        <v>978</v>
      </c>
    </row>
    <row r="19">
      <c r="A19" s="2" t="s">
        <v>959</v>
      </c>
      <c r="B19" s="2" t="s">
        <v>979</v>
      </c>
    </row>
    <row r="20">
      <c r="A20" s="2" t="s">
        <v>961</v>
      </c>
      <c r="B20" s="2" t="s">
        <v>967</v>
      </c>
    </row>
    <row r="21">
      <c r="A21" s="2" t="s">
        <v>961</v>
      </c>
      <c r="B21" s="2" t="s">
        <v>981</v>
      </c>
    </row>
    <row r="22">
      <c r="A22" s="2" t="s">
        <v>961</v>
      </c>
      <c r="B22" s="2" t="s">
        <v>982</v>
      </c>
    </row>
    <row r="23">
      <c r="A23" s="2" t="s">
        <v>961</v>
      </c>
      <c r="B23" s="2" t="s">
        <v>983</v>
      </c>
    </row>
    <row r="24">
      <c r="A24" s="2" t="s">
        <v>961</v>
      </c>
      <c r="B24" s="2" t="s">
        <v>984</v>
      </c>
    </row>
    <row r="25">
      <c r="A25" s="2" t="s">
        <v>961</v>
      </c>
      <c r="B25" s="2" t="s">
        <v>985</v>
      </c>
    </row>
    <row r="26">
      <c r="A26" s="2" t="s">
        <v>961</v>
      </c>
      <c r="B26" s="2" t="s">
        <v>986</v>
      </c>
    </row>
    <row r="27">
      <c r="A27" s="2" t="s">
        <v>722</v>
      </c>
      <c r="B27" s="2" t="s">
        <v>987</v>
      </c>
    </row>
    <row r="28">
      <c r="A28" s="2" t="s">
        <v>722</v>
      </c>
      <c r="B28" s="2" t="s">
        <v>988</v>
      </c>
    </row>
    <row r="29">
      <c r="A29" s="2" t="s">
        <v>722</v>
      </c>
      <c r="B29" s="2" t="s">
        <v>989</v>
      </c>
    </row>
    <row r="30">
      <c r="A30" s="2" t="s">
        <v>722</v>
      </c>
      <c r="B30" s="2" t="s">
        <v>992</v>
      </c>
    </row>
    <row r="31">
      <c r="A31" s="2" t="s">
        <v>722</v>
      </c>
      <c r="B31" s="2" t="s">
        <v>993</v>
      </c>
    </row>
    <row r="32">
      <c r="A32" s="2" t="s">
        <v>722</v>
      </c>
      <c r="B32" s="2" t="s">
        <v>996</v>
      </c>
    </row>
    <row r="33">
      <c r="A33" s="2" t="s">
        <v>960</v>
      </c>
      <c r="B33" s="2" t="s">
        <v>997</v>
      </c>
    </row>
    <row r="34">
      <c r="A34" s="2" t="s">
        <v>960</v>
      </c>
      <c r="B34" s="2" t="s">
        <v>998</v>
      </c>
    </row>
    <row r="35">
      <c r="A35" s="2" t="s">
        <v>960</v>
      </c>
      <c r="B35" s="2" t="s">
        <v>999</v>
      </c>
    </row>
    <row r="36">
      <c r="A36" s="2" t="s">
        <v>960</v>
      </c>
      <c r="B36" s="2" t="s">
        <v>1000</v>
      </c>
    </row>
    <row r="37">
      <c r="A37" s="2" t="s">
        <v>960</v>
      </c>
      <c r="B37" s="2" t="s">
        <v>1001</v>
      </c>
    </row>
    <row r="38">
      <c r="A38" s="2" t="s">
        <v>960</v>
      </c>
      <c r="B38" s="2" t="s">
        <v>261</v>
      </c>
    </row>
    <row r="39">
      <c r="A39" s="2" t="s">
        <v>960</v>
      </c>
      <c r="B39" s="2" t="s">
        <v>1002</v>
      </c>
    </row>
    <row r="40">
      <c r="A40" s="2" t="s">
        <v>960</v>
      </c>
      <c r="B40" s="2" t="s">
        <v>1003</v>
      </c>
    </row>
    <row r="41">
      <c r="A41" s="2" t="s">
        <v>960</v>
      </c>
      <c r="B41" s="2" t="s">
        <v>1004</v>
      </c>
    </row>
    <row r="42">
      <c r="A42" s="2" t="s">
        <v>960</v>
      </c>
      <c r="B42" s="2" t="s">
        <v>1005</v>
      </c>
    </row>
    <row r="43">
      <c r="A43" s="2" t="s">
        <v>960</v>
      </c>
      <c r="B43" s="2" t="s">
        <v>1007</v>
      </c>
    </row>
    <row r="44">
      <c r="A44" s="2" t="s">
        <v>960</v>
      </c>
      <c r="B44" s="2" t="s">
        <v>1008</v>
      </c>
    </row>
    <row r="45">
      <c r="A45" s="2" t="s">
        <v>960</v>
      </c>
      <c r="B45" s="2" t="s">
        <v>1009</v>
      </c>
    </row>
    <row r="46">
      <c r="A46" s="2" t="s">
        <v>960</v>
      </c>
      <c r="B46" s="2" t="s">
        <v>1010</v>
      </c>
    </row>
    <row r="47">
      <c r="A47" s="2" t="s">
        <v>960</v>
      </c>
      <c r="B47" s="2" t="s">
        <v>1011</v>
      </c>
    </row>
    <row r="48">
      <c r="A48" s="2" t="s">
        <v>960</v>
      </c>
      <c r="B48" s="2" t="s">
        <v>1014</v>
      </c>
    </row>
    <row r="49">
      <c r="A49" s="2" t="s">
        <v>960</v>
      </c>
      <c r="B49" s="2" t="s">
        <v>1015</v>
      </c>
    </row>
    <row r="50">
      <c r="A50" s="2" t="s">
        <v>960</v>
      </c>
      <c r="B50" s="2" t="s">
        <v>1017</v>
      </c>
    </row>
    <row r="51">
      <c r="A51" s="2" t="s">
        <v>960</v>
      </c>
      <c r="B51" s="2" t="s">
        <v>1018</v>
      </c>
    </row>
    <row r="52">
      <c r="A52" s="2" t="s">
        <v>960</v>
      </c>
      <c r="B52" s="2" t="s">
        <v>1019</v>
      </c>
    </row>
    <row r="53">
      <c r="A53" s="2" t="s">
        <v>960</v>
      </c>
      <c r="B53" s="2" t="s">
        <v>1020</v>
      </c>
    </row>
    <row r="54">
      <c r="A54" s="2" t="s">
        <v>960</v>
      </c>
      <c r="B54" s="2" t="s">
        <v>1021</v>
      </c>
    </row>
    <row r="55">
      <c r="A55" s="2" t="s">
        <v>960</v>
      </c>
      <c r="B55" s="2" t="s">
        <v>1022</v>
      </c>
    </row>
    <row r="56">
      <c r="A56" s="2" t="s">
        <v>960</v>
      </c>
      <c r="B56" s="2" t="s">
        <v>1025</v>
      </c>
    </row>
    <row r="57">
      <c r="A57" s="2" t="s">
        <v>960</v>
      </c>
      <c r="B57" s="2" t="s">
        <v>1026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75"/>
    <col customWidth="1" min="3" max="3" width="15.88"/>
    <col customWidth="1" min="4" max="4" width="22.38"/>
    <col customWidth="1" min="7" max="7" width="13.13"/>
  </cols>
  <sheetData>
    <row r="1">
      <c r="A1" s="2" t="s">
        <v>1044</v>
      </c>
      <c r="B1" s="2" t="s">
        <v>1046</v>
      </c>
      <c r="C1" s="2" t="s">
        <v>1048</v>
      </c>
      <c r="D1" s="2" t="s">
        <v>1049</v>
      </c>
      <c r="E1" s="2" t="s">
        <v>1050</v>
      </c>
      <c r="F1" s="2" t="s">
        <v>1051</v>
      </c>
      <c r="G1" s="2" t="s">
        <v>1052</v>
      </c>
      <c r="H1" s="2" t="s">
        <v>1053</v>
      </c>
      <c r="I1" s="2" t="s">
        <v>1054</v>
      </c>
    </row>
    <row r="2">
      <c r="A2" s="64" t="s">
        <v>1056</v>
      </c>
      <c r="B2" s="2" t="s">
        <v>1059</v>
      </c>
      <c r="C2" s="2" t="s">
        <v>1060</v>
      </c>
      <c r="D2" s="2" t="s">
        <v>1062</v>
      </c>
    </row>
    <row r="3">
      <c r="A3" s="64" t="s">
        <v>1056</v>
      </c>
      <c r="B3" s="2" t="s">
        <v>1063</v>
      </c>
      <c r="C3" s="2" t="s">
        <v>1060</v>
      </c>
      <c r="D3" s="2" t="s">
        <v>1062</v>
      </c>
    </row>
    <row r="4">
      <c r="A4" s="64" t="s">
        <v>1056</v>
      </c>
      <c r="B4" s="2" t="s">
        <v>1064</v>
      </c>
      <c r="C4" s="2" t="s">
        <v>1060</v>
      </c>
      <c r="D4" s="2" t="s">
        <v>1062</v>
      </c>
    </row>
    <row r="5">
      <c r="A5" s="64" t="s">
        <v>1056</v>
      </c>
      <c r="B5" s="2" t="s">
        <v>1066</v>
      </c>
      <c r="C5" s="2" t="s">
        <v>1060</v>
      </c>
      <c r="D5" s="2" t="s">
        <v>1062</v>
      </c>
    </row>
    <row r="6">
      <c r="A6" s="64" t="s">
        <v>1056</v>
      </c>
      <c r="B6" s="2" t="s">
        <v>1068</v>
      </c>
      <c r="C6" s="2" t="s">
        <v>1060</v>
      </c>
      <c r="D6" s="2" t="s">
        <v>1062</v>
      </c>
    </row>
    <row r="7">
      <c r="A7" s="64" t="s">
        <v>1056</v>
      </c>
      <c r="B7" s="2" t="s">
        <v>1069</v>
      </c>
      <c r="C7" s="2" t="s">
        <v>1060</v>
      </c>
      <c r="D7" s="2" t="s">
        <v>1062</v>
      </c>
    </row>
    <row r="8">
      <c r="A8" s="64" t="s">
        <v>1056</v>
      </c>
      <c r="B8" s="2" t="s">
        <v>1069</v>
      </c>
      <c r="C8" s="2" t="s">
        <v>1060</v>
      </c>
      <c r="D8" s="2" t="s">
        <v>1062</v>
      </c>
    </row>
    <row r="9">
      <c r="A9" s="64" t="s">
        <v>1056</v>
      </c>
      <c r="B9" s="2" t="s">
        <v>1074</v>
      </c>
      <c r="C9" s="2" t="s">
        <v>1060</v>
      </c>
      <c r="D9" s="2" t="s">
        <v>1062</v>
      </c>
    </row>
    <row r="10">
      <c r="A10" s="64" t="s">
        <v>1056</v>
      </c>
      <c r="B10" s="2" t="s">
        <v>1077</v>
      </c>
      <c r="C10" s="2" t="s">
        <v>1060</v>
      </c>
      <c r="D10" s="2" t="s">
        <v>1062</v>
      </c>
    </row>
    <row r="11">
      <c r="A11" s="64" t="s">
        <v>1056</v>
      </c>
      <c r="B11" s="2" t="s">
        <v>1081</v>
      </c>
      <c r="C11" s="2" t="s">
        <v>1060</v>
      </c>
      <c r="D11" s="2" t="s">
        <v>1062</v>
      </c>
    </row>
    <row r="12">
      <c r="A12" s="64" t="s">
        <v>1056</v>
      </c>
      <c r="B12" s="2" t="s">
        <v>1083</v>
      </c>
      <c r="C12" s="2" t="s">
        <v>1060</v>
      </c>
      <c r="D12" s="2" t="s">
        <v>1062</v>
      </c>
    </row>
    <row r="13">
      <c r="A13" s="64" t="s">
        <v>1056</v>
      </c>
      <c r="B13" s="2" t="s">
        <v>1087</v>
      </c>
      <c r="C13" s="2" t="s">
        <v>1060</v>
      </c>
      <c r="D13" s="2" t="s">
        <v>1062</v>
      </c>
    </row>
    <row r="14">
      <c r="A14" s="64" t="s">
        <v>1056</v>
      </c>
      <c r="B14" s="2" t="s">
        <v>1089</v>
      </c>
      <c r="C14" s="2" t="s">
        <v>1060</v>
      </c>
      <c r="D14" s="2" t="s">
        <v>1062</v>
      </c>
    </row>
    <row r="15">
      <c r="A15" s="64" t="s">
        <v>1056</v>
      </c>
      <c r="B15" s="2" t="s">
        <v>1090</v>
      </c>
      <c r="C15" s="2" t="s">
        <v>1060</v>
      </c>
      <c r="D15" s="2" t="s">
        <v>1062</v>
      </c>
    </row>
    <row r="16">
      <c r="A16" s="64" t="s">
        <v>1056</v>
      </c>
      <c r="B16" s="2" t="s">
        <v>1091</v>
      </c>
      <c r="C16" s="2" t="s">
        <v>1060</v>
      </c>
      <c r="D16" s="2" t="s">
        <v>1062</v>
      </c>
    </row>
    <row r="17">
      <c r="A17" s="64" t="s">
        <v>1056</v>
      </c>
      <c r="B17" s="2" t="s">
        <v>1094</v>
      </c>
      <c r="C17" s="2" t="s">
        <v>1060</v>
      </c>
      <c r="D17" s="2" t="s">
        <v>1062</v>
      </c>
    </row>
    <row r="18">
      <c r="A18" s="64" t="s">
        <v>1056</v>
      </c>
      <c r="B18" s="2" t="s">
        <v>1096</v>
      </c>
      <c r="C18" s="2" t="s">
        <v>1060</v>
      </c>
      <c r="D18" s="2" t="s">
        <v>1062</v>
      </c>
    </row>
    <row r="19">
      <c r="A19" s="64" t="s">
        <v>1056</v>
      </c>
      <c r="B19" s="2" t="s">
        <v>1097</v>
      </c>
      <c r="C19" s="2" t="s">
        <v>1060</v>
      </c>
      <c r="D19" s="2" t="s">
        <v>1062</v>
      </c>
    </row>
    <row r="20">
      <c r="A20" s="64" t="s">
        <v>1056</v>
      </c>
      <c r="B20" s="2" t="s">
        <v>1098</v>
      </c>
      <c r="C20" s="2" t="s">
        <v>1060</v>
      </c>
      <c r="D20" s="2" t="s">
        <v>1062</v>
      </c>
    </row>
    <row r="21">
      <c r="A21" s="64" t="s">
        <v>1056</v>
      </c>
      <c r="B21" s="2" t="s">
        <v>1101</v>
      </c>
      <c r="C21" s="2" t="s">
        <v>1060</v>
      </c>
      <c r="D21" s="2" t="s">
        <v>1062</v>
      </c>
    </row>
    <row r="22">
      <c r="A22" s="64" t="s">
        <v>1056</v>
      </c>
      <c r="B22" s="2" t="s">
        <v>1103</v>
      </c>
      <c r="C22" s="2" t="s">
        <v>1060</v>
      </c>
      <c r="D22" s="2" t="s">
        <v>1062</v>
      </c>
    </row>
    <row r="23">
      <c r="A23" s="64" t="s">
        <v>1056</v>
      </c>
      <c r="B23" s="2" t="s">
        <v>1104</v>
      </c>
      <c r="C23" s="2" t="s">
        <v>1060</v>
      </c>
      <c r="D23" s="2" t="s">
        <v>1062</v>
      </c>
    </row>
    <row r="24">
      <c r="A24" s="64" t="s">
        <v>1056</v>
      </c>
      <c r="B24" s="2" t="s">
        <v>1110</v>
      </c>
      <c r="C24" s="2" t="s">
        <v>1060</v>
      </c>
      <c r="D24" s="2" t="s">
        <v>1062</v>
      </c>
    </row>
    <row r="25">
      <c r="A25" s="64" t="s">
        <v>1056</v>
      </c>
      <c r="B25" s="2" t="s">
        <v>1111</v>
      </c>
      <c r="C25" s="2" t="s">
        <v>1060</v>
      </c>
      <c r="D25" s="2" t="s">
        <v>1062</v>
      </c>
    </row>
    <row r="26">
      <c r="A26" s="64" t="s">
        <v>1056</v>
      </c>
      <c r="B26" s="2" t="s">
        <v>1113</v>
      </c>
      <c r="C26" s="2" t="s">
        <v>1060</v>
      </c>
      <c r="D26" s="2" t="s">
        <v>1062</v>
      </c>
    </row>
    <row r="27">
      <c r="A27" s="64" t="s">
        <v>1056</v>
      </c>
      <c r="B27" s="2" t="s">
        <v>1116</v>
      </c>
      <c r="C27" s="2" t="s">
        <v>1060</v>
      </c>
      <c r="D27" s="2" t="s">
        <v>1062</v>
      </c>
    </row>
    <row r="28">
      <c r="A28" s="64" t="s">
        <v>1056</v>
      </c>
      <c r="B28" s="2" t="s">
        <v>1118</v>
      </c>
      <c r="C28" s="2" t="s">
        <v>1060</v>
      </c>
      <c r="D28" s="2" t="s">
        <v>1062</v>
      </c>
    </row>
    <row r="29">
      <c r="A29" s="64" t="s">
        <v>1056</v>
      </c>
      <c r="B29" s="2" t="s">
        <v>1120</v>
      </c>
      <c r="C29" s="2" t="s">
        <v>1060</v>
      </c>
      <c r="D29" s="2" t="s">
        <v>1062</v>
      </c>
    </row>
    <row r="30">
      <c r="A30" s="64" t="s">
        <v>1056</v>
      </c>
      <c r="B30" s="2" t="s">
        <v>1125</v>
      </c>
      <c r="C30" s="2" t="s">
        <v>1060</v>
      </c>
      <c r="D30" s="2" t="s">
        <v>1062</v>
      </c>
    </row>
    <row r="31">
      <c r="A31" s="64" t="s">
        <v>1056</v>
      </c>
      <c r="B31" s="2" t="s">
        <v>1126</v>
      </c>
      <c r="C31" s="2" t="s">
        <v>1060</v>
      </c>
      <c r="D31" s="2" t="s">
        <v>1062</v>
      </c>
    </row>
    <row r="32">
      <c r="A32" s="64" t="s">
        <v>1056</v>
      </c>
      <c r="B32" s="2" t="s">
        <v>1128</v>
      </c>
      <c r="C32" s="2" t="s">
        <v>1060</v>
      </c>
      <c r="D32" s="2" t="s">
        <v>1062</v>
      </c>
    </row>
    <row r="33">
      <c r="A33" s="64" t="s">
        <v>1056</v>
      </c>
      <c r="B33" s="2" t="s">
        <v>1131</v>
      </c>
      <c r="C33" s="2" t="s">
        <v>1060</v>
      </c>
      <c r="D33" s="2" t="s">
        <v>1062</v>
      </c>
    </row>
    <row r="34">
      <c r="A34" s="64" t="s">
        <v>1056</v>
      </c>
      <c r="B34" s="2" t="s">
        <v>1134</v>
      </c>
      <c r="C34" s="2" t="s">
        <v>1060</v>
      </c>
      <c r="D34" s="2" t="s">
        <v>1062</v>
      </c>
    </row>
    <row r="35">
      <c r="A35" s="64" t="s">
        <v>1056</v>
      </c>
      <c r="B35" s="2" t="s">
        <v>1138</v>
      </c>
      <c r="C35" s="2" t="s">
        <v>1060</v>
      </c>
      <c r="D35" s="2" t="s">
        <v>1062</v>
      </c>
    </row>
    <row r="36">
      <c r="A36" s="64" t="s">
        <v>1056</v>
      </c>
      <c r="B36" s="2" t="s">
        <v>1141</v>
      </c>
      <c r="C36" s="2" t="s">
        <v>1060</v>
      </c>
      <c r="D36" s="2" t="s">
        <v>1062</v>
      </c>
    </row>
    <row r="37">
      <c r="A37" s="64" t="s">
        <v>1056</v>
      </c>
      <c r="B37" s="2" t="s">
        <v>1142</v>
      </c>
      <c r="C37" s="2" t="s">
        <v>1060</v>
      </c>
      <c r="D37" s="2" t="s">
        <v>1062</v>
      </c>
    </row>
    <row r="38">
      <c r="A38" s="64" t="s">
        <v>1056</v>
      </c>
      <c r="B38" s="2" t="s">
        <v>1144</v>
      </c>
      <c r="C38" s="2" t="s">
        <v>1060</v>
      </c>
      <c r="D38" s="2" t="s">
        <v>1062</v>
      </c>
    </row>
    <row r="39">
      <c r="A39" s="64" t="s">
        <v>1056</v>
      </c>
      <c r="B39" s="2" t="s">
        <v>1148</v>
      </c>
      <c r="C39" s="2" t="s">
        <v>1060</v>
      </c>
      <c r="D39" s="2" t="s">
        <v>1062</v>
      </c>
    </row>
    <row r="40">
      <c r="A40" s="64" t="s">
        <v>1056</v>
      </c>
      <c r="B40" s="2" t="s">
        <v>1149</v>
      </c>
      <c r="C40" s="2" t="s">
        <v>1060</v>
      </c>
      <c r="D40" s="2" t="s">
        <v>1062</v>
      </c>
    </row>
    <row r="41">
      <c r="A41" s="64" t="s">
        <v>1056</v>
      </c>
      <c r="B41" s="2" t="s">
        <v>1151</v>
      </c>
      <c r="C41" s="2" t="s">
        <v>1060</v>
      </c>
      <c r="D41" s="2" t="s">
        <v>1062</v>
      </c>
    </row>
    <row r="42">
      <c r="A42" s="64" t="s">
        <v>1056</v>
      </c>
      <c r="B42" s="2" t="s">
        <v>1155</v>
      </c>
      <c r="C42" s="2" t="s">
        <v>1060</v>
      </c>
      <c r="D42" s="2" t="s">
        <v>1062</v>
      </c>
    </row>
    <row r="43">
      <c r="A43" s="64" t="s">
        <v>1056</v>
      </c>
      <c r="B43" s="2" t="s">
        <v>1158</v>
      </c>
      <c r="C43" s="2" t="s">
        <v>1060</v>
      </c>
      <c r="D43" s="2" t="s">
        <v>1062</v>
      </c>
    </row>
    <row r="44">
      <c r="A44" s="64" t="s">
        <v>1056</v>
      </c>
      <c r="B44" s="2" t="s">
        <v>1162</v>
      </c>
      <c r="C44" s="2" t="s">
        <v>1060</v>
      </c>
      <c r="D44" s="2" t="s">
        <v>1062</v>
      </c>
    </row>
    <row r="45">
      <c r="A45" s="64" t="s">
        <v>1056</v>
      </c>
      <c r="B45" s="2" t="s">
        <v>1165</v>
      </c>
      <c r="C45" s="2" t="s">
        <v>1060</v>
      </c>
      <c r="D45" s="2" t="s">
        <v>1062</v>
      </c>
    </row>
    <row r="46">
      <c r="A46" s="64" t="s">
        <v>1056</v>
      </c>
      <c r="B46" s="2" t="s">
        <v>1167</v>
      </c>
      <c r="C46" s="2" t="s">
        <v>1060</v>
      </c>
      <c r="D46" s="2" t="s">
        <v>1062</v>
      </c>
    </row>
    <row r="47">
      <c r="A47" s="64" t="s">
        <v>1056</v>
      </c>
      <c r="B47" s="2" t="s">
        <v>1168</v>
      </c>
      <c r="C47" s="2" t="s">
        <v>1060</v>
      </c>
      <c r="D47" s="2" t="s">
        <v>1062</v>
      </c>
    </row>
    <row r="48">
      <c r="A48" s="64" t="s">
        <v>1056</v>
      </c>
      <c r="B48" s="2" t="s">
        <v>1170</v>
      </c>
      <c r="C48" s="2" t="s">
        <v>1060</v>
      </c>
      <c r="D48" s="2" t="s">
        <v>1062</v>
      </c>
    </row>
    <row r="49">
      <c r="A49" s="64" t="s">
        <v>1056</v>
      </c>
      <c r="B49" s="2" t="s">
        <v>1173</v>
      </c>
      <c r="C49" s="2" t="s">
        <v>1060</v>
      </c>
      <c r="D49" s="2" t="s">
        <v>1062</v>
      </c>
    </row>
    <row r="50">
      <c r="A50" s="64" t="s">
        <v>1056</v>
      </c>
      <c r="B50" s="2" t="s">
        <v>1174</v>
      </c>
      <c r="C50" s="2" t="s">
        <v>1060</v>
      </c>
      <c r="D50" s="2" t="s">
        <v>1062</v>
      </c>
    </row>
    <row r="51">
      <c r="A51" s="64" t="s">
        <v>1056</v>
      </c>
      <c r="B51" s="2" t="s">
        <v>1175</v>
      </c>
      <c r="C51" s="2" t="s">
        <v>1060</v>
      </c>
      <c r="D51" s="2" t="s">
        <v>1062</v>
      </c>
    </row>
    <row r="52">
      <c r="A52" s="64" t="s">
        <v>1056</v>
      </c>
      <c r="B52" s="2" t="s">
        <v>1176</v>
      </c>
      <c r="C52" s="2" t="s">
        <v>1060</v>
      </c>
      <c r="D52" s="2" t="s">
        <v>1062</v>
      </c>
    </row>
    <row r="53">
      <c r="A53" s="64" t="s">
        <v>1056</v>
      </c>
      <c r="B53" s="2" t="s">
        <v>1178</v>
      </c>
      <c r="C53" s="2" t="s">
        <v>1060</v>
      </c>
      <c r="D53" s="2" t="s">
        <v>1062</v>
      </c>
    </row>
    <row r="54">
      <c r="A54" s="64" t="s">
        <v>1056</v>
      </c>
      <c r="B54" s="2" t="s">
        <v>1180</v>
      </c>
      <c r="C54" s="2" t="s">
        <v>1060</v>
      </c>
      <c r="D54" s="2" t="s">
        <v>1062</v>
      </c>
    </row>
    <row r="55">
      <c r="A55" s="64" t="s">
        <v>1056</v>
      </c>
      <c r="B55" s="2" t="s">
        <v>1182</v>
      </c>
      <c r="C55" s="2" t="s">
        <v>1060</v>
      </c>
      <c r="D55" s="2" t="s">
        <v>1062</v>
      </c>
    </row>
    <row r="56">
      <c r="A56" s="64" t="s">
        <v>1056</v>
      </c>
      <c r="B56" s="2" t="s">
        <v>1185</v>
      </c>
      <c r="C56" s="2" t="s">
        <v>1060</v>
      </c>
      <c r="D56" s="2" t="s">
        <v>1062</v>
      </c>
    </row>
    <row r="57">
      <c r="A57" s="64" t="s">
        <v>1056</v>
      </c>
      <c r="B57" s="2" t="s">
        <v>1187</v>
      </c>
      <c r="C57" s="2" t="s">
        <v>1060</v>
      </c>
      <c r="D57" s="2" t="s">
        <v>1062</v>
      </c>
    </row>
    <row r="58">
      <c r="A58" s="64" t="s">
        <v>1056</v>
      </c>
      <c r="B58" s="2" t="s">
        <v>1188</v>
      </c>
      <c r="C58" s="2" t="s">
        <v>1060</v>
      </c>
      <c r="D58" s="2" t="s">
        <v>1062</v>
      </c>
    </row>
    <row r="59">
      <c r="A59" s="64" t="s">
        <v>1056</v>
      </c>
      <c r="B59" s="2" t="s">
        <v>1190</v>
      </c>
      <c r="C59" s="2" t="s">
        <v>1060</v>
      </c>
      <c r="D59" s="2" t="s">
        <v>1062</v>
      </c>
    </row>
    <row r="60">
      <c r="A60" s="64" t="s">
        <v>1056</v>
      </c>
      <c r="B60" s="2" t="s">
        <v>1192</v>
      </c>
      <c r="C60" s="2" t="s">
        <v>1060</v>
      </c>
      <c r="D60" s="2" t="s">
        <v>1062</v>
      </c>
    </row>
    <row r="61">
      <c r="A61" s="64" t="s">
        <v>1056</v>
      </c>
      <c r="B61" s="2" t="s">
        <v>1193</v>
      </c>
      <c r="C61" s="2" t="s">
        <v>1060</v>
      </c>
      <c r="D61" s="2" t="s">
        <v>1062</v>
      </c>
    </row>
    <row r="62">
      <c r="A62" s="64" t="s">
        <v>1056</v>
      </c>
      <c r="B62" s="2" t="s">
        <v>1196</v>
      </c>
      <c r="C62" s="2" t="s">
        <v>1060</v>
      </c>
      <c r="D62" s="2" t="s">
        <v>1062</v>
      </c>
    </row>
    <row r="63">
      <c r="A63" s="64" t="s">
        <v>1056</v>
      </c>
      <c r="B63" s="2" t="s">
        <v>1199</v>
      </c>
      <c r="C63" s="2" t="s">
        <v>1060</v>
      </c>
      <c r="D63" s="2" t="s">
        <v>1062</v>
      </c>
    </row>
    <row r="64">
      <c r="A64" s="64" t="s">
        <v>1056</v>
      </c>
      <c r="B64" s="2" t="s">
        <v>1200</v>
      </c>
      <c r="C64" s="2" t="s">
        <v>1060</v>
      </c>
      <c r="D64" s="2" t="s">
        <v>1062</v>
      </c>
    </row>
    <row r="65">
      <c r="A65" s="64" t="s">
        <v>1056</v>
      </c>
      <c r="B65" s="2" t="s">
        <v>1201</v>
      </c>
      <c r="C65" s="2" t="s">
        <v>1060</v>
      </c>
      <c r="D65" s="2" t="s">
        <v>1062</v>
      </c>
    </row>
    <row r="66">
      <c r="A66" s="64" t="s">
        <v>1056</v>
      </c>
      <c r="B66" s="2" t="s">
        <v>1204</v>
      </c>
      <c r="C66" s="2" t="s">
        <v>1060</v>
      </c>
      <c r="D66" s="2" t="s">
        <v>1062</v>
      </c>
    </row>
    <row r="67">
      <c r="A67" s="64" t="s">
        <v>1056</v>
      </c>
      <c r="B67" s="2" t="s">
        <v>1207</v>
      </c>
      <c r="C67" s="2" t="s">
        <v>1060</v>
      </c>
      <c r="D67" s="2" t="s">
        <v>1062</v>
      </c>
    </row>
    <row r="68">
      <c r="A68" s="64" t="s">
        <v>1056</v>
      </c>
      <c r="B68" s="2" t="s">
        <v>1208</v>
      </c>
      <c r="C68" s="2" t="s">
        <v>1060</v>
      </c>
      <c r="D68" s="2" t="s">
        <v>1062</v>
      </c>
    </row>
    <row r="69">
      <c r="A69" s="64" t="s">
        <v>1056</v>
      </c>
      <c r="B69" s="2" t="s">
        <v>1209</v>
      </c>
      <c r="C69" s="2" t="s">
        <v>1060</v>
      </c>
      <c r="D69" s="2" t="s">
        <v>1062</v>
      </c>
    </row>
    <row r="70">
      <c r="A70" s="64" t="s">
        <v>1056</v>
      </c>
      <c r="B70" s="2" t="s">
        <v>1214</v>
      </c>
      <c r="C70" s="2" t="s">
        <v>1060</v>
      </c>
      <c r="D70" s="2" t="s">
        <v>1062</v>
      </c>
    </row>
    <row r="71">
      <c r="A71" s="64" t="s">
        <v>1056</v>
      </c>
      <c r="B71" s="2" t="s">
        <v>1217</v>
      </c>
      <c r="C71" s="2" t="s">
        <v>1060</v>
      </c>
      <c r="D71" s="2" t="s">
        <v>1062</v>
      </c>
    </row>
    <row r="72">
      <c r="A72" s="64" t="s">
        <v>1056</v>
      </c>
      <c r="B72" s="2" t="s">
        <v>1218</v>
      </c>
      <c r="C72" s="2" t="s">
        <v>1060</v>
      </c>
      <c r="D72" s="2" t="s">
        <v>1062</v>
      </c>
    </row>
    <row r="73">
      <c r="A73" s="64" t="s">
        <v>1056</v>
      </c>
      <c r="B73" s="2" t="s">
        <v>1219</v>
      </c>
      <c r="C73" s="2" t="s">
        <v>1060</v>
      </c>
      <c r="D73" s="2" t="s">
        <v>1062</v>
      </c>
    </row>
    <row r="74">
      <c r="A74" s="64" t="s">
        <v>1056</v>
      </c>
      <c r="B74" s="2" t="s">
        <v>1224</v>
      </c>
      <c r="C74" s="2" t="s">
        <v>1060</v>
      </c>
      <c r="D74" s="2" t="s">
        <v>1062</v>
      </c>
    </row>
    <row r="75">
      <c r="A75" s="64" t="s">
        <v>1056</v>
      </c>
      <c r="B75" s="2" t="s">
        <v>1226</v>
      </c>
      <c r="C75" s="2" t="s">
        <v>1060</v>
      </c>
      <c r="D75" s="2" t="s">
        <v>1062</v>
      </c>
    </row>
    <row r="76">
      <c r="A76" s="64" t="s">
        <v>1056</v>
      </c>
      <c r="B76" s="2" t="s">
        <v>1227</v>
      </c>
      <c r="C76" s="2" t="s">
        <v>1060</v>
      </c>
      <c r="D76" s="2" t="s">
        <v>1062</v>
      </c>
    </row>
    <row r="77">
      <c r="A77" s="64" t="s">
        <v>1056</v>
      </c>
      <c r="B77" s="2" t="s">
        <v>1230</v>
      </c>
      <c r="C77" s="2" t="s">
        <v>1060</v>
      </c>
      <c r="D77" s="2" t="s">
        <v>1062</v>
      </c>
    </row>
    <row r="78">
      <c r="A78" s="64" t="s">
        <v>1056</v>
      </c>
      <c r="B78" s="2" t="s">
        <v>1231</v>
      </c>
      <c r="C78" s="2" t="s">
        <v>1060</v>
      </c>
      <c r="D78" s="2" t="s">
        <v>1062</v>
      </c>
    </row>
    <row r="79">
      <c r="A79" s="64" t="s">
        <v>1056</v>
      </c>
      <c r="B79" s="2" t="s">
        <v>1233</v>
      </c>
      <c r="C79" s="2" t="s">
        <v>1060</v>
      </c>
      <c r="D79" s="2" t="s">
        <v>1062</v>
      </c>
    </row>
    <row r="80">
      <c r="A80" s="64" t="s">
        <v>1056</v>
      </c>
      <c r="B80" s="2" t="s">
        <v>1234</v>
      </c>
      <c r="C80" s="2" t="s">
        <v>1060</v>
      </c>
      <c r="D80" s="2" t="s">
        <v>1062</v>
      </c>
    </row>
    <row r="81">
      <c r="A81" s="64" t="s">
        <v>1056</v>
      </c>
      <c r="B81" s="2" t="s">
        <v>1235</v>
      </c>
      <c r="C81" s="2" t="s">
        <v>1060</v>
      </c>
      <c r="D81" s="2" t="s">
        <v>1062</v>
      </c>
    </row>
    <row r="82">
      <c r="A82" s="64" t="s">
        <v>1056</v>
      </c>
      <c r="B82" s="2" t="s">
        <v>1236</v>
      </c>
      <c r="C82" s="2" t="s">
        <v>1060</v>
      </c>
      <c r="D82" s="2" t="s">
        <v>1062</v>
      </c>
    </row>
    <row r="83">
      <c r="A83" s="64" t="s">
        <v>1056</v>
      </c>
      <c r="B83" s="2" t="s">
        <v>1237</v>
      </c>
      <c r="C83" s="2" t="s">
        <v>1060</v>
      </c>
      <c r="D83" s="2" t="s">
        <v>1062</v>
      </c>
    </row>
    <row r="84">
      <c r="A84" s="64" t="s">
        <v>1056</v>
      </c>
      <c r="B84" s="2" t="s">
        <v>1240</v>
      </c>
      <c r="C84" s="2" t="s">
        <v>1060</v>
      </c>
      <c r="D84" s="2" t="s">
        <v>1062</v>
      </c>
    </row>
    <row r="85">
      <c r="A85" s="64" t="s">
        <v>1056</v>
      </c>
      <c r="B85" s="2" t="s">
        <v>1242</v>
      </c>
      <c r="C85" s="2" t="s">
        <v>1060</v>
      </c>
      <c r="D85" s="2" t="s">
        <v>1062</v>
      </c>
    </row>
    <row r="86">
      <c r="A86" s="64" t="s">
        <v>1056</v>
      </c>
      <c r="B86" s="2" t="s">
        <v>1245</v>
      </c>
      <c r="C86" s="2" t="s">
        <v>1060</v>
      </c>
      <c r="D86" s="2" t="s">
        <v>1062</v>
      </c>
    </row>
    <row r="87">
      <c r="A87" s="64" t="s">
        <v>1056</v>
      </c>
      <c r="B87" s="2" t="s">
        <v>1248</v>
      </c>
      <c r="C87" s="2" t="s">
        <v>1060</v>
      </c>
      <c r="D87" s="2" t="s">
        <v>1062</v>
      </c>
    </row>
    <row r="88">
      <c r="A88" s="64" t="s">
        <v>1056</v>
      </c>
      <c r="B88" s="2" t="s">
        <v>1250</v>
      </c>
      <c r="C88" s="2" t="s">
        <v>1060</v>
      </c>
      <c r="D88" s="2" t="s">
        <v>1062</v>
      </c>
    </row>
    <row r="89">
      <c r="A89" s="64" t="s">
        <v>1056</v>
      </c>
      <c r="B89" s="2" t="s">
        <v>1253</v>
      </c>
      <c r="C89" s="2" t="s">
        <v>1060</v>
      </c>
      <c r="D89" s="2" t="s">
        <v>1062</v>
      </c>
    </row>
    <row r="90">
      <c r="A90" s="64" t="s">
        <v>1056</v>
      </c>
      <c r="B90" s="2" t="s">
        <v>1255</v>
      </c>
      <c r="C90" s="2" t="s">
        <v>1060</v>
      </c>
      <c r="D90" s="2" t="s">
        <v>1062</v>
      </c>
    </row>
    <row r="91">
      <c r="A91" s="64" t="s">
        <v>1056</v>
      </c>
      <c r="B91" s="2" t="s">
        <v>1258</v>
      </c>
      <c r="C91" s="2" t="s">
        <v>1060</v>
      </c>
      <c r="D91" s="2" t="s">
        <v>1062</v>
      </c>
    </row>
    <row r="92">
      <c r="A92" s="64" t="s">
        <v>1056</v>
      </c>
      <c r="B92" s="2" t="s">
        <v>1262</v>
      </c>
      <c r="C92" s="2" t="s">
        <v>1060</v>
      </c>
      <c r="D92" s="2" t="s">
        <v>1062</v>
      </c>
    </row>
    <row r="93">
      <c r="A93" s="64" t="s">
        <v>1056</v>
      </c>
      <c r="B93" s="2" t="s">
        <v>1263</v>
      </c>
      <c r="C93" s="2" t="s">
        <v>1060</v>
      </c>
      <c r="D93" s="2" t="s">
        <v>1062</v>
      </c>
    </row>
    <row r="94">
      <c r="A94" s="64" t="s">
        <v>1056</v>
      </c>
      <c r="B94" s="2" t="s">
        <v>1264</v>
      </c>
      <c r="C94" s="2" t="s">
        <v>1060</v>
      </c>
      <c r="D94" s="2" t="s">
        <v>1062</v>
      </c>
    </row>
    <row r="95">
      <c r="A95" s="64" t="s">
        <v>1056</v>
      </c>
      <c r="B95" s="2" t="s">
        <v>1265</v>
      </c>
      <c r="C95" s="2" t="s">
        <v>1060</v>
      </c>
      <c r="D95" s="2" t="s">
        <v>1062</v>
      </c>
    </row>
    <row r="96">
      <c r="A96" s="64" t="s">
        <v>1056</v>
      </c>
      <c r="B96" s="2" t="s">
        <v>1266</v>
      </c>
      <c r="C96" s="2" t="s">
        <v>1060</v>
      </c>
      <c r="D96" s="2" t="s">
        <v>1062</v>
      </c>
    </row>
    <row r="97">
      <c r="A97" s="64" t="s">
        <v>1056</v>
      </c>
      <c r="B97" s="2" t="s">
        <v>1267</v>
      </c>
      <c r="C97" s="2" t="s">
        <v>1060</v>
      </c>
      <c r="D97" s="2" t="s">
        <v>1062</v>
      </c>
    </row>
    <row r="98">
      <c r="A98" s="64" t="s">
        <v>1056</v>
      </c>
      <c r="B98" s="2" t="s">
        <v>1268</v>
      </c>
      <c r="C98" s="2" t="s">
        <v>1060</v>
      </c>
      <c r="D98" s="2" t="s">
        <v>1062</v>
      </c>
    </row>
    <row r="99">
      <c r="A99" s="64" t="s">
        <v>1056</v>
      </c>
      <c r="B99" s="2" t="s">
        <v>1272</v>
      </c>
      <c r="C99" s="2" t="s">
        <v>1060</v>
      </c>
      <c r="D99" s="2" t="s">
        <v>1062</v>
      </c>
    </row>
    <row r="100">
      <c r="A100" s="64" t="s">
        <v>1056</v>
      </c>
      <c r="B100" s="2" t="s">
        <v>1273</v>
      </c>
      <c r="C100" s="2" t="s">
        <v>1060</v>
      </c>
      <c r="D100" s="2" t="s">
        <v>1062</v>
      </c>
    </row>
    <row r="101">
      <c r="A101" s="64" t="s">
        <v>1056</v>
      </c>
      <c r="B101" s="2" t="s">
        <v>1274</v>
      </c>
      <c r="C101" s="2" t="s">
        <v>1060</v>
      </c>
      <c r="D101" s="2" t="s">
        <v>1062</v>
      </c>
    </row>
    <row r="102">
      <c r="A102" s="64" t="s">
        <v>1056</v>
      </c>
      <c r="B102" s="2" t="s">
        <v>1275</v>
      </c>
      <c r="C102" s="2" t="s">
        <v>1060</v>
      </c>
      <c r="D102" s="2" t="s">
        <v>1062</v>
      </c>
    </row>
    <row r="103">
      <c r="A103" s="64" t="s">
        <v>1056</v>
      </c>
      <c r="B103" s="2" t="s">
        <v>1278</v>
      </c>
      <c r="C103" s="2" t="s">
        <v>1060</v>
      </c>
      <c r="D103" s="2" t="s">
        <v>1062</v>
      </c>
    </row>
    <row r="104">
      <c r="A104" s="64" t="s">
        <v>1056</v>
      </c>
      <c r="B104" s="2" t="s">
        <v>1280</v>
      </c>
      <c r="C104" s="2" t="s">
        <v>1060</v>
      </c>
      <c r="D104" s="2" t="s">
        <v>1062</v>
      </c>
    </row>
    <row r="105">
      <c r="A105" s="64" t="s">
        <v>1056</v>
      </c>
      <c r="B105" s="2" t="s">
        <v>1283</v>
      </c>
      <c r="C105" s="2" t="s">
        <v>1060</v>
      </c>
      <c r="D105" s="2" t="s">
        <v>1062</v>
      </c>
    </row>
    <row r="106">
      <c r="A106" s="64" t="s">
        <v>1056</v>
      </c>
      <c r="B106" s="2" t="s">
        <v>1286</v>
      </c>
      <c r="C106" s="2" t="s">
        <v>1060</v>
      </c>
      <c r="D106" s="2" t="s">
        <v>1062</v>
      </c>
    </row>
    <row r="107">
      <c r="A107" s="64" t="s">
        <v>1056</v>
      </c>
      <c r="B107" s="2" t="s">
        <v>1288</v>
      </c>
      <c r="C107" s="2" t="s">
        <v>1060</v>
      </c>
      <c r="D107" s="2" t="s">
        <v>1062</v>
      </c>
    </row>
    <row r="108">
      <c r="A108" s="64" t="s">
        <v>1056</v>
      </c>
      <c r="B108" s="2" t="s">
        <v>1289</v>
      </c>
      <c r="C108" s="2" t="s">
        <v>1060</v>
      </c>
      <c r="D108" s="2" t="s">
        <v>1062</v>
      </c>
    </row>
    <row r="109">
      <c r="A109" s="64" t="s">
        <v>1056</v>
      </c>
      <c r="B109" s="2" t="s">
        <v>1290</v>
      </c>
      <c r="C109" s="2" t="s">
        <v>1060</v>
      </c>
      <c r="D109" s="2" t="s">
        <v>1062</v>
      </c>
    </row>
    <row r="110">
      <c r="A110" s="64" t="s">
        <v>1056</v>
      </c>
      <c r="B110" s="2" t="s">
        <v>1292</v>
      </c>
      <c r="C110" s="2" t="s">
        <v>1060</v>
      </c>
      <c r="D110" s="2" t="s">
        <v>1062</v>
      </c>
    </row>
    <row r="111">
      <c r="A111" s="64" t="s">
        <v>1056</v>
      </c>
      <c r="B111" s="2" t="s">
        <v>1293</v>
      </c>
      <c r="C111" s="2" t="s">
        <v>1060</v>
      </c>
      <c r="D111" s="2" t="s">
        <v>1062</v>
      </c>
    </row>
    <row r="112">
      <c r="A112" s="64" t="s">
        <v>1056</v>
      </c>
      <c r="B112" s="2" t="s">
        <v>1297</v>
      </c>
      <c r="C112" s="2" t="s">
        <v>1060</v>
      </c>
      <c r="D112" s="2" t="s">
        <v>1062</v>
      </c>
    </row>
    <row r="113">
      <c r="A113" s="64" t="s">
        <v>1056</v>
      </c>
      <c r="B113" s="2" t="s">
        <v>1298</v>
      </c>
      <c r="C113" s="2" t="s">
        <v>1060</v>
      </c>
      <c r="D113" s="2" t="s">
        <v>1062</v>
      </c>
    </row>
    <row r="114">
      <c r="A114" s="64" t="s">
        <v>1056</v>
      </c>
      <c r="B114" s="2" t="s">
        <v>1300</v>
      </c>
      <c r="C114" s="2" t="s">
        <v>1060</v>
      </c>
      <c r="D114" s="2" t="s">
        <v>1062</v>
      </c>
    </row>
    <row r="115">
      <c r="A115" s="64" t="s">
        <v>1056</v>
      </c>
      <c r="B115" s="2" t="s">
        <v>1303</v>
      </c>
      <c r="C115" s="2" t="s">
        <v>1060</v>
      </c>
      <c r="D115" s="2" t="s">
        <v>1062</v>
      </c>
    </row>
    <row r="116">
      <c r="A116" s="64" t="s">
        <v>1056</v>
      </c>
      <c r="B116" s="2" t="s">
        <v>1304</v>
      </c>
      <c r="C116" s="2" t="s">
        <v>1060</v>
      </c>
      <c r="D116" s="2" t="s">
        <v>1062</v>
      </c>
    </row>
    <row r="117">
      <c r="A117" s="64" t="s">
        <v>1056</v>
      </c>
      <c r="B117" s="2" t="s">
        <v>1305</v>
      </c>
      <c r="C117" s="2" t="s">
        <v>1060</v>
      </c>
      <c r="D117" s="2" t="s">
        <v>1062</v>
      </c>
    </row>
    <row r="118">
      <c r="A118" s="64" t="s">
        <v>1056</v>
      </c>
      <c r="B118" s="2" t="s">
        <v>1306</v>
      </c>
      <c r="C118" s="2" t="s">
        <v>1060</v>
      </c>
      <c r="D118" s="2" t="s">
        <v>1062</v>
      </c>
    </row>
    <row r="119">
      <c r="A119" s="64" t="s">
        <v>1056</v>
      </c>
      <c r="B119" s="2" t="s">
        <v>1307</v>
      </c>
      <c r="C119" s="2" t="s">
        <v>1060</v>
      </c>
      <c r="D119" s="2" t="s">
        <v>1062</v>
      </c>
    </row>
    <row r="120">
      <c r="A120" s="64" t="s">
        <v>1056</v>
      </c>
      <c r="B120" s="2" t="s">
        <v>1308</v>
      </c>
      <c r="C120" s="2" t="s">
        <v>1060</v>
      </c>
      <c r="D120" s="2" t="s">
        <v>1062</v>
      </c>
    </row>
    <row r="121">
      <c r="A121" s="64" t="s">
        <v>1056</v>
      </c>
      <c r="B121" s="2" t="s">
        <v>1309</v>
      </c>
      <c r="C121" s="2" t="s">
        <v>1060</v>
      </c>
      <c r="D121" s="2" t="s">
        <v>1062</v>
      </c>
    </row>
    <row r="122">
      <c r="A122" s="64" t="s">
        <v>1056</v>
      </c>
      <c r="B122" s="2" t="s">
        <v>1311</v>
      </c>
      <c r="C122" s="2" t="s">
        <v>1060</v>
      </c>
      <c r="D122" s="2" t="s">
        <v>1062</v>
      </c>
    </row>
    <row r="123">
      <c r="A123" s="64" t="s">
        <v>1056</v>
      </c>
      <c r="B123" s="2" t="s">
        <v>1312</v>
      </c>
      <c r="C123" s="2" t="s">
        <v>1060</v>
      </c>
      <c r="D123" s="2" t="s">
        <v>1062</v>
      </c>
    </row>
    <row r="124">
      <c r="A124" s="64" t="s">
        <v>1056</v>
      </c>
      <c r="B124" s="2" t="s">
        <v>1313</v>
      </c>
      <c r="C124" s="2" t="s">
        <v>1060</v>
      </c>
      <c r="D124" s="2" t="s">
        <v>1062</v>
      </c>
    </row>
    <row r="125">
      <c r="A125" s="64" t="s">
        <v>1056</v>
      </c>
      <c r="B125" s="2" t="s">
        <v>1314</v>
      </c>
      <c r="C125" s="2" t="s">
        <v>1060</v>
      </c>
      <c r="D125" s="2" t="s">
        <v>1062</v>
      </c>
    </row>
    <row r="126">
      <c r="A126" s="64" t="s">
        <v>1056</v>
      </c>
      <c r="B126" s="2" t="s">
        <v>1316</v>
      </c>
      <c r="C126" s="2" t="s">
        <v>1060</v>
      </c>
      <c r="D126" s="2" t="s">
        <v>1062</v>
      </c>
    </row>
    <row r="127">
      <c r="A127" s="64" t="s">
        <v>1056</v>
      </c>
      <c r="B127" s="2" t="s">
        <v>1317</v>
      </c>
      <c r="C127" s="2" t="s">
        <v>1060</v>
      </c>
      <c r="D127" s="2" t="s">
        <v>1062</v>
      </c>
    </row>
    <row r="128">
      <c r="A128" s="64" t="s">
        <v>1056</v>
      </c>
      <c r="B128" s="2" t="s">
        <v>1318</v>
      </c>
      <c r="C128" s="2" t="s">
        <v>1060</v>
      </c>
      <c r="D128" s="2" t="s">
        <v>1062</v>
      </c>
    </row>
    <row r="129">
      <c r="A129" s="64" t="s">
        <v>1056</v>
      </c>
      <c r="B129" s="2" t="s">
        <v>1320</v>
      </c>
      <c r="C129" s="2" t="s">
        <v>1060</v>
      </c>
      <c r="D129" s="2" t="s">
        <v>1062</v>
      </c>
    </row>
    <row r="130">
      <c r="A130" s="64" t="s">
        <v>1056</v>
      </c>
      <c r="B130" s="2" t="s">
        <v>1323</v>
      </c>
      <c r="C130" s="2" t="s">
        <v>1060</v>
      </c>
      <c r="D130" s="2" t="s">
        <v>1062</v>
      </c>
    </row>
    <row r="131">
      <c r="A131" s="64" t="s">
        <v>1056</v>
      </c>
      <c r="B131" s="2" t="s">
        <v>1324</v>
      </c>
      <c r="C131" s="2" t="s">
        <v>1060</v>
      </c>
      <c r="D131" s="2" t="s">
        <v>1062</v>
      </c>
    </row>
    <row r="132">
      <c r="A132" s="64" t="s">
        <v>1056</v>
      </c>
      <c r="B132" s="2" t="s">
        <v>1325</v>
      </c>
      <c r="C132" s="2" t="s">
        <v>1060</v>
      </c>
      <c r="D132" s="2" t="s">
        <v>1062</v>
      </c>
    </row>
    <row r="133">
      <c r="A133" s="64" t="s">
        <v>1056</v>
      </c>
      <c r="B133" s="2" t="s">
        <v>1326</v>
      </c>
      <c r="C133" s="2" t="s">
        <v>1060</v>
      </c>
      <c r="D133" s="2" t="s">
        <v>1062</v>
      </c>
    </row>
    <row r="134">
      <c r="A134" s="64" t="s">
        <v>1056</v>
      </c>
      <c r="B134" s="2" t="s">
        <v>1327</v>
      </c>
      <c r="C134" s="2" t="s">
        <v>1060</v>
      </c>
      <c r="D134" s="2" t="s">
        <v>1062</v>
      </c>
    </row>
    <row r="135">
      <c r="A135" s="64" t="s">
        <v>1056</v>
      </c>
      <c r="B135" s="2" t="s">
        <v>1330</v>
      </c>
      <c r="C135" s="2" t="s">
        <v>1060</v>
      </c>
      <c r="D135" s="2" t="s">
        <v>1062</v>
      </c>
    </row>
    <row r="136">
      <c r="A136" s="64" t="s">
        <v>1056</v>
      </c>
      <c r="B136" s="2" t="s">
        <v>1331</v>
      </c>
      <c r="C136" s="2" t="s">
        <v>1060</v>
      </c>
      <c r="D136" s="2" t="s">
        <v>1062</v>
      </c>
    </row>
    <row r="137">
      <c r="A137" s="64" t="s">
        <v>1056</v>
      </c>
      <c r="B137" s="2" t="s">
        <v>1333</v>
      </c>
      <c r="C137" s="2" t="s">
        <v>1060</v>
      </c>
      <c r="D137" s="2" t="s">
        <v>1062</v>
      </c>
    </row>
    <row r="138">
      <c r="A138" s="64" t="s">
        <v>1056</v>
      </c>
      <c r="B138" s="2" t="s">
        <v>1334</v>
      </c>
      <c r="C138" s="2" t="s">
        <v>1060</v>
      </c>
      <c r="D138" s="2" t="s">
        <v>1062</v>
      </c>
    </row>
    <row r="139">
      <c r="A139" s="64" t="s">
        <v>1056</v>
      </c>
      <c r="B139" s="2" t="s">
        <v>1335</v>
      </c>
      <c r="C139" s="2" t="s">
        <v>1060</v>
      </c>
      <c r="D139" s="2" t="s">
        <v>1062</v>
      </c>
    </row>
    <row r="140">
      <c r="A140" s="64" t="s">
        <v>1056</v>
      </c>
      <c r="B140" s="2" t="s">
        <v>1337</v>
      </c>
      <c r="C140" s="2" t="s">
        <v>1060</v>
      </c>
      <c r="D140" s="2" t="s">
        <v>1062</v>
      </c>
    </row>
    <row r="141">
      <c r="A141" s="64" t="s">
        <v>1056</v>
      </c>
      <c r="B141" s="2" t="s">
        <v>1338</v>
      </c>
      <c r="C141" s="2" t="s">
        <v>1060</v>
      </c>
      <c r="D141" s="2" t="s">
        <v>1062</v>
      </c>
    </row>
    <row r="142">
      <c r="A142" s="64" t="s">
        <v>1056</v>
      </c>
      <c r="B142" s="2" t="s">
        <v>1339</v>
      </c>
      <c r="C142" s="2" t="s">
        <v>1060</v>
      </c>
      <c r="D142" s="2" t="s">
        <v>1062</v>
      </c>
    </row>
    <row r="143">
      <c r="A143" s="64" t="s">
        <v>1056</v>
      </c>
      <c r="B143" s="2" t="s">
        <v>1340</v>
      </c>
      <c r="C143" s="2" t="s">
        <v>1060</v>
      </c>
      <c r="D143" s="2" t="s">
        <v>1062</v>
      </c>
    </row>
    <row r="144">
      <c r="A144" s="64" t="s">
        <v>1056</v>
      </c>
      <c r="B144" s="2" t="s">
        <v>1341</v>
      </c>
      <c r="C144" s="2" t="s">
        <v>1060</v>
      </c>
      <c r="D144" s="2" t="s">
        <v>1062</v>
      </c>
    </row>
    <row r="145">
      <c r="A145" s="64" t="s">
        <v>1056</v>
      </c>
      <c r="B145" s="2" t="s">
        <v>1343</v>
      </c>
      <c r="C145" s="2" t="s">
        <v>1060</v>
      </c>
      <c r="D145" s="2" t="s">
        <v>1062</v>
      </c>
    </row>
    <row r="146">
      <c r="A146" s="64" t="s">
        <v>1056</v>
      </c>
      <c r="B146" s="2" t="s">
        <v>1344</v>
      </c>
      <c r="C146" s="2" t="s">
        <v>1060</v>
      </c>
      <c r="D146" s="2" t="s">
        <v>1062</v>
      </c>
    </row>
    <row r="147">
      <c r="A147" s="64" t="s">
        <v>1056</v>
      </c>
      <c r="B147" s="2" t="s">
        <v>1345</v>
      </c>
      <c r="C147" s="2" t="s">
        <v>1060</v>
      </c>
      <c r="D147" s="2" t="s">
        <v>1062</v>
      </c>
    </row>
    <row r="148">
      <c r="A148" s="64" t="s">
        <v>1056</v>
      </c>
      <c r="B148" s="2" t="s">
        <v>1346</v>
      </c>
      <c r="C148" s="2" t="s">
        <v>1060</v>
      </c>
      <c r="D148" s="2" t="s">
        <v>1062</v>
      </c>
    </row>
    <row r="149">
      <c r="A149" s="64" t="s">
        <v>1056</v>
      </c>
      <c r="B149" s="2" t="s">
        <v>1347</v>
      </c>
      <c r="C149" s="2" t="s">
        <v>1060</v>
      </c>
      <c r="D149" s="2" t="s">
        <v>1062</v>
      </c>
    </row>
    <row r="150">
      <c r="A150" s="64" t="s">
        <v>1056</v>
      </c>
      <c r="B150" s="2" t="s">
        <v>1349</v>
      </c>
      <c r="C150" s="2" t="s">
        <v>1060</v>
      </c>
      <c r="D150" s="2" t="s">
        <v>1062</v>
      </c>
    </row>
    <row r="151">
      <c r="A151" s="64" t="s">
        <v>1056</v>
      </c>
      <c r="B151" s="2" t="s">
        <v>1351</v>
      </c>
      <c r="C151" s="2" t="s">
        <v>1060</v>
      </c>
      <c r="D151" s="2" t="s">
        <v>1062</v>
      </c>
    </row>
    <row r="152">
      <c r="A152" s="64" t="s">
        <v>1056</v>
      </c>
      <c r="B152" s="2" t="s">
        <v>1352</v>
      </c>
      <c r="C152" s="2" t="s">
        <v>1060</v>
      </c>
      <c r="D152" s="2" t="s">
        <v>1062</v>
      </c>
    </row>
    <row r="153">
      <c r="A153" s="64" t="s">
        <v>1056</v>
      </c>
      <c r="B153" s="2" t="s">
        <v>1353</v>
      </c>
      <c r="C153" s="2" t="s">
        <v>1060</v>
      </c>
      <c r="D153" s="2" t="s">
        <v>1062</v>
      </c>
    </row>
    <row r="154">
      <c r="A154" s="64" t="s">
        <v>1056</v>
      </c>
      <c r="B154" s="2" t="s">
        <v>1354</v>
      </c>
      <c r="C154" s="2" t="s">
        <v>1060</v>
      </c>
      <c r="D154" s="2" t="s">
        <v>1062</v>
      </c>
    </row>
    <row r="155">
      <c r="A155" s="64" t="s">
        <v>1056</v>
      </c>
      <c r="B155" s="2" t="s">
        <v>1356</v>
      </c>
      <c r="C155" s="2" t="s">
        <v>1060</v>
      </c>
      <c r="D155" s="2" t="s">
        <v>1062</v>
      </c>
    </row>
    <row r="156">
      <c r="A156" s="64" t="s">
        <v>1056</v>
      </c>
      <c r="B156" s="2" t="s">
        <v>1357</v>
      </c>
      <c r="C156" s="2" t="s">
        <v>1060</v>
      </c>
      <c r="D156" s="2" t="s">
        <v>1062</v>
      </c>
    </row>
    <row r="157">
      <c r="A157" s="64" t="s">
        <v>1056</v>
      </c>
      <c r="B157" s="2" t="s">
        <v>1358</v>
      </c>
      <c r="C157" s="2" t="s">
        <v>1060</v>
      </c>
      <c r="D157" s="2" t="s">
        <v>1062</v>
      </c>
    </row>
    <row r="158">
      <c r="A158" s="64" t="s">
        <v>1056</v>
      </c>
      <c r="B158" s="2" t="s">
        <v>1359</v>
      </c>
      <c r="C158" s="2" t="s">
        <v>1060</v>
      </c>
      <c r="D158" s="2" t="s">
        <v>1062</v>
      </c>
    </row>
    <row r="159">
      <c r="A159" s="64" t="s">
        <v>1056</v>
      </c>
      <c r="B159" s="2" t="s">
        <v>1360</v>
      </c>
      <c r="C159" s="2" t="s">
        <v>1060</v>
      </c>
      <c r="D159" s="2" t="s">
        <v>1062</v>
      </c>
    </row>
    <row r="160">
      <c r="A160" s="64" t="s">
        <v>1056</v>
      </c>
      <c r="B160" s="2" t="s">
        <v>1361</v>
      </c>
      <c r="C160" s="2" t="s">
        <v>1060</v>
      </c>
      <c r="D160" s="2" t="s">
        <v>1062</v>
      </c>
    </row>
    <row r="161">
      <c r="A161" s="64" t="s">
        <v>1056</v>
      </c>
      <c r="B161" s="2" t="s">
        <v>1364</v>
      </c>
      <c r="C161" s="2" t="s">
        <v>1060</v>
      </c>
      <c r="D161" s="2" t="s">
        <v>1062</v>
      </c>
    </row>
    <row r="162">
      <c r="A162" s="64" t="s">
        <v>1056</v>
      </c>
      <c r="B162" s="2" t="s">
        <v>1366</v>
      </c>
      <c r="C162" s="2" t="s">
        <v>1060</v>
      </c>
      <c r="D162" s="2" t="s">
        <v>1062</v>
      </c>
    </row>
    <row r="163">
      <c r="A163" s="64" t="s">
        <v>1056</v>
      </c>
      <c r="B163" s="2" t="s">
        <v>1367</v>
      </c>
      <c r="C163" s="2" t="s">
        <v>1060</v>
      </c>
      <c r="D163" s="2" t="s">
        <v>1062</v>
      </c>
    </row>
    <row r="164">
      <c r="A164" s="64" t="s">
        <v>1056</v>
      </c>
      <c r="B164" s="2" t="s">
        <v>1368</v>
      </c>
      <c r="C164" s="2" t="s">
        <v>1060</v>
      </c>
      <c r="D164" s="2" t="s">
        <v>1062</v>
      </c>
    </row>
    <row r="165">
      <c r="A165" s="64" t="s">
        <v>1056</v>
      </c>
      <c r="B165" s="2" t="s">
        <v>1369</v>
      </c>
      <c r="C165" s="2" t="s">
        <v>1060</v>
      </c>
      <c r="D165" s="2" t="s">
        <v>1062</v>
      </c>
    </row>
    <row r="166">
      <c r="A166" s="64" t="s">
        <v>1056</v>
      </c>
      <c r="B166" s="2" t="s">
        <v>1371</v>
      </c>
      <c r="C166" s="2" t="s">
        <v>1060</v>
      </c>
      <c r="D166" s="2" t="s">
        <v>1062</v>
      </c>
    </row>
    <row r="167">
      <c r="A167" s="64" t="s">
        <v>1056</v>
      </c>
      <c r="B167" s="2" t="s">
        <v>1372</v>
      </c>
      <c r="C167" s="2" t="s">
        <v>1060</v>
      </c>
      <c r="D167" s="2" t="s">
        <v>1062</v>
      </c>
    </row>
    <row r="168">
      <c r="A168" s="64" t="s">
        <v>1056</v>
      </c>
      <c r="B168" s="2" t="s">
        <v>1373</v>
      </c>
      <c r="C168" s="2" t="s">
        <v>1060</v>
      </c>
      <c r="D168" s="2" t="s">
        <v>1062</v>
      </c>
    </row>
    <row r="169">
      <c r="A169" s="64" t="s">
        <v>1056</v>
      </c>
      <c r="B169" s="2" t="s">
        <v>1374</v>
      </c>
      <c r="C169" s="2" t="s">
        <v>1060</v>
      </c>
      <c r="D169" s="2" t="s">
        <v>1062</v>
      </c>
    </row>
    <row r="170">
      <c r="A170" s="64" t="s">
        <v>1056</v>
      </c>
      <c r="B170" s="2" t="s">
        <v>1375</v>
      </c>
      <c r="C170" s="2" t="s">
        <v>1060</v>
      </c>
      <c r="D170" s="2" t="s">
        <v>1062</v>
      </c>
    </row>
    <row r="171">
      <c r="A171" s="64" t="s">
        <v>1056</v>
      </c>
      <c r="B171" s="2" t="s">
        <v>1376</v>
      </c>
      <c r="C171" s="2" t="s">
        <v>1060</v>
      </c>
      <c r="D171" s="2" t="s">
        <v>1062</v>
      </c>
    </row>
    <row r="172">
      <c r="A172" s="64" t="s">
        <v>1056</v>
      </c>
      <c r="B172" s="2" t="s">
        <v>1377</v>
      </c>
      <c r="C172" s="2" t="s">
        <v>1060</v>
      </c>
      <c r="D172" s="2" t="s">
        <v>1062</v>
      </c>
    </row>
    <row r="173">
      <c r="A173" s="64" t="s">
        <v>1056</v>
      </c>
      <c r="B173" s="2" t="s">
        <v>1379</v>
      </c>
      <c r="C173" s="2" t="s">
        <v>1060</v>
      </c>
      <c r="D173" s="2" t="s">
        <v>1062</v>
      </c>
    </row>
    <row r="174">
      <c r="A174" s="64" t="s">
        <v>1056</v>
      </c>
      <c r="B174" s="2" t="s">
        <v>1380</v>
      </c>
      <c r="C174" s="2" t="s">
        <v>1060</v>
      </c>
      <c r="D174" s="2" t="s">
        <v>1062</v>
      </c>
    </row>
    <row r="175">
      <c r="A175" s="64" t="s">
        <v>1056</v>
      </c>
      <c r="B175" s="2" t="s">
        <v>1381</v>
      </c>
      <c r="C175" s="2" t="s">
        <v>1060</v>
      </c>
      <c r="D175" s="2" t="s">
        <v>1062</v>
      </c>
    </row>
    <row r="176">
      <c r="A176" s="64" t="s">
        <v>1056</v>
      </c>
      <c r="B176" s="2" t="s">
        <v>1382</v>
      </c>
      <c r="C176" s="2" t="s">
        <v>1060</v>
      </c>
      <c r="D176" s="2" t="s">
        <v>1062</v>
      </c>
    </row>
    <row r="177">
      <c r="A177" s="64" t="s">
        <v>1056</v>
      </c>
      <c r="B177" s="2" t="s">
        <v>1383</v>
      </c>
      <c r="C177" s="2" t="s">
        <v>1060</v>
      </c>
      <c r="D177" s="2" t="s">
        <v>1062</v>
      </c>
    </row>
    <row r="178">
      <c r="A178" s="64" t="s">
        <v>1056</v>
      </c>
      <c r="B178" s="2" t="s">
        <v>1386</v>
      </c>
      <c r="C178" s="2" t="s">
        <v>1060</v>
      </c>
      <c r="D178" s="2" t="s">
        <v>1062</v>
      </c>
    </row>
    <row r="179">
      <c r="A179" s="64" t="s">
        <v>1056</v>
      </c>
      <c r="B179" s="2" t="s">
        <v>1387</v>
      </c>
      <c r="C179" s="2" t="s">
        <v>1060</v>
      </c>
      <c r="D179" s="2" t="s">
        <v>1062</v>
      </c>
    </row>
    <row r="180">
      <c r="A180" s="64" t="s">
        <v>1056</v>
      </c>
      <c r="B180" s="2" t="s">
        <v>1388</v>
      </c>
      <c r="C180" s="2" t="s">
        <v>1060</v>
      </c>
      <c r="D180" s="2" t="s">
        <v>1062</v>
      </c>
    </row>
    <row r="181">
      <c r="A181" s="64" t="s">
        <v>1056</v>
      </c>
      <c r="B181" s="2" t="s">
        <v>1389</v>
      </c>
      <c r="C181" s="2" t="s">
        <v>1060</v>
      </c>
      <c r="D181" s="2" t="s">
        <v>1062</v>
      </c>
    </row>
    <row r="182">
      <c r="A182" s="64" t="s">
        <v>1056</v>
      </c>
      <c r="B182" s="2" t="s">
        <v>1390</v>
      </c>
      <c r="C182" s="2" t="s">
        <v>1060</v>
      </c>
      <c r="D182" s="2" t="s">
        <v>1062</v>
      </c>
    </row>
    <row r="183">
      <c r="A183" s="64" t="s">
        <v>1056</v>
      </c>
      <c r="B183" s="2" t="s">
        <v>1394</v>
      </c>
      <c r="C183" s="2" t="s">
        <v>1060</v>
      </c>
      <c r="D183" s="2" t="s">
        <v>1062</v>
      </c>
    </row>
    <row r="184">
      <c r="A184" s="64" t="s">
        <v>1056</v>
      </c>
      <c r="B184" s="2" t="s">
        <v>1395</v>
      </c>
      <c r="C184" s="2" t="s">
        <v>1060</v>
      </c>
      <c r="D184" s="2" t="s">
        <v>1062</v>
      </c>
    </row>
    <row r="185">
      <c r="A185" s="64" t="s">
        <v>1056</v>
      </c>
      <c r="B185" s="2" t="s">
        <v>1396</v>
      </c>
      <c r="C185" s="2" t="s">
        <v>1060</v>
      </c>
      <c r="D185" s="2" t="s">
        <v>1062</v>
      </c>
    </row>
    <row r="186">
      <c r="A186" s="64" t="s">
        <v>1056</v>
      </c>
      <c r="B186" s="2" t="s">
        <v>1397</v>
      </c>
      <c r="C186" s="2" t="s">
        <v>1060</v>
      </c>
      <c r="D186" s="2" t="s">
        <v>1062</v>
      </c>
    </row>
    <row r="187">
      <c r="A187" s="64" t="s">
        <v>1056</v>
      </c>
      <c r="B187" s="2" t="s">
        <v>1399</v>
      </c>
      <c r="C187" s="2" t="s">
        <v>1060</v>
      </c>
      <c r="D187" s="2" t="s">
        <v>1062</v>
      </c>
    </row>
    <row r="188">
      <c r="A188" s="64" t="s">
        <v>1056</v>
      </c>
      <c r="B188" s="2" t="s">
        <v>1400</v>
      </c>
      <c r="C188" s="2" t="s">
        <v>1060</v>
      </c>
      <c r="D188" s="2" t="s">
        <v>1062</v>
      </c>
    </row>
    <row r="189">
      <c r="A189" s="64" t="s">
        <v>1056</v>
      </c>
      <c r="B189" s="2" t="s">
        <v>1401</v>
      </c>
      <c r="C189" s="2" t="s">
        <v>1060</v>
      </c>
      <c r="D189" s="2" t="s">
        <v>1062</v>
      </c>
    </row>
    <row r="190">
      <c r="A190" s="64" t="s">
        <v>1056</v>
      </c>
      <c r="B190" s="2" t="s">
        <v>1402</v>
      </c>
      <c r="C190" s="2" t="s">
        <v>1060</v>
      </c>
      <c r="D190" s="2" t="s">
        <v>1062</v>
      </c>
    </row>
    <row r="191">
      <c r="A191" s="64" t="s">
        <v>1056</v>
      </c>
      <c r="B191" s="2" t="s">
        <v>1403</v>
      </c>
      <c r="C191" s="2" t="s">
        <v>1060</v>
      </c>
      <c r="D191" s="2" t="s">
        <v>1062</v>
      </c>
    </row>
    <row r="192">
      <c r="A192" s="64" t="s">
        <v>1056</v>
      </c>
      <c r="B192" s="2" t="s">
        <v>1404</v>
      </c>
      <c r="C192" s="2" t="s">
        <v>1060</v>
      </c>
      <c r="D192" s="2" t="s">
        <v>1062</v>
      </c>
    </row>
    <row r="193">
      <c r="A193" s="64" t="s">
        <v>1056</v>
      </c>
      <c r="B193" s="2" t="s">
        <v>1405</v>
      </c>
      <c r="C193" s="2" t="s">
        <v>1060</v>
      </c>
      <c r="D193" s="2" t="s">
        <v>1062</v>
      </c>
    </row>
    <row r="194">
      <c r="A194" s="64" t="s">
        <v>1056</v>
      </c>
      <c r="B194" s="2" t="s">
        <v>1406</v>
      </c>
      <c r="C194" s="2" t="s">
        <v>1060</v>
      </c>
      <c r="D194" s="2" t="s">
        <v>1062</v>
      </c>
    </row>
    <row r="195">
      <c r="A195" s="64" t="s">
        <v>1056</v>
      </c>
      <c r="B195" s="2" t="s">
        <v>1407</v>
      </c>
      <c r="C195" s="2" t="s">
        <v>1060</v>
      </c>
      <c r="D195" s="2" t="s">
        <v>1062</v>
      </c>
    </row>
    <row r="196">
      <c r="A196" s="64" t="s">
        <v>1056</v>
      </c>
      <c r="B196" s="2" t="s">
        <v>1408</v>
      </c>
      <c r="C196" s="2" t="s">
        <v>1060</v>
      </c>
      <c r="D196" s="2" t="s">
        <v>1062</v>
      </c>
    </row>
    <row r="197">
      <c r="A197" s="64" t="s">
        <v>1056</v>
      </c>
      <c r="B197" s="2" t="s">
        <v>1409</v>
      </c>
      <c r="C197" s="2" t="s">
        <v>1060</v>
      </c>
      <c r="D197" s="2" t="s">
        <v>1062</v>
      </c>
    </row>
    <row r="198">
      <c r="A198" s="64" t="s">
        <v>1056</v>
      </c>
      <c r="B198" s="2" t="s">
        <v>1410</v>
      </c>
      <c r="C198" s="2" t="s">
        <v>1060</v>
      </c>
      <c r="D198" s="2" t="s">
        <v>1062</v>
      </c>
    </row>
    <row r="199">
      <c r="A199" s="64" t="s">
        <v>1056</v>
      </c>
      <c r="B199" s="2" t="s">
        <v>1412</v>
      </c>
      <c r="C199" s="2" t="s">
        <v>1060</v>
      </c>
      <c r="D199" s="2" t="s">
        <v>1062</v>
      </c>
    </row>
    <row r="200">
      <c r="A200" s="64" t="s">
        <v>1056</v>
      </c>
      <c r="B200" s="2" t="s">
        <v>1413</v>
      </c>
      <c r="C200" s="2" t="s">
        <v>1060</v>
      </c>
      <c r="D200" s="2" t="s">
        <v>1062</v>
      </c>
    </row>
    <row r="201">
      <c r="A201" s="64" t="s">
        <v>1056</v>
      </c>
      <c r="B201" s="2" t="s">
        <v>1414</v>
      </c>
      <c r="C201" s="2" t="s">
        <v>1060</v>
      </c>
      <c r="D201" s="2" t="s">
        <v>1062</v>
      </c>
    </row>
    <row r="202">
      <c r="A202" s="64" t="s">
        <v>1056</v>
      </c>
      <c r="B202" s="2" t="s">
        <v>1415</v>
      </c>
      <c r="C202" s="2" t="s">
        <v>1060</v>
      </c>
      <c r="D202" s="2" t="s">
        <v>1062</v>
      </c>
    </row>
    <row r="203">
      <c r="A203" s="64" t="s">
        <v>1056</v>
      </c>
      <c r="B203" s="2" t="s">
        <v>1416</v>
      </c>
      <c r="C203" s="2" t="s">
        <v>1060</v>
      </c>
      <c r="D203" s="2" t="s">
        <v>1062</v>
      </c>
    </row>
    <row r="204">
      <c r="A204" s="64" t="s">
        <v>1056</v>
      </c>
      <c r="B204" s="2" t="s">
        <v>1417</v>
      </c>
      <c r="C204" s="2" t="s">
        <v>1060</v>
      </c>
      <c r="D204" s="2" t="s">
        <v>1062</v>
      </c>
    </row>
    <row r="205">
      <c r="A205" s="64" t="s">
        <v>1056</v>
      </c>
      <c r="B205" s="2" t="s">
        <v>1418</v>
      </c>
      <c r="C205" s="2" t="s">
        <v>1060</v>
      </c>
      <c r="D205" s="2" t="s">
        <v>1062</v>
      </c>
    </row>
    <row r="206">
      <c r="A206" s="64" t="s">
        <v>1056</v>
      </c>
      <c r="B206" s="2" t="s">
        <v>1420</v>
      </c>
      <c r="C206" s="2" t="s">
        <v>1060</v>
      </c>
      <c r="D206" s="2" t="s">
        <v>1062</v>
      </c>
    </row>
    <row r="207">
      <c r="A207" s="64" t="s">
        <v>1056</v>
      </c>
      <c r="B207" s="2" t="s">
        <v>1422</v>
      </c>
      <c r="C207" s="2" t="s">
        <v>1060</v>
      </c>
      <c r="D207" s="2" t="s">
        <v>1062</v>
      </c>
    </row>
    <row r="208">
      <c r="A208" s="64" t="s">
        <v>1056</v>
      </c>
      <c r="B208" s="2" t="s">
        <v>1423</v>
      </c>
      <c r="C208" s="2" t="s">
        <v>1060</v>
      </c>
      <c r="D208" s="2" t="s">
        <v>1062</v>
      </c>
    </row>
    <row r="209">
      <c r="A209" s="64" t="s">
        <v>1056</v>
      </c>
      <c r="B209" s="2" t="s">
        <v>1424</v>
      </c>
      <c r="C209" s="2" t="s">
        <v>1060</v>
      </c>
      <c r="D209" s="2" t="s">
        <v>1062</v>
      </c>
    </row>
    <row r="210">
      <c r="A210" s="64" t="s">
        <v>1056</v>
      </c>
      <c r="B210" s="2" t="s">
        <v>1425</v>
      </c>
      <c r="C210" s="2" t="s">
        <v>1060</v>
      </c>
      <c r="D210" s="2" t="s">
        <v>1062</v>
      </c>
    </row>
    <row r="211">
      <c r="A211" s="64" t="s">
        <v>1056</v>
      </c>
      <c r="B211" s="2" t="s">
        <v>1426</v>
      </c>
      <c r="C211" s="2" t="s">
        <v>1060</v>
      </c>
      <c r="D211" s="2" t="s">
        <v>1062</v>
      </c>
    </row>
    <row r="212">
      <c r="A212" s="64" t="s">
        <v>1056</v>
      </c>
      <c r="B212" s="2" t="s">
        <v>1427</v>
      </c>
      <c r="C212" s="2" t="s">
        <v>1060</v>
      </c>
      <c r="D212" s="2" t="s">
        <v>1062</v>
      </c>
    </row>
    <row r="213">
      <c r="A213" s="64" t="s">
        <v>1056</v>
      </c>
      <c r="B213" s="2" t="s">
        <v>1428</v>
      </c>
      <c r="C213" s="2" t="s">
        <v>1060</v>
      </c>
      <c r="D213" s="2" t="s">
        <v>1062</v>
      </c>
    </row>
    <row r="214">
      <c r="A214" s="64" t="s">
        <v>1056</v>
      </c>
      <c r="B214" s="2" t="s">
        <v>1429</v>
      </c>
      <c r="C214" s="2" t="s">
        <v>1060</v>
      </c>
      <c r="D214" s="2" t="s">
        <v>1062</v>
      </c>
    </row>
    <row r="215">
      <c r="A215" s="64" t="s">
        <v>1056</v>
      </c>
      <c r="B215" s="2" t="s">
        <v>1430</v>
      </c>
      <c r="C215" s="2" t="s">
        <v>1060</v>
      </c>
      <c r="D215" s="2" t="s">
        <v>1062</v>
      </c>
    </row>
    <row r="216">
      <c r="A216" s="64" t="s">
        <v>1056</v>
      </c>
      <c r="B216" s="2" t="s">
        <v>1431</v>
      </c>
      <c r="C216" s="2" t="s">
        <v>1060</v>
      </c>
      <c r="D216" s="2" t="s">
        <v>1062</v>
      </c>
    </row>
    <row r="217">
      <c r="A217" s="64" t="s">
        <v>1056</v>
      </c>
      <c r="B217" s="2" t="s">
        <v>1432</v>
      </c>
      <c r="C217" s="2" t="s">
        <v>1060</v>
      </c>
      <c r="D217" s="2" t="s">
        <v>1062</v>
      </c>
    </row>
    <row r="218">
      <c r="A218" s="64" t="s">
        <v>1056</v>
      </c>
      <c r="B218" s="2" t="s">
        <v>1433</v>
      </c>
      <c r="C218" s="2" t="s">
        <v>1060</v>
      </c>
      <c r="D218" s="2" t="s">
        <v>1062</v>
      </c>
    </row>
    <row r="219">
      <c r="A219" s="64" t="s">
        <v>1056</v>
      </c>
      <c r="B219" s="2" t="s">
        <v>1434</v>
      </c>
      <c r="C219" s="2" t="s">
        <v>1060</v>
      </c>
      <c r="D219" s="2" t="s">
        <v>1062</v>
      </c>
    </row>
    <row r="220">
      <c r="A220" s="64" t="s">
        <v>1056</v>
      </c>
      <c r="B220" s="2" t="s">
        <v>1435</v>
      </c>
      <c r="C220" s="2" t="s">
        <v>1060</v>
      </c>
      <c r="D220" s="2" t="s">
        <v>1062</v>
      </c>
    </row>
    <row r="221">
      <c r="A221" s="64" t="s">
        <v>1056</v>
      </c>
      <c r="B221" s="2" t="s">
        <v>1437</v>
      </c>
      <c r="C221" s="2" t="s">
        <v>1060</v>
      </c>
      <c r="D221" s="2" t="s">
        <v>1062</v>
      </c>
    </row>
    <row r="222">
      <c r="A222" s="64" t="s">
        <v>1056</v>
      </c>
      <c r="B222" s="2" t="s">
        <v>1438</v>
      </c>
      <c r="C222" s="2" t="s">
        <v>1060</v>
      </c>
      <c r="D222" s="2" t="s">
        <v>1062</v>
      </c>
    </row>
    <row r="223">
      <c r="A223" s="64" t="s">
        <v>1056</v>
      </c>
      <c r="B223" s="2" t="s">
        <v>1439</v>
      </c>
      <c r="C223" s="2" t="s">
        <v>1060</v>
      </c>
      <c r="D223" s="2" t="s">
        <v>1062</v>
      </c>
    </row>
    <row r="224">
      <c r="A224" s="64" t="s">
        <v>1056</v>
      </c>
      <c r="B224" s="2" t="s">
        <v>1440</v>
      </c>
      <c r="C224" s="2" t="s">
        <v>1060</v>
      </c>
      <c r="D224" s="2" t="s">
        <v>1062</v>
      </c>
    </row>
    <row r="225">
      <c r="A225" s="64" t="s">
        <v>1056</v>
      </c>
      <c r="B225" s="2" t="s">
        <v>1441</v>
      </c>
      <c r="C225" s="2" t="s">
        <v>1060</v>
      </c>
      <c r="D225" s="2" t="s">
        <v>1062</v>
      </c>
    </row>
    <row r="226">
      <c r="A226" s="64" t="s">
        <v>1056</v>
      </c>
      <c r="B226" s="2" t="s">
        <v>1444</v>
      </c>
      <c r="C226" s="2" t="s">
        <v>1060</v>
      </c>
      <c r="D226" s="2" t="s">
        <v>1062</v>
      </c>
    </row>
    <row r="227">
      <c r="A227" s="64" t="s">
        <v>1056</v>
      </c>
      <c r="B227" s="2" t="s">
        <v>1445</v>
      </c>
      <c r="C227" s="2" t="s">
        <v>1060</v>
      </c>
      <c r="D227" s="2" t="s">
        <v>1062</v>
      </c>
    </row>
    <row r="228">
      <c r="A228" s="64" t="s">
        <v>1056</v>
      </c>
      <c r="B228" s="2" t="s">
        <v>1446</v>
      </c>
      <c r="C228" s="2" t="s">
        <v>1060</v>
      </c>
      <c r="D228" s="2" t="s">
        <v>1062</v>
      </c>
    </row>
    <row r="229">
      <c r="A229" s="64" t="s">
        <v>1056</v>
      </c>
      <c r="B229" s="2" t="s">
        <v>1447</v>
      </c>
      <c r="C229" s="2" t="s">
        <v>1060</v>
      </c>
      <c r="D229" s="2" t="s">
        <v>1062</v>
      </c>
    </row>
    <row r="230">
      <c r="A230" s="64" t="s">
        <v>1056</v>
      </c>
      <c r="B230" s="2" t="s">
        <v>1448</v>
      </c>
      <c r="C230" s="2" t="s">
        <v>1060</v>
      </c>
      <c r="D230" s="2" t="s">
        <v>1062</v>
      </c>
    </row>
    <row r="231">
      <c r="A231" s="64" t="s">
        <v>1056</v>
      </c>
      <c r="B231" s="2" t="s">
        <v>1449</v>
      </c>
      <c r="C231" s="2" t="s">
        <v>1060</v>
      </c>
      <c r="D231" s="2" t="s">
        <v>1062</v>
      </c>
    </row>
    <row r="232">
      <c r="A232" s="64" t="s">
        <v>1056</v>
      </c>
      <c r="B232" s="2" t="s">
        <v>1450</v>
      </c>
      <c r="C232" s="2" t="s">
        <v>1060</v>
      </c>
      <c r="D232" s="2" t="s">
        <v>1062</v>
      </c>
    </row>
    <row r="233">
      <c r="A233" s="64" t="s">
        <v>1056</v>
      </c>
      <c r="B233" s="2" t="s">
        <v>1451</v>
      </c>
      <c r="C233" s="2" t="s">
        <v>1060</v>
      </c>
      <c r="D233" s="2" t="s">
        <v>1062</v>
      </c>
    </row>
    <row r="234">
      <c r="A234" s="64" t="s">
        <v>1056</v>
      </c>
      <c r="B234" s="2" t="s">
        <v>1453</v>
      </c>
      <c r="C234" s="2" t="s">
        <v>1060</v>
      </c>
      <c r="D234" s="2" t="s">
        <v>1062</v>
      </c>
    </row>
    <row r="235">
      <c r="A235" s="64" t="s">
        <v>1056</v>
      </c>
      <c r="B235" s="2" t="s">
        <v>1454</v>
      </c>
      <c r="C235" s="2" t="s">
        <v>1060</v>
      </c>
      <c r="D235" s="2" t="s">
        <v>1062</v>
      </c>
    </row>
    <row r="236">
      <c r="A236" s="64" t="s">
        <v>1056</v>
      </c>
      <c r="B236" s="2" t="s">
        <v>1455</v>
      </c>
      <c r="C236" s="2" t="s">
        <v>1060</v>
      </c>
      <c r="D236" s="2" t="s">
        <v>1062</v>
      </c>
    </row>
    <row r="237">
      <c r="A237" s="64" t="s">
        <v>1056</v>
      </c>
      <c r="B237" s="2" t="s">
        <v>1456</v>
      </c>
      <c r="C237" s="2" t="s">
        <v>1060</v>
      </c>
      <c r="D237" s="2" t="s">
        <v>1062</v>
      </c>
    </row>
    <row r="238">
      <c r="A238" s="64" t="s">
        <v>1056</v>
      </c>
      <c r="B238" s="2" t="s">
        <v>1457</v>
      </c>
      <c r="C238" s="2" t="s">
        <v>1060</v>
      </c>
      <c r="D238" s="2" t="s">
        <v>1062</v>
      </c>
    </row>
    <row r="239">
      <c r="A239" s="64" t="s">
        <v>1056</v>
      </c>
      <c r="B239" s="2" t="s">
        <v>1458</v>
      </c>
      <c r="C239" s="2" t="s">
        <v>1060</v>
      </c>
      <c r="D239" s="2" t="s">
        <v>1062</v>
      </c>
    </row>
    <row r="240">
      <c r="A240" s="64" t="s">
        <v>1056</v>
      </c>
      <c r="B240" s="2" t="s">
        <v>1459</v>
      </c>
      <c r="C240" s="2" t="s">
        <v>1060</v>
      </c>
      <c r="D240" s="2" t="s">
        <v>1062</v>
      </c>
    </row>
    <row r="241">
      <c r="A241" s="64" t="s">
        <v>1056</v>
      </c>
      <c r="B241" s="2" t="s">
        <v>1460</v>
      </c>
      <c r="C241" s="2" t="s">
        <v>1060</v>
      </c>
      <c r="D241" s="2" t="s">
        <v>1062</v>
      </c>
    </row>
    <row r="242">
      <c r="A242" s="64" t="s">
        <v>1056</v>
      </c>
      <c r="B242" s="2" t="s">
        <v>1461</v>
      </c>
      <c r="C242" s="2" t="s">
        <v>1060</v>
      </c>
      <c r="D242" s="2" t="s">
        <v>1062</v>
      </c>
    </row>
    <row r="243">
      <c r="A243" s="64" t="s">
        <v>1056</v>
      </c>
      <c r="B243" s="2" t="s">
        <v>1462</v>
      </c>
      <c r="C243" s="2" t="s">
        <v>1060</v>
      </c>
      <c r="D243" s="2" t="s">
        <v>1062</v>
      </c>
    </row>
    <row r="244">
      <c r="A244" s="64" t="s">
        <v>1056</v>
      </c>
      <c r="B244" s="2" t="s">
        <v>1463</v>
      </c>
      <c r="C244" s="2" t="s">
        <v>1060</v>
      </c>
      <c r="D244" s="2" t="s">
        <v>1062</v>
      </c>
    </row>
    <row r="245">
      <c r="A245" s="64" t="s">
        <v>1056</v>
      </c>
      <c r="B245" s="2" t="s">
        <v>1464</v>
      </c>
      <c r="C245" s="2" t="s">
        <v>1060</v>
      </c>
      <c r="D245" s="2" t="s">
        <v>1062</v>
      </c>
    </row>
    <row r="246">
      <c r="A246" s="64" t="s">
        <v>1056</v>
      </c>
      <c r="B246" s="2" t="s">
        <v>1465</v>
      </c>
      <c r="C246" s="2" t="s">
        <v>1060</v>
      </c>
      <c r="D246" s="2" t="s">
        <v>1062</v>
      </c>
    </row>
    <row r="247">
      <c r="A247" s="64" t="s">
        <v>1056</v>
      </c>
      <c r="B247" s="2" t="s">
        <v>1466</v>
      </c>
      <c r="C247" s="2" t="s">
        <v>1060</v>
      </c>
      <c r="D247" s="2" t="s">
        <v>1062</v>
      </c>
    </row>
    <row r="248">
      <c r="A248" s="64" t="s">
        <v>1056</v>
      </c>
      <c r="B248" s="2" t="s">
        <v>1467</v>
      </c>
      <c r="C248" s="2" t="s">
        <v>1060</v>
      </c>
      <c r="D248" s="2" t="s">
        <v>1062</v>
      </c>
    </row>
    <row r="249">
      <c r="A249" s="64" t="s">
        <v>1056</v>
      </c>
      <c r="B249" s="2" t="s">
        <v>1468</v>
      </c>
      <c r="C249" s="2" t="s">
        <v>1060</v>
      </c>
      <c r="D249" s="2" t="s">
        <v>1062</v>
      </c>
    </row>
    <row r="250">
      <c r="A250" s="64" t="s">
        <v>1056</v>
      </c>
      <c r="B250" s="2" t="s">
        <v>1469</v>
      </c>
      <c r="C250" s="2" t="s">
        <v>1060</v>
      </c>
      <c r="D250" s="2" t="s">
        <v>1062</v>
      </c>
    </row>
    <row r="251">
      <c r="A251" s="64" t="s">
        <v>1056</v>
      </c>
      <c r="B251" s="2" t="s">
        <v>1470</v>
      </c>
      <c r="C251" s="2" t="s">
        <v>1060</v>
      </c>
      <c r="D251" s="2" t="s">
        <v>1062</v>
      </c>
    </row>
    <row r="252">
      <c r="A252" s="64" t="s">
        <v>1056</v>
      </c>
      <c r="B252" s="2" t="s">
        <v>1471</v>
      </c>
      <c r="C252" s="2" t="s">
        <v>1060</v>
      </c>
      <c r="D252" s="2" t="s">
        <v>1062</v>
      </c>
    </row>
    <row r="253">
      <c r="A253" s="64" t="s">
        <v>1056</v>
      </c>
      <c r="B253" s="2" t="s">
        <v>1472</v>
      </c>
      <c r="C253" s="2" t="s">
        <v>1060</v>
      </c>
      <c r="D253" s="2" t="s">
        <v>1062</v>
      </c>
    </row>
    <row r="254">
      <c r="A254" s="64" t="s">
        <v>1056</v>
      </c>
      <c r="B254" s="2" t="s">
        <v>1473</v>
      </c>
      <c r="C254" s="2" t="s">
        <v>1060</v>
      </c>
      <c r="D254" s="2" t="s">
        <v>1062</v>
      </c>
    </row>
    <row r="255">
      <c r="A255" s="64" t="s">
        <v>1056</v>
      </c>
      <c r="B255" s="2" t="s">
        <v>1475</v>
      </c>
      <c r="C255" s="2" t="s">
        <v>1060</v>
      </c>
      <c r="D255" s="2" t="s">
        <v>1062</v>
      </c>
    </row>
    <row r="256">
      <c r="A256" s="64" t="s">
        <v>1056</v>
      </c>
      <c r="B256" s="2" t="s">
        <v>1476</v>
      </c>
      <c r="C256" s="2" t="s">
        <v>1060</v>
      </c>
      <c r="D256" s="2" t="s">
        <v>1062</v>
      </c>
    </row>
    <row r="257">
      <c r="A257" s="64" t="s">
        <v>1056</v>
      </c>
      <c r="B257" s="2" t="s">
        <v>1477</v>
      </c>
      <c r="C257" s="2" t="s">
        <v>1060</v>
      </c>
      <c r="D257" s="2" t="s">
        <v>1062</v>
      </c>
    </row>
    <row r="258">
      <c r="A258" s="64" t="s">
        <v>1056</v>
      </c>
      <c r="B258" s="2" t="s">
        <v>1460</v>
      </c>
      <c r="C258" s="2" t="s">
        <v>1060</v>
      </c>
      <c r="D258" s="2" t="s">
        <v>1062</v>
      </c>
    </row>
    <row r="259">
      <c r="A259" s="64" t="s">
        <v>1056</v>
      </c>
      <c r="B259" s="2" t="s">
        <v>1461</v>
      </c>
      <c r="C259" s="2" t="s">
        <v>1060</v>
      </c>
      <c r="D259" s="2" t="s">
        <v>1062</v>
      </c>
    </row>
    <row r="260">
      <c r="A260" s="64" t="s">
        <v>1056</v>
      </c>
      <c r="B260" s="2" t="s">
        <v>1462</v>
      </c>
      <c r="C260" s="2" t="s">
        <v>1060</v>
      </c>
      <c r="D260" s="2" t="s">
        <v>1062</v>
      </c>
    </row>
    <row r="261">
      <c r="A261" s="64" t="s">
        <v>1056</v>
      </c>
      <c r="B261" s="2" t="s">
        <v>1463</v>
      </c>
      <c r="C261" s="2" t="s">
        <v>1060</v>
      </c>
      <c r="D261" s="2" t="s">
        <v>1062</v>
      </c>
    </row>
    <row r="262">
      <c r="A262" s="64" t="s">
        <v>1056</v>
      </c>
      <c r="B262" s="2" t="s">
        <v>1464</v>
      </c>
      <c r="C262" s="2" t="s">
        <v>1060</v>
      </c>
      <c r="D262" s="2" t="s">
        <v>1062</v>
      </c>
    </row>
    <row r="263">
      <c r="A263" s="64" t="s">
        <v>1056</v>
      </c>
      <c r="B263" s="2" t="s">
        <v>1465</v>
      </c>
      <c r="C263" s="2" t="s">
        <v>1060</v>
      </c>
      <c r="D263" s="2" t="s">
        <v>1062</v>
      </c>
    </row>
    <row r="264">
      <c r="A264" s="64" t="s">
        <v>1056</v>
      </c>
      <c r="B264" s="2" t="s">
        <v>1466</v>
      </c>
      <c r="C264" s="2" t="s">
        <v>1060</v>
      </c>
      <c r="D264" s="2" t="s">
        <v>1062</v>
      </c>
    </row>
    <row r="265">
      <c r="A265" s="64" t="s">
        <v>1056</v>
      </c>
      <c r="B265" s="2" t="s">
        <v>1467</v>
      </c>
      <c r="C265" s="2" t="s">
        <v>1060</v>
      </c>
      <c r="D265" s="2" t="s">
        <v>1062</v>
      </c>
    </row>
    <row r="266">
      <c r="A266" s="64" t="s">
        <v>1056</v>
      </c>
      <c r="B266" s="2" t="s">
        <v>1468</v>
      </c>
      <c r="C266" s="2" t="s">
        <v>1060</v>
      </c>
      <c r="D266" s="2" t="s">
        <v>1062</v>
      </c>
    </row>
    <row r="267">
      <c r="A267" s="64" t="s">
        <v>1056</v>
      </c>
      <c r="B267" s="2" t="s">
        <v>1469</v>
      </c>
      <c r="C267" s="2" t="s">
        <v>1060</v>
      </c>
      <c r="D267" s="2" t="s">
        <v>1062</v>
      </c>
    </row>
    <row r="268">
      <c r="A268" s="64" t="s">
        <v>1056</v>
      </c>
      <c r="B268" s="2" t="s">
        <v>1470</v>
      </c>
      <c r="C268" s="2" t="s">
        <v>1060</v>
      </c>
      <c r="D268" s="2" t="s">
        <v>1062</v>
      </c>
    </row>
    <row r="269">
      <c r="A269" s="64" t="s">
        <v>1056</v>
      </c>
      <c r="B269" s="2" t="s">
        <v>1471</v>
      </c>
      <c r="C269" s="2" t="s">
        <v>1060</v>
      </c>
      <c r="D269" s="2" t="s">
        <v>1062</v>
      </c>
    </row>
    <row r="270">
      <c r="A270" s="64" t="s">
        <v>1056</v>
      </c>
      <c r="B270" s="2" t="s">
        <v>1472</v>
      </c>
      <c r="C270" s="2" t="s">
        <v>1060</v>
      </c>
      <c r="D270" s="2" t="s">
        <v>1062</v>
      </c>
    </row>
    <row r="271">
      <c r="A271" s="64" t="s">
        <v>1056</v>
      </c>
      <c r="B271" s="2" t="s">
        <v>1473</v>
      </c>
      <c r="C271" s="2" t="s">
        <v>1060</v>
      </c>
      <c r="D271" s="2" t="s">
        <v>1062</v>
      </c>
    </row>
    <row r="272">
      <c r="A272" s="64" t="s">
        <v>1056</v>
      </c>
      <c r="B272" s="2" t="s">
        <v>1475</v>
      </c>
      <c r="C272" s="2" t="s">
        <v>1060</v>
      </c>
      <c r="D272" s="2" t="s">
        <v>1062</v>
      </c>
    </row>
    <row r="273">
      <c r="A273" s="64" t="s">
        <v>1056</v>
      </c>
      <c r="B273" s="2" t="s">
        <v>1476</v>
      </c>
      <c r="C273" s="2" t="s">
        <v>1060</v>
      </c>
      <c r="D273" s="2" t="s">
        <v>1062</v>
      </c>
    </row>
    <row r="274">
      <c r="A274" s="64" t="s">
        <v>1056</v>
      </c>
      <c r="B274" s="2" t="s">
        <v>1477</v>
      </c>
      <c r="C274" s="2" t="s">
        <v>1060</v>
      </c>
      <c r="D274" s="2" t="s">
        <v>1062</v>
      </c>
    </row>
    <row r="275">
      <c r="A275" s="2" t="s">
        <v>1484</v>
      </c>
      <c r="B275" s="2" t="s">
        <v>1485</v>
      </c>
      <c r="D275" s="2" t="s">
        <v>1487</v>
      </c>
      <c r="E275" s="2"/>
      <c r="F275" s="2" t="s">
        <v>1489</v>
      </c>
    </row>
    <row r="276">
      <c r="A276" s="2" t="s">
        <v>1484</v>
      </c>
      <c r="B276" s="2" t="s">
        <v>1491</v>
      </c>
      <c r="D276" s="2" t="s">
        <v>1487</v>
      </c>
      <c r="E276" s="2"/>
      <c r="F276" s="2" t="s">
        <v>1489</v>
      </c>
    </row>
    <row r="277">
      <c r="A277" s="2" t="s">
        <v>1484</v>
      </c>
      <c r="B277" s="2" t="s">
        <v>1493</v>
      </c>
      <c r="D277" s="2" t="s">
        <v>1487</v>
      </c>
      <c r="E277" s="2"/>
      <c r="F277" s="2" t="s">
        <v>1489</v>
      </c>
    </row>
    <row r="278">
      <c r="A278" s="2" t="s">
        <v>1484</v>
      </c>
      <c r="B278" s="2" t="s">
        <v>1494</v>
      </c>
      <c r="D278" s="2" t="s">
        <v>1487</v>
      </c>
      <c r="E278" s="2"/>
      <c r="F278" s="2" t="s">
        <v>1489</v>
      </c>
    </row>
    <row r="279">
      <c r="A279" s="2" t="s">
        <v>1484</v>
      </c>
      <c r="B279" s="2" t="s">
        <v>1496</v>
      </c>
      <c r="D279" s="2" t="s">
        <v>1487</v>
      </c>
      <c r="E279" s="2"/>
      <c r="F279" s="2" t="s">
        <v>1489</v>
      </c>
    </row>
    <row r="280">
      <c r="A280" s="2" t="s">
        <v>1484</v>
      </c>
      <c r="B280" s="2" t="s">
        <v>1497</v>
      </c>
      <c r="D280" s="2" t="s">
        <v>1487</v>
      </c>
      <c r="E280" s="2"/>
      <c r="F280" s="2" t="s">
        <v>1489</v>
      </c>
    </row>
    <row r="281">
      <c r="A281" s="2" t="s">
        <v>1484</v>
      </c>
      <c r="B281" s="2" t="s">
        <v>1499</v>
      </c>
      <c r="D281" s="2" t="s">
        <v>1487</v>
      </c>
      <c r="E281" s="2"/>
      <c r="F281" s="2" t="s">
        <v>1489</v>
      </c>
    </row>
    <row r="282">
      <c r="A282" s="2" t="s">
        <v>1484</v>
      </c>
      <c r="B282" s="2" t="s">
        <v>1500</v>
      </c>
      <c r="D282" s="2" t="s">
        <v>1487</v>
      </c>
      <c r="E282" s="2"/>
      <c r="F282" s="2" t="s">
        <v>1489</v>
      </c>
    </row>
    <row r="283">
      <c r="A283" s="2" t="s">
        <v>1484</v>
      </c>
      <c r="B283" s="2" t="s">
        <v>1501</v>
      </c>
      <c r="D283" s="2" t="s">
        <v>1487</v>
      </c>
      <c r="E283" s="2"/>
      <c r="F283" s="2" t="s">
        <v>1489</v>
      </c>
    </row>
    <row r="284">
      <c r="A284" s="2" t="s">
        <v>1484</v>
      </c>
      <c r="B284" s="2" t="s">
        <v>1502</v>
      </c>
      <c r="D284" s="2" t="s">
        <v>1487</v>
      </c>
      <c r="E284" s="2"/>
      <c r="F284" s="2" t="s">
        <v>1489</v>
      </c>
    </row>
    <row r="285">
      <c r="A285" s="2" t="s">
        <v>1484</v>
      </c>
      <c r="B285" s="2" t="s">
        <v>1504</v>
      </c>
      <c r="D285" s="2" t="s">
        <v>1487</v>
      </c>
      <c r="E285" s="2"/>
      <c r="F285" s="2" t="s">
        <v>1489</v>
      </c>
    </row>
    <row r="286">
      <c r="A286" s="2" t="s">
        <v>1484</v>
      </c>
      <c r="B286" s="2" t="s">
        <v>1506</v>
      </c>
      <c r="D286" s="2" t="s">
        <v>1487</v>
      </c>
      <c r="E286" s="2"/>
      <c r="F286" s="2" t="s">
        <v>1489</v>
      </c>
    </row>
    <row r="287">
      <c r="A287" s="2" t="s">
        <v>1484</v>
      </c>
      <c r="B287" s="2" t="s">
        <v>1507</v>
      </c>
      <c r="D287" s="2" t="s">
        <v>1487</v>
      </c>
      <c r="E287" s="2"/>
      <c r="F287" s="2" t="s">
        <v>1489</v>
      </c>
    </row>
    <row r="288">
      <c r="A288" s="2" t="s">
        <v>1484</v>
      </c>
      <c r="B288" s="2" t="s">
        <v>1508</v>
      </c>
      <c r="D288" s="2" t="s">
        <v>1487</v>
      </c>
      <c r="E288" s="2"/>
      <c r="F288" s="2" t="s">
        <v>1489</v>
      </c>
    </row>
    <row r="289">
      <c r="A289" s="2" t="s">
        <v>1484</v>
      </c>
      <c r="B289" s="2" t="s">
        <v>1509</v>
      </c>
      <c r="D289" s="2" t="s">
        <v>1487</v>
      </c>
      <c r="E289" s="2"/>
      <c r="F289" s="2" t="s">
        <v>1489</v>
      </c>
    </row>
    <row r="290">
      <c r="A290" s="2" t="s">
        <v>1484</v>
      </c>
      <c r="B290" s="2" t="s">
        <v>1510</v>
      </c>
      <c r="D290" s="2" t="s">
        <v>1487</v>
      </c>
      <c r="E290" s="2"/>
      <c r="F290" s="2" t="s">
        <v>1489</v>
      </c>
    </row>
    <row r="291">
      <c r="A291" s="2" t="s">
        <v>1484</v>
      </c>
      <c r="B291" s="2" t="s">
        <v>1511</v>
      </c>
      <c r="D291" s="2" t="s">
        <v>1487</v>
      </c>
      <c r="E291" s="2"/>
      <c r="F291" s="2" t="s">
        <v>1489</v>
      </c>
    </row>
    <row r="292">
      <c r="A292" s="2" t="s">
        <v>1484</v>
      </c>
      <c r="B292" s="2" t="s">
        <v>1512</v>
      </c>
      <c r="D292" s="2" t="s">
        <v>1487</v>
      </c>
      <c r="E292" s="2"/>
      <c r="F292" s="2" t="s">
        <v>1489</v>
      </c>
    </row>
    <row r="293">
      <c r="A293" s="2" t="s">
        <v>1484</v>
      </c>
      <c r="B293" s="2" t="s">
        <v>1513</v>
      </c>
      <c r="D293" s="2" t="s">
        <v>1487</v>
      </c>
      <c r="E293" s="2"/>
      <c r="F293" s="2" t="s">
        <v>1489</v>
      </c>
    </row>
    <row r="294">
      <c r="A294" s="2" t="s">
        <v>1484</v>
      </c>
      <c r="B294" s="2" t="s">
        <v>1514</v>
      </c>
      <c r="D294" s="2" t="s">
        <v>1487</v>
      </c>
      <c r="E294" s="2"/>
      <c r="F294" s="2" t="s">
        <v>1489</v>
      </c>
    </row>
    <row r="295">
      <c r="A295" s="2" t="s">
        <v>1484</v>
      </c>
      <c r="B295" s="2" t="s">
        <v>1516</v>
      </c>
      <c r="D295" s="2" t="s">
        <v>1487</v>
      </c>
      <c r="E295" s="2"/>
      <c r="F295" s="2" t="s">
        <v>1489</v>
      </c>
    </row>
    <row r="296">
      <c r="A296" s="2" t="s">
        <v>1484</v>
      </c>
      <c r="B296" s="2" t="s">
        <v>1517</v>
      </c>
      <c r="D296" s="2" t="s">
        <v>1487</v>
      </c>
      <c r="E296" s="2"/>
      <c r="F296" s="2" t="s">
        <v>1489</v>
      </c>
    </row>
    <row r="297">
      <c r="A297" s="2" t="s">
        <v>1484</v>
      </c>
      <c r="B297" s="2" t="s">
        <v>1518</v>
      </c>
      <c r="D297" s="2" t="s">
        <v>1487</v>
      </c>
      <c r="E297" s="2"/>
      <c r="F297" s="2" t="s">
        <v>1489</v>
      </c>
    </row>
    <row r="298">
      <c r="A298" s="2" t="s">
        <v>1484</v>
      </c>
      <c r="B298" s="2" t="s">
        <v>1520</v>
      </c>
      <c r="D298" s="2" t="s">
        <v>1487</v>
      </c>
      <c r="E298" s="2"/>
      <c r="F298" s="2" t="s">
        <v>1489</v>
      </c>
    </row>
    <row r="299">
      <c r="A299" s="2" t="s">
        <v>1484</v>
      </c>
      <c r="B299" s="2" t="s">
        <v>1522</v>
      </c>
      <c r="D299" s="2" t="s">
        <v>1487</v>
      </c>
      <c r="E299" s="2"/>
      <c r="F299" s="2" t="s">
        <v>1489</v>
      </c>
    </row>
    <row r="300">
      <c r="A300" s="2" t="s">
        <v>1484</v>
      </c>
      <c r="B300" s="2" t="s">
        <v>1524</v>
      </c>
      <c r="D300" s="2" t="s">
        <v>1487</v>
      </c>
      <c r="E300" s="2"/>
      <c r="F300" s="2" t="s">
        <v>1489</v>
      </c>
    </row>
    <row r="301">
      <c r="A301" s="2" t="s">
        <v>1484</v>
      </c>
      <c r="B301" s="2" t="s">
        <v>1525</v>
      </c>
      <c r="D301" s="2" t="s">
        <v>1487</v>
      </c>
      <c r="E301" s="2"/>
      <c r="F301" s="2" t="s">
        <v>1489</v>
      </c>
    </row>
    <row r="302">
      <c r="A302" s="2" t="s">
        <v>1484</v>
      </c>
      <c r="B302" s="2" t="s">
        <v>1526</v>
      </c>
      <c r="D302" s="2" t="s">
        <v>1487</v>
      </c>
      <c r="E302" s="2"/>
      <c r="F302" s="2" t="s">
        <v>1489</v>
      </c>
    </row>
    <row r="303">
      <c r="A303" s="2" t="s">
        <v>1484</v>
      </c>
      <c r="B303" s="2" t="s">
        <v>1527</v>
      </c>
      <c r="D303" s="2" t="s">
        <v>1487</v>
      </c>
      <c r="E303" s="2"/>
      <c r="F303" s="2" t="s">
        <v>1489</v>
      </c>
    </row>
    <row r="304">
      <c r="A304" s="2" t="s">
        <v>1484</v>
      </c>
      <c r="B304" s="2" t="s">
        <v>1528</v>
      </c>
      <c r="D304" s="2" t="s">
        <v>1487</v>
      </c>
      <c r="E304" s="2"/>
      <c r="F304" s="2" t="s">
        <v>1489</v>
      </c>
    </row>
    <row r="305">
      <c r="A305" s="2" t="s">
        <v>1484</v>
      </c>
      <c r="B305" s="2" t="s">
        <v>1529</v>
      </c>
      <c r="D305" s="2" t="s">
        <v>1487</v>
      </c>
      <c r="E305" s="2"/>
      <c r="F305" s="2" t="s">
        <v>1489</v>
      </c>
    </row>
    <row r="306">
      <c r="A306" s="2" t="s">
        <v>1484</v>
      </c>
      <c r="B306" s="2" t="s">
        <v>1530</v>
      </c>
      <c r="D306" s="2" t="s">
        <v>1487</v>
      </c>
      <c r="E306" s="2"/>
      <c r="F306" s="2" t="s">
        <v>1489</v>
      </c>
    </row>
    <row r="307">
      <c r="A307" s="2" t="s">
        <v>1484</v>
      </c>
      <c r="B307" s="2" t="s">
        <v>1531</v>
      </c>
      <c r="D307" s="2" t="s">
        <v>1487</v>
      </c>
      <c r="E307" s="2"/>
      <c r="F307" s="2" t="s">
        <v>1489</v>
      </c>
    </row>
    <row r="308">
      <c r="A308" s="2" t="s">
        <v>1484</v>
      </c>
      <c r="B308" s="2" t="s">
        <v>1532</v>
      </c>
      <c r="D308" s="2" t="s">
        <v>1487</v>
      </c>
      <c r="E308" s="2"/>
      <c r="F308" s="2" t="s">
        <v>1489</v>
      </c>
    </row>
    <row r="309">
      <c r="A309" s="2" t="s">
        <v>1484</v>
      </c>
      <c r="B309" s="2" t="s">
        <v>1533</v>
      </c>
      <c r="D309" s="2" t="s">
        <v>1487</v>
      </c>
      <c r="E309" s="2"/>
      <c r="F309" s="2" t="s">
        <v>1489</v>
      </c>
    </row>
    <row r="310">
      <c r="A310" s="2" t="s">
        <v>1484</v>
      </c>
      <c r="B310" s="2" t="s">
        <v>1534</v>
      </c>
      <c r="D310" s="2" t="s">
        <v>1487</v>
      </c>
      <c r="E310" s="2"/>
      <c r="F310" s="2" t="s">
        <v>1489</v>
      </c>
    </row>
    <row r="311">
      <c r="A311" s="2" t="s">
        <v>1484</v>
      </c>
      <c r="B311" s="2" t="s">
        <v>1535</v>
      </c>
      <c r="D311" s="2" t="s">
        <v>1487</v>
      </c>
      <c r="E311" s="2"/>
      <c r="F311" s="2" t="s">
        <v>1489</v>
      </c>
    </row>
    <row r="312">
      <c r="A312" s="2" t="s">
        <v>1484</v>
      </c>
      <c r="B312" s="2" t="s">
        <v>1536</v>
      </c>
      <c r="D312" s="2" t="s">
        <v>1487</v>
      </c>
      <c r="E312" s="2"/>
      <c r="F312" s="2" t="s">
        <v>1489</v>
      </c>
    </row>
    <row r="313">
      <c r="A313" s="2" t="s">
        <v>1484</v>
      </c>
      <c r="B313" s="2" t="s">
        <v>1537</v>
      </c>
      <c r="D313" s="2" t="s">
        <v>1487</v>
      </c>
      <c r="E313" s="2"/>
      <c r="F313" s="2" t="s">
        <v>1489</v>
      </c>
    </row>
    <row r="314">
      <c r="A314" s="2" t="s">
        <v>1484</v>
      </c>
      <c r="B314" s="2" t="s">
        <v>1539</v>
      </c>
      <c r="D314" s="2" t="s">
        <v>1487</v>
      </c>
      <c r="E314" s="2"/>
      <c r="F314" s="2" t="s">
        <v>1489</v>
      </c>
    </row>
    <row r="315">
      <c r="A315" s="2" t="s">
        <v>1484</v>
      </c>
      <c r="B315" s="2" t="s">
        <v>1540</v>
      </c>
      <c r="D315" s="2" t="s">
        <v>1487</v>
      </c>
      <c r="E315" s="2"/>
      <c r="F315" s="2" t="s">
        <v>1489</v>
      </c>
    </row>
    <row r="316">
      <c r="A316" s="2" t="s">
        <v>1484</v>
      </c>
      <c r="B316" s="2" t="s">
        <v>1541</v>
      </c>
      <c r="D316" s="2" t="s">
        <v>1487</v>
      </c>
      <c r="E316" s="2"/>
      <c r="F316" s="2" t="s">
        <v>1489</v>
      </c>
    </row>
    <row r="317">
      <c r="A317" s="2" t="s">
        <v>1484</v>
      </c>
      <c r="B317" s="2" t="s">
        <v>1543</v>
      </c>
      <c r="D317" s="2" t="s">
        <v>1487</v>
      </c>
      <c r="E317" s="2"/>
      <c r="F317" s="2" t="s">
        <v>1489</v>
      </c>
    </row>
    <row r="318">
      <c r="A318" s="2" t="s">
        <v>1484</v>
      </c>
      <c r="B318" s="2" t="s">
        <v>1544</v>
      </c>
      <c r="D318" s="2" t="s">
        <v>1487</v>
      </c>
      <c r="E318" s="2"/>
      <c r="F318" s="2" t="s">
        <v>1489</v>
      </c>
    </row>
    <row r="319">
      <c r="A319" s="2" t="s">
        <v>1484</v>
      </c>
      <c r="B319" s="2" t="s">
        <v>1545</v>
      </c>
      <c r="D319" s="2" t="s">
        <v>1487</v>
      </c>
      <c r="E319" s="2"/>
      <c r="F319" s="2" t="s">
        <v>1489</v>
      </c>
    </row>
    <row r="320">
      <c r="A320" s="2" t="s">
        <v>1484</v>
      </c>
      <c r="B320" s="2" t="s">
        <v>1514</v>
      </c>
      <c r="C320" s="2" t="s">
        <v>1546</v>
      </c>
      <c r="D320" s="2" t="s">
        <v>1547</v>
      </c>
    </row>
    <row r="321">
      <c r="A321" s="2" t="s">
        <v>1484</v>
      </c>
      <c r="B321" s="2" t="s">
        <v>1516</v>
      </c>
      <c r="C321" s="2" t="s">
        <v>1546</v>
      </c>
      <c r="D321" s="2" t="s">
        <v>1547</v>
      </c>
    </row>
    <row r="322">
      <c r="A322" s="2" t="s">
        <v>1484</v>
      </c>
      <c r="B322" s="2" t="s">
        <v>1548</v>
      </c>
      <c r="C322" s="2" t="s">
        <v>1546</v>
      </c>
      <c r="D322" s="2" t="s">
        <v>1547</v>
      </c>
    </row>
    <row r="323">
      <c r="A323" s="2" t="s">
        <v>1484</v>
      </c>
      <c r="B323" s="2" t="s">
        <v>1549</v>
      </c>
      <c r="C323" s="2" t="s">
        <v>1546</v>
      </c>
      <c r="D323" s="2" t="s">
        <v>1547</v>
      </c>
    </row>
    <row r="324">
      <c r="A324" s="2" t="s">
        <v>1484</v>
      </c>
      <c r="B324" s="2" t="s">
        <v>1551</v>
      </c>
      <c r="C324" s="2" t="s">
        <v>1546</v>
      </c>
      <c r="D324" s="2" t="s">
        <v>1547</v>
      </c>
    </row>
    <row r="325">
      <c r="A325" s="2" t="s">
        <v>1484</v>
      </c>
      <c r="B325" s="2" t="s">
        <v>1552</v>
      </c>
      <c r="C325" s="2" t="s">
        <v>1546</v>
      </c>
      <c r="D325" s="2" t="s">
        <v>1547</v>
      </c>
    </row>
    <row r="326">
      <c r="A326" s="2" t="s">
        <v>1484</v>
      </c>
      <c r="B326" s="2" t="s">
        <v>1553</v>
      </c>
      <c r="C326" s="2" t="s">
        <v>1546</v>
      </c>
      <c r="D326" s="2" t="s">
        <v>1547</v>
      </c>
    </row>
    <row r="327">
      <c r="A327" s="2" t="s">
        <v>1484</v>
      </c>
      <c r="B327" s="2" t="s">
        <v>1554</v>
      </c>
      <c r="C327" s="2" t="s">
        <v>1546</v>
      </c>
      <c r="D327" s="2" t="s">
        <v>1547</v>
      </c>
    </row>
    <row r="328">
      <c r="A328" s="2" t="s">
        <v>1484</v>
      </c>
      <c r="B328" s="2" t="s">
        <v>1556</v>
      </c>
      <c r="C328" s="2" t="s">
        <v>1546</v>
      </c>
      <c r="D328" s="2" t="s">
        <v>1547</v>
      </c>
    </row>
    <row r="329">
      <c r="A329" s="2" t="s">
        <v>1484</v>
      </c>
      <c r="B329" s="2" t="s">
        <v>1557</v>
      </c>
      <c r="C329" s="2" t="s">
        <v>1546</v>
      </c>
      <c r="D329" s="2" t="s">
        <v>1547</v>
      </c>
    </row>
    <row r="330">
      <c r="A330" s="2" t="s">
        <v>1484</v>
      </c>
      <c r="B330" s="2" t="s">
        <v>1558</v>
      </c>
      <c r="C330" s="2" t="s">
        <v>1546</v>
      </c>
      <c r="D330" s="2" t="s">
        <v>1547</v>
      </c>
    </row>
    <row r="331">
      <c r="A331" s="2" t="s">
        <v>1484</v>
      </c>
      <c r="B331" s="2" t="s">
        <v>1559</v>
      </c>
      <c r="C331" s="2" t="s">
        <v>1546</v>
      </c>
      <c r="D331" s="2" t="s">
        <v>1547</v>
      </c>
    </row>
    <row r="332">
      <c r="A332" s="2" t="s">
        <v>1484</v>
      </c>
      <c r="B332" s="2" t="s">
        <v>1560</v>
      </c>
      <c r="C332" s="2" t="s">
        <v>1546</v>
      </c>
      <c r="D332" s="2" t="s">
        <v>1547</v>
      </c>
    </row>
    <row r="333">
      <c r="A333" s="2" t="s">
        <v>1484</v>
      </c>
      <c r="B333" s="2" t="s">
        <v>1561</v>
      </c>
      <c r="C333" s="2" t="s">
        <v>1546</v>
      </c>
      <c r="D333" s="2" t="s">
        <v>1547</v>
      </c>
    </row>
    <row r="334">
      <c r="A334" s="2" t="s">
        <v>1484</v>
      </c>
      <c r="B334" s="2" t="s">
        <v>1562</v>
      </c>
      <c r="C334" s="2" t="s">
        <v>1546</v>
      </c>
      <c r="D334" s="2" t="s">
        <v>1547</v>
      </c>
    </row>
    <row r="335">
      <c r="A335" s="2" t="s">
        <v>1484</v>
      </c>
      <c r="B335" s="2" t="s">
        <v>1563</v>
      </c>
      <c r="C335" s="2" t="s">
        <v>1546</v>
      </c>
      <c r="D335" s="2" t="s">
        <v>1547</v>
      </c>
    </row>
    <row r="336">
      <c r="A336" s="2" t="s">
        <v>1484</v>
      </c>
      <c r="B336" s="2" t="s">
        <v>1514</v>
      </c>
      <c r="C336" s="2" t="s">
        <v>1546</v>
      </c>
      <c r="D336" s="2" t="s">
        <v>1547</v>
      </c>
    </row>
    <row r="337">
      <c r="A337" s="2" t="s">
        <v>1484</v>
      </c>
      <c r="B337" s="2" t="s">
        <v>1516</v>
      </c>
      <c r="C337" s="2" t="s">
        <v>1546</v>
      </c>
      <c r="D337" s="2" t="s">
        <v>1547</v>
      </c>
    </row>
    <row r="338">
      <c r="A338" s="2" t="s">
        <v>1484</v>
      </c>
      <c r="B338" s="2" t="s">
        <v>1548</v>
      </c>
      <c r="C338" s="2" t="s">
        <v>1546</v>
      </c>
      <c r="D338" s="2" t="s">
        <v>1547</v>
      </c>
    </row>
    <row r="339">
      <c r="A339" s="2" t="s">
        <v>1484</v>
      </c>
      <c r="B339" s="2" t="s">
        <v>1549</v>
      </c>
      <c r="C339" s="2" t="s">
        <v>1546</v>
      </c>
      <c r="D339" s="2" t="s">
        <v>1547</v>
      </c>
    </row>
    <row r="340">
      <c r="A340" s="2" t="s">
        <v>1484</v>
      </c>
      <c r="B340" s="2" t="s">
        <v>1551</v>
      </c>
      <c r="C340" s="2" t="s">
        <v>1546</v>
      </c>
      <c r="D340" s="2" t="s">
        <v>1547</v>
      </c>
    </row>
    <row r="341">
      <c r="A341" s="2" t="s">
        <v>1484</v>
      </c>
      <c r="B341" s="2" t="s">
        <v>1552</v>
      </c>
      <c r="C341" s="2" t="s">
        <v>1546</v>
      </c>
      <c r="D341" s="2" t="s">
        <v>1547</v>
      </c>
    </row>
    <row r="342">
      <c r="A342" s="2" t="s">
        <v>1484</v>
      </c>
      <c r="B342" s="2" t="s">
        <v>1553</v>
      </c>
      <c r="C342" s="2" t="s">
        <v>1546</v>
      </c>
      <c r="D342" s="2" t="s">
        <v>1547</v>
      </c>
    </row>
    <row r="343">
      <c r="A343" s="2" t="s">
        <v>1484</v>
      </c>
      <c r="B343" s="2" t="s">
        <v>1554</v>
      </c>
      <c r="C343" s="2" t="s">
        <v>1546</v>
      </c>
      <c r="D343" s="2" t="s">
        <v>1547</v>
      </c>
    </row>
    <row r="344">
      <c r="A344" s="2" t="s">
        <v>1484</v>
      </c>
      <c r="B344" s="2" t="s">
        <v>1556</v>
      </c>
      <c r="C344" s="2" t="s">
        <v>1546</v>
      </c>
      <c r="D344" s="2" t="s">
        <v>1547</v>
      </c>
    </row>
    <row r="345">
      <c r="A345" s="2" t="s">
        <v>1484</v>
      </c>
      <c r="B345" s="2" t="s">
        <v>1557</v>
      </c>
      <c r="C345" s="2" t="s">
        <v>1546</v>
      </c>
      <c r="D345" s="2" t="s">
        <v>1547</v>
      </c>
    </row>
    <row r="346">
      <c r="A346" s="2" t="s">
        <v>1484</v>
      </c>
      <c r="B346" s="2" t="s">
        <v>1558</v>
      </c>
      <c r="C346" s="2" t="s">
        <v>1546</v>
      </c>
      <c r="D346" s="2" t="s">
        <v>1547</v>
      </c>
    </row>
    <row r="347">
      <c r="A347" s="2" t="s">
        <v>1484</v>
      </c>
      <c r="B347" s="2" t="s">
        <v>1559</v>
      </c>
      <c r="C347" s="2" t="s">
        <v>1546</v>
      </c>
      <c r="D347" s="2" t="s">
        <v>1547</v>
      </c>
    </row>
    <row r="348">
      <c r="A348" s="2" t="s">
        <v>1484</v>
      </c>
      <c r="B348" s="2" t="s">
        <v>1560</v>
      </c>
      <c r="C348" s="2" t="s">
        <v>1546</v>
      </c>
      <c r="D348" s="2" t="s">
        <v>1547</v>
      </c>
    </row>
    <row r="349">
      <c r="A349" s="2" t="s">
        <v>1484</v>
      </c>
      <c r="B349" s="2" t="s">
        <v>1561</v>
      </c>
      <c r="C349" s="2" t="s">
        <v>1546</v>
      </c>
      <c r="D349" s="2" t="s">
        <v>1547</v>
      </c>
    </row>
    <row r="350">
      <c r="A350" s="2" t="s">
        <v>1484</v>
      </c>
      <c r="B350" s="2" t="s">
        <v>1562</v>
      </c>
      <c r="C350" s="2" t="s">
        <v>1546</v>
      </c>
      <c r="D350" s="2" t="s">
        <v>1547</v>
      </c>
    </row>
    <row r="351">
      <c r="A351" s="2" t="s">
        <v>1484</v>
      </c>
      <c r="B351" s="2" t="s">
        <v>1563</v>
      </c>
      <c r="C351" s="2" t="s">
        <v>1546</v>
      </c>
      <c r="D351" s="2" t="s">
        <v>1547</v>
      </c>
    </row>
    <row r="352">
      <c r="A352" s="2" t="s">
        <v>1484</v>
      </c>
      <c r="B352" s="2" t="s">
        <v>1565</v>
      </c>
      <c r="C352" s="2" t="s">
        <v>1546</v>
      </c>
      <c r="D352" s="2" t="s">
        <v>1547</v>
      </c>
    </row>
    <row r="353">
      <c r="A353" s="2" t="s">
        <v>1484</v>
      </c>
      <c r="B353" s="2" t="s">
        <v>1567</v>
      </c>
      <c r="C353" s="2" t="s">
        <v>1546</v>
      </c>
      <c r="D353" s="2" t="s">
        <v>1547</v>
      </c>
    </row>
    <row r="354">
      <c r="A354" s="2" t="s">
        <v>1484</v>
      </c>
      <c r="B354" s="2" t="s">
        <v>1568</v>
      </c>
      <c r="C354" s="2" t="s">
        <v>1546</v>
      </c>
      <c r="D354" s="2" t="s">
        <v>1547</v>
      </c>
    </row>
    <row r="355">
      <c r="A355" s="2" t="s">
        <v>1484</v>
      </c>
      <c r="B355" s="2" t="s">
        <v>1569</v>
      </c>
      <c r="C355" s="2" t="s">
        <v>1546</v>
      </c>
      <c r="D355" s="2" t="s">
        <v>1547</v>
      </c>
    </row>
    <row r="356">
      <c r="A356" s="2" t="s">
        <v>1484</v>
      </c>
      <c r="B356" s="2" t="s">
        <v>1570</v>
      </c>
      <c r="C356" s="2" t="s">
        <v>1546</v>
      </c>
      <c r="D356" s="2" t="s">
        <v>1547</v>
      </c>
    </row>
    <row r="357">
      <c r="A357" s="2" t="s">
        <v>1484</v>
      </c>
      <c r="B357" s="2" t="s">
        <v>1572</v>
      </c>
      <c r="C357" s="2" t="s">
        <v>1546</v>
      </c>
      <c r="D357" s="2" t="s">
        <v>1547</v>
      </c>
    </row>
    <row r="358">
      <c r="A358" s="2" t="s">
        <v>1484</v>
      </c>
      <c r="B358" s="2" t="s">
        <v>1574</v>
      </c>
      <c r="C358" s="2" t="s">
        <v>1546</v>
      </c>
      <c r="D358" s="2" t="s">
        <v>1547</v>
      </c>
    </row>
    <row r="359">
      <c r="A359" s="2" t="s">
        <v>1484</v>
      </c>
      <c r="B359" s="2" t="s">
        <v>1575</v>
      </c>
      <c r="C359" s="2" t="s">
        <v>1546</v>
      </c>
      <c r="D359" s="2" t="s">
        <v>1547</v>
      </c>
    </row>
    <row r="360">
      <c r="A360" s="2" t="s">
        <v>1484</v>
      </c>
      <c r="B360" s="2" t="s">
        <v>1577</v>
      </c>
      <c r="C360" s="2" t="s">
        <v>1546</v>
      </c>
      <c r="D360" s="2" t="s">
        <v>1547</v>
      </c>
    </row>
    <row r="361">
      <c r="A361" s="2" t="s">
        <v>1484</v>
      </c>
      <c r="B361" s="2" t="s">
        <v>1579</v>
      </c>
      <c r="C361" s="2" t="s">
        <v>1546</v>
      </c>
      <c r="D361" s="2" t="s">
        <v>1547</v>
      </c>
    </row>
    <row r="362">
      <c r="A362" s="2" t="s">
        <v>1484</v>
      </c>
      <c r="B362" s="2" t="s">
        <v>1580</v>
      </c>
      <c r="C362" s="2" t="s">
        <v>1546</v>
      </c>
      <c r="D362" s="2" t="s">
        <v>1547</v>
      </c>
    </row>
    <row r="363">
      <c r="A363" s="2" t="s">
        <v>1484</v>
      </c>
      <c r="B363" s="2" t="s">
        <v>1581</v>
      </c>
      <c r="C363" s="2" t="s">
        <v>1546</v>
      </c>
      <c r="D363" s="2" t="s">
        <v>1547</v>
      </c>
    </row>
    <row r="364">
      <c r="A364" s="2" t="s">
        <v>1484</v>
      </c>
      <c r="B364" s="2" t="s">
        <v>1582</v>
      </c>
      <c r="C364" s="2" t="s">
        <v>1546</v>
      </c>
      <c r="D364" s="2" t="s">
        <v>1547</v>
      </c>
    </row>
    <row r="365">
      <c r="A365" s="2" t="s">
        <v>1484</v>
      </c>
      <c r="B365" s="2" t="s">
        <v>1583</v>
      </c>
      <c r="C365" s="2" t="s">
        <v>1546</v>
      </c>
      <c r="D365" s="2" t="s">
        <v>1547</v>
      </c>
    </row>
    <row r="366">
      <c r="A366" s="2" t="s">
        <v>1484</v>
      </c>
      <c r="B366" s="2" t="s">
        <v>1584</v>
      </c>
      <c r="C366" s="2" t="s">
        <v>1546</v>
      </c>
      <c r="D366" s="2" t="s">
        <v>1547</v>
      </c>
    </row>
    <row r="367">
      <c r="A367" s="2" t="s">
        <v>1484</v>
      </c>
      <c r="B367" s="2" t="s">
        <v>1585</v>
      </c>
      <c r="C367" s="2" t="s">
        <v>1546</v>
      </c>
      <c r="D367" s="2" t="s">
        <v>1547</v>
      </c>
    </row>
    <row r="368">
      <c r="A368" s="2" t="s">
        <v>1484</v>
      </c>
      <c r="B368" s="2" t="s">
        <v>1586</v>
      </c>
      <c r="C368" s="2" t="s">
        <v>1546</v>
      </c>
      <c r="D368" s="2" t="s">
        <v>1547</v>
      </c>
    </row>
    <row r="369">
      <c r="A369" s="2" t="s">
        <v>1484</v>
      </c>
      <c r="B369" s="2" t="s">
        <v>1587</v>
      </c>
      <c r="C369" s="2" t="s">
        <v>1546</v>
      </c>
      <c r="D369" s="2" t="s">
        <v>1547</v>
      </c>
    </row>
    <row r="370">
      <c r="A370" s="2" t="s">
        <v>1484</v>
      </c>
      <c r="B370" s="2" t="s">
        <v>1588</v>
      </c>
      <c r="C370" s="2" t="s">
        <v>1546</v>
      </c>
      <c r="D370" s="2" t="s">
        <v>1547</v>
      </c>
    </row>
    <row r="371">
      <c r="A371" s="2" t="s">
        <v>1484</v>
      </c>
      <c r="B371" s="2" t="s">
        <v>1590</v>
      </c>
      <c r="C371" s="2" t="s">
        <v>1546</v>
      </c>
      <c r="D371" s="2" t="s">
        <v>1547</v>
      </c>
    </row>
    <row r="372">
      <c r="A372" s="2" t="s">
        <v>1484</v>
      </c>
      <c r="B372" s="2" t="s">
        <v>1591</v>
      </c>
      <c r="C372" s="2" t="s">
        <v>1546</v>
      </c>
      <c r="D372" s="2" t="s">
        <v>1547</v>
      </c>
    </row>
    <row r="373">
      <c r="A373" s="2" t="s">
        <v>1484</v>
      </c>
      <c r="B373" s="2" t="s">
        <v>1592</v>
      </c>
      <c r="C373" s="2" t="s">
        <v>1546</v>
      </c>
      <c r="D373" s="2" t="s">
        <v>1547</v>
      </c>
    </row>
    <row r="374">
      <c r="A374" s="2" t="s">
        <v>1484</v>
      </c>
      <c r="B374" s="2" t="s">
        <v>1593</v>
      </c>
      <c r="C374" s="2" t="s">
        <v>1546</v>
      </c>
      <c r="D374" s="2" t="s">
        <v>1547</v>
      </c>
    </row>
    <row r="375">
      <c r="A375" s="2" t="s">
        <v>1484</v>
      </c>
      <c r="B375" s="2" t="s">
        <v>1594</v>
      </c>
      <c r="C375" s="2" t="s">
        <v>1546</v>
      </c>
      <c r="D375" s="2" t="s">
        <v>1547</v>
      </c>
    </row>
    <row r="376">
      <c r="A376" s="2" t="s">
        <v>1484</v>
      </c>
      <c r="B376" s="2" t="s">
        <v>1595</v>
      </c>
      <c r="C376" s="2" t="s">
        <v>1546</v>
      </c>
      <c r="D376" s="2" t="s">
        <v>1547</v>
      </c>
    </row>
    <row r="377">
      <c r="A377" s="2" t="s">
        <v>1484</v>
      </c>
      <c r="B377" s="2" t="s">
        <v>1596</v>
      </c>
      <c r="C377" s="2" t="s">
        <v>1546</v>
      </c>
      <c r="D377" s="2" t="s">
        <v>1547</v>
      </c>
    </row>
    <row r="378">
      <c r="A378" s="2" t="s">
        <v>1484</v>
      </c>
      <c r="B378" s="2" t="s">
        <v>1597</v>
      </c>
      <c r="C378" s="2" t="s">
        <v>1546</v>
      </c>
      <c r="D378" s="2" t="s">
        <v>1547</v>
      </c>
    </row>
    <row r="379">
      <c r="A379" s="2" t="s">
        <v>1484</v>
      </c>
      <c r="B379" s="2" t="s">
        <v>1600</v>
      </c>
      <c r="C379" s="2" t="s">
        <v>1546</v>
      </c>
      <c r="D379" s="2" t="s">
        <v>1547</v>
      </c>
    </row>
    <row r="380">
      <c r="A380" s="2" t="s">
        <v>1484</v>
      </c>
      <c r="B380" s="2" t="s">
        <v>1602</v>
      </c>
      <c r="C380" s="2" t="s">
        <v>1546</v>
      </c>
      <c r="D380" s="2" t="s">
        <v>1547</v>
      </c>
    </row>
    <row r="381">
      <c r="A381" s="2" t="s">
        <v>1484</v>
      </c>
      <c r="B381" s="2" t="s">
        <v>1603</v>
      </c>
      <c r="C381" s="2" t="s">
        <v>1546</v>
      </c>
      <c r="D381" s="2" t="s">
        <v>1547</v>
      </c>
    </row>
    <row r="382">
      <c r="A382" s="2" t="s">
        <v>1484</v>
      </c>
      <c r="B382" s="2" t="s">
        <v>1604</v>
      </c>
      <c r="C382" s="2" t="s">
        <v>1605</v>
      </c>
      <c r="D382" s="2" t="s">
        <v>1606</v>
      </c>
    </row>
    <row r="383">
      <c r="A383" s="2" t="s">
        <v>1484</v>
      </c>
      <c r="B383" s="2" t="s">
        <v>1607</v>
      </c>
      <c r="C383" s="2" t="s">
        <v>1605</v>
      </c>
      <c r="D383" s="2" t="s">
        <v>1606</v>
      </c>
    </row>
    <row r="384">
      <c r="A384" s="2" t="s">
        <v>1484</v>
      </c>
      <c r="B384" s="2" t="s">
        <v>1608</v>
      </c>
      <c r="C384" s="2" t="s">
        <v>1605</v>
      </c>
      <c r="D384" s="2" t="s">
        <v>1606</v>
      </c>
    </row>
    <row r="385">
      <c r="A385" s="2" t="s">
        <v>1484</v>
      </c>
      <c r="B385" s="2" t="s">
        <v>1611</v>
      </c>
      <c r="C385" s="2" t="s">
        <v>1605</v>
      </c>
      <c r="D385" s="2" t="s">
        <v>1606</v>
      </c>
    </row>
    <row r="386">
      <c r="A386" s="2" t="s">
        <v>1484</v>
      </c>
      <c r="B386" s="2" t="s">
        <v>1612</v>
      </c>
      <c r="C386" s="2" t="s">
        <v>1605</v>
      </c>
      <c r="D386" s="2" t="s">
        <v>1606</v>
      </c>
    </row>
    <row r="387">
      <c r="A387" s="2" t="s">
        <v>1484</v>
      </c>
      <c r="B387" s="2" t="s">
        <v>1613</v>
      </c>
      <c r="C387" s="2" t="s">
        <v>1605</v>
      </c>
      <c r="D387" s="2" t="s">
        <v>1606</v>
      </c>
    </row>
    <row r="388">
      <c r="A388" s="2" t="s">
        <v>1484</v>
      </c>
      <c r="B388" s="2" t="s">
        <v>1614</v>
      </c>
      <c r="C388" s="2" t="s">
        <v>1605</v>
      </c>
      <c r="D388" s="2" t="s">
        <v>1606</v>
      </c>
    </row>
    <row r="389">
      <c r="A389" s="2" t="s">
        <v>1484</v>
      </c>
      <c r="B389" s="2" t="s">
        <v>1615</v>
      </c>
      <c r="C389" s="2" t="s">
        <v>1605</v>
      </c>
      <c r="D389" s="2" t="s">
        <v>1606</v>
      </c>
    </row>
    <row r="390">
      <c r="A390" s="2" t="s">
        <v>1484</v>
      </c>
      <c r="B390" s="2" t="s">
        <v>1616</v>
      </c>
      <c r="C390" s="2" t="s">
        <v>1605</v>
      </c>
      <c r="D390" s="2" t="s">
        <v>1606</v>
      </c>
    </row>
    <row r="391">
      <c r="A391" s="2" t="s">
        <v>1484</v>
      </c>
      <c r="B391" s="2" t="s">
        <v>1617</v>
      </c>
      <c r="C391" s="2" t="s">
        <v>1605</v>
      </c>
      <c r="D391" s="2" t="s">
        <v>1606</v>
      </c>
    </row>
    <row r="392">
      <c r="A392" s="2" t="s">
        <v>1484</v>
      </c>
      <c r="B392" s="2" t="s">
        <v>1618</v>
      </c>
      <c r="C392" s="2" t="s">
        <v>1605</v>
      </c>
      <c r="D392" s="2" t="s">
        <v>1606</v>
      </c>
    </row>
    <row r="393">
      <c r="A393" s="2" t="s">
        <v>1484</v>
      </c>
      <c r="B393" s="2" t="s">
        <v>1619</v>
      </c>
      <c r="C393" s="2" t="s">
        <v>1605</v>
      </c>
      <c r="D393" s="2" t="s">
        <v>1606</v>
      </c>
    </row>
    <row r="394">
      <c r="A394" s="2" t="s">
        <v>1484</v>
      </c>
      <c r="B394" s="2" t="s">
        <v>1620</v>
      </c>
      <c r="C394" s="2" t="s">
        <v>1605</v>
      </c>
      <c r="D394" s="2" t="s">
        <v>1606</v>
      </c>
    </row>
    <row r="395">
      <c r="A395" s="2" t="s">
        <v>1484</v>
      </c>
      <c r="B395" s="2" t="s">
        <v>1622</v>
      </c>
      <c r="C395" s="2" t="s">
        <v>1605</v>
      </c>
      <c r="D395" s="2" t="s">
        <v>1606</v>
      </c>
    </row>
    <row r="396">
      <c r="A396" s="2" t="s">
        <v>1484</v>
      </c>
      <c r="B396" s="2" t="s">
        <v>1623</v>
      </c>
      <c r="C396" s="2" t="s">
        <v>1605</v>
      </c>
      <c r="D396" s="2" t="s">
        <v>1606</v>
      </c>
    </row>
    <row r="397">
      <c r="A397" s="2" t="s">
        <v>1484</v>
      </c>
      <c r="B397" s="2" t="s">
        <v>1624</v>
      </c>
      <c r="C397" s="2" t="s">
        <v>1605</v>
      </c>
      <c r="D397" s="2" t="s">
        <v>1606</v>
      </c>
    </row>
    <row r="398">
      <c r="A398" s="2" t="s">
        <v>1484</v>
      </c>
      <c r="B398" s="2" t="s">
        <v>1626</v>
      </c>
      <c r="C398" s="2" t="s">
        <v>1605</v>
      </c>
      <c r="D398" s="2" t="s">
        <v>1606</v>
      </c>
    </row>
    <row r="399">
      <c r="A399" s="2" t="s">
        <v>1484</v>
      </c>
      <c r="B399" s="2" t="s">
        <v>1628</v>
      </c>
      <c r="C399" s="2" t="s">
        <v>1605</v>
      </c>
      <c r="D399" s="2" t="s">
        <v>1606</v>
      </c>
    </row>
    <row r="400">
      <c r="A400" s="2" t="s">
        <v>1484</v>
      </c>
      <c r="B400" s="2" t="s">
        <v>1629</v>
      </c>
      <c r="C400" s="2" t="s">
        <v>1605</v>
      </c>
      <c r="D400" s="2" t="s">
        <v>1606</v>
      </c>
    </row>
    <row r="401">
      <c r="A401" s="2" t="s">
        <v>1484</v>
      </c>
      <c r="B401" s="2" t="s">
        <v>1630</v>
      </c>
      <c r="C401" s="2" t="s">
        <v>1605</v>
      </c>
      <c r="D401" s="2" t="s">
        <v>1606</v>
      </c>
    </row>
    <row r="402">
      <c r="A402" s="2" t="s">
        <v>1484</v>
      </c>
      <c r="B402" s="2" t="s">
        <v>1631</v>
      </c>
      <c r="C402" s="2" t="s">
        <v>1605</v>
      </c>
      <c r="D402" s="2" t="s">
        <v>1606</v>
      </c>
    </row>
    <row r="403">
      <c r="A403" s="2" t="s">
        <v>1484</v>
      </c>
      <c r="B403" s="2" t="s">
        <v>1632</v>
      </c>
      <c r="C403" s="2" t="s">
        <v>1605</v>
      </c>
      <c r="D403" s="2" t="s">
        <v>1606</v>
      </c>
    </row>
    <row r="404">
      <c r="A404" s="2" t="s">
        <v>1484</v>
      </c>
      <c r="B404" s="2" t="s">
        <v>1633</v>
      </c>
      <c r="C404" s="2" t="s">
        <v>1605</v>
      </c>
      <c r="D404" s="2" t="s">
        <v>1606</v>
      </c>
    </row>
    <row r="405">
      <c r="A405" s="2" t="s">
        <v>1484</v>
      </c>
      <c r="B405" s="2" t="s">
        <v>1635</v>
      </c>
      <c r="C405" s="2" t="s">
        <v>1605</v>
      </c>
      <c r="D405" s="2" t="s">
        <v>1606</v>
      </c>
    </row>
    <row r="406">
      <c r="A406" s="2" t="s">
        <v>1484</v>
      </c>
      <c r="B406" s="2" t="s">
        <v>1636</v>
      </c>
      <c r="C406" s="2" t="s">
        <v>1605</v>
      </c>
      <c r="D406" s="2" t="s">
        <v>1606</v>
      </c>
    </row>
    <row r="407">
      <c r="A407" s="2" t="s">
        <v>1484</v>
      </c>
      <c r="B407" s="2" t="s">
        <v>1637</v>
      </c>
      <c r="C407" s="2" t="s">
        <v>1605</v>
      </c>
      <c r="D407" s="2" t="s">
        <v>1606</v>
      </c>
    </row>
    <row r="408">
      <c r="A408" s="2" t="s">
        <v>1484</v>
      </c>
      <c r="B408" s="2" t="s">
        <v>1638</v>
      </c>
      <c r="C408" s="2" t="s">
        <v>1605</v>
      </c>
      <c r="D408" s="2" t="s">
        <v>1606</v>
      </c>
    </row>
    <row r="409">
      <c r="A409" s="2" t="s">
        <v>1484</v>
      </c>
      <c r="B409" s="2" t="s">
        <v>1639</v>
      </c>
      <c r="C409" s="2" t="s">
        <v>1605</v>
      </c>
      <c r="D409" s="2" t="s">
        <v>1606</v>
      </c>
    </row>
    <row r="410">
      <c r="A410" s="2" t="s">
        <v>1484</v>
      </c>
      <c r="B410" s="2" t="s">
        <v>1640</v>
      </c>
      <c r="C410" s="2" t="s">
        <v>1605</v>
      </c>
      <c r="D410" s="2" t="s">
        <v>1606</v>
      </c>
    </row>
    <row r="411">
      <c r="A411" s="2" t="s">
        <v>1484</v>
      </c>
      <c r="B411" s="2" t="s">
        <v>1642</v>
      </c>
      <c r="C411" s="2" t="s">
        <v>1605</v>
      </c>
      <c r="D411" s="2" t="s">
        <v>1606</v>
      </c>
    </row>
    <row r="412">
      <c r="A412" s="2" t="s">
        <v>1484</v>
      </c>
      <c r="B412" s="2" t="s">
        <v>1643</v>
      </c>
      <c r="C412" s="2" t="s">
        <v>1605</v>
      </c>
      <c r="D412" s="2" t="s">
        <v>1606</v>
      </c>
    </row>
    <row r="413">
      <c r="A413" s="2" t="s">
        <v>1484</v>
      </c>
      <c r="B413" s="2" t="s">
        <v>1644</v>
      </c>
      <c r="C413" s="2" t="s">
        <v>1605</v>
      </c>
      <c r="D413" s="2" t="s">
        <v>1606</v>
      </c>
    </row>
    <row r="414">
      <c r="A414" s="2" t="s">
        <v>1484</v>
      </c>
      <c r="B414" s="2" t="s">
        <v>1603</v>
      </c>
      <c r="C414" s="2" t="s">
        <v>1605</v>
      </c>
      <c r="D414" s="2" t="s">
        <v>1606</v>
      </c>
    </row>
    <row r="415">
      <c r="A415" s="2" t="s">
        <v>1484</v>
      </c>
      <c r="B415" s="2" t="s">
        <v>1645</v>
      </c>
      <c r="C415" s="2" t="s">
        <v>1605</v>
      </c>
      <c r="D415" s="2" t="s">
        <v>1606</v>
      </c>
    </row>
    <row r="416">
      <c r="A416" s="2" t="s">
        <v>1484</v>
      </c>
      <c r="B416" s="2" t="s">
        <v>1646</v>
      </c>
      <c r="C416" s="2" t="s">
        <v>1605</v>
      </c>
      <c r="D416" s="2" t="s">
        <v>1606</v>
      </c>
    </row>
    <row r="417">
      <c r="A417" s="2" t="s">
        <v>1484</v>
      </c>
      <c r="B417" s="2" t="s">
        <v>1648</v>
      </c>
      <c r="C417" s="2" t="s">
        <v>1605</v>
      </c>
      <c r="D417" s="2" t="s">
        <v>1606</v>
      </c>
    </row>
    <row r="418">
      <c r="A418" s="2" t="s">
        <v>1484</v>
      </c>
      <c r="B418" s="2" t="s">
        <v>1649</v>
      </c>
      <c r="C418" s="2" t="s">
        <v>1605</v>
      </c>
      <c r="D418" s="2" t="s">
        <v>1606</v>
      </c>
    </row>
    <row r="419">
      <c r="A419" s="2" t="s">
        <v>1484</v>
      </c>
      <c r="B419" s="2" t="s">
        <v>1650</v>
      </c>
      <c r="C419" s="2" t="s">
        <v>1605</v>
      </c>
      <c r="D419" s="2" t="s">
        <v>1606</v>
      </c>
    </row>
    <row r="420">
      <c r="A420" s="2" t="s">
        <v>1651</v>
      </c>
      <c r="B420" s="2" t="s">
        <v>1652</v>
      </c>
      <c r="G420" s="2" t="s">
        <v>1653</v>
      </c>
    </row>
    <row r="421">
      <c r="A421" s="2" t="s">
        <v>1655</v>
      </c>
      <c r="B421" s="2" t="s">
        <v>1656</v>
      </c>
      <c r="C421" s="2" t="s">
        <v>1657</v>
      </c>
      <c r="D421" s="2" t="s">
        <v>1658</v>
      </c>
    </row>
    <row r="422">
      <c r="A422" s="2" t="s">
        <v>1655</v>
      </c>
      <c r="B422" s="2" t="s">
        <v>1659</v>
      </c>
      <c r="C422" s="2" t="s">
        <v>1657</v>
      </c>
      <c r="D422" s="2" t="s">
        <v>1658</v>
      </c>
    </row>
    <row r="423">
      <c r="A423" s="2" t="s">
        <v>1655</v>
      </c>
      <c r="B423" s="2" t="s">
        <v>1660</v>
      </c>
      <c r="C423" s="2" t="s">
        <v>1657</v>
      </c>
      <c r="D423" s="2" t="s">
        <v>1658</v>
      </c>
    </row>
    <row r="424">
      <c r="A424" s="2" t="s">
        <v>1655</v>
      </c>
      <c r="B424" s="2" t="s">
        <v>1661</v>
      </c>
      <c r="C424" s="2" t="s">
        <v>1657</v>
      </c>
      <c r="D424" s="2" t="s">
        <v>1658</v>
      </c>
    </row>
    <row r="425">
      <c r="A425" s="2" t="s">
        <v>1655</v>
      </c>
      <c r="B425" s="2" t="s">
        <v>1662</v>
      </c>
      <c r="C425" s="2" t="s">
        <v>1657</v>
      </c>
      <c r="D425" s="2" t="s">
        <v>1658</v>
      </c>
    </row>
    <row r="426">
      <c r="A426" s="2" t="s">
        <v>1655</v>
      </c>
      <c r="B426" s="2" t="s">
        <v>1663</v>
      </c>
      <c r="C426" s="2" t="s">
        <v>1657</v>
      </c>
      <c r="D426" s="2" t="s">
        <v>1658</v>
      </c>
    </row>
    <row r="427">
      <c r="A427" s="2" t="s">
        <v>1655</v>
      </c>
      <c r="B427" s="2" t="s">
        <v>1664</v>
      </c>
      <c r="C427" s="2" t="s">
        <v>1657</v>
      </c>
      <c r="D427" s="2" t="s">
        <v>1658</v>
      </c>
    </row>
    <row r="428">
      <c r="A428" s="2" t="s">
        <v>1655</v>
      </c>
      <c r="B428" s="2" t="s">
        <v>1666</v>
      </c>
      <c r="C428" s="2" t="s">
        <v>1657</v>
      </c>
      <c r="D428" s="2" t="s">
        <v>1658</v>
      </c>
    </row>
    <row r="429">
      <c r="A429" s="2" t="s">
        <v>1655</v>
      </c>
      <c r="B429" s="2" t="s">
        <v>1667</v>
      </c>
      <c r="C429" s="2" t="s">
        <v>1657</v>
      </c>
      <c r="D429" s="2" t="s">
        <v>1658</v>
      </c>
    </row>
    <row r="430">
      <c r="A430" s="2" t="s">
        <v>1655</v>
      </c>
      <c r="B430" s="2" t="s">
        <v>1669</v>
      </c>
      <c r="C430" s="2" t="s">
        <v>1657</v>
      </c>
      <c r="D430" s="2" t="s">
        <v>1658</v>
      </c>
    </row>
    <row r="431">
      <c r="A431" s="2" t="s">
        <v>1655</v>
      </c>
      <c r="B431" s="2" t="s">
        <v>1670</v>
      </c>
      <c r="C431" s="2" t="s">
        <v>1657</v>
      </c>
      <c r="D431" s="2" t="s">
        <v>1658</v>
      </c>
    </row>
    <row r="432">
      <c r="A432" s="2" t="s">
        <v>1655</v>
      </c>
      <c r="B432" s="2" t="s">
        <v>1671</v>
      </c>
      <c r="C432" s="2" t="s">
        <v>1657</v>
      </c>
      <c r="D432" s="2" t="s">
        <v>1658</v>
      </c>
    </row>
    <row r="433">
      <c r="A433" s="2" t="s">
        <v>1655</v>
      </c>
      <c r="B433" s="2" t="s">
        <v>1672</v>
      </c>
      <c r="C433" s="2" t="s">
        <v>1657</v>
      </c>
      <c r="D433" s="2" t="s">
        <v>1658</v>
      </c>
    </row>
    <row r="434">
      <c r="A434" s="2" t="s">
        <v>1655</v>
      </c>
      <c r="B434" s="2" t="s">
        <v>1673</v>
      </c>
      <c r="C434" s="2" t="s">
        <v>1657</v>
      </c>
      <c r="D434" s="2" t="s">
        <v>1658</v>
      </c>
    </row>
    <row r="435">
      <c r="A435" s="2" t="s">
        <v>1655</v>
      </c>
      <c r="B435" s="2" t="s">
        <v>1675</v>
      </c>
      <c r="C435" s="2" t="s">
        <v>1657</v>
      </c>
      <c r="D435" s="2" t="s">
        <v>1658</v>
      </c>
    </row>
    <row r="436">
      <c r="A436" s="2" t="s">
        <v>1655</v>
      </c>
      <c r="B436" s="2" t="s">
        <v>1676</v>
      </c>
      <c r="C436" s="2" t="s">
        <v>1657</v>
      </c>
      <c r="D436" s="2" t="s">
        <v>1658</v>
      </c>
    </row>
    <row r="437">
      <c r="A437" s="2" t="s">
        <v>1655</v>
      </c>
      <c r="B437" s="2" t="s">
        <v>1677</v>
      </c>
      <c r="C437" s="2" t="s">
        <v>1657</v>
      </c>
      <c r="D437" s="2" t="s">
        <v>1658</v>
      </c>
    </row>
    <row r="438">
      <c r="A438" s="2" t="s">
        <v>1655</v>
      </c>
      <c r="B438" s="2" t="s">
        <v>1678</v>
      </c>
      <c r="C438" s="2" t="s">
        <v>1657</v>
      </c>
      <c r="D438" s="2" t="s">
        <v>1658</v>
      </c>
    </row>
    <row r="439">
      <c r="A439" s="2" t="s">
        <v>1655</v>
      </c>
      <c r="B439" s="2" t="s">
        <v>1679</v>
      </c>
      <c r="C439" s="2" t="s">
        <v>1657</v>
      </c>
      <c r="D439" s="2" t="s">
        <v>1658</v>
      </c>
    </row>
    <row r="440">
      <c r="A440" s="2" t="s">
        <v>1655</v>
      </c>
      <c r="B440" s="2" t="s">
        <v>1680</v>
      </c>
      <c r="C440" s="2" t="s">
        <v>1657</v>
      </c>
      <c r="D440" s="2" t="s">
        <v>1658</v>
      </c>
    </row>
    <row r="441">
      <c r="A441" s="2" t="s">
        <v>1655</v>
      </c>
      <c r="B441" s="2" t="s">
        <v>1681</v>
      </c>
      <c r="C441" s="2" t="s">
        <v>1657</v>
      </c>
      <c r="D441" s="2" t="s">
        <v>1658</v>
      </c>
    </row>
    <row r="442">
      <c r="A442" s="2" t="s">
        <v>1655</v>
      </c>
      <c r="B442" s="2" t="s">
        <v>1682</v>
      </c>
      <c r="C442" s="2" t="s">
        <v>1657</v>
      </c>
      <c r="D442" s="2" t="s">
        <v>1658</v>
      </c>
    </row>
    <row r="443">
      <c r="A443" s="2" t="s">
        <v>1655</v>
      </c>
      <c r="B443" s="2" t="s">
        <v>1683</v>
      </c>
      <c r="C443" s="2" t="s">
        <v>1657</v>
      </c>
      <c r="D443" s="2" t="s">
        <v>1658</v>
      </c>
    </row>
    <row r="444">
      <c r="A444" s="2" t="s">
        <v>1655</v>
      </c>
      <c r="B444" s="2" t="s">
        <v>1684</v>
      </c>
      <c r="C444" s="2" t="s">
        <v>1657</v>
      </c>
      <c r="D444" s="2" t="s">
        <v>1658</v>
      </c>
    </row>
    <row r="445">
      <c r="A445" s="2" t="s">
        <v>1655</v>
      </c>
      <c r="B445" s="2" t="s">
        <v>1686</v>
      </c>
      <c r="C445" s="2" t="s">
        <v>1657</v>
      </c>
      <c r="D445" s="2" t="s">
        <v>1658</v>
      </c>
    </row>
    <row r="446">
      <c r="A446" s="2" t="s">
        <v>1655</v>
      </c>
      <c r="B446" s="2" t="s">
        <v>1687</v>
      </c>
      <c r="C446" s="2" t="s">
        <v>1657</v>
      </c>
      <c r="D446" s="2" t="s">
        <v>1658</v>
      </c>
    </row>
    <row r="447">
      <c r="A447" s="2" t="s">
        <v>1655</v>
      </c>
      <c r="B447" s="2" t="s">
        <v>1688</v>
      </c>
      <c r="C447" s="2" t="s">
        <v>1657</v>
      </c>
      <c r="D447" s="2" t="s">
        <v>1658</v>
      </c>
    </row>
    <row r="448">
      <c r="A448" s="2" t="s">
        <v>1655</v>
      </c>
      <c r="B448" s="2" t="s">
        <v>1689</v>
      </c>
      <c r="C448" s="2" t="s">
        <v>1657</v>
      </c>
      <c r="D448" s="2" t="s">
        <v>1658</v>
      </c>
    </row>
    <row r="449">
      <c r="A449" s="2" t="s">
        <v>1655</v>
      </c>
      <c r="B449" s="2" t="s">
        <v>1690</v>
      </c>
      <c r="C449" s="2" t="s">
        <v>1657</v>
      </c>
      <c r="D449" s="2" t="s">
        <v>1658</v>
      </c>
    </row>
    <row r="450">
      <c r="A450" s="2" t="s">
        <v>1655</v>
      </c>
      <c r="B450" s="2" t="s">
        <v>1691</v>
      </c>
      <c r="C450" s="2" t="s">
        <v>1657</v>
      </c>
      <c r="D450" s="2" t="s">
        <v>1658</v>
      </c>
    </row>
    <row r="451">
      <c r="A451" s="2" t="s">
        <v>1655</v>
      </c>
      <c r="B451" s="2" t="s">
        <v>1692</v>
      </c>
      <c r="C451" s="2" t="s">
        <v>1657</v>
      </c>
      <c r="D451" s="2" t="s">
        <v>1658</v>
      </c>
    </row>
    <row r="452">
      <c r="A452" s="2" t="s">
        <v>1655</v>
      </c>
      <c r="B452" s="2" t="s">
        <v>1695</v>
      </c>
      <c r="C452" s="2" t="s">
        <v>1657</v>
      </c>
      <c r="D452" s="2" t="s">
        <v>1658</v>
      </c>
    </row>
    <row r="453">
      <c r="A453" s="2" t="s">
        <v>1655</v>
      </c>
      <c r="B453" s="2" t="s">
        <v>1696</v>
      </c>
      <c r="C453" s="2" t="s">
        <v>1657</v>
      </c>
      <c r="D453" s="2" t="s">
        <v>1658</v>
      </c>
    </row>
    <row r="454">
      <c r="A454" s="2" t="s">
        <v>1655</v>
      </c>
      <c r="B454" s="2" t="s">
        <v>1697</v>
      </c>
      <c r="C454" s="2" t="s">
        <v>1657</v>
      </c>
      <c r="D454" s="2" t="s">
        <v>1658</v>
      </c>
    </row>
    <row r="455">
      <c r="A455" s="2" t="s">
        <v>1655</v>
      </c>
      <c r="B455" s="2" t="s">
        <v>1698</v>
      </c>
      <c r="C455" s="2" t="s">
        <v>1657</v>
      </c>
      <c r="D455" s="2" t="s">
        <v>1658</v>
      </c>
    </row>
    <row r="456">
      <c r="A456" s="2" t="s">
        <v>1655</v>
      </c>
      <c r="B456" s="2" t="s">
        <v>1699</v>
      </c>
      <c r="C456" s="2" t="s">
        <v>1657</v>
      </c>
      <c r="D456" s="2" t="s">
        <v>1658</v>
      </c>
    </row>
    <row r="457">
      <c r="A457" s="2" t="s">
        <v>1655</v>
      </c>
      <c r="B457" s="2" t="s">
        <v>1700</v>
      </c>
      <c r="C457" s="2" t="s">
        <v>1657</v>
      </c>
      <c r="D457" s="2" t="s">
        <v>1658</v>
      </c>
    </row>
    <row r="458">
      <c r="A458" s="2" t="s">
        <v>1655</v>
      </c>
      <c r="B458" s="2" t="s">
        <v>1702</v>
      </c>
      <c r="C458" s="2" t="s">
        <v>1657</v>
      </c>
      <c r="D458" s="2" t="s">
        <v>1658</v>
      </c>
    </row>
    <row r="459">
      <c r="A459" s="2" t="s">
        <v>1655</v>
      </c>
      <c r="B459" s="2" t="s">
        <v>1703</v>
      </c>
      <c r="C459" s="2" t="s">
        <v>1657</v>
      </c>
      <c r="D459" s="2" t="s">
        <v>1658</v>
      </c>
    </row>
    <row r="460">
      <c r="A460" s="2" t="s">
        <v>1655</v>
      </c>
      <c r="B460" s="2" t="s">
        <v>1704</v>
      </c>
      <c r="C460" s="2" t="s">
        <v>1657</v>
      </c>
      <c r="D460" s="2" t="s">
        <v>1658</v>
      </c>
    </row>
    <row r="461">
      <c r="A461" s="2" t="s">
        <v>1655</v>
      </c>
      <c r="B461" s="2" t="s">
        <v>1705</v>
      </c>
      <c r="C461" s="2" t="s">
        <v>1657</v>
      </c>
      <c r="D461" s="2" t="s">
        <v>1658</v>
      </c>
    </row>
    <row r="462">
      <c r="A462" s="2" t="s">
        <v>1655</v>
      </c>
      <c r="B462" s="2" t="s">
        <v>1706</v>
      </c>
      <c r="C462" s="2" t="s">
        <v>1657</v>
      </c>
      <c r="D462" s="2" t="s">
        <v>1658</v>
      </c>
    </row>
    <row r="463">
      <c r="A463" s="2" t="s">
        <v>1655</v>
      </c>
      <c r="B463" s="2" t="s">
        <v>1707</v>
      </c>
      <c r="C463" s="2" t="s">
        <v>1657</v>
      </c>
      <c r="D463" s="2" t="s">
        <v>1658</v>
      </c>
    </row>
    <row r="464">
      <c r="A464" s="2" t="s">
        <v>1655</v>
      </c>
      <c r="B464" s="2" t="s">
        <v>1708</v>
      </c>
      <c r="C464" s="2" t="s">
        <v>1657</v>
      </c>
      <c r="D464" s="2" t="s">
        <v>1658</v>
      </c>
    </row>
    <row r="465">
      <c r="A465" s="2" t="s">
        <v>1655</v>
      </c>
      <c r="B465" s="2" t="s">
        <v>1709</v>
      </c>
      <c r="C465" s="2" t="s">
        <v>1657</v>
      </c>
      <c r="D465" s="2" t="s">
        <v>1658</v>
      </c>
    </row>
    <row r="466">
      <c r="A466" s="2" t="s">
        <v>1655</v>
      </c>
      <c r="B466" s="2" t="s">
        <v>1710</v>
      </c>
      <c r="C466" s="2" t="s">
        <v>1657</v>
      </c>
      <c r="D466" s="2" t="s">
        <v>1658</v>
      </c>
    </row>
    <row r="467">
      <c r="A467" s="2" t="s">
        <v>1655</v>
      </c>
      <c r="B467" s="2" t="s">
        <v>1711</v>
      </c>
      <c r="C467" s="2" t="s">
        <v>1657</v>
      </c>
      <c r="D467" s="2" t="s">
        <v>1658</v>
      </c>
    </row>
    <row r="468">
      <c r="A468" s="2" t="s">
        <v>1655</v>
      </c>
      <c r="B468" s="2" t="s">
        <v>1712</v>
      </c>
      <c r="C468" s="2" t="s">
        <v>1657</v>
      </c>
      <c r="D468" s="2" t="s">
        <v>1658</v>
      </c>
    </row>
    <row r="469">
      <c r="A469" s="2" t="s">
        <v>1655</v>
      </c>
      <c r="B469" s="2" t="s">
        <v>1713</v>
      </c>
      <c r="C469" s="2" t="s">
        <v>1657</v>
      </c>
      <c r="D469" s="2" t="s">
        <v>1658</v>
      </c>
    </row>
    <row r="470">
      <c r="A470" s="2" t="s">
        <v>1655</v>
      </c>
      <c r="B470" s="2" t="s">
        <v>1714</v>
      </c>
      <c r="C470" s="2" t="s">
        <v>1657</v>
      </c>
      <c r="D470" s="2" t="s">
        <v>1658</v>
      </c>
    </row>
    <row r="471">
      <c r="A471" s="2" t="s">
        <v>1655</v>
      </c>
      <c r="B471" s="2" t="s">
        <v>1717</v>
      </c>
      <c r="C471" s="2" t="s">
        <v>1657</v>
      </c>
      <c r="D471" s="2" t="s">
        <v>1658</v>
      </c>
    </row>
    <row r="472">
      <c r="A472" s="2" t="s">
        <v>1655</v>
      </c>
      <c r="B472" s="2" t="s">
        <v>1718</v>
      </c>
      <c r="C472" s="2" t="s">
        <v>1657</v>
      </c>
      <c r="D472" s="2" t="s">
        <v>1658</v>
      </c>
    </row>
    <row r="473">
      <c r="A473" s="2" t="s">
        <v>1655</v>
      </c>
      <c r="B473" s="2" t="s">
        <v>1719</v>
      </c>
      <c r="C473" s="2" t="s">
        <v>1657</v>
      </c>
      <c r="D473" s="2" t="s">
        <v>1658</v>
      </c>
    </row>
    <row r="474">
      <c r="A474" s="2" t="s">
        <v>1655</v>
      </c>
      <c r="B474" s="2" t="s">
        <v>1720</v>
      </c>
      <c r="C474" s="2" t="s">
        <v>1657</v>
      </c>
      <c r="D474" s="2" t="s">
        <v>1658</v>
      </c>
    </row>
    <row r="475">
      <c r="A475" s="2" t="s">
        <v>1655</v>
      </c>
      <c r="B475" s="2" t="s">
        <v>1721</v>
      </c>
      <c r="C475" s="2" t="s">
        <v>1657</v>
      </c>
      <c r="D475" s="2" t="s">
        <v>1658</v>
      </c>
    </row>
    <row r="476">
      <c r="A476" s="2" t="s">
        <v>1655</v>
      </c>
      <c r="B476" s="2" t="s">
        <v>1723</v>
      </c>
      <c r="C476" s="2" t="s">
        <v>1657</v>
      </c>
      <c r="D476" s="2" t="s">
        <v>1658</v>
      </c>
    </row>
    <row r="477">
      <c r="A477" s="2" t="s">
        <v>1655</v>
      </c>
      <c r="B477" s="2" t="s">
        <v>1725</v>
      </c>
      <c r="C477" s="2" t="s">
        <v>1657</v>
      </c>
      <c r="D477" s="2" t="s">
        <v>1658</v>
      </c>
    </row>
    <row r="478">
      <c r="A478" s="2" t="s">
        <v>1655</v>
      </c>
      <c r="B478" s="2" t="s">
        <v>1727</v>
      </c>
      <c r="C478" s="2" t="s">
        <v>1657</v>
      </c>
      <c r="D478" s="2" t="s">
        <v>1658</v>
      </c>
    </row>
    <row r="479">
      <c r="A479" s="2" t="s">
        <v>1655</v>
      </c>
      <c r="B479" s="2" t="s">
        <v>1728</v>
      </c>
      <c r="C479" s="2" t="s">
        <v>1657</v>
      </c>
      <c r="D479" s="2" t="s">
        <v>1658</v>
      </c>
    </row>
    <row r="480">
      <c r="A480" s="2" t="s">
        <v>1655</v>
      </c>
      <c r="B480" s="2" t="s">
        <v>1729</v>
      </c>
      <c r="C480" s="2" t="s">
        <v>1657</v>
      </c>
      <c r="D480" s="2" t="s">
        <v>1658</v>
      </c>
    </row>
    <row r="481">
      <c r="A481" s="2" t="s">
        <v>1655</v>
      </c>
      <c r="B481" s="2" t="s">
        <v>1730</v>
      </c>
      <c r="C481" s="2" t="s">
        <v>1657</v>
      </c>
      <c r="D481" s="2" t="s">
        <v>1658</v>
      </c>
    </row>
    <row r="482">
      <c r="A482" s="2" t="s">
        <v>1655</v>
      </c>
      <c r="B482" s="2" t="s">
        <v>1731</v>
      </c>
      <c r="C482" s="2" t="s">
        <v>1657</v>
      </c>
      <c r="D482" s="2" t="s">
        <v>1658</v>
      </c>
    </row>
    <row r="483">
      <c r="A483" s="2" t="s">
        <v>1655</v>
      </c>
      <c r="B483" s="2" t="s">
        <v>1732</v>
      </c>
      <c r="C483" s="2" t="s">
        <v>1657</v>
      </c>
      <c r="D483" s="2" t="s">
        <v>1658</v>
      </c>
    </row>
    <row r="484">
      <c r="A484" s="2" t="s">
        <v>1655</v>
      </c>
      <c r="B484" s="2" t="s">
        <v>1733</v>
      </c>
      <c r="C484" s="2" t="s">
        <v>1657</v>
      </c>
      <c r="D484" s="2" t="s">
        <v>1658</v>
      </c>
    </row>
    <row r="485">
      <c r="A485" s="2" t="s">
        <v>1655</v>
      </c>
      <c r="B485" s="2" t="s">
        <v>1734</v>
      </c>
      <c r="C485" s="2" t="s">
        <v>1657</v>
      </c>
      <c r="D485" s="2" t="s">
        <v>1658</v>
      </c>
    </row>
    <row r="486">
      <c r="A486" s="2" t="s">
        <v>1655</v>
      </c>
      <c r="B486" s="2" t="s">
        <v>1735</v>
      </c>
      <c r="C486" s="2" t="s">
        <v>1657</v>
      </c>
      <c r="D486" s="2" t="s">
        <v>1658</v>
      </c>
    </row>
    <row r="487">
      <c r="A487" s="2" t="s">
        <v>1655</v>
      </c>
      <c r="B487" s="2" t="s">
        <v>1736</v>
      </c>
      <c r="C487" s="2" t="s">
        <v>1657</v>
      </c>
      <c r="D487" s="2" t="s">
        <v>1658</v>
      </c>
    </row>
    <row r="488">
      <c r="A488" s="2" t="s">
        <v>1655</v>
      </c>
      <c r="B488" s="2" t="s">
        <v>1737</v>
      </c>
      <c r="C488" s="2" t="s">
        <v>1657</v>
      </c>
      <c r="D488" s="2" t="s">
        <v>1658</v>
      </c>
    </row>
    <row r="489">
      <c r="A489" s="2" t="s">
        <v>1739</v>
      </c>
      <c r="B489" s="2" t="s">
        <v>1740</v>
      </c>
      <c r="C489" s="2" t="s">
        <v>1741</v>
      </c>
      <c r="D489" s="2" t="s">
        <v>1742</v>
      </c>
    </row>
    <row r="490">
      <c r="A490" s="2" t="s">
        <v>1739</v>
      </c>
      <c r="B490" s="2" t="s">
        <v>1743</v>
      </c>
      <c r="C490" s="2" t="s">
        <v>1741</v>
      </c>
      <c r="D490" s="2" t="s">
        <v>1742</v>
      </c>
    </row>
    <row r="491">
      <c r="A491" s="2" t="s">
        <v>1739</v>
      </c>
      <c r="B491" s="2" t="s">
        <v>1744</v>
      </c>
      <c r="C491" s="2" t="s">
        <v>1741</v>
      </c>
      <c r="D491" s="2" t="s">
        <v>1742</v>
      </c>
    </row>
    <row r="492">
      <c r="A492" s="2" t="s">
        <v>1739</v>
      </c>
      <c r="B492" s="2" t="s">
        <v>1745</v>
      </c>
      <c r="C492" s="2" t="s">
        <v>1741</v>
      </c>
      <c r="D492" s="2" t="s">
        <v>1742</v>
      </c>
    </row>
    <row r="493">
      <c r="A493" s="2" t="s">
        <v>1739</v>
      </c>
      <c r="B493" s="2" t="s">
        <v>1746</v>
      </c>
      <c r="C493" s="2" t="s">
        <v>1741</v>
      </c>
      <c r="D493" s="2" t="s">
        <v>1742</v>
      </c>
    </row>
    <row r="494">
      <c r="A494" s="2" t="s">
        <v>1739</v>
      </c>
      <c r="B494" s="2" t="s">
        <v>1748</v>
      </c>
      <c r="C494" s="2" t="s">
        <v>1741</v>
      </c>
      <c r="D494" s="2" t="s">
        <v>1742</v>
      </c>
    </row>
    <row r="495">
      <c r="A495" s="2" t="s">
        <v>1739</v>
      </c>
      <c r="B495" s="2" t="s">
        <v>1749</v>
      </c>
      <c r="C495" s="2" t="s">
        <v>1741</v>
      </c>
      <c r="D495" s="2" t="s">
        <v>1742</v>
      </c>
    </row>
    <row r="496">
      <c r="A496" s="2" t="s">
        <v>1739</v>
      </c>
      <c r="B496" s="2" t="s">
        <v>1751</v>
      </c>
      <c r="C496" s="2" t="s">
        <v>1741</v>
      </c>
      <c r="D496" s="2" t="s">
        <v>1742</v>
      </c>
    </row>
    <row r="497">
      <c r="A497" s="2" t="s">
        <v>1739</v>
      </c>
      <c r="B497" s="2" t="s">
        <v>1752</v>
      </c>
      <c r="C497" s="2" t="s">
        <v>1741</v>
      </c>
      <c r="D497" s="2" t="s">
        <v>1742</v>
      </c>
    </row>
    <row r="498">
      <c r="A498" s="2" t="s">
        <v>1739</v>
      </c>
      <c r="B498" s="2" t="s">
        <v>1753</v>
      </c>
      <c r="C498" s="2" t="s">
        <v>1741</v>
      </c>
      <c r="D498" s="2" t="s">
        <v>1742</v>
      </c>
    </row>
    <row r="499">
      <c r="A499" s="2" t="s">
        <v>1739</v>
      </c>
      <c r="B499" s="2" t="s">
        <v>1754</v>
      </c>
      <c r="C499" s="2" t="s">
        <v>1741</v>
      </c>
      <c r="D499" s="2" t="s">
        <v>1742</v>
      </c>
    </row>
    <row r="500">
      <c r="A500" s="2" t="s">
        <v>1739</v>
      </c>
      <c r="B500" s="2" t="s">
        <v>1755</v>
      </c>
      <c r="C500" s="2" t="s">
        <v>1741</v>
      </c>
      <c r="D500" s="2" t="s">
        <v>1742</v>
      </c>
    </row>
    <row r="501">
      <c r="A501" s="2" t="s">
        <v>1739</v>
      </c>
      <c r="B501" s="2" t="s">
        <v>1756</v>
      </c>
      <c r="C501" s="2" t="s">
        <v>1741</v>
      </c>
      <c r="D501" s="2" t="s">
        <v>1742</v>
      </c>
    </row>
    <row r="502">
      <c r="A502" s="2" t="s">
        <v>1739</v>
      </c>
      <c r="B502" s="2" t="s">
        <v>1758</v>
      </c>
      <c r="C502" s="2" t="s">
        <v>1741</v>
      </c>
      <c r="D502" s="2" t="s">
        <v>1742</v>
      </c>
    </row>
    <row r="503">
      <c r="A503" s="2" t="s">
        <v>1739</v>
      </c>
      <c r="B503" s="2" t="s">
        <v>1759</v>
      </c>
      <c r="C503" s="2" t="s">
        <v>1741</v>
      </c>
      <c r="D503" s="2" t="s">
        <v>1742</v>
      </c>
    </row>
    <row r="504">
      <c r="A504" s="2" t="s">
        <v>1739</v>
      </c>
      <c r="B504" s="2" t="s">
        <v>1760</v>
      </c>
      <c r="C504" s="2" t="s">
        <v>1741</v>
      </c>
      <c r="D504" s="2" t="s">
        <v>1742</v>
      </c>
    </row>
    <row r="505">
      <c r="A505" s="2" t="s">
        <v>1739</v>
      </c>
      <c r="B505" s="2" t="s">
        <v>1761</v>
      </c>
      <c r="C505" s="2" t="s">
        <v>1741</v>
      </c>
      <c r="D505" s="2" t="s">
        <v>1742</v>
      </c>
    </row>
    <row r="506">
      <c r="A506" s="2" t="s">
        <v>1739</v>
      </c>
      <c r="B506" s="2" t="s">
        <v>1762</v>
      </c>
      <c r="C506" s="2" t="s">
        <v>1741</v>
      </c>
      <c r="D506" s="2" t="s">
        <v>1742</v>
      </c>
    </row>
    <row r="507">
      <c r="A507" s="2" t="s">
        <v>1739</v>
      </c>
      <c r="B507" s="2" t="s">
        <v>1764</v>
      </c>
      <c r="C507" s="2" t="s">
        <v>1741</v>
      </c>
      <c r="D507" s="2" t="s">
        <v>1742</v>
      </c>
    </row>
    <row r="508">
      <c r="A508" s="2" t="s">
        <v>1739</v>
      </c>
      <c r="B508" s="2" t="s">
        <v>1765</v>
      </c>
      <c r="C508" s="2" t="s">
        <v>1741</v>
      </c>
      <c r="D508" s="2" t="s">
        <v>1742</v>
      </c>
    </row>
    <row r="509">
      <c r="A509" s="2" t="s">
        <v>1739</v>
      </c>
      <c r="B509" s="2" t="s">
        <v>1766</v>
      </c>
      <c r="C509" s="2" t="s">
        <v>1741</v>
      </c>
      <c r="D509" s="2" t="s">
        <v>1742</v>
      </c>
    </row>
    <row r="510">
      <c r="A510" s="2" t="s">
        <v>1739</v>
      </c>
      <c r="B510" s="2" t="s">
        <v>1767</v>
      </c>
      <c r="C510" s="2" t="s">
        <v>1741</v>
      </c>
      <c r="D510" s="2" t="s">
        <v>1742</v>
      </c>
    </row>
    <row r="511">
      <c r="A511" s="2" t="s">
        <v>1739</v>
      </c>
      <c r="B511" s="2" t="s">
        <v>1768</v>
      </c>
      <c r="C511" s="2" t="s">
        <v>1741</v>
      </c>
      <c r="D511" s="2" t="s">
        <v>1742</v>
      </c>
    </row>
    <row r="512">
      <c r="A512" s="2" t="s">
        <v>1739</v>
      </c>
      <c r="B512" s="2" t="s">
        <v>1769</v>
      </c>
      <c r="C512" s="2" t="s">
        <v>1741</v>
      </c>
      <c r="D512" s="2" t="s">
        <v>1742</v>
      </c>
    </row>
    <row r="513">
      <c r="A513" s="2" t="s">
        <v>1739</v>
      </c>
      <c r="B513" s="2" t="s">
        <v>1771</v>
      </c>
      <c r="C513" s="2" t="s">
        <v>1741</v>
      </c>
      <c r="D513" s="2" t="s">
        <v>1742</v>
      </c>
    </row>
    <row r="514">
      <c r="A514" s="2" t="s">
        <v>1739</v>
      </c>
      <c r="B514" s="2" t="s">
        <v>1772</v>
      </c>
      <c r="C514" s="2" t="s">
        <v>1741</v>
      </c>
      <c r="D514" s="2" t="s">
        <v>1742</v>
      </c>
    </row>
    <row r="515">
      <c r="A515" s="2" t="s">
        <v>1739</v>
      </c>
      <c r="B515" s="2" t="s">
        <v>1773</v>
      </c>
      <c r="C515" s="2" t="s">
        <v>1741</v>
      </c>
      <c r="D515" s="2" t="s">
        <v>1742</v>
      </c>
    </row>
    <row r="516">
      <c r="A516" s="2" t="s">
        <v>1739</v>
      </c>
      <c r="B516" s="2" t="s">
        <v>1774</v>
      </c>
      <c r="C516" s="2" t="s">
        <v>1741</v>
      </c>
      <c r="D516" s="2" t="s">
        <v>1742</v>
      </c>
    </row>
    <row r="517">
      <c r="A517" s="2" t="s">
        <v>1739</v>
      </c>
      <c r="B517" s="2" t="s">
        <v>1775</v>
      </c>
      <c r="C517" s="2" t="s">
        <v>1741</v>
      </c>
      <c r="D517" s="2" t="s">
        <v>1742</v>
      </c>
    </row>
    <row r="518">
      <c r="A518" s="2" t="s">
        <v>1739</v>
      </c>
      <c r="B518" s="2" t="s">
        <v>1776</v>
      </c>
      <c r="C518" s="2" t="s">
        <v>1741</v>
      </c>
      <c r="D518" s="2" t="s">
        <v>1742</v>
      </c>
    </row>
    <row r="519">
      <c r="A519" s="2" t="s">
        <v>1739</v>
      </c>
      <c r="B519" s="2" t="s">
        <v>1778</v>
      </c>
      <c r="C519" s="2" t="s">
        <v>1741</v>
      </c>
      <c r="D519" s="2" t="s">
        <v>1742</v>
      </c>
    </row>
    <row r="520">
      <c r="A520" s="2" t="s">
        <v>1739</v>
      </c>
      <c r="B520" s="2" t="s">
        <v>1779</v>
      </c>
      <c r="C520" s="2" t="s">
        <v>1741</v>
      </c>
      <c r="D520" s="2" t="s">
        <v>1742</v>
      </c>
    </row>
    <row r="521">
      <c r="A521" s="2" t="s">
        <v>1739</v>
      </c>
      <c r="B521" s="2" t="s">
        <v>1780</v>
      </c>
      <c r="C521" s="2" t="s">
        <v>1741</v>
      </c>
      <c r="D521" s="2" t="s">
        <v>1742</v>
      </c>
    </row>
    <row r="522">
      <c r="A522" s="2" t="s">
        <v>1739</v>
      </c>
      <c r="B522" s="2" t="s">
        <v>1781</v>
      </c>
      <c r="C522" s="2" t="s">
        <v>1741</v>
      </c>
      <c r="D522" s="2" t="s">
        <v>1742</v>
      </c>
    </row>
    <row r="523">
      <c r="A523" s="2" t="s">
        <v>1739</v>
      </c>
      <c r="B523" s="2" t="s">
        <v>1782</v>
      </c>
      <c r="C523" s="2" t="s">
        <v>1741</v>
      </c>
      <c r="D523" s="2" t="s">
        <v>1742</v>
      </c>
    </row>
    <row r="524">
      <c r="A524" s="2" t="s">
        <v>1739</v>
      </c>
      <c r="B524" s="2" t="s">
        <v>1783</v>
      </c>
      <c r="C524" s="2" t="s">
        <v>1741</v>
      </c>
      <c r="D524" s="2" t="s">
        <v>1742</v>
      </c>
    </row>
    <row r="525">
      <c r="A525" s="2" t="s">
        <v>1739</v>
      </c>
      <c r="B525" s="2" t="s">
        <v>1786</v>
      </c>
      <c r="C525" s="2" t="s">
        <v>1741</v>
      </c>
      <c r="D525" s="2" t="s">
        <v>1742</v>
      </c>
    </row>
    <row r="526">
      <c r="A526" s="2" t="s">
        <v>1739</v>
      </c>
      <c r="B526" s="2" t="s">
        <v>1787</v>
      </c>
      <c r="C526" s="2" t="s">
        <v>1741</v>
      </c>
      <c r="D526" s="2" t="s">
        <v>1742</v>
      </c>
    </row>
    <row r="527">
      <c r="A527" s="2" t="s">
        <v>1739</v>
      </c>
      <c r="B527" s="2" t="s">
        <v>1788</v>
      </c>
      <c r="C527" s="2" t="s">
        <v>1741</v>
      </c>
      <c r="D527" s="2" t="s">
        <v>1742</v>
      </c>
    </row>
    <row r="528">
      <c r="A528" s="2" t="s">
        <v>1739</v>
      </c>
      <c r="B528" s="2" t="s">
        <v>1789</v>
      </c>
      <c r="C528" s="2" t="s">
        <v>1741</v>
      </c>
      <c r="D528" s="2" t="s">
        <v>1742</v>
      </c>
    </row>
    <row r="529">
      <c r="A529" s="2" t="s">
        <v>1739</v>
      </c>
      <c r="B529" s="2" t="s">
        <v>1790</v>
      </c>
      <c r="C529" s="2" t="s">
        <v>1741</v>
      </c>
      <c r="D529" s="2" t="s">
        <v>1742</v>
      </c>
    </row>
    <row r="530">
      <c r="A530" s="2" t="s">
        <v>1739</v>
      </c>
      <c r="B530" s="2" t="s">
        <v>1792</v>
      </c>
      <c r="C530" s="2" t="s">
        <v>1741</v>
      </c>
      <c r="D530" s="2" t="s">
        <v>1742</v>
      </c>
    </row>
    <row r="531">
      <c r="A531" s="2" t="s">
        <v>1739</v>
      </c>
      <c r="B531" s="2" t="s">
        <v>1793</v>
      </c>
      <c r="C531" s="2" t="s">
        <v>1741</v>
      </c>
      <c r="D531" s="2" t="s">
        <v>1742</v>
      </c>
    </row>
    <row r="532">
      <c r="A532" s="2" t="s">
        <v>1739</v>
      </c>
      <c r="B532" s="2" t="s">
        <v>1794</v>
      </c>
      <c r="C532" s="2" t="s">
        <v>1741</v>
      </c>
      <c r="D532" s="2" t="s">
        <v>1742</v>
      </c>
    </row>
    <row r="533">
      <c r="A533" s="2" t="s">
        <v>1739</v>
      </c>
      <c r="B533" s="2" t="s">
        <v>1795</v>
      </c>
      <c r="C533" s="2" t="s">
        <v>1741</v>
      </c>
      <c r="D533" s="2" t="s">
        <v>1742</v>
      </c>
    </row>
    <row r="534">
      <c r="A534" s="2" t="s">
        <v>1739</v>
      </c>
      <c r="B534" s="2" t="s">
        <v>1796</v>
      </c>
      <c r="C534" s="2" t="s">
        <v>1741</v>
      </c>
      <c r="D534" s="2" t="s">
        <v>1742</v>
      </c>
    </row>
    <row r="535">
      <c r="A535" s="2" t="s">
        <v>1739</v>
      </c>
      <c r="B535" s="2" t="s">
        <v>1797</v>
      </c>
      <c r="C535" s="2" t="s">
        <v>1741</v>
      </c>
      <c r="D535" s="2" t="s">
        <v>1742</v>
      </c>
    </row>
    <row r="536">
      <c r="A536" s="2" t="s">
        <v>1739</v>
      </c>
      <c r="B536" s="2" t="s">
        <v>1798</v>
      </c>
      <c r="C536" s="2" t="s">
        <v>1741</v>
      </c>
      <c r="D536" s="2" t="s">
        <v>1742</v>
      </c>
    </row>
    <row r="537">
      <c r="A537" s="2" t="s">
        <v>1739</v>
      </c>
      <c r="B537" s="2" t="s">
        <v>1799</v>
      </c>
      <c r="C537" s="2" t="s">
        <v>1741</v>
      </c>
      <c r="D537" s="2" t="s">
        <v>1742</v>
      </c>
    </row>
    <row r="538">
      <c r="A538" s="2" t="s">
        <v>1739</v>
      </c>
      <c r="B538" s="2" t="s">
        <v>1800</v>
      </c>
      <c r="C538" s="2" t="s">
        <v>1741</v>
      </c>
      <c r="D538" s="2" t="s">
        <v>1742</v>
      </c>
    </row>
    <row r="539">
      <c r="A539" s="2" t="s">
        <v>1739</v>
      </c>
      <c r="B539" s="2" t="s">
        <v>1801</v>
      </c>
      <c r="C539" s="2" t="s">
        <v>1741</v>
      </c>
      <c r="D539" s="2" t="s">
        <v>1742</v>
      </c>
    </row>
    <row r="540">
      <c r="A540" s="2" t="s">
        <v>1739</v>
      </c>
      <c r="B540" s="2" t="s">
        <v>1802</v>
      </c>
      <c r="C540" s="2" t="s">
        <v>1741</v>
      </c>
      <c r="D540" s="2" t="s">
        <v>1742</v>
      </c>
    </row>
    <row r="541">
      <c r="A541" s="2" t="s">
        <v>1739</v>
      </c>
      <c r="B541" s="2" t="s">
        <v>1803</v>
      </c>
      <c r="C541" s="2" t="s">
        <v>1741</v>
      </c>
      <c r="D541" s="2" t="s">
        <v>1742</v>
      </c>
    </row>
    <row r="542">
      <c r="A542" s="2" t="s">
        <v>1739</v>
      </c>
      <c r="B542" s="2" t="s">
        <v>1804</v>
      </c>
      <c r="C542" s="2" t="s">
        <v>1741</v>
      </c>
      <c r="D542" s="2" t="s">
        <v>1742</v>
      </c>
    </row>
    <row r="543">
      <c r="A543" s="2" t="s">
        <v>1739</v>
      </c>
      <c r="B543" s="2" t="s">
        <v>1807</v>
      </c>
      <c r="C543" s="2" t="s">
        <v>1741</v>
      </c>
      <c r="D543" s="2" t="s">
        <v>1742</v>
      </c>
    </row>
    <row r="544">
      <c r="A544" s="2" t="s">
        <v>1739</v>
      </c>
      <c r="B544" s="2" t="s">
        <v>1808</v>
      </c>
      <c r="C544" s="2" t="s">
        <v>1741</v>
      </c>
      <c r="D544" s="2" t="s">
        <v>1742</v>
      </c>
    </row>
    <row r="545">
      <c r="A545" s="2" t="s">
        <v>1739</v>
      </c>
      <c r="B545" s="2" t="s">
        <v>1809</v>
      </c>
      <c r="C545" s="2" t="s">
        <v>1741</v>
      </c>
      <c r="D545" s="2" t="s">
        <v>1742</v>
      </c>
    </row>
    <row r="546">
      <c r="A546" s="2" t="s">
        <v>1739</v>
      </c>
      <c r="B546" s="2" t="s">
        <v>1810</v>
      </c>
      <c r="C546" s="2" t="s">
        <v>1741</v>
      </c>
      <c r="D546" s="2" t="s">
        <v>1742</v>
      </c>
    </row>
    <row r="547">
      <c r="A547" s="2" t="s">
        <v>1739</v>
      </c>
      <c r="B547" s="2" t="s">
        <v>1811</v>
      </c>
      <c r="C547" s="2" t="s">
        <v>1741</v>
      </c>
      <c r="D547" s="2" t="s">
        <v>1742</v>
      </c>
    </row>
    <row r="548">
      <c r="A548" s="2" t="s">
        <v>1739</v>
      </c>
      <c r="B548" s="2" t="s">
        <v>1813</v>
      </c>
      <c r="C548" s="2" t="s">
        <v>1741</v>
      </c>
      <c r="D548" s="2" t="s">
        <v>1742</v>
      </c>
    </row>
    <row r="549">
      <c r="A549" s="2" t="s">
        <v>1739</v>
      </c>
      <c r="B549" s="2" t="s">
        <v>1816</v>
      </c>
      <c r="C549" s="2" t="s">
        <v>1741</v>
      </c>
      <c r="D549" s="2" t="s">
        <v>1742</v>
      </c>
    </row>
    <row r="550">
      <c r="A550" s="2" t="s">
        <v>1739</v>
      </c>
      <c r="B550" s="2" t="s">
        <v>1817</v>
      </c>
      <c r="C550" s="2" t="s">
        <v>1741</v>
      </c>
      <c r="D550" s="2" t="s">
        <v>1742</v>
      </c>
    </row>
    <row r="551">
      <c r="A551" s="2" t="s">
        <v>1739</v>
      </c>
      <c r="B551" s="2" t="s">
        <v>1818</v>
      </c>
      <c r="C551" s="2" t="s">
        <v>1741</v>
      </c>
      <c r="D551" s="2" t="s">
        <v>1742</v>
      </c>
    </row>
    <row r="552">
      <c r="A552" s="2" t="s">
        <v>1739</v>
      </c>
      <c r="B552" s="2" t="s">
        <v>1819</v>
      </c>
      <c r="C552" s="2" t="s">
        <v>1741</v>
      </c>
      <c r="D552" s="2" t="s">
        <v>1742</v>
      </c>
    </row>
    <row r="553">
      <c r="A553" s="2" t="s">
        <v>1739</v>
      </c>
      <c r="B553" s="2" t="s">
        <v>1820</v>
      </c>
      <c r="C553" s="2" t="s">
        <v>1741</v>
      </c>
      <c r="D553" s="2" t="s">
        <v>1742</v>
      </c>
    </row>
    <row r="554">
      <c r="A554" s="2" t="s">
        <v>1739</v>
      </c>
      <c r="B554" s="2" t="s">
        <v>1821</v>
      </c>
      <c r="C554" s="2" t="s">
        <v>1741</v>
      </c>
      <c r="D554" s="2" t="s">
        <v>1742</v>
      </c>
    </row>
    <row r="555">
      <c r="A555" s="2" t="s">
        <v>1739</v>
      </c>
      <c r="B555" s="2" t="s">
        <v>1822</v>
      </c>
      <c r="C555" s="2" t="s">
        <v>1741</v>
      </c>
      <c r="D555" s="2" t="s">
        <v>1742</v>
      </c>
    </row>
    <row r="556">
      <c r="A556" s="2" t="s">
        <v>1739</v>
      </c>
      <c r="B556" s="2" t="s">
        <v>1823</v>
      </c>
      <c r="C556" s="2" t="s">
        <v>1741</v>
      </c>
      <c r="D556" s="2" t="s">
        <v>1742</v>
      </c>
    </row>
    <row r="557">
      <c r="A557" s="2" t="s">
        <v>1739</v>
      </c>
      <c r="B557" s="2" t="s">
        <v>1824</v>
      </c>
      <c r="C557" s="2" t="s">
        <v>1741</v>
      </c>
      <c r="D557" s="2" t="s">
        <v>1742</v>
      </c>
    </row>
    <row r="558">
      <c r="A558" s="2" t="s">
        <v>1739</v>
      </c>
      <c r="B558" s="2" t="s">
        <v>1825</v>
      </c>
      <c r="C558" s="2" t="s">
        <v>1741</v>
      </c>
      <c r="D558" s="2" t="s">
        <v>1742</v>
      </c>
    </row>
    <row r="559">
      <c r="A559" s="2" t="s">
        <v>1739</v>
      </c>
      <c r="B559" s="2" t="s">
        <v>1826</v>
      </c>
      <c r="C559" s="2" t="s">
        <v>1741</v>
      </c>
      <c r="D559" s="2" t="s">
        <v>1742</v>
      </c>
    </row>
    <row r="560">
      <c r="A560" s="2" t="s">
        <v>1739</v>
      </c>
      <c r="B560" s="2" t="s">
        <v>1827</v>
      </c>
      <c r="C560" s="2" t="s">
        <v>1741</v>
      </c>
      <c r="D560" s="2" t="s">
        <v>1742</v>
      </c>
    </row>
    <row r="561">
      <c r="A561" s="2" t="s">
        <v>1739</v>
      </c>
      <c r="B561" s="2" t="s">
        <v>1828</v>
      </c>
      <c r="C561" s="2" t="s">
        <v>1741</v>
      </c>
      <c r="D561" s="2" t="s">
        <v>1742</v>
      </c>
    </row>
    <row r="562">
      <c r="A562" s="2" t="s">
        <v>1739</v>
      </c>
      <c r="B562" s="2" t="s">
        <v>1829</v>
      </c>
      <c r="C562" s="2" t="s">
        <v>1741</v>
      </c>
      <c r="D562" s="2" t="s">
        <v>1742</v>
      </c>
    </row>
    <row r="563">
      <c r="A563" s="2" t="s">
        <v>1739</v>
      </c>
      <c r="B563" s="2" t="s">
        <v>1830</v>
      </c>
      <c r="C563" s="2" t="s">
        <v>1741</v>
      </c>
      <c r="D563" s="2" t="s">
        <v>1742</v>
      </c>
    </row>
    <row r="564">
      <c r="A564" s="2" t="s">
        <v>1739</v>
      </c>
      <c r="B564" s="2" t="s">
        <v>1832</v>
      </c>
      <c r="C564" s="2" t="s">
        <v>1741</v>
      </c>
      <c r="D564" s="2" t="s">
        <v>1742</v>
      </c>
    </row>
    <row r="565">
      <c r="A565" s="2" t="s">
        <v>1739</v>
      </c>
      <c r="B565" s="2" t="s">
        <v>1833</v>
      </c>
      <c r="C565" s="2" t="s">
        <v>1741</v>
      </c>
      <c r="D565" s="2" t="s">
        <v>1742</v>
      </c>
    </row>
    <row r="566">
      <c r="A566" s="2" t="s">
        <v>1739</v>
      </c>
      <c r="B566" s="2" t="s">
        <v>1834</v>
      </c>
      <c r="C566" s="2" t="s">
        <v>1741</v>
      </c>
      <c r="D566" s="2" t="s">
        <v>1742</v>
      </c>
    </row>
    <row r="567">
      <c r="A567" s="2" t="s">
        <v>1739</v>
      </c>
      <c r="B567" s="2" t="s">
        <v>1835</v>
      </c>
      <c r="C567" s="2" t="s">
        <v>1741</v>
      </c>
      <c r="D567" s="2" t="s">
        <v>1742</v>
      </c>
    </row>
    <row r="568">
      <c r="A568" s="2" t="s">
        <v>1739</v>
      </c>
      <c r="B568" s="2" t="s">
        <v>1837</v>
      </c>
      <c r="C568" s="2" t="s">
        <v>1741</v>
      </c>
      <c r="D568" s="2" t="s">
        <v>1742</v>
      </c>
    </row>
    <row r="569">
      <c r="A569" s="2" t="s">
        <v>1739</v>
      </c>
      <c r="B569" s="2" t="s">
        <v>1839</v>
      </c>
      <c r="C569" s="2" t="s">
        <v>1741</v>
      </c>
      <c r="D569" s="2" t="s">
        <v>1742</v>
      </c>
    </row>
    <row r="570">
      <c r="A570" s="2" t="s">
        <v>1739</v>
      </c>
      <c r="B570" s="2" t="s">
        <v>1840</v>
      </c>
      <c r="C570" s="2" t="s">
        <v>1741</v>
      </c>
      <c r="D570" s="2" t="s">
        <v>1742</v>
      </c>
    </row>
    <row r="571">
      <c r="A571" s="2" t="s">
        <v>1739</v>
      </c>
      <c r="B571" s="2" t="s">
        <v>1841</v>
      </c>
      <c r="C571" s="2" t="s">
        <v>1741</v>
      </c>
      <c r="D571" s="2" t="s">
        <v>1742</v>
      </c>
    </row>
    <row r="572">
      <c r="A572" s="2" t="s">
        <v>1739</v>
      </c>
      <c r="B572" s="2" t="s">
        <v>1842</v>
      </c>
      <c r="C572" s="2" t="s">
        <v>1741</v>
      </c>
      <c r="D572" s="2" t="s">
        <v>1742</v>
      </c>
    </row>
    <row r="573">
      <c r="A573" s="2" t="s">
        <v>1739</v>
      </c>
      <c r="B573" s="2" t="s">
        <v>1843</v>
      </c>
      <c r="C573" s="2" t="s">
        <v>1741</v>
      </c>
      <c r="D573" s="2" t="s">
        <v>1742</v>
      </c>
    </row>
    <row r="574">
      <c r="A574" s="2" t="s">
        <v>1739</v>
      </c>
      <c r="B574" s="2" t="s">
        <v>1844</v>
      </c>
      <c r="C574" s="2" t="s">
        <v>1741</v>
      </c>
      <c r="D574" s="2" t="s">
        <v>1742</v>
      </c>
    </row>
    <row r="575">
      <c r="A575" s="2" t="s">
        <v>1739</v>
      </c>
      <c r="B575" s="2" t="s">
        <v>1845</v>
      </c>
      <c r="C575" s="2" t="s">
        <v>1741</v>
      </c>
      <c r="D575" s="2" t="s">
        <v>1742</v>
      </c>
    </row>
    <row r="576">
      <c r="A576" s="2" t="s">
        <v>1739</v>
      </c>
      <c r="B576" s="2" t="s">
        <v>1846</v>
      </c>
      <c r="C576" s="2" t="s">
        <v>1741</v>
      </c>
      <c r="D576" s="2" t="s">
        <v>1742</v>
      </c>
    </row>
    <row r="577">
      <c r="A577" s="2" t="s">
        <v>1739</v>
      </c>
      <c r="B577" s="2" t="s">
        <v>1847</v>
      </c>
      <c r="C577" s="2" t="s">
        <v>1741</v>
      </c>
      <c r="D577" s="2" t="s">
        <v>1742</v>
      </c>
    </row>
    <row r="578">
      <c r="A578" s="2" t="s">
        <v>1739</v>
      </c>
      <c r="B578" s="2" t="s">
        <v>1848</v>
      </c>
      <c r="C578" s="2" t="s">
        <v>1741</v>
      </c>
      <c r="D578" s="2" t="s">
        <v>1742</v>
      </c>
    </row>
    <row r="579">
      <c r="A579" s="2" t="s">
        <v>1739</v>
      </c>
      <c r="B579" s="2" t="s">
        <v>1849</v>
      </c>
      <c r="C579" s="2" t="s">
        <v>1741</v>
      </c>
      <c r="D579" s="2" t="s">
        <v>1742</v>
      </c>
    </row>
    <row r="580">
      <c r="A580" s="2" t="s">
        <v>1739</v>
      </c>
      <c r="B580" s="2" t="s">
        <v>1850</v>
      </c>
      <c r="C580" s="2" t="s">
        <v>1741</v>
      </c>
      <c r="D580" s="2" t="s">
        <v>1742</v>
      </c>
    </row>
    <row r="581">
      <c r="A581" s="2" t="s">
        <v>1739</v>
      </c>
      <c r="B581" s="2" t="s">
        <v>1851</v>
      </c>
      <c r="C581" s="2" t="s">
        <v>1741</v>
      </c>
      <c r="D581" s="2" t="s">
        <v>1742</v>
      </c>
    </row>
    <row r="582">
      <c r="A582" s="2" t="s">
        <v>1739</v>
      </c>
      <c r="B582" s="2" t="s">
        <v>1852</v>
      </c>
      <c r="C582" s="2" t="s">
        <v>1741</v>
      </c>
      <c r="D582" s="2" t="s">
        <v>1742</v>
      </c>
    </row>
    <row r="583">
      <c r="A583" s="2" t="s">
        <v>1739</v>
      </c>
      <c r="B583" s="2" t="s">
        <v>1854</v>
      </c>
      <c r="C583" s="2" t="s">
        <v>1741</v>
      </c>
      <c r="D583" s="2" t="s">
        <v>1742</v>
      </c>
    </row>
    <row r="584">
      <c r="A584" s="2" t="s">
        <v>1739</v>
      </c>
      <c r="B584" s="2" t="s">
        <v>1855</v>
      </c>
      <c r="C584" s="2" t="s">
        <v>1741</v>
      </c>
      <c r="D584" s="2" t="s">
        <v>1742</v>
      </c>
    </row>
    <row r="585">
      <c r="A585" s="2" t="s">
        <v>1739</v>
      </c>
      <c r="B585" s="2" t="s">
        <v>1856</v>
      </c>
      <c r="C585" s="2" t="s">
        <v>1741</v>
      </c>
      <c r="D585" s="2" t="s">
        <v>1742</v>
      </c>
    </row>
    <row r="586">
      <c r="A586" s="2" t="s">
        <v>1739</v>
      </c>
      <c r="B586" s="2" t="s">
        <v>1857</v>
      </c>
      <c r="C586" s="2" t="s">
        <v>1741</v>
      </c>
      <c r="D586" s="2" t="s">
        <v>1742</v>
      </c>
    </row>
    <row r="587">
      <c r="A587" s="2" t="s">
        <v>1739</v>
      </c>
      <c r="B587" s="2" t="s">
        <v>1858</v>
      </c>
      <c r="C587" s="2" t="s">
        <v>1741</v>
      </c>
      <c r="D587" s="2" t="s">
        <v>1742</v>
      </c>
    </row>
    <row r="588">
      <c r="A588" s="2" t="s">
        <v>1739</v>
      </c>
      <c r="B588" s="2" t="s">
        <v>1859</v>
      </c>
      <c r="C588" s="2" t="s">
        <v>1741</v>
      </c>
      <c r="D588" s="2" t="s">
        <v>1742</v>
      </c>
    </row>
    <row r="589">
      <c r="A589" s="2" t="s">
        <v>1739</v>
      </c>
      <c r="B589" s="2" t="s">
        <v>1860</v>
      </c>
      <c r="G589" s="2" t="s">
        <v>1862</v>
      </c>
    </row>
    <row r="590">
      <c r="A590" s="2" t="s">
        <v>1739</v>
      </c>
      <c r="B590" s="2" t="s">
        <v>1863</v>
      </c>
      <c r="G590" s="2" t="s">
        <v>1862</v>
      </c>
    </row>
    <row r="591">
      <c r="A591" s="2" t="s">
        <v>1739</v>
      </c>
      <c r="B591" s="2" t="s">
        <v>1864</v>
      </c>
      <c r="G591" s="2" t="s">
        <v>1862</v>
      </c>
    </row>
    <row r="592">
      <c r="A592" s="2" t="s">
        <v>1739</v>
      </c>
      <c r="B592" s="2" t="s">
        <v>1866</v>
      </c>
      <c r="G592" s="2" t="s">
        <v>1862</v>
      </c>
    </row>
    <row r="593">
      <c r="A593" s="2" t="s">
        <v>1739</v>
      </c>
      <c r="B593" s="2" t="s">
        <v>1867</v>
      </c>
      <c r="G593" s="2" t="s">
        <v>1862</v>
      </c>
    </row>
    <row r="594">
      <c r="A594" s="2" t="s">
        <v>1739</v>
      </c>
      <c r="B594" s="2" t="s">
        <v>1868</v>
      </c>
      <c r="G594" s="2" t="s">
        <v>1862</v>
      </c>
    </row>
    <row r="595">
      <c r="A595" s="2" t="s">
        <v>1739</v>
      </c>
      <c r="B595" s="2" t="s">
        <v>1869</v>
      </c>
      <c r="G595" s="2" t="s">
        <v>1862</v>
      </c>
    </row>
    <row r="596">
      <c r="A596" s="2" t="s">
        <v>1739</v>
      </c>
      <c r="B596" s="2" t="s">
        <v>1870</v>
      </c>
      <c r="G596" s="2" t="s">
        <v>1862</v>
      </c>
    </row>
    <row r="597">
      <c r="A597" s="2" t="s">
        <v>1739</v>
      </c>
      <c r="B597" s="2" t="s">
        <v>1871</v>
      </c>
      <c r="G597" s="2" t="s">
        <v>1862</v>
      </c>
    </row>
    <row r="598">
      <c r="A598" s="2" t="s">
        <v>1739</v>
      </c>
      <c r="B598" s="2" t="s">
        <v>1872</v>
      </c>
      <c r="G598" s="2" t="s">
        <v>1862</v>
      </c>
    </row>
    <row r="599">
      <c r="A599" s="2" t="s">
        <v>1739</v>
      </c>
      <c r="B599" s="2" t="s">
        <v>1873</v>
      </c>
      <c r="G599" s="2" t="s">
        <v>1862</v>
      </c>
    </row>
    <row r="600">
      <c r="A600" s="2" t="s">
        <v>1739</v>
      </c>
      <c r="B600" s="2" t="s">
        <v>1874</v>
      </c>
      <c r="G600" s="2" t="s">
        <v>1862</v>
      </c>
    </row>
    <row r="601">
      <c r="A601" s="2" t="s">
        <v>1739</v>
      </c>
      <c r="B601" s="2" t="s">
        <v>1875</v>
      </c>
      <c r="G601" s="2" t="s">
        <v>1862</v>
      </c>
    </row>
    <row r="602">
      <c r="A602" s="2" t="s">
        <v>1739</v>
      </c>
      <c r="B602" s="2" t="s">
        <v>1876</v>
      </c>
      <c r="G602" s="2" t="s">
        <v>1862</v>
      </c>
    </row>
    <row r="603">
      <c r="A603" s="2" t="s">
        <v>1739</v>
      </c>
      <c r="B603" s="2" t="s">
        <v>1877</v>
      </c>
      <c r="G603" s="2" t="s">
        <v>1862</v>
      </c>
    </row>
    <row r="604">
      <c r="A604" s="2" t="s">
        <v>1739</v>
      </c>
      <c r="B604" s="2" t="s">
        <v>1879</v>
      </c>
      <c r="G604" s="2" t="s">
        <v>1862</v>
      </c>
    </row>
    <row r="605">
      <c r="A605" s="2" t="s">
        <v>1739</v>
      </c>
      <c r="B605" s="2" t="s">
        <v>1880</v>
      </c>
      <c r="G605" s="2" t="s">
        <v>1862</v>
      </c>
    </row>
    <row r="606">
      <c r="A606" s="2" t="s">
        <v>1739</v>
      </c>
      <c r="B606" s="2" t="s">
        <v>1881</v>
      </c>
      <c r="G606" s="2" t="s">
        <v>1862</v>
      </c>
    </row>
    <row r="607">
      <c r="A607" s="2" t="s">
        <v>1739</v>
      </c>
      <c r="B607" s="2" t="s">
        <v>1882</v>
      </c>
      <c r="G607" s="2" t="s">
        <v>1862</v>
      </c>
    </row>
    <row r="608">
      <c r="A608" s="2" t="s">
        <v>1739</v>
      </c>
      <c r="B608" s="2" t="s">
        <v>1883</v>
      </c>
      <c r="G608" s="2" t="s">
        <v>1862</v>
      </c>
    </row>
    <row r="609">
      <c r="A609" s="2" t="s">
        <v>1739</v>
      </c>
      <c r="B609" s="2" t="s">
        <v>1885</v>
      </c>
      <c r="G609" s="2" t="s">
        <v>1862</v>
      </c>
    </row>
    <row r="610">
      <c r="A610" s="2" t="s">
        <v>1739</v>
      </c>
      <c r="B610" s="2" t="s">
        <v>1886</v>
      </c>
      <c r="G610" s="2" t="s">
        <v>1862</v>
      </c>
    </row>
    <row r="611">
      <c r="A611" s="2" t="s">
        <v>1739</v>
      </c>
      <c r="B611" s="2" t="s">
        <v>1887</v>
      </c>
      <c r="G611" s="2" t="s">
        <v>1862</v>
      </c>
    </row>
    <row r="612">
      <c r="A612" s="2" t="s">
        <v>1739</v>
      </c>
      <c r="B612" s="2" t="s">
        <v>1888</v>
      </c>
      <c r="G612" s="2" t="s">
        <v>1862</v>
      </c>
    </row>
    <row r="613">
      <c r="A613" s="2" t="s">
        <v>1739</v>
      </c>
      <c r="B613" s="2" t="s">
        <v>1889</v>
      </c>
      <c r="G613" s="2" t="s">
        <v>1862</v>
      </c>
    </row>
    <row r="614">
      <c r="A614" s="2" t="s">
        <v>1739</v>
      </c>
      <c r="B614" s="2" t="s">
        <v>1891</v>
      </c>
      <c r="G614" s="2" t="s">
        <v>1862</v>
      </c>
    </row>
    <row r="615">
      <c r="A615" s="2" t="s">
        <v>1739</v>
      </c>
      <c r="B615" s="2" t="s">
        <v>1892</v>
      </c>
      <c r="G615" s="2" t="s">
        <v>1862</v>
      </c>
    </row>
    <row r="616">
      <c r="A616" s="2" t="s">
        <v>1739</v>
      </c>
      <c r="B616" s="2" t="s">
        <v>1893</v>
      </c>
      <c r="G616" s="2" t="s">
        <v>1862</v>
      </c>
    </row>
    <row r="617">
      <c r="A617" s="2" t="s">
        <v>1739</v>
      </c>
      <c r="B617" s="2" t="s">
        <v>1894</v>
      </c>
      <c r="G617" s="2" t="s">
        <v>1862</v>
      </c>
    </row>
    <row r="618">
      <c r="A618" s="2" t="s">
        <v>1739</v>
      </c>
      <c r="B618" s="2" t="s">
        <v>1895</v>
      </c>
      <c r="G618" s="2" t="s">
        <v>1862</v>
      </c>
    </row>
    <row r="619">
      <c r="A619" s="2" t="s">
        <v>1739</v>
      </c>
      <c r="B619" s="2" t="s">
        <v>1896</v>
      </c>
      <c r="G619" s="2" t="s">
        <v>1862</v>
      </c>
    </row>
    <row r="620">
      <c r="A620" s="2" t="s">
        <v>1739</v>
      </c>
      <c r="B620" s="2" t="s">
        <v>1898</v>
      </c>
      <c r="G620" s="2" t="s">
        <v>1862</v>
      </c>
    </row>
    <row r="621">
      <c r="A621" s="2" t="s">
        <v>1739</v>
      </c>
      <c r="B621" s="2" t="s">
        <v>1899</v>
      </c>
      <c r="G621" s="2" t="s">
        <v>1862</v>
      </c>
    </row>
    <row r="622">
      <c r="A622" s="2" t="s">
        <v>1739</v>
      </c>
      <c r="B622" s="2" t="s">
        <v>1900</v>
      </c>
      <c r="G622" s="2" t="s">
        <v>1862</v>
      </c>
    </row>
    <row r="623">
      <c r="A623" s="2" t="s">
        <v>1739</v>
      </c>
      <c r="B623" s="2" t="s">
        <v>1901</v>
      </c>
      <c r="G623" s="2" t="s">
        <v>1862</v>
      </c>
    </row>
    <row r="624">
      <c r="A624" s="2" t="s">
        <v>1739</v>
      </c>
      <c r="B624" s="2" t="s">
        <v>1902</v>
      </c>
      <c r="G624" s="2" t="s">
        <v>1862</v>
      </c>
    </row>
    <row r="625">
      <c r="A625" s="2" t="s">
        <v>1739</v>
      </c>
      <c r="B625" s="2" t="s">
        <v>1903</v>
      </c>
      <c r="G625" s="2" t="s">
        <v>1862</v>
      </c>
    </row>
    <row r="626">
      <c r="A626" s="2" t="s">
        <v>1739</v>
      </c>
      <c r="B626" s="2" t="s">
        <v>1904</v>
      </c>
      <c r="G626" s="2" t="s">
        <v>1862</v>
      </c>
    </row>
    <row r="627">
      <c r="A627" s="2" t="s">
        <v>1739</v>
      </c>
      <c r="B627" s="2" t="s">
        <v>1905</v>
      </c>
      <c r="G627" s="2" t="s">
        <v>1862</v>
      </c>
    </row>
    <row r="628">
      <c r="A628" s="2" t="s">
        <v>1739</v>
      </c>
      <c r="B628" s="2" t="s">
        <v>1906</v>
      </c>
      <c r="G628" s="2" t="s">
        <v>1862</v>
      </c>
    </row>
    <row r="629">
      <c r="A629" s="2" t="s">
        <v>1739</v>
      </c>
      <c r="B629" s="2" t="s">
        <v>1907</v>
      </c>
      <c r="G629" s="2" t="s">
        <v>1862</v>
      </c>
    </row>
    <row r="630">
      <c r="A630" s="2" t="s">
        <v>1739</v>
      </c>
      <c r="B630" s="2" t="s">
        <v>1908</v>
      </c>
      <c r="G630" s="2" t="s">
        <v>1862</v>
      </c>
    </row>
    <row r="631">
      <c r="A631" s="2" t="s">
        <v>1739</v>
      </c>
      <c r="B631" s="2" t="s">
        <v>1910</v>
      </c>
      <c r="G631" s="2" t="s">
        <v>1862</v>
      </c>
    </row>
    <row r="632">
      <c r="A632" s="2" t="s">
        <v>1739</v>
      </c>
      <c r="B632" s="2" t="s">
        <v>1911</v>
      </c>
      <c r="G632" s="2" t="s">
        <v>1862</v>
      </c>
    </row>
    <row r="633">
      <c r="A633" s="2" t="s">
        <v>1739</v>
      </c>
      <c r="B633" s="2" t="s">
        <v>1912</v>
      </c>
      <c r="G633" s="2" t="s">
        <v>1862</v>
      </c>
    </row>
    <row r="634">
      <c r="A634" s="2" t="s">
        <v>1739</v>
      </c>
      <c r="B634" s="2" t="s">
        <v>1913</v>
      </c>
      <c r="G634" s="2" t="s">
        <v>1862</v>
      </c>
    </row>
    <row r="635">
      <c r="A635" s="2" t="s">
        <v>1739</v>
      </c>
      <c r="B635" s="2" t="s">
        <v>1914</v>
      </c>
      <c r="G635" s="2" t="s">
        <v>1862</v>
      </c>
    </row>
    <row r="636">
      <c r="A636" s="2" t="s">
        <v>1739</v>
      </c>
      <c r="B636" s="2" t="s">
        <v>1916</v>
      </c>
      <c r="G636" s="2" t="s">
        <v>1862</v>
      </c>
    </row>
    <row r="637">
      <c r="A637" s="2" t="s">
        <v>1739</v>
      </c>
      <c r="B637" s="2" t="s">
        <v>1917</v>
      </c>
      <c r="G637" s="2" t="s">
        <v>1862</v>
      </c>
    </row>
    <row r="638">
      <c r="A638" s="2" t="s">
        <v>1739</v>
      </c>
      <c r="B638" s="2" t="s">
        <v>1918</v>
      </c>
      <c r="G638" s="2" t="s">
        <v>1862</v>
      </c>
    </row>
    <row r="639">
      <c r="A639" s="2" t="s">
        <v>1739</v>
      </c>
      <c r="B639" s="2" t="s">
        <v>1919</v>
      </c>
      <c r="G639" s="2" t="s">
        <v>1862</v>
      </c>
    </row>
    <row r="640">
      <c r="A640" s="2" t="s">
        <v>1739</v>
      </c>
      <c r="B640" s="2" t="s">
        <v>1920</v>
      </c>
      <c r="G640" s="2" t="s">
        <v>1862</v>
      </c>
    </row>
    <row r="641">
      <c r="A641" s="2" t="s">
        <v>1739</v>
      </c>
      <c r="B641" s="2" t="s">
        <v>1922</v>
      </c>
      <c r="G641" s="2" t="s">
        <v>1862</v>
      </c>
    </row>
    <row r="642">
      <c r="A642" s="2" t="s">
        <v>1739</v>
      </c>
      <c r="B642" s="2" t="s">
        <v>1923</v>
      </c>
      <c r="G642" s="2" t="s">
        <v>1862</v>
      </c>
    </row>
    <row r="643">
      <c r="A643" s="2" t="s">
        <v>1739</v>
      </c>
      <c r="B643" s="2" t="s">
        <v>1924</v>
      </c>
      <c r="G643" s="2" t="s">
        <v>1862</v>
      </c>
    </row>
    <row r="644">
      <c r="A644" s="2" t="s">
        <v>1739</v>
      </c>
      <c r="B644" s="2" t="s">
        <v>1925</v>
      </c>
      <c r="G644" s="2" t="s">
        <v>1862</v>
      </c>
    </row>
    <row r="645">
      <c r="A645" s="2" t="s">
        <v>1739</v>
      </c>
      <c r="B645" s="2" t="s">
        <v>1926</v>
      </c>
      <c r="G645" s="2" t="s">
        <v>1862</v>
      </c>
    </row>
    <row r="646">
      <c r="A646" s="2" t="s">
        <v>1739</v>
      </c>
      <c r="B646" s="2" t="s">
        <v>1927</v>
      </c>
      <c r="G646" s="2" t="s">
        <v>1862</v>
      </c>
    </row>
    <row r="647">
      <c r="A647" s="2" t="s">
        <v>1739</v>
      </c>
      <c r="B647" s="2" t="s">
        <v>1928</v>
      </c>
      <c r="G647" s="2" t="s">
        <v>1862</v>
      </c>
    </row>
    <row r="648">
      <c r="A648" s="2" t="s">
        <v>1739</v>
      </c>
      <c r="B648" s="2" t="s">
        <v>1929</v>
      </c>
      <c r="G648" s="2" t="s">
        <v>1862</v>
      </c>
    </row>
    <row r="649">
      <c r="A649" s="2" t="s">
        <v>1739</v>
      </c>
      <c r="B649" s="2" t="s">
        <v>1930</v>
      </c>
      <c r="G649" s="2" t="s">
        <v>1862</v>
      </c>
    </row>
    <row r="650">
      <c r="A650" s="2" t="s">
        <v>1739</v>
      </c>
      <c r="B650" s="2" t="s">
        <v>1931</v>
      </c>
      <c r="G650" s="2" t="s">
        <v>1862</v>
      </c>
    </row>
    <row r="651">
      <c r="A651" s="2" t="s">
        <v>1739</v>
      </c>
      <c r="B651" s="2" t="s">
        <v>1932</v>
      </c>
      <c r="G651" s="2" t="s">
        <v>1862</v>
      </c>
    </row>
    <row r="652">
      <c r="A652" s="2" t="s">
        <v>1739</v>
      </c>
      <c r="B652" s="2" t="s">
        <v>1935</v>
      </c>
      <c r="G652" s="2" t="s">
        <v>1862</v>
      </c>
    </row>
    <row r="653">
      <c r="A653" s="2" t="s">
        <v>1739</v>
      </c>
      <c r="B653" s="2" t="s">
        <v>1936</v>
      </c>
      <c r="G653" s="2" t="s">
        <v>1862</v>
      </c>
    </row>
    <row r="654">
      <c r="A654" s="2" t="s">
        <v>1739</v>
      </c>
      <c r="B654" s="2" t="s">
        <v>1937</v>
      </c>
      <c r="G654" s="2" t="s">
        <v>1862</v>
      </c>
    </row>
    <row r="655">
      <c r="A655" s="2" t="s">
        <v>1739</v>
      </c>
      <c r="B655" s="2" t="s">
        <v>1938</v>
      </c>
      <c r="G655" s="2" t="s">
        <v>1862</v>
      </c>
    </row>
    <row r="656">
      <c r="A656" s="2" t="s">
        <v>1739</v>
      </c>
      <c r="B656" s="2" t="s">
        <v>1940</v>
      </c>
      <c r="G656" s="2" t="s">
        <v>1862</v>
      </c>
    </row>
    <row r="657">
      <c r="A657" s="2" t="s">
        <v>1739</v>
      </c>
      <c r="B657" s="2" t="s">
        <v>1941</v>
      </c>
      <c r="G657" s="2" t="s">
        <v>1862</v>
      </c>
    </row>
    <row r="658">
      <c r="A658" s="2" t="s">
        <v>1739</v>
      </c>
      <c r="B658" s="2" t="s">
        <v>1942</v>
      </c>
      <c r="G658" s="2" t="s">
        <v>1862</v>
      </c>
    </row>
    <row r="659">
      <c r="A659" s="2" t="s">
        <v>1739</v>
      </c>
      <c r="B659" s="2" t="s">
        <v>1943</v>
      </c>
      <c r="G659" s="2" t="s">
        <v>1862</v>
      </c>
    </row>
    <row r="660">
      <c r="A660" s="2" t="s">
        <v>1739</v>
      </c>
      <c r="B660" s="2" t="s">
        <v>1944</v>
      </c>
      <c r="G660" s="2" t="s">
        <v>1862</v>
      </c>
    </row>
    <row r="661">
      <c r="A661" s="2" t="s">
        <v>1739</v>
      </c>
      <c r="B661" s="2" t="s">
        <v>1945</v>
      </c>
      <c r="G661" s="2" t="s">
        <v>1862</v>
      </c>
    </row>
    <row r="662">
      <c r="A662" s="2" t="s">
        <v>1739</v>
      </c>
      <c r="B662" s="2" t="s">
        <v>1946</v>
      </c>
      <c r="G662" s="2" t="s">
        <v>1862</v>
      </c>
    </row>
    <row r="663">
      <c r="A663" s="2" t="s">
        <v>1739</v>
      </c>
      <c r="B663" s="2" t="s">
        <v>1947</v>
      </c>
      <c r="G663" s="2" t="s">
        <v>1862</v>
      </c>
    </row>
    <row r="664">
      <c r="A664" s="2" t="s">
        <v>1739</v>
      </c>
      <c r="B664" s="2" t="s">
        <v>1948</v>
      </c>
      <c r="G664" s="2" t="s">
        <v>1862</v>
      </c>
    </row>
    <row r="665">
      <c r="A665" s="2" t="s">
        <v>1739</v>
      </c>
      <c r="B665" s="2" t="s">
        <v>1949</v>
      </c>
      <c r="G665" s="2" t="s">
        <v>1862</v>
      </c>
    </row>
    <row r="666">
      <c r="A666" s="2" t="s">
        <v>1739</v>
      </c>
      <c r="B666" s="2" t="s">
        <v>1950</v>
      </c>
      <c r="G666" s="2" t="s">
        <v>1862</v>
      </c>
    </row>
    <row r="667">
      <c r="A667" s="2" t="s">
        <v>1739</v>
      </c>
      <c r="B667" s="2" t="s">
        <v>1952</v>
      </c>
      <c r="G667" s="2" t="s">
        <v>1862</v>
      </c>
    </row>
    <row r="668">
      <c r="A668" s="2" t="s">
        <v>1739</v>
      </c>
      <c r="B668" s="2" t="s">
        <v>1954</v>
      </c>
      <c r="G668" s="2" t="s">
        <v>1862</v>
      </c>
    </row>
    <row r="669">
      <c r="A669" s="2" t="s">
        <v>1739</v>
      </c>
      <c r="B669" s="2" t="s">
        <v>1955</v>
      </c>
      <c r="G669" s="2" t="s">
        <v>1862</v>
      </c>
    </row>
    <row r="670">
      <c r="A670" s="2" t="s">
        <v>1739</v>
      </c>
      <c r="B670" s="2" t="s">
        <v>1956</v>
      </c>
      <c r="G670" s="2" t="s">
        <v>1862</v>
      </c>
    </row>
    <row r="671">
      <c r="A671" s="2" t="s">
        <v>1739</v>
      </c>
      <c r="B671" s="2" t="s">
        <v>1957</v>
      </c>
      <c r="G671" s="2" t="s">
        <v>1862</v>
      </c>
    </row>
    <row r="672">
      <c r="A672" s="2" t="s">
        <v>1739</v>
      </c>
      <c r="B672" s="2" t="s">
        <v>1958</v>
      </c>
      <c r="G672" s="2" t="s">
        <v>1862</v>
      </c>
    </row>
    <row r="673">
      <c r="A673" s="2" t="s">
        <v>1739</v>
      </c>
      <c r="B673" s="2" t="s">
        <v>1961</v>
      </c>
      <c r="G673" s="2" t="s">
        <v>1862</v>
      </c>
    </row>
    <row r="674">
      <c r="A674" s="2" t="s">
        <v>1739</v>
      </c>
      <c r="B674" s="2" t="s">
        <v>1962</v>
      </c>
      <c r="G674" s="2" t="s">
        <v>1862</v>
      </c>
    </row>
    <row r="675">
      <c r="A675" s="2" t="s">
        <v>1739</v>
      </c>
      <c r="B675" s="2" t="s">
        <v>1963</v>
      </c>
      <c r="G675" s="2" t="s">
        <v>1862</v>
      </c>
    </row>
    <row r="676">
      <c r="A676" s="2" t="s">
        <v>1739</v>
      </c>
      <c r="B676" s="2" t="s">
        <v>1964</v>
      </c>
      <c r="G676" s="2" t="s">
        <v>1862</v>
      </c>
    </row>
    <row r="677">
      <c r="A677" s="2" t="s">
        <v>1739</v>
      </c>
      <c r="B677" s="2" t="s">
        <v>1965</v>
      </c>
      <c r="G677" s="2" t="s">
        <v>1862</v>
      </c>
    </row>
    <row r="678">
      <c r="A678" s="2" t="s">
        <v>1739</v>
      </c>
      <c r="B678" s="2" t="s">
        <v>1966</v>
      </c>
      <c r="G678" s="2" t="s">
        <v>1862</v>
      </c>
    </row>
    <row r="679">
      <c r="A679" s="2" t="s">
        <v>1739</v>
      </c>
      <c r="B679" s="2" t="s">
        <v>1967</v>
      </c>
      <c r="G679" s="2" t="s">
        <v>1862</v>
      </c>
    </row>
    <row r="680">
      <c r="A680" s="2" t="s">
        <v>1739</v>
      </c>
      <c r="B680" s="2" t="s">
        <v>1968</v>
      </c>
      <c r="G680" s="2" t="s">
        <v>1862</v>
      </c>
    </row>
    <row r="681">
      <c r="A681" s="2" t="s">
        <v>1739</v>
      </c>
      <c r="B681" s="2" t="s">
        <v>1970</v>
      </c>
      <c r="G681" s="2" t="s">
        <v>1862</v>
      </c>
    </row>
    <row r="682">
      <c r="A682" s="2" t="s">
        <v>1739</v>
      </c>
      <c r="B682" s="2" t="s">
        <v>1971</v>
      </c>
      <c r="G682" s="2" t="s">
        <v>1862</v>
      </c>
    </row>
    <row r="683">
      <c r="A683" s="2" t="s">
        <v>1739</v>
      </c>
      <c r="B683" s="2" t="s">
        <v>1972</v>
      </c>
      <c r="G683" s="2" t="s">
        <v>1862</v>
      </c>
    </row>
    <row r="684">
      <c r="A684" s="2" t="s">
        <v>1739</v>
      </c>
      <c r="B684" s="2" t="s">
        <v>1973</v>
      </c>
      <c r="G684" s="2" t="s">
        <v>1862</v>
      </c>
    </row>
    <row r="685">
      <c r="A685" s="2" t="s">
        <v>1739</v>
      </c>
      <c r="B685" s="2" t="s">
        <v>1974</v>
      </c>
      <c r="G685" s="2" t="s">
        <v>1862</v>
      </c>
    </row>
    <row r="686">
      <c r="A686" s="2" t="s">
        <v>1739</v>
      </c>
      <c r="B686" s="2" t="s">
        <v>1975</v>
      </c>
      <c r="G686" s="2" t="s">
        <v>1862</v>
      </c>
    </row>
    <row r="687">
      <c r="A687" s="2" t="s">
        <v>1739</v>
      </c>
      <c r="B687" s="2" t="s">
        <v>1977</v>
      </c>
      <c r="G687" s="2" t="s">
        <v>1862</v>
      </c>
    </row>
    <row r="688">
      <c r="A688" s="2" t="s">
        <v>1739</v>
      </c>
      <c r="B688" s="2" t="s">
        <v>1978</v>
      </c>
      <c r="G688" s="2" t="s">
        <v>1862</v>
      </c>
    </row>
    <row r="689">
      <c r="A689" s="2" t="s">
        <v>1739</v>
      </c>
      <c r="B689" s="2" t="s">
        <v>1979</v>
      </c>
      <c r="G689" s="2" t="s">
        <v>1862</v>
      </c>
    </row>
    <row r="690">
      <c r="A690" s="2" t="s">
        <v>1739</v>
      </c>
      <c r="B690" s="2" t="s">
        <v>1980</v>
      </c>
      <c r="G690" s="2" t="s">
        <v>1862</v>
      </c>
    </row>
    <row r="691">
      <c r="A691" s="2" t="s">
        <v>1739</v>
      </c>
      <c r="B691" s="2" t="s">
        <v>1981</v>
      </c>
      <c r="G691" s="2" t="s">
        <v>1862</v>
      </c>
    </row>
    <row r="692">
      <c r="A692" s="2" t="s">
        <v>1739</v>
      </c>
      <c r="B692" s="2" t="s">
        <v>1982</v>
      </c>
      <c r="G692" s="2" t="s">
        <v>1862</v>
      </c>
    </row>
    <row r="693">
      <c r="A693" s="2" t="s">
        <v>1739</v>
      </c>
      <c r="B693" s="2" t="s">
        <v>1984</v>
      </c>
      <c r="G693" s="2" t="s">
        <v>1862</v>
      </c>
    </row>
    <row r="694">
      <c r="A694" s="2" t="s">
        <v>1739</v>
      </c>
      <c r="B694" s="2" t="s">
        <v>1986</v>
      </c>
      <c r="G694" s="2" t="s">
        <v>1862</v>
      </c>
    </row>
    <row r="695">
      <c r="A695" s="2" t="s">
        <v>1739</v>
      </c>
      <c r="B695" s="2" t="s">
        <v>1987</v>
      </c>
      <c r="G695" s="2" t="s">
        <v>1862</v>
      </c>
    </row>
    <row r="696">
      <c r="A696" s="2" t="s">
        <v>1739</v>
      </c>
      <c r="B696" s="2" t="s">
        <v>1989</v>
      </c>
      <c r="G696" s="2" t="s">
        <v>1862</v>
      </c>
    </row>
    <row r="697">
      <c r="A697" s="2" t="s">
        <v>1739</v>
      </c>
      <c r="B697" s="2" t="s">
        <v>1990</v>
      </c>
      <c r="G697" s="2" t="s">
        <v>1862</v>
      </c>
    </row>
    <row r="698">
      <c r="A698" s="2" t="s">
        <v>1739</v>
      </c>
      <c r="B698" s="2" t="s">
        <v>1991</v>
      </c>
      <c r="G698" s="2" t="s">
        <v>1862</v>
      </c>
    </row>
    <row r="699">
      <c r="A699" s="2" t="s">
        <v>1739</v>
      </c>
      <c r="B699" s="2" t="s">
        <v>1992</v>
      </c>
      <c r="G699" s="2" t="s">
        <v>1862</v>
      </c>
    </row>
    <row r="700">
      <c r="A700" s="2" t="s">
        <v>1739</v>
      </c>
      <c r="B700" s="2" t="s">
        <v>1994</v>
      </c>
      <c r="G700" s="2" t="s">
        <v>1862</v>
      </c>
    </row>
    <row r="701">
      <c r="A701" s="2" t="s">
        <v>1739</v>
      </c>
      <c r="B701" s="2" t="s">
        <v>1995</v>
      </c>
      <c r="G701" s="2" t="s">
        <v>1862</v>
      </c>
    </row>
    <row r="702">
      <c r="A702" s="2" t="s">
        <v>1739</v>
      </c>
      <c r="B702" s="2" t="s">
        <v>1996</v>
      </c>
      <c r="G702" s="2" t="s">
        <v>1862</v>
      </c>
    </row>
    <row r="703">
      <c r="A703" s="2" t="s">
        <v>1739</v>
      </c>
      <c r="B703" s="2" t="s">
        <v>1997</v>
      </c>
      <c r="G703" s="2" t="s">
        <v>1862</v>
      </c>
    </row>
    <row r="704">
      <c r="A704" s="2" t="s">
        <v>1739</v>
      </c>
      <c r="B704" s="2" t="s">
        <v>1998</v>
      </c>
      <c r="G704" s="2" t="s">
        <v>1862</v>
      </c>
    </row>
    <row r="705">
      <c r="A705" s="2" t="s">
        <v>1739</v>
      </c>
      <c r="B705" s="2" t="s">
        <v>1999</v>
      </c>
      <c r="G705" s="2" t="s">
        <v>1862</v>
      </c>
    </row>
    <row r="706">
      <c r="A706" s="2" t="s">
        <v>1739</v>
      </c>
      <c r="B706" s="2" t="s">
        <v>2000</v>
      </c>
      <c r="G706" s="2" t="s">
        <v>1862</v>
      </c>
    </row>
    <row r="707">
      <c r="A707" s="2" t="s">
        <v>1739</v>
      </c>
      <c r="B707" s="2" t="s">
        <v>2001</v>
      </c>
      <c r="G707" s="2" t="s">
        <v>1862</v>
      </c>
    </row>
    <row r="708">
      <c r="A708" s="2" t="s">
        <v>1739</v>
      </c>
      <c r="B708" s="2" t="s">
        <v>2002</v>
      </c>
      <c r="G708" s="2" t="s">
        <v>1862</v>
      </c>
    </row>
    <row r="709">
      <c r="A709" s="2" t="s">
        <v>1739</v>
      </c>
      <c r="B709" s="2" t="s">
        <v>2003</v>
      </c>
      <c r="G709" s="2" t="s">
        <v>1862</v>
      </c>
    </row>
    <row r="710">
      <c r="A710" s="2" t="s">
        <v>1739</v>
      </c>
      <c r="B710" s="2" t="s">
        <v>2004</v>
      </c>
      <c r="G710" s="2" t="s">
        <v>1862</v>
      </c>
    </row>
    <row r="711">
      <c r="A711" s="2" t="s">
        <v>1739</v>
      </c>
      <c r="B711" s="2" t="s">
        <v>2006</v>
      </c>
      <c r="G711" s="2" t="s">
        <v>1862</v>
      </c>
    </row>
    <row r="712">
      <c r="A712" s="2" t="s">
        <v>1739</v>
      </c>
      <c r="B712" s="2" t="s">
        <v>2007</v>
      </c>
      <c r="G712" s="2" t="s">
        <v>1862</v>
      </c>
    </row>
    <row r="713">
      <c r="A713" s="2" t="s">
        <v>1739</v>
      </c>
      <c r="B713" s="2" t="s">
        <v>2008</v>
      </c>
      <c r="G713" s="2" t="s">
        <v>1862</v>
      </c>
    </row>
    <row r="714">
      <c r="A714" s="2" t="s">
        <v>1739</v>
      </c>
      <c r="B714" s="2" t="s">
        <v>2009</v>
      </c>
      <c r="G714" s="2" t="s">
        <v>1862</v>
      </c>
    </row>
    <row r="715">
      <c r="A715" s="2" t="s">
        <v>1739</v>
      </c>
      <c r="B715" s="2" t="s">
        <v>2010</v>
      </c>
      <c r="G715" s="2" t="s">
        <v>1862</v>
      </c>
    </row>
    <row r="716">
      <c r="A716" s="2" t="s">
        <v>1739</v>
      </c>
      <c r="B716" s="2" t="s">
        <v>2012</v>
      </c>
      <c r="G716" s="2" t="s">
        <v>1862</v>
      </c>
    </row>
    <row r="717">
      <c r="A717" s="2" t="s">
        <v>1739</v>
      </c>
      <c r="B717" s="2" t="s">
        <v>2013</v>
      </c>
      <c r="G717" s="2" t="s">
        <v>1862</v>
      </c>
    </row>
    <row r="718">
      <c r="A718" s="2" t="s">
        <v>1739</v>
      </c>
      <c r="B718" s="2" t="s">
        <v>2014</v>
      </c>
      <c r="G718" s="2" t="s">
        <v>1862</v>
      </c>
    </row>
    <row r="719">
      <c r="A719" s="2" t="s">
        <v>1739</v>
      </c>
      <c r="B719" s="2" t="s">
        <v>2015</v>
      </c>
      <c r="G719" s="2" t="s">
        <v>1862</v>
      </c>
    </row>
    <row r="720">
      <c r="A720" s="2" t="s">
        <v>1739</v>
      </c>
      <c r="B720" s="2" t="s">
        <v>2016</v>
      </c>
      <c r="G720" s="2" t="s">
        <v>1862</v>
      </c>
    </row>
    <row r="721">
      <c r="A721" s="2" t="s">
        <v>1739</v>
      </c>
      <c r="B721" s="2" t="s">
        <v>2017</v>
      </c>
      <c r="G721" s="2" t="s">
        <v>1862</v>
      </c>
    </row>
    <row r="722">
      <c r="A722" s="2" t="s">
        <v>1739</v>
      </c>
      <c r="B722" s="2" t="s">
        <v>2018</v>
      </c>
      <c r="G722" s="2" t="s">
        <v>1862</v>
      </c>
    </row>
    <row r="723">
      <c r="A723" s="2" t="s">
        <v>1739</v>
      </c>
      <c r="B723" s="2" t="s">
        <v>2019</v>
      </c>
      <c r="G723" s="2" t="s">
        <v>1862</v>
      </c>
    </row>
    <row r="724">
      <c r="A724" s="2" t="s">
        <v>1739</v>
      </c>
      <c r="B724" s="2" t="s">
        <v>2020</v>
      </c>
      <c r="G724" s="2" t="s">
        <v>1862</v>
      </c>
    </row>
    <row r="725">
      <c r="A725" s="2" t="s">
        <v>1739</v>
      </c>
      <c r="B725" s="2" t="s">
        <v>2021</v>
      </c>
      <c r="G725" s="2" t="s">
        <v>1862</v>
      </c>
    </row>
    <row r="726">
      <c r="A726" s="2" t="s">
        <v>1739</v>
      </c>
      <c r="B726" s="2" t="s">
        <v>2023</v>
      </c>
      <c r="G726" s="2" t="s">
        <v>1862</v>
      </c>
    </row>
    <row r="727">
      <c r="A727" s="2" t="s">
        <v>1739</v>
      </c>
      <c r="B727" s="2" t="s">
        <v>2024</v>
      </c>
      <c r="G727" s="2" t="s">
        <v>1862</v>
      </c>
    </row>
    <row r="728">
      <c r="A728" s="2" t="s">
        <v>1739</v>
      </c>
      <c r="B728" s="2" t="s">
        <v>2025</v>
      </c>
      <c r="G728" s="2" t="s">
        <v>1862</v>
      </c>
    </row>
    <row r="729">
      <c r="A729" s="2" t="s">
        <v>1739</v>
      </c>
      <c r="B729" s="2" t="s">
        <v>2026</v>
      </c>
      <c r="G729" s="2" t="s">
        <v>1862</v>
      </c>
    </row>
    <row r="730">
      <c r="A730" s="2" t="s">
        <v>1739</v>
      </c>
      <c r="B730" s="2" t="s">
        <v>2027</v>
      </c>
      <c r="G730" s="2" t="s">
        <v>1862</v>
      </c>
    </row>
    <row r="731">
      <c r="A731" s="2" t="s">
        <v>1739</v>
      </c>
      <c r="B731" s="2" t="s">
        <v>2028</v>
      </c>
      <c r="G731" s="2" t="s">
        <v>1862</v>
      </c>
    </row>
    <row r="732">
      <c r="A732" s="2" t="s">
        <v>1739</v>
      </c>
      <c r="B732" s="2" t="s">
        <v>2029</v>
      </c>
      <c r="G732" s="2" t="s">
        <v>1862</v>
      </c>
    </row>
    <row r="733">
      <c r="A733" s="2" t="s">
        <v>1739</v>
      </c>
      <c r="B733" s="2" t="s">
        <v>2030</v>
      </c>
      <c r="G733" s="2" t="s">
        <v>1862</v>
      </c>
    </row>
    <row r="734">
      <c r="A734" s="2" t="s">
        <v>1739</v>
      </c>
      <c r="B734" s="2" t="s">
        <v>2031</v>
      </c>
      <c r="G734" s="2" t="s">
        <v>1862</v>
      </c>
    </row>
    <row r="735">
      <c r="A735" s="2" t="s">
        <v>1739</v>
      </c>
      <c r="B735" s="2" t="s">
        <v>2032</v>
      </c>
      <c r="G735" s="2" t="s">
        <v>1862</v>
      </c>
    </row>
    <row r="736">
      <c r="A736" s="2" t="s">
        <v>1739</v>
      </c>
      <c r="B736" s="2" t="s">
        <v>2033</v>
      </c>
      <c r="G736" s="2" t="s">
        <v>1862</v>
      </c>
    </row>
    <row r="737">
      <c r="A737" s="2" t="s">
        <v>1739</v>
      </c>
      <c r="B737" s="2" t="s">
        <v>2034</v>
      </c>
      <c r="G737" s="2" t="s">
        <v>1862</v>
      </c>
    </row>
    <row r="738">
      <c r="A738" s="2" t="s">
        <v>1739</v>
      </c>
      <c r="B738" s="2" t="s">
        <v>2035</v>
      </c>
      <c r="G738" s="2" t="s">
        <v>1862</v>
      </c>
    </row>
    <row r="739">
      <c r="A739" s="2" t="s">
        <v>1739</v>
      </c>
      <c r="B739" s="2" t="s">
        <v>2036</v>
      </c>
      <c r="G739" s="2" t="s">
        <v>1862</v>
      </c>
    </row>
    <row r="740">
      <c r="A740" s="2" t="s">
        <v>1739</v>
      </c>
      <c r="B740" s="2" t="s">
        <v>2038</v>
      </c>
      <c r="G740" s="2" t="s">
        <v>1862</v>
      </c>
    </row>
    <row r="741">
      <c r="A741" s="2" t="s">
        <v>1739</v>
      </c>
      <c r="B741" s="2" t="s">
        <v>2039</v>
      </c>
      <c r="G741" s="2" t="s">
        <v>1862</v>
      </c>
    </row>
    <row r="742">
      <c r="A742" s="2" t="s">
        <v>1739</v>
      </c>
      <c r="B742" s="2" t="s">
        <v>2040</v>
      </c>
      <c r="G742" s="2" t="s">
        <v>1862</v>
      </c>
    </row>
    <row r="743">
      <c r="A743" s="2" t="s">
        <v>1739</v>
      </c>
      <c r="B743" s="2" t="s">
        <v>2041</v>
      </c>
      <c r="G743" s="2" t="s">
        <v>1862</v>
      </c>
    </row>
    <row r="744">
      <c r="A744" s="2" t="s">
        <v>1739</v>
      </c>
      <c r="B744" s="2" t="s">
        <v>2042</v>
      </c>
      <c r="G744" s="2" t="s">
        <v>1862</v>
      </c>
    </row>
    <row r="745">
      <c r="A745" s="2" t="s">
        <v>1739</v>
      </c>
      <c r="B745" s="2" t="s">
        <v>2043</v>
      </c>
      <c r="G745" s="2" t="s">
        <v>1862</v>
      </c>
    </row>
    <row r="746">
      <c r="A746" s="2" t="s">
        <v>1739</v>
      </c>
      <c r="B746" s="2" t="s">
        <v>2044</v>
      </c>
      <c r="G746" s="2" t="s">
        <v>1862</v>
      </c>
    </row>
    <row r="747">
      <c r="A747" s="2" t="s">
        <v>1739</v>
      </c>
      <c r="B747" s="2" t="s">
        <v>2045</v>
      </c>
      <c r="G747" s="2" t="s">
        <v>1862</v>
      </c>
    </row>
    <row r="748">
      <c r="A748" s="2" t="s">
        <v>1739</v>
      </c>
      <c r="B748" s="2" t="s">
        <v>2046</v>
      </c>
      <c r="G748" s="2" t="s">
        <v>1862</v>
      </c>
    </row>
    <row r="749">
      <c r="A749" s="2" t="s">
        <v>1739</v>
      </c>
      <c r="B749" s="2" t="s">
        <v>2047</v>
      </c>
      <c r="G749" s="2" t="s">
        <v>1862</v>
      </c>
    </row>
    <row r="750">
      <c r="A750" s="2" t="s">
        <v>1739</v>
      </c>
      <c r="B750" s="2" t="s">
        <v>2048</v>
      </c>
      <c r="G750" s="2" t="s">
        <v>1862</v>
      </c>
    </row>
    <row r="751">
      <c r="A751" s="2" t="s">
        <v>1739</v>
      </c>
      <c r="B751" s="2" t="s">
        <v>2049</v>
      </c>
      <c r="G751" s="2" t="s">
        <v>1862</v>
      </c>
    </row>
    <row r="752">
      <c r="A752" s="2" t="s">
        <v>1739</v>
      </c>
      <c r="B752" s="2" t="s">
        <v>2050</v>
      </c>
      <c r="G752" s="2" t="s">
        <v>1862</v>
      </c>
    </row>
    <row r="753">
      <c r="A753" s="2" t="s">
        <v>1739</v>
      </c>
      <c r="B753" s="2" t="s">
        <v>2052</v>
      </c>
      <c r="G753" s="2" t="s">
        <v>1862</v>
      </c>
    </row>
    <row r="754">
      <c r="A754" s="2" t="s">
        <v>1739</v>
      </c>
      <c r="B754" s="2" t="s">
        <v>2053</v>
      </c>
      <c r="G754" s="2" t="s">
        <v>1862</v>
      </c>
    </row>
    <row r="755">
      <c r="A755" s="2" t="s">
        <v>1739</v>
      </c>
      <c r="B755" s="2" t="s">
        <v>2054</v>
      </c>
      <c r="G755" s="2" t="s">
        <v>1862</v>
      </c>
    </row>
    <row r="756">
      <c r="A756" s="2" t="s">
        <v>1739</v>
      </c>
      <c r="B756" s="2" t="s">
        <v>2055</v>
      </c>
      <c r="G756" s="2" t="s">
        <v>1862</v>
      </c>
    </row>
    <row r="757">
      <c r="A757" s="2" t="s">
        <v>1739</v>
      </c>
      <c r="B757" s="2" t="s">
        <v>2056</v>
      </c>
      <c r="G757" s="2" t="s">
        <v>1862</v>
      </c>
    </row>
    <row r="758">
      <c r="A758" s="2" t="s">
        <v>1739</v>
      </c>
      <c r="B758" s="2" t="s">
        <v>2058</v>
      </c>
      <c r="G758" s="2" t="s">
        <v>1862</v>
      </c>
    </row>
    <row r="759">
      <c r="A759" s="2" t="s">
        <v>1739</v>
      </c>
      <c r="B759" s="2" t="s">
        <v>2059</v>
      </c>
      <c r="G759" s="2" t="s">
        <v>1862</v>
      </c>
    </row>
    <row r="760">
      <c r="A760" s="2" t="s">
        <v>1739</v>
      </c>
      <c r="B760" s="2" t="s">
        <v>2060</v>
      </c>
      <c r="G760" s="2" t="s">
        <v>1862</v>
      </c>
    </row>
    <row r="761">
      <c r="A761" s="2" t="s">
        <v>1739</v>
      </c>
      <c r="B761" s="2" t="s">
        <v>2061</v>
      </c>
      <c r="G761" s="2" t="s">
        <v>1862</v>
      </c>
    </row>
    <row r="762">
      <c r="A762" s="2" t="s">
        <v>1739</v>
      </c>
      <c r="B762" s="2" t="s">
        <v>2062</v>
      </c>
      <c r="G762" s="2" t="s">
        <v>1862</v>
      </c>
    </row>
    <row r="763">
      <c r="A763" s="2" t="s">
        <v>1739</v>
      </c>
      <c r="B763" s="2" t="s">
        <v>2063</v>
      </c>
      <c r="G763" s="2" t="s">
        <v>1862</v>
      </c>
    </row>
    <row r="764">
      <c r="A764" s="2" t="s">
        <v>1739</v>
      </c>
      <c r="B764" s="2" t="s">
        <v>2064</v>
      </c>
      <c r="G764" s="2" t="s">
        <v>1862</v>
      </c>
    </row>
    <row r="765">
      <c r="A765" s="2" t="s">
        <v>1739</v>
      </c>
      <c r="B765" s="2" t="s">
        <v>2065</v>
      </c>
      <c r="G765" s="2" t="s">
        <v>1862</v>
      </c>
    </row>
    <row r="766">
      <c r="A766" s="2" t="s">
        <v>1739</v>
      </c>
      <c r="B766" s="2" t="s">
        <v>2066</v>
      </c>
      <c r="G766" s="2" t="s">
        <v>1862</v>
      </c>
    </row>
    <row r="767">
      <c r="A767" s="2" t="s">
        <v>1739</v>
      </c>
      <c r="B767" s="2" t="s">
        <v>2067</v>
      </c>
      <c r="G767" s="2" t="s">
        <v>1862</v>
      </c>
    </row>
    <row r="768">
      <c r="A768" s="2" t="s">
        <v>1739</v>
      </c>
      <c r="B768" s="2" t="s">
        <v>2068</v>
      </c>
      <c r="G768" s="2" t="s">
        <v>1862</v>
      </c>
    </row>
    <row r="769">
      <c r="A769" s="2" t="s">
        <v>1739</v>
      </c>
      <c r="B769" s="2" t="s">
        <v>2070</v>
      </c>
      <c r="G769" s="2" t="s">
        <v>1862</v>
      </c>
    </row>
    <row r="770">
      <c r="A770" s="2" t="s">
        <v>1739</v>
      </c>
      <c r="B770" s="2" t="s">
        <v>2071</v>
      </c>
      <c r="G770" s="2" t="s">
        <v>1862</v>
      </c>
    </row>
    <row r="771">
      <c r="A771" s="2" t="s">
        <v>1739</v>
      </c>
      <c r="B771" s="2" t="s">
        <v>2072</v>
      </c>
      <c r="G771" s="2" t="s">
        <v>1862</v>
      </c>
    </row>
    <row r="772">
      <c r="A772" s="2" t="s">
        <v>1739</v>
      </c>
      <c r="B772" s="2" t="s">
        <v>2073</v>
      </c>
      <c r="G772" s="2" t="s">
        <v>1862</v>
      </c>
    </row>
    <row r="773">
      <c r="A773" s="2" t="s">
        <v>1739</v>
      </c>
      <c r="B773" s="2" t="s">
        <v>2075</v>
      </c>
      <c r="G773" s="2" t="s">
        <v>1862</v>
      </c>
    </row>
    <row r="774">
      <c r="A774" s="2" t="s">
        <v>1739</v>
      </c>
      <c r="B774" s="2" t="s">
        <v>2076</v>
      </c>
      <c r="G774" s="2" t="s">
        <v>1862</v>
      </c>
    </row>
    <row r="775">
      <c r="A775" s="2" t="s">
        <v>1739</v>
      </c>
      <c r="B775" s="2" t="s">
        <v>2077</v>
      </c>
      <c r="G775" s="2" t="s">
        <v>1862</v>
      </c>
    </row>
    <row r="776">
      <c r="A776" s="2" t="s">
        <v>1739</v>
      </c>
      <c r="B776" s="2" t="s">
        <v>2078</v>
      </c>
      <c r="G776" s="2" t="s">
        <v>1862</v>
      </c>
    </row>
    <row r="777">
      <c r="A777" s="2" t="s">
        <v>1739</v>
      </c>
      <c r="B777" s="2" t="s">
        <v>2079</v>
      </c>
      <c r="G777" s="2" t="s">
        <v>1862</v>
      </c>
    </row>
    <row r="778">
      <c r="A778" s="2" t="s">
        <v>1739</v>
      </c>
      <c r="B778" s="2" t="s">
        <v>2080</v>
      </c>
      <c r="G778" s="2" t="s">
        <v>1862</v>
      </c>
    </row>
    <row r="779">
      <c r="A779" s="2" t="s">
        <v>1739</v>
      </c>
      <c r="B779" s="2" t="s">
        <v>2081</v>
      </c>
      <c r="G779" s="2" t="s">
        <v>1862</v>
      </c>
    </row>
    <row r="780">
      <c r="A780" s="2" t="s">
        <v>1739</v>
      </c>
      <c r="B780" s="2" t="s">
        <v>2082</v>
      </c>
      <c r="G780" s="2" t="s">
        <v>1862</v>
      </c>
    </row>
    <row r="781">
      <c r="A781" s="2" t="s">
        <v>1739</v>
      </c>
      <c r="B781" s="2" t="s">
        <v>2083</v>
      </c>
      <c r="G781" s="2" t="s">
        <v>1862</v>
      </c>
    </row>
    <row r="782">
      <c r="A782" s="2" t="s">
        <v>1739</v>
      </c>
      <c r="B782" s="2" t="s">
        <v>2084</v>
      </c>
      <c r="G782" s="2" t="s">
        <v>1862</v>
      </c>
    </row>
    <row r="783">
      <c r="A783" s="2" t="s">
        <v>1739</v>
      </c>
      <c r="B783" s="2" t="s">
        <v>2086</v>
      </c>
      <c r="G783" s="2" t="s">
        <v>1862</v>
      </c>
    </row>
    <row r="784">
      <c r="A784" s="2" t="s">
        <v>1739</v>
      </c>
      <c r="B784" s="2" t="s">
        <v>2087</v>
      </c>
      <c r="G784" s="2" t="s">
        <v>1862</v>
      </c>
    </row>
    <row r="785">
      <c r="A785" s="2" t="s">
        <v>1739</v>
      </c>
      <c r="B785" s="2" t="s">
        <v>2088</v>
      </c>
      <c r="G785" s="2" t="s">
        <v>1862</v>
      </c>
    </row>
    <row r="786">
      <c r="A786" s="2" t="s">
        <v>1739</v>
      </c>
      <c r="B786" s="2" t="s">
        <v>2089</v>
      </c>
      <c r="G786" s="2" t="s">
        <v>1862</v>
      </c>
    </row>
    <row r="787">
      <c r="A787" s="2" t="s">
        <v>1739</v>
      </c>
      <c r="B787" s="2" t="s">
        <v>2090</v>
      </c>
      <c r="G787" s="2" t="s">
        <v>1862</v>
      </c>
    </row>
    <row r="788">
      <c r="A788" s="2" t="s">
        <v>1739</v>
      </c>
      <c r="B788" s="2" t="s">
        <v>2091</v>
      </c>
      <c r="G788" s="2" t="s">
        <v>1862</v>
      </c>
    </row>
    <row r="789">
      <c r="A789" s="2" t="s">
        <v>1739</v>
      </c>
      <c r="B789" s="2" t="s">
        <v>2092</v>
      </c>
      <c r="G789" s="2" t="s">
        <v>1862</v>
      </c>
    </row>
    <row r="790">
      <c r="A790" s="64" t="s">
        <v>2093</v>
      </c>
      <c r="B790" s="2" t="s">
        <v>2094</v>
      </c>
      <c r="C790" s="2" t="s">
        <v>2095</v>
      </c>
      <c r="D790" s="2" t="s">
        <v>2096</v>
      </c>
    </row>
    <row r="791">
      <c r="A791" s="64" t="s">
        <v>2093</v>
      </c>
      <c r="B791" s="2" t="s">
        <v>2097</v>
      </c>
      <c r="C791" s="2" t="s">
        <v>2095</v>
      </c>
      <c r="D791" s="2" t="s">
        <v>2096</v>
      </c>
    </row>
    <row r="792">
      <c r="A792" s="64" t="s">
        <v>2093</v>
      </c>
      <c r="B792" s="2" t="s">
        <v>2098</v>
      </c>
      <c r="C792" s="2" t="s">
        <v>2095</v>
      </c>
      <c r="D792" s="2" t="s">
        <v>2096</v>
      </c>
    </row>
    <row r="793">
      <c r="A793" s="64" t="s">
        <v>2093</v>
      </c>
      <c r="B793" s="2" t="s">
        <v>2099</v>
      </c>
      <c r="C793" s="2" t="s">
        <v>2095</v>
      </c>
      <c r="D793" s="2" t="s">
        <v>2096</v>
      </c>
    </row>
    <row r="794">
      <c r="A794" s="64" t="s">
        <v>2093</v>
      </c>
      <c r="B794" s="2" t="s">
        <v>2100</v>
      </c>
      <c r="C794" s="2" t="s">
        <v>2095</v>
      </c>
      <c r="D794" s="2" t="s">
        <v>2096</v>
      </c>
    </row>
    <row r="795">
      <c r="A795" s="64" t="s">
        <v>2093</v>
      </c>
      <c r="B795" s="2" t="s">
        <v>2102</v>
      </c>
      <c r="C795" s="2" t="s">
        <v>2095</v>
      </c>
      <c r="D795" s="2" t="s">
        <v>2096</v>
      </c>
    </row>
    <row r="796">
      <c r="A796" s="64" t="s">
        <v>2093</v>
      </c>
      <c r="B796" s="2" t="s">
        <v>2103</v>
      </c>
      <c r="C796" s="2" t="s">
        <v>2095</v>
      </c>
      <c r="D796" s="2" t="s">
        <v>2096</v>
      </c>
    </row>
    <row r="797">
      <c r="A797" s="64" t="s">
        <v>2093</v>
      </c>
      <c r="B797" s="2" t="s">
        <v>2104</v>
      </c>
      <c r="C797" s="2" t="s">
        <v>2095</v>
      </c>
      <c r="D797" s="2" t="s">
        <v>2096</v>
      </c>
    </row>
    <row r="798">
      <c r="A798" s="64" t="s">
        <v>2093</v>
      </c>
      <c r="B798" s="2" t="s">
        <v>2105</v>
      </c>
      <c r="C798" s="2" t="s">
        <v>2095</v>
      </c>
      <c r="D798" s="2" t="s">
        <v>2096</v>
      </c>
    </row>
    <row r="799">
      <c r="A799" s="64" t="s">
        <v>2093</v>
      </c>
      <c r="B799" s="2" t="s">
        <v>2106</v>
      </c>
      <c r="C799" s="2" t="s">
        <v>2095</v>
      </c>
      <c r="D799" s="2" t="s">
        <v>2096</v>
      </c>
    </row>
    <row r="800">
      <c r="A800" s="64" t="s">
        <v>2093</v>
      </c>
      <c r="B800" s="2" t="s">
        <v>2107</v>
      </c>
      <c r="C800" s="2" t="s">
        <v>2095</v>
      </c>
      <c r="D800" s="2" t="s">
        <v>2096</v>
      </c>
    </row>
    <row r="801">
      <c r="A801" s="64" t="s">
        <v>2093</v>
      </c>
      <c r="B801" s="2" t="s">
        <v>2108</v>
      </c>
      <c r="C801" s="2" t="s">
        <v>2095</v>
      </c>
      <c r="D801" s="2" t="s">
        <v>2096</v>
      </c>
    </row>
    <row r="802">
      <c r="A802" s="64" t="s">
        <v>2093</v>
      </c>
      <c r="B802" s="2" t="s">
        <v>2109</v>
      </c>
      <c r="C802" s="2" t="s">
        <v>2095</v>
      </c>
      <c r="D802" s="2" t="s">
        <v>2096</v>
      </c>
    </row>
    <row r="803">
      <c r="A803" s="64" t="s">
        <v>2093</v>
      </c>
      <c r="B803" s="2" t="s">
        <v>2110</v>
      </c>
      <c r="C803" s="2" t="s">
        <v>2095</v>
      </c>
      <c r="D803" s="2" t="s">
        <v>2096</v>
      </c>
    </row>
    <row r="804">
      <c r="A804" s="64" t="s">
        <v>2093</v>
      </c>
      <c r="B804" s="2" t="s">
        <v>2111</v>
      </c>
      <c r="C804" s="2" t="s">
        <v>2095</v>
      </c>
      <c r="D804" s="2" t="s">
        <v>2096</v>
      </c>
    </row>
    <row r="805">
      <c r="A805" s="64" t="s">
        <v>2093</v>
      </c>
      <c r="B805" s="2" t="s">
        <v>2112</v>
      </c>
      <c r="C805" s="2" t="s">
        <v>2095</v>
      </c>
      <c r="D805" s="2" t="s">
        <v>2096</v>
      </c>
    </row>
    <row r="806">
      <c r="A806" s="64" t="s">
        <v>2093</v>
      </c>
      <c r="B806" s="2" t="s">
        <v>2114</v>
      </c>
      <c r="C806" s="2" t="s">
        <v>2095</v>
      </c>
      <c r="D806" s="2" t="s">
        <v>2096</v>
      </c>
    </row>
    <row r="807">
      <c r="A807" s="64" t="s">
        <v>2093</v>
      </c>
      <c r="B807" s="2" t="s">
        <v>2115</v>
      </c>
      <c r="C807" s="2" t="s">
        <v>2095</v>
      </c>
      <c r="D807" s="2" t="s">
        <v>2096</v>
      </c>
    </row>
    <row r="808">
      <c r="A808" s="64" t="s">
        <v>2093</v>
      </c>
      <c r="B808" s="2" t="s">
        <v>2116</v>
      </c>
      <c r="C808" s="2" t="s">
        <v>2095</v>
      </c>
      <c r="D808" s="2" t="s">
        <v>2096</v>
      </c>
    </row>
    <row r="809">
      <c r="A809" s="64" t="s">
        <v>2093</v>
      </c>
      <c r="B809" s="2" t="s">
        <v>2117</v>
      </c>
      <c r="C809" s="2" t="s">
        <v>2095</v>
      </c>
      <c r="D809" s="2" t="s">
        <v>2096</v>
      </c>
    </row>
    <row r="810">
      <c r="A810" s="64" t="s">
        <v>2093</v>
      </c>
      <c r="B810" s="2" t="s">
        <v>2118</v>
      </c>
      <c r="C810" s="2" t="s">
        <v>2095</v>
      </c>
      <c r="D810" s="2" t="s">
        <v>2096</v>
      </c>
    </row>
    <row r="811">
      <c r="A811" s="64" t="s">
        <v>2093</v>
      </c>
      <c r="B811" s="2" t="s">
        <v>2119</v>
      </c>
      <c r="C811" s="2" t="s">
        <v>2095</v>
      </c>
      <c r="D811" s="2" t="s">
        <v>2096</v>
      </c>
    </row>
    <row r="812">
      <c r="A812" s="64" t="s">
        <v>2093</v>
      </c>
      <c r="B812" s="2" t="s">
        <v>2120</v>
      </c>
      <c r="C812" s="2" t="s">
        <v>2095</v>
      </c>
      <c r="D812" s="2" t="s">
        <v>2096</v>
      </c>
    </row>
    <row r="813">
      <c r="A813" s="64" t="s">
        <v>2093</v>
      </c>
      <c r="B813" s="2" t="s">
        <v>2121</v>
      </c>
      <c r="C813" s="2" t="s">
        <v>2095</v>
      </c>
      <c r="D813" s="2" t="s">
        <v>2096</v>
      </c>
    </row>
    <row r="814">
      <c r="A814" s="64" t="s">
        <v>2093</v>
      </c>
      <c r="B814" s="2" t="s">
        <v>2122</v>
      </c>
      <c r="C814" s="2" t="s">
        <v>2095</v>
      </c>
      <c r="D814" s="2" t="s">
        <v>2096</v>
      </c>
    </row>
    <row r="815">
      <c r="A815" s="64" t="s">
        <v>2093</v>
      </c>
      <c r="B815" s="2" t="s">
        <v>2123</v>
      </c>
      <c r="C815" s="2" t="s">
        <v>2095</v>
      </c>
      <c r="D815" s="2" t="s">
        <v>2096</v>
      </c>
    </row>
    <row r="816">
      <c r="A816" s="64" t="s">
        <v>2093</v>
      </c>
      <c r="B816" s="2" t="s">
        <v>2124</v>
      </c>
      <c r="C816" s="2" t="s">
        <v>2095</v>
      </c>
      <c r="D816" s="2" t="s">
        <v>2096</v>
      </c>
    </row>
    <row r="817">
      <c r="A817" s="64" t="s">
        <v>2093</v>
      </c>
      <c r="B817" s="2" t="s">
        <v>2125</v>
      </c>
      <c r="C817" s="2" t="s">
        <v>2095</v>
      </c>
      <c r="D817" s="2" t="s">
        <v>2096</v>
      </c>
    </row>
    <row r="818">
      <c r="A818" s="64" t="s">
        <v>2093</v>
      </c>
      <c r="B818" s="2" t="s">
        <v>2127</v>
      </c>
      <c r="C818" s="2" t="s">
        <v>2095</v>
      </c>
      <c r="D818" s="2" t="s">
        <v>2096</v>
      </c>
    </row>
    <row r="819">
      <c r="A819" s="64" t="s">
        <v>2093</v>
      </c>
      <c r="B819" s="2" t="s">
        <v>2128</v>
      </c>
      <c r="C819" s="2" t="s">
        <v>2095</v>
      </c>
      <c r="D819" s="2" t="s">
        <v>2096</v>
      </c>
    </row>
    <row r="820">
      <c r="A820" s="64" t="s">
        <v>2093</v>
      </c>
      <c r="B820" s="2" t="s">
        <v>2129</v>
      </c>
      <c r="C820" s="2" t="s">
        <v>2095</v>
      </c>
      <c r="D820" s="2" t="s">
        <v>2096</v>
      </c>
    </row>
    <row r="821">
      <c r="A821" s="2" t="s">
        <v>2130</v>
      </c>
      <c r="B821" s="2" t="s">
        <v>2131</v>
      </c>
      <c r="C821" s="2" t="s">
        <v>2132</v>
      </c>
      <c r="D821" s="2" t="s">
        <v>2133</v>
      </c>
    </row>
    <row r="822">
      <c r="A822" s="2" t="s">
        <v>2130</v>
      </c>
      <c r="B822" s="2" t="s">
        <v>2135</v>
      </c>
      <c r="C822" s="2" t="s">
        <v>2132</v>
      </c>
      <c r="D822" s="2" t="s">
        <v>2133</v>
      </c>
    </row>
    <row r="823">
      <c r="A823" s="2" t="s">
        <v>2130</v>
      </c>
      <c r="B823" s="2" t="s">
        <v>2136</v>
      </c>
      <c r="C823" s="2" t="s">
        <v>2132</v>
      </c>
      <c r="D823" s="2" t="s">
        <v>2133</v>
      </c>
    </row>
    <row r="824">
      <c r="A824" s="2" t="s">
        <v>2130</v>
      </c>
      <c r="B824" s="2" t="s">
        <v>2137</v>
      </c>
      <c r="C824" s="2" t="s">
        <v>2132</v>
      </c>
      <c r="D824" s="2" t="s">
        <v>2133</v>
      </c>
    </row>
    <row r="825">
      <c r="A825" s="2" t="s">
        <v>2130</v>
      </c>
      <c r="B825" s="2" t="s">
        <v>2138</v>
      </c>
      <c r="C825" s="2" t="s">
        <v>2132</v>
      </c>
      <c r="D825" s="2" t="s">
        <v>2133</v>
      </c>
    </row>
    <row r="826">
      <c r="A826" s="2" t="s">
        <v>2130</v>
      </c>
      <c r="B826" s="2" t="s">
        <v>2139</v>
      </c>
      <c r="C826" s="2" t="s">
        <v>2132</v>
      </c>
      <c r="D826" s="2" t="s">
        <v>2133</v>
      </c>
    </row>
    <row r="827">
      <c r="A827" s="2" t="s">
        <v>2130</v>
      </c>
      <c r="B827" s="2" t="s">
        <v>2140</v>
      </c>
      <c r="C827" s="2" t="s">
        <v>2132</v>
      </c>
      <c r="D827" s="2" t="s">
        <v>2133</v>
      </c>
    </row>
    <row r="828">
      <c r="A828" s="2" t="s">
        <v>2130</v>
      </c>
      <c r="B828" s="2" t="s">
        <v>2141</v>
      </c>
      <c r="C828" s="2" t="s">
        <v>2132</v>
      </c>
      <c r="D828" s="2" t="s">
        <v>2133</v>
      </c>
    </row>
    <row r="829">
      <c r="A829" s="2" t="s">
        <v>2130</v>
      </c>
      <c r="B829" s="2" t="s">
        <v>2142</v>
      </c>
      <c r="C829" s="2" t="s">
        <v>2132</v>
      </c>
      <c r="D829" s="2" t="s">
        <v>2133</v>
      </c>
    </row>
    <row r="830">
      <c r="A830" s="2" t="s">
        <v>2130</v>
      </c>
      <c r="B830" s="2" t="s">
        <v>2143</v>
      </c>
      <c r="C830" s="2" t="s">
        <v>2132</v>
      </c>
      <c r="D830" s="2" t="s">
        <v>2133</v>
      </c>
    </row>
    <row r="831">
      <c r="A831" s="2" t="s">
        <v>2130</v>
      </c>
      <c r="B831" s="2" t="s">
        <v>2144</v>
      </c>
      <c r="C831" s="2" t="s">
        <v>2132</v>
      </c>
      <c r="D831" s="2" t="s">
        <v>2133</v>
      </c>
    </row>
    <row r="832">
      <c r="A832" s="2" t="s">
        <v>2130</v>
      </c>
      <c r="B832" s="2" t="s">
        <v>2146</v>
      </c>
      <c r="C832" s="2" t="s">
        <v>2132</v>
      </c>
      <c r="D832" s="2" t="s">
        <v>2133</v>
      </c>
    </row>
    <row r="833">
      <c r="A833" s="2" t="s">
        <v>2130</v>
      </c>
      <c r="B833" s="2" t="s">
        <v>2147</v>
      </c>
      <c r="C833" s="2" t="s">
        <v>2132</v>
      </c>
      <c r="D833" s="2" t="s">
        <v>2133</v>
      </c>
    </row>
    <row r="834">
      <c r="A834" s="2" t="s">
        <v>2130</v>
      </c>
      <c r="B834" s="2" t="s">
        <v>2148</v>
      </c>
      <c r="C834" s="2" t="s">
        <v>2132</v>
      </c>
      <c r="D834" s="2" t="s">
        <v>2133</v>
      </c>
    </row>
    <row r="835">
      <c r="A835" s="2" t="s">
        <v>2130</v>
      </c>
      <c r="B835" s="2" t="s">
        <v>2150</v>
      </c>
      <c r="C835" s="2" t="s">
        <v>2132</v>
      </c>
      <c r="D835" s="2" t="s">
        <v>2133</v>
      </c>
    </row>
    <row r="836">
      <c r="A836" s="2" t="s">
        <v>2130</v>
      </c>
      <c r="B836" s="2" t="s">
        <v>2150</v>
      </c>
      <c r="C836" s="2" t="s">
        <v>2132</v>
      </c>
      <c r="D836" s="2" t="s">
        <v>2133</v>
      </c>
    </row>
    <row r="837">
      <c r="A837" s="2" t="s">
        <v>2130</v>
      </c>
      <c r="B837" s="2" t="s">
        <v>2151</v>
      </c>
      <c r="C837" s="2" t="s">
        <v>2132</v>
      </c>
      <c r="D837" s="2" t="s">
        <v>2133</v>
      </c>
    </row>
    <row r="838">
      <c r="A838" s="2" t="s">
        <v>2130</v>
      </c>
      <c r="B838" s="2" t="s">
        <v>2152</v>
      </c>
      <c r="C838" s="2" t="s">
        <v>2132</v>
      </c>
      <c r="D838" s="2" t="s">
        <v>2133</v>
      </c>
    </row>
    <row r="839">
      <c r="A839" s="2" t="s">
        <v>2130</v>
      </c>
      <c r="B839" s="2" t="s">
        <v>2153</v>
      </c>
      <c r="C839" s="2" t="s">
        <v>2132</v>
      </c>
      <c r="D839" s="2" t="s">
        <v>2133</v>
      </c>
    </row>
    <row r="840">
      <c r="A840" s="2" t="s">
        <v>2130</v>
      </c>
      <c r="B840" s="2" t="s">
        <v>2154</v>
      </c>
      <c r="C840" s="2" t="s">
        <v>2132</v>
      </c>
      <c r="D840" s="2" t="s">
        <v>2133</v>
      </c>
    </row>
    <row r="841">
      <c r="A841" s="2" t="s">
        <v>2130</v>
      </c>
      <c r="B841" s="2" t="s">
        <v>2155</v>
      </c>
      <c r="C841" s="2" t="s">
        <v>2132</v>
      </c>
      <c r="D841" s="2" t="s">
        <v>2133</v>
      </c>
    </row>
    <row r="842">
      <c r="A842" s="2" t="s">
        <v>2130</v>
      </c>
      <c r="B842" s="2" t="s">
        <v>2156</v>
      </c>
      <c r="C842" s="2" t="s">
        <v>2132</v>
      </c>
      <c r="D842" s="2" t="s">
        <v>2133</v>
      </c>
    </row>
    <row r="843">
      <c r="A843" s="2" t="s">
        <v>2130</v>
      </c>
      <c r="B843" s="2" t="s">
        <v>2158</v>
      </c>
      <c r="C843" s="2" t="s">
        <v>2132</v>
      </c>
      <c r="D843" s="2" t="s">
        <v>2133</v>
      </c>
    </row>
    <row r="844">
      <c r="A844" s="2" t="s">
        <v>2130</v>
      </c>
      <c r="B844" s="2" t="s">
        <v>2159</v>
      </c>
      <c r="C844" s="2" t="s">
        <v>2132</v>
      </c>
      <c r="D844" s="2" t="s">
        <v>2133</v>
      </c>
    </row>
    <row r="845">
      <c r="A845" s="2" t="s">
        <v>2130</v>
      </c>
      <c r="B845" s="2" t="s">
        <v>2160</v>
      </c>
      <c r="C845" s="2" t="s">
        <v>2132</v>
      </c>
      <c r="D845" s="2" t="s">
        <v>2133</v>
      </c>
    </row>
    <row r="846">
      <c r="A846" s="2" t="s">
        <v>2130</v>
      </c>
      <c r="B846" s="2" t="s">
        <v>2161</v>
      </c>
      <c r="C846" s="2" t="s">
        <v>2132</v>
      </c>
      <c r="D846" s="2" t="s">
        <v>2133</v>
      </c>
    </row>
    <row r="847">
      <c r="A847" s="2" t="s">
        <v>2130</v>
      </c>
      <c r="B847" s="2" t="s">
        <v>2162</v>
      </c>
      <c r="C847" s="2" t="s">
        <v>2132</v>
      </c>
      <c r="D847" s="2" t="s">
        <v>2133</v>
      </c>
    </row>
    <row r="848">
      <c r="A848" s="2" t="s">
        <v>2130</v>
      </c>
      <c r="B848" s="2" t="s">
        <v>2163</v>
      </c>
      <c r="C848" s="2" t="s">
        <v>2132</v>
      </c>
      <c r="D848" s="2" t="s">
        <v>2133</v>
      </c>
    </row>
    <row r="849">
      <c r="A849" s="2" t="s">
        <v>2130</v>
      </c>
      <c r="B849" s="2" t="s">
        <v>2164</v>
      </c>
      <c r="C849" s="2" t="s">
        <v>2132</v>
      </c>
      <c r="D849" s="2" t="s">
        <v>2133</v>
      </c>
    </row>
    <row r="850">
      <c r="A850" s="2" t="s">
        <v>2130</v>
      </c>
      <c r="B850" s="2" t="s">
        <v>2165</v>
      </c>
      <c r="C850" s="2" t="s">
        <v>2132</v>
      </c>
      <c r="D850" s="2" t="s">
        <v>2133</v>
      </c>
    </row>
    <row r="851">
      <c r="A851" s="2" t="s">
        <v>2166</v>
      </c>
      <c r="B851" s="2" t="s">
        <v>2167</v>
      </c>
      <c r="G851" s="2" t="s">
        <v>2168</v>
      </c>
    </row>
    <row r="852">
      <c r="A852" s="2" t="s">
        <v>2166</v>
      </c>
      <c r="B852" s="2" t="s">
        <v>2169</v>
      </c>
      <c r="G852" s="2" t="s">
        <v>2168</v>
      </c>
    </row>
    <row r="853">
      <c r="A853" s="2" t="s">
        <v>2166</v>
      </c>
      <c r="B853" s="2" t="s">
        <v>2170</v>
      </c>
      <c r="G853" s="2" t="s">
        <v>2168</v>
      </c>
    </row>
    <row r="854">
      <c r="A854" s="2" t="s">
        <v>2166</v>
      </c>
      <c r="B854" s="2" t="s">
        <v>2171</v>
      </c>
      <c r="G854" s="2" t="s">
        <v>2168</v>
      </c>
    </row>
    <row r="855">
      <c r="A855" s="2" t="s">
        <v>2166</v>
      </c>
      <c r="B855" s="2" t="s">
        <v>2173</v>
      </c>
      <c r="G855" s="2" t="s">
        <v>2168</v>
      </c>
    </row>
    <row r="856">
      <c r="A856" s="2" t="s">
        <v>2166</v>
      </c>
      <c r="B856" s="2" t="s">
        <v>2174</v>
      </c>
      <c r="G856" s="2" t="s">
        <v>2168</v>
      </c>
    </row>
    <row r="857">
      <c r="A857" s="2" t="s">
        <v>2166</v>
      </c>
      <c r="B857" s="2" t="s">
        <v>2175</v>
      </c>
      <c r="G857" s="2" t="s">
        <v>2168</v>
      </c>
    </row>
    <row r="858">
      <c r="A858" s="2" t="s">
        <v>2166</v>
      </c>
      <c r="B858" s="2" t="s">
        <v>2176</v>
      </c>
      <c r="G858" s="2" t="s">
        <v>2168</v>
      </c>
    </row>
    <row r="859">
      <c r="A859" s="2" t="s">
        <v>2166</v>
      </c>
      <c r="B859" s="2" t="s">
        <v>2178</v>
      </c>
      <c r="G859" s="2" t="s">
        <v>2168</v>
      </c>
    </row>
    <row r="860">
      <c r="A860" s="2" t="s">
        <v>2166</v>
      </c>
      <c r="B860" s="2" t="s">
        <v>2179</v>
      </c>
      <c r="G860" s="2" t="s">
        <v>2168</v>
      </c>
    </row>
    <row r="861">
      <c r="A861" s="2" t="s">
        <v>2166</v>
      </c>
      <c r="B861" s="2" t="s">
        <v>2180</v>
      </c>
      <c r="G861" s="2" t="s">
        <v>2168</v>
      </c>
    </row>
    <row r="862">
      <c r="A862" s="2" t="s">
        <v>2166</v>
      </c>
      <c r="B862" s="2" t="s">
        <v>2181</v>
      </c>
      <c r="G862" s="2" t="s">
        <v>2168</v>
      </c>
    </row>
    <row r="863">
      <c r="A863" s="2" t="s">
        <v>2166</v>
      </c>
      <c r="B863" s="2" t="s">
        <v>2182</v>
      </c>
      <c r="G863" s="2" t="s">
        <v>2168</v>
      </c>
    </row>
    <row r="864">
      <c r="A864" s="2" t="s">
        <v>2166</v>
      </c>
      <c r="B864" s="2" t="s">
        <v>2183</v>
      </c>
      <c r="G864" s="2" t="s">
        <v>2168</v>
      </c>
    </row>
    <row r="865">
      <c r="A865" s="2" t="s">
        <v>2166</v>
      </c>
      <c r="B865" s="2" t="s">
        <v>2184</v>
      </c>
      <c r="G865" s="2" t="s">
        <v>2168</v>
      </c>
    </row>
    <row r="866">
      <c r="A866" s="2" t="s">
        <v>2166</v>
      </c>
      <c r="B866" s="2" t="s">
        <v>2185</v>
      </c>
      <c r="G866" s="2" t="s">
        <v>2168</v>
      </c>
    </row>
    <row r="867">
      <c r="A867" s="2" t="s">
        <v>2166</v>
      </c>
      <c r="B867" s="2" t="s">
        <v>2186</v>
      </c>
      <c r="G867" s="2" t="s">
        <v>2168</v>
      </c>
    </row>
    <row r="868">
      <c r="A868" s="2" t="s">
        <v>2166</v>
      </c>
      <c r="B868" s="2" t="s">
        <v>2187</v>
      </c>
      <c r="G868" s="2" t="s">
        <v>2168</v>
      </c>
    </row>
    <row r="869">
      <c r="A869" s="2" t="s">
        <v>2166</v>
      </c>
      <c r="B869" s="2" t="s">
        <v>2189</v>
      </c>
      <c r="G869" s="2" t="s">
        <v>2168</v>
      </c>
    </row>
    <row r="870">
      <c r="A870" s="2" t="s">
        <v>2166</v>
      </c>
      <c r="B870" s="2" t="s">
        <v>2190</v>
      </c>
      <c r="G870" s="2" t="s">
        <v>2168</v>
      </c>
    </row>
    <row r="871">
      <c r="A871" s="2" t="s">
        <v>2166</v>
      </c>
      <c r="B871" s="2" t="s">
        <v>2191</v>
      </c>
      <c r="G871" s="2" t="s">
        <v>2168</v>
      </c>
    </row>
    <row r="872">
      <c r="A872" s="2" t="s">
        <v>2166</v>
      </c>
      <c r="B872" s="2" t="s">
        <v>2192</v>
      </c>
      <c r="G872" s="2" t="s">
        <v>2168</v>
      </c>
    </row>
    <row r="873">
      <c r="A873" s="2" t="s">
        <v>2166</v>
      </c>
      <c r="B873" s="2" t="s">
        <v>2193</v>
      </c>
      <c r="G873" s="2" t="s">
        <v>2168</v>
      </c>
    </row>
    <row r="874">
      <c r="A874" s="2" t="s">
        <v>2166</v>
      </c>
      <c r="B874" s="2" t="s">
        <v>2194</v>
      </c>
      <c r="G874" s="2" t="s">
        <v>2168</v>
      </c>
    </row>
    <row r="875">
      <c r="A875" s="2" t="s">
        <v>2166</v>
      </c>
      <c r="B875" s="2" t="s">
        <v>2195</v>
      </c>
      <c r="G875" s="2" t="s">
        <v>2168</v>
      </c>
    </row>
    <row r="876">
      <c r="A876" s="2" t="s">
        <v>2166</v>
      </c>
      <c r="B876" s="2" t="s">
        <v>2196</v>
      </c>
      <c r="G876" s="2" t="s">
        <v>2168</v>
      </c>
    </row>
    <row r="877">
      <c r="A877" s="2" t="s">
        <v>2166</v>
      </c>
      <c r="B877" s="2" t="s">
        <v>2197</v>
      </c>
      <c r="G877" s="2" t="s">
        <v>2168</v>
      </c>
    </row>
    <row r="878">
      <c r="A878" s="2" t="s">
        <v>2166</v>
      </c>
      <c r="B878" s="2" t="s">
        <v>2198</v>
      </c>
      <c r="G878" s="2" t="s">
        <v>2168</v>
      </c>
    </row>
    <row r="879">
      <c r="A879" s="2" t="s">
        <v>2166</v>
      </c>
      <c r="B879" s="2" t="s">
        <v>2199</v>
      </c>
      <c r="G879" s="2" t="s">
        <v>2168</v>
      </c>
    </row>
    <row r="880">
      <c r="A880" s="2" t="s">
        <v>2166</v>
      </c>
      <c r="B880" s="2" t="s">
        <v>2200</v>
      </c>
      <c r="G880" s="2" t="s">
        <v>2168</v>
      </c>
    </row>
    <row r="881">
      <c r="A881" s="2" t="s">
        <v>2166</v>
      </c>
      <c r="B881" s="2" t="s">
        <v>2201</v>
      </c>
      <c r="G881" s="2" t="s">
        <v>2168</v>
      </c>
    </row>
    <row r="882">
      <c r="A882" s="2" t="s">
        <v>2166</v>
      </c>
      <c r="B882" s="2" t="s">
        <v>2202</v>
      </c>
      <c r="G882" s="2" t="s">
        <v>2168</v>
      </c>
    </row>
    <row r="883">
      <c r="A883" s="2" t="s">
        <v>2166</v>
      </c>
      <c r="B883" s="2" t="s">
        <v>2203</v>
      </c>
      <c r="G883" s="2" t="s">
        <v>2168</v>
      </c>
    </row>
    <row r="884">
      <c r="A884" s="2" t="s">
        <v>2166</v>
      </c>
      <c r="B884" s="2" t="s">
        <v>2205</v>
      </c>
      <c r="G884" s="2" t="s">
        <v>2168</v>
      </c>
    </row>
    <row r="885">
      <c r="A885" s="2" t="s">
        <v>2166</v>
      </c>
      <c r="B885" s="2" t="s">
        <v>2206</v>
      </c>
      <c r="G885" s="2" t="s">
        <v>2168</v>
      </c>
    </row>
    <row r="886">
      <c r="A886" s="2" t="s">
        <v>2166</v>
      </c>
      <c r="B886" s="2" t="s">
        <v>2207</v>
      </c>
      <c r="G886" s="2" t="s">
        <v>2168</v>
      </c>
    </row>
    <row r="887">
      <c r="A887" s="2" t="s">
        <v>2208</v>
      </c>
      <c r="B887" s="2" t="s">
        <v>2209</v>
      </c>
      <c r="G887" s="2" t="s">
        <v>2210</v>
      </c>
    </row>
    <row r="888">
      <c r="A888" s="2" t="s">
        <v>2208</v>
      </c>
      <c r="B888" s="2" t="s">
        <v>2211</v>
      </c>
      <c r="G888" s="2" t="s">
        <v>2210</v>
      </c>
    </row>
    <row r="889">
      <c r="A889" s="2" t="s">
        <v>2208</v>
      </c>
      <c r="B889" s="2" t="s">
        <v>2214</v>
      </c>
      <c r="G889" s="2" t="s">
        <v>2210</v>
      </c>
    </row>
    <row r="890">
      <c r="A890" s="2" t="s">
        <v>2208</v>
      </c>
      <c r="B890" s="2" t="s">
        <v>2215</v>
      </c>
      <c r="G890" s="2" t="s">
        <v>2210</v>
      </c>
    </row>
    <row r="891">
      <c r="A891" s="2" t="s">
        <v>2208</v>
      </c>
      <c r="B891" s="2" t="s">
        <v>2216</v>
      </c>
      <c r="G891" s="2" t="s">
        <v>2210</v>
      </c>
    </row>
    <row r="892">
      <c r="A892" s="2" t="s">
        <v>2208</v>
      </c>
      <c r="B892" s="2" t="s">
        <v>2217</v>
      </c>
      <c r="G892" s="2" t="s">
        <v>2210</v>
      </c>
    </row>
    <row r="893">
      <c r="A893" s="2" t="s">
        <v>2208</v>
      </c>
      <c r="B893" s="2" t="s">
        <v>2218</v>
      </c>
      <c r="G893" s="2" t="s">
        <v>2210</v>
      </c>
    </row>
    <row r="894">
      <c r="A894" s="2" t="s">
        <v>2208</v>
      </c>
      <c r="B894" s="2" t="s">
        <v>2219</v>
      </c>
      <c r="G894" s="2" t="s">
        <v>2210</v>
      </c>
    </row>
    <row r="895">
      <c r="A895" s="2" t="s">
        <v>2208</v>
      </c>
      <c r="B895" s="2" t="s">
        <v>2220</v>
      </c>
      <c r="G895" s="2" t="s">
        <v>2210</v>
      </c>
    </row>
    <row r="896">
      <c r="A896" s="2" t="s">
        <v>2208</v>
      </c>
      <c r="B896" s="2" t="s">
        <v>2221</v>
      </c>
      <c r="G896" s="2" t="s">
        <v>2210</v>
      </c>
    </row>
    <row r="897">
      <c r="A897" s="2" t="s">
        <v>2208</v>
      </c>
      <c r="B897" s="2" t="s">
        <v>2222</v>
      </c>
      <c r="G897" s="2" t="s">
        <v>2210</v>
      </c>
    </row>
    <row r="898">
      <c r="A898" s="2" t="s">
        <v>2208</v>
      </c>
      <c r="B898" s="2" t="s">
        <v>2223</v>
      </c>
      <c r="G898" s="2" t="s">
        <v>2210</v>
      </c>
    </row>
    <row r="899">
      <c r="A899" s="2" t="s">
        <v>2208</v>
      </c>
      <c r="B899" s="2" t="s">
        <v>2225</v>
      </c>
      <c r="G899" s="2" t="s">
        <v>2210</v>
      </c>
    </row>
    <row r="900">
      <c r="A900" s="2" t="s">
        <v>2208</v>
      </c>
      <c r="B900" s="2" t="s">
        <v>2226</v>
      </c>
      <c r="G900" s="2" t="s">
        <v>2210</v>
      </c>
    </row>
    <row r="901">
      <c r="A901" s="2" t="s">
        <v>2208</v>
      </c>
      <c r="B901" s="2" t="s">
        <v>2227</v>
      </c>
      <c r="G901" s="2" t="s">
        <v>2210</v>
      </c>
    </row>
    <row r="902">
      <c r="A902" s="2" t="s">
        <v>2208</v>
      </c>
      <c r="B902" s="2" t="s">
        <v>2228</v>
      </c>
      <c r="G902" s="2" t="s">
        <v>2210</v>
      </c>
    </row>
    <row r="903">
      <c r="A903" s="2" t="s">
        <v>2229</v>
      </c>
      <c r="B903" s="2" t="s">
        <v>2230</v>
      </c>
      <c r="C903" s="2" t="s">
        <v>2231</v>
      </c>
      <c r="D903" s="2" t="s">
        <v>2232</v>
      </c>
    </row>
    <row r="904">
      <c r="A904" s="2" t="s">
        <v>2229</v>
      </c>
      <c r="B904" s="2" t="s">
        <v>2233</v>
      </c>
      <c r="C904" s="2" t="s">
        <v>2231</v>
      </c>
      <c r="D904" s="2" t="s">
        <v>2234</v>
      </c>
    </row>
    <row r="905">
      <c r="A905" s="2" t="s">
        <v>2229</v>
      </c>
      <c r="B905" s="2" t="s">
        <v>2235</v>
      </c>
      <c r="C905" s="2" t="s">
        <v>2231</v>
      </c>
      <c r="D905" s="2" t="s">
        <v>2234</v>
      </c>
    </row>
    <row r="906">
      <c r="A906" s="2" t="s">
        <v>2229</v>
      </c>
      <c r="B906" s="2" t="s">
        <v>2236</v>
      </c>
      <c r="C906" s="2" t="s">
        <v>2231</v>
      </c>
      <c r="D906" s="2" t="s">
        <v>2234</v>
      </c>
    </row>
    <row r="907">
      <c r="A907" s="2" t="s">
        <v>2229</v>
      </c>
      <c r="B907" s="2" t="s">
        <v>2237</v>
      </c>
      <c r="C907" s="2" t="s">
        <v>2231</v>
      </c>
      <c r="D907" s="2" t="s">
        <v>2234</v>
      </c>
    </row>
    <row r="908">
      <c r="A908" s="2" t="s">
        <v>2229</v>
      </c>
      <c r="B908" s="2" t="s">
        <v>2238</v>
      </c>
      <c r="C908" s="2" t="s">
        <v>2231</v>
      </c>
      <c r="D908" s="2" t="s">
        <v>2234</v>
      </c>
    </row>
    <row r="909">
      <c r="A909" s="2" t="s">
        <v>2229</v>
      </c>
      <c r="B909" s="2" t="s">
        <v>2239</v>
      </c>
      <c r="C909" s="2" t="s">
        <v>2231</v>
      </c>
      <c r="D909" s="2" t="s">
        <v>2234</v>
      </c>
    </row>
    <row r="910">
      <c r="A910" s="2" t="s">
        <v>2229</v>
      </c>
      <c r="B910" s="2" t="s">
        <v>2240</v>
      </c>
      <c r="C910" s="2" t="s">
        <v>2231</v>
      </c>
      <c r="D910" s="2" t="s">
        <v>2234</v>
      </c>
    </row>
    <row r="911">
      <c r="A911" s="2" t="s">
        <v>2229</v>
      </c>
      <c r="B911" s="2" t="s">
        <v>2241</v>
      </c>
      <c r="C911" s="2" t="s">
        <v>2231</v>
      </c>
      <c r="D911" s="2" t="s">
        <v>2234</v>
      </c>
    </row>
    <row r="912">
      <c r="A912" s="2" t="s">
        <v>2229</v>
      </c>
      <c r="B912" s="2" t="s">
        <v>2242</v>
      </c>
      <c r="C912" s="2" t="s">
        <v>2231</v>
      </c>
      <c r="D912" s="2" t="s">
        <v>2234</v>
      </c>
    </row>
    <row r="913">
      <c r="A913" s="2" t="s">
        <v>2243</v>
      </c>
      <c r="B913" s="2" t="s">
        <v>2244</v>
      </c>
      <c r="G913" s="2" t="s">
        <v>2245</v>
      </c>
    </row>
    <row r="914">
      <c r="A914" s="2" t="s">
        <v>2243</v>
      </c>
      <c r="B914" s="2" t="s">
        <v>2246</v>
      </c>
      <c r="G914" s="2" t="s">
        <v>2245</v>
      </c>
    </row>
    <row r="915">
      <c r="A915" s="2" t="s">
        <v>2243</v>
      </c>
      <c r="B915" s="2" t="s">
        <v>2248</v>
      </c>
      <c r="G915" s="2" t="s">
        <v>2245</v>
      </c>
    </row>
    <row r="916">
      <c r="A916" s="2" t="s">
        <v>2243</v>
      </c>
      <c r="B916" s="2" t="s">
        <v>2249</v>
      </c>
      <c r="G916" s="2" t="s">
        <v>2245</v>
      </c>
    </row>
    <row r="917">
      <c r="A917" s="2" t="s">
        <v>2243</v>
      </c>
      <c r="B917" s="2" t="s">
        <v>2250</v>
      </c>
      <c r="G917" s="2" t="s">
        <v>2245</v>
      </c>
    </row>
    <row r="918">
      <c r="A918" s="2" t="s">
        <v>2243</v>
      </c>
      <c r="B918" s="2" t="s">
        <v>2251</v>
      </c>
      <c r="G918" s="2" t="s">
        <v>2245</v>
      </c>
    </row>
    <row r="919">
      <c r="A919" s="2" t="s">
        <v>2243</v>
      </c>
      <c r="B919" s="2" t="s">
        <v>2252</v>
      </c>
      <c r="G919" s="2" t="s">
        <v>2245</v>
      </c>
    </row>
    <row r="920">
      <c r="A920" s="2" t="s">
        <v>2243</v>
      </c>
      <c r="B920" s="2" t="s">
        <v>2253</v>
      </c>
      <c r="G920" s="2" t="s">
        <v>2245</v>
      </c>
    </row>
    <row r="921">
      <c r="A921" s="2" t="s">
        <v>2243</v>
      </c>
      <c r="B921" s="2" t="s">
        <v>2254</v>
      </c>
      <c r="G921" s="2" t="s">
        <v>2245</v>
      </c>
    </row>
    <row r="922">
      <c r="A922" s="2" t="s">
        <v>2243</v>
      </c>
      <c r="B922" s="2" t="s">
        <v>2255</v>
      </c>
      <c r="G922" s="2" t="s">
        <v>2245</v>
      </c>
    </row>
    <row r="923">
      <c r="A923" s="2" t="s">
        <v>2243</v>
      </c>
      <c r="B923" s="2" t="s">
        <v>2256</v>
      </c>
      <c r="G923" s="2" t="s">
        <v>2245</v>
      </c>
    </row>
    <row r="924">
      <c r="A924" s="2" t="s">
        <v>2243</v>
      </c>
      <c r="B924" s="2" t="s">
        <v>2257</v>
      </c>
      <c r="G924" s="2" t="s">
        <v>2245</v>
      </c>
    </row>
    <row r="925">
      <c r="A925" s="2" t="s">
        <v>2243</v>
      </c>
      <c r="B925" s="2" t="s">
        <v>2258</v>
      </c>
      <c r="G925" s="2" t="s">
        <v>2245</v>
      </c>
    </row>
    <row r="926">
      <c r="A926" s="2" t="s">
        <v>2243</v>
      </c>
      <c r="B926" s="2" t="s">
        <v>2258</v>
      </c>
      <c r="G926" s="2" t="s">
        <v>2245</v>
      </c>
    </row>
    <row r="927">
      <c r="A927" s="2" t="s">
        <v>2243</v>
      </c>
      <c r="B927" s="2" t="s">
        <v>2259</v>
      </c>
      <c r="G927" s="2" t="s">
        <v>2245</v>
      </c>
    </row>
    <row r="928">
      <c r="A928" s="2" t="s">
        <v>2243</v>
      </c>
      <c r="B928" s="2" t="s">
        <v>2261</v>
      </c>
      <c r="G928" s="2" t="s">
        <v>2245</v>
      </c>
    </row>
    <row r="929">
      <c r="A929" s="2" t="s">
        <v>2243</v>
      </c>
      <c r="B929" s="2" t="s">
        <v>2262</v>
      </c>
      <c r="G929" s="2" t="s">
        <v>2245</v>
      </c>
    </row>
    <row r="930">
      <c r="A930" s="2" t="s">
        <v>2243</v>
      </c>
      <c r="B930" s="2" t="s">
        <v>2263</v>
      </c>
      <c r="G930" s="2" t="s">
        <v>2245</v>
      </c>
    </row>
    <row r="931">
      <c r="A931" s="2" t="s">
        <v>2243</v>
      </c>
      <c r="B931" s="2" t="s">
        <v>2264</v>
      </c>
      <c r="G931" s="2" t="s">
        <v>2245</v>
      </c>
    </row>
    <row r="932">
      <c r="A932" s="2" t="s">
        <v>2243</v>
      </c>
      <c r="B932" s="2" t="s">
        <v>2265</v>
      </c>
      <c r="G932" s="2" t="s">
        <v>2245</v>
      </c>
    </row>
    <row r="933">
      <c r="A933" s="2" t="s">
        <v>2243</v>
      </c>
      <c r="B933" s="2" t="s">
        <v>2266</v>
      </c>
      <c r="G933" s="2" t="s">
        <v>2245</v>
      </c>
    </row>
    <row r="934">
      <c r="A934" s="2" t="s">
        <v>2243</v>
      </c>
      <c r="B934" s="2" t="s">
        <v>2267</v>
      </c>
      <c r="G934" s="2" t="s">
        <v>2245</v>
      </c>
    </row>
    <row r="935">
      <c r="A935" s="2" t="s">
        <v>2243</v>
      </c>
      <c r="B935" s="2" t="s">
        <v>2268</v>
      </c>
      <c r="G935" s="2" t="s">
        <v>2245</v>
      </c>
    </row>
    <row r="936">
      <c r="A936" s="2" t="s">
        <v>2243</v>
      </c>
      <c r="B936" s="2" t="s">
        <v>2269</v>
      </c>
      <c r="G936" s="2" t="s">
        <v>2245</v>
      </c>
    </row>
    <row r="937">
      <c r="A937" s="2" t="s">
        <v>2243</v>
      </c>
      <c r="B937" s="2" t="s">
        <v>2270</v>
      </c>
      <c r="G937" s="2" t="s">
        <v>2245</v>
      </c>
    </row>
    <row r="938">
      <c r="A938" s="2" t="s">
        <v>2243</v>
      </c>
      <c r="B938" s="2" t="s">
        <v>2271</v>
      </c>
      <c r="G938" s="2" t="s">
        <v>2245</v>
      </c>
    </row>
    <row r="939">
      <c r="A939" s="2" t="s">
        <v>2243</v>
      </c>
      <c r="B939" s="2" t="s">
        <v>2272</v>
      </c>
      <c r="G939" s="2" t="s">
        <v>2245</v>
      </c>
    </row>
    <row r="940">
      <c r="A940" s="2" t="s">
        <v>2243</v>
      </c>
      <c r="B940" s="2" t="s">
        <v>2273</v>
      </c>
      <c r="G940" s="2" t="s">
        <v>2245</v>
      </c>
    </row>
    <row r="941">
      <c r="A941" s="2" t="s">
        <v>2243</v>
      </c>
      <c r="B941" s="2" t="s">
        <v>2274</v>
      </c>
      <c r="G941" s="2" t="s">
        <v>2245</v>
      </c>
    </row>
    <row r="942">
      <c r="A942" s="2" t="s">
        <v>2243</v>
      </c>
      <c r="B942" s="2" t="s">
        <v>2275</v>
      </c>
      <c r="G942" s="2" t="s">
        <v>2245</v>
      </c>
    </row>
    <row r="943">
      <c r="A943" s="2" t="s">
        <v>2243</v>
      </c>
      <c r="B943" s="2" t="s">
        <v>2276</v>
      </c>
      <c r="G943" s="2" t="s">
        <v>2245</v>
      </c>
    </row>
    <row r="944">
      <c r="A944" s="2" t="s">
        <v>2243</v>
      </c>
      <c r="B944" s="2" t="s">
        <v>2278</v>
      </c>
      <c r="G944" s="2" t="s">
        <v>2245</v>
      </c>
    </row>
    <row r="945">
      <c r="A945" s="2" t="s">
        <v>2243</v>
      </c>
      <c r="B945" s="2" t="s">
        <v>2279</v>
      </c>
      <c r="G945" s="2" t="s">
        <v>2245</v>
      </c>
    </row>
    <row r="946">
      <c r="A946" s="2" t="s">
        <v>2243</v>
      </c>
      <c r="B946" s="2" t="s">
        <v>2280</v>
      </c>
      <c r="G946" s="2" t="s">
        <v>2245</v>
      </c>
    </row>
    <row r="947">
      <c r="A947" s="2" t="s">
        <v>2243</v>
      </c>
      <c r="B947" s="2" t="s">
        <v>2281</v>
      </c>
      <c r="G947" s="2" t="s">
        <v>2245</v>
      </c>
    </row>
    <row r="948">
      <c r="A948" s="2" t="s">
        <v>2243</v>
      </c>
      <c r="B948" s="2" t="s">
        <v>2283</v>
      </c>
      <c r="G948" s="2" t="s">
        <v>2245</v>
      </c>
    </row>
    <row r="949">
      <c r="A949" s="2" t="s">
        <v>2243</v>
      </c>
      <c r="B949" s="2" t="s">
        <v>2284</v>
      </c>
      <c r="G949" s="2" t="s">
        <v>2245</v>
      </c>
    </row>
    <row r="950">
      <c r="A950" s="2" t="s">
        <v>2243</v>
      </c>
      <c r="B950" s="2" t="s">
        <v>2285</v>
      </c>
      <c r="G950" s="2" t="s">
        <v>2245</v>
      </c>
    </row>
    <row r="951">
      <c r="A951" s="2" t="s">
        <v>2243</v>
      </c>
      <c r="B951" s="2" t="s">
        <v>2286</v>
      </c>
      <c r="G951" s="2" t="s">
        <v>2245</v>
      </c>
    </row>
    <row r="952">
      <c r="A952" s="2" t="s">
        <v>2243</v>
      </c>
      <c r="B952" s="2" t="s">
        <v>2287</v>
      </c>
      <c r="G952" s="2" t="s">
        <v>2245</v>
      </c>
    </row>
    <row r="953">
      <c r="A953" s="2" t="s">
        <v>2243</v>
      </c>
      <c r="B953" s="2" t="s">
        <v>2288</v>
      </c>
      <c r="G953" s="2" t="s">
        <v>2245</v>
      </c>
    </row>
    <row r="954">
      <c r="A954" s="2" t="s">
        <v>2243</v>
      </c>
      <c r="B954" s="2" t="s">
        <v>2289</v>
      </c>
      <c r="G954" s="2" t="s">
        <v>2245</v>
      </c>
    </row>
    <row r="955">
      <c r="A955" s="2" t="s">
        <v>2290</v>
      </c>
      <c r="B955" s="2" t="s">
        <v>2291</v>
      </c>
      <c r="G955" s="2" t="s">
        <v>2292</v>
      </c>
    </row>
    <row r="956">
      <c r="A956" s="2" t="s">
        <v>2290</v>
      </c>
      <c r="B956" s="2" t="s">
        <v>2293</v>
      </c>
      <c r="G956" s="2" t="s">
        <v>2292</v>
      </c>
    </row>
    <row r="957">
      <c r="A957" s="2" t="s">
        <v>2290</v>
      </c>
      <c r="B957" s="2" t="s">
        <v>2294</v>
      </c>
      <c r="G957" s="2" t="s">
        <v>2292</v>
      </c>
    </row>
    <row r="958">
      <c r="A958" s="2" t="s">
        <v>2290</v>
      </c>
      <c r="B958" s="2" t="s">
        <v>2295</v>
      </c>
      <c r="G958" s="2" t="s">
        <v>2292</v>
      </c>
    </row>
    <row r="959">
      <c r="A959" s="2" t="s">
        <v>2290</v>
      </c>
      <c r="B959" s="2" t="s">
        <v>2296</v>
      </c>
      <c r="G959" s="2" t="s">
        <v>2292</v>
      </c>
    </row>
    <row r="960">
      <c r="A960" s="2" t="s">
        <v>2290</v>
      </c>
      <c r="B960" s="2" t="s">
        <v>2296</v>
      </c>
      <c r="G960" s="2" t="s">
        <v>2292</v>
      </c>
    </row>
    <row r="961">
      <c r="A961" s="2" t="s">
        <v>2290</v>
      </c>
      <c r="B961" s="2" t="s">
        <v>2297</v>
      </c>
      <c r="G961" s="2" t="s">
        <v>2292</v>
      </c>
    </row>
    <row r="962">
      <c r="A962" s="2" t="s">
        <v>2290</v>
      </c>
      <c r="B962" s="2" t="s">
        <v>2298</v>
      </c>
      <c r="G962" s="2" t="s">
        <v>2292</v>
      </c>
    </row>
    <row r="963">
      <c r="A963" s="2" t="s">
        <v>2290</v>
      </c>
      <c r="B963" s="2" t="s">
        <v>2299</v>
      </c>
      <c r="G963" s="2" t="s">
        <v>2292</v>
      </c>
    </row>
    <row r="964">
      <c r="A964" s="2" t="s">
        <v>2290</v>
      </c>
      <c r="B964" s="2" t="s">
        <v>2301</v>
      </c>
      <c r="G964" s="2" t="s">
        <v>2292</v>
      </c>
    </row>
    <row r="965">
      <c r="A965" s="2" t="s">
        <v>2290</v>
      </c>
      <c r="B965" s="2" t="s">
        <v>2302</v>
      </c>
      <c r="G965" s="2" t="s">
        <v>2292</v>
      </c>
    </row>
    <row r="966">
      <c r="A966" s="2" t="s">
        <v>2290</v>
      </c>
      <c r="B966" s="2" t="s">
        <v>2303</v>
      </c>
      <c r="G966" s="2" t="s">
        <v>2292</v>
      </c>
    </row>
    <row r="967">
      <c r="A967" s="2" t="s">
        <v>2290</v>
      </c>
      <c r="B967" s="2" t="s">
        <v>2304</v>
      </c>
      <c r="G967" s="2" t="s">
        <v>2292</v>
      </c>
    </row>
    <row r="968">
      <c r="A968" s="2" t="s">
        <v>2290</v>
      </c>
      <c r="B968" s="2" t="s">
        <v>2305</v>
      </c>
      <c r="G968" s="2" t="s">
        <v>2292</v>
      </c>
    </row>
    <row r="969">
      <c r="A969" s="2" t="s">
        <v>2290</v>
      </c>
      <c r="B969" s="2" t="s">
        <v>2306</v>
      </c>
      <c r="G969" s="2" t="s">
        <v>2292</v>
      </c>
    </row>
    <row r="970">
      <c r="A970" s="2" t="s">
        <v>2290</v>
      </c>
      <c r="B970" s="2" t="s">
        <v>2306</v>
      </c>
      <c r="G970" s="2" t="s">
        <v>2292</v>
      </c>
    </row>
    <row r="971">
      <c r="A971" s="2" t="s">
        <v>2290</v>
      </c>
      <c r="B971" s="2" t="s">
        <v>2307</v>
      </c>
      <c r="G971" s="2" t="s">
        <v>2292</v>
      </c>
    </row>
    <row r="972">
      <c r="A972" s="2" t="s">
        <v>2290</v>
      </c>
      <c r="B972" s="2" t="s">
        <v>2308</v>
      </c>
      <c r="G972" s="2" t="s">
        <v>2292</v>
      </c>
    </row>
    <row r="973">
      <c r="A973" s="2" t="s">
        <v>2290</v>
      </c>
      <c r="B973" s="2" t="s">
        <v>2309</v>
      </c>
      <c r="G973" s="2" t="s">
        <v>2292</v>
      </c>
    </row>
    <row r="974">
      <c r="A974" s="2" t="s">
        <v>2290</v>
      </c>
      <c r="B974" s="2" t="s">
        <v>2310</v>
      </c>
      <c r="G974" s="2" t="s">
        <v>2292</v>
      </c>
    </row>
    <row r="975">
      <c r="A975" s="2" t="s">
        <v>2290</v>
      </c>
      <c r="B975" s="2" t="s">
        <v>2311</v>
      </c>
      <c r="G975" s="2" t="s">
        <v>2292</v>
      </c>
    </row>
    <row r="976">
      <c r="A976" s="2" t="s">
        <v>2290</v>
      </c>
      <c r="B976" s="2" t="s">
        <v>2311</v>
      </c>
      <c r="G976" s="2" t="s">
        <v>2292</v>
      </c>
    </row>
    <row r="977">
      <c r="A977" s="2" t="s">
        <v>2290</v>
      </c>
      <c r="B977" s="2" t="s">
        <v>2312</v>
      </c>
      <c r="G977" s="2" t="s">
        <v>2292</v>
      </c>
    </row>
    <row r="978">
      <c r="A978" s="2" t="s">
        <v>2290</v>
      </c>
      <c r="B978" s="2" t="s">
        <v>2314</v>
      </c>
      <c r="G978" s="2" t="s">
        <v>2292</v>
      </c>
    </row>
    <row r="979">
      <c r="A979" s="2" t="s">
        <v>2290</v>
      </c>
      <c r="B979" s="2" t="s">
        <v>2315</v>
      </c>
      <c r="G979" s="2" t="s">
        <v>2292</v>
      </c>
    </row>
    <row r="980">
      <c r="A980" s="2" t="s">
        <v>2290</v>
      </c>
      <c r="B980" s="2" t="s">
        <v>2316</v>
      </c>
      <c r="G980" s="2" t="s">
        <v>2292</v>
      </c>
    </row>
    <row r="981">
      <c r="A981" s="2" t="s">
        <v>2290</v>
      </c>
      <c r="B981" s="2" t="s">
        <v>2317</v>
      </c>
      <c r="G981" s="2" t="s">
        <v>2292</v>
      </c>
    </row>
    <row r="982">
      <c r="A982" s="2" t="s">
        <v>2290</v>
      </c>
      <c r="B982" s="2" t="s">
        <v>2318</v>
      </c>
      <c r="G982" s="2" t="s">
        <v>2292</v>
      </c>
    </row>
    <row r="983">
      <c r="A983" s="2" t="s">
        <v>2290</v>
      </c>
      <c r="B983" s="2" t="s">
        <v>2319</v>
      </c>
      <c r="G983" s="2" t="s">
        <v>2292</v>
      </c>
    </row>
    <row r="984">
      <c r="A984" s="2" t="s">
        <v>2290</v>
      </c>
      <c r="B984" s="2" t="s">
        <v>2319</v>
      </c>
      <c r="G984" s="2" t="s">
        <v>2292</v>
      </c>
    </row>
    <row r="985">
      <c r="A985" s="2" t="s">
        <v>2290</v>
      </c>
      <c r="B985" s="2" t="s">
        <v>2320</v>
      </c>
      <c r="G985" s="2" t="s">
        <v>2292</v>
      </c>
    </row>
    <row r="986">
      <c r="A986" s="2" t="s">
        <v>2290</v>
      </c>
      <c r="B986" s="2" t="s">
        <v>2320</v>
      </c>
      <c r="G986" s="2" t="s">
        <v>2292</v>
      </c>
    </row>
    <row r="987">
      <c r="A987" s="2" t="s">
        <v>2290</v>
      </c>
      <c r="B987" s="2" t="s">
        <v>2321</v>
      </c>
      <c r="G987" s="2" t="s">
        <v>2292</v>
      </c>
    </row>
    <row r="988">
      <c r="A988" s="2" t="s">
        <v>2290</v>
      </c>
      <c r="B988" s="2" t="s">
        <v>2323</v>
      </c>
      <c r="G988" s="2" t="s">
        <v>2292</v>
      </c>
    </row>
    <row r="989">
      <c r="A989" s="2" t="s">
        <v>2290</v>
      </c>
      <c r="B989" s="2" t="s">
        <v>2324</v>
      </c>
      <c r="G989" s="2" t="s">
        <v>2292</v>
      </c>
    </row>
    <row r="990">
      <c r="A990" s="2" t="s">
        <v>2290</v>
      </c>
      <c r="B990" s="2" t="s">
        <v>2325</v>
      </c>
      <c r="G990" s="2" t="s">
        <v>2292</v>
      </c>
    </row>
    <row r="991">
      <c r="A991" s="2" t="s">
        <v>2290</v>
      </c>
      <c r="B991" s="2" t="s">
        <v>2326</v>
      </c>
      <c r="G991" s="2" t="s">
        <v>2292</v>
      </c>
    </row>
    <row r="992">
      <c r="A992" s="2" t="s">
        <v>2290</v>
      </c>
      <c r="B992" s="2" t="s">
        <v>2327</v>
      </c>
      <c r="G992" s="2" t="s">
        <v>2292</v>
      </c>
    </row>
    <row r="993">
      <c r="A993" s="2" t="s">
        <v>2290</v>
      </c>
      <c r="B993" s="2" t="s">
        <v>2329</v>
      </c>
      <c r="G993" s="2" t="s">
        <v>2292</v>
      </c>
    </row>
    <row r="994">
      <c r="A994" s="2" t="s">
        <v>2290</v>
      </c>
      <c r="B994" s="2" t="s">
        <v>2330</v>
      </c>
      <c r="G994" s="2" t="s">
        <v>2292</v>
      </c>
    </row>
    <row r="995">
      <c r="A995" s="2" t="s">
        <v>2290</v>
      </c>
      <c r="B995" s="2" t="s">
        <v>2331</v>
      </c>
      <c r="G995" s="2" t="s">
        <v>2292</v>
      </c>
    </row>
    <row r="996">
      <c r="A996" s="2" t="s">
        <v>2290</v>
      </c>
      <c r="B996" s="2" t="s">
        <v>2331</v>
      </c>
      <c r="G996" s="2" t="s">
        <v>2292</v>
      </c>
    </row>
    <row r="997">
      <c r="A997" s="2" t="s">
        <v>2290</v>
      </c>
      <c r="B997" s="2" t="s">
        <v>2332</v>
      </c>
      <c r="G997" s="2" t="s">
        <v>2292</v>
      </c>
    </row>
    <row r="998">
      <c r="A998" s="2" t="s">
        <v>2290</v>
      </c>
      <c r="B998" s="2" t="s">
        <v>2332</v>
      </c>
      <c r="G998" s="2" t="s">
        <v>2292</v>
      </c>
    </row>
    <row r="999">
      <c r="A999" s="2" t="s">
        <v>2290</v>
      </c>
      <c r="B999" s="2" t="s">
        <v>2333</v>
      </c>
      <c r="G999" s="2" t="s">
        <v>2292</v>
      </c>
    </row>
    <row r="1000">
      <c r="A1000" s="2" t="s">
        <v>2290</v>
      </c>
      <c r="B1000" s="2" t="s">
        <v>2333</v>
      </c>
      <c r="G1000" s="2" t="s">
        <v>2292</v>
      </c>
    </row>
    <row r="1001">
      <c r="A1001" s="2" t="s">
        <v>2290</v>
      </c>
      <c r="B1001" s="2" t="s">
        <v>2334</v>
      </c>
      <c r="G1001" s="2" t="s">
        <v>2292</v>
      </c>
    </row>
    <row r="1002">
      <c r="A1002" s="2" t="s">
        <v>2290</v>
      </c>
      <c r="B1002" s="2" t="s">
        <v>2335</v>
      </c>
      <c r="G1002" s="2" t="s">
        <v>2292</v>
      </c>
    </row>
    <row r="1003">
      <c r="A1003" s="2" t="s">
        <v>2290</v>
      </c>
      <c r="B1003" s="2" t="s">
        <v>2336</v>
      </c>
      <c r="G1003" s="2" t="s">
        <v>2292</v>
      </c>
    </row>
    <row r="1004">
      <c r="A1004" s="2" t="s">
        <v>2290</v>
      </c>
      <c r="B1004" s="2" t="s">
        <v>2338</v>
      </c>
      <c r="G1004" s="2" t="s">
        <v>2292</v>
      </c>
    </row>
    <row r="1005">
      <c r="A1005" s="2" t="s">
        <v>2290</v>
      </c>
      <c r="B1005" s="2" t="s">
        <v>2338</v>
      </c>
      <c r="G1005" s="2" t="s">
        <v>2292</v>
      </c>
    </row>
    <row r="1006">
      <c r="A1006" s="2" t="s">
        <v>2290</v>
      </c>
      <c r="B1006" s="2" t="s">
        <v>2338</v>
      </c>
      <c r="G1006" s="2" t="s">
        <v>2292</v>
      </c>
    </row>
    <row r="1007">
      <c r="A1007" s="2" t="s">
        <v>2290</v>
      </c>
      <c r="B1007" s="2" t="s">
        <v>2339</v>
      </c>
      <c r="G1007" s="2" t="s">
        <v>2292</v>
      </c>
    </row>
    <row r="1008">
      <c r="A1008" s="2" t="s">
        <v>2290</v>
      </c>
      <c r="B1008" s="2" t="s">
        <v>2340</v>
      </c>
      <c r="G1008" s="2" t="s">
        <v>2292</v>
      </c>
    </row>
    <row r="1009">
      <c r="A1009" s="2" t="s">
        <v>2290</v>
      </c>
      <c r="B1009" s="2" t="s">
        <v>2341</v>
      </c>
      <c r="G1009" s="2" t="s">
        <v>2292</v>
      </c>
    </row>
    <row r="1010">
      <c r="A1010" s="2" t="s">
        <v>2290</v>
      </c>
      <c r="B1010" s="2" t="s">
        <v>2344</v>
      </c>
      <c r="G1010" s="2" t="s">
        <v>2292</v>
      </c>
    </row>
    <row r="1011">
      <c r="A1011" s="2" t="s">
        <v>2290</v>
      </c>
      <c r="B1011" s="2" t="s">
        <v>2345</v>
      </c>
      <c r="G1011" s="2" t="s">
        <v>2292</v>
      </c>
    </row>
    <row r="1012">
      <c r="A1012" s="2" t="s">
        <v>2290</v>
      </c>
      <c r="B1012" s="2" t="s">
        <v>2346</v>
      </c>
      <c r="G1012" s="2" t="s">
        <v>2292</v>
      </c>
    </row>
    <row r="1013">
      <c r="A1013" s="2" t="s">
        <v>2290</v>
      </c>
      <c r="B1013" s="2" t="s">
        <v>2347</v>
      </c>
      <c r="G1013" s="2" t="s">
        <v>2292</v>
      </c>
    </row>
    <row r="1014">
      <c r="A1014" s="2" t="s">
        <v>2290</v>
      </c>
      <c r="B1014" s="2" t="s">
        <v>2348</v>
      </c>
      <c r="G1014" s="2" t="s">
        <v>2292</v>
      </c>
    </row>
    <row r="1015">
      <c r="A1015" s="2" t="s">
        <v>2290</v>
      </c>
      <c r="B1015" s="2" t="s">
        <v>2349</v>
      </c>
      <c r="G1015" s="2" t="s">
        <v>2292</v>
      </c>
    </row>
    <row r="1016">
      <c r="A1016" s="2" t="s">
        <v>2290</v>
      </c>
      <c r="B1016" s="2" t="s">
        <v>2350</v>
      </c>
      <c r="G1016" s="2" t="s">
        <v>2292</v>
      </c>
    </row>
    <row r="1017">
      <c r="A1017" s="2" t="s">
        <v>2290</v>
      </c>
      <c r="B1017" s="2" t="s">
        <v>2351</v>
      </c>
      <c r="G1017" s="2" t="s">
        <v>2292</v>
      </c>
    </row>
    <row r="1018">
      <c r="A1018" s="2" t="s">
        <v>2290</v>
      </c>
      <c r="B1018" s="2" t="s">
        <v>2352</v>
      </c>
      <c r="G1018" s="2" t="s">
        <v>2292</v>
      </c>
    </row>
    <row r="1019">
      <c r="A1019" s="2" t="s">
        <v>2290</v>
      </c>
      <c r="B1019" s="2" t="s">
        <v>2353</v>
      </c>
      <c r="G1019" s="2" t="s">
        <v>2292</v>
      </c>
    </row>
    <row r="1020">
      <c r="A1020" s="2" t="s">
        <v>2290</v>
      </c>
      <c r="B1020" s="2" t="s">
        <v>2353</v>
      </c>
      <c r="G1020" s="2" t="s">
        <v>2292</v>
      </c>
    </row>
    <row r="1021">
      <c r="A1021" s="2" t="s">
        <v>2290</v>
      </c>
      <c r="B1021" s="2" t="s">
        <v>2357</v>
      </c>
      <c r="G1021" s="2" t="s">
        <v>2292</v>
      </c>
    </row>
    <row r="1022">
      <c r="A1022" s="2" t="s">
        <v>2290</v>
      </c>
      <c r="B1022" s="2" t="s">
        <v>2358</v>
      </c>
      <c r="G1022" s="2" t="s">
        <v>2292</v>
      </c>
    </row>
    <row r="1023">
      <c r="A1023" s="2" t="s">
        <v>2290</v>
      </c>
      <c r="B1023" s="2" t="s">
        <v>2359</v>
      </c>
      <c r="G1023" s="2" t="s">
        <v>2292</v>
      </c>
    </row>
    <row r="1024">
      <c r="A1024" s="2" t="s">
        <v>2290</v>
      </c>
      <c r="B1024" s="2" t="s">
        <v>2360</v>
      </c>
      <c r="G1024" s="2" t="s">
        <v>2292</v>
      </c>
    </row>
    <row r="1025">
      <c r="A1025" s="2" t="s">
        <v>2290</v>
      </c>
      <c r="B1025" s="2" t="s">
        <v>2361</v>
      </c>
      <c r="G1025" s="2" t="s">
        <v>2292</v>
      </c>
    </row>
    <row r="1026">
      <c r="A1026" s="2" t="s">
        <v>2290</v>
      </c>
      <c r="B1026" s="2" t="s">
        <v>2361</v>
      </c>
      <c r="G1026" s="2" t="s">
        <v>2292</v>
      </c>
    </row>
    <row r="1027">
      <c r="A1027" s="2" t="s">
        <v>2290</v>
      </c>
      <c r="B1027" s="2" t="s">
        <v>2362</v>
      </c>
      <c r="G1027" s="2" t="s">
        <v>2292</v>
      </c>
    </row>
    <row r="1028">
      <c r="A1028" s="2" t="s">
        <v>2290</v>
      </c>
      <c r="B1028" s="2" t="s">
        <v>2363</v>
      </c>
      <c r="G1028" s="2" t="s">
        <v>2292</v>
      </c>
    </row>
    <row r="1029">
      <c r="A1029" s="2" t="s">
        <v>2290</v>
      </c>
      <c r="B1029" s="2" t="s">
        <v>2364</v>
      </c>
      <c r="G1029" s="2" t="s">
        <v>2292</v>
      </c>
    </row>
    <row r="1030">
      <c r="A1030" s="2" t="s">
        <v>2290</v>
      </c>
      <c r="B1030" s="2" t="s">
        <v>2364</v>
      </c>
      <c r="G1030" s="2" t="s">
        <v>2292</v>
      </c>
    </row>
    <row r="1031">
      <c r="A1031" s="2" t="s">
        <v>2290</v>
      </c>
      <c r="B1031" s="2" t="s">
        <v>2365</v>
      </c>
      <c r="G1031" s="2" t="s">
        <v>2292</v>
      </c>
    </row>
    <row r="1032">
      <c r="A1032" s="2" t="s">
        <v>2290</v>
      </c>
      <c r="B1032" s="2" t="s">
        <v>2366</v>
      </c>
      <c r="G1032" s="2" t="s">
        <v>2292</v>
      </c>
    </row>
    <row r="1033">
      <c r="A1033" s="2" t="s">
        <v>2290</v>
      </c>
      <c r="B1033" s="2" t="s">
        <v>2367</v>
      </c>
      <c r="G1033" s="2" t="s">
        <v>2292</v>
      </c>
    </row>
    <row r="1034">
      <c r="A1034" s="2" t="s">
        <v>2290</v>
      </c>
      <c r="B1034" s="2" t="s">
        <v>2368</v>
      </c>
      <c r="G1034" s="2" t="s">
        <v>2292</v>
      </c>
    </row>
    <row r="1035">
      <c r="A1035" s="2" t="s">
        <v>2290</v>
      </c>
      <c r="B1035" s="2" t="s">
        <v>2369</v>
      </c>
      <c r="G1035" s="2" t="s">
        <v>2292</v>
      </c>
    </row>
    <row r="1036">
      <c r="A1036" s="2" t="s">
        <v>2290</v>
      </c>
      <c r="B1036" s="2" t="s">
        <v>2370</v>
      </c>
      <c r="G1036" s="2" t="s">
        <v>2292</v>
      </c>
    </row>
    <row r="1037">
      <c r="A1037" s="2" t="s">
        <v>2290</v>
      </c>
      <c r="B1037" s="2" t="s">
        <v>2371</v>
      </c>
      <c r="G1037" s="2" t="s">
        <v>2292</v>
      </c>
    </row>
    <row r="1038">
      <c r="A1038" s="2" t="s">
        <v>2290</v>
      </c>
      <c r="B1038" s="2" t="s">
        <v>2373</v>
      </c>
      <c r="G1038" s="2" t="s">
        <v>2292</v>
      </c>
    </row>
    <row r="1039">
      <c r="A1039" s="2" t="s">
        <v>2290</v>
      </c>
      <c r="B1039" s="2" t="s">
        <v>2375</v>
      </c>
      <c r="G1039" s="2" t="s">
        <v>2292</v>
      </c>
    </row>
    <row r="1040">
      <c r="A1040" s="2" t="s">
        <v>2290</v>
      </c>
      <c r="B1040" s="2" t="s">
        <v>2376</v>
      </c>
      <c r="G1040" s="2" t="s">
        <v>2292</v>
      </c>
    </row>
    <row r="1041">
      <c r="A1041" s="2" t="s">
        <v>2290</v>
      </c>
      <c r="B1041" s="2" t="s">
        <v>2376</v>
      </c>
      <c r="G1041" s="2" t="s">
        <v>2292</v>
      </c>
    </row>
    <row r="1042">
      <c r="A1042" s="2" t="s">
        <v>2290</v>
      </c>
      <c r="B1042" s="2" t="s">
        <v>2377</v>
      </c>
      <c r="G1042" s="2" t="s">
        <v>2292</v>
      </c>
    </row>
    <row r="1043">
      <c r="A1043" s="2" t="s">
        <v>2290</v>
      </c>
      <c r="B1043" s="2" t="s">
        <v>2377</v>
      </c>
      <c r="G1043" s="2" t="s">
        <v>2292</v>
      </c>
    </row>
    <row r="1044">
      <c r="A1044" s="2" t="s">
        <v>2290</v>
      </c>
      <c r="B1044" s="2" t="s">
        <v>2378</v>
      </c>
      <c r="G1044" s="2" t="s">
        <v>2292</v>
      </c>
    </row>
    <row r="1045">
      <c r="A1045" s="2" t="s">
        <v>2290</v>
      </c>
      <c r="B1045" s="2" t="s">
        <v>2379</v>
      </c>
      <c r="G1045" s="2" t="s">
        <v>2292</v>
      </c>
    </row>
    <row r="1046">
      <c r="A1046" s="2" t="s">
        <v>2290</v>
      </c>
      <c r="B1046" s="2" t="s">
        <v>2379</v>
      </c>
      <c r="G1046" s="2" t="s">
        <v>2292</v>
      </c>
    </row>
    <row r="1047">
      <c r="A1047" s="2" t="s">
        <v>2290</v>
      </c>
      <c r="B1047" s="2" t="s">
        <v>2380</v>
      </c>
      <c r="G1047" s="2" t="s">
        <v>2292</v>
      </c>
    </row>
    <row r="1048">
      <c r="A1048" s="2" t="s">
        <v>2290</v>
      </c>
      <c r="B1048" s="2" t="s">
        <v>2380</v>
      </c>
      <c r="G1048" s="2" t="s">
        <v>2292</v>
      </c>
    </row>
    <row r="1049">
      <c r="A1049" s="2" t="s">
        <v>2290</v>
      </c>
      <c r="B1049" s="2" t="s">
        <v>2381</v>
      </c>
      <c r="G1049" s="2" t="s">
        <v>2292</v>
      </c>
    </row>
    <row r="1050">
      <c r="A1050" s="2" t="s">
        <v>2290</v>
      </c>
      <c r="B1050" s="2" t="s">
        <v>2381</v>
      </c>
      <c r="G1050" s="2" t="s">
        <v>2292</v>
      </c>
    </row>
    <row r="1051">
      <c r="A1051" s="2" t="s">
        <v>2290</v>
      </c>
      <c r="B1051" s="2" t="s">
        <v>2382</v>
      </c>
      <c r="G1051" s="2" t="s">
        <v>2292</v>
      </c>
    </row>
    <row r="1052">
      <c r="A1052" s="2" t="s">
        <v>2290</v>
      </c>
      <c r="B1052" s="2" t="s">
        <v>2382</v>
      </c>
      <c r="G1052" s="2" t="s">
        <v>2292</v>
      </c>
    </row>
    <row r="1053">
      <c r="A1053" s="2" t="s">
        <v>2290</v>
      </c>
      <c r="B1053" s="2" t="s">
        <v>2384</v>
      </c>
      <c r="G1053" s="2" t="s">
        <v>2292</v>
      </c>
    </row>
    <row r="1054">
      <c r="A1054" s="2" t="s">
        <v>2290</v>
      </c>
      <c r="B1054" s="2" t="s">
        <v>2384</v>
      </c>
      <c r="G1054" s="2" t="s">
        <v>2292</v>
      </c>
    </row>
    <row r="1055">
      <c r="A1055" s="2" t="s">
        <v>2290</v>
      </c>
      <c r="B1055" s="2" t="s">
        <v>2385</v>
      </c>
      <c r="G1055" s="2" t="s">
        <v>2292</v>
      </c>
    </row>
    <row r="1056">
      <c r="A1056" s="2" t="s">
        <v>2290</v>
      </c>
      <c r="B1056" s="2" t="s">
        <v>2386</v>
      </c>
      <c r="G1056" s="2" t="s">
        <v>2292</v>
      </c>
    </row>
    <row r="1057">
      <c r="A1057" s="2" t="s">
        <v>2290</v>
      </c>
      <c r="B1057" s="2" t="s">
        <v>2387</v>
      </c>
      <c r="G1057" s="2" t="s">
        <v>2292</v>
      </c>
    </row>
    <row r="1058">
      <c r="A1058" s="2" t="s">
        <v>2290</v>
      </c>
      <c r="B1058" s="2" t="s">
        <v>2387</v>
      </c>
      <c r="G1058" s="2" t="s">
        <v>2292</v>
      </c>
    </row>
    <row r="1059">
      <c r="A1059" s="2" t="s">
        <v>2290</v>
      </c>
      <c r="B1059" s="2" t="s">
        <v>2388</v>
      </c>
      <c r="G1059" s="2" t="s">
        <v>2292</v>
      </c>
    </row>
    <row r="1060">
      <c r="A1060" s="2" t="s">
        <v>2290</v>
      </c>
      <c r="B1060" s="2" t="s">
        <v>2388</v>
      </c>
      <c r="G1060" s="2" t="s">
        <v>2292</v>
      </c>
    </row>
    <row r="1061">
      <c r="A1061" s="2" t="s">
        <v>2290</v>
      </c>
      <c r="B1061" s="2" t="s">
        <v>2389</v>
      </c>
      <c r="G1061" s="2" t="s">
        <v>2292</v>
      </c>
    </row>
    <row r="1062">
      <c r="A1062" s="2" t="s">
        <v>2290</v>
      </c>
      <c r="B1062" s="2" t="s">
        <v>2389</v>
      </c>
      <c r="G1062" s="2" t="s">
        <v>2292</v>
      </c>
    </row>
    <row r="1063">
      <c r="A1063" s="2" t="s">
        <v>2290</v>
      </c>
      <c r="B1063" s="2" t="s">
        <v>2390</v>
      </c>
      <c r="G1063" s="2" t="s">
        <v>2292</v>
      </c>
    </row>
    <row r="1064">
      <c r="A1064" s="2" t="s">
        <v>2290</v>
      </c>
      <c r="B1064" s="2" t="s">
        <v>2390</v>
      </c>
      <c r="G1064" s="2" t="s">
        <v>2292</v>
      </c>
    </row>
    <row r="1065">
      <c r="A1065" s="2" t="s">
        <v>2290</v>
      </c>
      <c r="B1065" s="2" t="s">
        <v>2392</v>
      </c>
      <c r="G1065" s="2" t="s">
        <v>2292</v>
      </c>
    </row>
    <row r="1066">
      <c r="A1066" s="2" t="s">
        <v>2290</v>
      </c>
      <c r="B1066" s="2" t="s">
        <v>2393</v>
      </c>
      <c r="G1066" s="2" t="s">
        <v>2292</v>
      </c>
    </row>
    <row r="1067">
      <c r="A1067" s="2" t="s">
        <v>2290</v>
      </c>
      <c r="B1067" s="2" t="s">
        <v>2394</v>
      </c>
      <c r="G1067" s="2" t="s">
        <v>2292</v>
      </c>
    </row>
    <row r="1068">
      <c r="A1068" s="2" t="s">
        <v>2290</v>
      </c>
      <c r="B1068" s="2" t="s">
        <v>2395</v>
      </c>
      <c r="G1068" s="2" t="s">
        <v>2292</v>
      </c>
    </row>
    <row r="1069">
      <c r="A1069" s="2" t="s">
        <v>2290</v>
      </c>
      <c r="B1069" s="2" t="s">
        <v>2395</v>
      </c>
      <c r="G1069" s="2" t="s">
        <v>2292</v>
      </c>
    </row>
    <row r="1070">
      <c r="A1070" s="2" t="s">
        <v>2290</v>
      </c>
      <c r="B1070" s="2" t="s">
        <v>2396</v>
      </c>
      <c r="G1070" s="2" t="s">
        <v>2292</v>
      </c>
    </row>
    <row r="1071">
      <c r="A1071" s="2" t="s">
        <v>2290</v>
      </c>
      <c r="B1071" s="2" t="s">
        <v>2396</v>
      </c>
      <c r="G1071" s="2" t="s">
        <v>2292</v>
      </c>
    </row>
    <row r="1072">
      <c r="A1072" s="2" t="s">
        <v>2290</v>
      </c>
      <c r="B1072" s="2" t="s">
        <v>2397</v>
      </c>
      <c r="G1072" s="2" t="s">
        <v>2292</v>
      </c>
    </row>
    <row r="1073">
      <c r="A1073" s="2" t="s">
        <v>2290</v>
      </c>
      <c r="B1073" s="2" t="s">
        <v>2397</v>
      </c>
      <c r="G1073" s="2" t="s">
        <v>2292</v>
      </c>
    </row>
    <row r="1074">
      <c r="A1074" s="2" t="s">
        <v>2290</v>
      </c>
      <c r="B1074" s="2" t="s">
        <v>2397</v>
      </c>
      <c r="G1074" s="2" t="s">
        <v>2292</v>
      </c>
    </row>
    <row r="1075">
      <c r="A1075" s="2" t="s">
        <v>2290</v>
      </c>
      <c r="B1075" s="2" t="s">
        <v>2399</v>
      </c>
      <c r="G1075" s="2" t="s">
        <v>2292</v>
      </c>
    </row>
    <row r="1076">
      <c r="A1076" s="2" t="s">
        <v>2290</v>
      </c>
      <c r="B1076" s="2" t="s">
        <v>2399</v>
      </c>
      <c r="G1076" s="2" t="s">
        <v>2292</v>
      </c>
    </row>
    <row r="1077">
      <c r="A1077" s="2" t="s">
        <v>2290</v>
      </c>
      <c r="B1077" s="2" t="s">
        <v>2400</v>
      </c>
      <c r="G1077" s="2" t="s">
        <v>2292</v>
      </c>
    </row>
    <row r="1078">
      <c r="A1078" s="2" t="s">
        <v>2290</v>
      </c>
      <c r="B1078" s="2" t="s">
        <v>2400</v>
      </c>
      <c r="G1078" s="2" t="s">
        <v>2292</v>
      </c>
    </row>
    <row r="1079">
      <c r="A1079" s="2" t="s">
        <v>2290</v>
      </c>
      <c r="B1079" s="2" t="s">
        <v>2404</v>
      </c>
      <c r="G1079" s="2" t="s">
        <v>2292</v>
      </c>
    </row>
    <row r="1080">
      <c r="A1080" s="2" t="s">
        <v>2290</v>
      </c>
      <c r="B1080" s="2" t="s">
        <v>2404</v>
      </c>
      <c r="G1080" s="2" t="s">
        <v>2292</v>
      </c>
    </row>
    <row r="1081">
      <c r="A1081" s="2" t="s">
        <v>2290</v>
      </c>
      <c r="B1081" s="2" t="s">
        <v>2405</v>
      </c>
      <c r="G1081" s="2" t="s">
        <v>2292</v>
      </c>
    </row>
    <row r="1082">
      <c r="A1082" s="2" t="s">
        <v>2290</v>
      </c>
      <c r="B1082" s="2" t="s">
        <v>2405</v>
      </c>
      <c r="G1082" s="2" t="s">
        <v>2292</v>
      </c>
    </row>
    <row r="1083">
      <c r="A1083" s="2" t="s">
        <v>2290</v>
      </c>
      <c r="B1083" s="2" t="s">
        <v>2406</v>
      </c>
      <c r="G1083" s="2" t="s">
        <v>2292</v>
      </c>
    </row>
    <row r="1084">
      <c r="A1084" s="2" t="s">
        <v>2290</v>
      </c>
      <c r="B1084" s="2" t="s">
        <v>2406</v>
      </c>
      <c r="G1084" s="2" t="s">
        <v>2292</v>
      </c>
    </row>
    <row r="1085">
      <c r="A1085" s="2" t="s">
        <v>2290</v>
      </c>
      <c r="B1085" s="2" t="s">
        <v>2407</v>
      </c>
      <c r="G1085" s="2" t="s">
        <v>2292</v>
      </c>
    </row>
    <row r="1086">
      <c r="A1086" s="2" t="s">
        <v>2290</v>
      </c>
      <c r="B1086" s="2" t="s">
        <v>2407</v>
      </c>
      <c r="G1086" s="2" t="s">
        <v>2292</v>
      </c>
    </row>
    <row r="1087">
      <c r="A1087" s="2" t="s">
        <v>2290</v>
      </c>
      <c r="B1087" s="2" t="s">
        <v>2408</v>
      </c>
      <c r="G1087" s="2" t="s">
        <v>2292</v>
      </c>
    </row>
    <row r="1088">
      <c r="A1088" s="2" t="s">
        <v>2290</v>
      </c>
      <c r="B1088" s="2" t="s">
        <v>2408</v>
      </c>
      <c r="G1088" s="2" t="s">
        <v>2292</v>
      </c>
    </row>
    <row r="1089">
      <c r="A1089" s="2" t="s">
        <v>2290</v>
      </c>
      <c r="B1089" s="2" t="s">
        <v>2411</v>
      </c>
      <c r="G1089" s="2" t="s">
        <v>2292</v>
      </c>
    </row>
    <row r="1090">
      <c r="A1090" s="2" t="s">
        <v>2290</v>
      </c>
      <c r="B1090" s="2" t="s">
        <v>2411</v>
      </c>
      <c r="G1090" s="2" t="s">
        <v>2292</v>
      </c>
    </row>
    <row r="1091">
      <c r="A1091" s="2" t="s">
        <v>2290</v>
      </c>
      <c r="B1091" s="2" t="s">
        <v>2413</v>
      </c>
      <c r="G1091" s="2" t="s">
        <v>2292</v>
      </c>
    </row>
    <row r="1092">
      <c r="A1092" s="2" t="s">
        <v>2290</v>
      </c>
      <c r="B1092" s="2" t="s">
        <v>2414</v>
      </c>
      <c r="G1092" s="2" t="s">
        <v>2292</v>
      </c>
    </row>
    <row r="1093">
      <c r="A1093" s="2" t="s">
        <v>2290</v>
      </c>
      <c r="B1093" s="2" t="s">
        <v>2414</v>
      </c>
      <c r="G1093" s="2" t="s">
        <v>2292</v>
      </c>
    </row>
    <row r="1094">
      <c r="A1094" s="2" t="s">
        <v>2290</v>
      </c>
      <c r="B1094" s="2" t="s">
        <v>2415</v>
      </c>
      <c r="G1094" s="2" t="s">
        <v>2292</v>
      </c>
    </row>
    <row r="1095">
      <c r="A1095" s="2" t="s">
        <v>2290</v>
      </c>
      <c r="B1095" s="2" t="s">
        <v>2415</v>
      </c>
      <c r="G1095" s="2" t="s">
        <v>2292</v>
      </c>
    </row>
    <row r="1096">
      <c r="A1096" s="2" t="s">
        <v>2290</v>
      </c>
      <c r="B1096" s="2" t="s">
        <v>2416</v>
      </c>
      <c r="G1096" s="2" t="s">
        <v>2292</v>
      </c>
    </row>
    <row r="1097">
      <c r="A1097" s="2" t="s">
        <v>2290</v>
      </c>
      <c r="B1097" s="2" t="s">
        <v>2416</v>
      </c>
      <c r="G1097" s="2" t="s">
        <v>2292</v>
      </c>
    </row>
    <row r="1098">
      <c r="A1098" s="2" t="s">
        <v>2290</v>
      </c>
      <c r="B1098" s="2" t="s">
        <v>2417</v>
      </c>
      <c r="G1098" s="2" t="s">
        <v>2292</v>
      </c>
    </row>
    <row r="1099">
      <c r="A1099" s="2" t="s">
        <v>2290</v>
      </c>
      <c r="B1099" s="2" t="s">
        <v>2418</v>
      </c>
      <c r="G1099" s="2" t="s">
        <v>2292</v>
      </c>
    </row>
    <row r="1100">
      <c r="A1100" s="2" t="s">
        <v>2290</v>
      </c>
      <c r="B1100" s="2" t="s">
        <v>2419</v>
      </c>
      <c r="G1100" s="2" t="s">
        <v>2292</v>
      </c>
    </row>
    <row r="1101">
      <c r="A1101" s="2" t="s">
        <v>2290</v>
      </c>
      <c r="B1101" s="2" t="s">
        <v>2419</v>
      </c>
      <c r="G1101" s="2" t="s">
        <v>2292</v>
      </c>
    </row>
    <row r="1102">
      <c r="A1102" s="2" t="s">
        <v>2290</v>
      </c>
      <c r="B1102" s="2" t="s">
        <v>2420</v>
      </c>
      <c r="G1102" s="2" t="s">
        <v>2292</v>
      </c>
    </row>
    <row r="1103">
      <c r="A1103" s="2" t="s">
        <v>2290</v>
      </c>
      <c r="B1103" s="2" t="s">
        <v>2420</v>
      </c>
      <c r="G1103" s="2" t="s">
        <v>2292</v>
      </c>
    </row>
    <row r="1104">
      <c r="A1104" s="2" t="s">
        <v>2290</v>
      </c>
      <c r="B1104" s="2" t="s">
        <v>2422</v>
      </c>
      <c r="G1104" s="2" t="s">
        <v>2292</v>
      </c>
    </row>
    <row r="1105">
      <c r="A1105" s="2" t="s">
        <v>2290</v>
      </c>
      <c r="B1105" s="2" t="s">
        <v>2422</v>
      </c>
      <c r="G1105" s="2" t="s">
        <v>2292</v>
      </c>
    </row>
    <row r="1106">
      <c r="A1106" s="2" t="s">
        <v>2290</v>
      </c>
      <c r="B1106" s="2" t="s">
        <v>2423</v>
      </c>
      <c r="G1106" s="2" t="s">
        <v>2292</v>
      </c>
    </row>
    <row r="1107">
      <c r="A1107" s="2" t="s">
        <v>2290</v>
      </c>
      <c r="B1107" s="2" t="s">
        <v>2423</v>
      </c>
      <c r="G1107" s="2" t="s">
        <v>2292</v>
      </c>
    </row>
    <row r="1108">
      <c r="A1108" s="2" t="s">
        <v>2290</v>
      </c>
      <c r="B1108" s="2" t="s">
        <v>2423</v>
      </c>
      <c r="G1108" s="2" t="s">
        <v>2292</v>
      </c>
    </row>
    <row r="1109">
      <c r="A1109" s="2" t="s">
        <v>2290</v>
      </c>
      <c r="B1109" s="2" t="s">
        <v>2423</v>
      </c>
      <c r="G1109" s="2" t="s">
        <v>2292</v>
      </c>
    </row>
    <row r="1110">
      <c r="A1110" s="2" t="s">
        <v>2290</v>
      </c>
      <c r="B1110" s="2" t="s">
        <v>2424</v>
      </c>
      <c r="G1110" s="2" t="s">
        <v>2292</v>
      </c>
    </row>
    <row r="1111">
      <c r="A1111" s="2" t="s">
        <v>2290</v>
      </c>
      <c r="B1111" s="2" t="s">
        <v>2424</v>
      </c>
      <c r="G1111" s="2" t="s">
        <v>2292</v>
      </c>
    </row>
    <row r="1112">
      <c r="A1112" s="2" t="s">
        <v>2290</v>
      </c>
      <c r="B1112" s="2" t="s">
        <v>2425</v>
      </c>
      <c r="G1112" s="2" t="s">
        <v>2292</v>
      </c>
    </row>
    <row r="1113">
      <c r="A1113" s="2" t="s">
        <v>2290</v>
      </c>
      <c r="B1113" s="2" t="s">
        <v>2425</v>
      </c>
      <c r="G1113" s="2" t="s">
        <v>2292</v>
      </c>
    </row>
    <row r="1114">
      <c r="A1114" s="2" t="s">
        <v>2290</v>
      </c>
      <c r="B1114" s="2" t="s">
        <v>2427</v>
      </c>
      <c r="G1114" s="2" t="s">
        <v>2292</v>
      </c>
    </row>
    <row r="1115">
      <c r="A1115" s="2" t="s">
        <v>2290</v>
      </c>
      <c r="B1115" s="2" t="s">
        <v>2427</v>
      </c>
      <c r="G1115" s="2" t="s">
        <v>2292</v>
      </c>
    </row>
    <row r="1116">
      <c r="A1116" s="2" t="s">
        <v>2290</v>
      </c>
      <c r="B1116" s="2" t="s">
        <v>2430</v>
      </c>
      <c r="G1116" s="2" t="s">
        <v>2292</v>
      </c>
    </row>
    <row r="1117">
      <c r="A1117" s="2" t="s">
        <v>2290</v>
      </c>
      <c r="B1117" s="2" t="s">
        <v>2430</v>
      </c>
      <c r="G1117" s="2" t="s">
        <v>2292</v>
      </c>
    </row>
    <row r="1118">
      <c r="A1118" s="2" t="s">
        <v>2290</v>
      </c>
      <c r="B1118" s="2" t="s">
        <v>2431</v>
      </c>
      <c r="G1118" s="2" t="s">
        <v>2292</v>
      </c>
    </row>
    <row r="1119">
      <c r="A1119" s="2" t="s">
        <v>2290</v>
      </c>
      <c r="B1119" s="2" t="s">
        <v>2431</v>
      </c>
      <c r="G1119" s="2" t="s">
        <v>2292</v>
      </c>
    </row>
    <row r="1120">
      <c r="A1120" s="2" t="s">
        <v>2290</v>
      </c>
      <c r="B1120" s="2" t="s">
        <v>2432</v>
      </c>
      <c r="G1120" s="2" t="s">
        <v>2292</v>
      </c>
    </row>
    <row r="1121">
      <c r="A1121" s="2" t="s">
        <v>2290</v>
      </c>
      <c r="B1121" s="2" t="s">
        <v>2432</v>
      </c>
      <c r="G1121" s="2" t="s">
        <v>2292</v>
      </c>
    </row>
    <row r="1122">
      <c r="A1122" s="2" t="s">
        <v>2290</v>
      </c>
      <c r="B1122" s="2" t="s">
        <v>2433</v>
      </c>
      <c r="G1122" s="2" t="s">
        <v>2292</v>
      </c>
    </row>
    <row r="1123">
      <c r="A1123" s="2" t="s">
        <v>2290</v>
      </c>
      <c r="B1123" s="2" t="s">
        <v>2433</v>
      </c>
      <c r="G1123" s="2" t="s">
        <v>2292</v>
      </c>
    </row>
    <row r="1124">
      <c r="A1124" s="2" t="s">
        <v>2290</v>
      </c>
      <c r="B1124" s="2" t="s">
        <v>2434</v>
      </c>
      <c r="G1124" s="2" t="s">
        <v>2292</v>
      </c>
    </row>
    <row r="1125">
      <c r="A1125" s="2" t="s">
        <v>2290</v>
      </c>
      <c r="B1125" s="2" t="s">
        <v>2434</v>
      </c>
      <c r="G1125" s="2" t="s">
        <v>2292</v>
      </c>
    </row>
    <row r="1126">
      <c r="A1126" s="2" t="s">
        <v>2290</v>
      </c>
      <c r="B1126" s="2" t="s">
        <v>2434</v>
      </c>
      <c r="G1126" s="2" t="s">
        <v>2292</v>
      </c>
    </row>
    <row r="1127">
      <c r="A1127" s="2" t="s">
        <v>2290</v>
      </c>
      <c r="B1127" s="2" t="s">
        <v>2434</v>
      </c>
      <c r="G1127" s="2" t="s">
        <v>2292</v>
      </c>
    </row>
    <row r="1128">
      <c r="A1128" s="2" t="s">
        <v>2290</v>
      </c>
      <c r="B1128" s="2" t="s">
        <v>2397</v>
      </c>
      <c r="G1128" s="2" t="s">
        <v>2292</v>
      </c>
    </row>
    <row r="1129">
      <c r="A1129" s="2" t="s">
        <v>2290</v>
      </c>
      <c r="B1129" s="2" t="s">
        <v>2435</v>
      </c>
      <c r="G1129" s="2" t="s">
        <v>2292</v>
      </c>
    </row>
    <row r="1130">
      <c r="A1130" s="2" t="s">
        <v>2290</v>
      </c>
      <c r="B1130" s="2" t="s">
        <v>2436</v>
      </c>
      <c r="G1130" s="2" t="s">
        <v>2292</v>
      </c>
    </row>
    <row r="1131">
      <c r="A1131" s="2" t="s">
        <v>2290</v>
      </c>
      <c r="B1131" s="2" t="s">
        <v>2437</v>
      </c>
      <c r="G1131" s="2" t="s">
        <v>2292</v>
      </c>
    </row>
    <row r="1132">
      <c r="A1132" s="2" t="s">
        <v>2290</v>
      </c>
      <c r="B1132" s="2" t="s">
        <v>2439</v>
      </c>
      <c r="G1132" s="2" t="s">
        <v>2292</v>
      </c>
    </row>
    <row r="1133">
      <c r="A1133" s="2" t="s">
        <v>2290</v>
      </c>
      <c r="B1133" s="2" t="s">
        <v>2440</v>
      </c>
      <c r="G1133" s="2" t="s">
        <v>2292</v>
      </c>
    </row>
    <row r="1134">
      <c r="A1134" s="2" t="s">
        <v>2290</v>
      </c>
      <c r="B1134" s="2" t="s">
        <v>2441</v>
      </c>
      <c r="G1134" s="2" t="s">
        <v>2292</v>
      </c>
    </row>
    <row r="1135">
      <c r="A1135" s="2" t="s">
        <v>2290</v>
      </c>
      <c r="B1135" s="2" t="s">
        <v>2442</v>
      </c>
      <c r="G1135" s="2" t="s">
        <v>2292</v>
      </c>
    </row>
    <row r="1136">
      <c r="A1136" s="2" t="s">
        <v>2290</v>
      </c>
      <c r="B1136" s="2" t="s">
        <v>2443</v>
      </c>
      <c r="G1136" s="2" t="s">
        <v>2292</v>
      </c>
    </row>
    <row r="1137">
      <c r="A1137" s="2" t="s">
        <v>2290</v>
      </c>
      <c r="B1137" s="2" t="s">
        <v>2444</v>
      </c>
      <c r="G1137" s="2" t="s">
        <v>2292</v>
      </c>
    </row>
    <row r="1138">
      <c r="A1138" s="2" t="s">
        <v>2290</v>
      </c>
      <c r="B1138" s="2" t="s">
        <v>2445</v>
      </c>
      <c r="G1138" s="2" t="s">
        <v>2292</v>
      </c>
    </row>
    <row r="1139">
      <c r="A1139" s="2" t="s">
        <v>2290</v>
      </c>
      <c r="B1139" s="2" t="s">
        <v>2446</v>
      </c>
      <c r="G1139" s="2" t="s">
        <v>2292</v>
      </c>
    </row>
    <row r="1140">
      <c r="A1140" s="2" t="s">
        <v>2290</v>
      </c>
      <c r="B1140" s="2" t="s">
        <v>2447</v>
      </c>
      <c r="G1140" s="2" t="s">
        <v>2292</v>
      </c>
    </row>
    <row r="1141">
      <c r="A1141" s="2" t="s">
        <v>2290</v>
      </c>
      <c r="B1141" s="2" t="s">
        <v>2447</v>
      </c>
      <c r="G1141" s="2" t="s">
        <v>2292</v>
      </c>
    </row>
    <row r="1142">
      <c r="A1142" s="2" t="s">
        <v>2290</v>
      </c>
      <c r="B1142" s="2" t="s">
        <v>2449</v>
      </c>
      <c r="G1142" s="2" t="s">
        <v>2292</v>
      </c>
    </row>
    <row r="1143">
      <c r="A1143" s="2" t="s">
        <v>2290</v>
      </c>
      <c r="B1143" s="2" t="s">
        <v>2449</v>
      </c>
      <c r="G1143" s="2" t="s">
        <v>2292</v>
      </c>
    </row>
    <row r="1144">
      <c r="A1144" s="2" t="s">
        <v>2290</v>
      </c>
      <c r="B1144" s="2" t="s">
        <v>2450</v>
      </c>
      <c r="G1144" s="2" t="s">
        <v>2292</v>
      </c>
    </row>
    <row r="1145">
      <c r="A1145" s="2" t="s">
        <v>2290</v>
      </c>
      <c r="B1145" s="2" t="s">
        <v>2450</v>
      </c>
      <c r="G1145" s="2" t="s">
        <v>2292</v>
      </c>
    </row>
    <row r="1146">
      <c r="A1146" s="2" t="s">
        <v>2290</v>
      </c>
      <c r="B1146" s="2" t="s">
        <v>2451</v>
      </c>
      <c r="G1146" s="2" t="s">
        <v>2292</v>
      </c>
    </row>
    <row r="1147">
      <c r="A1147" s="2" t="s">
        <v>2290</v>
      </c>
      <c r="B1147" s="2" t="s">
        <v>2453</v>
      </c>
      <c r="G1147" s="2" t="s">
        <v>2292</v>
      </c>
    </row>
    <row r="1148">
      <c r="A1148" s="2" t="s">
        <v>2290</v>
      </c>
      <c r="B1148" s="2" t="s">
        <v>2453</v>
      </c>
      <c r="G1148" s="2" t="s">
        <v>2292</v>
      </c>
    </row>
    <row r="1149">
      <c r="A1149" s="2" t="s">
        <v>2290</v>
      </c>
      <c r="B1149" s="2" t="s">
        <v>2454</v>
      </c>
      <c r="G1149" s="2" t="s">
        <v>2292</v>
      </c>
    </row>
    <row r="1150">
      <c r="A1150" s="2" t="s">
        <v>2290</v>
      </c>
      <c r="B1150" s="2" t="s">
        <v>2455</v>
      </c>
      <c r="G1150" s="2" t="s">
        <v>2292</v>
      </c>
    </row>
    <row r="1151">
      <c r="A1151" s="2" t="s">
        <v>2290</v>
      </c>
      <c r="B1151" s="2" t="s">
        <v>2456</v>
      </c>
      <c r="G1151" s="2" t="s">
        <v>2292</v>
      </c>
    </row>
    <row r="1152">
      <c r="A1152" s="2" t="s">
        <v>2290</v>
      </c>
      <c r="B1152" s="2" t="s">
        <v>2457</v>
      </c>
      <c r="G1152" s="2" t="s">
        <v>2292</v>
      </c>
    </row>
    <row r="1153">
      <c r="A1153" s="2" t="s">
        <v>2290</v>
      </c>
      <c r="B1153" s="2" t="s">
        <v>2458</v>
      </c>
      <c r="G1153" s="2" t="s">
        <v>2292</v>
      </c>
    </row>
    <row r="1154">
      <c r="A1154" s="2" t="s">
        <v>2290</v>
      </c>
      <c r="B1154" s="2" t="s">
        <v>2459</v>
      </c>
      <c r="G1154" s="2" t="s">
        <v>2292</v>
      </c>
    </row>
    <row r="1155">
      <c r="A1155" s="2" t="s">
        <v>2290</v>
      </c>
      <c r="B1155" s="2" t="s">
        <v>2460</v>
      </c>
      <c r="G1155" s="2" t="s">
        <v>2292</v>
      </c>
    </row>
    <row r="1156">
      <c r="A1156" s="2" t="s">
        <v>2290</v>
      </c>
      <c r="B1156" s="2" t="s">
        <v>2462</v>
      </c>
      <c r="G1156" s="2" t="s">
        <v>2292</v>
      </c>
    </row>
    <row r="1157">
      <c r="A1157" s="2" t="s">
        <v>2290</v>
      </c>
      <c r="B1157" s="2" t="s">
        <v>2463</v>
      </c>
      <c r="G1157" s="2" t="s">
        <v>2292</v>
      </c>
    </row>
    <row r="1158">
      <c r="A1158" s="2" t="s">
        <v>2290</v>
      </c>
      <c r="B1158" s="2" t="s">
        <v>2464</v>
      </c>
      <c r="G1158" s="2" t="s">
        <v>2292</v>
      </c>
    </row>
    <row r="1159">
      <c r="A1159" s="2" t="s">
        <v>2290</v>
      </c>
      <c r="B1159" s="2" t="s">
        <v>2465</v>
      </c>
      <c r="G1159" s="2" t="s">
        <v>2292</v>
      </c>
    </row>
    <row r="1160">
      <c r="A1160" s="2" t="s">
        <v>2290</v>
      </c>
      <c r="B1160" s="2" t="s">
        <v>2466</v>
      </c>
      <c r="G1160" s="2" t="s">
        <v>2292</v>
      </c>
    </row>
    <row r="1161">
      <c r="A1161" s="2" t="s">
        <v>2290</v>
      </c>
      <c r="B1161" s="2" t="s">
        <v>2468</v>
      </c>
      <c r="G1161" s="2" t="s">
        <v>2292</v>
      </c>
    </row>
    <row r="1162">
      <c r="A1162" s="2" t="s">
        <v>2290</v>
      </c>
      <c r="B1162" s="2" t="s">
        <v>2469</v>
      </c>
      <c r="G1162" s="2" t="s">
        <v>2292</v>
      </c>
    </row>
    <row r="1163">
      <c r="A1163" s="2" t="s">
        <v>2290</v>
      </c>
      <c r="B1163" s="2" t="s">
        <v>2470</v>
      </c>
      <c r="G1163" s="2" t="s">
        <v>2471</v>
      </c>
    </row>
    <row r="1164">
      <c r="A1164" s="2" t="s">
        <v>2290</v>
      </c>
      <c r="B1164" s="2" t="s">
        <v>2472</v>
      </c>
      <c r="G1164" s="2" t="s">
        <v>2471</v>
      </c>
    </row>
    <row r="1165">
      <c r="A1165" s="2" t="s">
        <v>2290</v>
      </c>
      <c r="B1165" s="2" t="s">
        <v>2473</v>
      </c>
      <c r="G1165" s="2" t="s">
        <v>2471</v>
      </c>
    </row>
    <row r="1166">
      <c r="A1166" s="2" t="s">
        <v>2290</v>
      </c>
      <c r="B1166" s="2" t="s">
        <v>2474</v>
      </c>
      <c r="G1166" s="2" t="s">
        <v>2471</v>
      </c>
    </row>
    <row r="1167">
      <c r="A1167" s="2" t="s">
        <v>2290</v>
      </c>
      <c r="B1167" s="2" t="s">
        <v>2475</v>
      </c>
      <c r="G1167" s="2" t="s">
        <v>2471</v>
      </c>
    </row>
    <row r="1168">
      <c r="A1168" s="2" t="s">
        <v>2290</v>
      </c>
      <c r="B1168" s="2" t="s">
        <v>2476</v>
      </c>
      <c r="G1168" s="2" t="s">
        <v>2471</v>
      </c>
    </row>
    <row r="1169">
      <c r="A1169" s="2" t="s">
        <v>2290</v>
      </c>
      <c r="B1169" s="2" t="s">
        <v>2477</v>
      </c>
      <c r="G1169" s="2" t="s">
        <v>2471</v>
      </c>
    </row>
    <row r="1170">
      <c r="A1170" s="2" t="s">
        <v>2290</v>
      </c>
      <c r="B1170" s="2" t="s">
        <v>2479</v>
      </c>
      <c r="G1170" s="2" t="s">
        <v>2471</v>
      </c>
    </row>
    <row r="1171">
      <c r="A1171" s="2" t="s">
        <v>2290</v>
      </c>
      <c r="B1171" s="2" t="s">
        <v>2480</v>
      </c>
      <c r="G1171" s="2" t="s">
        <v>2471</v>
      </c>
    </row>
    <row r="1172">
      <c r="A1172" s="2" t="s">
        <v>2290</v>
      </c>
      <c r="B1172" s="2" t="s">
        <v>2481</v>
      </c>
      <c r="G1172" s="2" t="s">
        <v>2471</v>
      </c>
    </row>
    <row r="1173">
      <c r="A1173" s="2" t="s">
        <v>2290</v>
      </c>
      <c r="B1173" s="2" t="s">
        <v>2482</v>
      </c>
      <c r="G1173" s="2" t="s">
        <v>2471</v>
      </c>
    </row>
    <row r="1174">
      <c r="A1174" s="2" t="s">
        <v>2290</v>
      </c>
      <c r="B1174" s="2" t="s">
        <v>2483</v>
      </c>
      <c r="G1174" s="2" t="s">
        <v>2471</v>
      </c>
    </row>
    <row r="1175">
      <c r="A1175" s="2" t="s">
        <v>2290</v>
      </c>
      <c r="B1175" s="2" t="s">
        <v>2485</v>
      </c>
      <c r="G1175" s="2" t="s">
        <v>2471</v>
      </c>
    </row>
    <row r="1176">
      <c r="A1176" s="2" t="s">
        <v>2290</v>
      </c>
      <c r="B1176" s="2" t="s">
        <v>2486</v>
      </c>
      <c r="G1176" s="2" t="s">
        <v>2471</v>
      </c>
    </row>
    <row r="1177">
      <c r="A1177" s="2" t="s">
        <v>2290</v>
      </c>
      <c r="B1177" s="2" t="s">
        <v>2486</v>
      </c>
      <c r="G1177" s="2" t="s">
        <v>2471</v>
      </c>
    </row>
    <row r="1178">
      <c r="A1178" s="2" t="s">
        <v>2290</v>
      </c>
      <c r="B1178" s="2" t="s">
        <v>2487</v>
      </c>
      <c r="G1178" s="2" t="s">
        <v>2471</v>
      </c>
    </row>
    <row r="1179">
      <c r="A1179" s="2" t="s">
        <v>2290</v>
      </c>
      <c r="B1179" s="2" t="s">
        <v>2488</v>
      </c>
      <c r="G1179" s="2" t="s">
        <v>2471</v>
      </c>
    </row>
    <row r="1180">
      <c r="A1180" s="2" t="s">
        <v>2290</v>
      </c>
      <c r="B1180" s="2" t="s">
        <v>2488</v>
      </c>
      <c r="G1180" s="2" t="s">
        <v>2471</v>
      </c>
    </row>
    <row r="1181">
      <c r="A1181" s="2" t="s">
        <v>2290</v>
      </c>
      <c r="B1181" s="2" t="s">
        <v>2489</v>
      </c>
      <c r="G1181" s="2" t="s">
        <v>2471</v>
      </c>
    </row>
    <row r="1182">
      <c r="A1182" s="2" t="s">
        <v>2290</v>
      </c>
      <c r="B1182" s="2" t="s">
        <v>2489</v>
      </c>
      <c r="G1182" s="2" t="s">
        <v>2471</v>
      </c>
    </row>
    <row r="1183">
      <c r="A1183" s="2" t="s">
        <v>2290</v>
      </c>
      <c r="B1183" s="2" t="s">
        <v>2489</v>
      </c>
      <c r="G1183" s="2" t="s">
        <v>2471</v>
      </c>
    </row>
    <row r="1184">
      <c r="A1184" s="2" t="s">
        <v>2290</v>
      </c>
      <c r="B1184" s="2" t="s">
        <v>2491</v>
      </c>
      <c r="G1184" s="2" t="s">
        <v>2471</v>
      </c>
    </row>
    <row r="1185">
      <c r="A1185" s="2" t="s">
        <v>2290</v>
      </c>
      <c r="B1185" s="2" t="s">
        <v>2492</v>
      </c>
      <c r="G1185" s="2" t="s">
        <v>2471</v>
      </c>
    </row>
    <row r="1186">
      <c r="A1186" s="2" t="s">
        <v>2290</v>
      </c>
      <c r="B1186" s="2" t="s">
        <v>2494</v>
      </c>
      <c r="G1186" s="2" t="s">
        <v>2471</v>
      </c>
    </row>
    <row r="1187">
      <c r="A1187" s="2" t="s">
        <v>2290</v>
      </c>
      <c r="B1187" s="2" t="s">
        <v>2495</v>
      </c>
      <c r="G1187" s="2" t="s">
        <v>2471</v>
      </c>
    </row>
    <row r="1188">
      <c r="A1188" s="2" t="s">
        <v>2290</v>
      </c>
      <c r="B1188" s="2" t="s">
        <v>2495</v>
      </c>
      <c r="G1188" s="2" t="s">
        <v>2471</v>
      </c>
    </row>
    <row r="1189">
      <c r="A1189" s="2" t="s">
        <v>2290</v>
      </c>
      <c r="B1189" s="2" t="s">
        <v>2496</v>
      </c>
      <c r="G1189" s="2" t="s">
        <v>2471</v>
      </c>
    </row>
    <row r="1190">
      <c r="A1190" s="2" t="s">
        <v>2290</v>
      </c>
      <c r="B1190" s="2" t="s">
        <v>2497</v>
      </c>
      <c r="G1190" s="2" t="s">
        <v>2471</v>
      </c>
    </row>
    <row r="1191">
      <c r="A1191" s="2" t="s">
        <v>2290</v>
      </c>
      <c r="B1191" s="2" t="s">
        <v>2497</v>
      </c>
      <c r="G1191" s="2" t="s">
        <v>2471</v>
      </c>
    </row>
    <row r="1192">
      <c r="A1192" s="2" t="s">
        <v>2290</v>
      </c>
      <c r="B1192" s="2" t="s">
        <v>2498</v>
      </c>
      <c r="G1192" s="2" t="s">
        <v>2471</v>
      </c>
    </row>
    <row r="1193">
      <c r="A1193" s="2" t="s">
        <v>2290</v>
      </c>
      <c r="B1193" s="2" t="s">
        <v>2499</v>
      </c>
      <c r="G1193" s="2" t="s">
        <v>2471</v>
      </c>
    </row>
    <row r="1194">
      <c r="A1194" s="2" t="s">
        <v>2290</v>
      </c>
      <c r="B1194" s="2" t="s">
        <v>2500</v>
      </c>
      <c r="G1194" s="2" t="s">
        <v>2471</v>
      </c>
    </row>
    <row r="1195">
      <c r="A1195" s="2" t="s">
        <v>2290</v>
      </c>
      <c r="B1195" s="2" t="s">
        <v>2502</v>
      </c>
      <c r="G1195" s="2" t="s">
        <v>2471</v>
      </c>
    </row>
    <row r="1196">
      <c r="A1196" s="2" t="s">
        <v>2290</v>
      </c>
      <c r="B1196" s="2" t="s">
        <v>2504</v>
      </c>
      <c r="G1196" s="2" t="s">
        <v>2471</v>
      </c>
    </row>
    <row r="1197">
      <c r="A1197" s="2" t="s">
        <v>2290</v>
      </c>
      <c r="B1197" s="2" t="s">
        <v>2505</v>
      </c>
      <c r="G1197" s="2" t="s">
        <v>2471</v>
      </c>
    </row>
    <row r="1198">
      <c r="A1198" s="2" t="s">
        <v>2290</v>
      </c>
      <c r="B1198" s="2" t="s">
        <v>2470</v>
      </c>
      <c r="G1198" s="2" t="s">
        <v>2471</v>
      </c>
    </row>
    <row r="1199">
      <c r="A1199" s="2" t="s">
        <v>2290</v>
      </c>
      <c r="B1199" s="2" t="s">
        <v>2506</v>
      </c>
      <c r="G1199" s="2" t="s">
        <v>2471</v>
      </c>
    </row>
    <row r="1200">
      <c r="A1200" s="2" t="s">
        <v>2290</v>
      </c>
      <c r="B1200" s="2" t="s">
        <v>2507</v>
      </c>
      <c r="G1200" s="2" t="s">
        <v>2471</v>
      </c>
    </row>
    <row r="1201">
      <c r="A1201" s="2" t="s">
        <v>2290</v>
      </c>
      <c r="B1201" s="2" t="s">
        <v>2508</v>
      </c>
      <c r="G1201" s="2" t="s">
        <v>2471</v>
      </c>
    </row>
    <row r="1202">
      <c r="A1202" s="2" t="s">
        <v>2290</v>
      </c>
      <c r="B1202" s="2" t="s">
        <v>2509</v>
      </c>
      <c r="G1202" s="2" t="s">
        <v>2471</v>
      </c>
    </row>
    <row r="1203">
      <c r="A1203" s="2" t="s">
        <v>2290</v>
      </c>
      <c r="B1203" s="2" t="s">
        <v>2510</v>
      </c>
      <c r="G1203" s="2" t="s">
        <v>2471</v>
      </c>
    </row>
    <row r="1204">
      <c r="A1204" s="2" t="s">
        <v>2290</v>
      </c>
      <c r="B1204" s="2" t="s">
        <v>2511</v>
      </c>
      <c r="G1204" s="2" t="s">
        <v>2471</v>
      </c>
    </row>
    <row r="1205">
      <c r="A1205" s="2" t="s">
        <v>2290</v>
      </c>
      <c r="B1205" s="2" t="s">
        <v>2511</v>
      </c>
      <c r="G1205" s="2" t="s">
        <v>2471</v>
      </c>
    </row>
    <row r="1206">
      <c r="A1206" s="2" t="s">
        <v>2290</v>
      </c>
      <c r="B1206" s="2" t="s">
        <v>2511</v>
      </c>
      <c r="G1206" s="2" t="s">
        <v>2471</v>
      </c>
    </row>
    <row r="1207">
      <c r="A1207" s="2" t="s">
        <v>2290</v>
      </c>
      <c r="B1207" s="2" t="s">
        <v>2512</v>
      </c>
      <c r="G1207" s="2" t="s">
        <v>2471</v>
      </c>
    </row>
    <row r="1208">
      <c r="A1208" s="2" t="s">
        <v>2290</v>
      </c>
      <c r="B1208" s="2" t="s">
        <v>2512</v>
      </c>
      <c r="G1208" s="2" t="s">
        <v>2471</v>
      </c>
    </row>
    <row r="1209">
      <c r="A1209" s="2" t="s">
        <v>2290</v>
      </c>
      <c r="B1209" s="2" t="s">
        <v>2512</v>
      </c>
      <c r="G1209" s="2" t="s">
        <v>2471</v>
      </c>
    </row>
    <row r="1210">
      <c r="A1210" s="2" t="s">
        <v>2290</v>
      </c>
      <c r="B1210" s="2" t="s">
        <v>2513</v>
      </c>
      <c r="G1210" s="2" t="s">
        <v>2471</v>
      </c>
    </row>
    <row r="1211">
      <c r="A1211" s="2" t="s">
        <v>2290</v>
      </c>
      <c r="B1211" s="2" t="s">
        <v>2513</v>
      </c>
      <c r="G1211" s="2" t="s">
        <v>2471</v>
      </c>
    </row>
    <row r="1212">
      <c r="A1212" s="2" t="s">
        <v>2290</v>
      </c>
      <c r="B1212" s="2" t="s">
        <v>2513</v>
      </c>
      <c r="G1212" s="2" t="s">
        <v>2471</v>
      </c>
    </row>
    <row r="1213">
      <c r="A1213" s="2" t="s">
        <v>2290</v>
      </c>
      <c r="B1213" s="2" t="s">
        <v>2514</v>
      </c>
      <c r="G1213" s="2" t="s">
        <v>2471</v>
      </c>
    </row>
    <row r="1214">
      <c r="A1214" s="2" t="s">
        <v>2290</v>
      </c>
      <c r="B1214" s="2" t="s">
        <v>2514</v>
      </c>
      <c r="G1214" s="2" t="s">
        <v>2471</v>
      </c>
    </row>
    <row r="1215">
      <c r="A1215" s="2" t="s">
        <v>2290</v>
      </c>
      <c r="B1215" s="2" t="s">
        <v>2514</v>
      </c>
      <c r="G1215" s="2" t="s">
        <v>2471</v>
      </c>
    </row>
    <row r="1216">
      <c r="A1216" s="2" t="s">
        <v>2515</v>
      </c>
      <c r="B1216" s="2" t="s">
        <v>2516</v>
      </c>
      <c r="C1216" s="2" t="s">
        <v>2517</v>
      </c>
      <c r="D1216" s="2" t="s">
        <v>2518</v>
      </c>
    </row>
    <row r="1217">
      <c r="A1217" s="2" t="s">
        <v>2515</v>
      </c>
      <c r="B1217" s="2" t="s">
        <v>2519</v>
      </c>
      <c r="C1217" s="2" t="s">
        <v>2517</v>
      </c>
      <c r="D1217" s="2" t="s">
        <v>2518</v>
      </c>
    </row>
    <row r="1218">
      <c r="A1218" s="2" t="s">
        <v>2515</v>
      </c>
      <c r="B1218" s="2" t="s">
        <v>2520</v>
      </c>
      <c r="C1218" s="2" t="s">
        <v>2517</v>
      </c>
      <c r="D1218" s="2" t="s">
        <v>2518</v>
      </c>
    </row>
    <row r="1219">
      <c r="A1219" s="2" t="s">
        <v>2515</v>
      </c>
      <c r="B1219" s="2" t="s">
        <v>2521</v>
      </c>
      <c r="C1219" s="2" t="s">
        <v>2517</v>
      </c>
      <c r="D1219" s="2" t="s">
        <v>2518</v>
      </c>
    </row>
    <row r="1220">
      <c r="A1220" s="2" t="s">
        <v>2515</v>
      </c>
      <c r="B1220" s="2" t="s">
        <v>2522</v>
      </c>
      <c r="C1220" s="2" t="s">
        <v>2517</v>
      </c>
      <c r="D1220" s="2" t="s">
        <v>2518</v>
      </c>
    </row>
    <row r="1221">
      <c r="A1221" s="2" t="s">
        <v>2515</v>
      </c>
      <c r="B1221" s="2" t="s">
        <v>2525</v>
      </c>
      <c r="C1221" s="2" t="s">
        <v>2517</v>
      </c>
      <c r="D1221" s="2" t="s">
        <v>2518</v>
      </c>
    </row>
    <row r="1222">
      <c r="A1222" s="2" t="s">
        <v>2515</v>
      </c>
      <c r="B1222" s="2" t="s">
        <v>2528</v>
      </c>
      <c r="C1222" s="2" t="s">
        <v>2517</v>
      </c>
      <c r="D1222" s="2" t="s">
        <v>2518</v>
      </c>
    </row>
    <row r="1223">
      <c r="A1223" s="2" t="s">
        <v>2515</v>
      </c>
      <c r="B1223" s="2" t="s">
        <v>2529</v>
      </c>
      <c r="G1223" s="2" t="s">
        <v>2530</v>
      </c>
    </row>
    <row r="1224">
      <c r="A1224" s="2" t="s">
        <v>2515</v>
      </c>
      <c r="B1224" s="2" t="s">
        <v>2531</v>
      </c>
      <c r="G1224" s="2" t="s">
        <v>2530</v>
      </c>
    </row>
    <row r="1225">
      <c r="A1225" s="2" t="s">
        <v>2515</v>
      </c>
      <c r="B1225" s="2" t="s">
        <v>2532</v>
      </c>
      <c r="G1225" s="2" t="s">
        <v>2530</v>
      </c>
    </row>
    <row r="1226">
      <c r="A1226" s="2" t="s">
        <v>2515</v>
      </c>
      <c r="B1226" s="2" t="s">
        <v>2533</v>
      </c>
      <c r="G1226" s="2" t="s">
        <v>2530</v>
      </c>
    </row>
    <row r="1227">
      <c r="A1227" s="2" t="s">
        <v>2515</v>
      </c>
      <c r="B1227" s="2" t="s">
        <v>2534</v>
      </c>
      <c r="G1227" s="2" t="s">
        <v>2530</v>
      </c>
    </row>
    <row r="1228">
      <c r="A1228" s="2" t="s">
        <v>2515</v>
      </c>
      <c r="B1228" s="2" t="s">
        <v>2535</v>
      </c>
      <c r="G1228" s="2" t="s">
        <v>2530</v>
      </c>
    </row>
    <row r="1229">
      <c r="A1229" s="2" t="s">
        <v>2515</v>
      </c>
      <c r="B1229" s="2" t="s">
        <v>2536</v>
      </c>
      <c r="G1229" s="2" t="s">
        <v>2530</v>
      </c>
    </row>
    <row r="1230">
      <c r="A1230" s="2" t="s">
        <v>2515</v>
      </c>
      <c r="B1230" s="2" t="s">
        <v>2519</v>
      </c>
      <c r="G1230" s="2" t="s">
        <v>2530</v>
      </c>
    </row>
    <row r="1231">
      <c r="A1231" s="2" t="s">
        <v>2515</v>
      </c>
      <c r="B1231" s="2" t="s">
        <v>2538</v>
      </c>
      <c r="G1231" s="2" t="s">
        <v>2530</v>
      </c>
    </row>
    <row r="1232">
      <c r="A1232" s="2" t="s">
        <v>2515</v>
      </c>
      <c r="B1232" s="2" t="s">
        <v>2521</v>
      </c>
      <c r="G1232" s="2" t="s">
        <v>2530</v>
      </c>
    </row>
    <row r="1233">
      <c r="A1233" s="2" t="s">
        <v>2515</v>
      </c>
      <c r="B1233" s="2" t="s">
        <v>2522</v>
      </c>
      <c r="G1233" s="2" t="s">
        <v>2530</v>
      </c>
    </row>
    <row r="1234">
      <c r="A1234" s="2" t="s">
        <v>2515</v>
      </c>
      <c r="B1234" s="2" t="s">
        <v>2525</v>
      </c>
      <c r="G1234" s="2" t="s">
        <v>2530</v>
      </c>
    </row>
    <row r="1235">
      <c r="A1235" s="2" t="s">
        <v>2515</v>
      </c>
      <c r="B1235" s="2" t="s">
        <v>2539</v>
      </c>
      <c r="G1235" s="2" t="s">
        <v>2530</v>
      </c>
    </row>
    <row r="1236">
      <c r="A1236" s="2" t="s">
        <v>2515</v>
      </c>
      <c r="B1236" s="2" t="s">
        <v>2540</v>
      </c>
      <c r="G1236" s="2" t="s">
        <v>2530</v>
      </c>
    </row>
    <row r="1237">
      <c r="A1237" s="2" t="s">
        <v>2515</v>
      </c>
      <c r="B1237" s="2" t="s">
        <v>2541</v>
      </c>
      <c r="G1237" s="2" t="s">
        <v>2530</v>
      </c>
    </row>
    <row r="1238">
      <c r="A1238" s="2" t="s">
        <v>2515</v>
      </c>
      <c r="B1238" s="2" t="s">
        <v>2542</v>
      </c>
      <c r="G1238" s="2" t="s">
        <v>2530</v>
      </c>
    </row>
    <row r="1239">
      <c r="A1239" s="2" t="s">
        <v>2543</v>
      </c>
      <c r="B1239" s="2" t="s">
        <v>2544</v>
      </c>
      <c r="C1239" s="2" t="s">
        <v>2545</v>
      </c>
      <c r="D1239" s="2" t="s">
        <v>2546</v>
      </c>
    </row>
    <row r="1240">
      <c r="A1240" s="2" t="s">
        <v>2543</v>
      </c>
      <c r="B1240" s="2" t="s">
        <v>2547</v>
      </c>
      <c r="C1240" s="2" t="s">
        <v>2545</v>
      </c>
      <c r="D1240" s="2" t="s">
        <v>2546</v>
      </c>
    </row>
    <row r="1241">
      <c r="A1241" s="2" t="s">
        <v>2543</v>
      </c>
      <c r="B1241" s="2" t="s">
        <v>2548</v>
      </c>
      <c r="C1241" s="2" t="s">
        <v>2545</v>
      </c>
      <c r="D1241" s="2" t="s">
        <v>2546</v>
      </c>
    </row>
    <row r="1242">
      <c r="A1242" s="2" t="s">
        <v>2543</v>
      </c>
      <c r="B1242" s="2" t="s">
        <v>2549</v>
      </c>
      <c r="C1242" s="2" t="s">
        <v>2545</v>
      </c>
      <c r="D1242" s="2" t="s">
        <v>2546</v>
      </c>
    </row>
    <row r="1243">
      <c r="A1243" s="2" t="s">
        <v>2543</v>
      </c>
      <c r="B1243" s="2" t="s">
        <v>2550</v>
      </c>
      <c r="C1243" s="2" t="s">
        <v>2545</v>
      </c>
      <c r="D1243" s="2" t="s">
        <v>2546</v>
      </c>
    </row>
    <row r="1244">
      <c r="A1244" s="2" t="s">
        <v>2543</v>
      </c>
      <c r="B1244" s="2" t="s">
        <v>2551</v>
      </c>
      <c r="C1244" s="2" t="s">
        <v>2545</v>
      </c>
      <c r="D1244" s="2" t="s">
        <v>2546</v>
      </c>
    </row>
    <row r="1245">
      <c r="A1245" s="2" t="s">
        <v>2543</v>
      </c>
      <c r="B1245" s="2" t="s">
        <v>2553</v>
      </c>
      <c r="C1245" s="2" t="s">
        <v>2545</v>
      </c>
      <c r="D1245" s="2" t="s">
        <v>2546</v>
      </c>
    </row>
    <row r="1246">
      <c r="A1246" s="2" t="s">
        <v>2543</v>
      </c>
      <c r="B1246" s="2" t="s">
        <v>2554</v>
      </c>
      <c r="C1246" s="2" t="s">
        <v>2545</v>
      </c>
      <c r="D1246" s="2" t="s">
        <v>2546</v>
      </c>
    </row>
    <row r="1247">
      <c r="A1247" s="2" t="s">
        <v>2543</v>
      </c>
      <c r="B1247" s="2" t="s">
        <v>2555</v>
      </c>
      <c r="C1247" s="2" t="s">
        <v>2545</v>
      </c>
      <c r="D1247" s="2" t="s">
        <v>2546</v>
      </c>
    </row>
    <row r="1248">
      <c r="A1248" s="2" t="s">
        <v>2543</v>
      </c>
      <c r="B1248" s="2" t="s">
        <v>2556</v>
      </c>
      <c r="C1248" s="2" t="s">
        <v>2545</v>
      </c>
      <c r="D1248" s="2" t="s">
        <v>2546</v>
      </c>
    </row>
    <row r="1249">
      <c r="A1249" s="2" t="s">
        <v>2543</v>
      </c>
      <c r="B1249" s="2" t="s">
        <v>2557</v>
      </c>
      <c r="C1249" s="2" t="s">
        <v>2545</v>
      </c>
      <c r="D1249" s="2" t="s">
        <v>2546</v>
      </c>
    </row>
    <row r="1250">
      <c r="A1250" s="2" t="s">
        <v>2543</v>
      </c>
      <c r="B1250" s="2" t="s">
        <v>2558</v>
      </c>
      <c r="C1250" s="2" t="s">
        <v>2545</v>
      </c>
      <c r="D1250" s="2" t="s">
        <v>2546</v>
      </c>
    </row>
    <row r="1251">
      <c r="A1251" s="2" t="s">
        <v>2543</v>
      </c>
      <c r="B1251" s="2" t="s">
        <v>2559</v>
      </c>
      <c r="C1251" s="2" t="s">
        <v>2545</v>
      </c>
      <c r="D1251" s="2" t="s">
        <v>2546</v>
      </c>
    </row>
    <row r="1252">
      <c r="A1252" s="2" t="s">
        <v>2543</v>
      </c>
      <c r="B1252" s="2" t="s">
        <v>2560</v>
      </c>
      <c r="C1252" s="2" t="s">
        <v>2545</v>
      </c>
      <c r="D1252" s="2" t="s">
        <v>2546</v>
      </c>
    </row>
    <row r="1253">
      <c r="A1253" s="2" t="s">
        <v>2543</v>
      </c>
      <c r="B1253" s="2" t="s">
        <v>2562</v>
      </c>
      <c r="C1253" s="2" t="s">
        <v>2545</v>
      </c>
      <c r="D1253" s="2" t="s">
        <v>2546</v>
      </c>
    </row>
    <row r="1254">
      <c r="A1254" s="2" t="s">
        <v>2543</v>
      </c>
      <c r="B1254" s="2" t="s">
        <v>2563</v>
      </c>
      <c r="C1254" s="2" t="s">
        <v>2545</v>
      </c>
      <c r="D1254" s="2" t="s">
        <v>2546</v>
      </c>
    </row>
    <row r="1255">
      <c r="A1255" s="2" t="s">
        <v>2543</v>
      </c>
      <c r="B1255" s="2" t="s">
        <v>2564</v>
      </c>
      <c r="C1255" s="2" t="s">
        <v>2545</v>
      </c>
      <c r="D1255" s="2" t="s">
        <v>2546</v>
      </c>
    </row>
    <row r="1256">
      <c r="A1256" s="2" t="s">
        <v>2543</v>
      </c>
      <c r="B1256" s="2" t="s">
        <v>2565</v>
      </c>
      <c r="C1256" s="2" t="s">
        <v>2545</v>
      </c>
      <c r="D1256" s="2" t="s">
        <v>2546</v>
      </c>
    </row>
    <row r="1257">
      <c r="A1257" s="2" t="s">
        <v>2543</v>
      </c>
      <c r="B1257" s="2" t="s">
        <v>2566</v>
      </c>
      <c r="C1257" s="2" t="s">
        <v>2545</v>
      </c>
      <c r="D1257" s="2" t="s">
        <v>2546</v>
      </c>
    </row>
    <row r="1258">
      <c r="A1258" s="2" t="s">
        <v>2543</v>
      </c>
      <c r="B1258" s="2" t="s">
        <v>2568</v>
      </c>
      <c r="C1258" s="2" t="s">
        <v>2545</v>
      </c>
      <c r="D1258" s="2" t="s">
        <v>2546</v>
      </c>
    </row>
    <row r="1259">
      <c r="A1259" s="2" t="s">
        <v>2543</v>
      </c>
      <c r="B1259" s="2" t="s">
        <v>2569</v>
      </c>
      <c r="C1259" s="2" t="s">
        <v>2545</v>
      </c>
      <c r="D1259" s="2" t="s">
        <v>2546</v>
      </c>
    </row>
    <row r="1260">
      <c r="A1260" s="2" t="s">
        <v>2543</v>
      </c>
      <c r="B1260" s="2" t="s">
        <v>2570</v>
      </c>
      <c r="C1260" s="2" t="s">
        <v>2545</v>
      </c>
      <c r="D1260" s="2" t="s">
        <v>2546</v>
      </c>
    </row>
    <row r="1261">
      <c r="A1261" s="2" t="s">
        <v>2543</v>
      </c>
      <c r="B1261" s="2" t="s">
        <v>2571</v>
      </c>
      <c r="C1261" s="2" t="s">
        <v>2545</v>
      </c>
      <c r="D1261" s="2" t="s">
        <v>2546</v>
      </c>
    </row>
    <row r="1262">
      <c r="A1262" s="2" t="s">
        <v>2543</v>
      </c>
      <c r="B1262" s="2" t="s">
        <v>2572</v>
      </c>
      <c r="C1262" s="2" t="s">
        <v>2545</v>
      </c>
      <c r="D1262" s="2" t="s">
        <v>2546</v>
      </c>
    </row>
    <row r="1263">
      <c r="A1263" s="2" t="s">
        <v>2543</v>
      </c>
      <c r="B1263" s="2" t="s">
        <v>2573</v>
      </c>
      <c r="C1263" s="2" t="s">
        <v>2545</v>
      </c>
      <c r="D1263" s="2" t="s">
        <v>2546</v>
      </c>
    </row>
    <row r="1264">
      <c r="A1264" s="2" t="s">
        <v>2543</v>
      </c>
      <c r="B1264" s="2" t="s">
        <v>2574</v>
      </c>
      <c r="C1264" s="2" t="s">
        <v>2545</v>
      </c>
      <c r="D1264" s="2" t="s">
        <v>2546</v>
      </c>
    </row>
    <row r="1265">
      <c r="A1265" s="2" t="s">
        <v>2543</v>
      </c>
      <c r="B1265" s="2" t="s">
        <v>2575</v>
      </c>
      <c r="C1265" s="2" t="s">
        <v>2545</v>
      </c>
      <c r="D1265" s="2" t="s">
        <v>2546</v>
      </c>
    </row>
    <row r="1266">
      <c r="A1266" s="2" t="s">
        <v>2543</v>
      </c>
      <c r="B1266" s="2" t="s">
        <v>2578</v>
      </c>
      <c r="C1266" s="2" t="s">
        <v>2545</v>
      </c>
      <c r="D1266" s="2" t="s">
        <v>2546</v>
      </c>
    </row>
    <row r="1267">
      <c r="A1267" s="2" t="s">
        <v>2543</v>
      </c>
      <c r="B1267" s="2" t="s">
        <v>2580</v>
      </c>
      <c r="C1267" s="2" t="s">
        <v>2545</v>
      </c>
      <c r="D1267" s="2" t="s">
        <v>2546</v>
      </c>
    </row>
    <row r="1268">
      <c r="A1268" s="2" t="s">
        <v>2543</v>
      </c>
      <c r="B1268" s="2" t="s">
        <v>2582</v>
      </c>
      <c r="C1268" s="2" t="s">
        <v>2545</v>
      </c>
      <c r="D1268" s="2" t="s">
        <v>2546</v>
      </c>
    </row>
    <row r="1269">
      <c r="A1269" s="2" t="s">
        <v>2543</v>
      </c>
      <c r="B1269" s="2" t="s">
        <v>2583</v>
      </c>
      <c r="C1269" s="2" t="s">
        <v>2545</v>
      </c>
      <c r="D1269" s="2" t="s">
        <v>2546</v>
      </c>
    </row>
    <row r="1270">
      <c r="A1270" s="2" t="s">
        <v>2543</v>
      </c>
      <c r="B1270" s="2" t="s">
        <v>2584</v>
      </c>
      <c r="C1270" s="2" t="s">
        <v>2545</v>
      </c>
      <c r="D1270" s="2" t="s">
        <v>2546</v>
      </c>
    </row>
    <row r="1271">
      <c r="A1271" s="2" t="s">
        <v>2543</v>
      </c>
      <c r="B1271" s="2" t="s">
        <v>2585</v>
      </c>
      <c r="C1271" s="2" t="s">
        <v>2545</v>
      </c>
      <c r="D1271" s="2" t="s">
        <v>2546</v>
      </c>
    </row>
    <row r="1272">
      <c r="A1272" s="2" t="s">
        <v>2543</v>
      </c>
      <c r="B1272" s="2" t="s">
        <v>2586</v>
      </c>
      <c r="C1272" s="2" t="s">
        <v>2545</v>
      </c>
      <c r="D1272" s="2" t="s">
        <v>2546</v>
      </c>
    </row>
    <row r="1273">
      <c r="A1273" s="2" t="s">
        <v>2543</v>
      </c>
      <c r="B1273" s="2" t="s">
        <v>2587</v>
      </c>
      <c r="C1273" s="2" t="s">
        <v>2545</v>
      </c>
      <c r="D1273" s="2" t="s">
        <v>2546</v>
      </c>
    </row>
    <row r="1274">
      <c r="A1274" s="2" t="s">
        <v>2543</v>
      </c>
      <c r="B1274" s="2" t="s">
        <v>2588</v>
      </c>
      <c r="C1274" s="2" t="s">
        <v>2545</v>
      </c>
      <c r="D1274" s="2" t="s">
        <v>2546</v>
      </c>
    </row>
    <row r="1275">
      <c r="A1275" s="2" t="s">
        <v>2543</v>
      </c>
      <c r="B1275" s="2" t="s">
        <v>2589</v>
      </c>
      <c r="C1275" s="2" t="s">
        <v>2545</v>
      </c>
      <c r="D1275" s="2" t="s">
        <v>2546</v>
      </c>
    </row>
    <row r="1276">
      <c r="A1276" s="2" t="s">
        <v>2543</v>
      </c>
      <c r="B1276" s="2" t="s">
        <v>2590</v>
      </c>
      <c r="C1276" s="2" t="s">
        <v>2545</v>
      </c>
      <c r="D1276" s="2" t="s">
        <v>2546</v>
      </c>
    </row>
    <row r="1277">
      <c r="A1277" s="2" t="s">
        <v>2543</v>
      </c>
      <c r="B1277" s="2" t="s">
        <v>2591</v>
      </c>
      <c r="C1277" s="2" t="s">
        <v>2545</v>
      </c>
      <c r="D1277" s="2" t="s">
        <v>2546</v>
      </c>
    </row>
    <row r="1278">
      <c r="A1278" s="2" t="s">
        <v>2543</v>
      </c>
      <c r="B1278" s="2" t="s">
        <v>2592</v>
      </c>
      <c r="C1278" s="2" t="s">
        <v>2545</v>
      </c>
      <c r="D1278" s="2" t="s">
        <v>2546</v>
      </c>
    </row>
    <row r="1279">
      <c r="A1279" s="2" t="s">
        <v>2543</v>
      </c>
      <c r="B1279" s="2" t="s">
        <v>2594</v>
      </c>
      <c r="C1279" s="2" t="s">
        <v>2545</v>
      </c>
      <c r="D1279" s="2" t="s">
        <v>2546</v>
      </c>
    </row>
    <row r="1280">
      <c r="A1280" s="2" t="s">
        <v>2543</v>
      </c>
      <c r="B1280" s="2" t="s">
        <v>2596</v>
      </c>
      <c r="C1280" s="2" t="s">
        <v>2545</v>
      </c>
      <c r="D1280" s="2" t="s">
        <v>2546</v>
      </c>
    </row>
    <row r="1281">
      <c r="A1281" s="2" t="s">
        <v>2543</v>
      </c>
      <c r="B1281" s="2" t="s">
        <v>2597</v>
      </c>
      <c r="C1281" s="2" t="s">
        <v>2545</v>
      </c>
      <c r="D1281" s="2" t="s">
        <v>2546</v>
      </c>
    </row>
    <row r="1282">
      <c r="A1282" s="2" t="s">
        <v>2543</v>
      </c>
      <c r="B1282" s="2" t="s">
        <v>2598</v>
      </c>
      <c r="C1282" s="2" t="s">
        <v>2545</v>
      </c>
      <c r="D1282" s="2" t="s">
        <v>2546</v>
      </c>
    </row>
    <row r="1283">
      <c r="A1283" s="2" t="s">
        <v>2543</v>
      </c>
      <c r="B1283" s="2" t="s">
        <v>2599</v>
      </c>
      <c r="C1283" s="2" t="s">
        <v>2545</v>
      </c>
      <c r="D1283" s="2" t="s">
        <v>2546</v>
      </c>
    </row>
    <row r="1284">
      <c r="A1284" s="2" t="s">
        <v>2543</v>
      </c>
      <c r="B1284" s="2" t="s">
        <v>2600</v>
      </c>
      <c r="C1284" s="2" t="s">
        <v>2545</v>
      </c>
      <c r="D1284" s="2" t="s">
        <v>2546</v>
      </c>
    </row>
    <row r="1285">
      <c r="A1285" s="2" t="s">
        <v>2543</v>
      </c>
      <c r="B1285" s="2" t="s">
        <v>2601</v>
      </c>
      <c r="C1285" s="2" t="s">
        <v>2545</v>
      </c>
      <c r="D1285" s="2" t="s">
        <v>2546</v>
      </c>
    </row>
    <row r="1286">
      <c r="A1286" s="2" t="s">
        <v>2543</v>
      </c>
      <c r="B1286" s="2" t="s">
        <v>2602</v>
      </c>
      <c r="C1286" s="2" t="s">
        <v>2545</v>
      </c>
      <c r="D1286" s="2" t="s">
        <v>2546</v>
      </c>
    </row>
    <row r="1287">
      <c r="A1287" s="2" t="s">
        <v>2543</v>
      </c>
      <c r="B1287" s="2" t="s">
        <v>2604</v>
      </c>
      <c r="C1287" s="2" t="s">
        <v>2545</v>
      </c>
      <c r="D1287" s="2" t="s">
        <v>2546</v>
      </c>
    </row>
    <row r="1288">
      <c r="A1288" s="2" t="s">
        <v>2543</v>
      </c>
      <c r="B1288" s="2" t="s">
        <v>2605</v>
      </c>
      <c r="C1288" s="2" t="s">
        <v>2545</v>
      </c>
      <c r="D1288" s="2" t="s">
        <v>2546</v>
      </c>
    </row>
    <row r="1289">
      <c r="A1289" s="2" t="s">
        <v>2543</v>
      </c>
      <c r="B1289" s="2" t="s">
        <v>2606</v>
      </c>
      <c r="C1289" s="2" t="s">
        <v>2545</v>
      </c>
      <c r="D1289" s="2" t="s">
        <v>2546</v>
      </c>
    </row>
    <row r="1290">
      <c r="A1290" s="2" t="s">
        <v>2543</v>
      </c>
      <c r="B1290" s="2" t="s">
        <v>2607</v>
      </c>
      <c r="C1290" s="2" t="s">
        <v>2545</v>
      </c>
      <c r="D1290" s="2" t="s">
        <v>2546</v>
      </c>
    </row>
    <row r="1291">
      <c r="A1291" s="2" t="s">
        <v>2543</v>
      </c>
      <c r="B1291" s="2" t="s">
        <v>2609</v>
      </c>
      <c r="C1291" s="2" t="s">
        <v>2545</v>
      </c>
      <c r="D1291" s="2" t="s">
        <v>2546</v>
      </c>
    </row>
    <row r="1292">
      <c r="A1292" s="2" t="s">
        <v>2543</v>
      </c>
      <c r="B1292" s="2" t="s">
        <v>2610</v>
      </c>
      <c r="C1292" s="2" t="s">
        <v>2545</v>
      </c>
      <c r="D1292" s="2" t="s">
        <v>2546</v>
      </c>
    </row>
    <row r="1293">
      <c r="A1293" s="2" t="s">
        <v>2543</v>
      </c>
      <c r="B1293" s="2" t="s">
        <v>2611</v>
      </c>
      <c r="C1293" s="2" t="s">
        <v>2545</v>
      </c>
      <c r="D1293" s="2" t="s">
        <v>2546</v>
      </c>
    </row>
    <row r="1294">
      <c r="A1294" s="2" t="s">
        <v>2543</v>
      </c>
      <c r="B1294" s="2" t="s">
        <v>2612</v>
      </c>
      <c r="C1294" s="2" t="s">
        <v>2545</v>
      </c>
      <c r="D1294" s="2" t="s">
        <v>2546</v>
      </c>
    </row>
    <row r="1295">
      <c r="A1295" s="2" t="s">
        <v>2543</v>
      </c>
      <c r="B1295" s="2" t="s">
        <v>2613</v>
      </c>
      <c r="C1295" s="2" t="s">
        <v>2545</v>
      </c>
      <c r="D1295" s="2" t="s">
        <v>2546</v>
      </c>
    </row>
    <row r="1296">
      <c r="A1296" s="2" t="s">
        <v>2543</v>
      </c>
      <c r="B1296" s="2" t="s">
        <v>2614</v>
      </c>
      <c r="C1296" s="2" t="s">
        <v>2545</v>
      </c>
      <c r="D1296" s="2" t="s">
        <v>2546</v>
      </c>
    </row>
    <row r="1297">
      <c r="A1297" s="2" t="s">
        <v>2543</v>
      </c>
      <c r="B1297" s="2" t="s">
        <v>2615</v>
      </c>
      <c r="C1297" s="2" t="s">
        <v>2545</v>
      </c>
      <c r="D1297" s="2" t="s">
        <v>2546</v>
      </c>
    </row>
    <row r="1298">
      <c r="A1298" s="2" t="s">
        <v>2543</v>
      </c>
      <c r="B1298" s="2" t="s">
        <v>2617</v>
      </c>
      <c r="C1298" s="2" t="s">
        <v>2545</v>
      </c>
      <c r="D1298" s="2" t="s">
        <v>2546</v>
      </c>
    </row>
    <row r="1299">
      <c r="A1299" s="2" t="s">
        <v>2543</v>
      </c>
      <c r="B1299" s="2" t="s">
        <v>2619</v>
      </c>
      <c r="C1299" s="2" t="s">
        <v>2545</v>
      </c>
      <c r="D1299" s="2" t="s">
        <v>2546</v>
      </c>
    </row>
    <row r="1300">
      <c r="A1300" s="2" t="s">
        <v>2543</v>
      </c>
      <c r="B1300" s="2" t="s">
        <v>2620</v>
      </c>
      <c r="C1300" s="2" t="s">
        <v>2545</v>
      </c>
      <c r="D1300" s="2" t="s">
        <v>2546</v>
      </c>
    </row>
    <row r="1301">
      <c r="A1301" s="2" t="s">
        <v>2543</v>
      </c>
      <c r="B1301" s="2" t="s">
        <v>2621</v>
      </c>
      <c r="C1301" s="2" t="s">
        <v>2545</v>
      </c>
      <c r="D1301" s="2" t="s">
        <v>2546</v>
      </c>
    </row>
    <row r="1302">
      <c r="A1302" s="2" t="s">
        <v>2543</v>
      </c>
      <c r="B1302" s="2" t="s">
        <v>2622</v>
      </c>
      <c r="C1302" s="2" t="s">
        <v>2545</v>
      </c>
      <c r="D1302" s="2" t="s">
        <v>2546</v>
      </c>
    </row>
    <row r="1303">
      <c r="A1303" s="2" t="s">
        <v>2543</v>
      </c>
      <c r="B1303" s="2" t="s">
        <v>2623</v>
      </c>
      <c r="C1303" s="2" t="s">
        <v>2545</v>
      </c>
      <c r="D1303" s="2" t="s">
        <v>2546</v>
      </c>
    </row>
    <row r="1304">
      <c r="A1304" s="2" t="s">
        <v>2543</v>
      </c>
      <c r="B1304" s="2" t="s">
        <v>2624</v>
      </c>
      <c r="C1304" s="2" t="s">
        <v>2545</v>
      </c>
      <c r="D1304" s="2" t="s">
        <v>2546</v>
      </c>
    </row>
    <row r="1305">
      <c r="A1305" s="2" t="s">
        <v>2543</v>
      </c>
      <c r="B1305" s="2" t="s">
        <v>2625</v>
      </c>
      <c r="C1305" s="2" t="s">
        <v>2545</v>
      </c>
      <c r="D1305" s="2" t="s">
        <v>2546</v>
      </c>
    </row>
    <row r="1306">
      <c r="A1306" s="2" t="s">
        <v>2543</v>
      </c>
      <c r="B1306" s="2" t="s">
        <v>2626</v>
      </c>
      <c r="C1306" s="2" t="s">
        <v>2545</v>
      </c>
      <c r="D1306" s="2" t="s">
        <v>2546</v>
      </c>
    </row>
    <row r="1307">
      <c r="A1307" s="2" t="s">
        <v>2543</v>
      </c>
      <c r="B1307" s="2" t="s">
        <v>2627</v>
      </c>
      <c r="C1307" s="2" t="s">
        <v>2545</v>
      </c>
      <c r="D1307" s="2" t="s">
        <v>2546</v>
      </c>
    </row>
    <row r="1308">
      <c r="A1308" s="2" t="s">
        <v>2543</v>
      </c>
      <c r="B1308" s="2" t="s">
        <v>2628</v>
      </c>
      <c r="C1308" s="2" t="s">
        <v>2545</v>
      </c>
      <c r="D1308" s="2" t="s">
        <v>2546</v>
      </c>
    </row>
    <row r="1309">
      <c r="A1309" s="2" t="s">
        <v>2543</v>
      </c>
      <c r="B1309" s="2" t="s">
        <v>2629</v>
      </c>
      <c r="C1309" s="2" t="s">
        <v>2545</v>
      </c>
      <c r="D1309" s="2" t="s">
        <v>2546</v>
      </c>
    </row>
    <row r="1310">
      <c r="A1310" s="2" t="s">
        <v>2543</v>
      </c>
      <c r="B1310" s="2" t="s">
        <v>2631</v>
      </c>
      <c r="C1310" s="2" t="s">
        <v>2545</v>
      </c>
      <c r="D1310" s="2" t="s">
        <v>2546</v>
      </c>
    </row>
    <row r="1311">
      <c r="A1311" s="2" t="s">
        <v>2543</v>
      </c>
      <c r="B1311" s="2" t="s">
        <v>2632</v>
      </c>
      <c r="C1311" s="2" t="s">
        <v>2545</v>
      </c>
      <c r="D1311" s="2" t="s">
        <v>2546</v>
      </c>
    </row>
    <row r="1312">
      <c r="A1312" s="2" t="s">
        <v>2543</v>
      </c>
      <c r="B1312" s="2" t="s">
        <v>2633</v>
      </c>
      <c r="C1312" s="2" t="s">
        <v>2545</v>
      </c>
      <c r="D1312" s="2" t="s">
        <v>2546</v>
      </c>
    </row>
    <row r="1313">
      <c r="A1313" s="2" t="s">
        <v>2543</v>
      </c>
      <c r="B1313" s="2" t="s">
        <v>2634</v>
      </c>
      <c r="C1313" s="2" t="s">
        <v>2545</v>
      </c>
      <c r="D1313" s="2" t="s">
        <v>2546</v>
      </c>
    </row>
    <row r="1314">
      <c r="A1314" s="2" t="s">
        <v>2543</v>
      </c>
      <c r="B1314" s="2" t="s">
        <v>2635</v>
      </c>
      <c r="C1314" s="2" t="s">
        <v>2545</v>
      </c>
      <c r="D1314" s="2" t="s">
        <v>2546</v>
      </c>
    </row>
    <row r="1315">
      <c r="A1315" s="2" t="s">
        <v>2543</v>
      </c>
      <c r="B1315" s="2" t="s">
        <v>2636</v>
      </c>
      <c r="C1315" s="2" t="s">
        <v>2545</v>
      </c>
      <c r="D1315" s="2" t="s">
        <v>2546</v>
      </c>
    </row>
    <row r="1316">
      <c r="A1316" s="2" t="s">
        <v>2543</v>
      </c>
      <c r="B1316" s="2" t="s">
        <v>2637</v>
      </c>
      <c r="C1316" s="2" t="s">
        <v>2545</v>
      </c>
      <c r="D1316" s="2" t="s">
        <v>2546</v>
      </c>
    </row>
    <row r="1317">
      <c r="A1317" s="2" t="s">
        <v>2543</v>
      </c>
      <c r="B1317" s="2" t="s">
        <v>2638</v>
      </c>
      <c r="C1317" s="2" t="s">
        <v>2545</v>
      </c>
      <c r="D1317" s="2" t="s">
        <v>2546</v>
      </c>
    </row>
    <row r="1318">
      <c r="A1318" s="2" t="s">
        <v>2543</v>
      </c>
      <c r="B1318" s="2" t="s">
        <v>2640</v>
      </c>
      <c r="C1318" s="2" t="s">
        <v>2545</v>
      </c>
      <c r="D1318" s="2" t="s">
        <v>2546</v>
      </c>
    </row>
    <row r="1319">
      <c r="A1319" s="2" t="s">
        <v>2543</v>
      </c>
      <c r="B1319" s="2" t="s">
        <v>2641</v>
      </c>
      <c r="C1319" s="2" t="s">
        <v>2545</v>
      </c>
      <c r="D1319" s="2" t="s">
        <v>2546</v>
      </c>
    </row>
    <row r="1320">
      <c r="A1320" s="2" t="s">
        <v>2543</v>
      </c>
      <c r="B1320" s="2" t="s">
        <v>2642</v>
      </c>
      <c r="C1320" s="2" t="s">
        <v>2545</v>
      </c>
      <c r="D1320" s="2" t="s">
        <v>2546</v>
      </c>
    </row>
    <row r="1321">
      <c r="A1321" s="2" t="s">
        <v>2543</v>
      </c>
      <c r="B1321" s="2" t="s">
        <v>2643</v>
      </c>
      <c r="C1321" s="2" t="s">
        <v>2545</v>
      </c>
      <c r="D1321" s="2" t="s">
        <v>2546</v>
      </c>
    </row>
    <row r="1322">
      <c r="A1322" s="2" t="s">
        <v>2543</v>
      </c>
      <c r="B1322" s="2" t="s">
        <v>2644</v>
      </c>
      <c r="C1322" s="2" t="s">
        <v>2545</v>
      </c>
      <c r="D1322" s="2" t="s">
        <v>2546</v>
      </c>
    </row>
    <row r="1323">
      <c r="A1323" s="2" t="s">
        <v>2543</v>
      </c>
      <c r="B1323" s="2" t="s">
        <v>2646</v>
      </c>
      <c r="C1323" s="2" t="s">
        <v>2545</v>
      </c>
      <c r="D1323" s="2" t="s">
        <v>2546</v>
      </c>
    </row>
    <row r="1324">
      <c r="A1324" s="2" t="s">
        <v>2543</v>
      </c>
      <c r="B1324" s="2" t="s">
        <v>2647</v>
      </c>
      <c r="C1324" s="2" t="s">
        <v>2545</v>
      </c>
      <c r="D1324" s="2" t="s">
        <v>2546</v>
      </c>
    </row>
    <row r="1325">
      <c r="A1325" s="2" t="s">
        <v>2543</v>
      </c>
      <c r="B1325" s="2" t="s">
        <v>2648</v>
      </c>
      <c r="C1325" s="2" t="s">
        <v>2545</v>
      </c>
      <c r="D1325" s="2" t="s">
        <v>2546</v>
      </c>
    </row>
    <row r="1326">
      <c r="A1326" s="2" t="s">
        <v>2543</v>
      </c>
      <c r="B1326" s="2" t="s">
        <v>2649</v>
      </c>
      <c r="C1326" s="2" t="s">
        <v>2545</v>
      </c>
      <c r="D1326" s="2" t="s">
        <v>2546</v>
      </c>
    </row>
    <row r="1327">
      <c r="A1327" s="2" t="s">
        <v>2543</v>
      </c>
      <c r="B1327" s="2" t="s">
        <v>2650</v>
      </c>
      <c r="C1327" s="2" t="s">
        <v>2545</v>
      </c>
      <c r="D1327" s="2" t="s">
        <v>2546</v>
      </c>
    </row>
    <row r="1328">
      <c r="A1328" s="2" t="s">
        <v>2543</v>
      </c>
      <c r="B1328" s="2" t="s">
        <v>2651</v>
      </c>
      <c r="C1328" s="2" t="s">
        <v>2545</v>
      </c>
      <c r="D1328" s="2" t="s">
        <v>2546</v>
      </c>
    </row>
    <row r="1329">
      <c r="A1329" s="2" t="s">
        <v>2543</v>
      </c>
      <c r="B1329" s="2" t="s">
        <v>2652</v>
      </c>
      <c r="C1329" s="2" t="s">
        <v>2545</v>
      </c>
      <c r="D1329" s="2" t="s">
        <v>2546</v>
      </c>
    </row>
    <row r="1330">
      <c r="A1330" s="2" t="s">
        <v>2543</v>
      </c>
      <c r="B1330" s="2" t="s">
        <v>2653</v>
      </c>
      <c r="C1330" s="2" t="s">
        <v>2545</v>
      </c>
      <c r="D1330" s="2" t="s">
        <v>2546</v>
      </c>
    </row>
    <row r="1331">
      <c r="A1331" s="2" t="s">
        <v>2543</v>
      </c>
      <c r="B1331" s="2" t="s">
        <v>2655</v>
      </c>
      <c r="C1331" s="2" t="s">
        <v>2545</v>
      </c>
      <c r="D1331" s="2" t="s">
        <v>2546</v>
      </c>
    </row>
    <row r="1332">
      <c r="A1332" s="2" t="s">
        <v>2543</v>
      </c>
      <c r="B1332" s="2" t="s">
        <v>2656</v>
      </c>
      <c r="C1332" s="2" t="s">
        <v>2545</v>
      </c>
      <c r="D1332" s="2" t="s">
        <v>2546</v>
      </c>
    </row>
    <row r="1333">
      <c r="A1333" s="2" t="s">
        <v>2543</v>
      </c>
      <c r="B1333" s="2" t="s">
        <v>2657</v>
      </c>
      <c r="C1333" s="2" t="s">
        <v>2545</v>
      </c>
      <c r="D1333" s="2" t="s">
        <v>2546</v>
      </c>
    </row>
    <row r="1334">
      <c r="A1334" s="2" t="s">
        <v>2543</v>
      </c>
      <c r="B1334" s="2" t="s">
        <v>2658</v>
      </c>
      <c r="C1334" s="2" t="s">
        <v>2545</v>
      </c>
      <c r="D1334" s="2" t="s">
        <v>2546</v>
      </c>
    </row>
    <row r="1335">
      <c r="A1335" s="2" t="s">
        <v>2543</v>
      </c>
      <c r="B1335" s="2" t="s">
        <v>2659</v>
      </c>
      <c r="C1335" s="2" t="s">
        <v>2545</v>
      </c>
      <c r="D1335" s="2" t="s">
        <v>2546</v>
      </c>
    </row>
    <row r="1336">
      <c r="A1336" s="2" t="s">
        <v>2543</v>
      </c>
      <c r="B1336" s="2" t="s">
        <v>2661</v>
      </c>
      <c r="C1336" s="2" t="s">
        <v>2545</v>
      </c>
      <c r="D1336" s="2" t="s">
        <v>2546</v>
      </c>
    </row>
    <row r="1337">
      <c r="A1337" s="2" t="s">
        <v>2543</v>
      </c>
      <c r="B1337" s="2" t="s">
        <v>2662</v>
      </c>
      <c r="C1337" s="2" t="s">
        <v>2545</v>
      </c>
      <c r="D1337" s="2" t="s">
        <v>2546</v>
      </c>
    </row>
    <row r="1338">
      <c r="A1338" s="2" t="s">
        <v>2543</v>
      </c>
      <c r="B1338" s="2" t="s">
        <v>2663</v>
      </c>
      <c r="C1338" s="2" t="s">
        <v>2545</v>
      </c>
      <c r="D1338" s="2" t="s">
        <v>2546</v>
      </c>
    </row>
    <row r="1339">
      <c r="A1339" s="2" t="s">
        <v>2543</v>
      </c>
      <c r="B1339" s="2" t="s">
        <v>2664</v>
      </c>
      <c r="C1339" s="2" t="s">
        <v>2545</v>
      </c>
      <c r="D1339" s="2" t="s">
        <v>2546</v>
      </c>
    </row>
    <row r="1340">
      <c r="A1340" s="2" t="s">
        <v>2543</v>
      </c>
      <c r="B1340" s="2" t="s">
        <v>2665</v>
      </c>
      <c r="C1340" s="2" t="s">
        <v>2545</v>
      </c>
      <c r="D1340" s="2" t="s">
        <v>2546</v>
      </c>
    </row>
    <row r="1341">
      <c r="A1341" s="2" t="s">
        <v>2543</v>
      </c>
      <c r="B1341" s="2" t="s">
        <v>2666</v>
      </c>
      <c r="C1341" s="2" t="s">
        <v>2545</v>
      </c>
      <c r="D1341" s="2" t="s">
        <v>2546</v>
      </c>
    </row>
    <row r="1342">
      <c r="A1342" s="2" t="s">
        <v>2543</v>
      </c>
      <c r="B1342" s="2" t="s">
        <v>2667</v>
      </c>
      <c r="C1342" s="2" t="s">
        <v>2545</v>
      </c>
      <c r="D1342" s="2" t="s">
        <v>2546</v>
      </c>
    </row>
    <row r="1343">
      <c r="A1343" s="2" t="s">
        <v>2543</v>
      </c>
      <c r="B1343" s="2" t="s">
        <v>2668</v>
      </c>
      <c r="C1343" s="2" t="s">
        <v>2545</v>
      </c>
      <c r="D1343" s="2" t="s">
        <v>2546</v>
      </c>
    </row>
    <row r="1344">
      <c r="A1344" s="2" t="s">
        <v>2543</v>
      </c>
      <c r="B1344" s="2" t="s">
        <v>2669</v>
      </c>
      <c r="C1344" s="2" t="s">
        <v>2545</v>
      </c>
      <c r="D1344" s="2" t="s">
        <v>2546</v>
      </c>
    </row>
    <row r="1345">
      <c r="A1345" s="2" t="s">
        <v>2543</v>
      </c>
      <c r="B1345" s="2" t="s">
        <v>2670</v>
      </c>
      <c r="C1345" s="2" t="s">
        <v>2545</v>
      </c>
      <c r="D1345" s="2" t="s">
        <v>2546</v>
      </c>
    </row>
    <row r="1346">
      <c r="A1346" s="2" t="s">
        <v>2543</v>
      </c>
      <c r="B1346" s="2" t="s">
        <v>2671</v>
      </c>
      <c r="C1346" s="2" t="s">
        <v>2545</v>
      </c>
      <c r="D1346" s="2" t="s">
        <v>2546</v>
      </c>
    </row>
    <row r="1347">
      <c r="A1347" s="2" t="s">
        <v>2543</v>
      </c>
      <c r="B1347" s="2" t="s">
        <v>2673</v>
      </c>
      <c r="C1347" s="2" t="s">
        <v>2545</v>
      </c>
      <c r="D1347" s="2" t="s">
        <v>2546</v>
      </c>
    </row>
    <row r="1348">
      <c r="A1348" s="2" t="s">
        <v>2543</v>
      </c>
      <c r="B1348" s="2" t="s">
        <v>2674</v>
      </c>
      <c r="C1348" s="2" t="s">
        <v>2545</v>
      </c>
      <c r="D1348" s="2" t="s">
        <v>2546</v>
      </c>
    </row>
    <row r="1349">
      <c r="A1349" s="2" t="s">
        <v>2543</v>
      </c>
      <c r="B1349" s="2" t="s">
        <v>2675</v>
      </c>
      <c r="C1349" s="2" t="s">
        <v>2545</v>
      </c>
      <c r="D1349" s="2" t="s">
        <v>2546</v>
      </c>
    </row>
    <row r="1350">
      <c r="A1350" s="2" t="s">
        <v>2543</v>
      </c>
      <c r="B1350" s="2" t="s">
        <v>2676</v>
      </c>
      <c r="C1350" s="2" t="s">
        <v>2545</v>
      </c>
      <c r="D1350" s="2" t="s">
        <v>2546</v>
      </c>
    </row>
    <row r="1351">
      <c r="A1351" s="2" t="s">
        <v>2543</v>
      </c>
      <c r="B1351" s="2" t="s">
        <v>2677</v>
      </c>
      <c r="C1351" s="2" t="s">
        <v>2545</v>
      </c>
      <c r="D1351" s="2" t="s">
        <v>2546</v>
      </c>
    </row>
    <row r="1352">
      <c r="A1352" s="2" t="s">
        <v>2543</v>
      </c>
      <c r="B1352" s="2" t="s">
        <v>2678</v>
      </c>
      <c r="C1352" s="2" t="s">
        <v>2545</v>
      </c>
      <c r="D1352" s="2" t="s">
        <v>2546</v>
      </c>
    </row>
    <row r="1353">
      <c r="A1353" s="2" t="s">
        <v>2543</v>
      </c>
      <c r="B1353" s="2" t="s">
        <v>2679</v>
      </c>
      <c r="C1353" s="2" t="s">
        <v>2545</v>
      </c>
      <c r="D1353" s="2" t="s">
        <v>2546</v>
      </c>
    </row>
    <row r="1354">
      <c r="A1354" s="2" t="s">
        <v>2543</v>
      </c>
      <c r="B1354" s="2" t="s">
        <v>2680</v>
      </c>
      <c r="C1354" s="2" t="s">
        <v>2545</v>
      </c>
      <c r="D1354" s="2" t="s">
        <v>2546</v>
      </c>
    </row>
    <row r="1355">
      <c r="A1355" s="2" t="s">
        <v>2543</v>
      </c>
      <c r="B1355" s="2" t="s">
        <v>2681</v>
      </c>
      <c r="C1355" s="2" t="s">
        <v>2545</v>
      </c>
      <c r="D1355" s="2" t="s">
        <v>2546</v>
      </c>
    </row>
    <row r="1356">
      <c r="A1356" s="2" t="s">
        <v>2543</v>
      </c>
      <c r="B1356" s="2" t="s">
        <v>2682</v>
      </c>
      <c r="C1356" s="2" t="s">
        <v>2545</v>
      </c>
      <c r="D1356" s="2" t="s">
        <v>2546</v>
      </c>
    </row>
    <row r="1357">
      <c r="A1357" s="2" t="s">
        <v>2543</v>
      </c>
      <c r="B1357" s="2" t="s">
        <v>2683</v>
      </c>
      <c r="C1357" s="2" t="s">
        <v>2545</v>
      </c>
      <c r="D1357" s="2" t="s">
        <v>2546</v>
      </c>
    </row>
    <row r="1358">
      <c r="A1358" s="2" t="s">
        <v>2543</v>
      </c>
      <c r="B1358" s="2" t="s">
        <v>2685</v>
      </c>
      <c r="C1358" s="2" t="s">
        <v>2545</v>
      </c>
      <c r="D1358" s="2" t="s">
        <v>2546</v>
      </c>
    </row>
    <row r="1359">
      <c r="A1359" s="2" t="s">
        <v>2543</v>
      </c>
      <c r="B1359" s="2" t="s">
        <v>2686</v>
      </c>
      <c r="C1359" s="2" t="s">
        <v>2545</v>
      </c>
      <c r="D1359" s="2" t="s">
        <v>2546</v>
      </c>
    </row>
    <row r="1360">
      <c r="A1360" s="2" t="s">
        <v>2543</v>
      </c>
      <c r="B1360" s="2" t="s">
        <v>2687</v>
      </c>
      <c r="C1360" s="2" t="s">
        <v>2545</v>
      </c>
      <c r="D1360" s="2" t="s">
        <v>2546</v>
      </c>
    </row>
    <row r="1361">
      <c r="A1361" s="2" t="s">
        <v>2543</v>
      </c>
      <c r="B1361" s="2" t="s">
        <v>2688</v>
      </c>
      <c r="C1361" s="2" t="s">
        <v>2545</v>
      </c>
      <c r="D1361" s="2" t="s">
        <v>2546</v>
      </c>
    </row>
    <row r="1362">
      <c r="A1362" s="2" t="s">
        <v>2543</v>
      </c>
      <c r="B1362" s="2" t="s">
        <v>2689</v>
      </c>
      <c r="C1362" s="2" t="s">
        <v>2545</v>
      </c>
      <c r="D1362" s="2" t="s">
        <v>2546</v>
      </c>
    </row>
    <row r="1363">
      <c r="A1363" s="2" t="s">
        <v>2543</v>
      </c>
      <c r="B1363" s="2" t="s">
        <v>2691</v>
      </c>
      <c r="C1363" s="2" t="s">
        <v>2545</v>
      </c>
      <c r="D1363" s="2" t="s">
        <v>2546</v>
      </c>
    </row>
    <row r="1364">
      <c r="A1364" s="2" t="s">
        <v>2543</v>
      </c>
      <c r="B1364" s="2" t="s">
        <v>2692</v>
      </c>
      <c r="C1364" s="2" t="s">
        <v>2545</v>
      </c>
      <c r="D1364" s="2" t="s">
        <v>2546</v>
      </c>
    </row>
    <row r="1365">
      <c r="A1365" s="2" t="s">
        <v>2543</v>
      </c>
      <c r="B1365" s="2" t="s">
        <v>2693</v>
      </c>
      <c r="C1365" s="2" t="s">
        <v>2545</v>
      </c>
      <c r="D1365" s="2" t="s">
        <v>2546</v>
      </c>
    </row>
    <row r="1366">
      <c r="A1366" s="2" t="s">
        <v>2543</v>
      </c>
      <c r="B1366" s="2" t="s">
        <v>2694</v>
      </c>
      <c r="C1366" s="2" t="s">
        <v>2545</v>
      </c>
      <c r="D1366" s="2" t="s">
        <v>2546</v>
      </c>
    </row>
    <row r="1367">
      <c r="A1367" s="2" t="s">
        <v>2543</v>
      </c>
      <c r="B1367" s="2" t="s">
        <v>2695</v>
      </c>
      <c r="C1367" s="2" t="s">
        <v>2545</v>
      </c>
      <c r="D1367" s="2" t="s">
        <v>2546</v>
      </c>
    </row>
    <row r="1368">
      <c r="A1368" s="2" t="s">
        <v>2543</v>
      </c>
      <c r="B1368" s="2" t="s">
        <v>2696</v>
      </c>
      <c r="C1368" s="2" t="s">
        <v>2545</v>
      </c>
      <c r="D1368" s="2" t="s">
        <v>2546</v>
      </c>
    </row>
    <row r="1369">
      <c r="A1369" s="2" t="s">
        <v>2543</v>
      </c>
      <c r="B1369" s="2" t="s">
        <v>2697</v>
      </c>
      <c r="C1369" s="2" t="s">
        <v>2545</v>
      </c>
      <c r="D1369" s="2" t="s">
        <v>2546</v>
      </c>
    </row>
    <row r="1370">
      <c r="A1370" s="2" t="s">
        <v>2543</v>
      </c>
      <c r="B1370" s="2" t="s">
        <v>2698</v>
      </c>
      <c r="C1370" s="2" t="s">
        <v>2545</v>
      </c>
      <c r="D1370" s="2" t="s">
        <v>2546</v>
      </c>
    </row>
    <row r="1371">
      <c r="A1371" s="2" t="s">
        <v>2543</v>
      </c>
      <c r="B1371" s="2" t="s">
        <v>2699</v>
      </c>
      <c r="C1371" s="2" t="s">
        <v>2545</v>
      </c>
      <c r="D1371" s="2" t="s">
        <v>2546</v>
      </c>
    </row>
    <row r="1372">
      <c r="A1372" s="2" t="s">
        <v>2543</v>
      </c>
      <c r="B1372" s="2" t="s">
        <v>2700</v>
      </c>
      <c r="C1372" s="2" t="s">
        <v>2545</v>
      </c>
      <c r="D1372" s="2" t="s">
        <v>2546</v>
      </c>
    </row>
    <row r="1373">
      <c r="A1373" s="2" t="s">
        <v>2543</v>
      </c>
      <c r="B1373" s="2" t="s">
        <v>2701</v>
      </c>
      <c r="C1373" s="2" t="s">
        <v>2545</v>
      </c>
      <c r="D1373" s="2" t="s">
        <v>2546</v>
      </c>
    </row>
    <row r="1374">
      <c r="A1374" s="2" t="s">
        <v>2543</v>
      </c>
      <c r="B1374" s="2" t="s">
        <v>2702</v>
      </c>
      <c r="C1374" s="2" t="s">
        <v>2545</v>
      </c>
      <c r="D1374" s="2" t="s">
        <v>2546</v>
      </c>
    </row>
    <row r="1375">
      <c r="A1375" s="2" t="s">
        <v>2703</v>
      </c>
      <c r="B1375" s="2" t="s">
        <v>2704</v>
      </c>
      <c r="C1375" s="2" t="s">
        <v>2705</v>
      </c>
      <c r="D1375" s="2" t="s">
        <v>2706</v>
      </c>
    </row>
    <row r="1376">
      <c r="A1376" s="2" t="s">
        <v>2703</v>
      </c>
      <c r="B1376" s="2" t="s">
        <v>2707</v>
      </c>
      <c r="C1376" s="2" t="s">
        <v>2705</v>
      </c>
      <c r="D1376" s="2" t="s">
        <v>2706</v>
      </c>
    </row>
    <row r="1377">
      <c r="A1377" s="2" t="s">
        <v>2703</v>
      </c>
      <c r="B1377" s="2" t="s">
        <v>2708</v>
      </c>
      <c r="C1377" s="2" t="s">
        <v>2705</v>
      </c>
      <c r="D1377" s="2" t="s">
        <v>2706</v>
      </c>
    </row>
    <row r="1378">
      <c r="A1378" s="2" t="s">
        <v>2703</v>
      </c>
      <c r="B1378" s="2" t="s">
        <v>2709</v>
      </c>
      <c r="C1378" s="2" t="s">
        <v>2705</v>
      </c>
      <c r="D1378" s="2" t="s">
        <v>2706</v>
      </c>
    </row>
    <row r="1379">
      <c r="A1379" s="2" t="s">
        <v>2703</v>
      </c>
      <c r="B1379" s="2" t="s">
        <v>2711</v>
      </c>
      <c r="C1379" s="2" t="s">
        <v>2705</v>
      </c>
      <c r="D1379" s="2" t="s">
        <v>2706</v>
      </c>
    </row>
    <row r="1380">
      <c r="A1380" s="2" t="s">
        <v>2703</v>
      </c>
      <c r="B1380" s="2" t="s">
        <v>2712</v>
      </c>
      <c r="C1380" s="2" t="s">
        <v>2705</v>
      </c>
      <c r="D1380" s="2" t="s">
        <v>2706</v>
      </c>
    </row>
    <row r="1381">
      <c r="A1381" s="2" t="s">
        <v>2703</v>
      </c>
      <c r="B1381" s="2" t="s">
        <v>2713</v>
      </c>
      <c r="C1381" s="2" t="s">
        <v>2705</v>
      </c>
      <c r="D1381" s="2" t="s">
        <v>2706</v>
      </c>
    </row>
    <row r="1382">
      <c r="A1382" s="2" t="s">
        <v>2703</v>
      </c>
      <c r="B1382" s="2" t="s">
        <v>2714</v>
      </c>
      <c r="C1382" s="2" t="s">
        <v>2705</v>
      </c>
      <c r="D1382" s="2" t="s">
        <v>2706</v>
      </c>
    </row>
    <row r="1383">
      <c r="A1383" s="2" t="s">
        <v>2703</v>
      </c>
      <c r="B1383" s="2" t="s">
        <v>2715</v>
      </c>
      <c r="C1383" s="2" t="s">
        <v>2705</v>
      </c>
      <c r="D1383" s="2" t="s">
        <v>2706</v>
      </c>
    </row>
    <row r="1384">
      <c r="A1384" s="2" t="s">
        <v>2703</v>
      </c>
      <c r="B1384" s="2" t="s">
        <v>2716</v>
      </c>
      <c r="C1384" s="2" t="s">
        <v>2705</v>
      </c>
      <c r="D1384" s="2" t="s">
        <v>2706</v>
      </c>
    </row>
    <row r="1385">
      <c r="A1385" s="2" t="s">
        <v>2703</v>
      </c>
      <c r="B1385" s="2" t="s">
        <v>2717</v>
      </c>
      <c r="C1385" s="2" t="s">
        <v>2705</v>
      </c>
      <c r="D1385" s="2" t="s">
        <v>2706</v>
      </c>
    </row>
    <row r="1386">
      <c r="A1386" s="2" t="s">
        <v>2703</v>
      </c>
      <c r="B1386" s="2" t="s">
        <v>2718</v>
      </c>
      <c r="C1386" s="2" t="s">
        <v>2705</v>
      </c>
      <c r="D1386" s="2" t="s">
        <v>2706</v>
      </c>
    </row>
    <row r="1387">
      <c r="A1387" s="2" t="s">
        <v>2703</v>
      </c>
      <c r="B1387" s="2" t="s">
        <v>2719</v>
      </c>
      <c r="C1387" s="2" t="s">
        <v>2705</v>
      </c>
      <c r="D1387" s="2" t="s">
        <v>2706</v>
      </c>
    </row>
    <row r="1388">
      <c r="A1388" s="2" t="s">
        <v>2703</v>
      </c>
      <c r="B1388" s="2" t="s">
        <v>2721</v>
      </c>
      <c r="C1388" s="2" t="s">
        <v>2705</v>
      </c>
      <c r="D1388" s="2" t="s">
        <v>2706</v>
      </c>
    </row>
    <row r="1389">
      <c r="A1389" s="2" t="s">
        <v>2703</v>
      </c>
      <c r="B1389" s="2" t="s">
        <v>2722</v>
      </c>
      <c r="C1389" s="2" t="s">
        <v>2705</v>
      </c>
      <c r="D1389" s="2" t="s">
        <v>2706</v>
      </c>
    </row>
    <row r="1390">
      <c r="A1390" s="2" t="s">
        <v>2703</v>
      </c>
      <c r="B1390" s="2" t="s">
        <v>2723</v>
      </c>
      <c r="C1390" s="2" t="s">
        <v>2705</v>
      </c>
      <c r="D1390" s="2" t="s">
        <v>2706</v>
      </c>
    </row>
    <row r="1391">
      <c r="A1391" s="2" t="s">
        <v>2703</v>
      </c>
      <c r="B1391" s="2" t="s">
        <v>2724</v>
      </c>
      <c r="C1391" s="2" t="s">
        <v>2705</v>
      </c>
      <c r="D1391" s="2" t="s">
        <v>2706</v>
      </c>
    </row>
    <row r="1392">
      <c r="A1392" s="2" t="s">
        <v>2703</v>
      </c>
      <c r="B1392" s="2" t="s">
        <v>2725</v>
      </c>
      <c r="C1392" s="2" t="s">
        <v>2705</v>
      </c>
      <c r="D1392" s="2" t="s">
        <v>2706</v>
      </c>
    </row>
    <row r="1393">
      <c r="A1393" s="2" t="s">
        <v>2703</v>
      </c>
      <c r="B1393" s="2" t="s">
        <v>2727</v>
      </c>
      <c r="C1393" s="2" t="s">
        <v>2705</v>
      </c>
      <c r="D1393" s="2" t="s">
        <v>2706</v>
      </c>
    </row>
    <row r="1394">
      <c r="A1394" s="2" t="s">
        <v>2703</v>
      </c>
      <c r="B1394" s="2" t="s">
        <v>2728</v>
      </c>
      <c r="C1394" s="2" t="s">
        <v>2705</v>
      </c>
      <c r="D1394" s="2" t="s">
        <v>2706</v>
      </c>
    </row>
    <row r="1395">
      <c r="A1395" s="2" t="s">
        <v>2703</v>
      </c>
      <c r="B1395" s="2" t="s">
        <v>2729</v>
      </c>
      <c r="C1395" s="2" t="s">
        <v>2705</v>
      </c>
      <c r="D1395" s="2" t="s">
        <v>2706</v>
      </c>
    </row>
    <row r="1396">
      <c r="A1396" s="2" t="s">
        <v>2703</v>
      </c>
      <c r="B1396" s="2" t="s">
        <v>2730</v>
      </c>
      <c r="C1396" s="2" t="s">
        <v>2705</v>
      </c>
      <c r="D1396" s="2" t="s">
        <v>2706</v>
      </c>
    </row>
    <row r="1397">
      <c r="A1397" s="2" t="s">
        <v>2703</v>
      </c>
      <c r="B1397" s="2" t="s">
        <v>2731</v>
      </c>
      <c r="C1397" s="2" t="s">
        <v>2705</v>
      </c>
      <c r="D1397" s="2" t="s">
        <v>2706</v>
      </c>
    </row>
    <row r="1398">
      <c r="A1398" s="2" t="s">
        <v>2703</v>
      </c>
      <c r="B1398" s="2" t="s">
        <v>2732</v>
      </c>
      <c r="C1398" s="2" t="s">
        <v>2705</v>
      </c>
      <c r="D1398" s="2" t="s">
        <v>2706</v>
      </c>
    </row>
    <row r="1399">
      <c r="A1399" s="2" t="s">
        <v>2703</v>
      </c>
      <c r="B1399" s="2" t="s">
        <v>2733</v>
      </c>
      <c r="C1399" s="2" t="s">
        <v>2705</v>
      </c>
      <c r="D1399" s="2" t="s">
        <v>2706</v>
      </c>
    </row>
    <row r="1400">
      <c r="A1400" s="2" t="s">
        <v>2703</v>
      </c>
      <c r="B1400" s="2" t="s">
        <v>2734</v>
      </c>
      <c r="C1400" s="2" t="s">
        <v>2705</v>
      </c>
      <c r="D1400" s="2" t="s">
        <v>2706</v>
      </c>
    </row>
    <row r="1401">
      <c r="A1401" s="2" t="s">
        <v>2703</v>
      </c>
      <c r="B1401" s="2" t="s">
        <v>2736</v>
      </c>
      <c r="C1401" s="2" t="s">
        <v>2705</v>
      </c>
      <c r="D1401" s="2" t="s">
        <v>2706</v>
      </c>
    </row>
    <row r="1402">
      <c r="A1402" s="2" t="s">
        <v>2703</v>
      </c>
      <c r="B1402" s="2" t="s">
        <v>2737</v>
      </c>
      <c r="C1402" s="2" t="s">
        <v>2738</v>
      </c>
      <c r="D1402" s="2" t="s">
        <v>2739</v>
      </c>
    </row>
    <row r="1403">
      <c r="A1403" s="2" t="s">
        <v>2703</v>
      </c>
      <c r="B1403" s="2" t="s">
        <v>2740</v>
      </c>
      <c r="C1403" s="2" t="s">
        <v>2738</v>
      </c>
      <c r="D1403" s="2" t="s">
        <v>2739</v>
      </c>
    </row>
    <row r="1404">
      <c r="A1404" s="2" t="s">
        <v>2703</v>
      </c>
      <c r="B1404" s="2" t="s">
        <v>2741</v>
      </c>
      <c r="C1404" s="2" t="s">
        <v>2738</v>
      </c>
      <c r="D1404" s="2" t="s">
        <v>2739</v>
      </c>
    </row>
    <row r="1405">
      <c r="A1405" s="2" t="s">
        <v>2703</v>
      </c>
      <c r="B1405" s="2" t="s">
        <v>2743</v>
      </c>
      <c r="C1405" s="2" t="s">
        <v>2738</v>
      </c>
      <c r="D1405" s="2" t="s">
        <v>2739</v>
      </c>
    </row>
    <row r="1406">
      <c r="A1406" s="2" t="s">
        <v>2703</v>
      </c>
      <c r="B1406" s="2" t="s">
        <v>2744</v>
      </c>
      <c r="C1406" s="2" t="s">
        <v>2738</v>
      </c>
      <c r="D1406" s="2" t="s">
        <v>2739</v>
      </c>
    </row>
    <row r="1407">
      <c r="A1407" s="2" t="s">
        <v>2703</v>
      </c>
      <c r="B1407" s="2" t="s">
        <v>2721</v>
      </c>
      <c r="C1407" s="2" t="s">
        <v>2738</v>
      </c>
      <c r="D1407" s="2" t="s">
        <v>2739</v>
      </c>
    </row>
    <row r="1408">
      <c r="A1408" s="2" t="s">
        <v>2703</v>
      </c>
      <c r="B1408" s="2" t="s">
        <v>2745</v>
      </c>
      <c r="C1408" s="2" t="s">
        <v>2738</v>
      </c>
      <c r="D1408" s="2" t="s">
        <v>2739</v>
      </c>
    </row>
    <row r="1409">
      <c r="A1409" s="2" t="s">
        <v>2703</v>
      </c>
      <c r="B1409" s="2" t="s">
        <v>2746</v>
      </c>
      <c r="C1409" s="2" t="s">
        <v>2738</v>
      </c>
      <c r="D1409" s="2" t="s">
        <v>2739</v>
      </c>
    </row>
    <row r="1410">
      <c r="A1410" s="2" t="s">
        <v>2703</v>
      </c>
      <c r="B1410" s="2" t="s">
        <v>2747</v>
      </c>
      <c r="C1410" s="2" t="s">
        <v>2738</v>
      </c>
      <c r="D1410" s="2" t="s">
        <v>2739</v>
      </c>
    </row>
    <row r="1411">
      <c r="A1411" s="2" t="s">
        <v>2703</v>
      </c>
      <c r="B1411" s="2" t="s">
        <v>2748</v>
      </c>
      <c r="C1411" s="2" t="s">
        <v>2738</v>
      </c>
      <c r="D1411" s="2" t="s">
        <v>2739</v>
      </c>
    </row>
    <row r="1412">
      <c r="A1412" s="2" t="s">
        <v>2703</v>
      </c>
      <c r="B1412" s="2" t="s">
        <v>2749</v>
      </c>
      <c r="C1412" s="2" t="s">
        <v>2738</v>
      </c>
      <c r="D1412" s="2" t="s">
        <v>2739</v>
      </c>
    </row>
    <row r="1413">
      <c r="A1413" s="2" t="s">
        <v>2703</v>
      </c>
      <c r="B1413" s="2" t="s">
        <v>2751</v>
      </c>
      <c r="C1413" s="2" t="s">
        <v>2738</v>
      </c>
      <c r="D1413" s="2" t="s">
        <v>2739</v>
      </c>
    </row>
    <row r="1414">
      <c r="A1414" s="2" t="s">
        <v>2703</v>
      </c>
      <c r="B1414" s="2" t="s">
        <v>2752</v>
      </c>
      <c r="C1414" s="2" t="s">
        <v>2738</v>
      </c>
      <c r="D1414" s="2" t="s">
        <v>2739</v>
      </c>
    </row>
    <row r="1415">
      <c r="A1415" s="2" t="s">
        <v>2703</v>
      </c>
      <c r="B1415" s="2" t="s">
        <v>2753</v>
      </c>
      <c r="C1415" s="2" t="s">
        <v>2738</v>
      </c>
      <c r="D1415" s="2" t="s">
        <v>2739</v>
      </c>
    </row>
    <row r="1416">
      <c r="A1416" s="2" t="s">
        <v>2703</v>
      </c>
      <c r="B1416" s="2" t="s">
        <v>2731</v>
      </c>
      <c r="C1416" s="2" t="s">
        <v>2738</v>
      </c>
      <c r="D1416" s="2" t="s">
        <v>2739</v>
      </c>
    </row>
    <row r="1417">
      <c r="A1417" s="2" t="s">
        <v>2703</v>
      </c>
      <c r="B1417" s="2" t="s">
        <v>2754</v>
      </c>
      <c r="C1417" s="2" t="s">
        <v>2738</v>
      </c>
      <c r="D1417" s="2" t="s">
        <v>2739</v>
      </c>
    </row>
    <row r="1418">
      <c r="A1418" s="2" t="s">
        <v>2703</v>
      </c>
      <c r="B1418" s="2" t="s">
        <v>2732</v>
      </c>
      <c r="C1418" s="2" t="s">
        <v>2738</v>
      </c>
      <c r="D1418" s="2" t="s">
        <v>2739</v>
      </c>
    </row>
    <row r="1419">
      <c r="A1419" s="2" t="s">
        <v>2703</v>
      </c>
      <c r="B1419" s="2" t="s">
        <v>2733</v>
      </c>
      <c r="C1419" s="2" t="s">
        <v>2738</v>
      </c>
      <c r="D1419" s="2" t="s">
        <v>2739</v>
      </c>
    </row>
    <row r="1420">
      <c r="A1420" s="2" t="s">
        <v>2703</v>
      </c>
      <c r="B1420" s="2" t="s">
        <v>2734</v>
      </c>
      <c r="C1420" s="2" t="s">
        <v>2738</v>
      </c>
      <c r="D1420" s="2" t="s">
        <v>2739</v>
      </c>
    </row>
    <row r="1421">
      <c r="A1421" s="2" t="s">
        <v>2703</v>
      </c>
      <c r="B1421" s="2" t="s">
        <v>2755</v>
      </c>
      <c r="C1421" s="2" t="s">
        <v>2738</v>
      </c>
      <c r="D1421" s="2" t="s">
        <v>2739</v>
      </c>
    </row>
    <row r="1422">
      <c r="A1422" s="2" t="s">
        <v>2703</v>
      </c>
      <c r="B1422" s="2" t="s">
        <v>2756</v>
      </c>
      <c r="C1422" s="2" t="s">
        <v>2738</v>
      </c>
      <c r="D1422" s="2" t="s">
        <v>2739</v>
      </c>
    </row>
    <row r="1423">
      <c r="A1423" s="2" t="s">
        <v>2703</v>
      </c>
      <c r="B1423" s="2" t="s">
        <v>2758</v>
      </c>
      <c r="C1423" s="2" t="s">
        <v>2738</v>
      </c>
      <c r="D1423" s="2" t="s">
        <v>2739</v>
      </c>
    </row>
    <row r="1424">
      <c r="A1424" s="2" t="s">
        <v>2703</v>
      </c>
      <c r="B1424" s="2" t="s">
        <v>2760</v>
      </c>
      <c r="C1424" s="2" t="s">
        <v>2738</v>
      </c>
      <c r="D1424" s="2" t="s">
        <v>2739</v>
      </c>
    </row>
    <row r="1425">
      <c r="A1425" s="2" t="s">
        <v>2703</v>
      </c>
      <c r="B1425" s="2" t="s">
        <v>2761</v>
      </c>
      <c r="C1425" s="2" t="s">
        <v>2738</v>
      </c>
      <c r="D1425" s="2" t="s">
        <v>2739</v>
      </c>
    </row>
    <row r="1426">
      <c r="A1426" s="2" t="s">
        <v>2703</v>
      </c>
      <c r="B1426" s="2" t="s">
        <v>2762</v>
      </c>
      <c r="G1426" s="2" t="s">
        <v>2763</v>
      </c>
    </row>
    <row r="1427">
      <c r="A1427" s="2" t="s">
        <v>2703</v>
      </c>
      <c r="B1427" s="2" t="s">
        <v>2764</v>
      </c>
      <c r="G1427" s="2" t="s">
        <v>2763</v>
      </c>
    </row>
    <row r="1428">
      <c r="A1428" s="2" t="s">
        <v>2703</v>
      </c>
      <c r="B1428" s="2" t="s">
        <v>2765</v>
      </c>
      <c r="G1428" s="2" t="s">
        <v>2763</v>
      </c>
    </row>
    <row r="1429">
      <c r="A1429" s="2" t="s">
        <v>2703</v>
      </c>
      <c r="B1429" s="2" t="s">
        <v>2724</v>
      </c>
      <c r="G1429" s="2" t="s">
        <v>2763</v>
      </c>
    </row>
    <row r="1430">
      <c r="A1430" s="2" t="s">
        <v>2703</v>
      </c>
      <c r="B1430" s="2" t="s">
        <v>2766</v>
      </c>
      <c r="G1430" s="2" t="s">
        <v>2763</v>
      </c>
    </row>
    <row r="1431">
      <c r="A1431" s="2" t="s">
        <v>2703</v>
      </c>
      <c r="B1431" s="2" t="s">
        <v>2767</v>
      </c>
      <c r="G1431" s="2" t="s">
        <v>2763</v>
      </c>
    </row>
    <row r="1432">
      <c r="A1432" s="2" t="s">
        <v>2768</v>
      </c>
      <c r="B1432" s="2">
        <v>1172016.0</v>
      </c>
      <c r="C1432" s="2" t="s">
        <v>2769</v>
      </c>
      <c r="D1432" s="2" t="s">
        <v>2770</v>
      </c>
    </row>
    <row r="1433">
      <c r="A1433" s="2" t="s">
        <v>2768</v>
      </c>
      <c r="B1433" s="2">
        <v>1.2152015E7</v>
      </c>
      <c r="C1433" s="2" t="s">
        <v>2769</v>
      </c>
      <c r="D1433" s="2" t="s">
        <v>2770</v>
      </c>
    </row>
    <row r="1434">
      <c r="A1434" s="2" t="s">
        <v>2768</v>
      </c>
      <c r="B1434" s="2">
        <v>1.2292015E7</v>
      </c>
      <c r="C1434" s="2" t="s">
        <v>2769</v>
      </c>
      <c r="D1434" s="2" t="s">
        <v>2770</v>
      </c>
    </row>
    <row r="1435">
      <c r="A1435" s="2" t="s">
        <v>2768</v>
      </c>
      <c r="B1435" s="2" t="s">
        <v>2772</v>
      </c>
      <c r="C1435" s="2" t="s">
        <v>2769</v>
      </c>
      <c r="D1435" s="2" t="s">
        <v>2770</v>
      </c>
    </row>
    <row r="1436">
      <c r="A1436" s="2" t="s">
        <v>2768</v>
      </c>
      <c r="B1436" s="2">
        <v>1172016.0</v>
      </c>
      <c r="G1436" s="2" t="s">
        <v>2773</v>
      </c>
    </row>
    <row r="1437">
      <c r="A1437" s="2" t="s">
        <v>2768</v>
      </c>
      <c r="B1437" s="2">
        <v>1.2152015E7</v>
      </c>
      <c r="G1437" s="2" t="s">
        <v>2773</v>
      </c>
    </row>
    <row r="1438">
      <c r="A1438" s="2" t="s">
        <v>2768</v>
      </c>
      <c r="B1438" s="2">
        <v>1.2292015E7</v>
      </c>
      <c r="G1438" s="2" t="s">
        <v>2773</v>
      </c>
    </row>
    <row r="1439">
      <c r="A1439" s="2" t="s">
        <v>2768</v>
      </c>
      <c r="B1439" s="2" t="s">
        <v>2774</v>
      </c>
      <c r="G1439" s="2" t="s">
        <v>2773</v>
      </c>
    </row>
    <row r="1440">
      <c r="A1440" s="2" t="s">
        <v>2775</v>
      </c>
      <c r="B1440" s="2" t="s">
        <v>2776</v>
      </c>
      <c r="G1440" s="2" t="s">
        <v>2777</v>
      </c>
    </row>
    <row r="1441">
      <c r="A1441" s="2" t="s">
        <v>2775</v>
      </c>
      <c r="B1441" s="2" t="s">
        <v>2778</v>
      </c>
      <c r="G1441" s="2" t="s">
        <v>2777</v>
      </c>
    </row>
    <row r="1442">
      <c r="A1442" s="2" t="s">
        <v>2775</v>
      </c>
      <c r="B1442" s="2" t="s">
        <v>2779</v>
      </c>
      <c r="G1442" s="2" t="s">
        <v>2777</v>
      </c>
    </row>
    <row r="1443">
      <c r="A1443" s="2" t="s">
        <v>2775</v>
      </c>
      <c r="B1443" s="2" t="s">
        <v>2780</v>
      </c>
      <c r="G1443" s="2" t="s">
        <v>2777</v>
      </c>
    </row>
    <row r="1444">
      <c r="A1444" s="2" t="s">
        <v>2775</v>
      </c>
      <c r="B1444" s="2" t="s">
        <v>2781</v>
      </c>
      <c r="G1444" s="2" t="s">
        <v>2777</v>
      </c>
    </row>
    <row r="1445">
      <c r="A1445" s="2" t="s">
        <v>2775</v>
      </c>
      <c r="B1445" s="2" t="s">
        <v>2782</v>
      </c>
      <c r="G1445" s="2" t="s">
        <v>2777</v>
      </c>
    </row>
    <row r="1446">
      <c r="A1446" s="2" t="s">
        <v>2775</v>
      </c>
      <c r="B1446" s="2" t="s">
        <v>2783</v>
      </c>
      <c r="G1446" s="2" t="s">
        <v>2777</v>
      </c>
    </row>
    <row r="1447">
      <c r="A1447" s="2" t="s">
        <v>2775</v>
      </c>
      <c r="B1447" s="2" t="s">
        <v>2784</v>
      </c>
      <c r="G1447" s="2" t="s">
        <v>2777</v>
      </c>
    </row>
    <row r="1448">
      <c r="A1448" s="2" t="s">
        <v>2775</v>
      </c>
      <c r="B1448" s="2" t="s">
        <v>2785</v>
      </c>
      <c r="G1448" s="2" t="s">
        <v>2777</v>
      </c>
    </row>
    <row r="1449">
      <c r="A1449" s="2" t="s">
        <v>2775</v>
      </c>
      <c r="B1449" s="2" t="s">
        <v>2786</v>
      </c>
      <c r="G1449" s="2" t="s">
        <v>2777</v>
      </c>
    </row>
    <row r="1450">
      <c r="A1450" s="2" t="s">
        <v>2775</v>
      </c>
      <c r="B1450" s="2" t="s">
        <v>2787</v>
      </c>
      <c r="G1450" s="2" t="s">
        <v>2777</v>
      </c>
    </row>
    <row r="1451">
      <c r="A1451" s="2" t="s">
        <v>2788</v>
      </c>
      <c r="B1451" s="2" t="s">
        <v>2789</v>
      </c>
      <c r="C1451" s="2" t="s">
        <v>2790</v>
      </c>
      <c r="D1451" s="2" t="s">
        <v>2791</v>
      </c>
    </row>
    <row r="1452">
      <c r="A1452" s="2" t="s">
        <v>2788</v>
      </c>
      <c r="B1452" s="2" t="s">
        <v>2792</v>
      </c>
      <c r="C1452" s="2" t="s">
        <v>2790</v>
      </c>
      <c r="D1452" s="2" t="s">
        <v>2791</v>
      </c>
    </row>
    <row r="1453">
      <c r="A1453" s="2" t="s">
        <v>2788</v>
      </c>
      <c r="B1453" s="2" t="s">
        <v>2793</v>
      </c>
      <c r="C1453" s="2" t="s">
        <v>2790</v>
      </c>
      <c r="D1453" s="2" t="s">
        <v>2791</v>
      </c>
    </row>
    <row r="1454">
      <c r="A1454" s="2" t="s">
        <v>2788</v>
      </c>
      <c r="B1454" s="2" t="s">
        <v>2795</v>
      </c>
      <c r="C1454" s="2" t="s">
        <v>2790</v>
      </c>
      <c r="D1454" s="2" t="s">
        <v>2791</v>
      </c>
    </row>
    <row r="1455">
      <c r="A1455" s="2" t="s">
        <v>2788</v>
      </c>
      <c r="B1455" s="2" t="s">
        <v>2796</v>
      </c>
      <c r="C1455" s="2" t="s">
        <v>2790</v>
      </c>
      <c r="D1455" s="2" t="s">
        <v>2791</v>
      </c>
    </row>
    <row r="1456">
      <c r="A1456" s="2" t="s">
        <v>2788</v>
      </c>
      <c r="B1456" s="2" t="s">
        <v>2797</v>
      </c>
      <c r="C1456" s="2" t="s">
        <v>2790</v>
      </c>
      <c r="D1456" s="2" t="s">
        <v>2791</v>
      </c>
    </row>
    <row r="1457">
      <c r="A1457" s="2" t="s">
        <v>2788</v>
      </c>
      <c r="B1457" s="2" t="s">
        <v>2798</v>
      </c>
      <c r="C1457" s="2" t="s">
        <v>2790</v>
      </c>
      <c r="D1457" s="2" t="s">
        <v>2791</v>
      </c>
    </row>
    <row r="1458">
      <c r="A1458" s="2" t="s">
        <v>2788</v>
      </c>
      <c r="B1458" s="2" t="s">
        <v>2799</v>
      </c>
      <c r="C1458" s="2" t="s">
        <v>2790</v>
      </c>
      <c r="D1458" s="2" t="s">
        <v>2791</v>
      </c>
    </row>
    <row r="1459">
      <c r="A1459" s="2" t="s">
        <v>2788</v>
      </c>
      <c r="B1459" s="2" t="s">
        <v>2800</v>
      </c>
      <c r="C1459" s="2" t="s">
        <v>2790</v>
      </c>
      <c r="D1459" s="2" t="s">
        <v>2791</v>
      </c>
    </row>
    <row r="1460">
      <c r="A1460" s="2" t="s">
        <v>2788</v>
      </c>
      <c r="B1460" s="2" t="s">
        <v>2801</v>
      </c>
      <c r="C1460" s="2" t="s">
        <v>2790</v>
      </c>
      <c r="D1460" s="2" t="s">
        <v>2791</v>
      </c>
    </row>
    <row r="1461">
      <c r="A1461" s="2" t="s">
        <v>2788</v>
      </c>
      <c r="B1461" s="2" t="s">
        <v>2802</v>
      </c>
      <c r="C1461" s="2" t="s">
        <v>2790</v>
      </c>
      <c r="D1461" s="2" t="s">
        <v>2791</v>
      </c>
    </row>
    <row r="1462">
      <c r="A1462" s="2" t="s">
        <v>2788</v>
      </c>
      <c r="B1462" s="2" t="s">
        <v>2803</v>
      </c>
      <c r="C1462" s="2" t="s">
        <v>2790</v>
      </c>
      <c r="D1462" s="2" t="s">
        <v>2791</v>
      </c>
    </row>
    <row r="1463">
      <c r="A1463" s="2" t="s">
        <v>2788</v>
      </c>
      <c r="B1463" s="2" t="s">
        <v>2805</v>
      </c>
      <c r="C1463" s="2" t="s">
        <v>2790</v>
      </c>
      <c r="D1463" s="2" t="s">
        <v>2791</v>
      </c>
    </row>
    <row r="1464">
      <c r="A1464" s="2" t="s">
        <v>2788</v>
      </c>
      <c r="B1464" s="2" t="s">
        <v>2808</v>
      </c>
      <c r="C1464" s="2" t="s">
        <v>2790</v>
      </c>
      <c r="D1464" s="2" t="s">
        <v>2791</v>
      </c>
    </row>
    <row r="1465">
      <c r="A1465" s="2" t="s">
        <v>2788</v>
      </c>
      <c r="B1465" s="2" t="s">
        <v>2809</v>
      </c>
      <c r="C1465" s="2" t="s">
        <v>2790</v>
      </c>
      <c r="D1465" s="2" t="s">
        <v>2791</v>
      </c>
    </row>
    <row r="1466">
      <c r="A1466" s="2" t="s">
        <v>2788</v>
      </c>
      <c r="B1466" s="2" t="s">
        <v>2810</v>
      </c>
      <c r="C1466" s="2" t="s">
        <v>2790</v>
      </c>
      <c r="D1466" s="2" t="s">
        <v>2791</v>
      </c>
    </row>
    <row r="1467">
      <c r="A1467" s="2" t="s">
        <v>2788</v>
      </c>
      <c r="B1467" s="2" t="s">
        <v>2811</v>
      </c>
      <c r="C1467" s="2" t="s">
        <v>2790</v>
      </c>
      <c r="D1467" s="2" t="s">
        <v>2791</v>
      </c>
    </row>
    <row r="1468">
      <c r="A1468" s="2" t="s">
        <v>2788</v>
      </c>
      <c r="B1468" s="2" t="s">
        <v>2812</v>
      </c>
      <c r="C1468" s="2" t="s">
        <v>2790</v>
      </c>
      <c r="D1468" s="2" t="s">
        <v>2791</v>
      </c>
    </row>
    <row r="1469">
      <c r="A1469" s="2" t="s">
        <v>2788</v>
      </c>
      <c r="B1469" s="2" t="s">
        <v>2813</v>
      </c>
      <c r="C1469" s="2" t="s">
        <v>2790</v>
      </c>
      <c r="D1469" s="2" t="s">
        <v>2791</v>
      </c>
    </row>
    <row r="1470">
      <c r="A1470" s="2" t="s">
        <v>2788</v>
      </c>
      <c r="B1470" s="2" t="s">
        <v>2814</v>
      </c>
      <c r="C1470" s="2" t="s">
        <v>2790</v>
      </c>
      <c r="D1470" s="2" t="s">
        <v>2791</v>
      </c>
    </row>
    <row r="1471">
      <c r="A1471" s="2" t="s">
        <v>2788</v>
      </c>
      <c r="B1471" s="2" t="s">
        <v>2815</v>
      </c>
      <c r="C1471" s="2" t="s">
        <v>2790</v>
      </c>
      <c r="D1471" s="2" t="s">
        <v>2791</v>
      </c>
    </row>
    <row r="1472">
      <c r="A1472" s="2" t="s">
        <v>2788</v>
      </c>
      <c r="B1472" s="2" t="s">
        <v>2816</v>
      </c>
      <c r="C1472" s="2" t="s">
        <v>2790</v>
      </c>
      <c r="D1472" s="2" t="s">
        <v>2791</v>
      </c>
    </row>
    <row r="1473">
      <c r="A1473" s="2" t="s">
        <v>2788</v>
      </c>
      <c r="B1473" s="2" t="s">
        <v>2817</v>
      </c>
      <c r="C1473" s="2" t="s">
        <v>2790</v>
      </c>
      <c r="D1473" s="2" t="s">
        <v>2791</v>
      </c>
    </row>
    <row r="1474">
      <c r="A1474" s="2" t="s">
        <v>2788</v>
      </c>
      <c r="B1474" s="2" t="s">
        <v>2818</v>
      </c>
      <c r="C1474" s="2" t="s">
        <v>2790</v>
      </c>
      <c r="D1474" s="2" t="s">
        <v>2791</v>
      </c>
    </row>
    <row r="1475">
      <c r="A1475" s="2" t="s">
        <v>2788</v>
      </c>
      <c r="B1475" s="2" t="s">
        <v>2819</v>
      </c>
      <c r="C1475" s="2" t="s">
        <v>2790</v>
      </c>
      <c r="D1475" s="2" t="s">
        <v>2791</v>
      </c>
    </row>
    <row r="1476">
      <c r="A1476" s="2" t="s">
        <v>2788</v>
      </c>
      <c r="B1476" s="2" t="s">
        <v>2820</v>
      </c>
      <c r="C1476" s="2" t="s">
        <v>2790</v>
      </c>
      <c r="D1476" s="2" t="s">
        <v>2791</v>
      </c>
    </row>
    <row r="1477">
      <c r="A1477" s="2" t="s">
        <v>2788</v>
      </c>
      <c r="B1477" s="2" t="s">
        <v>2821</v>
      </c>
      <c r="C1477" s="2" t="s">
        <v>2790</v>
      </c>
      <c r="D1477" s="2" t="s">
        <v>2791</v>
      </c>
    </row>
    <row r="1478">
      <c r="A1478" s="2" t="s">
        <v>2788</v>
      </c>
      <c r="B1478" s="2" t="s">
        <v>2822</v>
      </c>
      <c r="C1478" s="2" t="s">
        <v>2790</v>
      </c>
      <c r="D1478" s="2" t="s">
        <v>2791</v>
      </c>
    </row>
    <row r="1479">
      <c r="A1479" s="2" t="s">
        <v>2788</v>
      </c>
      <c r="B1479" s="2" t="s">
        <v>2823</v>
      </c>
      <c r="C1479" s="2" t="s">
        <v>2790</v>
      </c>
      <c r="D1479" s="2" t="s">
        <v>2791</v>
      </c>
    </row>
    <row r="1480">
      <c r="A1480" s="2" t="s">
        <v>2788</v>
      </c>
      <c r="B1480" s="2" t="s">
        <v>2824</v>
      </c>
      <c r="C1480" s="2" t="s">
        <v>2790</v>
      </c>
      <c r="D1480" s="2" t="s">
        <v>2791</v>
      </c>
    </row>
    <row r="1481">
      <c r="A1481" s="2" t="s">
        <v>2788</v>
      </c>
      <c r="B1481" s="2" t="s">
        <v>2827</v>
      </c>
      <c r="C1481" s="2" t="s">
        <v>2790</v>
      </c>
      <c r="D1481" s="2" t="s">
        <v>2791</v>
      </c>
    </row>
    <row r="1482">
      <c r="A1482" s="2" t="s">
        <v>2788</v>
      </c>
      <c r="B1482" s="2" t="s">
        <v>2828</v>
      </c>
      <c r="C1482" s="2" t="s">
        <v>2790</v>
      </c>
      <c r="D1482" s="2" t="s">
        <v>2791</v>
      </c>
    </row>
    <row r="1483">
      <c r="A1483" s="2" t="s">
        <v>2788</v>
      </c>
      <c r="B1483" s="2" t="s">
        <v>2829</v>
      </c>
      <c r="C1483" s="2" t="s">
        <v>2790</v>
      </c>
      <c r="D1483" s="2" t="s">
        <v>2791</v>
      </c>
    </row>
    <row r="1484">
      <c r="A1484" s="2" t="s">
        <v>2788</v>
      </c>
      <c r="B1484" s="2" t="s">
        <v>2830</v>
      </c>
      <c r="C1484" s="2" t="s">
        <v>2790</v>
      </c>
      <c r="D1484" s="2" t="s">
        <v>2791</v>
      </c>
    </row>
    <row r="1485">
      <c r="A1485" s="2" t="s">
        <v>2788</v>
      </c>
      <c r="B1485" s="2" t="s">
        <v>2831</v>
      </c>
      <c r="C1485" s="2" t="s">
        <v>2790</v>
      </c>
      <c r="D1485" s="2" t="s">
        <v>2791</v>
      </c>
    </row>
    <row r="1486">
      <c r="A1486" s="2" t="s">
        <v>2788</v>
      </c>
      <c r="B1486" s="2" t="s">
        <v>2832</v>
      </c>
      <c r="C1486" s="2" t="s">
        <v>2790</v>
      </c>
      <c r="D1486" s="2" t="s">
        <v>2791</v>
      </c>
    </row>
    <row r="1487">
      <c r="A1487" s="2" t="s">
        <v>2788</v>
      </c>
      <c r="B1487" s="2" t="s">
        <v>2833</v>
      </c>
      <c r="C1487" s="2" t="s">
        <v>2790</v>
      </c>
      <c r="D1487" s="2" t="s">
        <v>2791</v>
      </c>
    </row>
    <row r="1488">
      <c r="A1488" s="2" t="s">
        <v>2788</v>
      </c>
      <c r="B1488" s="2" t="s">
        <v>2834</v>
      </c>
      <c r="C1488" s="2" t="s">
        <v>2790</v>
      </c>
      <c r="D1488" s="2" t="s">
        <v>2791</v>
      </c>
    </row>
    <row r="1489">
      <c r="A1489" s="2" t="s">
        <v>2788</v>
      </c>
      <c r="B1489" s="2" t="s">
        <v>2835</v>
      </c>
      <c r="C1489" s="2" t="s">
        <v>2790</v>
      </c>
      <c r="D1489" s="2" t="s">
        <v>2791</v>
      </c>
    </row>
    <row r="1490">
      <c r="A1490" s="2" t="s">
        <v>2788</v>
      </c>
      <c r="B1490" s="2" t="s">
        <v>2836</v>
      </c>
      <c r="C1490" s="2" t="s">
        <v>2790</v>
      </c>
      <c r="D1490" s="2" t="s">
        <v>2791</v>
      </c>
    </row>
    <row r="1491">
      <c r="A1491" s="2" t="s">
        <v>2788</v>
      </c>
      <c r="B1491" s="2" t="s">
        <v>2838</v>
      </c>
      <c r="C1491" s="2" t="s">
        <v>2790</v>
      </c>
      <c r="D1491" s="2" t="s">
        <v>2791</v>
      </c>
    </row>
    <row r="1492">
      <c r="A1492" s="2" t="s">
        <v>2788</v>
      </c>
      <c r="B1492" s="2" t="s">
        <v>2839</v>
      </c>
      <c r="C1492" s="2" t="s">
        <v>2790</v>
      </c>
      <c r="D1492" s="2" t="s">
        <v>2791</v>
      </c>
    </row>
    <row r="1493">
      <c r="A1493" s="2" t="s">
        <v>2788</v>
      </c>
      <c r="B1493" s="2" t="s">
        <v>2840</v>
      </c>
      <c r="C1493" s="2" t="s">
        <v>2790</v>
      </c>
      <c r="D1493" s="2" t="s">
        <v>2791</v>
      </c>
    </row>
    <row r="1494">
      <c r="A1494" s="2" t="s">
        <v>2788</v>
      </c>
      <c r="B1494" s="2" t="s">
        <v>2841</v>
      </c>
      <c r="C1494" s="2" t="s">
        <v>2790</v>
      </c>
      <c r="D1494" s="2" t="s">
        <v>2791</v>
      </c>
    </row>
    <row r="1495">
      <c r="A1495" s="2" t="s">
        <v>2788</v>
      </c>
      <c r="B1495" s="2" t="s">
        <v>2842</v>
      </c>
      <c r="C1495" s="2" t="s">
        <v>2790</v>
      </c>
      <c r="D1495" s="2" t="s">
        <v>2791</v>
      </c>
    </row>
    <row r="1496">
      <c r="A1496" s="2" t="s">
        <v>2788</v>
      </c>
      <c r="B1496" s="2" t="s">
        <v>2843</v>
      </c>
      <c r="C1496" s="2" t="s">
        <v>2790</v>
      </c>
      <c r="D1496" s="2" t="s">
        <v>2791</v>
      </c>
    </row>
    <row r="1497">
      <c r="A1497" s="2" t="s">
        <v>2788</v>
      </c>
      <c r="B1497" s="2" t="s">
        <v>2845</v>
      </c>
      <c r="C1497" s="2" t="s">
        <v>2790</v>
      </c>
      <c r="D1497" s="2" t="s">
        <v>2791</v>
      </c>
    </row>
    <row r="1498">
      <c r="A1498" s="2" t="s">
        <v>2788</v>
      </c>
      <c r="B1498" s="2" t="s">
        <v>2846</v>
      </c>
      <c r="C1498" s="2" t="s">
        <v>2790</v>
      </c>
      <c r="D1498" s="2" t="s">
        <v>2791</v>
      </c>
    </row>
    <row r="1499">
      <c r="A1499" s="2" t="s">
        <v>2788</v>
      </c>
      <c r="B1499" s="2" t="s">
        <v>2847</v>
      </c>
      <c r="C1499" s="2" t="s">
        <v>2790</v>
      </c>
      <c r="D1499" s="2" t="s">
        <v>2791</v>
      </c>
    </row>
    <row r="1500">
      <c r="A1500" s="2" t="s">
        <v>2788</v>
      </c>
      <c r="B1500" s="2" t="s">
        <v>2848</v>
      </c>
      <c r="C1500" s="2" t="s">
        <v>2790</v>
      </c>
      <c r="D1500" s="2" t="s">
        <v>2791</v>
      </c>
    </row>
    <row r="1501">
      <c r="A1501" s="2" t="s">
        <v>2788</v>
      </c>
      <c r="B1501" s="2" t="s">
        <v>2849</v>
      </c>
      <c r="C1501" s="2" t="s">
        <v>2790</v>
      </c>
      <c r="D1501" s="2" t="s">
        <v>2791</v>
      </c>
    </row>
    <row r="1502">
      <c r="A1502" s="2" t="s">
        <v>2788</v>
      </c>
      <c r="B1502" s="2" t="s">
        <v>2850</v>
      </c>
      <c r="C1502" s="2" t="s">
        <v>2790</v>
      </c>
      <c r="D1502" s="2" t="s">
        <v>2791</v>
      </c>
    </row>
    <row r="1503">
      <c r="A1503" s="2" t="s">
        <v>2788</v>
      </c>
      <c r="B1503" s="2" t="s">
        <v>2851</v>
      </c>
      <c r="C1503" s="2" t="s">
        <v>2790</v>
      </c>
      <c r="D1503" s="2" t="s">
        <v>2791</v>
      </c>
    </row>
    <row r="1504">
      <c r="A1504" s="2" t="s">
        <v>2788</v>
      </c>
      <c r="B1504" s="2" t="s">
        <v>2852</v>
      </c>
      <c r="C1504" s="2" t="s">
        <v>2790</v>
      </c>
      <c r="D1504" s="2" t="s">
        <v>2791</v>
      </c>
    </row>
    <row r="1505">
      <c r="A1505" s="2" t="s">
        <v>2788</v>
      </c>
      <c r="B1505" s="2" t="s">
        <v>2853</v>
      </c>
      <c r="C1505" s="2" t="s">
        <v>2790</v>
      </c>
      <c r="D1505" s="2" t="s">
        <v>2791</v>
      </c>
    </row>
    <row r="1506">
      <c r="A1506" s="2" t="s">
        <v>2788</v>
      </c>
      <c r="B1506" s="2" t="s">
        <v>2855</v>
      </c>
      <c r="C1506" s="2" t="s">
        <v>2790</v>
      </c>
      <c r="D1506" s="2" t="s">
        <v>2791</v>
      </c>
    </row>
    <row r="1507">
      <c r="A1507" s="2" t="s">
        <v>2788</v>
      </c>
      <c r="B1507" s="2" t="s">
        <v>2856</v>
      </c>
      <c r="C1507" s="2" t="s">
        <v>2790</v>
      </c>
      <c r="D1507" s="2" t="s">
        <v>2791</v>
      </c>
    </row>
    <row r="1508">
      <c r="A1508" s="2" t="s">
        <v>2788</v>
      </c>
      <c r="B1508" s="2" t="s">
        <v>2857</v>
      </c>
      <c r="C1508" s="2" t="s">
        <v>2790</v>
      </c>
      <c r="D1508" s="2" t="s">
        <v>2791</v>
      </c>
    </row>
    <row r="1509">
      <c r="A1509" s="2" t="s">
        <v>2788</v>
      </c>
      <c r="B1509" s="2" t="s">
        <v>2858</v>
      </c>
      <c r="C1509" s="2" t="s">
        <v>2790</v>
      </c>
      <c r="D1509" s="2" t="s">
        <v>2791</v>
      </c>
    </row>
    <row r="1510">
      <c r="A1510" s="2" t="s">
        <v>2788</v>
      </c>
      <c r="B1510" s="2" t="s">
        <v>2860</v>
      </c>
      <c r="C1510" s="2" t="s">
        <v>2790</v>
      </c>
      <c r="D1510" s="2" t="s">
        <v>2791</v>
      </c>
    </row>
    <row r="1511">
      <c r="A1511" s="2" t="s">
        <v>2788</v>
      </c>
      <c r="B1511" s="2" t="s">
        <v>2861</v>
      </c>
      <c r="C1511" s="2" t="s">
        <v>2790</v>
      </c>
      <c r="D1511" s="2" t="s">
        <v>2791</v>
      </c>
    </row>
    <row r="1512">
      <c r="A1512" s="2" t="s">
        <v>2788</v>
      </c>
      <c r="B1512" s="2" t="s">
        <v>2862</v>
      </c>
      <c r="C1512" s="2" t="s">
        <v>2790</v>
      </c>
      <c r="D1512" s="2" t="s">
        <v>2791</v>
      </c>
    </row>
    <row r="1513">
      <c r="A1513" s="2" t="s">
        <v>2788</v>
      </c>
      <c r="B1513" s="2" t="s">
        <v>2863</v>
      </c>
      <c r="C1513" s="2" t="s">
        <v>2790</v>
      </c>
      <c r="D1513" s="2" t="s">
        <v>2791</v>
      </c>
    </row>
    <row r="1514">
      <c r="A1514" s="2" t="s">
        <v>2788</v>
      </c>
      <c r="B1514" s="2" t="s">
        <v>2864</v>
      </c>
      <c r="C1514" s="2" t="s">
        <v>2790</v>
      </c>
      <c r="D1514" s="2" t="s">
        <v>2791</v>
      </c>
    </row>
    <row r="1515">
      <c r="A1515" s="2" t="s">
        <v>2788</v>
      </c>
      <c r="B1515" s="2" t="s">
        <v>2865</v>
      </c>
      <c r="C1515" s="2" t="s">
        <v>2790</v>
      </c>
      <c r="D1515" s="2" t="s">
        <v>2791</v>
      </c>
    </row>
    <row r="1516">
      <c r="A1516" s="2" t="s">
        <v>2788</v>
      </c>
      <c r="B1516" s="2" t="s">
        <v>2866</v>
      </c>
      <c r="C1516" s="2" t="s">
        <v>2790</v>
      </c>
      <c r="D1516" s="2" t="s">
        <v>2791</v>
      </c>
    </row>
    <row r="1517">
      <c r="A1517" s="2" t="s">
        <v>2788</v>
      </c>
      <c r="B1517" s="2" t="s">
        <v>2867</v>
      </c>
      <c r="C1517" s="2" t="s">
        <v>2790</v>
      </c>
      <c r="D1517" s="2" t="s">
        <v>2791</v>
      </c>
    </row>
    <row r="1518">
      <c r="A1518" s="2" t="s">
        <v>2788</v>
      </c>
      <c r="B1518" s="2" t="s">
        <v>2868</v>
      </c>
      <c r="C1518" s="2" t="s">
        <v>2790</v>
      </c>
      <c r="D1518" s="2" t="s">
        <v>2791</v>
      </c>
    </row>
    <row r="1519">
      <c r="A1519" s="2" t="s">
        <v>2788</v>
      </c>
      <c r="B1519" s="2" t="s">
        <v>2871</v>
      </c>
      <c r="C1519" s="2" t="s">
        <v>2790</v>
      </c>
      <c r="D1519" s="2" t="s">
        <v>2791</v>
      </c>
    </row>
    <row r="1520">
      <c r="A1520" s="2" t="s">
        <v>2788</v>
      </c>
      <c r="B1520" s="2" t="s">
        <v>2873</v>
      </c>
      <c r="C1520" s="2" t="s">
        <v>2790</v>
      </c>
      <c r="D1520" s="2" t="s">
        <v>2791</v>
      </c>
    </row>
    <row r="1521">
      <c r="A1521" s="2" t="s">
        <v>2788</v>
      </c>
      <c r="B1521" s="2" t="s">
        <v>2874</v>
      </c>
      <c r="C1521" s="2" t="s">
        <v>2790</v>
      </c>
      <c r="D1521" s="2" t="s">
        <v>2791</v>
      </c>
    </row>
    <row r="1522">
      <c r="A1522" s="2" t="s">
        <v>2788</v>
      </c>
      <c r="B1522" s="2" t="s">
        <v>2875</v>
      </c>
      <c r="C1522" s="2" t="s">
        <v>2790</v>
      </c>
      <c r="D1522" s="2" t="s">
        <v>2791</v>
      </c>
    </row>
    <row r="1523">
      <c r="A1523" s="2" t="s">
        <v>2788</v>
      </c>
      <c r="B1523" s="2" t="s">
        <v>2876</v>
      </c>
      <c r="C1523" s="2" t="s">
        <v>2790</v>
      </c>
      <c r="D1523" s="2" t="s">
        <v>2791</v>
      </c>
    </row>
    <row r="1524">
      <c r="A1524" s="2" t="s">
        <v>2788</v>
      </c>
      <c r="B1524" s="2" t="s">
        <v>2877</v>
      </c>
      <c r="C1524" s="2" t="s">
        <v>2790</v>
      </c>
      <c r="D1524" s="2" t="s">
        <v>2791</v>
      </c>
    </row>
    <row r="1525">
      <c r="A1525" s="2" t="s">
        <v>2788</v>
      </c>
      <c r="B1525" s="2" t="s">
        <v>2878</v>
      </c>
      <c r="C1525" s="2" t="s">
        <v>2790</v>
      </c>
      <c r="D1525" s="2" t="s">
        <v>2791</v>
      </c>
    </row>
    <row r="1526">
      <c r="A1526" s="2" t="s">
        <v>2788</v>
      </c>
      <c r="B1526" s="2" t="s">
        <v>2879</v>
      </c>
      <c r="G1526" s="2" t="s">
        <v>2880</v>
      </c>
    </row>
    <row r="1527">
      <c r="A1527" s="2" t="s">
        <v>2788</v>
      </c>
      <c r="B1527" s="2" t="s">
        <v>2881</v>
      </c>
      <c r="G1527" s="2" t="s">
        <v>2880</v>
      </c>
    </row>
    <row r="1528">
      <c r="A1528" s="2" t="s">
        <v>2788</v>
      </c>
      <c r="B1528" s="2" t="s">
        <v>2882</v>
      </c>
      <c r="G1528" s="2" t="s">
        <v>2880</v>
      </c>
    </row>
    <row r="1529">
      <c r="A1529" s="2" t="s">
        <v>2788</v>
      </c>
      <c r="B1529" s="2" t="s">
        <v>2796</v>
      </c>
      <c r="G1529" s="2" t="s">
        <v>2880</v>
      </c>
    </row>
    <row r="1530">
      <c r="A1530" s="2" t="s">
        <v>2788</v>
      </c>
      <c r="B1530" s="2" t="s">
        <v>2809</v>
      </c>
      <c r="G1530" s="2" t="s">
        <v>2880</v>
      </c>
    </row>
    <row r="1531">
      <c r="A1531" s="2" t="s">
        <v>2788</v>
      </c>
      <c r="B1531" s="2" t="s">
        <v>2810</v>
      </c>
      <c r="G1531" s="2" t="s">
        <v>2880</v>
      </c>
    </row>
    <row r="1532">
      <c r="A1532" s="2" t="s">
        <v>2788</v>
      </c>
      <c r="B1532" s="2" t="s">
        <v>2811</v>
      </c>
      <c r="G1532" s="2" t="s">
        <v>2880</v>
      </c>
    </row>
    <row r="1533">
      <c r="A1533" s="2" t="s">
        <v>2788</v>
      </c>
      <c r="B1533" s="2" t="s">
        <v>2818</v>
      </c>
      <c r="G1533" s="2" t="s">
        <v>2880</v>
      </c>
    </row>
    <row r="1534">
      <c r="A1534" s="2" t="s">
        <v>2788</v>
      </c>
      <c r="B1534" s="2" t="s">
        <v>2822</v>
      </c>
      <c r="G1534" s="2" t="s">
        <v>2880</v>
      </c>
    </row>
    <row r="1535">
      <c r="A1535" s="2" t="s">
        <v>2788</v>
      </c>
      <c r="B1535" s="2" t="s">
        <v>2884</v>
      </c>
      <c r="G1535" s="2" t="s">
        <v>2880</v>
      </c>
    </row>
    <row r="1536">
      <c r="A1536" s="2" t="s">
        <v>2788</v>
      </c>
      <c r="B1536" s="2" t="s">
        <v>2823</v>
      </c>
      <c r="G1536" s="2" t="s">
        <v>2880</v>
      </c>
    </row>
    <row r="1537">
      <c r="A1537" s="2" t="s">
        <v>2788</v>
      </c>
      <c r="B1537" s="2" t="s">
        <v>2827</v>
      </c>
      <c r="G1537" s="2" t="s">
        <v>2880</v>
      </c>
    </row>
    <row r="1538">
      <c r="A1538" s="2" t="s">
        <v>2788</v>
      </c>
      <c r="B1538" s="2" t="s">
        <v>2885</v>
      </c>
      <c r="G1538" s="2" t="s">
        <v>2880</v>
      </c>
    </row>
    <row r="1539">
      <c r="A1539" s="2" t="s">
        <v>2788</v>
      </c>
      <c r="B1539" s="2" t="s">
        <v>2832</v>
      </c>
      <c r="G1539" s="2" t="s">
        <v>2880</v>
      </c>
    </row>
    <row r="1540">
      <c r="A1540" s="2" t="s">
        <v>2788</v>
      </c>
      <c r="B1540" s="2" t="s">
        <v>2833</v>
      </c>
      <c r="G1540" s="2" t="s">
        <v>2880</v>
      </c>
    </row>
    <row r="1541">
      <c r="A1541" s="2" t="s">
        <v>2788</v>
      </c>
      <c r="B1541" s="2" t="s">
        <v>2886</v>
      </c>
      <c r="G1541" s="2" t="s">
        <v>2880</v>
      </c>
    </row>
    <row r="1542">
      <c r="A1542" s="2" t="s">
        <v>2788</v>
      </c>
      <c r="B1542" s="2" t="s">
        <v>2834</v>
      </c>
      <c r="G1542" s="2" t="s">
        <v>2880</v>
      </c>
    </row>
    <row r="1543">
      <c r="A1543" s="2" t="s">
        <v>2788</v>
      </c>
      <c r="B1543" s="2" t="s">
        <v>2887</v>
      </c>
      <c r="G1543" s="2" t="s">
        <v>2880</v>
      </c>
    </row>
    <row r="1544">
      <c r="A1544" s="2" t="s">
        <v>2788</v>
      </c>
      <c r="B1544" s="2" t="s">
        <v>2890</v>
      </c>
      <c r="G1544" s="2" t="s">
        <v>2880</v>
      </c>
    </row>
    <row r="1545">
      <c r="A1545" s="2" t="s">
        <v>2788</v>
      </c>
      <c r="B1545" s="2" t="s">
        <v>2892</v>
      </c>
      <c r="G1545" s="2" t="s">
        <v>2880</v>
      </c>
    </row>
    <row r="1546">
      <c r="A1546" s="2" t="s">
        <v>2788</v>
      </c>
      <c r="B1546" s="2" t="s">
        <v>2893</v>
      </c>
      <c r="G1546" s="2" t="s">
        <v>2880</v>
      </c>
    </row>
    <row r="1547">
      <c r="A1547" s="2" t="s">
        <v>2788</v>
      </c>
      <c r="B1547" s="2" t="s">
        <v>2894</v>
      </c>
      <c r="G1547" s="2" t="s">
        <v>2880</v>
      </c>
    </row>
    <row r="1548">
      <c r="A1548" s="2" t="s">
        <v>2788</v>
      </c>
      <c r="B1548" s="2" t="s">
        <v>2846</v>
      </c>
      <c r="G1548" s="2" t="s">
        <v>2880</v>
      </c>
    </row>
    <row r="1549">
      <c r="A1549" s="2" t="s">
        <v>2788</v>
      </c>
      <c r="B1549" s="2" t="s">
        <v>2895</v>
      </c>
      <c r="G1549" s="2" t="s">
        <v>2880</v>
      </c>
    </row>
    <row r="1550">
      <c r="A1550" s="2" t="s">
        <v>2788</v>
      </c>
      <c r="B1550" s="2" t="s">
        <v>2896</v>
      </c>
      <c r="G1550" s="2" t="s">
        <v>2880</v>
      </c>
    </row>
    <row r="1551">
      <c r="A1551" s="2" t="s">
        <v>2788</v>
      </c>
      <c r="B1551" s="2" t="s">
        <v>2897</v>
      </c>
      <c r="G1551" s="2" t="s">
        <v>2880</v>
      </c>
    </row>
    <row r="1552">
      <c r="A1552" s="2" t="s">
        <v>2788</v>
      </c>
      <c r="B1552" s="2" t="s">
        <v>2898</v>
      </c>
      <c r="G1552" s="2" t="s">
        <v>2880</v>
      </c>
    </row>
    <row r="1553">
      <c r="A1553" s="2" t="s">
        <v>2788</v>
      </c>
      <c r="B1553" s="2" t="s">
        <v>2899</v>
      </c>
      <c r="G1553" s="2" t="s">
        <v>2880</v>
      </c>
    </row>
    <row r="1554">
      <c r="A1554" s="2" t="s">
        <v>2788</v>
      </c>
      <c r="B1554" s="2" t="s">
        <v>2856</v>
      </c>
      <c r="G1554" s="2" t="s">
        <v>2880</v>
      </c>
    </row>
    <row r="1555">
      <c r="A1555" s="2" t="s">
        <v>2788</v>
      </c>
      <c r="B1555" s="2" t="s">
        <v>2863</v>
      </c>
      <c r="G1555" s="2" t="s">
        <v>2880</v>
      </c>
    </row>
    <row r="1556">
      <c r="A1556" s="2" t="s">
        <v>2788</v>
      </c>
      <c r="B1556" s="2" t="s">
        <v>2865</v>
      </c>
      <c r="G1556" s="2" t="s">
        <v>2880</v>
      </c>
    </row>
    <row r="1557">
      <c r="A1557" s="2" t="s">
        <v>2788</v>
      </c>
      <c r="B1557" s="2" t="s">
        <v>2902</v>
      </c>
      <c r="G1557" s="2" t="s">
        <v>2880</v>
      </c>
    </row>
    <row r="1558">
      <c r="A1558" s="2" t="s">
        <v>2788</v>
      </c>
      <c r="B1558" s="2" t="s">
        <v>2867</v>
      </c>
      <c r="G1558" s="2" t="s">
        <v>2880</v>
      </c>
    </row>
    <row r="1559">
      <c r="A1559" s="2" t="s">
        <v>2788</v>
      </c>
      <c r="B1559" s="2" t="s">
        <v>2874</v>
      </c>
      <c r="G1559" s="2" t="s">
        <v>2880</v>
      </c>
    </row>
    <row r="1560">
      <c r="A1560" s="2" t="s">
        <v>2788</v>
      </c>
      <c r="B1560" s="2" t="s">
        <v>2876</v>
      </c>
      <c r="G1560" s="2" t="s">
        <v>2880</v>
      </c>
    </row>
    <row r="1561">
      <c r="A1561" s="2" t="s">
        <v>2788</v>
      </c>
      <c r="B1561" s="2" t="s">
        <v>2903</v>
      </c>
      <c r="G1561" s="2" t="s">
        <v>2880</v>
      </c>
    </row>
    <row r="1562">
      <c r="A1562" s="2" t="s">
        <v>2788</v>
      </c>
      <c r="B1562" s="2" t="s">
        <v>2904</v>
      </c>
      <c r="G1562" s="2" t="s">
        <v>2880</v>
      </c>
    </row>
    <row r="1563">
      <c r="A1563" s="2" t="s">
        <v>2788</v>
      </c>
      <c r="B1563" s="163" t="s">
        <v>2878</v>
      </c>
      <c r="G1563" s="2" t="s">
        <v>2880</v>
      </c>
    </row>
    <row r="1564">
      <c r="A1564" s="2" t="s">
        <v>2905</v>
      </c>
      <c r="B1564" s="2" t="s">
        <v>2544</v>
      </c>
      <c r="C1564" s="2" t="s">
        <v>2545</v>
      </c>
      <c r="D1564" s="2" t="s">
        <v>2546</v>
      </c>
    </row>
    <row r="1565">
      <c r="A1565" s="2" t="s">
        <v>2905</v>
      </c>
      <c r="B1565" s="2" t="s">
        <v>2547</v>
      </c>
      <c r="C1565" s="2" t="s">
        <v>2545</v>
      </c>
      <c r="D1565" s="2" t="s">
        <v>2546</v>
      </c>
    </row>
    <row r="1566">
      <c r="A1566" s="2" t="s">
        <v>2905</v>
      </c>
      <c r="B1566" s="2" t="s">
        <v>2548</v>
      </c>
      <c r="C1566" s="2" t="s">
        <v>2545</v>
      </c>
      <c r="D1566" s="2" t="s">
        <v>2546</v>
      </c>
    </row>
    <row r="1567">
      <c r="A1567" s="2" t="s">
        <v>2905</v>
      </c>
      <c r="B1567" s="2" t="s">
        <v>2549</v>
      </c>
      <c r="C1567" s="2" t="s">
        <v>2545</v>
      </c>
      <c r="D1567" s="2" t="s">
        <v>2546</v>
      </c>
    </row>
    <row r="1568">
      <c r="A1568" s="2" t="s">
        <v>2905</v>
      </c>
      <c r="B1568" s="2" t="s">
        <v>2550</v>
      </c>
      <c r="C1568" s="2" t="s">
        <v>2545</v>
      </c>
      <c r="D1568" s="2" t="s">
        <v>2546</v>
      </c>
    </row>
    <row r="1569">
      <c r="A1569" s="2" t="s">
        <v>2905</v>
      </c>
      <c r="B1569" s="2" t="s">
        <v>2551</v>
      </c>
      <c r="C1569" s="2" t="s">
        <v>2545</v>
      </c>
      <c r="D1569" s="2" t="s">
        <v>2546</v>
      </c>
    </row>
    <row r="1570">
      <c r="A1570" s="2" t="s">
        <v>2905</v>
      </c>
      <c r="B1570" s="2" t="s">
        <v>2553</v>
      </c>
      <c r="C1570" s="2" t="s">
        <v>2545</v>
      </c>
      <c r="D1570" s="2" t="s">
        <v>2546</v>
      </c>
    </row>
    <row r="1571">
      <c r="A1571" s="2" t="s">
        <v>2905</v>
      </c>
      <c r="B1571" s="2" t="s">
        <v>2554</v>
      </c>
      <c r="C1571" s="2" t="s">
        <v>2545</v>
      </c>
      <c r="D1571" s="2" t="s">
        <v>2546</v>
      </c>
    </row>
    <row r="1572">
      <c r="A1572" s="2" t="s">
        <v>2905</v>
      </c>
      <c r="B1572" s="2" t="s">
        <v>2555</v>
      </c>
      <c r="C1572" s="2" t="s">
        <v>2545</v>
      </c>
      <c r="D1572" s="2" t="s">
        <v>2546</v>
      </c>
    </row>
    <row r="1573">
      <c r="A1573" s="2" t="s">
        <v>2905</v>
      </c>
      <c r="B1573" s="2" t="s">
        <v>2556</v>
      </c>
      <c r="C1573" s="2" t="s">
        <v>2545</v>
      </c>
      <c r="D1573" s="2" t="s">
        <v>2546</v>
      </c>
    </row>
    <row r="1574">
      <c r="A1574" s="2" t="s">
        <v>2905</v>
      </c>
      <c r="B1574" s="2" t="s">
        <v>2557</v>
      </c>
      <c r="C1574" s="2" t="s">
        <v>2545</v>
      </c>
      <c r="D1574" s="2" t="s">
        <v>2546</v>
      </c>
    </row>
    <row r="1575">
      <c r="A1575" s="2" t="s">
        <v>2905</v>
      </c>
      <c r="B1575" s="2" t="s">
        <v>2558</v>
      </c>
      <c r="C1575" s="2" t="s">
        <v>2545</v>
      </c>
      <c r="D1575" s="2" t="s">
        <v>2546</v>
      </c>
    </row>
    <row r="1576">
      <c r="A1576" s="2" t="s">
        <v>2905</v>
      </c>
      <c r="B1576" s="2" t="s">
        <v>2559</v>
      </c>
      <c r="C1576" s="2" t="s">
        <v>2545</v>
      </c>
      <c r="D1576" s="2" t="s">
        <v>2546</v>
      </c>
    </row>
    <row r="1577">
      <c r="A1577" s="2" t="s">
        <v>2905</v>
      </c>
      <c r="B1577" s="2" t="s">
        <v>2560</v>
      </c>
      <c r="C1577" s="2" t="s">
        <v>2545</v>
      </c>
      <c r="D1577" s="2" t="s">
        <v>2546</v>
      </c>
    </row>
    <row r="1578">
      <c r="A1578" s="2" t="s">
        <v>2905</v>
      </c>
      <c r="B1578" s="2" t="s">
        <v>2562</v>
      </c>
      <c r="C1578" s="2" t="s">
        <v>2545</v>
      </c>
      <c r="D1578" s="2" t="s">
        <v>2546</v>
      </c>
    </row>
    <row r="1579">
      <c r="A1579" s="2" t="s">
        <v>2905</v>
      </c>
      <c r="B1579" s="2" t="s">
        <v>2563</v>
      </c>
      <c r="C1579" s="2" t="s">
        <v>2545</v>
      </c>
      <c r="D1579" s="2" t="s">
        <v>2546</v>
      </c>
    </row>
    <row r="1580">
      <c r="A1580" s="2" t="s">
        <v>2905</v>
      </c>
      <c r="B1580" s="2" t="s">
        <v>2564</v>
      </c>
      <c r="C1580" s="2" t="s">
        <v>2545</v>
      </c>
      <c r="D1580" s="2" t="s">
        <v>2546</v>
      </c>
    </row>
    <row r="1581">
      <c r="A1581" s="2" t="s">
        <v>2905</v>
      </c>
      <c r="B1581" s="2" t="s">
        <v>2565</v>
      </c>
      <c r="C1581" s="2" t="s">
        <v>2545</v>
      </c>
      <c r="D1581" s="2" t="s">
        <v>2546</v>
      </c>
    </row>
    <row r="1582">
      <c r="A1582" s="2" t="s">
        <v>2905</v>
      </c>
      <c r="B1582" s="2" t="s">
        <v>2566</v>
      </c>
      <c r="C1582" s="2" t="s">
        <v>2545</v>
      </c>
      <c r="D1582" s="2" t="s">
        <v>2546</v>
      </c>
    </row>
    <row r="1583">
      <c r="A1583" s="2" t="s">
        <v>2905</v>
      </c>
      <c r="B1583" s="2" t="s">
        <v>2568</v>
      </c>
      <c r="C1583" s="2" t="s">
        <v>2545</v>
      </c>
      <c r="D1583" s="2" t="s">
        <v>2546</v>
      </c>
    </row>
    <row r="1584">
      <c r="A1584" s="2" t="s">
        <v>2905</v>
      </c>
      <c r="B1584" s="2" t="s">
        <v>2569</v>
      </c>
      <c r="C1584" s="2" t="s">
        <v>2545</v>
      </c>
      <c r="D1584" s="2" t="s">
        <v>2546</v>
      </c>
    </row>
    <row r="1585">
      <c r="A1585" s="2" t="s">
        <v>2905</v>
      </c>
      <c r="B1585" s="2" t="s">
        <v>2570</v>
      </c>
      <c r="C1585" s="2" t="s">
        <v>2545</v>
      </c>
      <c r="D1585" s="2" t="s">
        <v>2546</v>
      </c>
    </row>
    <row r="1586">
      <c r="A1586" s="2" t="s">
        <v>2905</v>
      </c>
      <c r="B1586" s="2" t="s">
        <v>2571</v>
      </c>
      <c r="C1586" s="2" t="s">
        <v>2545</v>
      </c>
      <c r="D1586" s="2" t="s">
        <v>2546</v>
      </c>
    </row>
    <row r="1587">
      <c r="A1587" s="2" t="s">
        <v>2905</v>
      </c>
      <c r="B1587" s="2" t="s">
        <v>2572</v>
      </c>
      <c r="C1587" s="2" t="s">
        <v>2545</v>
      </c>
      <c r="D1587" s="2" t="s">
        <v>2546</v>
      </c>
    </row>
    <row r="1588">
      <c r="A1588" s="2" t="s">
        <v>2905</v>
      </c>
      <c r="B1588" s="2" t="s">
        <v>2573</v>
      </c>
      <c r="C1588" s="2" t="s">
        <v>2545</v>
      </c>
      <c r="D1588" s="2" t="s">
        <v>2546</v>
      </c>
    </row>
    <row r="1589">
      <c r="A1589" s="2" t="s">
        <v>2905</v>
      </c>
      <c r="B1589" s="2" t="s">
        <v>2574</v>
      </c>
      <c r="C1589" s="2" t="s">
        <v>2545</v>
      </c>
      <c r="D1589" s="2" t="s">
        <v>2546</v>
      </c>
    </row>
    <row r="1590">
      <c r="A1590" s="2" t="s">
        <v>2905</v>
      </c>
      <c r="B1590" s="2" t="s">
        <v>2575</v>
      </c>
      <c r="C1590" s="2" t="s">
        <v>2545</v>
      </c>
      <c r="D1590" s="2" t="s">
        <v>2546</v>
      </c>
    </row>
    <row r="1591">
      <c r="A1591" s="2" t="s">
        <v>2905</v>
      </c>
      <c r="B1591" s="2" t="s">
        <v>2578</v>
      </c>
      <c r="C1591" s="2" t="s">
        <v>2545</v>
      </c>
      <c r="D1591" s="2" t="s">
        <v>2546</v>
      </c>
    </row>
    <row r="1592">
      <c r="A1592" s="2" t="s">
        <v>2905</v>
      </c>
      <c r="B1592" s="2" t="s">
        <v>2580</v>
      </c>
      <c r="C1592" s="2" t="s">
        <v>2545</v>
      </c>
      <c r="D1592" s="2" t="s">
        <v>2546</v>
      </c>
    </row>
    <row r="1593">
      <c r="A1593" s="2" t="s">
        <v>2905</v>
      </c>
      <c r="B1593" s="2" t="s">
        <v>2582</v>
      </c>
      <c r="C1593" s="2" t="s">
        <v>2545</v>
      </c>
      <c r="D1593" s="2" t="s">
        <v>2546</v>
      </c>
    </row>
    <row r="1594">
      <c r="A1594" s="2" t="s">
        <v>2905</v>
      </c>
      <c r="B1594" s="2" t="s">
        <v>2583</v>
      </c>
      <c r="C1594" s="2" t="s">
        <v>2545</v>
      </c>
      <c r="D1594" s="2" t="s">
        <v>2546</v>
      </c>
    </row>
    <row r="1595">
      <c r="A1595" s="2" t="s">
        <v>2905</v>
      </c>
      <c r="B1595" s="2" t="s">
        <v>2584</v>
      </c>
      <c r="C1595" s="2" t="s">
        <v>2545</v>
      </c>
      <c r="D1595" s="2" t="s">
        <v>2546</v>
      </c>
    </row>
    <row r="1596">
      <c r="A1596" s="2" t="s">
        <v>2905</v>
      </c>
      <c r="B1596" s="2" t="s">
        <v>2585</v>
      </c>
      <c r="C1596" s="2" t="s">
        <v>2545</v>
      </c>
      <c r="D1596" s="2" t="s">
        <v>2546</v>
      </c>
    </row>
    <row r="1597">
      <c r="A1597" s="2" t="s">
        <v>2905</v>
      </c>
      <c r="B1597" s="2" t="s">
        <v>2586</v>
      </c>
      <c r="C1597" s="2" t="s">
        <v>2545</v>
      </c>
      <c r="D1597" s="2" t="s">
        <v>2546</v>
      </c>
    </row>
    <row r="1598">
      <c r="A1598" s="2" t="s">
        <v>2905</v>
      </c>
      <c r="B1598" s="2" t="s">
        <v>2587</v>
      </c>
      <c r="C1598" s="2" t="s">
        <v>2545</v>
      </c>
      <c r="D1598" s="2" t="s">
        <v>2546</v>
      </c>
    </row>
    <row r="1599">
      <c r="A1599" s="2" t="s">
        <v>2905</v>
      </c>
      <c r="B1599" s="2" t="s">
        <v>2588</v>
      </c>
      <c r="C1599" s="2" t="s">
        <v>2545</v>
      </c>
      <c r="D1599" s="2" t="s">
        <v>2546</v>
      </c>
    </row>
    <row r="1600">
      <c r="A1600" s="2" t="s">
        <v>2905</v>
      </c>
      <c r="B1600" s="2" t="s">
        <v>2589</v>
      </c>
      <c r="C1600" s="2" t="s">
        <v>2545</v>
      </c>
      <c r="D1600" s="2" t="s">
        <v>2546</v>
      </c>
    </row>
    <row r="1601">
      <c r="A1601" s="2" t="s">
        <v>2905</v>
      </c>
      <c r="B1601" s="2" t="s">
        <v>2590</v>
      </c>
      <c r="C1601" s="2" t="s">
        <v>2545</v>
      </c>
      <c r="D1601" s="2" t="s">
        <v>2546</v>
      </c>
    </row>
    <row r="1602">
      <c r="A1602" s="2" t="s">
        <v>2905</v>
      </c>
      <c r="B1602" s="2" t="s">
        <v>2591</v>
      </c>
      <c r="C1602" s="2" t="s">
        <v>2545</v>
      </c>
      <c r="D1602" s="2" t="s">
        <v>2546</v>
      </c>
    </row>
    <row r="1603">
      <c r="A1603" s="2" t="s">
        <v>2905</v>
      </c>
      <c r="B1603" s="2" t="s">
        <v>2592</v>
      </c>
      <c r="C1603" s="2" t="s">
        <v>2545</v>
      </c>
      <c r="D1603" s="2" t="s">
        <v>2546</v>
      </c>
    </row>
    <row r="1604">
      <c r="A1604" s="2" t="s">
        <v>2905</v>
      </c>
      <c r="B1604" s="2" t="s">
        <v>2594</v>
      </c>
      <c r="C1604" s="2" t="s">
        <v>2545</v>
      </c>
      <c r="D1604" s="2" t="s">
        <v>2546</v>
      </c>
    </row>
    <row r="1605">
      <c r="A1605" s="2" t="s">
        <v>2905</v>
      </c>
      <c r="B1605" s="2" t="s">
        <v>2596</v>
      </c>
      <c r="C1605" s="2" t="s">
        <v>2545</v>
      </c>
      <c r="D1605" s="2" t="s">
        <v>2546</v>
      </c>
    </row>
    <row r="1606">
      <c r="A1606" s="2" t="s">
        <v>2905</v>
      </c>
      <c r="B1606" s="2" t="s">
        <v>2597</v>
      </c>
      <c r="C1606" s="2" t="s">
        <v>2545</v>
      </c>
      <c r="D1606" s="2" t="s">
        <v>2546</v>
      </c>
    </row>
    <row r="1607">
      <c r="A1607" s="2" t="s">
        <v>2905</v>
      </c>
      <c r="B1607" s="2" t="s">
        <v>2598</v>
      </c>
      <c r="C1607" s="2" t="s">
        <v>2545</v>
      </c>
      <c r="D1607" s="2" t="s">
        <v>2546</v>
      </c>
    </row>
    <row r="1608">
      <c r="A1608" s="2" t="s">
        <v>2905</v>
      </c>
      <c r="B1608" s="2" t="s">
        <v>2599</v>
      </c>
      <c r="C1608" s="2" t="s">
        <v>2545</v>
      </c>
      <c r="D1608" s="2" t="s">
        <v>2546</v>
      </c>
    </row>
    <row r="1609">
      <c r="A1609" s="2" t="s">
        <v>2905</v>
      </c>
      <c r="B1609" s="2" t="s">
        <v>2600</v>
      </c>
      <c r="C1609" s="2" t="s">
        <v>2545</v>
      </c>
      <c r="D1609" s="2" t="s">
        <v>2546</v>
      </c>
    </row>
    <row r="1610">
      <c r="A1610" s="2" t="s">
        <v>2905</v>
      </c>
      <c r="B1610" s="2" t="s">
        <v>2601</v>
      </c>
      <c r="C1610" s="2" t="s">
        <v>2545</v>
      </c>
      <c r="D1610" s="2" t="s">
        <v>2546</v>
      </c>
    </row>
    <row r="1611">
      <c r="A1611" s="2" t="s">
        <v>2905</v>
      </c>
      <c r="B1611" s="2" t="s">
        <v>2602</v>
      </c>
      <c r="C1611" s="2" t="s">
        <v>2545</v>
      </c>
      <c r="D1611" s="2" t="s">
        <v>2546</v>
      </c>
    </row>
    <row r="1612">
      <c r="A1612" s="2" t="s">
        <v>2905</v>
      </c>
      <c r="B1612" s="2" t="s">
        <v>2604</v>
      </c>
      <c r="C1612" s="2" t="s">
        <v>2545</v>
      </c>
      <c r="D1612" s="2" t="s">
        <v>2546</v>
      </c>
    </row>
    <row r="1613">
      <c r="A1613" s="2" t="s">
        <v>2905</v>
      </c>
      <c r="B1613" s="2" t="s">
        <v>2605</v>
      </c>
      <c r="C1613" s="2" t="s">
        <v>2545</v>
      </c>
      <c r="D1613" s="2" t="s">
        <v>2546</v>
      </c>
    </row>
    <row r="1614">
      <c r="A1614" s="2" t="s">
        <v>2905</v>
      </c>
      <c r="B1614" s="2" t="s">
        <v>2606</v>
      </c>
      <c r="C1614" s="2" t="s">
        <v>2545</v>
      </c>
      <c r="D1614" s="2" t="s">
        <v>2546</v>
      </c>
    </row>
    <row r="1615">
      <c r="A1615" s="2" t="s">
        <v>2905</v>
      </c>
      <c r="B1615" s="2" t="s">
        <v>2607</v>
      </c>
      <c r="C1615" s="2" t="s">
        <v>2545</v>
      </c>
      <c r="D1615" s="2" t="s">
        <v>2546</v>
      </c>
    </row>
    <row r="1616">
      <c r="A1616" s="2" t="s">
        <v>2905</v>
      </c>
      <c r="B1616" s="2" t="s">
        <v>2609</v>
      </c>
      <c r="C1616" s="2" t="s">
        <v>2545</v>
      </c>
      <c r="D1616" s="2" t="s">
        <v>2546</v>
      </c>
    </row>
    <row r="1617">
      <c r="A1617" s="2" t="s">
        <v>2905</v>
      </c>
      <c r="B1617" s="2" t="s">
        <v>2610</v>
      </c>
      <c r="C1617" s="2" t="s">
        <v>2545</v>
      </c>
      <c r="D1617" s="2" t="s">
        <v>2546</v>
      </c>
    </row>
    <row r="1618">
      <c r="A1618" s="2" t="s">
        <v>2905</v>
      </c>
      <c r="B1618" s="2" t="s">
        <v>2611</v>
      </c>
      <c r="C1618" s="2" t="s">
        <v>2545</v>
      </c>
      <c r="D1618" s="2" t="s">
        <v>2546</v>
      </c>
    </row>
    <row r="1619">
      <c r="A1619" s="2" t="s">
        <v>2905</v>
      </c>
      <c r="B1619" s="2" t="s">
        <v>2612</v>
      </c>
      <c r="C1619" s="2" t="s">
        <v>2545</v>
      </c>
      <c r="D1619" s="2" t="s">
        <v>2546</v>
      </c>
    </row>
    <row r="1620">
      <c r="A1620" s="2" t="s">
        <v>2905</v>
      </c>
      <c r="B1620" s="2" t="s">
        <v>2613</v>
      </c>
      <c r="C1620" s="2" t="s">
        <v>2545</v>
      </c>
      <c r="D1620" s="2" t="s">
        <v>2546</v>
      </c>
    </row>
    <row r="1621">
      <c r="A1621" s="2" t="s">
        <v>2905</v>
      </c>
      <c r="B1621" s="2" t="s">
        <v>2614</v>
      </c>
      <c r="C1621" s="2" t="s">
        <v>2545</v>
      </c>
      <c r="D1621" s="2" t="s">
        <v>2546</v>
      </c>
    </row>
    <row r="1622">
      <c r="A1622" s="2" t="s">
        <v>2905</v>
      </c>
      <c r="B1622" s="2" t="s">
        <v>2615</v>
      </c>
      <c r="C1622" s="2" t="s">
        <v>2545</v>
      </c>
      <c r="D1622" s="2" t="s">
        <v>2546</v>
      </c>
    </row>
    <row r="1623">
      <c r="A1623" s="2" t="s">
        <v>2905</v>
      </c>
      <c r="B1623" s="2" t="s">
        <v>2617</v>
      </c>
      <c r="C1623" s="2" t="s">
        <v>2545</v>
      </c>
      <c r="D1623" s="2" t="s">
        <v>2546</v>
      </c>
    </row>
    <row r="1624">
      <c r="A1624" s="2" t="s">
        <v>2905</v>
      </c>
      <c r="B1624" s="2" t="s">
        <v>2619</v>
      </c>
      <c r="C1624" s="2" t="s">
        <v>2545</v>
      </c>
      <c r="D1624" s="2" t="s">
        <v>2546</v>
      </c>
    </row>
    <row r="1625">
      <c r="A1625" s="2" t="s">
        <v>2905</v>
      </c>
      <c r="B1625" s="2" t="s">
        <v>2620</v>
      </c>
      <c r="C1625" s="2" t="s">
        <v>2545</v>
      </c>
      <c r="D1625" s="2" t="s">
        <v>2546</v>
      </c>
    </row>
    <row r="1626">
      <c r="A1626" s="2" t="s">
        <v>2905</v>
      </c>
      <c r="B1626" s="2" t="s">
        <v>2621</v>
      </c>
      <c r="C1626" s="2" t="s">
        <v>2545</v>
      </c>
      <c r="D1626" s="2" t="s">
        <v>2546</v>
      </c>
    </row>
    <row r="1627">
      <c r="A1627" s="2" t="s">
        <v>2905</v>
      </c>
      <c r="B1627" s="2" t="s">
        <v>2622</v>
      </c>
      <c r="C1627" s="2" t="s">
        <v>2545</v>
      </c>
      <c r="D1627" s="2" t="s">
        <v>2546</v>
      </c>
    </row>
    <row r="1628">
      <c r="A1628" s="2" t="s">
        <v>2905</v>
      </c>
      <c r="B1628" s="2" t="s">
        <v>2623</v>
      </c>
      <c r="C1628" s="2" t="s">
        <v>2545</v>
      </c>
      <c r="D1628" s="2" t="s">
        <v>2546</v>
      </c>
    </row>
    <row r="1629">
      <c r="A1629" s="2" t="s">
        <v>2905</v>
      </c>
      <c r="B1629" s="2" t="s">
        <v>2624</v>
      </c>
      <c r="C1629" s="2" t="s">
        <v>2545</v>
      </c>
      <c r="D1629" s="2" t="s">
        <v>2546</v>
      </c>
    </row>
    <row r="1630">
      <c r="A1630" s="2" t="s">
        <v>2905</v>
      </c>
      <c r="B1630" s="2" t="s">
        <v>2625</v>
      </c>
      <c r="C1630" s="2" t="s">
        <v>2545</v>
      </c>
      <c r="D1630" s="2" t="s">
        <v>2546</v>
      </c>
    </row>
    <row r="1631">
      <c r="A1631" s="2" t="s">
        <v>2905</v>
      </c>
      <c r="B1631" s="2" t="s">
        <v>2626</v>
      </c>
      <c r="C1631" s="2" t="s">
        <v>2545</v>
      </c>
      <c r="D1631" s="2" t="s">
        <v>2546</v>
      </c>
    </row>
    <row r="1632">
      <c r="A1632" s="2" t="s">
        <v>2905</v>
      </c>
      <c r="B1632" s="2" t="s">
        <v>2627</v>
      </c>
      <c r="C1632" s="2" t="s">
        <v>2545</v>
      </c>
      <c r="D1632" s="2" t="s">
        <v>2546</v>
      </c>
    </row>
    <row r="1633">
      <c r="A1633" s="2" t="s">
        <v>2905</v>
      </c>
      <c r="B1633" s="2" t="s">
        <v>2628</v>
      </c>
      <c r="C1633" s="2" t="s">
        <v>2545</v>
      </c>
      <c r="D1633" s="2" t="s">
        <v>2546</v>
      </c>
    </row>
    <row r="1634">
      <c r="A1634" s="2" t="s">
        <v>2905</v>
      </c>
      <c r="B1634" s="2" t="s">
        <v>2629</v>
      </c>
      <c r="C1634" s="2" t="s">
        <v>2545</v>
      </c>
      <c r="D1634" s="2" t="s">
        <v>2546</v>
      </c>
    </row>
    <row r="1635">
      <c r="A1635" s="2" t="s">
        <v>2905</v>
      </c>
      <c r="B1635" s="2" t="s">
        <v>2631</v>
      </c>
      <c r="C1635" s="2" t="s">
        <v>2545</v>
      </c>
      <c r="D1635" s="2" t="s">
        <v>2546</v>
      </c>
    </row>
    <row r="1636">
      <c r="A1636" s="2" t="s">
        <v>2905</v>
      </c>
      <c r="B1636" s="2" t="s">
        <v>2632</v>
      </c>
      <c r="C1636" s="2" t="s">
        <v>2545</v>
      </c>
      <c r="D1636" s="2" t="s">
        <v>2546</v>
      </c>
    </row>
    <row r="1637">
      <c r="A1637" s="2" t="s">
        <v>2905</v>
      </c>
      <c r="B1637" s="2" t="s">
        <v>2633</v>
      </c>
      <c r="C1637" s="2" t="s">
        <v>2545</v>
      </c>
      <c r="D1637" s="2" t="s">
        <v>2546</v>
      </c>
    </row>
    <row r="1638">
      <c r="A1638" s="2" t="s">
        <v>2905</v>
      </c>
      <c r="B1638" s="2" t="s">
        <v>2634</v>
      </c>
      <c r="C1638" s="2" t="s">
        <v>2545</v>
      </c>
      <c r="D1638" s="2" t="s">
        <v>2546</v>
      </c>
    </row>
    <row r="1639">
      <c r="A1639" s="2" t="s">
        <v>2905</v>
      </c>
      <c r="B1639" s="2" t="s">
        <v>2635</v>
      </c>
      <c r="C1639" s="2" t="s">
        <v>2545</v>
      </c>
      <c r="D1639" s="2" t="s">
        <v>2546</v>
      </c>
    </row>
    <row r="1640">
      <c r="A1640" s="2" t="s">
        <v>2905</v>
      </c>
      <c r="B1640" s="2" t="s">
        <v>2636</v>
      </c>
      <c r="C1640" s="2" t="s">
        <v>2545</v>
      </c>
      <c r="D1640" s="2" t="s">
        <v>2546</v>
      </c>
    </row>
    <row r="1641">
      <c r="A1641" s="2" t="s">
        <v>2905</v>
      </c>
      <c r="B1641" s="2" t="s">
        <v>2637</v>
      </c>
      <c r="C1641" s="2" t="s">
        <v>2545</v>
      </c>
      <c r="D1641" s="2" t="s">
        <v>2546</v>
      </c>
    </row>
    <row r="1642">
      <c r="A1642" s="2" t="s">
        <v>2905</v>
      </c>
      <c r="B1642" s="2" t="s">
        <v>2638</v>
      </c>
      <c r="C1642" s="2" t="s">
        <v>2545</v>
      </c>
      <c r="D1642" s="2" t="s">
        <v>2546</v>
      </c>
    </row>
    <row r="1643">
      <c r="A1643" s="2" t="s">
        <v>2905</v>
      </c>
      <c r="B1643" s="2" t="s">
        <v>2640</v>
      </c>
      <c r="C1643" s="2" t="s">
        <v>2545</v>
      </c>
      <c r="D1643" s="2" t="s">
        <v>2546</v>
      </c>
    </row>
    <row r="1644">
      <c r="A1644" s="2" t="s">
        <v>2905</v>
      </c>
      <c r="B1644" s="2" t="s">
        <v>2641</v>
      </c>
      <c r="C1644" s="2" t="s">
        <v>2545</v>
      </c>
      <c r="D1644" s="2" t="s">
        <v>2546</v>
      </c>
    </row>
    <row r="1645">
      <c r="A1645" s="2" t="s">
        <v>2905</v>
      </c>
      <c r="B1645" s="2" t="s">
        <v>2642</v>
      </c>
      <c r="C1645" s="2" t="s">
        <v>2545</v>
      </c>
      <c r="D1645" s="2" t="s">
        <v>2546</v>
      </c>
    </row>
    <row r="1646">
      <c r="A1646" s="2" t="s">
        <v>2905</v>
      </c>
      <c r="B1646" s="2" t="s">
        <v>2643</v>
      </c>
      <c r="C1646" s="2" t="s">
        <v>2545</v>
      </c>
      <c r="D1646" s="2" t="s">
        <v>2546</v>
      </c>
    </row>
    <row r="1647">
      <c r="A1647" s="2" t="s">
        <v>2905</v>
      </c>
      <c r="B1647" s="2" t="s">
        <v>2644</v>
      </c>
      <c r="C1647" s="2" t="s">
        <v>2545</v>
      </c>
      <c r="D1647" s="2" t="s">
        <v>2546</v>
      </c>
    </row>
    <row r="1648">
      <c r="A1648" s="2" t="s">
        <v>2905</v>
      </c>
      <c r="B1648" s="2" t="s">
        <v>2646</v>
      </c>
      <c r="C1648" s="2" t="s">
        <v>2545</v>
      </c>
      <c r="D1648" s="2" t="s">
        <v>2546</v>
      </c>
    </row>
    <row r="1649">
      <c r="A1649" s="2" t="s">
        <v>2905</v>
      </c>
      <c r="B1649" s="2" t="s">
        <v>2647</v>
      </c>
      <c r="C1649" s="2" t="s">
        <v>2545</v>
      </c>
      <c r="D1649" s="2" t="s">
        <v>2546</v>
      </c>
    </row>
    <row r="1650">
      <c r="A1650" s="2" t="s">
        <v>2905</v>
      </c>
      <c r="B1650" s="2" t="s">
        <v>2648</v>
      </c>
      <c r="C1650" s="2" t="s">
        <v>2545</v>
      </c>
      <c r="D1650" s="2" t="s">
        <v>2546</v>
      </c>
    </row>
    <row r="1651">
      <c r="A1651" s="2" t="s">
        <v>2905</v>
      </c>
      <c r="B1651" s="2" t="s">
        <v>2649</v>
      </c>
      <c r="C1651" s="2" t="s">
        <v>2545</v>
      </c>
      <c r="D1651" s="2" t="s">
        <v>2546</v>
      </c>
    </row>
    <row r="1652">
      <c r="A1652" s="2" t="s">
        <v>2905</v>
      </c>
      <c r="B1652" s="2" t="s">
        <v>2650</v>
      </c>
      <c r="C1652" s="2" t="s">
        <v>2545</v>
      </c>
      <c r="D1652" s="2" t="s">
        <v>2546</v>
      </c>
    </row>
    <row r="1653">
      <c r="A1653" s="2" t="s">
        <v>2905</v>
      </c>
      <c r="B1653" s="2" t="s">
        <v>2651</v>
      </c>
      <c r="C1653" s="2" t="s">
        <v>2545</v>
      </c>
      <c r="D1653" s="2" t="s">
        <v>2546</v>
      </c>
    </row>
    <row r="1654">
      <c r="A1654" s="2" t="s">
        <v>2905</v>
      </c>
      <c r="B1654" s="2" t="s">
        <v>2652</v>
      </c>
      <c r="C1654" s="2" t="s">
        <v>2545</v>
      </c>
      <c r="D1654" s="2" t="s">
        <v>2546</v>
      </c>
    </row>
    <row r="1655">
      <c r="A1655" s="2" t="s">
        <v>2905</v>
      </c>
      <c r="B1655" s="2" t="s">
        <v>2653</v>
      </c>
      <c r="C1655" s="2" t="s">
        <v>2545</v>
      </c>
      <c r="D1655" s="2" t="s">
        <v>2546</v>
      </c>
    </row>
    <row r="1656">
      <c r="A1656" s="2" t="s">
        <v>2905</v>
      </c>
      <c r="B1656" s="2" t="s">
        <v>2655</v>
      </c>
      <c r="C1656" s="2" t="s">
        <v>2545</v>
      </c>
      <c r="D1656" s="2" t="s">
        <v>2546</v>
      </c>
    </row>
    <row r="1657">
      <c r="A1657" s="2" t="s">
        <v>2905</v>
      </c>
      <c r="B1657" s="2" t="s">
        <v>2656</v>
      </c>
      <c r="C1657" s="2" t="s">
        <v>2545</v>
      </c>
      <c r="D1657" s="2" t="s">
        <v>2546</v>
      </c>
    </row>
    <row r="1658">
      <c r="A1658" s="2" t="s">
        <v>2905</v>
      </c>
      <c r="B1658" s="2" t="s">
        <v>2657</v>
      </c>
      <c r="C1658" s="2" t="s">
        <v>2545</v>
      </c>
      <c r="D1658" s="2" t="s">
        <v>2546</v>
      </c>
    </row>
    <row r="1659">
      <c r="A1659" s="2" t="s">
        <v>2905</v>
      </c>
      <c r="B1659" s="2" t="s">
        <v>2658</v>
      </c>
      <c r="C1659" s="2" t="s">
        <v>2545</v>
      </c>
      <c r="D1659" s="2" t="s">
        <v>2546</v>
      </c>
    </row>
    <row r="1660">
      <c r="A1660" s="2" t="s">
        <v>2905</v>
      </c>
      <c r="B1660" s="2" t="s">
        <v>2659</v>
      </c>
      <c r="C1660" s="2" t="s">
        <v>2545</v>
      </c>
      <c r="D1660" s="2" t="s">
        <v>2546</v>
      </c>
    </row>
    <row r="1661">
      <c r="A1661" s="2" t="s">
        <v>2905</v>
      </c>
      <c r="B1661" s="2" t="s">
        <v>2661</v>
      </c>
      <c r="C1661" s="2" t="s">
        <v>2545</v>
      </c>
      <c r="D1661" s="2" t="s">
        <v>2546</v>
      </c>
    </row>
    <row r="1662">
      <c r="A1662" s="2" t="s">
        <v>2905</v>
      </c>
      <c r="B1662" s="2" t="s">
        <v>2662</v>
      </c>
      <c r="C1662" s="2" t="s">
        <v>2545</v>
      </c>
      <c r="D1662" s="2" t="s">
        <v>2546</v>
      </c>
    </row>
    <row r="1663">
      <c r="A1663" s="2" t="s">
        <v>2905</v>
      </c>
      <c r="B1663" s="2" t="s">
        <v>2663</v>
      </c>
      <c r="C1663" s="2" t="s">
        <v>2545</v>
      </c>
      <c r="D1663" s="2" t="s">
        <v>2546</v>
      </c>
    </row>
    <row r="1664">
      <c r="A1664" s="2" t="s">
        <v>2905</v>
      </c>
      <c r="B1664" s="2" t="s">
        <v>2664</v>
      </c>
      <c r="C1664" s="2" t="s">
        <v>2545</v>
      </c>
      <c r="D1664" s="2" t="s">
        <v>2546</v>
      </c>
    </row>
    <row r="1665">
      <c r="A1665" s="2" t="s">
        <v>2905</v>
      </c>
      <c r="B1665" s="2" t="s">
        <v>2665</v>
      </c>
      <c r="C1665" s="2" t="s">
        <v>2545</v>
      </c>
      <c r="D1665" s="2" t="s">
        <v>2546</v>
      </c>
    </row>
    <row r="1666">
      <c r="A1666" s="2" t="s">
        <v>2905</v>
      </c>
      <c r="B1666" s="2" t="s">
        <v>2666</v>
      </c>
      <c r="C1666" s="2" t="s">
        <v>2545</v>
      </c>
      <c r="D1666" s="2" t="s">
        <v>2546</v>
      </c>
    </row>
    <row r="1667">
      <c r="A1667" s="2" t="s">
        <v>2905</v>
      </c>
      <c r="B1667" s="2" t="s">
        <v>2667</v>
      </c>
      <c r="C1667" s="2" t="s">
        <v>2545</v>
      </c>
      <c r="D1667" s="2" t="s">
        <v>2546</v>
      </c>
    </row>
    <row r="1668">
      <c r="A1668" s="2" t="s">
        <v>2905</v>
      </c>
      <c r="B1668" s="2" t="s">
        <v>2668</v>
      </c>
      <c r="C1668" s="2" t="s">
        <v>2545</v>
      </c>
      <c r="D1668" s="2" t="s">
        <v>2546</v>
      </c>
    </row>
    <row r="1669">
      <c r="A1669" s="2" t="s">
        <v>2905</v>
      </c>
      <c r="B1669" s="2" t="s">
        <v>2669</v>
      </c>
      <c r="C1669" s="2" t="s">
        <v>2545</v>
      </c>
      <c r="D1669" s="2" t="s">
        <v>2546</v>
      </c>
    </row>
    <row r="1670">
      <c r="A1670" s="2" t="s">
        <v>2905</v>
      </c>
      <c r="B1670" s="2" t="s">
        <v>2670</v>
      </c>
      <c r="C1670" s="2" t="s">
        <v>2545</v>
      </c>
      <c r="D1670" s="2" t="s">
        <v>2546</v>
      </c>
    </row>
    <row r="1671">
      <c r="A1671" s="2" t="s">
        <v>2905</v>
      </c>
      <c r="B1671" s="2" t="s">
        <v>2671</v>
      </c>
      <c r="C1671" s="2" t="s">
        <v>2545</v>
      </c>
      <c r="D1671" s="2" t="s">
        <v>2546</v>
      </c>
    </row>
    <row r="1672">
      <c r="A1672" s="2" t="s">
        <v>2905</v>
      </c>
      <c r="B1672" s="2" t="s">
        <v>2673</v>
      </c>
      <c r="C1672" s="2" t="s">
        <v>2545</v>
      </c>
      <c r="D1672" s="2" t="s">
        <v>2546</v>
      </c>
    </row>
    <row r="1673">
      <c r="A1673" s="2" t="s">
        <v>2905</v>
      </c>
      <c r="B1673" s="2" t="s">
        <v>2674</v>
      </c>
      <c r="C1673" s="2" t="s">
        <v>2545</v>
      </c>
      <c r="D1673" s="2" t="s">
        <v>2546</v>
      </c>
    </row>
    <row r="1674">
      <c r="A1674" s="2" t="s">
        <v>2905</v>
      </c>
      <c r="B1674" s="2" t="s">
        <v>2675</v>
      </c>
      <c r="C1674" s="2" t="s">
        <v>2545</v>
      </c>
      <c r="D1674" s="2" t="s">
        <v>2546</v>
      </c>
    </row>
    <row r="1675">
      <c r="A1675" s="2" t="s">
        <v>2905</v>
      </c>
      <c r="B1675" s="2" t="s">
        <v>2676</v>
      </c>
      <c r="C1675" s="2" t="s">
        <v>2545</v>
      </c>
      <c r="D1675" s="2" t="s">
        <v>2546</v>
      </c>
    </row>
    <row r="1676">
      <c r="A1676" s="2" t="s">
        <v>2905</v>
      </c>
      <c r="B1676" s="2" t="s">
        <v>2677</v>
      </c>
      <c r="C1676" s="2" t="s">
        <v>2545</v>
      </c>
      <c r="D1676" s="2" t="s">
        <v>2546</v>
      </c>
    </row>
    <row r="1677">
      <c r="A1677" s="2" t="s">
        <v>2905</v>
      </c>
      <c r="B1677" s="2" t="s">
        <v>2678</v>
      </c>
      <c r="C1677" s="2" t="s">
        <v>2545</v>
      </c>
      <c r="D1677" s="2" t="s">
        <v>2546</v>
      </c>
    </row>
    <row r="1678">
      <c r="A1678" s="2" t="s">
        <v>2905</v>
      </c>
      <c r="B1678" s="2" t="s">
        <v>2679</v>
      </c>
      <c r="C1678" s="2" t="s">
        <v>2545</v>
      </c>
      <c r="D1678" s="2" t="s">
        <v>2546</v>
      </c>
    </row>
    <row r="1679">
      <c r="A1679" s="2" t="s">
        <v>2905</v>
      </c>
      <c r="B1679" s="2" t="s">
        <v>2680</v>
      </c>
      <c r="C1679" s="2" t="s">
        <v>2545</v>
      </c>
      <c r="D1679" s="2" t="s">
        <v>2546</v>
      </c>
    </row>
    <row r="1680">
      <c r="A1680" s="2" t="s">
        <v>2905</v>
      </c>
      <c r="B1680" s="2" t="s">
        <v>2681</v>
      </c>
      <c r="C1680" s="2" t="s">
        <v>2545</v>
      </c>
      <c r="D1680" s="2" t="s">
        <v>2546</v>
      </c>
    </row>
    <row r="1681">
      <c r="A1681" s="2" t="s">
        <v>2905</v>
      </c>
      <c r="B1681" s="2" t="s">
        <v>2682</v>
      </c>
      <c r="C1681" s="2" t="s">
        <v>2545</v>
      </c>
      <c r="D1681" s="2" t="s">
        <v>2546</v>
      </c>
    </row>
    <row r="1682">
      <c r="A1682" s="2" t="s">
        <v>2905</v>
      </c>
      <c r="B1682" s="2" t="s">
        <v>2683</v>
      </c>
      <c r="C1682" s="2" t="s">
        <v>2545</v>
      </c>
      <c r="D1682" s="2" t="s">
        <v>2546</v>
      </c>
    </row>
    <row r="1683">
      <c r="A1683" s="2" t="s">
        <v>2905</v>
      </c>
      <c r="B1683" s="2" t="s">
        <v>2685</v>
      </c>
      <c r="C1683" s="2" t="s">
        <v>2545</v>
      </c>
      <c r="D1683" s="2" t="s">
        <v>2546</v>
      </c>
    </row>
    <row r="1684">
      <c r="A1684" s="2" t="s">
        <v>2905</v>
      </c>
      <c r="B1684" s="2" t="s">
        <v>2686</v>
      </c>
      <c r="C1684" s="2" t="s">
        <v>2545</v>
      </c>
      <c r="D1684" s="2" t="s">
        <v>2546</v>
      </c>
    </row>
    <row r="1685">
      <c r="A1685" s="2" t="s">
        <v>2905</v>
      </c>
      <c r="B1685" s="2" t="s">
        <v>2687</v>
      </c>
      <c r="C1685" s="2" t="s">
        <v>2545</v>
      </c>
      <c r="D1685" s="2" t="s">
        <v>2546</v>
      </c>
    </row>
    <row r="1686">
      <c r="A1686" s="2" t="s">
        <v>2905</v>
      </c>
      <c r="B1686" s="2" t="s">
        <v>2688</v>
      </c>
      <c r="C1686" s="2" t="s">
        <v>2545</v>
      </c>
      <c r="D1686" s="2" t="s">
        <v>2546</v>
      </c>
    </row>
    <row r="1687">
      <c r="A1687" s="2" t="s">
        <v>2905</v>
      </c>
      <c r="B1687" s="2" t="s">
        <v>2689</v>
      </c>
      <c r="C1687" s="2" t="s">
        <v>2545</v>
      </c>
      <c r="D1687" s="2" t="s">
        <v>2546</v>
      </c>
    </row>
    <row r="1688">
      <c r="A1688" s="2" t="s">
        <v>2905</v>
      </c>
      <c r="B1688" s="2" t="s">
        <v>2691</v>
      </c>
      <c r="C1688" s="2" t="s">
        <v>2545</v>
      </c>
      <c r="D1688" s="2" t="s">
        <v>2546</v>
      </c>
    </row>
    <row r="1689">
      <c r="A1689" s="2" t="s">
        <v>2905</v>
      </c>
      <c r="B1689" s="2" t="s">
        <v>2692</v>
      </c>
      <c r="C1689" s="2" t="s">
        <v>2545</v>
      </c>
      <c r="D1689" s="2" t="s">
        <v>2546</v>
      </c>
    </row>
    <row r="1690">
      <c r="A1690" s="2" t="s">
        <v>2905</v>
      </c>
      <c r="B1690" s="2" t="s">
        <v>2693</v>
      </c>
      <c r="C1690" s="2" t="s">
        <v>2545</v>
      </c>
      <c r="D1690" s="2" t="s">
        <v>2546</v>
      </c>
    </row>
    <row r="1691">
      <c r="A1691" s="2" t="s">
        <v>2905</v>
      </c>
      <c r="B1691" s="2" t="s">
        <v>2694</v>
      </c>
      <c r="C1691" s="2" t="s">
        <v>2545</v>
      </c>
      <c r="D1691" s="2" t="s">
        <v>2546</v>
      </c>
    </row>
    <row r="1692">
      <c r="A1692" s="2" t="s">
        <v>2905</v>
      </c>
      <c r="B1692" s="2" t="s">
        <v>2695</v>
      </c>
      <c r="C1692" s="2" t="s">
        <v>2545</v>
      </c>
      <c r="D1692" s="2" t="s">
        <v>2546</v>
      </c>
    </row>
    <row r="1693">
      <c r="A1693" s="2" t="s">
        <v>2905</v>
      </c>
      <c r="B1693" s="2" t="s">
        <v>2696</v>
      </c>
      <c r="C1693" s="2" t="s">
        <v>2545</v>
      </c>
      <c r="D1693" s="2" t="s">
        <v>2546</v>
      </c>
    </row>
    <row r="1694">
      <c r="A1694" s="2" t="s">
        <v>2905</v>
      </c>
      <c r="B1694" s="2" t="s">
        <v>2697</v>
      </c>
      <c r="C1694" s="2" t="s">
        <v>2545</v>
      </c>
      <c r="D1694" s="2" t="s">
        <v>2546</v>
      </c>
    </row>
    <row r="1695">
      <c r="A1695" s="2" t="s">
        <v>2905</v>
      </c>
      <c r="B1695" s="2" t="s">
        <v>2698</v>
      </c>
      <c r="C1695" s="2" t="s">
        <v>2545</v>
      </c>
      <c r="D1695" s="2" t="s">
        <v>2546</v>
      </c>
    </row>
    <row r="1696">
      <c r="A1696" s="2" t="s">
        <v>2905</v>
      </c>
      <c r="B1696" s="2" t="s">
        <v>2699</v>
      </c>
      <c r="C1696" s="2" t="s">
        <v>2545</v>
      </c>
      <c r="D1696" s="2" t="s">
        <v>2546</v>
      </c>
    </row>
    <row r="1697">
      <c r="A1697" s="2" t="s">
        <v>2905</v>
      </c>
      <c r="B1697" s="2" t="s">
        <v>2700</v>
      </c>
      <c r="C1697" s="2" t="s">
        <v>2545</v>
      </c>
      <c r="D1697" s="2" t="s">
        <v>2546</v>
      </c>
    </row>
    <row r="1698">
      <c r="A1698" s="2" t="s">
        <v>2905</v>
      </c>
      <c r="B1698" s="2" t="s">
        <v>2701</v>
      </c>
      <c r="C1698" s="2" t="s">
        <v>2545</v>
      </c>
      <c r="D1698" s="2" t="s">
        <v>2546</v>
      </c>
    </row>
    <row r="1699">
      <c r="A1699" s="2" t="s">
        <v>2905</v>
      </c>
      <c r="B1699" s="2" t="s">
        <v>2702</v>
      </c>
      <c r="C1699" s="2" t="s">
        <v>2545</v>
      </c>
      <c r="D1699" s="2" t="s">
        <v>2546</v>
      </c>
    </row>
    <row r="1700">
      <c r="A1700" s="2" t="s">
        <v>2925</v>
      </c>
      <c r="B1700" s="2" t="s">
        <v>2926</v>
      </c>
      <c r="C1700" s="2" t="s">
        <v>2927</v>
      </c>
      <c r="D1700" s="2" t="s">
        <v>2928</v>
      </c>
    </row>
    <row r="1701">
      <c r="A1701" s="2" t="s">
        <v>2929</v>
      </c>
      <c r="B1701" s="2" t="s">
        <v>2930</v>
      </c>
      <c r="C1701" s="2" t="s">
        <v>2931</v>
      </c>
      <c r="D1701" s="2" t="s">
        <v>2932</v>
      </c>
    </row>
    <row r="1702">
      <c r="A1702" s="2" t="s">
        <v>2929</v>
      </c>
      <c r="B1702" s="2" t="s">
        <v>2933</v>
      </c>
      <c r="C1702" s="2" t="s">
        <v>2931</v>
      </c>
      <c r="D1702" s="2" t="s">
        <v>2932</v>
      </c>
    </row>
    <row r="1703">
      <c r="A1703" s="2" t="s">
        <v>2929</v>
      </c>
      <c r="B1703" s="2" t="s">
        <v>2934</v>
      </c>
      <c r="C1703" s="2" t="s">
        <v>2931</v>
      </c>
      <c r="D1703" s="2" t="s">
        <v>2932</v>
      </c>
    </row>
    <row r="1704">
      <c r="A1704" s="2" t="s">
        <v>2929</v>
      </c>
      <c r="B1704" s="2" t="s">
        <v>2935</v>
      </c>
      <c r="C1704" s="2" t="s">
        <v>2931</v>
      </c>
      <c r="D1704" s="2" t="s">
        <v>2932</v>
      </c>
    </row>
    <row r="1705">
      <c r="A1705" s="2" t="s">
        <v>2929</v>
      </c>
      <c r="B1705" s="2" t="s">
        <v>2936</v>
      </c>
      <c r="C1705" s="2" t="s">
        <v>2931</v>
      </c>
      <c r="D1705" s="2" t="s">
        <v>2932</v>
      </c>
    </row>
    <row r="1706">
      <c r="A1706" s="2" t="s">
        <v>2929</v>
      </c>
      <c r="B1706" s="2" t="s">
        <v>2937</v>
      </c>
      <c r="C1706" s="2" t="s">
        <v>2931</v>
      </c>
      <c r="D1706" s="2" t="s">
        <v>2932</v>
      </c>
    </row>
    <row r="1707">
      <c r="A1707" s="2" t="s">
        <v>2929</v>
      </c>
      <c r="B1707" s="2" t="s">
        <v>2938</v>
      </c>
      <c r="C1707" s="2" t="s">
        <v>2931</v>
      </c>
      <c r="D1707" s="2" t="s">
        <v>2932</v>
      </c>
    </row>
    <row r="1708">
      <c r="A1708" s="2" t="s">
        <v>2929</v>
      </c>
      <c r="B1708" s="2" t="s">
        <v>2939</v>
      </c>
      <c r="C1708" s="2" t="s">
        <v>2931</v>
      </c>
      <c r="D1708" s="2" t="s">
        <v>2932</v>
      </c>
    </row>
    <row r="1709">
      <c r="A1709" s="2" t="s">
        <v>2929</v>
      </c>
      <c r="B1709" s="2" t="s">
        <v>2940</v>
      </c>
      <c r="C1709" s="2" t="s">
        <v>2931</v>
      </c>
      <c r="D1709" s="2" t="s">
        <v>2932</v>
      </c>
    </row>
    <row r="1710">
      <c r="A1710" s="2" t="s">
        <v>2929</v>
      </c>
      <c r="B1710" s="2" t="s">
        <v>2941</v>
      </c>
      <c r="C1710" s="2" t="s">
        <v>2931</v>
      </c>
      <c r="D1710" s="2" t="s">
        <v>2932</v>
      </c>
    </row>
    <row r="1711">
      <c r="A1711" s="2" t="s">
        <v>2929</v>
      </c>
      <c r="B1711" s="2" t="s">
        <v>2942</v>
      </c>
      <c r="C1711" s="2" t="s">
        <v>2931</v>
      </c>
      <c r="D1711" s="2" t="s">
        <v>2932</v>
      </c>
    </row>
    <row r="1712">
      <c r="A1712" s="2" t="s">
        <v>2929</v>
      </c>
      <c r="B1712" s="2" t="s">
        <v>2943</v>
      </c>
      <c r="C1712" s="2" t="s">
        <v>2931</v>
      </c>
      <c r="D1712" s="2" t="s">
        <v>2932</v>
      </c>
    </row>
    <row r="1713">
      <c r="A1713" s="2" t="s">
        <v>2929</v>
      </c>
      <c r="B1713" s="2" t="s">
        <v>2944</v>
      </c>
      <c r="C1713" s="2" t="s">
        <v>2931</v>
      </c>
      <c r="D1713" s="2" t="s">
        <v>2932</v>
      </c>
    </row>
    <row r="1714">
      <c r="A1714" s="2" t="s">
        <v>2929</v>
      </c>
      <c r="B1714" s="2" t="s">
        <v>2945</v>
      </c>
      <c r="C1714" s="2" t="s">
        <v>2931</v>
      </c>
      <c r="D1714" s="2" t="s">
        <v>2932</v>
      </c>
    </row>
    <row r="1715">
      <c r="A1715" s="2" t="s">
        <v>2929</v>
      </c>
      <c r="B1715" s="2" t="s">
        <v>2946</v>
      </c>
      <c r="C1715" s="2" t="s">
        <v>2931</v>
      </c>
      <c r="D1715" s="2" t="s">
        <v>2932</v>
      </c>
    </row>
    <row r="1716">
      <c r="A1716" s="2" t="s">
        <v>2929</v>
      </c>
      <c r="B1716" s="2" t="s">
        <v>2947</v>
      </c>
      <c r="C1716" s="2" t="s">
        <v>2931</v>
      </c>
      <c r="D1716" s="2" t="s">
        <v>2932</v>
      </c>
    </row>
    <row r="1717">
      <c r="A1717" s="2" t="s">
        <v>2929</v>
      </c>
      <c r="B1717" s="2" t="s">
        <v>2948</v>
      </c>
      <c r="C1717" s="2" t="s">
        <v>2931</v>
      </c>
      <c r="D1717" s="2" t="s">
        <v>2932</v>
      </c>
    </row>
    <row r="1718">
      <c r="A1718" s="2" t="s">
        <v>2929</v>
      </c>
      <c r="B1718" s="2" t="s">
        <v>2949</v>
      </c>
      <c r="C1718" s="2" t="s">
        <v>2931</v>
      </c>
      <c r="D1718" s="2" t="s">
        <v>2932</v>
      </c>
    </row>
    <row r="1719">
      <c r="A1719" s="2" t="s">
        <v>2929</v>
      </c>
      <c r="B1719" s="2" t="s">
        <v>2950</v>
      </c>
      <c r="C1719" s="2" t="s">
        <v>2931</v>
      </c>
      <c r="D1719" s="2" t="s">
        <v>2932</v>
      </c>
    </row>
    <row r="1720">
      <c r="A1720" s="2" t="s">
        <v>2929</v>
      </c>
      <c r="B1720" s="2" t="s">
        <v>2951</v>
      </c>
      <c r="C1720" s="2" t="s">
        <v>2931</v>
      </c>
      <c r="D1720" s="2" t="s">
        <v>2932</v>
      </c>
    </row>
    <row r="1721">
      <c r="A1721" s="2" t="s">
        <v>2929</v>
      </c>
      <c r="B1721" s="2" t="s">
        <v>2952</v>
      </c>
      <c r="C1721" s="2" t="s">
        <v>2931</v>
      </c>
      <c r="D1721" s="2" t="s">
        <v>2932</v>
      </c>
    </row>
    <row r="1722">
      <c r="A1722" s="2" t="s">
        <v>2929</v>
      </c>
      <c r="B1722" s="2" t="s">
        <v>2953</v>
      </c>
      <c r="C1722" s="2" t="s">
        <v>2931</v>
      </c>
      <c r="D1722" s="2" t="s">
        <v>2932</v>
      </c>
    </row>
    <row r="1723">
      <c r="A1723" s="2" t="s">
        <v>2929</v>
      </c>
      <c r="B1723" s="2" t="s">
        <v>2954</v>
      </c>
      <c r="C1723" s="2" t="s">
        <v>2931</v>
      </c>
      <c r="D1723" s="2" t="s">
        <v>2932</v>
      </c>
    </row>
    <row r="1724">
      <c r="A1724" s="2" t="s">
        <v>2929</v>
      </c>
      <c r="B1724" s="2" t="s">
        <v>2955</v>
      </c>
      <c r="C1724" s="2" t="s">
        <v>2931</v>
      </c>
      <c r="D1724" s="2" t="s">
        <v>2932</v>
      </c>
    </row>
    <row r="1725">
      <c r="A1725" s="2" t="s">
        <v>2929</v>
      </c>
      <c r="B1725" s="2" t="s">
        <v>2957</v>
      </c>
      <c r="C1725" s="2" t="s">
        <v>2931</v>
      </c>
      <c r="D1725" s="2" t="s">
        <v>2932</v>
      </c>
    </row>
    <row r="1726">
      <c r="A1726" s="2" t="s">
        <v>2929</v>
      </c>
      <c r="B1726" s="2" t="s">
        <v>2959</v>
      </c>
      <c r="C1726" s="2" t="s">
        <v>2931</v>
      </c>
      <c r="D1726" s="2" t="s">
        <v>2932</v>
      </c>
    </row>
    <row r="1727">
      <c r="A1727" s="2" t="s">
        <v>2929</v>
      </c>
      <c r="B1727" s="2" t="s">
        <v>2960</v>
      </c>
      <c r="C1727" s="2" t="s">
        <v>2931</v>
      </c>
      <c r="D1727" s="2" t="s">
        <v>2932</v>
      </c>
    </row>
    <row r="1728">
      <c r="A1728" s="2" t="s">
        <v>2929</v>
      </c>
      <c r="B1728" s="2" t="s">
        <v>2961</v>
      </c>
      <c r="C1728" s="2" t="s">
        <v>2931</v>
      </c>
      <c r="D1728" s="2" t="s">
        <v>2932</v>
      </c>
    </row>
    <row r="1729">
      <c r="A1729" s="2" t="s">
        <v>2929</v>
      </c>
      <c r="B1729" s="2" t="s">
        <v>2962</v>
      </c>
      <c r="C1729" s="2" t="s">
        <v>2931</v>
      </c>
      <c r="D1729" s="2" t="s">
        <v>2932</v>
      </c>
    </row>
    <row r="1730">
      <c r="A1730" s="2" t="s">
        <v>2929</v>
      </c>
      <c r="B1730" s="2" t="s">
        <v>2963</v>
      </c>
      <c r="C1730" s="2" t="s">
        <v>2931</v>
      </c>
      <c r="D1730" s="2" t="s">
        <v>2932</v>
      </c>
    </row>
    <row r="1731">
      <c r="A1731" s="2" t="s">
        <v>2929</v>
      </c>
      <c r="B1731" s="2" t="s">
        <v>2964</v>
      </c>
      <c r="C1731" s="2" t="s">
        <v>2931</v>
      </c>
      <c r="D1731" s="2" t="s">
        <v>2932</v>
      </c>
    </row>
    <row r="1732">
      <c r="A1732" s="2" t="s">
        <v>2929</v>
      </c>
      <c r="B1732" s="2" t="s">
        <v>2965</v>
      </c>
      <c r="C1732" s="2" t="s">
        <v>2931</v>
      </c>
      <c r="D1732" s="2" t="s">
        <v>2932</v>
      </c>
    </row>
    <row r="1733">
      <c r="A1733" s="2" t="s">
        <v>2929</v>
      </c>
      <c r="B1733" s="2" t="s">
        <v>2966</v>
      </c>
      <c r="C1733" s="2" t="s">
        <v>2931</v>
      </c>
      <c r="D1733" s="2" t="s">
        <v>2932</v>
      </c>
    </row>
    <row r="1734">
      <c r="A1734" s="2" t="s">
        <v>2929</v>
      </c>
      <c r="B1734" s="2" t="s">
        <v>2967</v>
      </c>
      <c r="C1734" s="2" t="s">
        <v>2931</v>
      </c>
      <c r="D1734" s="2" t="s">
        <v>2932</v>
      </c>
    </row>
    <row r="1735">
      <c r="A1735" s="2" t="s">
        <v>2929</v>
      </c>
      <c r="B1735" s="2" t="s">
        <v>2968</v>
      </c>
      <c r="C1735" s="2" t="s">
        <v>2931</v>
      </c>
      <c r="D1735" s="2" t="s">
        <v>2932</v>
      </c>
    </row>
    <row r="1736">
      <c r="A1736" s="2" t="s">
        <v>2929</v>
      </c>
      <c r="B1736" s="2" t="s">
        <v>2969</v>
      </c>
      <c r="C1736" s="2" t="s">
        <v>2931</v>
      </c>
      <c r="D1736" s="2" t="s">
        <v>2932</v>
      </c>
    </row>
    <row r="1737">
      <c r="A1737" s="2" t="s">
        <v>2929</v>
      </c>
      <c r="B1737" s="2" t="s">
        <v>2970</v>
      </c>
      <c r="C1737" s="2" t="s">
        <v>2931</v>
      </c>
      <c r="D1737" s="2" t="s">
        <v>2932</v>
      </c>
    </row>
    <row r="1738">
      <c r="A1738" s="2" t="s">
        <v>2929</v>
      </c>
      <c r="B1738" s="2" t="s">
        <v>2971</v>
      </c>
      <c r="C1738" s="2" t="s">
        <v>2931</v>
      </c>
      <c r="D1738" s="2" t="s">
        <v>2932</v>
      </c>
    </row>
    <row r="1739">
      <c r="A1739" s="2" t="s">
        <v>2929</v>
      </c>
      <c r="B1739" s="2" t="s">
        <v>2972</v>
      </c>
      <c r="C1739" s="2" t="s">
        <v>2931</v>
      </c>
      <c r="D1739" s="2" t="s">
        <v>2932</v>
      </c>
    </row>
    <row r="1740">
      <c r="A1740" s="2" t="s">
        <v>2929</v>
      </c>
      <c r="B1740" s="2" t="s">
        <v>2973</v>
      </c>
      <c r="C1740" s="2" t="s">
        <v>2931</v>
      </c>
      <c r="D1740" s="2" t="s">
        <v>2932</v>
      </c>
    </row>
    <row r="1741">
      <c r="A1741" s="2" t="s">
        <v>2929</v>
      </c>
      <c r="B1741" s="2" t="s">
        <v>2974</v>
      </c>
      <c r="C1741" s="2" t="s">
        <v>2931</v>
      </c>
      <c r="D1741" s="2" t="s">
        <v>2932</v>
      </c>
    </row>
    <row r="1742">
      <c r="A1742" s="2" t="s">
        <v>2929</v>
      </c>
      <c r="B1742" s="2" t="s">
        <v>2975</v>
      </c>
      <c r="C1742" s="2" t="s">
        <v>2931</v>
      </c>
      <c r="D1742" s="2" t="s">
        <v>2932</v>
      </c>
    </row>
    <row r="1743">
      <c r="A1743" s="2" t="s">
        <v>2929</v>
      </c>
      <c r="B1743" s="2" t="s">
        <v>2976</v>
      </c>
      <c r="C1743" s="2" t="s">
        <v>2931</v>
      </c>
      <c r="D1743" s="2" t="s">
        <v>2932</v>
      </c>
    </row>
    <row r="1744">
      <c r="A1744" s="2" t="s">
        <v>2929</v>
      </c>
      <c r="B1744" s="2" t="s">
        <v>2977</v>
      </c>
      <c r="C1744" s="2" t="s">
        <v>2931</v>
      </c>
      <c r="D1744" s="2" t="s">
        <v>2932</v>
      </c>
    </row>
    <row r="1745">
      <c r="A1745" s="2" t="s">
        <v>2929</v>
      </c>
      <c r="B1745" s="2" t="s">
        <v>2978</v>
      </c>
      <c r="C1745" s="2" t="s">
        <v>2931</v>
      </c>
      <c r="D1745" s="2" t="s">
        <v>2932</v>
      </c>
    </row>
    <row r="1746">
      <c r="A1746" s="2" t="s">
        <v>2929</v>
      </c>
      <c r="B1746" s="2" t="s">
        <v>2979</v>
      </c>
      <c r="C1746" s="2" t="s">
        <v>2931</v>
      </c>
      <c r="D1746" s="2" t="s">
        <v>2932</v>
      </c>
    </row>
    <row r="1747">
      <c r="A1747" s="2" t="s">
        <v>2929</v>
      </c>
      <c r="B1747" s="2" t="s">
        <v>2980</v>
      </c>
      <c r="C1747" s="2" t="s">
        <v>2931</v>
      </c>
      <c r="D1747" s="2" t="s">
        <v>2932</v>
      </c>
    </row>
    <row r="1748">
      <c r="A1748" s="2" t="s">
        <v>2929</v>
      </c>
      <c r="B1748" s="2" t="s">
        <v>2981</v>
      </c>
      <c r="C1748" s="2" t="s">
        <v>2931</v>
      </c>
      <c r="D1748" s="2" t="s">
        <v>2932</v>
      </c>
    </row>
    <row r="1749">
      <c r="A1749" s="2" t="s">
        <v>2929</v>
      </c>
      <c r="B1749" s="2" t="s">
        <v>2982</v>
      </c>
      <c r="C1749" s="2" t="s">
        <v>2931</v>
      </c>
      <c r="D1749" s="2" t="s">
        <v>2932</v>
      </c>
    </row>
    <row r="1750">
      <c r="A1750" s="2" t="s">
        <v>2929</v>
      </c>
      <c r="B1750" s="2" t="s">
        <v>2983</v>
      </c>
      <c r="C1750" s="2" t="s">
        <v>2931</v>
      </c>
      <c r="D1750" s="2" t="s">
        <v>2932</v>
      </c>
    </row>
    <row r="1751">
      <c r="A1751" s="2" t="s">
        <v>2929</v>
      </c>
      <c r="B1751" s="2" t="s">
        <v>2984</v>
      </c>
      <c r="C1751" s="2" t="s">
        <v>2931</v>
      </c>
      <c r="D1751" s="2" t="s">
        <v>2932</v>
      </c>
    </row>
    <row r="1752">
      <c r="A1752" s="2" t="s">
        <v>2929</v>
      </c>
      <c r="B1752" s="2" t="s">
        <v>2985</v>
      </c>
      <c r="C1752" s="2" t="s">
        <v>2931</v>
      </c>
      <c r="D1752" s="2" t="s">
        <v>2932</v>
      </c>
    </row>
    <row r="1753">
      <c r="A1753" s="2" t="s">
        <v>2929</v>
      </c>
      <c r="B1753" s="2" t="s">
        <v>2986</v>
      </c>
      <c r="C1753" s="2" t="s">
        <v>2931</v>
      </c>
      <c r="D1753" s="2" t="s">
        <v>2932</v>
      </c>
    </row>
    <row r="1754">
      <c r="A1754" s="2" t="s">
        <v>2929</v>
      </c>
      <c r="B1754" s="2" t="s">
        <v>2987</v>
      </c>
      <c r="C1754" s="2" t="s">
        <v>2931</v>
      </c>
      <c r="D1754" s="2" t="s">
        <v>2932</v>
      </c>
    </row>
    <row r="1755">
      <c r="A1755" s="2" t="s">
        <v>2929</v>
      </c>
      <c r="B1755" s="2" t="s">
        <v>2988</v>
      </c>
      <c r="C1755" s="2" t="s">
        <v>2931</v>
      </c>
      <c r="D1755" s="2" t="s">
        <v>2932</v>
      </c>
    </row>
    <row r="1756">
      <c r="A1756" s="2" t="s">
        <v>2929</v>
      </c>
      <c r="B1756" s="2" t="s">
        <v>2990</v>
      </c>
      <c r="C1756" s="2" t="s">
        <v>2931</v>
      </c>
      <c r="D1756" s="2" t="s">
        <v>2932</v>
      </c>
    </row>
    <row r="1757">
      <c r="A1757" s="2" t="s">
        <v>2929</v>
      </c>
      <c r="B1757" s="2" t="s">
        <v>2992</v>
      </c>
      <c r="C1757" s="2" t="s">
        <v>2931</v>
      </c>
      <c r="D1757" s="2" t="s">
        <v>2932</v>
      </c>
    </row>
    <row r="1758">
      <c r="A1758" s="2" t="s">
        <v>2929</v>
      </c>
      <c r="B1758" s="2" t="s">
        <v>2993</v>
      </c>
      <c r="C1758" s="2" t="s">
        <v>2931</v>
      </c>
      <c r="D1758" s="2" t="s">
        <v>2932</v>
      </c>
    </row>
    <row r="1759">
      <c r="A1759" s="2" t="s">
        <v>2929</v>
      </c>
      <c r="B1759" s="2" t="s">
        <v>2994</v>
      </c>
      <c r="C1759" s="2" t="s">
        <v>2931</v>
      </c>
      <c r="D1759" s="2" t="s">
        <v>2932</v>
      </c>
    </row>
    <row r="1760">
      <c r="A1760" s="2" t="s">
        <v>2929</v>
      </c>
      <c r="B1760" s="2" t="s">
        <v>2995</v>
      </c>
      <c r="C1760" s="2" t="s">
        <v>2931</v>
      </c>
      <c r="D1760" s="2" t="s">
        <v>2932</v>
      </c>
    </row>
    <row r="1761">
      <c r="A1761" s="2" t="s">
        <v>2929</v>
      </c>
      <c r="B1761" s="2" t="s">
        <v>2996</v>
      </c>
      <c r="C1761" s="2" t="s">
        <v>2931</v>
      </c>
      <c r="D1761" s="2" t="s">
        <v>2932</v>
      </c>
    </row>
    <row r="1762">
      <c r="A1762" s="2" t="s">
        <v>2929</v>
      </c>
      <c r="B1762" s="2" t="s">
        <v>2997</v>
      </c>
      <c r="C1762" s="2" t="s">
        <v>2931</v>
      </c>
      <c r="D1762" s="2" t="s">
        <v>2932</v>
      </c>
    </row>
    <row r="1763">
      <c r="A1763" s="2" t="s">
        <v>2929</v>
      </c>
      <c r="B1763" s="2" t="s">
        <v>2998</v>
      </c>
      <c r="C1763" s="2" t="s">
        <v>2931</v>
      </c>
      <c r="D1763" s="2" t="s">
        <v>2932</v>
      </c>
    </row>
    <row r="1764">
      <c r="A1764" s="2" t="s">
        <v>2929</v>
      </c>
      <c r="B1764" s="2" t="s">
        <v>2999</v>
      </c>
      <c r="C1764" s="2" t="s">
        <v>2931</v>
      </c>
      <c r="D1764" s="2" t="s">
        <v>2932</v>
      </c>
    </row>
    <row r="1765">
      <c r="A1765" s="2" t="s">
        <v>2929</v>
      </c>
      <c r="B1765" s="2" t="s">
        <v>3000</v>
      </c>
      <c r="C1765" s="2" t="s">
        <v>2931</v>
      </c>
      <c r="D1765" s="2" t="s">
        <v>2932</v>
      </c>
    </row>
    <row r="1766">
      <c r="A1766" s="2" t="s">
        <v>2929</v>
      </c>
      <c r="B1766" s="2" t="s">
        <v>3002</v>
      </c>
      <c r="C1766" s="2" t="s">
        <v>2931</v>
      </c>
      <c r="D1766" s="2" t="s">
        <v>2932</v>
      </c>
    </row>
    <row r="1767">
      <c r="A1767" s="2" t="s">
        <v>2929</v>
      </c>
      <c r="B1767" s="2" t="s">
        <v>3003</v>
      </c>
      <c r="C1767" s="2" t="s">
        <v>2931</v>
      </c>
      <c r="D1767" s="2" t="s">
        <v>2932</v>
      </c>
    </row>
    <row r="1768">
      <c r="A1768" s="2" t="s">
        <v>2929</v>
      </c>
      <c r="B1768" s="2" t="s">
        <v>3004</v>
      </c>
      <c r="C1768" s="2" t="s">
        <v>2931</v>
      </c>
      <c r="D1768" s="2" t="s">
        <v>2932</v>
      </c>
    </row>
    <row r="1769">
      <c r="A1769" s="2" t="s">
        <v>2929</v>
      </c>
      <c r="B1769" s="2" t="s">
        <v>3005</v>
      </c>
      <c r="C1769" s="2" t="s">
        <v>2931</v>
      </c>
      <c r="D1769" s="2" t="s">
        <v>2932</v>
      </c>
    </row>
    <row r="1770">
      <c r="A1770" s="2" t="s">
        <v>2929</v>
      </c>
      <c r="B1770" s="2" t="s">
        <v>3005</v>
      </c>
      <c r="C1770" s="2" t="s">
        <v>2931</v>
      </c>
      <c r="D1770" s="2" t="s">
        <v>2932</v>
      </c>
    </row>
    <row r="1771">
      <c r="A1771" s="2" t="s">
        <v>2929</v>
      </c>
      <c r="B1771" s="2" t="s">
        <v>3006</v>
      </c>
      <c r="C1771" s="2" t="s">
        <v>2931</v>
      </c>
      <c r="D1771" s="2" t="s">
        <v>2932</v>
      </c>
    </row>
    <row r="1772">
      <c r="A1772" s="2" t="s">
        <v>2929</v>
      </c>
      <c r="B1772" s="2" t="s">
        <v>3007</v>
      </c>
      <c r="C1772" s="2" t="s">
        <v>2931</v>
      </c>
      <c r="D1772" s="2" t="s">
        <v>2932</v>
      </c>
    </row>
    <row r="1773">
      <c r="A1773" s="2" t="s">
        <v>2929</v>
      </c>
      <c r="B1773" s="2" t="s">
        <v>3008</v>
      </c>
      <c r="C1773" s="2" t="s">
        <v>2931</v>
      </c>
      <c r="D1773" s="2" t="s">
        <v>2932</v>
      </c>
    </row>
    <row r="1774">
      <c r="A1774" s="2" t="s">
        <v>2929</v>
      </c>
      <c r="B1774" s="2" t="s">
        <v>3009</v>
      </c>
      <c r="C1774" s="2" t="s">
        <v>2931</v>
      </c>
      <c r="D1774" s="2" t="s">
        <v>2932</v>
      </c>
    </row>
    <row r="1775">
      <c r="A1775" s="2" t="s">
        <v>2929</v>
      </c>
      <c r="B1775" s="2" t="s">
        <v>3010</v>
      </c>
      <c r="C1775" s="2" t="s">
        <v>2931</v>
      </c>
      <c r="D1775" s="2" t="s">
        <v>2932</v>
      </c>
    </row>
    <row r="1776">
      <c r="A1776" s="2" t="s">
        <v>2929</v>
      </c>
      <c r="B1776" s="2" t="s">
        <v>3011</v>
      </c>
      <c r="C1776" s="2" t="s">
        <v>2931</v>
      </c>
      <c r="D1776" s="2" t="s">
        <v>2932</v>
      </c>
    </row>
    <row r="1777">
      <c r="A1777" s="2" t="s">
        <v>2929</v>
      </c>
      <c r="B1777" s="2" t="s">
        <v>3012</v>
      </c>
      <c r="C1777" s="2" t="s">
        <v>2931</v>
      </c>
      <c r="D1777" s="2" t="s">
        <v>2932</v>
      </c>
    </row>
    <row r="1778">
      <c r="A1778" s="2" t="s">
        <v>2929</v>
      </c>
      <c r="B1778" s="2" t="s">
        <v>3013</v>
      </c>
      <c r="C1778" s="2" t="s">
        <v>2931</v>
      </c>
      <c r="D1778" s="2" t="s">
        <v>2932</v>
      </c>
    </row>
    <row r="1779">
      <c r="A1779" s="2" t="s">
        <v>2929</v>
      </c>
      <c r="B1779" s="2" t="s">
        <v>3014</v>
      </c>
      <c r="C1779" s="2" t="s">
        <v>2931</v>
      </c>
      <c r="D1779" s="2" t="s">
        <v>2932</v>
      </c>
    </row>
    <row r="1780">
      <c r="A1780" s="2" t="s">
        <v>2929</v>
      </c>
      <c r="B1780" s="2" t="s">
        <v>3015</v>
      </c>
      <c r="C1780" s="2" t="s">
        <v>2931</v>
      </c>
      <c r="D1780" s="2" t="s">
        <v>2932</v>
      </c>
    </row>
    <row r="1781">
      <c r="A1781" s="2" t="s">
        <v>2929</v>
      </c>
      <c r="B1781" s="2" t="s">
        <v>3016</v>
      </c>
      <c r="C1781" s="2" t="s">
        <v>2931</v>
      </c>
      <c r="D1781" s="2" t="s">
        <v>2932</v>
      </c>
    </row>
    <row r="1782">
      <c r="A1782" s="2" t="s">
        <v>2929</v>
      </c>
      <c r="B1782" s="2" t="s">
        <v>3017</v>
      </c>
      <c r="C1782" s="2" t="s">
        <v>2931</v>
      </c>
      <c r="D1782" s="2" t="s">
        <v>2932</v>
      </c>
    </row>
    <row r="1783">
      <c r="A1783" s="2" t="s">
        <v>2929</v>
      </c>
      <c r="B1783" s="2" t="s">
        <v>3018</v>
      </c>
      <c r="C1783" s="2" t="s">
        <v>2931</v>
      </c>
      <c r="D1783" s="2" t="s">
        <v>2932</v>
      </c>
    </row>
    <row r="1784">
      <c r="A1784" s="2" t="s">
        <v>2929</v>
      </c>
      <c r="B1784" s="2" t="s">
        <v>3019</v>
      </c>
      <c r="C1784" s="2" t="s">
        <v>2931</v>
      </c>
      <c r="D1784" s="2" t="s">
        <v>2932</v>
      </c>
    </row>
    <row r="1785">
      <c r="A1785" s="2" t="s">
        <v>2929</v>
      </c>
      <c r="B1785" s="2" t="s">
        <v>3020</v>
      </c>
      <c r="C1785" s="2" t="s">
        <v>2931</v>
      </c>
      <c r="D1785" s="2" t="s">
        <v>2932</v>
      </c>
    </row>
    <row r="1786">
      <c r="A1786" s="2" t="s">
        <v>2929</v>
      </c>
      <c r="B1786" s="2" t="s">
        <v>3022</v>
      </c>
      <c r="C1786" s="2" t="s">
        <v>2931</v>
      </c>
      <c r="D1786" s="2" t="s">
        <v>2932</v>
      </c>
    </row>
    <row r="1787">
      <c r="A1787" s="2" t="s">
        <v>2929</v>
      </c>
      <c r="B1787" s="2" t="s">
        <v>3024</v>
      </c>
      <c r="C1787" s="2" t="s">
        <v>2931</v>
      </c>
      <c r="D1787" s="2" t="s">
        <v>2932</v>
      </c>
    </row>
    <row r="1788">
      <c r="A1788" s="2" t="s">
        <v>2929</v>
      </c>
      <c r="B1788" s="2" t="s">
        <v>3026</v>
      </c>
      <c r="C1788" s="2" t="s">
        <v>2931</v>
      </c>
      <c r="D1788" s="2" t="s">
        <v>2932</v>
      </c>
    </row>
    <row r="1789">
      <c r="A1789" s="2" t="s">
        <v>2929</v>
      </c>
      <c r="B1789" s="2" t="s">
        <v>3027</v>
      </c>
      <c r="C1789" s="2" t="s">
        <v>2931</v>
      </c>
      <c r="D1789" s="2" t="s">
        <v>2932</v>
      </c>
    </row>
    <row r="1790">
      <c r="A1790" s="2" t="s">
        <v>2929</v>
      </c>
      <c r="B1790" s="2" t="s">
        <v>3028</v>
      </c>
      <c r="C1790" s="2" t="s">
        <v>2931</v>
      </c>
      <c r="D1790" s="2" t="s">
        <v>2932</v>
      </c>
    </row>
    <row r="1791">
      <c r="A1791" s="2" t="s">
        <v>2929</v>
      </c>
      <c r="B1791" s="2" t="s">
        <v>3029</v>
      </c>
      <c r="C1791" s="2" t="s">
        <v>2931</v>
      </c>
      <c r="D1791" s="2" t="s">
        <v>2932</v>
      </c>
    </row>
    <row r="1792">
      <c r="A1792" s="2" t="s">
        <v>2929</v>
      </c>
      <c r="B1792" s="2" t="s">
        <v>3030</v>
      </c>
      <c r="C1792" s="2" t="s">
        <v>2931</v>
      </c>
      <c r="D1792" s="2" t="s">
        <v>2932</v>
      </c>
    </row>
    <row r="1793">
      <c r="A1793" s="2" t="s">
        <v>3031</v>
      </c>
      <c r="B1793" s="2" t="s">
        <v>3032</v>
      </c>
      <c r="G1793" s="2" t="s">
        <v>3033</v>
      </c>
    </row>
    <row r="1794">
      <c r="A1794" s="2" t="s">
        <v>3031</v>
      </c>
      <c r="B1794" s="2" t="s">
        <v>3034</v>
      </c>
      <c r="G1794" s="2" t="s">
        <v>3033</v>
      </c>
    </row>
    <row r="1795">
      <c r="A1795" s="2" t="s">
        <v>3031</v>
      </c>
      <c r="B1795" s="2" t="s">
        <v>3035</v>
      </c>
      <c r="G1795" s="2" t="s">
        <v>3033</v>
      </c>
    </row>
    <row r="1796">
      <c r="A1796" s="2" t="s">
        <v>3031</v>
      </c>
      <c r="B1796" s="2" t="s">
        <v>3036</v>
      </c>
      <c r="G1796" s="2" t="s">
        <v>3033</v>
      </c>
    </row>
    <row r="1797">
      <c r="A1797" s="2" t="s">
        <v>3031</v>
      </c>
      <c r="B1797" s="2" t="s">
        <v>3037</v>
      </c>
      <c r="G1797" s="2" t="s">
        <v>3033</v>
      </c>
    </row>
    <row r="1798">
      <c r="A1798" s="2" t="s">
        <v>3031</v>
      </c>
      <c r="B1798" s="2" t="s">
        <v>3038</v>
      </c>
      <c r="G1798" s="2" t="s">
        <v>3033</v>
      </c>
    </row>
    <row r="1799">
      <c r="A1799" s="2" t="s">
        <v>3031</v>
      </c>
      <c r="B1799" s="2" t="s">
        <v>3039</v>
      </c>
      <c r="G1799" s="2" t="s">
        <v>3033</v>
      </c>
    </row>
    <row r="1800">
      <c r="A1800" s="2" t="s">
        <v>3031</v>
      </c>
      <c r="B1800" s="2" t="s">
        <v>3040</v>
      </c>
      <c r="G1800" s="2" t="s">
        <v>3033</v>
      </c>
    </row>
    <row r="1801">
      <c r="A1801" s="2" t="s">
        <v>3031</v>
      </c>
      <c r="B1801" s="2" t="s">
        <v>3041</v>
      </c>
      <c r="G1801" s="2" t="s">
        <v>3033</v>
      </c>
    </row>
    <row r="1802">
      <c r="A1802" s="2" t="s">
        <v>3031</v>
      </c>
      <c r="B1802" s="2" t="s">
        <v>3043</v>
      </c>
      <c r="G1802" s="2" t="s">
        <v>3033</v>
      </c>
    </row>
    <row r="1803">
      <c r="A1803" s="2" t="s">
        <v>3031</v>
      </c>
      <c r="B1803" s="2" t="s">
        <v>3045</v>
      </c>
      <c r="G1803" s="2" t="s">
        <v>3033</v>
      </c>
    </row>
    <row r="1804">
      <c r="A1804" s="2" t="s">
        <v>3031</v>
      </c>
      <c r="B1804" s="2" t="s">
        <v>3046</v>
      </c>
      <c r="G1804" s="2" t="s">
        <v>3033</v>
      </c>
    </row>
    <row r="1805">
      <c r="A1805" s="2" t="s">
        <v>3031</v>
      </c>
      <c r="B1805" s="2" t="s">
        <v>3047</v>
      </c>
      <c r="G1805" s="2" t="s">
        <v>3033</v>
      </c>
    </row>
    <row r="1806">
      <c r="A1806" s="2" t="s">
        <v>3031</v>
      </c>
      <c r="B1806" s="2" t="s">
        <v>3048</v>
      </c>
      <c r="G1806" s="2" t="s">
        <v>3033</v>
      </c>
    </row>
    <row r="1807">
      <c r="A1807" s="2" t="s">
        <v>3031</v>
      </c>
      <c r="B1807" s="2" t="s">
        <v>3049</v>
      </c>
      <c r="G1807" s="2" t="s">
        <v>3033</v>
      </c>
    </row>
    <row r="1808">
      <c r="A1808" s="2" t="s">
        <v>3031</v>
      </c>
      <c r="B1808" s="2" t="s">
        <v>3050</v>
      </c>
      <c r="G1808" s="2" t="s">
        <v>3033</v>
      </c>
    </row>
    <row r="1809">
      <c r="A1809" s="2" t="s">
        <v>3031</v>
      </c>
      <c r="B1809" s="2" t="s">
        <v>3051</v>
      </c>
      <c r="G1809" s="2" t="s">
        <v>3033</v>
      </c>
    </row>
    <row r="1810">
      <c r="A1810" s="2" t="s">
        <v>3031</v>
      </c>
      <c r="B1810" s="2" t="s">
        <v>3052</v>
      </c>
      <c r="G1810" s="2" t="s">
        <v>3033</v>
      </c>
    </row>
    <row r="1811">
      <c r="A1811" s="2" t="s">
        <v>3031</v>
      </c>
      <c r="B1811" s="2" t="s">
        <v>3053</v>
      </c>
      <c r="G1811" s="2" t="s">
        <v>3033</v>
      </c>
    </row>
    <row r="1812">
      <c r="A1812" s="2" t="s">
        <v>3031</v>
      </c>
      <c r="B1812" s="2" t="s">
        <v>3054</v>
      </c>
      <c r="G1812" s="2" t="s">
        <v>3033</v>
      </c>
    </row>
    <row r="1813">
      <c r="A1813" s="2" t="s">
        <v>3031</v>
      </c>
      <c r="B1813" s="2" t="s">
        <v>3055</v>
      </c>
      <c r="G1813" s="2" t="s">
        <v>3033</v>
      </c>
    </row>
    <row r="1814">
      <c r="A1814" s="2" t="s">
        <v>3031</v>
      </c>
      <c r="B1814" s="2" t="s">
        <v>3056</v>
      </c>
      <c r="G1814" s="2" t="s">
        <v>3033</v>
      </c>
    </row>
    <row r="1815">
      <c r="A1815" s="2" t="s">
        <v>3031</v>
      </c>
      <c r="B1815" s="2" t="s">
        <v>3057</v>
      </c>
      <c r="G1815" s="2" t="s">
        <v>3033</v>
      </c>
    </row>
    <row r="1816">
      <c r="A1816" s="2" t="s">
        <v>3058</v>
      </c>
      <c r="B1816" s="182">
        <v>42352.0</v>
      </c>
      <c r="C1816" s="2" t="s">
        <v>3059</v>
      </c>
      <c r="D1816" s="2" t="s">
        <v>3060</v>
      </c>
    </row>
    <row r="1817">
      <c r="A1817" s="2" t="s">
        <v>3058</v>
      </c>
      <c r="B1817" s="182">
        <v>42355.0</v>
      </c>
      <c r="C1817" s="2" t="s">
        <v>3059</v>
      </c>
      <c r="D1817" s="2" t="s">
        <v>3060</v>
      </c>
    </row>
    <row r="1818">
      <c r="A1818" s="2" t="s">
        <v>3058</v>
      </c>
      <c r="B1818" s="182">
        <v>42361.0</v>
      </c>
      <c r="C1818" s="2" t="s">
        <v>3059</v>
      </c>
      <c r="D1818" s="2" t="s">
        <v>3060</v>
      </c>
    </row>
    <row r="1819">
      <c r="A1819" s="2" t="s">
        <v>3058</v>
      </c>
      <c r="B1819" s="182">
        <v>42369.0</v>
      </c>
      <c r="C1819" s="2" t="s">
        <v>3059</v>
      </c>
      <c r="D1819" s="2" t="s">
        <v>3060</v>
      </c>
    </row>
    <row r="1820">
      <c r="A1820" s="2" t="s">
        <v>3058</v>
      </c>
      <c r="B1820" s="183">
        <v>42375.0</v>
      </c>
      <c r="C1820" s="2" t="s">
        <v>3059</v>
      </c>
      <c r="D1820" s="2" t="s">
        <v>3060</v>
      </c>
    </row>
    <row r="1821">
      <c r="A1821" s="2" t="s">
        <v>3058</v>
      </c>
      <c r="B1821" s="183">
        <v>42381.0</v>
      </c>
      <c r="C1821" s="2" t="s">
        <v>3059</v>
      </c>
      <c r="D1821" s="2" t="s">
        <v>3060</v>
      </c>
    </row>
    <row r="1822">
      <c r="A1822" s="2" t="s">
        <v>3058</v>
      </c>
      <c r="B1822" s="183">
        <v>42384.0</v>
      </c>
      <c r="C1822" s="2" t="s">
        <v>3059</v>
      </c>
      <c r="D1822" s="2" t="s">
        <v>3060</v>
      </c>
    </row>
    <row r="1823">
      <c r="A1823" s="2" t="s">
        <v>3058</v>
      </c>
      <c r="B1823" s="183">
        <v>42396.0</v>
      </c>
      <c r="C1823" s="2" t="s">
        <v>3059</v>
      </c>
      <c r="D1823" s="2" t="s">
        <v>3060</v>
      </c>
    </row>
    <row r="1824">
      <c r="A1824" s="2" t="s">
        <v>3058</v>
      </c>
      <c r="B1824" s="183">
        <v>42398.0</v>
      </c>
      <c r="C1824" s="2" t="s">
        <v>3059</v>
      </c>
      <c r="D1824" s="2" t="s">
        <v>3060</v>
      </c>
    </row>
    <row r="1825">
      <c r="A1825" s="2" t="s">
        <v>3058</v>
      </c>
      <c r="B1825" s="183">
        <v>42404.0</v>
      </c>
      <c r="C1825" s="2" t="s">
        <v>3059</v>
      </c>
      <c r="D1825" s="2" t="s">
        <v>3060</v>
      </c>
    </row>
    <row r="1826">
      <c r="A1826" s="2" t="s">
        <v>3058</v>
      </c>
      <c r="B1826" s="183">
        <v>42422.0</v>
      </c>
      <c r="C1826" s="2" t="s">
        <v>3059</v>
      </c>
      <c r="D1826" s="2" t="s">
        <v>3060</v>
      </c>
    </row>
    <row r="1827">
      <c r="A1827" s="2" t="s">
        <v>3058</v>
      </c>
      <c r="B1827" s="183">
        <v>42431.0</v>
      </c>
      <c r="C1827" s="2" t="s">
        <v>3059</v>
      </c>
      <c r="D1827" s="2" t="s">
        <v>3060</v>
      </c>
    </row>
    <row r="1828">
      <c r="A1828" s="2" t="s">
        <v>3058</v>
      </c>
      <c r="B1828" s="183">
        <v>42436.0</v>
      </c>
      <c r="C1828" s="2" t="s">
        <v>3059</v>
      </c>
      <c r="D1828" s="2" t="s">
        <v>3060</v>
      </c>
    </row>
    <row r="1829">
      <c r="A1829" s="2" t="s">
        <v>3058</v>
      </c>
      <c r="B1829" s="183">
        <v>42439.0</v>
      </c>
      <c r="C1829" s="2" t="s">
        <v>3059</v>
      </c>
      <c r="D1829" s="2" t="s">
        <v>3060</v>
      </c>
    </row>
    <row r="1830">
      <c r="A1830" s="2" t="s">
        <v>3058</v>
      </c>
      <c r="B1830" s="183">
        <v>42450.0</v>
      </c>
      <c r="C1830" s="2" t="s">
        <v>3059</v>
      </c>
      <c r="D1830" s="2" t="s">
        <v>3060</v>
      </c>
    </row>
    <row r="1831">
      <c r="A1831" s="2" t="s">
        <v>3058</v>
      </c>
      <c r="B1831" s="183">
        <v>42454.0</v>
      </c>
      <c r="C1831" s="2" t="s">
        <v>3059</v>
      </c>
      <c r="D1831" s="2" t="s">
        <v>3060</v>
      </c>
    </row>
    <row r="1832">
      <c r="A1832" s="2" t="s">
        <v>3058</v>
      </c>
      <c r="B1832" s="183">
        <v>42464.0</v>
      </c>
      <c r="C1832" s="2" t="s">
        <v>3059</v>
      </c>
      <c r="D1832" s="2" t="s">
        <v>3060</v>
      </c>
    </row>
    <row r="1833">
      <c r="A1833" s="2" t="s">
        <v>3058</v>
      </c>
      <c r="B1833" s="183">
        <v>42468.0</v>
      </c>
      <c r="C1833" s="2" t="s">
        <v>3059</v>
      </c>
      <c r="D1833" s="2" t="s">
        <v>3060</v>
      </c>
    </row>
    <row r="1834">
      <c r="A1834" s="2" t="s">
        <v>3058</v>
      </c>
      <c r="B1834" s="183">
        <v>42471.0</v>
      </c>
      <c r="C1834" s="2" t="s">
        <v>3059</v>
      </c>
      <c r="D1834" s="2" t="s">
        <v>3060</v>
      </c>
    </row>
    <row r="1835">
      <c r="A1835" s="2" t="s">
        <v>3058</v>
      </c>
      <c r="B1835" s="183">
        <v>42489.0</v>
      </c>
      <c r="C1835" s="2" t="s">
        <v>3059</v>
      </c>
      <c r="D1835" s="2" t="s">
        <v>3060</v>
      </c>
    </row>
    <row r="1836">
      <c r="A1836" s="2" t="s">
        <v>3058</v>
      </c>
      <c r="B1836" s="183">
        <v>42495.0</v>
      </c>
      <c r="C1836" s="2" t="s">
        <v>3059</v>
      </c>
      <c r="D1836" s="2" t="s">
        <v>3060</v>
      </c>
    </row>
    <row r="1837">
      <c r="A1837" s="2" t="s">
        <v>3058</v>
      </c>
      <c r="B1837" s="2" t="s">
        <v>3062</v>
      </c>
      <c r="C1837" s="2" t="s">
        <v>3059</v>
      </c>
      <c r="D1837" s="2" t="s">
        <v>3063</v>
      </c>
    </row>
    <row r="1838">
      <c r="A1838" s="2" t="s">
        <v>3058</v>
      </c>
      <c r="B1838" s="2" t="s">
        <v>3064</v>
      </c>
      <c r="C1838" s="2" t="s">
        <v>3059</v>
      </c>
      <c r="D1838" s="2" t="s">
        <v>3063</v>
      </c>
    </row>
    <row r="1839">
      <c r="A1839" s="2" t="s">
        <v>3058</v>
      </c>
      <c r="B1839" s="2" t="s">
        <v>3066</v>
      </c>
      <c r="C1839" s="2" t="s">
        <v>3059</v>
      </c>
      <c r="D1839" s="2" t="s">
        <v>3063</v>
      </c>
    </row>
    <row r="1840">
      <c r="A1840" s="2" t="s">
        <v>3058</v>
      </c>
      <c r="B1840" s="2" t="s">
        <v>3067</v>
      </c>
      <c r="C1840" s="2" t="s">
        <v>3059</v>
      </c>
      <c r="D1840" s="2" t="s">
        <v>3063</v>
      </c>
    </row>
    <row r="1841">
      <c r="A1841" s="2" t="s">
        <v>3058</v>
      </c>
      <c r="B1841" s="2" t="s">
        <v>3068</v>
      </c>
      <c r="C1841" s="2" t="s">
        <v>3059</v>
      </c>
      <c r="D1841" s="2" t="s">
        <v>3063</v>
      </c>
    </row>
    <row r="1842">
      <c r="A1842" s="2" t="s">
        <v>3058</v>
      </c>
      <c r="B1842" s="2" t="s">
        <v>3069</v>
      </c>
      <c r="C1842" s="2" t="s">
        <v>3059</v>
      </c>
      <c r="D1842" s="2" t="s">
        <v>3063</v>
      </c>
    </row>
    <row r="1843">
      <c r="A1843" s="2" t="s">
        <v>3058</v>
      </c>
      <c r="B1843" s="2" t="s">
        <v>3070</v>
      </c>
      <c r="C1843" s="2" t="s">
        <v>3059</v>
      </c>
      <c r="D1843" s="2" t="s">
        <v>3063</v>
      </c>
    </row>
    <row r="1844">
      <c r="A1844" s="2" t="s">
        <v>3058</v>
      </c>
      <c r="B1844" s="2" t="s">
        <v>3071</v>
      </c>
      <c r="C1844" s="2" t="s">
        <v>3059</v>
      </c>
      <c r="D1844" s="2" t="s">
        <v>3063</v>
      </c>
    </row>
    <row r="1845">
      <c r="A1845" s="2" t="s">
        <v>3058</v>
      </c>
      <c r="B1845" s="2" t="s">
        <v>3072</v>
      </c>
      <c r="C1845" s="2" t="s">
        <v>3059</v>
      </c>
      <c r="D1845" s="2" t="s">
        <v>3063</v>
      </c>
    </row>
    <row r="1846">
      <c r="A1846" s="2" t="s">
        <v>3058</v>
      </c>
      <c r="B1846" s="2" t="s">
        <v>3074</v>
      </c>
      <c r="C1846" s="2" t="s">
        <v>3059</v>
      </c>
      <c r="D1846" s="2" t="s">
        <v>3063</v>
      </c>
    </row>
    <row r="1847">
      <c r="A1847" s="2" t="s">
        <v>3058</v>
      </c>
      <c r="B1847" s="2" t="s">
        <v>3075</v>
      </c>
      <c r="C1847" s="2" t="s">
        <v>3059</v>
      </c>
      <c r="D1847" s="2" t="s">
        <v>3063</v>
      </c>
    </row>
    <row r="1848">
      <c r="A1848" s="2" t="s">
        <v>3058</v>
      </c>
      <c r="B1848" s="2" t="s">
        <v>3076</v>
      </c>
      <c r="C1848" s="2" t="s">
        <v>3059</v>
      </c>
      <c r="D1848" s="2" t="s">
        <v>3063</v>
      </c>
    </row>
    <row r="1849">
      <c r="A1849" s="2" t="s">
        <v>3058</v>
      </c>
      <c r="B1849" s="2" t="s">
        <v>3077</v>
      </c>
      <c r="C1849" s="2" t="s">
        <v>3059</v>
      </c>
      <c r="D1849" s="2" t="s">
        <v>3063</v>
      </c>
    </row>
    <row r="1850">
      <c r="A1850" s="2" t="s">
        <v>3058</v>
      </c>
      <c r="B1850" s="2" t="s">
        <v>3078</v>
      </c>
      <c r="C1850" s="2" t="s">
        <v>3059</v>
      </c>
      <c r="D1850" s="2" t="s">
        <v>3063</v>
      </c>
    </row>
    <row r="1851">
      <c r="A1851" s="2" t="s">
        <v>3058</v>
      </c>
      <c r="B1851" s="2" t="s">
        <v>3079</v>
      </c>
      <c r="C1851" s="2" t="s">
        <v>3059</v>
      </c>
      <c r="D1851" s="2" t="s">
        <v>3063</v>
      </c>
    </row>
    <row r="1852">
      <c r="A1852" s="2" t="s">
        <v>3058</v>
      </c>
      <c r="B1852" s="2" t="s">
        <v>3080</v>
      </c>
      <c r="C1852" s="2" t="s">
        <v>3059</v>
      </c>
      <c r="D1852" s="2" t="s">
        <v>3063</v>
      </c>
    </row>
    <row r="1853">
      <c r="A1853" s="2" t="s">
        <v>3058</v>
      </c>
      <c r="B1853" s="2" t="s">
        <v>3081</v>
      </c>
      <c r="C1853" s="2" t="s">
        <v>3059</v>
      </c>
      <c r="D1853" s="2" t="s">
        <v>3063</v>
      </c>
    </row>
    <row r="1854">
      <c r="A1854" s="2" t="s">
        <v>3058</v>
      </c>
      <c r="B1854" s="2" t="s">
        <v>3082</v>
      </c>
      <c r="C1854" s="2" t="s">
        <v>3059</v>
      </c>
      <c r="D1854" s="2" t="s">
        <v>3063</v>
      </c>
    </row>
    <row r="1855">
      <c r="A1855" s="2" t="s">
        <v>3058</v>
      </c>
      <c r="B1855" s="2" t="s">
        <v>3083</v>
      </c>
      <c r="C1855" s="2" t="s">
        <v>3059</v>
      </c>
      <c r="D1855" s="2" t="s">
        <v>3063</v>
      </c>
    </row>
    <row r="1856">
      <c r="A1856" s="2" t="s">
        <v>3058</v>
      </c>
      <c r="B1856" s="2" t="s">
        <v>3083</v>
      </c>
      <c r="C1856" s="2" t="s">
        <v>3059</v>
      </c>
      <c r="D1856" s="2" t="s">
        <v>3063</v>
      </c>
    </row>
    <row r="1857">
      <c r="A1857" s="2" t="s">
        <v>3058</v>
      </c>
      <c r="B1857" s="2" t="s">
        <v>3084</v>
      </c>
      <c r="C1857" s="2" t="s">
        <v>3059</v>
      </c>
      <c r="D1857" s="2" t="s">
        <v>3063</v>
      </c>
    </row>
    <row r="1858">
      <c r="A1858" s="2" t="s">
        <v>3058</v>
      </c>
      <c r="B1858" s="2" t="s">
        <v>3085</v>
      </c>
      <c r="C1858" s="2" t="s">
        <v>3059</v>
      </c>
      <c r="D1858" s="2" t="s">
        <v>3063</v>
      </c>
    </row>
    <row r="1859">
      <c r="A1859" s="2" t="s">
        <v>3058</v>
      </c>
      <c r="B1859" s="2" t="s">
        <v>3086</v>
      </c>
      <c r="C1859" s="2" t="s">
        <v>3059</v>
      </c>
      <c r="D1859" s="2" t="s">
        <v>3063</v>
      </c>
    </row>
    <row r="1860">
      <c r="A1860" s="2" t="s">
        <v>3058</v>
      </c>
      <c r="B1860" s="2" t="s">
        <v>3087</v>
      </c>
      <c r="C1860" s="2" t="s">
        <v>3059</v>
      </c>
      <c r="D1860" s="2" t="s">
        <v>3063</v>
      </c>
    </row>
    <row r="1861">
      <c r="A1861" s="2" t="s">
        <v>3058</v>
      </c>
      <c r="B1861" s="2" t="s">
        <v>3088</v>
      </c>
      <c r="C1861" s="2" t="s">
        <v>3059</v>
      </c>
      <c r="D1861" s="2" t="s">
        <v>3063</v>
      </c>
    </row>
    <row r="1862">
      <c r="A1862" s="2" t="s">
        <v>3058</v>
      </c>
      <c r="B1862" s="2" t="s">
        <v>3089</v>
      </c>
      <c r="C1862" s="2" t="s">
        <v>3059</v>
      </c>
      <c r="D1862" s="2" t="s">
        <v>3063</v>
      </c>
    </row>
    <row r="1863">
      <c r="A1863" s="2" t="s">
        <v>3058</v>
      </c>
      <c r="B1863" s="2" t="s">
        <v>3090</v>
      </c>
      <c r="C1863" s="2" t="s">
        <v>3059</v>
      </c>
      <c r="D1863" s="2" t="s">
        <v>3063</v>
      </c>
    </row>
    <row r="1864">
      <c r="A1864" s="2" t="s">
        <v>3058</v>
      </c>
      <c r="B1864" s="2" t="s">
        <v>3092</v>
      </c>
      <c r="C1864" s="2" t="s">
        <v>3059</v>
      </c>
      <c r="D1864" s="2" t="s">
        <v>3063</v>
      </c>
    </row>
    <row r="1865">
      <c r="A1865" s="2" t="s">
        <v>3058</v>
      </c>
      <c r="B1865" s="2" t="s">
        <v>3094</v>
      </c>
      <c r="C1865" s="2" t="s">
        <v>3059</v>
      </c>
      <c r="D1865" s="2" t="s">
        <v>3063</v>
      </c>
    </row>
    <row r="1866">
      <c r="A1866" s="2" t="s">
        <v>3058</v>
      </c>
      <c r="B1866" s="2" t="s">
        <v>3095</v>
      </c>
      <c r="C1866" s="2" t="s">
        <v>3059</v>
      </c>
      <c r="D1866" s="2" t="s">
        <v>3063</v>
      </c>
    </row>
    <row r="1867">
      <c r="A1867" s="2" t="s">
        <v>3058</v>
      </c>
      <c r="B1867" s="2" t="s">
        <v>3096</v>
      </c>
      <c r="C1867" s="2" t="s">
        <v>3059</v>
      </c>
      <c r="D1867" s="2" t="s">
        <v>3063</v>
      </c>
    </row>
    <row r="1868">
      <c r="A1868" s="2" t="s">
        <v>3058</v>
      </c>
      <c r="B1868" s="2" t="s">
        <v>3097</v>
      </c>
      <c r="C1868" s="2" t="s">
        <v>3059</v>
      </c>
      <c r="D1868" s="2" t="s">
        <v>3063</v>
      </c>
    </row>
    <row r="1869">
      <c r="A1869" s="2" t="s">
        <v>3058</v>
      </c>
      <c r="B1869" s="2" t="s">
        <v>3098</v>
      </c>
      <c r="C1869" s="2" t="s">
        <v>3059</v>
      </c>
      <c r="D1869" s="2" t="s">
        <v>3063</v>
      </c>
    </row>
    <row r="1870">
      <c r="A1870" s="2" t="s">
        <v>3058</v>
      </c>
      <c r="B1870" s="2" t="s">
        <v>3099</v>
      </c>
      <c r="C1870" s="2" t="s">
        <v>3059</v>
      </c>
      <c r="D1870" s="2" t="s">
        <v>3063</v>
      </c>
    </row>
    <row r="1871">
      <c r="A1871" s="2" t="s">
        <v>3058</v>
      </c>
      <c r="B1871" s="2" t="s">
        <v>3100</v>
      </c>
      <c r="C1871" s="2" t="s">
        <v>3059</v>
      </c>
      <c r="D1871" s="2" t="s">
        <v>3063</v>
      </c>
    </row>
    <row r="1872">
      <c r="A1872" s="2" t="s">
        <v>3058</v>
      </c>
      <c r="B1872" s="2" t="s">
        <v>3101</v>
      </c>
      <c r="C1872" s="2" t="s">
        <v>3059</v>
      </c>
      <c r="D1872" s="2" t="s">
        <v>3063</v>
      </c>
    </row>
    <row r="1873">
      <c r="A1873" s="2" t="s">
        <v>3058</v>
      </c>
      <c r="B1873" s="2" t="s">
        <v>3102</v>
      </c>
      <c r="C1873" s="2" t="s">
        <v>3059</v>
      </c>
      <c r="D1873" s="2" t="s">
        <v>3063</v>
      </c>
    </row>
    <row r="1874">
      <c r="A1874" s="2" t="s">
        <v>3058</v>
      </c>
      <c r="B1874" s="2" t="s">
        <v>3104</v>
      </c>
      <c r="C1874" s="2" t="s">
        <v>3059</v>
      </c>
      <c r="D1874" s="2" t="s">
        <v>3063</v>
      </c>
    </row>
    <row r="1875">
      <c r="A1875" s="2" t="s">
        <v>3058</v>
      </c>
      <c r="B1875" s="2" t="s">
        <v>3106</v>
      </c>
      <c r="C1875" s="2" t="s">
        <v>3059</v>
      </c>
      <c r="D1875" s="2" t="s">
        <v>3063</v>
      </c>
    </row>
    <row r="1876">
      <c r="A1876" s="2" t="s">
        <v>3058</v>
      </c>
      <c r="B1876" s="2" t="s">
        <v>3107</v>
      </c>
      <c r="C1876" s="2" t="s">
        <v>3059</v>
      </c>
      <c r="D1876" s="2" t="s">
        <v>3063</v>
      </c>
    </row>
    <row r="1877">
      <c r="A1877" s="2" t="s">
        <v>3058</v>
      </c>
      <c r="B1877" s="2" t="s">
        <v>3108</v>
      </c>
      <c r="C1877" s="2" t="s">
        <v>3059</v>
      </c>
      <c r="D1877" s="2" t="s">
        <v>3063</v>
      </c>
    </row>
    <row r="1878">
      <c r="A1878" s="2" t="s">
        <v>3058</v>
      </c>
      <c r="B1878" s="2" t="s">
        <v>3109</v>
      </c>
      <c r="C1878" s="2" t="s">
        <v>3059</v>
      </c>
      <c r="D1878" s="2" t="s">
        <v>3063</v>
      </c>
    </row>
    <row r="1879">
      <c r="A1879" s="2" t="s">
        <v>3058</v>
      </c>
      <c r="B1879" s="2" t="s">
        <v>3110</v>
      </c>
      <c r="C1879" s="2" t="s">
        <v>3059</v>
      </c>
      <c r="D1879" s="2" t="s">
        <v>3063</v>
      </c>
    </row>
    <row r="1880">
      <c r="A1880" s="2" t="s">
        <v>3058</v>
      </c>
      <c r="B1880" s="2" t="s">
        <v>3111</v>
      </c>
      <c r="C1880" s="2" t="s">
        <v>3059</v>
      </c>
      <c r="D1880" s="2" t="s">
        <v>3063</v>
      </c>
    </row>
    <row r="1881">
      <c r="A1881" s="2" t="s">
        <v>3058</v>
      </c>
      <c r="B1881" s="2" t="s">
        <v>3112</v>
      </c>
      <c r="C1881" s="2" t="s">
        <v>3059</v>
      </c>
      <c r="D1881" s="2" t="s">
        <v>3063</v>
      </c>
    </row>
    <row r="1882">
      <c r="A1882" s="2" t="s">
        <v>3058</v>
      </c>
      <c r="B1882" s="2" t="s">
        <v>3113</v>
      </c>
      <c r="C1882" s="2" t="s">
        <v>3059</v>
      </c>
      <c r="D1882" s="2" t="s">
        <v>3063</v>
      </c>
    </row>
    <row r="1883">
      <c r="A1883" s="2" t="s">
        <v>3058</v>
      </c>
      <c r="B1883" s="2" t="s">
        <v>3113</v>
      </c>
      <c r="C1883" s="2" t="s">
        <v>3059</v>
      </c>
      <c r="D1883" s="2" t="s">
        <v>3063</v>
      </c>
    </row>
    <row r="1884">
      <c r="A1884" s="2" t="s">
        <v>3058</v>
      </c>
      <c r="B1884" s="2" t="s">
        <v>3113</v>
      </c>
      <c r="C1884" s="2" t="s">
        <v>3059</v>
      </c>
      <c r="D1884" s="2" t="s">
        <v>3063</v>
      </c>
    </row>
    <row r="1885">
      <c r="A1885" s="2" t="s">
        <v>3058</v>
      </c>
      <c r="B1885" s="2" t="s">
        <v>3114</v>
      </c>
      <c r="C1885" s="2" t="s">
        <v>3059</v>
      </c>
      <c r="D1885" s="2" t="s">
        <v>3063</v>
      </c>
    </row>
    <row r="1886">
      <c r="A1886" s="2" t="s">
        <v>3058</v>
      </c>
      <c r="B1886" s="2" t="s">
        <v>3115</v>
      </c>
      <c r="C1886" s="2" t="s">
        <v>3059</v>
      </c>
      <c r="D1886" s="2" t="s">
        <v>3063</v>
      </c>
    </row>
    <row r="1887">
      <c r="A1887" s="2" t="s">
        <v>3058</v>
      </c>
      <c r="B1887" s="2" t="s">
        <v>3115</v>
      </c>
      <c r="C1887" s="2" t="s">
        <v>3059</v>
      </c>
      <c r="D1887" s="2" t="s">
        <v>3063</v>
      </c>
    </row>
    <row r="1888">
      <c r="A1888" s="2" t="s">
        <v>3058</v>
      </c>
      <c r="B1888" s="2" t="s">
        <v>3116</v>
      </c>
      <c r="C1888" s="2" t="s">
        <v>3059</v>
      </c>
      <c r="D1888" s="2" t="s">
        <v>3063</v>
      </c>
    </row>
    <row r="1889">
      <c r="A1889" s="2" t="s">
        <v>3058</v>
      </c>
      <c r="B1889" s="2" t="s">
        <v>3117</v>
      </c>
      <c r="C1889" s="2" t="s">
        <v>3059</v>
      </c>
      <c r="D1889" s="2" t="s">
        <v>3063</v>
      </c>
    </row>
    <row r="1890">
      <c r="A1890" s="2" t="s">
        <v>3058</v>
      </c>
      <c r="B1890" s="2" t="s">
        <v>3118</v>
      </c>
      <c r="C1890" s="2" t="s">
        <v>3059</v>
      </c>
      <c r="D1890" s="2" t="s">
        <v>3063</v>
      </c>
    </row>
    <row r="1891">
      <c r="A1891" s="2" t="s">
        <v>3058</v>
      </c>
      <c r="B1891" s="2" t="s">
        <v>3119</v>
      </c>
      <c r="C1891" s="2" t="s">
        <v>3059</v>
      </c>
      <c r="D1891" s="2" t="s">
        <v>3063</v>
      </c>
    </row>
    <row r="1892">
      <c r="A1892" s="2" t="s">
        <v>3058</v>
      </c>
      <c r="B1892" s="2" t="s">
        <v>3120</v>
      </c>
      <c r="C1892" s="2" t="s">
        <v>3059</v>
      </c>
      <c r="D1892" s="2" t="s">
        <v>3063</v>
      </c>
    </row>
    <row r="1893">
      <c r="A1893" s="2" t="s">
        <v>3058</v>
      </c>
      <c r="B1893" s="2" t="s">
        <v>3121</v>
      </c>
      <c r="C1893" s="2" t="s">
        <v>3059</v>
      </c>
      <c r="D1893" s="2" t="s">
        <v>3063</v>
      </c>
    </row>
    <row r="1894">
      <c r="A1894" s="2" t="s">
        <v>3058</v>
      </c>
      <c r="B1894" s="2" t="s">
        <v>3122</v>
      </c>
      <c r="C1894" s="2" t="s">
        <v>3059</v>
      </c>
      <c r="D1894" s="2" t="s">
        <v>3063</v>
      </c>
    </row>
    <row r="1895">
      <c r="A1895" s="2" t="s">
        <v>3058</v>
      </c>
      <c r="B1895" s="2" t="s">
        <v>3123</v>
      </c>
      <c r="C1895" s="2" t="s">
        <v>3059</v>
      </c>
      <c r="D1895" s="2" t="s">
        <v>3063</v>
      </c>
    </row>
    <row r="1896">
      <c r="A1896" s="2" t="s">
        <v>3058</v>
      </c>
      <c r="B1896" s="182">
        <v>42013.0</v>
      </c>
      <c r="C1896" s="2" t="s">
        <v>3059</v>
      </c>
      <c r="D1896" s="2" t="s">
        <v>3063</v>
      </c>
    </row>
    <row r="1897">
      <c r="A1897" s="2" t="s">
        <v>3058</v>
      </c>
      <c r="B1897" s="184">
        <v>42065.0</v>
      </c>
      <c r="C1897" s="2" t="s">
        <v>3059</v>
      </c>
      <c r="D1897" s="2" t="s">
        <v>3063</v>
      </c>
    </row>
    <row r="1898">
      <c r="A1898" s="2" t="s">
        <v>3058</v>
      </c>
      <c r="B1898" s="184">
        <v>42068.0</v>
      </c>
      <c r="C1898" s="2" t="s">
        <v>3059</v>
      </c>
      <c r="D1898" s="2" t="s">
        <v>3063</v>
      </c>
    </row>
    <row r="1899">
      <c r="A1899" s="2" t="s">
        <v>3058</v>
      </c>
      <c r="B1899" s="184">
        <v>42072.0</v>
      </c>
      <c r="C1899" s="2" t="s">
        <v>3059</v>
      </c>
      <c r="D1899" s="2" t="s">
        <v>3063</v>
      </c>
    </row>
    <row r="1900">
      <c r="A1900" s="2" t="s">
        <v>3058</v>
      </c>
      <c r="B1900" s="184">
        <v>42074.0</v>
      </c>
      <c r="C1900" s="2" t="s">
        <v>3059</v>
      </c>
      <c r="D1900" s="2" t="s">
        <v>3063</v>
      </c>
    </row>
    <row r="1901">
      <c r="A1901" s="2" t="s">
        <v>3058</v>
      </c>
      <c r="B1901" s="184">
        <v>42076.0</v>
      </c>
      <c r="C1901" s="2" t="s">
        <v>3059</v>
      </c>
      <c r="D1901" s="2" t="s">
        <v>3063</v>
      </c>
    </row>
    <row r="1902">
      <c r="A1902" s="2" t="s">
        <v>3058</v>
      </c>
      <c r="B1902" s="184">
        <v>42077.0</v>
      </c>
      <c r="C1902" s="2" t="s">
        <v>3059</v>
      </c>
      <c r="D1902" s="2" t="s">
        <v>3063</v>
      </c>
    </row>
    <row r="1903">
      <c r="A1903" s="2" t="s">
        <v>3058</v>
      </c>
      <c r="B1903" s="184">
        <v>42080.0</v>
      </c>
      <c r="C1903" s="2" t="s">
        <v>3059</v>
      </c>
      <c r="D1903" s="2" t="s">
        <v>3063</v>
      </c>
    </row>
    <row r="1904">
      <c r="A1904" s="2" t="s">
        <v>3058</v>
      </c>
      <c r="B1904" s="184">
        <v>42082.0</v>
      </c>
      <c r="C1904" s="2" t="s">
        <v>3059</v>
      </c>
      <c r="D1904" s="2" t="s">
        <v>3063</v>
      </c>
    </row>
    <row r="1905">
      <c r="A1905" s="2" t="s">
        <v>3058</v>
      </c>
      <c r="B1905" s="184">
        <v>42084.0</v>
      </c>
      <c r="C1905" s="2" t="s">
        <v>3059</v>
      </c>
      <c r="D1905" s="2" t="s">
        <v>3063</v>
      </c>
    </row>
    <row r="1906">
      <c r="A1906" s="2" t="s">
        <v>3058</v>
      </c>
      <c r="B1906" s="184">
        <v>42087.0</v>
      </c>
      <c r="C1906" s="2" t="s">
        <v>3059</v>
      </c>
      <c r="D1906" s="2" t="s">
        <v>3063</v>
      </c>
    </row>
    <row r="1907">
      <c r="A1907" s="2" t="s">
        <v>3058</v>
      </c>
      <c r="B1907" s="184">
        <v>42089.0</v>
      </c>
      <c r="C1907" s="2" t="s">
        <v>3059</v>
      </c>
      <c r="D1907" s="2" t="s">
        <v>3063</v>
      </c>
    </row>
    <row r="1908">
      <c r="A1908" s="2" t="s">
        <v>3058</v>
      </c>
      <c r="B1908" s="184">
        <v>42094.0</v>
      </c>
      <c r="C1908" s="2" t="s">
        <v>3059</v>
      </c>
      <c r="D1908" s="2" t="s">
        <v>3063</v>
      </c>
    </row>
    <row r="1909">
      <c r="A1909" s="2" t="s">
        <v>3058</v>
      </c>
      <c r="B1909" s="183">
        <v>42229.0</v>
      </c>
      <c r="C1909" s="2" t="s">
        <v>3059</v>
      </c>
      <c r="D1909" s="2" t="s">
        <v>3063</v>
      </c>
    </row>
    <row r="1910">
      <c r="A1910" s="2" t="s">
        <v>3058</v>
      </c>
      <c r="B1910" s="1">
        <v>42380.0</v>
      </c>
      <c r="C1910" s="2" t="s">
        <v>3059</v>
      </c>
      <c r="D1910" s="2" t="s">
        <v>3063</v>
      </c>
    </row>
    <row r="1911">
      <c r="A1911" s="2" t="s">
        <v>3058</v>
      </c>
      <c r="B1911" s="1">
        <v>42382.0</v>
      </c>
      <c r="C1911" s="2" t="s">
        <v>3059</v>
      </c>
      <c r="D1911" s="2" t="s">
        <v>3063</v>
      </c>
    </row>
    <row r="1912">
      <c r="A1912" s="2" t="s">
        <v>3058</v>
      </c>
      <c r="B1912" s="1">
        <v>42384.0</v>
      </c>
      <c r="C1912" s="2" t="s">
        <v>3059</v>
      </c>
      <c r="D1912" s="2" t="s">
        <v>3063</v>
      </c>
    </row>
    <row r="1913">
      <c r="A1913" s="2" t="s">
        <v>3058</v>
      </c>
      <c r="B1913" s="1">
        <v>42020.0</v>
      </c>
      <c r="C1913" s="2" t="s">
        <v>3059</v>
      </c>
      <c r="D1913" s="2" t="s">
        <v>3063</v>
      </c>
    </row>
    <row r="1914">
      <c r="A1914" s="2" t="s">
        <v>3058</v>
      </c>
      <c r="B1914" s="1">
        <v>42391.0</v>
      </c>
      <c r="C1914" s="2" t="s">
        <v>3059</v>
      </c>
      <c r="D1914" s="2" t="s">
        <v>3063</v>
      </c>
    </row>
    <row r="1915">
      <c r="A1915" s="2" t="s">
        <v>3058</v>
      </c>
      <c r="B1915" s="1">
        <v>42392.0</v>
      </c>
      <c r="C1915" s="2" t="s">
        <v>3059</v>
      </c>
      <c r="D1915" s="2" t="s">
        <v>3063</v>
      </c>
    </row>
    <row r="1916">
      <c r="A1916" s="2" t="s">
        <v>3058</v>
      </c>
      <c r="B1916" s="1">
        <v>42393.0</v>
      </c>
      <c r="C1916" s="2" t="s">
        <v>3059</v>
      </c>
      <c r="D1916" s="2" t="s">
        <v>3063</v>
      </c>
    </row>
    <row r="1917">
      <c r="A1917" s="2" t="s">
        <v>3058</v>
      </c>
      <c r="B1917" s="1">
        <v>42398.0</v>
      </c>
      <c r="C1917" s="2" t="s">
        <v>3059</v>
      </c>
      <c r="D1917" s="2" t="s">
        <v>3063</v>
      </c>
    </row>
    <row r="1918">
      <c r="A1918" s="2" t="s">
        <v>3058</v>
      </c>
      <c r="B1918" s="1">
        <v>42374.0</v>
      </c>
      <c r="C1918" s="2" t="s">
        <v>3059</v>
      </c>
      <c r="D1918" s="2" t="s">
        <v>3063</v>
      </c>
    </row>
    <row r="1919">
      <c r="A1919" s="2" t="s">
        <v>3058</v>
      </c>
      <c r="B1919" s="1">
        <v>42375.0</v>
      </c>
      <c r="C1919" s="2" t="s">
        <v>3059</v>
      </c>
      <c r="D1919" s="2" t="s">
        <v>3063</v>
      </c>
    </row>
    <row r="1920">
      <c r="A1920" s="2" t="s">
        <v>3058</v>
      </c>
      <c r="B1920" s="1">
        <v>42377.0</v>
      </c>
      <c r="C1920" s="2" t="s">
        <v>3059</v>
      </c>
      <c r="D1920" s="2" t="s">
        <v>3063</v>
      </c>
    </row>
    <row r="1921">
      <c r="A1921" s="2" t="s">
        <v>3058</v>
      </c>
      <c r="B1921" s="1">
        <v>42290.0</v>
      </c>
      <c r="C1921" s="2" t="s">
        <v>3059</v>
      </c>
      <c r="D1921" s="2" t="s">
        <v>3063</v>
      </c>
    </row>
    <row r="1922">
      <c r="A1922" s="2" t="s">
        <v>3058</v>
      </c>
      <c r="B1922" s="1">
        <v>42292.0</v>
      </c>
      <c r="C1922" s="2" t="s">
        <v>3059</v>
      </c>
      <c r="D1922" s="2" t="s">
        <v>3063</v>
      </c>
    </row>
    <row r="1923">
      <c r="A1923" s="2" t="s">
        <v>3058</v>
      </c>
      <c r="B1923" s="182">
        <v>42301.0</v>
      </c>
      <c r="C1923" s="2" t="s">
        <v>3059</v>
      </c>
      <c r="D1923" s="2" t="s">
        <v>3063</v>
      </c>
    </row>
    <row r="1924">
      <c r="A1924" s="2" t="s">
        <v>3058</v>
      </c>
      <c r="B1924" s="1">
        <v>42303.0</v>
      </c>
      <c r="C1924" s="2" t="s">
        <v>3059</v>
      </c>
      <c r="D1924" s="2" t="s">
        <v>3063</v>
      </c>
    </row>
    <row r="1925">
      <c r="A1925" s="2" t="s">
        <v>3058</v>
      </c>
      <c r="B1925" s="1">
        <v>42304.0</v>
      </c>
      <c r="C1925" s="2" t="s">
        <v>3059</v>
      </c>
      <c r="D1925" s="2" t="s">
        <v>3063</v>
      </c>
    </row>
    <row r="1926">
      <c r="A1926" s="2" t="s">
        <v>3058</v>
      </c>
      <c r="B1926" s="1">
        <v>42306.0</v>
      </c>
      <c r="C1926" s="2" t="s">
        <v>3059</v>
      </c>
      <c r="D1926" s="2" t="s">
        <v>3063</v>
      </c>
    </row>
    <row r="1927">
      <c r="A1927" s="2" t="s">
        <v>3058</v>
      </c>
      <c r="B1927" s="1">
        <v>42307.0</v>
      </c>
      <c r="C1927" s="2" t="s">
        <v>3059</v>
      </c>
      <c r="D1927" s="2" t="s">
        <v>3063</v>
      </c>
    </row>
    <row r="1928">
      <c r="A1928" s="2" t="s">
        <v>3058</v>
      </c>
      <c r="B1928" s="1">
        <v>42283.0</v>
      </c>
      <c r="C1928" s="2" t="s">
        <v>3059</v>
      </c>
      <c r="D1928" s="2" t="s">
        <v>3063</v>
      </c>
    </row>
    <row r="1929">
      <c r="A1929" s="2" t="s">
        <v>3058</v>
      </c>
      <c r="B1929" s="1">
        <v>42318.0</v>
      </c>
      <c r="C1929" s="2" t="s">
        <v>3059</v>
      </c>
      <c r="D1929" s="2" t="s">
        <v>3063</v>
      </c>
    </row>
    <row r="1930">
      <c r="A1930" s="2" t="s">
        <v>3058</v>
      </c>
      <c r="B1930" s="1">
        <v>42320.0</v>
      </c>
      <c r="C1930" s="2" t="s">
        <v>3059</v>
      </c>
      <c r="D1930" s="2" t="s">
        <v>3063</v>
      </c>
    </row>
    <row r="1931">
      <c r="A1931" s="2" t="s">
        <v>3058</v>
      </c>
      <c r="B1931" s="1">
        <v>42323.0</v>
      </c>
      <c r="C1931" s="2" t="s">
        <v>3059</v>
      </c>
      <c r="D1931" s="2" t="s">
        <v>3063</v>
      </c>
    </row>
    <row r="1932">
      <c r="A1932" s="2" t="s">
        <v>3058</v>
      </c>
      <c r="B1932" s="1">
        <v>42324.0</v>
      </c>
      <c r="C1932" s="2" t="s">
        <v>3059</v>
      </c>
      <c r="D1932" s="2" t="s">
        <v>3063</v>
      </c>
    </row>
    <row r="1933">
      <c r="A1933" s="2" t="s">
        <v>3058</v>
      </c>
      <c r="B1933" s="1">
        <v>42326.0</v>
      </c>
      <c r="C1933" s="2" t="s">
        <v>3059</v>
      </c>
      <c r="D1933" s="2" t="s">
        <v>3063</v>
      </c>
    </row>
    <row r="1934">
      <c r="A1934" s="2" t="s">
        <v>3058</v>
      </c>
      <c r="B1934" s="1">
        <v>42310.0</v>
      </c>
      <c r="C1934" s="2" t="s">
        <v>3059</v>
      </c>
      <c r="D1934" s="2" t="s">
        <v>3063</v>
      </c>
    </row>
    <row r="1935">
      <c r="A1935" s="2" t="s">
        <v>3058</v>
      </c>
      <c r="B1935" s="1">
        <v>42328.0</v>
      </c>
      <c r="C1935" s="2" t="s">
        <v>3059</v>
      </c>
      <c r="D1935" s="2" t="s">
        <v>3063</v>
      </c>
    </row>
    <row r="1936">
      <c r="A1936" s="2" t="s">
        <v>3058</v>
      </c>
      <c r="B1936" s="1">
        <v>42332.0</v>
      </c>
      <c r="C1936" s="2" t="s">
        <v>3059</v>
      </c>
      <c r="D1936" s="2" t="s">
        <v>3063</v>
      </c>
    </row>
    <row r="1937">
      <c r="A1937" s="2" t="s">
        <v>3058</v>
      </c>
      <c r="B1937" s="1">
        <v>42333.0</v>
      </c>
      <c r="C1937" s="2" t="s">
        <v>3059</v>
      </c>
      <c r="D1937" s="2" t="s">
        <v>3063</v>
      </c>
    </row>
    <row r="1938">
      <c r="A1938" s="2" t="s">
        <v>3058</v>
      </c>
      <c r="B1938" s="1">
        <v>42311.0</v>
      </c>
      <c r="C1938" s="2" t="s">
        <v>3059</v>
      </c>
      <c r="D1938" s="2" t="s">
        <v>3063</v>
      </c>
    </row>
    <row r="1939">
      <c r="A1939" s="2" t="s">
        <v>3058</v>
      </c>
      <c r="B1939" s="1">
        <v>42338.0</v>
      </c>
      <c r="C1939" s="2" t="s">
        <v>3059</v>
      </c>
      <c r="D1939" s="2" t="s">
        <v>3063</v>
      </c>
    </row>
    <row r="1940">
      <c r="A1940" s="2" t="s">
        <v>3058</v>
      </c>
      <c r="B1940" s="1">
        <v>42312.0</v>
      </c>
      <c r="C1940" s="2" t="s">
        <v>3059</v>
      </c>
      <c r="D1940" s="2" t="s">
        <v>3063</v>
      </c>
    </row>
    <row r="1941">
      <c r="A1941" s="2" t="s">
        <v>3058</v>
      </c>
      <c r="B1941" s="1">
        <v>42349.0</v>
      </c>
      <c r="C1941" s="2" t="s">
        <v>3059</v>
      </c>
      <c r="D1941" s="2" t="s">
        <v>3063</v>
      </c>
    </row>
    <row r="1942">
      <c r="A1942" s="2" t="s">
        <v>3058</v>
      </c>
      <c r="B1942" s="1">
        <v>42357.0</v>
      </c>
      <c r="C1942" s="2" t="s">
        <v>3059</v>
      </c>
      <c r="D1942" s="2" t="s">
        <v>3063</v>
      </c>
    </row>
    <row r="1943">
      <c r="A1943" s="2" t="s">
        <v>3058</v>
      </c>
      <c r="B1943" s="1">
        <v>42340.0</v>
      </c>
      <c r="C1943" s="2" t="s">
        <v>3059</v>
      </c>
      <c r="D1943" s="2" t="s">
        <v>3063</v>
      </c>
    </row>
    <row r="1944">
      <c r="A1944" s="2" t="s">
        <v>3058</v>
      </c>
      <c r="B1944" s="1">
        <v>42358.0</v>
      </c>
      <c r="C1944" s="2" t="s">
        <v>3059</v>
      </c>
      <c r="D1944" s="2" t="s">
        <v>3063</v>
      </c>
    </row>
    <row r="1945">
      <c r="A1945" s="2" t="s">
        <v>3058</v>
      </c>
      <c r="B1945" s="1">
        <v>42359.0</v>
      </c>
      <c r="C1945" s="2" t="s">
        <v>3059</v>
      </c>
      <c r="D1945" s="2" t="s">
        <v>3063</v>
      </c>
    </row>
    <row r="1946">
      <c r="A1946" s="2" t="s">
        <v>3058</v>
      </c>
      <c r="B1946" s="2" t="s">
        <v>3133</v>
      </c>
      <c r="C1946" s="2" t="s">
        <v>3059</v>
      </c>
      <c r="D1946" s="2" t="s">
        <v>3063</v>
      </c>
    </row>
    <row r="1947">
      <c r="A1947" s="2" t="s">
        <v>3058</v>
      </c>
      <c r="B1947" s="2" t="s">
        <v>3136</v>
      </c>
      <c r="C1947" s="2" t="s">
        <v>3059</v>
      </c>
      <c r="D1947" s="2" t="s">
        <v>3063</v>
      </c>
    </row>
    <row r="1948">
      <c r="A1948" s="2" t="s">
        <v>3058</v>
      </c>
      <c r="B1948" s="182">
        <v>41996.0</v>
      </c>
      <c r="C1948" s="2" t="s">
        <v>3059</v>
      </c>
      <c r="D1948" s="2" t="s">
        <v>3063</v>
      </c>
    </row>
    <row r="1949">
      <c r="A1949" s="2" t="s">
        <v>3058</v>
      </c>
      <c r="B1949" s="1">
        <v>42364.0</v>
      </c>
      <c r="C1949" s="2" t="s">
        <v>3059</v>
      </c>
      <c r="D1949" s="2" t="s">
        <v>3063</v>
      </c>
    </row>
    <row r="1950">
      <c r="A1950" s="2" t="s">
        <v>3058</v>
      </c>
      <c r="B1950" s="1">
        <v>42365.0</v>
      </c>
      <c r="C1950" s="2" t="s">
        <v>3059</v>
      </c>
      <c r="D1950" s="2" t="s">
        <v>3063</v>
      </c>
    </row>
    <row r="1951">
      <c r="A1951" s="2" t="s">
        <v>3058</v>
      </c>
      <c r="B1951" s="1">
        <v>42366.0</v>
      </c>
      <c r="C1951" s="2" t="s">
        <v>3059</v>
      </c>
      <c r="D1951" s="2" t="s">
        <v>3063</v>
      </c>
    </row>
    <row r="1952">
      <c r="A1952" s="2" t="s">
        <v>3058</v>
      </c>
      <c r="B1952" s="188">
        <v>45655.0</v>
      </c>
      <c r="C1952" s="2" t="s">
        <v>3059</v>
      </c>
      <c r="D1952" s="2" t="s">
        <v>3063</v>
      </c>
    </row>
    <row r="1953">
      <c r="A1953" s="2" t="s">
        <v>3058</v>
      </c>
      <c r="B1953" s="1">
        <v>42368.0</v>
      </c>
      <c r="C1953" s="2" t="s">
        <v>3059</v>
      </c>
      <c r="D1953" s="2" t="s">
        <v>3063</v>
      </c>
    </row>
    <row r="1954">
      <c r="A1954" s="2" t="s">
        <v>3058</v>
      </c>
      <c r="B1954" s="1">
        <v>42342.0</v>
      </c>
      <c r="C1954" s="2" t="s">
        <v>3059</v>
      </c>
      <c r="D1954" s="2" t="s">
        <v>3063</v>
      </c>
    </row>
    <row r="1955">
      <c r="A1955" s="2" t="s">
        <v>3058</v>
      </c>
      <c r="B1955" s="1">
        <v>42346.0</v>
      </c>
      <c r="C1955" s="2" t="s">
        <v>3059</v>
      </c>
      <c r="D1955" s="2" t="s">
        <v>3063</v>
      </c>
    </row>
    <row r="1956">
      <c r="A1956" s="2" t="s">
        <v>3058</v>
      </c>
      <c r="B1956" s="1">
        <v>42410.0</v>
      </c>
      <c r="C1956" s="2" t="s">
        <v>3059</v>
      </c>
      <c r="D1956" s="2" t="s">
        <v>3063</v>
      </c>
    </row>
    <row r="1957">
      <c r="A1957" s="2" t="s">
        <v>3058</v>
      </c>
      <c r="B1957" s="1">
        <v>42411.0</v>
      </c>
      <c r="C1957" s="2" t="s">
        <v>3059</v>
      </c>
      <c r="D1957" s="2" t="s">
        <v>3063</v>
      </c>
    </row>
    <row r="1958">
      <c r="A1958" s="2" t="s">
        <v>3058</v>
      </c>
      <c r="B1958" s="1">
        <v>42412.0</v>
      </c>
      <c r="C1958" s="2" t="s">
        <v>3059</v>
      </c>
      <c r="D1958" s="2" t="s">
        <v>3063</v>
      </c>
    </row>
    <row r="1959">
      <c r="A1959" s="2" t="s">
        <v>3058</v>
      </c>
      <c r="B1959" s="1">
        <v>42413.0</v>
      </c>
      <c r="C1959" s="2" t="s">
        <v>3059</v>
      </c>
      <c r="D1959" s="2" t="s">
        <v>3063</v>
      </c>
    </row>
    <row r="1960">
      <c r="A1960" s="2" t="s">
        <v>3058</v>
      </c>
      <c r="B1960" s="1">
        <v>42415.0</v>
      </c>
      <c r="C1960" s="2" t="s">
        <v>3059</v>
      </c>
      <c r="D1960" s="2" t="s">
        <v>3063</v>
      </c>
    </row>
    <row r="1961">
      <c r="A1961" s="2" t="s">
        <v>3058</v>
      </c>
      <c r="B1961" s="1">
        <v>42416.0</v>
      </c>
      <c r="C1961" s="2" t="s">
        <v>3059</v>
      </c>
      <c r="D1961" s="2" t="s">
        <v>3063</v>
      </c>
    </row>
    <row r="1962">
      <c r="A1962" s="2" t="s">
        <v>3058</v>
      </c>
      <c r="B1962" s="1">
        <v>42417.0</v>
      </c>
      <c r="C1962" s="2" t="s">
        <v>3059</v>
      </c>
      <c r="D1962" s="2" t="s">
        <v>3063</v>
      </c>
    </row>
    <row r="1963">
      <c r="A1963" s="2" t="s">
        <v>3058</v>
      </c>
      <c r="B1963" s="1">
        <v>42402.0</v>
      </c>
      <c r="C1963" s="2" t="s">
        <v>3059</v>
      </c>
      <c r="D1963" s="2" t="s">
        <v>3063</v>
      </c>
    </row>
    <row r="1964">
      <c r="A1964" s="2" t="s">
        <v>3058</v>
      </c>
      <c r="B1964" s="1">
        <v>42429.0</v>
      </c>
      <c r="C1964" s="2" t="s">
        <v>3059</v>
      </c>
      <c r="D1964" s="2" t="s">
        <v>3063</v>
      </c>
    </row>
    <row r="1965">
      <c r="A1965" s="2" t="s">
        <v>3058</v>
      </c>
      <c r="B1965" s="1">
        <v>42408.0</v>
      </c>
      <c r="C1965" s="2" t="s">
        <v>3059</v>
      </c>
      <c r="D1965" s="2" t="s">
        <v>3063</v>
      </c>
    </row>
    <row r="1966">
      <c r="A1966" s="2" t="s">
        <v>3058</v>
      </c>
      <c r="B1966" s="2" t="s">
        <v>3139</v>
      </c>
      <c r="C1966" s="2" t="s">
        <v>3059</v>
      </c>
      <c r="D1966" s="2" t="s">
        <v>3063</v>
      </c>
    </row>
    <row r="1967">
      <c r="A1967" s="2" t="s">
        <v>3058</v>
      </c>
      <c r="B1967" s="2" t="s">
        <v>3140</v>
      </c>
      <c r="C1967" s="2" t="s">
        <v>3059</v>
      </c>
      <c r="D1967" s="2" t="s">
        <v>3063</v>
      </c>
    </row>
    <row r="1968">
      <c r="A1968" s="2" t="s">
        <v>3058</v>
      </c>
      <c r="B1968" s="2" t="s">
        <v>3141</v>
      </c>
      <c r="C1968" s="2" t="s">
        <v>3059</v>
      </c>
      <c r="D1968" s="2" t="s">
        <v>3063</v>
      </c>
    </row>
    <row r="1969">
      <c r="A1969" s="2" t="s">
        <v>3058</v>
      </c>
      <c r="B1969" s="2" t="s">
        <v>3142</v>
      </c>
      <c r="C1969" s="2" t="s">
        <v>3059</v>
      </c>
      <c r="D1969" s="2" t="s">
        <v>3063</v>
      </c>
    </row>
    <row r="1970">
      <c r="A1970" s="2" t="s">
        <v>3058</v>
      </c>
      <c r="B1970" s="2" t="s">
        <v>3143</v>
      </c>
      <c r="C1970" s="2" t="s">
        <v>3059</v>
      </c>
      <c r="D1970" s="2" t="s">
        <v>3063</v>
      </c>
    </row>
    <row r="1971">
      <c r="A1971" s="2" t="s">
        <v>3058</v>
      </c>
      <c r="B1971" s="1">
        <v>42440.0</v>
      </c>
      <c r="C1971" s="2" t="s">
        <v>3059</v>
      </c>
      <c r="D1971" s="2" t="s">
        <v>3063</v>
      </c>
    </row>
    <row r="1972">
      <c r="A1972" s="2" t="s">
        <v>3058</v>
      </c>
      <c r="B1972" s="1">
        <v>42447.0</v>
      </c>
      <c r="C1972" s="2" t="s">
        <v>3059</v>
      </c>
      <c r="D1972" s="2" t="s">
        <v>3063</v>
      </c>
    </row>
    <row r="1973">
      <c r="A1973" s="2" t="s">
        <v>3058</v>
      </c>
      <c r="B1973" s="1">
        <v>42448.0</v>
      </c>
      <c r="C1973" s="2" t="s">
        <v>3059</v>
      </c>
      <c r="D1973" s="2" t="s">
        <v>3063</v>
      </c>
    </row>
    <row r="1974">
      <c r="A1974" s="2" t="s">
        <v>3058</v>
      </c>
      <c r="B1974" s="1">
        <v>42087.0</v>
      </c>
      <c r="C1974" s="2" t="s">
        <v>3059</v>
      </c>
      <c r="D1974" s="2" t="s">
        <v>3063</v>
      </c>
    </row>
    <row r="1975">
      <c r="A1975" s="2" t="s">
        <v>3058</v>
      </c>
      <c r="B1975" s="1">
        <v>42454.0</v>
      </c>
      <c r="C1975" s="2" t="s">
        <v>3059</v>
      </c>
      <c r="D1975" s="2" t="s">
        <v>3063</v>
      </c>
    </row>
    <row r="1976">
      <c r="A1976" s="2" t="s">
        <v>3058</v>
      </c>
      <c r="B1976" s="184">
        <v>42101.0</v>
      </c>
      <c r="C1976" s="2" t="s">
        <v>3059</v>
      </c>
      <c r="D1976" s="2" t="s">
        <v>3063</v>
      </c>
    </row>
    <row r="1977">
      <c r="A1977" s="2" t="s">
        <v>3058</v>
      </c>
      <c r="B1977" s="184">
        <v>42102.0</v>
      </c>
      <c r="C1977" s="2" t="s">
        <v>3059</v>
      </c>
      <c r="D1977" s="2" t="s">
        <v>3063</v>
      </c>
    </row>
    <row r="1978">
      <c r="A1978" s="2" t="s">
        <v>3058</v>
      </c>
      <c r="B1978" s="1">
        <v>42461.0</v>
      </c>
      <c r="C1978" s="2" t="s">
        <v>3059</v>
      </c>
      <c r="D1978" s="2" t="s">
        <v>3063</v>
      </c>
    </row>
    <row r="1979">
      <c r="A1979" s="2" t="s">
        <v>3058</v>
      </c>
      <c r="B1979" s="1">
        <v>42104.0</v>
      </c>
      <c r="C1979" s="2" t="s">
        <v>3059</v>
      </c>
      <c r="D1979" s="2" t="s">
        <v>3063</v>
      </c>
    </row>
    <row r="1980">
      <c r="A1980" s="2" t="s">
        <v>3058</v>
      </c>
      <c r="B1980" s="1">
        <v>42470.0</v>
      </c>
      <c r="C1980" s="2" t="s">
        <v>3059</v>
      </c>
      <c r="D1980" s="2" t="s">
        <v>3063</v>
      </c>
    </row>
    <row r="1981">
      <c r="A1981" s="2" t="s">
        <v>3058</v>
      </c>
      <c r="B1981" s="1">
        <v>42107.0</v>
      </c>
      <c r="C1981" s="2" t="s">
        <v>3059</v>
      </c>
      <c r="D1981" s="2" t="s">
        <v>3063</v>
      </c>
    </row>
    <row r="1982">
      <c r="A1982" s="2" t="s">
        <v>3058</v>
      </c>
      <c r="B1982" s="1">
        <v>42108.0</v>
      </c>
      <c r="C1982" s="2" t="s">
        <v>3059</v>
      </c>
      <c r="D1982" s="2" t="s">
        <v>3063</v>
      </c>
    </row>
    <row r="1983">
      <c r="A1983" s="2" t="s">
        <v>3058</v>
      </c>
      <c r="B1983" s="1">
        <v>42480.0</v>
      </c>
      <c r="C1983" s="2" t="s">
        <v>3059</v>
      </c>
      <c r="D1983" s="2" t="s">
        <v>3063</v>
      </c>
    </row>
    <row r="1984">
      <c r="A1984" s="2" t="s">
        <v>3058</v>
      </c>
      <c r="B1984" s="1">
        <v>42116.0</v>
      </c>
      <c r="C1984" s="2" t="s">
        <v>3059</v>
      </c>
      <c r="D1984" s="2" t="s">
        <v>3063</v>
      </c>
    </row>
    <row r="1985">
      <c r="A1985" s="2" t="s">
        <v>3058</v>
      </c>
      <c r="B1985" s="1">
        <v>42121.0</v>
      </c>
      <c r="C1985" s="2" t="s">
        <v>3059</v>
      </c>
      <c r="D1985" s="2" t="s">
        <v>3063</v>
      </c>
    </row>
    <row r="1986">
      <c r="A1986" s="2" t="s">
        <v>3058</v>
      </c>
      <c r="B1986" s="1">
        <v>42122.0</v>
      </c>
      <c r="C1986" s="2" t="s">
        <v>3059</v>
      </c>
      <c r="D1986" s="2" t="s">
        <v>3063</v>
      </c>
    </row>
    <row r="1987">
      <c r="A1987" s="2" t="s">
        <v>3058</v>
      </c>
      <c r="B1987" s="184">
        <v>42128.0</v>
      </c>
      <c r="C1987" s="2" t="s">
        <v>3059</v>
      </c>
      <c r="D1987" s="2" t="s">
        <v>3063</v>
      </c>
    </row>
    <row r="1988">
      <c r="A1988" s="2" t="s">
        <v>3058</v>
      </c>
      <c r="B1988" s="1">
        <v>42137.0</v>
      </c>
      <c r="C1988" s="2" t="s">
        <v>3059</v>
      </c>
      <c r="D1988" s="2" t="s">
        <v>3063</v>
      </c>
    </row>
    <row r="1989">
      <c r="A1989" s="2" t="s">
        <v>3058</v>
      </c>
      <c r="B1989" s="1">
        <v>42139.0</v>
      </c>
      <c r="C1989" s="2" t="s">
        <v>3059</v>
      </c>
      <c r="D1989" s="2" t="s">
        <v>3063</v>
      </c>
    </row>
    <row r="1990">
      <c r="A1990" s="2" t="s">
        <v>3058</v>
      </c>
      <c r="B1990" s="1">
        <v>42144.0</v>
      </c>
      <c r="C1990" s="2" t="s">
        <v>3059</v>
      </c>
      <c r="D1990" s="2" t="s">
        <v>3063</v>
      </c>
    </row>
    <row r="1991">
      <c r="A1991" s="2" t="s">
        <v>3058</v>
      </c>
      <c r="B1991" s="1">
        <v>42146.0</v>
      </c>
      <c r="C1991" s="2" t="s">
        <v>3059</v>
      </c>
      <c r="D1991" s="2" t="s">
        <v>3063</v>
      </c>
    </row>
    <row r="1992">
      <c r="A1992" s="2" t="s">
        <v>3058</v>
      </c>
      <c r="B1992" s="1">
        <v>42149.0</v>
      </c>
      <c r="C1992" s="2" t="s">
        <v>3059</v>
      </c>
      <c r="D1992" s="2" t="s">
        <v>3063</v>
      </c>
    </row>
    <row r="1993">
      <c r="A1993" s="2" t="s">
        <v>3058</v>
      </c>
      <c r="B1993" s="1">
        <v>42151.0</v>
      </c>
      <c r="C1993" s="2" t="s">
        <v>3059</v>
      </c>
      <c r="D1993" s="2" t="s">
        <v>3063</v>
      </c>
    </row>
    <row r="1994">
      <c r="A1994" s="2" t="s">
        <v>3058</v>
      </c>
      <c r="B1994" s="1">
        <v>42153.0</v>
      </c>
      <c r="C1994" s="2" t="s">
        <v>3059</v>
      </c>
      <c r="D1994" s="2" t="s">
        <v>3063</v>
      </c>
    </row>
    <row r="1995">
      <c r="A1995" s="2" t="s">
        <v>3058</v>
      </c>
      <c r="B1995" s="1">
        <v>42154.0</v>
      </c>
      <c r="C1995" s="2" t="s">
        <v>3059</v>
      </c>
      <c r="D1995" s="2" t="s">
        <v>3063</v>
      </c>
    </row>
    <row r="1996">
      <c r="A1996" s="2" t="s">
        <v>3058</v>
      </c>
      <c r="B1996" s="1">
        <v>42128.0</v>
      </c>
      <c r="C1996" s="2" t="s">
        <v>3059</v>
      </c>
      <c r="D1996" s="2" t="s">
        <v>3063</v>
      </c>
    </row>
    <row r="1997">
      <c r="A1997" s="2" t="s">
        <v>3058</v>
      </c>
      <c r="B1997" s="1">
        <v>42131.0</v>
      </c>
      <c r="C1997" s="2" t="s">
        <v>3059</v>
      </c>
      <c r="D1997" s="2" t="s">
        <v>3063</v>
      </c>
    </row>
    <row r="1998">
      <c r="A1998" s="2" t="s">
        <v>3058</v>
      </c>
      <c r="B1998" s="190">
        <v>42129.0</v>
      </c>
      <c r="C1998" s="2" t="s">
        <v>3059</v>
      </c>
      <c r="D1998" s="2" t="s">
        <v>3063</v>
      </c>
    </row>
    <row r="1999">
      <c r="A1999" s="2" t="s">
        <v>3058</v>
      </c>
      <c r="B1999" s="1">
        <v>42167.0</v>
      </c>
      <c r="C1999" s="2" t="s">
        <v>3059</v>
      </c>
      <c r="D1999" s="2" t="s">
        <v>3063</v>
      </c>
    </row>
    <row r="2000">
      <c r="A2000" s="2" t="s">
        <v>3058</v>
      </c>
      <c r="B2000" s="1">
        <v>42171.0</v>
      </c>
      <c r="C2000" s="2" t="s">
        <v>3059</v>
      </c>
      <c r="D2000" s="2" t="s">
        <v>3063</v>
      </c>
    </row>
    <row r="2001">
      <c r="A2001" s="2" t="s">
        <v>3058</v>
      </c>
      <c r="B2001" s="1">
        <v>42174.0</v>
      </c>
      <c r="C2001" s="2" t="s">
        <v>3059</v>
      </c>
      <c r="D2001" s="2" t="s">
        <v>3063</v>
      </c>
    </row>
    <row r="2002">
      <c r="A2002" s="2" t="s">
        <v>3058</v>
      </c>
      <c r="B2002" s="1">
        <v>42174.0</v>
      </c>
      <c r="C2002" s="2" t="s">
        <v>3059</v>
      </c>
      <c r="D2002" s="2" t="s">
        <v>3063</v>
      </c>
    </row>
    <row r="2003">
      <c r="A2003" s="2" t="s">
        <v>3058</v>
      </c>
      <c r="B2003" s="1">
        <v>42177.0</v>
      </c>
      <c r="C2003" s="2" t="s">
        <v>3059</v>
      </c>
      <c r="D2003" s="2" t="s">
        <v>3063</v>
      </c>
    </row>
    <row r="2004">
      <c r="A2004" s="2" t="s">
        <v>3058</v>
      </c>
      <c r="B2004" s="1">
        <v>42179.0</v>
      </c>
      <c r="C2004" s="2" t="s">
        <v>3059</v>
      </c>
      <c r="D2004" s="2" t="s">
        <v>3063</v>
      </c>
    </row>
    <row r="2005">
      <c r="A2005" s="2" t="s">
        <v>3058</v>
      </c>
      <c r="B2005" s="1">
        <v>42181.0</v>
      </c>
      <c r="C2005" s="2" t="s">
        <v>3059</v>
      </c>
      <c r="D2005" s="2" t="s">
        <v>3063</v>
      </c>
    </row>
    <row r="2006">
      <c r="A2006" s="2" t="s">
        <v>3058</v>
      </c>
      <c r="B2006" s="1">
        <v>42184.0</v>
      </c>
      <c r="C2006" s="2" t="s">
        <v>3059</v>
      </c>
      <c r="D2006" s="2" t="s">
        <v>3063</v>
      </c>
    </row>
    <row r="2007">
      <c r="A2007" s="2" t="s">
        <v>3058</v>
      </c>
      <c r="B2007" s="1">
        <v>42158.0</v>
      </c>
      <c r="C2007" s="2" t="s">
        <v>3059</v>
      </c>
      <c r="D2007" s="2" t="s">
        <v>3063</v>
      </c>
    </row>
    <row r="2008">
      <c r="A2008" s="2" t="s">
        <v>3058</v>
      </c>
      <c r="B2008" s="1">
        <v>42159.0</v>
      </c>
      <c r="C2008" s="2" t="s">
        <v>3059</v>
      </c>
      <c r="D2008" s="2" t="s">
        <v>3063</v>
      </c>
    </row>
    <row r="2009">
      <c r="A2009" s="2" t="s">
        <v>3058</v>
      </c>
      <c r="B2009" s="1">
        <v>42160.0</v>
      </c>
      <c r="C2009" s="2" t="s">
        <v>3059</v>
      </c>
      <c r="D2009" s="2" t="s">
        <v>3063</v>
      </c>
    </row>
    <row r="2010">
      <c r="A2010" s="2" t="s">
        <v>3058</v>
      </c>
      <c r="B2010" s="1">
        <v>42163.0</v>
      </c>
      <c r="C2010" s="2" t="s">
        <v>3059</v>
      </c>
      <c r="D2010" s="2" t="s">
        <v>3063</v>
      </c>
    </row>
    <row r="2011">
      <c r="A2011" s="2" t="s">
        <v>3058</v>
      </c>
      <c r="B2011" s="1">
        <v>42164.0</v>
      </c>
      <c r="C2011" s="2" t="s">
        <v>3059</v>
      </c>
      <c r="D2011" s="2" t="s">
        <v>3063</v>
      </c>
    </row>
    <row r="2012">
      <c r="A2012" s="2" t="s">
        <v>3058</v>
      </c>
      <c r="B2012" s="1">
        <v>42186.0</v>
      </c>
      <c r="C2012" s="2" t="s">
        <v>3059</v>
      </c>
      <c r="D2012" s="2" t="s">
        <v>3063</v>
      </c>
    </row>
    <row r="2013">
      <c r="A2013" s="2" t="s">
        <v>3058</v>
      </c>
      <c r="B2013" s="1">
        <v>42195.0</v>
      </c>
      <c r="C2013" s="2" t="s">
        <v>3059</v>
      </c>
      <c r="D2013" s="2" t="s">
        <v>3063</v>
      </c>
    </row>
    <row r="2014">
      <c r="A2014" s="2" t="s">
        <v>3058</v>
      </c>
      <c r="B2014" s="1">
        <v>42199.0</v>
      </c>
      <c r="C2014" s="2" t="s">
        <v>3059</v>
      </c>
      <c r="D2014" s="2" t="s">
        <v>3063</v>
      </c>
    </row>
    <row r="2015">
      <c r="A2015" s="2" t="s">
        <v>3058</v>
      </c>
      <c r="B2015" s="1">
        <v>42201.0</v>
      </c>
      <c r="C2015" s="2" t="s">
        <v>3059</v>
      </c>
      <c r="D2015" s="2" t="s">
        <v>3063</v>
      </c>
    </row>
    <row r="2016">
      <c r="A2016" s="2" t="s">
        <v>3058</v>
      </c>
      <c r="B2016" s="1">
        <v>42208.0</v>
      </c>
      <c r="C2016" s="2" t="s">
        <v>3059</v>
      </c>
      <c r="D2016" s="2" t="s">
        <v>3063</v>
      </c>
    </row>
    <row r="2017">
      <c r="A2017" s="2" t="s">
        <v>3058</v>
      </c>
      <c r="B2017" s="1">
        <v>42214.0</v>
      </c>
      <c r="C2017" s="2" t="s">
        <v>3059</v>
      </c>
      <c r="D2017" s="2" t="s">
        <v>3063</v>
      </c>
    </row>
    <row r="2018">
      <c r="A2018" s="2" t="s">
        <v>3058</v>
      </c>
      <c r="B2018" s="1">
        <v>42188.0</v>
      </c>
      <c r="C2018" s="2" t="s">
        <v>3059</v>
      </c>
      <c r="D2018" s="2" t="s">
        <v>3063</v>
      </c>
    </row>
    <row r="2019">
      <c r="A2019" s="2" t="s">
        <v>3058</v>
      </c>
      <c r="B2019" s="1">
        <v>42191.0</v>
      </c>
      <c r="C2019" s="2" t="s">
        <v>3059</v>
      </c>
      <c r="D2019" s="2" t="s">
        <v>3063</v>
      </c>
    </row>
    <row r="2020">
      <c r="A2020" s="2" t="s">
        <v>3058</v>
      </c>
      <c r="B2020" s="182">
        <v>42194.0</v>
      </c>
      <c r="C2020" s="2" t="s">
        <v>3059</v>
      </c>
      <c r="D2020" s="2" t="s">
        <v>3063</v>
      </c>
    </row>
    <row r="2021">
      <c r="A2021" s="2" t="s">
        <v>3058</v>
      </c>
      <c r="B2021" s="1">
        <v>42194.0</v>
      </c>
      <c r="C2021" s="2" t="s">
        <v>3059</v>
      </c>
      <c r="D2021" s="2" t="s">
        <v>3063</v>
      </c>
    </row>
    <row r="2022">
      <c r="A2022" s="2" t="s">
        <v>3058</v>
      </c>
      <c r="B2022" s="1">
        <v>42226.0</v>
      </c>
      <c r="C2022" s="2" t="s">
        <v>3059</v>
      </c>
      <c r="D2022" s="2" t="s">
        <v>3063</v>
      </c>
    </row>
    <row r="2023">
      <c r="A2023" s="2" t="s">
        <v>3058</v>
      </c>
      <c r="B2023" s="1">
        <v>42227.0</v>
      </c>
      <c r="C2023" s="2" t="s">
        <v>3059</v>
      </c>
      <c r="D2023" s="2" t="s">
        <v>3063</v>
      </c>
    </row>
    <row r="2024">
      <c r="A2024" s="2" t="s">
        <v>3058</v>
      </c>
      <c r="B2024" s="1">
        <v>42229.0</v>
      </c>
      <c r="C2024" s="2" t="s">
        <v>3059</v>
      </c>
      <c r="D2024" s="2" t="s">
        <v>3063</v>
      </c>
    </row>
    <row r="2025">
      <c r="A2025" s="2" t="s">
        <v>3058</v>
      </c>
      <c r="B2025" s="1">
        <v>42230.0</v>
      </c>
      <c r="C2025" s="2" t="s">
        <v>3059</v>
      </c>
      <c r="D2025" s="2" t="s">
        <v>3063</v>
      </c>
    </row>
    <row r="2026">
      <c r="A2026" s="2" t="s">
        <v>3058</v>
      </c>
      <c r="B2026" s="1">
        <v>42234.0</v>
      </c>
      <c r="C2026" s="2" t="s">
        <v>3059</v>
      </c>
      <c r="D2026" s="2" t="s">
        <v>3063</v>
      </c>
    </row>
    <row r="2027">
      <c r="A2027" s="2" t="s">
        <v>3058</v>
      </c>
      <c r="B2027" s="1">
        <v>42235.0</v>
      </c>
      <c r="C2027" s="2" t="s">
        <v>3059</v>
      </c>
      <c r="D2027" s="2" t="s">
        <v>3063</v>
      </c>
    </row>
    <row r="2028">
      <c r="A2028" s="2" t="s">
        <v>3058</v>
      </c>
      <c r="B2028" s="1">
        <v>42242.0</v>
      </c>
      <c r="C2028" s="2" t="s">
        <v>3059</v>
      </c>
      <c r="D2028" s="2" t="s">
        <v>3063</v>
      </c>
    </row>
    <row r="2029">
      <c r="A2029" s="2" t="s">
        <v>3058</v>
      </c>
      <c r="B2029" s="1">
        <v>42243.0</v>
      </c>
      <c r="C2029" s="2" t="s">
        <v>3059</v>
      </c>
      <c r="D2029" s="2" t="s">
        <v>3063</v>
      </c>
    </row>
    <row r="2030">
      <c r="A2030" s="2" t="s">
        <v>3058</v>
      </c>
      <c r="B2030" s="1">
        <v>42219.0</v>
      </c>
      <c r="C2030" s="2" t="s">
        <v>3059</v>
      </c>
      <c r="D2030" s="2" t="s">
        <v>3063</v>
      </c>
    </row>
    <row r="2031">
      <c r="A2031" s="2" t="s">
        <v>3058</v>
      </c>
      <c r="B2031" s="1">
        <v>42247.0</v>
      </c>
      <c r="C2031" s="2" t="s">
        <v>3059</v>
      </c>
      <c r="D2031" s="2" t="s">
        <v>3063</v>
      </c>
    </row>
    <row r="2032">
      <c r="A2032" s="2" t="s">
        <v>3058</v>
      </c>
      <c r="B2032" s="1">
        <v>42220.0</v>
      </c>
      <c r="C2032" s="2" t="s">
        <v>3059</v>
      </c>
      <c r="D2032" s="2" t="s">
        <v>3063</v>
      </c>
    </row>
    <row r="2033">
      <c r="A2033" s="2" t="s">
        <v>3058</v>
      </c>
      <c r="B2033" s="1">
        <v>42221.0</v>
      </c>
      <c r="C2033" s="2" t="s">
        <v>3059</v>
      </c>
      <c r="D2033" s="2" t="s">
        <v>3063</v>
      </c>
    </row>
    <row r="2034">
      <c r="A2034" s="2" t="s">
        <v>3058</v>
      </c>
      <c r="B2034" s="1">
        <v>42222.0</v>
      </c>
      <c r="C2034" s="2" t="s">
        <v>3059</v>
      </c>
      <c r="D2034" s="2" t="s">
        <v>3063</v>
      </c>
    </row>
    <row r="2035">
      <c r="A2035" s="2" t="s">
        <v>3058</v>
      </c>
      <c r="B2035" s="1">
        <v>42262.0</v>
      </c>
      <c r="C2035" s="2" t="s">
        <v>3059</v>
      </c>
      <c r="D2035" s="2" t="s">
        <v>3063</v>
      </c>
    </row>
    <row r="2036">
      <c r="A2036" s="2" t="s">
        <v>3058</v>
      </c>
      <c r="B2036" s="182">
        <v>42264.0</v>
      </c>
      <c r="C2036" s="2" t="s">
        <v>3059</v>
      </c>
      <c r="D2036" s="2" t="s">
        <v>3063</v>
      </c>
    </row>
    <row r="2037">
      <c r="A2037" s="2" t="s">
        <v>3058</v>
      </c>
      <c r="B2037" s="1">
        <v>42270.0</v>
      </c>
      <c r="C2037" s="2" t="s">
        <v>3059</v>
      </c>
      <c r="D2037" s="2" t="s">
        <v>3063</v>
      </c>
    </row>
    <row r="2038">
      <c r="A2038" s="2" t="s">
        <v>3058</v>
      </c>
      <c r="B2038" s="1">
        <v>42272.0</v>
      </c>
      <c r="C2038" s="2" t="s">
        <v>3059</v>
      </c>
      <c r="D2038" s="2" t="s">
        <v>3063</v>
      </c>
    </row>
    <row r="2039">
      <c r="A2039" s="2" t="s">
        <v>3058</v>
      </c>
      <c r="B2039" s="1">
        <v>42274.0</v>
      </c>
      <c r="C2039" s="2" t="s">
        <v>3059</v>
      </c>
      <c r="D2039" s="2" t="s">
        <v>3063</v>
      </c>
    </row>
    <row r="2040">
      <c r="A2040" s="2" t="s">
        <v>3058</v>
      </c>
      <c r="B2040" s="1">
        <v>42250.0</v>
      </c>
      <c r="C2040" s="2" t="s">
        <v>3059</v>
      </c>
      <c r="D2040" s="2" t="s">
        <v>3063</v>
      </c>
    </row>
    <row r="2041">
      <c r="A2041" s="2" t="s">
        <v>3058</v>
      </c>
      <c r="B2041" s="1">
        <v>42254.0</v>
      </c>
      <c r="C2041" s="2" t="s">
        <v>3059</v>
      </c>
      <c r="D2041" s="2" t="s">
        <v>3063</v>
      </c>
    </row>
    <row r="2042">
      <c r="A2042" s="2" t="s">
        <v>3058</v>
      </c>
      <c r="B2042" s="1">
        <v>42256.0</v>
      </c>
      <c r="C2042" s="2" t="s">
        <v>3059</v>
      </c>
      <c r="D2042" s="2" t="s">
        <v>3063</v>
      </c>
    </row>
    <row r="2043">
      <c r="A2043" s="2" t="s">
        <v>3153</v>
      </c>
      <c r="B2043" s="2" t="s">
        <v>3154</v>
      </c>
      <c r="C2043" s="2" t="s">
        <v>3155</v>
      </c>
      <c r="D2043" s="2" t="s">
        <v>3156</v>
      </c>
    </row>
    <row r="2044">
      <c r="A2044" s="2" t="s">
        <v>3157</v>
      </c>
      <c r="B2044" s="2" t="s">
        <v>3158</v>
      </c>
      <c r="C2044" s="2" t="s">
        <v>3159</v>
      </c>
      <c r="D2044" s="2" t="s">
        <v>3160</v>
      </c>
    </row>
    <row r="2045">
      <c r="A2045" s="2" t="s">
        <v>3157</v>
      </c>
      <c r="B2045" s="2" t="s">
        <v>3162</v>
      </c>
      <c r="C2045" s="2" t="s">
        <v>3159</v>
      </c>
      <c r="D2045" s="2" t="s">
        <v>3160</v>
      </c>
    </row>
    <row r="2046">
      <c r="A2046" s="2" t="s">
        <v>3157</v>
      </c>
      <c r="B2046" s="2" t="s">
        <v>3163</v>
      </c>
      <c r="C2046" s="2" t="s">
        <v>3159</v>
      </c>
      <c r="D2046" s="2" t="s">
        <v>3160</v>
      </c>
    </row>
    <row r="2047">
      <c r="A2047" s="2" t="s">
        <v>3157</v>
      </c>
      <c r="B2047" s="2" t="s">
        <v>3164</v>
      </c>
      <c r="C2047" s="2" t="s">
        <v>3159</v>
      </c>
      <c r="D2047" s="2" t="s">
        <v>3160</v>
      </c>
    </row>
    <row r="2048">
      <c r="A2048" s="2" t="s">
        <v>3157</v>
      </c>
      <c r="B2048" s="2" t="s">
        <v>3165</v>
      </c>
      <c r="C2048" s="2" t="s">
        <v>3159</v>
      </c>
      <c r="D2048" s="2" t="s">
        <v>3160</v>
      </c>
    </row>
    <row r="2049">
      <c r="A2049" s="2" t="s">
        <v>3157</v>
      </c>
      <c r="B2049" s="2" t="s">
        <v>3166</v>
      </c>
      <c r="C2049" s="2" t="s">
        <v>3159</v>
      </c>
      <c r="D2049" s="2" t="s">
        <v>3160</v>
      </c>
    </row>
    <row r="2050">
      <c r="A2050" s="2" t="s">
        <v>3157</v>
      </c>
      <c r="B2050" s="2" t="s">
        <v>3167</v>
      </c>
      <c r="C2050" s="2" t="s">
        <v>3159</v>
      </c>
      <c r="D2050" s="2" t="s">
        <v>3160</v>
      </c>
    </row>
    <row r="2051">
      <c r="A2051" s="2" t="s">
        <v>3157</v>
      </c>
      <c r="B2051" s="2" t="s">
        <v>3168</v>
      </c>
      <c r="C2051" s="2" t="s">
        <v>3159</v>
      </c>
      <c r="D2051" s="2" t="s">
        <v>3160</v>
      </c>
    </row>
    <row r="2052">
      <c r="A2052" s="2" t="s">
        <v>3157</v>
      </c>
      <c r="B2052" s="2" t="s">
        <v>3169</v>
      </c>
      <c r="C2052" s="2" t="s">
        <v>3159</v>
      </c>
      <c r="D2052" s="2" t="s">
        <v>3160</v>
      </c>
    </row>
    <row r="2053">
      <c r="A2053" s="2" t="s">
        <v>3157</v>
      </c>
      <c r="B2053" s="2" t="s">
        <v>3170</v>
      </c>
      <c r="C2053" s="2" t="s">
        <v>3159</v>
      </c>
      <c r="D2053" s="2" t="s">
        <v>3160</v>
      </c>
    </row>
    <row r="2054">
      <c r="A2054" s="2" t="s">
        <v>3157</v>
      </c>
      <c r="B2054" s="2" t="s">
        <v>3172</v>
      </c>
      <c r="C2054" s="2" t="s">
        <v>3159</v>
      </c>
      <c r="D2054" s="2" t="s">
        <v>3160</v>
      </c>
    </row>
    <row r="2055">
      <c r="A2055" s="2" t="s">
        <v>3157</v>
      </c>
      <c r="B2055" s="2" t="s">
        <v>3173</v>
      </c>
      <c r="C2055" s="2" t="s">
        <v>3159</v>
      </c>
      <c r="D2055" s="2" t="s">
        <v>3160</v>
      </c>
    </row>
    <row r="2056">
      <c r="A2056" s="2" t="s">
        <v>3157</v>
      </c>
      <c r="B2056" s="2" t="s">
        <v>3174</v>
      </c>
      <c r="C2056" s="2" t="s">
        <v>3159</v>
      </c>
      <c r="D2056" s="2" t="s">
        <v>3160</v>
      </c>
    </row>
    <row r="2057">
      <c r="A2057" s="2" t="s">
        <v>3157</v>
      </c>
      <c r="B2057" s="2" t="s">
        <v>3176</v>
      </c>
      <c r="C2057" s="2" t="s">
        <v>3159</v>
      </c>
      <c r="D2057" s="2" t="s">
        <v>3160</v>
      </c>
    </row>
    <row r="2058">
      <c r="A2058" s="2" t="s">
        <v>3157</v>
      </c>
      <c r="B2058" s="2" t="s">
        <v>3177</v>
      </c>
      <c r="C2058" s="2" t="s">
        <v>3159</v>
      </c>
      <c r="D2058" s="2" t="s">
        <v>3160</v>
      </c>
    </row>
    <row r="2059">
      <c r="A2059" s="2" t="s">
        <v>3157</v>
      </c>
      <c r="B2059" s="2" t="s">
        <v>3178</v>
      </c>
      <c r="C2059" s="2" t="s">
        <v>3159</v>
      </c>
      <c r="D2059" s="2" t="s">
        <v>3160</v>
      </c>
    </row>
    <row r="2060">
      <c r="A2060" s="2" t="s">
        <v>3157</v>
      </c>
      <c r="B2060" s="2" t="s">
        <v>3179</v>
      </c>
      <c r="C2060" s="2" t="s">
        <v>3159</v>
      </c>
      <c r="D2060" s="2" t="s">
        <v>3160</v>
      </c>
    </row>
    <row r="2061">
      <c r="A2061" s="2" t="s">
        <v>3157</v>
      </c>
      <c r="B2061" s="2" t="s">
        <v>3180</v>
      </c>
      <c r="C2061" s="2" t="s">
        <v>3159</v>
      </c>
      <c r="D2061" s="2" t="s">
        <v>3160</v>
      </c>
    </row>
    <row r="2062">
      <c r="A2062" s="2" t="s">
        <v>3157</v>
      </c>
      <c r="B2062" s="2" t="s">
        <v>3181</v>
      </c>
      <c r="C2062" s="2" t="s">
        <v>3159</v>
      </c>
      <c r="D2062" s="2" t="s">
        <v>3160</v>
      </c>
    </row>
    <row r="2063">
      <c r="A2063" s="2" t="s">
        <v>3157</v>
      </c>
      <c r="B2063" s="2" t="s">
        <v>3182</v>
      </c>
      <c r="C2063" s="2" t="s">
        <v>3159</v>
      </c>
      <c r="D2063" s="2" t="s">
        <v>3160</v>
      </c>
    </row>
    <row r="2064">
      <c r="A2064" s="2" t="s">
        <v>3157</v>
      </c>
      <c r="B2064" s="2" t="s">
        <v>3183</v>
      </c>
      <c r="C2064" s="2" t="s">
        <v>3159</v>
      </c>
      <c r="D2064" s="2" t="s">
        <v>3160</v>
      </c>
    </row>
    <row r="2065">
      <c r="A2065" s="2" t="s">
        <v>3157</v>
      </c>
      <c r="B2065" s="2" t="s">
        <v>3185</v>
      </c>
      <c r="C2065" s="2" t="s">
        <v>3159</v>
      </c>
      <c r="D2065" s="2" t="s">
        <v>3160</v>
      </c>
    </row>
    <row r="2066">
      <c r="A2066" s="2" t="s">
        <v>3157</v>
      </c>
      <c r="B2066" s="2" t="s">
        <v>3186</v>
      </c>
      <c r="C2066" s="2" t="s">
        <v>3159</v>
      </c>
      <c r="D2066" s="2" t="s">
        <v>3160</v>
      </c>
    </row>
    <row r="2067">
      <c r="A2067" s="2" t="s">
        <v>3157</v>
      </c>
      <c r="B2067" s="2" t="s">
        <v>3187</v>
      </c>
      <c r="C2067" s="2" t="s">
        <v>3159</v>
      </c>
      <c r="D2067" s="2" t="s">
        <v>3160</v>
      </c>
    </row>
    <row r="2068">
      <c r="A2068" s="2" t="s">
        <v>3157</v>
      </c>
      <c r="B2068" s="2" t="s">
        <v>3188</v>
      </c>
      <c r="C2068" s="2" t="s">
        <v>3159</v>
      </c>
      <c r="D2068" s="2" t="s">
        <v>3160</v>
      </c>
    </row>
    <row r="2069">
      <c r="A2069" s="2" t="s">
        <v>3157</v>
      </c>
      <c r="B2069" s="2" t="s">
        <v>3189</v>
      </c>
      <c r="C2069" s="2" t="s">
        <v>3159</v>
      </c>
      <c r="D2069" s="2" t="s">
        <v>3160</v>
      </c>
    </row>
    <row r="2070">
      <c r="A2070" s="2" t="s">
        <v>3157</v>
      </c>
      <c r="B2070" s="2" t="s">
        <v>3190</v>
      </c>
      <c r="C2070" s="2" t="s">
        <v>3159</v>
      </c>
      <c r="D2070" s="2" t="s">
        <v>3160</v>
      </c>
    </row>
    <row r="2071">
      <c r="A2071" s="2" t="s">
        <v>3157</v>
      </c>
      <c r="B2071" s="2" t="s">
        <v>3191</v>
      </c>
      <c r="C2071" s="2" t="s">
        <v>3159</v>
      </c>
      <c r="D2071" s="2" t="s">
        <v>3160</v>
      </c>
    </row>
    <row r="2072">
      <c r="A2072" s="2" t="s">
        <v>3157</v>
      </c>
      <c r="B2072" s="2" t="s">
        <v>3192</v>
      </c>
      <c r="C2072" s="2" t="s">
        <v>3159</v>
      </c>
      <c r="D2072" s="2" t="s">
        <v>3160</v>
      </c>
    </row>
    <row r="2073">
      <c r="A2073" s="2" t="s">
        <v>3157</v>
      </c>
      <c r="B2073" s="2" t="s">
        <v>3193</v>
      </c>
      <c r="C2073" s="2" t="s">
        <v>3159</v>
      </c>
      <c r="D2073" s="2" t="s">
        <v>3160</v>
      </c>
    </row>
    <row r="2074">
      <c r="A2074" s="2" t="s">
        <v>3157</v>
      </c>
      <c r="B2074" s="2" t="s">
        <v>3194</v>
      </c>
      <c r="C2074" s="2" t="s">
        <v>3159</v>
      </c>
      <c r="D2074" s="2" t="s">
        <v>3160</v>
      </c>
    </row>
    <row r="2075">
      <c r="A2075" s="2" t="s">
        <v>3157</v>
      </c>
      <c r="B2075" s="2" t="s">
        <v>3195</v>
      </c>
      <c r="C2075" s="2" t="s">
        <v>3159</v>
      </c>
      <c r="D2075" s="2" t="s">
        <v>3160</v>
      </c>
    </row>
    <row r="2076">
      <c r="A2076" s="2" t="s">
        <v>3157</v>
      </c>
      <c r="B2076" s="2" t="s">
        <v>3196</v>
      </c>
      <c r="C2076" s="2" t="s">
        <v>3159</v>
      </c>
      <c r="D2076" s="2" t="s">
        <v>3160</v>
      </c>
    </row>
    <row r="2077">
      <c r="A2077" s="2" t="s">
        <v>3157</v>
      </c>
      <c r="B2077" s="2" t="s">
        <v>3197</v>
      </c>
      <c r="C2077" s="2" t="s">
        <v>3159</v>
      </c>
      <c r="D2077" s="2" t="s">
        <v>3160</v>
      </c>
    </row>
    <row r="2078">
      <c r="A2078" s="2" t="s">
        <v>3157</v>
      </c>
      <c r="B2078" s="2" t="s">
        <v>3198</v>
      </c>
      <c r="C2078" s="2" t="s">
        <v>3159</v>
      </c>
      <c r="D2078" s="2" t="s">
        <v>3160</v>
      </c>
    </row>
    <row r="2079">
      <c r="A2079" s="2" t="s">
        <v>3157</v>
      </c>
      <c r="B2079" s="2" t="s">
        <v>3199</v>
      </c>
      <c r="C2079" s="2" t="s">
        <v>3159</v>
      </c>
      <c r="D2079" s="2" t="s">
        <v>3160</v>
      </c>
    </row>
    <row r="2080">
      <c r="A2080" s="2" t="s">
        <v>3157</v>
      </c>
      <c r="B2080" s="2" t="s">
        <v>3200</v>
      </c>
      <c r="C2080" s="2" t="s">
        <v>3159</v>
      </c>
      <c r="D2080" s="2" t="s">
        <v>3160</v>
      </c>
    </row>
    <row r="2081">
      <c r="A2081" s="2" t="s">
        <v>3157</v>
      </c>
      <c r="B2081" s="2" t="s">
        <v>3201</v>
      </c>
      <c r="C2081" s="2" t="s">
        <v>3159</v>
      </c>
      <c r="D2081" s="2" t="s">
        <v>3160</v>
      </c>
    </row>
    <row r="2082">
      <c r="A2082" s="2" t="s">
        <v>3157</v>
      </c>
      <c r="B2082" s="2" t="s">
        <v>3202</v>
      </c>
      <c r="G2082" s="2" t="s">
        <v>3203</v>
      </c>
      <c r="H2082" s="2" t="s">
        <v>3204</v>
      </c>
    </row>
    <row r="2083">
      <c r="A2083" s="2" t="s">
        <v>3157</v>
      </c>
      <c r="B2083" s="2" t="s">
        <v>3205</v>
      </c>
      <c r="G2083" s="2" t="s">
        <v>3203</v>
      </c>
      <c r="H2083" s="2" t="s">
        <v>3204</v>
      </c>
    </row>
    <row r="2084">
      <c r="A2084" s="2" t="s">
        <v>3157</v>
      </c>
      <c r="B2084" s="2" t="s">
        <v>3172</v>
      </c>
      <c r="G2084" s="2" t="s">
        <v>3203</v>
      </c>
      <c r="H2084" s="2" t="s">
        <v>3204</v>
      </c>
    </row>
    <row r="2085">
      <c r="A2085" s="2" t="s">
        <v>3157</v>
      </c>
      <c r="B2085" s="2" t="s">
        <v>3206</v>
      </c>
      <c r="G2085" s="2" t="s">
        <v>3203</v>
      </c>
      <c r="H2085" s="2" t="s">
        <v>3204</v>
      </c>
    </row>
    <row r="2086">
      <c r="A2086" s="2" t="s">
        <v>3157</v>
      </c>
      <c r="B2086" s="2" t="s">
        <v>3207</v>
      </c>
      <c r="G2086" s="2" t="s">
        <v>3203</v>
      </c>
      <c r="H2086" s="2" t="s">
        <v>3204</v>
      </c>
    </row>
    <row r="2087">
      <c r="A2087" s="2" t="s">
        <v>3157</v>
      </c>
      <c r="B2087" s="2" t="s">
        <v>3179</v>
      </c>
      <c r="G2087" s="2" t="s">
        <v>3203</v>
      </c>
      <c r="H2087" s="2" t="s">
        <v>3204</v>
      </c>
    </row>
    <row r="2088">
      <c r="A2088" s="2" t="s">
        <v>3157</v>
      </c>
      <c r="B2088" s="2" t="s">
        <v>3208</v>
      </c>
      <c r="G2088" s="2" t="s">
        <v>3203</v>
      </c>
      <c r="H2088" s="2" t="s">
        <v>3204</v>
      </c>
    </row>
    <row r="2089">
      <c r="A2089" s="2" t="s">
        <v>3157</v>
      </c>
      <c r="B2089" s="2" t="s">
        <v>3209</v>
      </c>
      <c r="G2089" s="2" t="s">
        <v>3203</v>
      </c>
      <c r="H2089" s="2" t="s">
        <v>3204</v>
      </c>
    </row>
    <row r="2090">
      <c r="A2090" s="2" t="s">
        <v>3157</v>
      </c>
      <c r="B2090" s="2" t="s">
        <v>3210</v>
      </c>
      <c r="G2090" s="2" t="s">
        <v>3203</v>
      </c>
      <c r="H2090" s="2" t="s">
        <v>3204</v>
      </c>
    </row>
    <row r="2091">
      <c r="A2091" s="2" t="s">
        <v>3157</v>
      </c>
      <c r="B2091" s="2" t="s">
        <v>3211</v>
      </c>
      <c r="G2091" s="2" t="s">
        <v>3203</v>
      </c>
      <c r="H2091" s="2" t="s">
        <v>3204</v>
      </c>
    </row>
    <row r="2092">
      <c r="A2092" s="2" t="s">
        <v>3157</v>
      </c>
      <c r="B2092" s="2" t="s">
        <v>3212</v>
      </c>
      <c r="G2092" s="2" t="s">
        <v>3203</v>
      </c>
      <c r="H2092" s="2" t="s">
        <v>3204</v>
      </c>
    </row>
    <row r="2093">
      <c r="A2093" s="2" t="s">
        <v>3157</v>
      </c>
      <c r="B2093" s="2" t="s">
        <v>3213</v>
      </c>
      <c r="G2093" s="2" t="s">
        <v>3203</v>
      </c>
      <c r="H2093" s="2" t="s">
        <v>3204</v>
      </c>
    </row>
    <row r="2094">
      <c r="A2094" s="2" t="s">
        <v>3157</v>
      </c>
      <c r="B2094" s="2" t="s">
        <v>3214</v>
      </c>
      <c r="G2094" s="2" t="s">
        <v>3203</v>
      </c>
      <c r="H2094" s="2" t="s">
        <v>3204</v>
      </c>
    </row>
    <row r="2095">
      <c r="A2095" s="2" t="s">
        <v>3157</v>
      </c>
      <c r="B2095" s="2" t="s">
        <v>3215</v>
      </c>
      <c r="G2095" s="2" t="s">
        <v>3203</v>
      </c>
      <c r="H2095" s="2" t="s">
        <v>3204</v>
      </c>
    </row>
    <row r="2096">
      <c r="A2096" s="2" t="s">
        <v>3157</v>
      </c>
      <c r="B2096" s="2" t="s">
        <v>3216</v>
      </c>
      <c r="G2096" s="2" t="s">
        <v>3203</v>
      </c>
      <c r="H2096" s="2" t="s">
        <v>3204</v>
      </c>
    </row>
    <row r="2097">
      <c r="A2097" s="2" t="s">
        <v>3157</v>
      </c>
      <c r="B2097" s="2" t="s">
        <v>3217</v>
      </c>
      <c r="G2097" s="2" t="s">
        <v>3203</v>
      </c>
      <c r="H2097" s="2" t="s">
        <v>3204</v>
      </c>
    </row>
    <row r="2098">
      <c r="A2098" s="2" t="s">
        <v>3157</v>
      </c>
      <c r="B2098" s="2" t="s">
        <v>3218</v>
      </c>
      <c r="G2098" s="2" t="s">
        <v>3203</v>
      </c>
      <c r="H2098" s="2" t="s">
        <v>3204</v>
      </c>
    </row>
    <row r="2099">
      <c r="A2099" s="2" t="s">
        <v>3157</v>
      </c>
      <c r="B2099" s="2" t="s">
        <v>3219</v>
      </c>
      <c r="G2099" s="2" t="s">
        <v>3203</v>
      </c>
      <c r="H2099" s="2" t="s">
        <v>3204</v>
      </c>
    </row>
    <row r="2100">
      <c r="A2100" s="2" t="s">
        <v>3157</v>
      </c>
      <c r="B2100" s="2" t="s">
        <v>3220</v>
      </c>
      <c r="G2100" s="2" t="s">
        <v>3203</v>
      </c>
      <c r="H2100" s="2" t="s">
        <v>3204</v>
      </c>
    </row>
    <row r="2101">
      <c r="A2101" s="2" t="s">
        <v>3157</v>
      </c>
      <c r="B2101" s="2" t="s">
        <v>3186</v>
      </c>
      <c r="G2101" s="2" t="s">
        <v>3203</v>
      </c>
      <c r="H2101" s="2" t="s">
        <v>3204</v>
      </c>
    </row>
    <row r="2102">
      <c r="A2102" s="2" t="s">
        <v>3157</v>
      </c>
      <c r="B2102" s="2" t="s">
        <v>3187</v>
      </c>
      <c r="G2102" s="2" t="s">
        <v>3203</v>
      </c>
      <c r="H2102" s="2" t="s">
        <v>3204</v>
      </c>
    </row>
    <row r="2103">
      <c r="A2103" s="2" t="s">
        <v>3157</v>
      </c>
      <c r="B2103" s="2" t="s">
        <v>3221</v>
      </c>
      <c r="G2103" s="2" t="s">
        <v>3203</v>
      </c>
      <c r="H2103" s="2" t="s">
        <v>3204</v>
      </c>
    </row>
    <row r="2104">
      <c r="A2104" s="2" t="s">
        <v>3157</v>
      </c>
      <c r="B2104" s="2" t="s">
        <v>3222</v>
      </c>
      <c r="G2104" s="2" t="s">
        <v>3203</v>
      </c>
      <c r="H2104" s="2" t="s">
        <v>3204</v>
      </c>
    </row>
    <row r="2105">
      <c r="A2105" s="2" t="s">
        <v>3157</v>
      </c>
      <c r="B2105" s="2" t="s">
        <v>3223</v>
      </c>
      <c r="G2105" s="2" t="s">
        <v>3203</v>
      </c>
      <c r="H2105" s="2" t="s">
        <v>3204</v>
      </c>
    </row>
    <row r="2106">
      <c r="A2106" s="2" t="s">
        <v>3157</v>
      </c>
      <c r="B2106" s="2" t="s">
        <v>3224</v>
      </c>
      <c r="G2106" s="2" t="s">
        <v>3203</v>
      </c>
      <c r="H2106" s="2" t="s">
        <v>3204</v>
      </c>
    </row>
    <row r="2107">
      <c r="A2107" s="2" t="s">
        <v>3157</v>
      </c>
      <c r="B2107" s="2" t="s">
        <v>3192</v>
      </c>
      <c r="G2107" s="2" t="s">
        <v>3203</v>
      </c>
      <c r="H2107" s="2" t="s">
        <v>3204</v>
      </c>
    </row>
    <row r="2108">
      <c r="A2108" s="2" t="s">
        <v>3157</v>
      </c>
      <c r="B2108" s="2" t="s">
        <v>3193</v>
      </c>
      <c r="G2108" s="2" t="s">
        <v>3203</v>
      </c>
      <c r="H2108" s="2" t="s">
        <v>3204</v>
      </c>
    </row>
    <row r="2109">
      <c r="A2109" s="2" t="s">
        <v>3157</v>
      </c>
      <c r="B2109" s="2" t="s">
        <v>3194</v>
      </c>
      <c r="G2109" s="2" t="s">
        <v>3203</v>
      </c>
      <c r="H2109" s="2" t="s">
        <v>3204</v>
      </c>
    </row>
    <row r="2110">
      <c r="A2110" s="2" t="s">
        <v>3157</v>
      </c>
      <c r="B2110" s="2" t="s">
        <v>3195</v>
      </c>
      <c r="G2110" s="2" t="s">
        <v>3203</v>
      </c>
      <c r="H2110" s="2" t="s">
        <v>3204</v>
      </c>
    </row>
    <row r="2111">
      <c r="A2111" s="2" t="s">
        <v>3157</v>
      </c>
      <c r="B2111" s="2" t="s">
        <v>3225</v>
      </c>
      <c r="G2111" s="2" t="s">
        <v>3203</v>
      </c>
      <c r="H2111" s="2" t="s">
        <v>3204</v>
      </c>
    </row>
    <row r="2112">
      <c r="A2112" s="2" t="s">
        <v>3157</v>
      </c>
      <c r="B2112" s="2" t="s">
        <v>3226</v>
      </c>
      <c r="G2112" s="2" t="s">
        <v>3203</v>
      </c>
      <c r="H2112" s="2" t="s">
        <v>3204</v>
      </c>
    </row>
    <row r="2113">
      <c r="A2113" s="2" t="s">
        <v>3157</v>
      </c>
      <c r="B2113" s="2" t="s">
        <v>3196</v>
      </c>
      <c r="G2113" s="2" t="s">
        <v>3203</v>
      </c>
      <c r="H2113" s="2" t="s">
        <v>3204</v>
      </c>
    </row>
    <row r="2114">
      <c r="A2114" s="2" t="s">
        <v>3157</v>
      </c>
      <c r="B2114" s="2" t="s">
        <v>3197</v>
      </c>
      <c r="G2114" s="2" t="s">
        <v>3203</v>
      </c>
      <c r="H2114" s="2" t="s">
        <v>3204</v>
      </c>
    </row>
    <row r="2115">
      <c r="A2115" s="2" t="s">
        <v>3157</v>
      </c>
      <c r="B2115" s="2" t="s">
        <v>3227</v>
      </c>
      <c r="G2115" s="2" t="s">
        <v>3203</v>
      </c>
      <c r="H2115" s="2" t="s">
        <v>3204</v>
      </c>
    </row>
    <row r="2116">
      <c r="A2116" s="2" t="s">
        <v>3157</v>
      </c>
      <c r="B2116" s="2" t="s">
        <v>3228</v>
      </c>
      <c r="G2116" s="2" t="s">
        <v>3203</v>
      </c>
      <c r="H2116" s="2" t="s">
        <v>3204</v>
      </c>
    </row>
    <row r="2117">
      <c r="A2117" s="2" t="s">
        <v>3157</v>
      </c>
      <c r="B2117" s="2" t="s">
        <v>3229</v>
      </c>
      <c r="G2117" s="2" t="s">
        <v>3203</v>
      </c>
      <c r="H2117" s="2" t="s">
        <v>3204</v>
      </c>
    </row>
    <row r="2118">
      <c r="A2118" s="2" t="s">
        <v>3157</v>
      </c>
      <c r="B2118" s="2" t="s">
        <v>3230</v>
      </c>
      <c r="G2118" s="2" t="s">
        <v>3203</v>
      </c>
      <c r="H2118" s="2" t="s">
        <v>3204</v>
      </c>
    </row>
    <row r="2119">
      <c r="A2119" s="2" t="s">
        <v>3157</v>
      </c>
      <c r="B2119" s="2" t="s">
        <v>3231</v>
      </c>
      <c r="G2119" s="2" t="s">
        <v>3203</v>
      </c>
      <c r="H2119" s="2" t="s">
        <v>3204</v>
      </c>
    </row>
    <row r="2120">
      <c r="A2120" s="2" t="s">
        <v>3157</v>
      </c>
      <c r="B2120" s="2" t="s">
        <v>3232</v>
      </c>
      <c r="G2120" s="2" t="s">
        <v>3203</v>
      </c>
      <c r="H2120" s="2" t="s">
        <v>3204</v>
      </c>
    </row>
    <row r="2121">
      <c r="A2121" s="2" t="s">
        <v>3157</v>
      </c>
      <c r="B2121" s="2" t="s">
        <v>3233</v>
      </c>
      <c r="G2121" s="2" t="s">
        <v>3203</v>
      </c>
      <c r="H2121" s="2" t="s">
        <v>3204</v>
      </c>
    </row>
    <row r="2122">
      <c r="A2122" s="2" t="s">
        <v>3157</v>
      </c>
      <c r="B2122" s="2" t="s">
        <v>3234</v>
      </c>
      <c r="G2122" s="2" t="s">
        <v>3203</v>
      </c>
      <c r="H2122" s="2" t="s">
        <v>3204</v>
      </c>
    </row>
    <row r="2123">
      <c r="A2123" s="2" t="s">
        <v>3157</v>
      </c>
      <c r="B2123" s="2" t="s">
        <v>3235</v>
      </c>
      <c r="G2123" s="2" t="s">
        <v>3203</v>
      </c>
      <c r="H2123" s="2" t="s">
        <v>3204</v>
      </c>
    </row>
    <row r="2124">
      <c r="A2124" s="2" t="s">
        <v>3157</v>
      </c>
      <c r="B2124" s="2" t="s">
        <v>3236</v>
      </c>
      <c r="G2124" s="2" t="s">
        <v>3203</v>
      </c>
      <c r="H2124" s="2" t="s">
        <v>3204</v>
      </c>
    </row>
    <row r="2125">
      <c r="A2125" s="2" t="s">
        <v>3157</v>
      </c>
      <c r="B2125" s="2" t="s">
        <v>3237</v>
      </c>
      <c r="G2125" s="2" t="s">
        <v>3203</v>
      </c>
      <c r="H2125" s="2" t="s">
        <v>3204</v>
      </c>
    </row>
    <row r="2126">
      <c r="A2126" s="2" t="s">
        <v>3157</v>
      </c>
      <c r="B2126" s="2" t="s">
        <v>3238</v>
      </c>
      <c r="G2126" s="2" t="s">
        <v>3203</v>
      </c>
      <c r="H2126" s="2" t="s">
        <v>3204</v>
      </c>
    </row>
    <row r="2127">
      <c r="A2127" s="2" t="s">
        <v>3157</v>
      </c>
      <c r="B2127" s="2" t="s">
        <v>3239</v>
      </c>
      <c r="G2127" s="2" t="s">
        <v>3203</v>
      </c>
      <c r="H2127" s="2" t="s">
        <v>3204</v>
      </c>
    </row>
    <row r="2128">
      <c r="A2128" s="2" t="s">
        <v>3157</v>
      </c>
      <c r="B2128" s="2" t="s">
        <v>3240</v>
      </c>
      <c r="G2128" s="2" t="s">
        <v>3203</v>
      </c>
      <c r="H2128" s="2" t="s">
        <v>3204</v>
      </c>
    </row>
    <row r="2129">
      <c r="A2129" s="2" t="s">
        <v>3157</v>
      </c>
      <c r="B2129" s="2" t="s">
        <v>3241</v>
      </c>
      <c r="G2129" s="2" t="s">
        <v>3203</v>
      </c>
      <c r="H2129" s="2" t="s">
        <v>3204</v>
      </c>
    </row>
    <row r="2130">
      <c r="A2130" s="2" t="s">
        <v>3157</v>
      </c>
      <c r="B2130" s="2" t="s">
        <v>3242</v>
      </c>
      <c r="G2130" s="2" t="s">
        <v>3203</v>
      </c>
      <c r="H2130" s="2" t="s">
        <v>3204</v>
      </c>
    </row>
    <row r="2131">
      <c r="A2131" s="2" t="s">
        <v>3157</v>
      </c>
      <c r="B2131" s="2" t="s">
        <v>3243</v>
      </c>
      <c r="G2131" s="2" t="s">
        <v>3203</v>
      </c>
      <c r="H2131" s="2" t="s">
        <v>3204</v>
      </c>
    </row>
    <row r="2132">
      <c r="A2132" s="2" t="s">
        <v>3157</v>
      </c>
      <c r="B2132" s="2" t="s">
        <v>3244</v>
      </c>
      <c r="G2132" s="2" t="s">
        <v>3203</v>
      </c>
      <c r="H2132" s="2" t="s">
        <v>3204</v>
      </c>
    </row>
    <row r="2133">
      <c r="A2133" s="2" t="s">
        <v>3157</v>
      </c>
      <c r="B2133" s="2" t="s">
        <v>3245</v>
      </c>
      <c r="G2133" s="2" t="s">
        <v>3203</v>
      </c>
      <c r="H2133" s="2" t="s">
        <v>3204</v>
      </c>
    </row>
    <row r="2134">
      <c r="A2134" s="2" t="s">
        <v>3157</v>
      </c>
      <c r="B2134" s="2" t="s">
        <v>3246</v>
      </c>
      <c r="G2134" s="2" t="s">
        <v>3203</v>
      </c>
      <c r="H2134" s="2" t="s">
        <v>3204</v>
      </c>
    </row>
    <row r="2135">
      <c r="A2135" s="2" t="s">
        <v>3157</v>
      </c>
      <c r="B2135" s="2" t="s">
        <v>3247</v>
      </c>
      <c r="G2135" s="2" t="s">
        <v>3203</v>
      </c>
      <c r="H2135" s="2" t="s">
        <v>3204</v>
      </c>
    </row>
    <row r="2136">
      <c r="A2136" s="2" t="s">
        <v>3157</v>
      </c>
      <c r="B2136" s="2" t="s">
        <v>3248</v>
      </c>
      <c r="G2136" s="2" t="s">
        <v>3203</v>
      </c>
      <c r="H2136" s="2" t="s">
        <v>3204</v>
      </c>
    </row>
    <row r="2137">
      <c r="A2137" s="2" t="s">
        <v>3249</v>
      </c>
      <c r="B2137" s="2" t="s">
        <v>3250</v>
      </c>
      <c r="C2137" s="2" t="s">
        <v>3251</v>
      </c>
      <c r="D2137" s="2" t="s">
        <v>3252</v>
      </c>
    </row>
    <row r="2138">
      <c r="A2138" s="2" t="s">
        <v>3249</v>
      </c>
      <c r="B2138" s="2" t="s">
        <v>3253</v>
      </c>
      <c r="C2138" s="2" t="s">
        <v>3251</v>
      </c>
      <c r="D2138" s="2" t="s">
        <v>3252</v>
      </c>
    </row>
    <row r="2139">
      <c r="A2139" s="2" t="s">
        <v>3249</v>
      </c>
      <c r="B2139" s="2" t="s">
        <v>3253</v>
      </c>
      <c r="C2139" s="2" t="s">
        <v>3251</v>
      </c>
      <c r="D2139" s="2" t="s">
        <v>3252</v>
      </c>
    </row>
    <row r="2140">
      <c r="A2140" s="2" t="s">
        <v>3249</v>
      </c>
      <c r="B2140" s="2" t="s">
        <v>3254</v>
      </c>
      <c r="C2140" s="2" t="s">
        <v>3251</v>
      </c>
      <c r="D2140" s="2" t="s">
        <v>3252</v>
      </c>
    </row>
    <row r="2141">
      <c r="A2141" s="2" t="s">
        <v>3249</v>
      </c>
      <c r="B2141" s="2" t="s">
        <v>3255</v>
      </c>
      <c r="C2141" s="2" t="s">
        <v>3251</v>
      </c>
      <c r="D2141" s="2" t="s">
        <v>3252</v>
      </c>
    </row>
    <row r="2142">
      <c r="A2142" s="64" t="s">
        <v>3256</v>
      </c>
      <c r="B2142" s="2" t="s">
        <v>3257</v>
      </c>
      <c r="C2142" s="2" t="s">
        <v>3258</v>
      </c>
      <c r="D2142" s="2" t="s">
        <v>3259</v>
      </c>
    </row>
    <row r="2143">
      <c r="A2143" s="64" t="s">
        <v>3256</v>
      </c>
      <c r="B2143" s="2" t="s">
        <v>3260</v>
      </c>
      <c r="C2143" s="2" t="s">
        <v>3258</v>
      </c>
      <c r="D2143" s="2" t="s">
        <v>3259</v>
      </c>
    </row>
    <row r="2144">
      <c r="A2144" s="64" t="s">
        <v>3256</v>
      </c>
      <c r="B2144" s="2" t="s">
        <v>3261</v>
      </c>
      <c r="C2144" s="2" t="s">
        <v>3258</v>
      </c>
      <c r="D2144" s="2" t="s">
        <v>3259</v>
      </c>
    </row>
    <row r="2145">
      <c r="A2145" s="64" t="s">
        <v>3256</v>
      </c>
      <c r="B2145" s="2" t="s">
        <v>3262</v>
      </c>
      <c r="C2145" s="2" t="s">
        <v>3258</v>
      </c>
      <c r="D2145" s="2" t="s">
        <v>3259</v>
      </c>
    </row>
    <row r="2146">
      <c r="A2146" s="64" t="s">
        <v>3256</v>
      </c>
      <c r="B2146" s="2" t="s">
        <v>3263</v>
      </c>
      <c r="C2146" s="2" t="s">
        <v>3258</v>
      </c>
      <c r="D2146" s="2" t="s">
        <v>3259</v>
      </c>
    </row>
    <row r="2147">
      <c r="A2147" s="64" t="s">
        <v>3256</v>
      </c>
      <c r="B2147" s="2" t="s">
        <v>3264</v>
      </c>
      <c r="C2147" s="2" t="s">
        <v>3258</v>
      </c>
      <c r="D2147" s="2" t="s">
        <v>3259</v>
      </c>
    </row>
    <row r="2148">
      <c r="A2148" s="64" t="s">
        <v>3256</v>
      </c>
      <c r="B2148" s="2" t="s">
        <v>3265</v>
      </c>
      <c r="C2148" s="2" t="s">
        <v>3258</v>
      </c>
      <c r="D2148" s="2" t="s">
        <v>3259</v>
      </c>
    </row>
    <row r="2149">
      <c r="A2149" s="64" t="s">
        <v>3256</v>
      </c>
      <c r="B2149" s="2" t="s">
        <v>3266</v>
      </c>
      <c r="C2149" s="2" t="s">
        <v>3258</v>
      </c>
      <c r="D2149" s="2" t="s">
        <v>3259</v>
      </c>
    </row>
    <row r="2150">
      <c r="A2150" s="64" t="s">
        <v>3256</v>
      </c>
      <c r="B2150" s="2" t="s">
        <v>3267</v>
      </c>
      <c r="C2150" s="2" t="s">
        <v>3258</v>
      </c>
      <c r="D2150" s="2" t="s">
        <v>3259</v>
      </c>
    </row>
    <row r="2151">
      <c r="A2151" s="64" t="s">
        <v>3256</v>
      </c>
      <c r="B2151" s="2" t="s">
        <v>3268</v>
      </c>
      <c r="C2151" s="2" t="s">
        <v>3258</v>
      </c>
      <c r="D2151" s="2" t="s">
        <v>3259</v>
      </c>
    </row>
    <row r="2152">
      <c r="A2152" s="64" t="s">
        <v>3256</v>
      </c>
      <c r="B2152" s="2" t="s">
        <v>3269</v>
      </c>
      <c r="C2152" s="2" t="s">
        <v>3258</v>
      </c>
      <c r="D2152" s="2" t="s">
        <v>3259</v>
      </c>
    </row>
    <row r="2153">
      <c r="A2153" s="64" t="s">
        <v>3256</v>
      </c>
      <c r="B2153" s="2" t="s">
        <v>3270</v>
      </c>
      <c r="C2153" s="2" t="s">
        <v>3258</v>
      </c>
      <c r="D2153" s="2" t="s">
        <v>3259</v>
      </c>
    </row>
    <row r="2154">
      <c r="A2154" s="64" t="s">
        <v>3256</v>
      </c>
      <c r="B2154" s="2" t="s">
        <v>3271</v>
      </c>
      <c r="C2154" s="2" t="s">
        <v>3258</v>
      </c>
      <c r="D2154" s="2" t="s">
        <v>3259</v>
      </c>
    </row>
    <row r="2155">
      <c r="A2155" s="64" t="s">
        <v>3256</v>
      </c>
      <c r="B2155" s="2" t="s">
        <v>3272</v>
      </c>
      <c r="C2155" s="2" t="s">
        <v>3258</v>
      </c>
      <c r="D2155" s="2" t="s">
        <v>3259</v>
      </c>
    </row>
    <row r="2156">
      <c r="A2156" s="64" t="s">
        <v>3256</v>
      </c>
      <c r="B2156" s="2" t="s">
        <v>3273</v>
      </c>
      <c r="C2156" s="2" t="s">
        <v>3258</v>
      </c>
      <c r="D2156" s="2" t="s">
        <v>3259</v>
      </c>
    </row>
    <row r="2157">
      <c r="A2157" s="64" t="s">
        <v>3256</v>
      </c>
      <c r="B2157" s="2" t="s">
        <v>3274</v>
      </c>
      <c r="C2157" s="2" t="s">
        <v>3258</v>
      </c>
      <c r="D2157" s="2" t="s">
        <v>3259</v>
      </c>
    </row>
    <row r="2158">
      <c r="A2158" s="64" t="s">
        <v>3256</v>
      </c>
      <c r="B2158" s="2" t="s">
        <v>3275</v>
      </c>
      <c r="C2158" s="2" t="s">
        <v>3258</v>
      </c>
      <c r="D2158" s="2" t="s">
        <v>3259</v>
      </c>
    </row>
    <row r="2159">
      <c r="A2159" s="64" t="s">
        <v>3256</v>
      </c>
      <c r="B2159" s="2" t="s">
        <v>3276</v>
      </c>
      <c r="C2159" s="2" t="s">
        <v>3258</v>
      </c>
      <c r="D2159" s="2" t="s">
        <v>3259</v>
      </c>
    </row>
    <row r="2160">
      <c r="A2160" s="64" t="s">
        <v>3256</v>
      </c>
      <c r="B2160" s="2" t="s">
        <v>3277</v>
      </c>
      <c r="C2160" s="2" t="s">
        <v>3258</v>
      </c>
      <c r="D2160" s="2" t="s">
        <v>3259</v>
      </c>
    </row>
    <row r="2161">
      <c r="A2161" s="64" t="s">
        <v>3256</v>
      </c>
      <c r="B2161" s="2" t="s">
        <v>3278</v>
      </c>
      <c r="C2161" s="2" t="s">
        <v>3258</v>
      </c>
      <c r="D2161" s="2" t="s">
        <v>3259</v>
      </c>
    </row>
    <row r="2162">
      <c r="A2162" s="64" t="s">
        <v>3256</v>
      </c>
      <c r="B2162" s="2" t="s">
        <v>3279</v>
      </c>
      <c r="C2162" s="2" t="s">
        <v>3258</v>
      </c>
      <c r="D2162" s="2" t="s">
        <v>3259</v>
      </c>
    </row>
    <row r="2163">
      <c r="A2163" s="64" t="s">
        <v>3256</v>
      </c>
      <c r="B2163" s="2" t="s">
        <v>3280</v>
      </c>
      <c r="C2163" s="2" t="s">
        <v>3258</v>
      </c>
      <c r="D2163" s="2" t="s">
        <v>3259</v>
      </c>
    </row>
    <row r="2164">
      <c r="A2164" s="64" t="s">
        <v>3256</v>
      </c>
      <c r="B2164" s="2" t="s">
        <v>3281</v>
      </c>
      <c r="C2164" s="2" t="s">
        <v>3258</v>
      </c>
      <c r="D2164" s="2" t="s">
        <v>3259</v>
      </c>
    </row>
    <row r="2165">
      <c r="A2165" s="64" t="s">
        <v>3256</v>
      </c>
      <c r="B2165" s="2" t="s">
        <v>3282</v>
      </c>
      <c r="C2165" s="2" t="s">
        <v>3258</v>
      </c>
      <c r="D2165" s="2" t="s">
        <v>3259</v>
      </c>
    </row>
    <row r="2166">
      <c r="A2166" s="64" t="s">
        <v>3256</v>
      </c>
      <c r="B2166" s="2" t="s">
        <v>3283</v>
      </c>
      <c r="C2166" s="2" t="s">
        <v>3258</v>
      </c>
      <c r="D2166" s="2" t="s">
        <v>3259</v>
      </c>
    </row>
    <row r="2167">
      <c r="A2167" s="64" t="s">
        <v>3256</v>
      </c>
      <c r="B2167" s="2" t="s">
        <v>3284</v>
      </c>
      <c r="C2167" s="2" t="s">
        <v>3258</v>
      </c>
      <c r="D2167" s="2" t="s">
        <v>3259</v>
      </c>
    </row>
    <row r="2168">
      <c r="A2168" s="64" t="s">
        <v>3256</v>
      </c>
      <c r="B2168" s="2" t="s">
        <v>3285</v>
      </c>
      <c r="C2168" s="2" t="s">
        <v>3258</v>
      </c>
      <c r="D2168" s="2" t="s">
        <v>3259</v>
      </c>
    </row>
    <row r="2169">
      <c r="A2169" s="64" t="s">
        <v>3256</v>
      </c>
      <c r="B2169" s="2" t="s">
        <v>3286</v>
      </c>
      <c r="C2169" s="2" t="s">
        <v>3258</v>
      </c>
      <c r="D2169" s="2" t="s">
        <v>3259</v>
      </c>
    </row>
    <row r="2170">
      <c r="A2170" s="64" t="s">
        <v>3256</v>
      </c>
      <c r="B2170" s="2" t="s">
        <v>3287</v>
      </c>
      <c r="C2170" s="2" t="s">
        <v>3258</v>
      </c>
      <c r="D2170" s="2" t="s">
        <v>3259</v>
      </c>
    </row>
    <row r="2171">
      <c r="A2171" s="64" t="s">
        <v>3256</v>
      </c>
      <c r="B2171" s="2" t="s">
        <v>3288</v>
      </c>
      <c r="C2171" s="2" t="s">
        <v>3258</v>
      </c>
      <c r="D2171" s="2" t="s">
        <v>3259</v>
      </c>
    </row>
    <row r="2172">
      <c r="A2172" s="64" t="s">
        <v>3256</v>
      </c>
      <c r="B2172" s="2" t="s">
        <v>3289</v>
      </c>
      <c r="C2172" s="2" t="s">
        <v>3258</v>
      </c>
      <c r="D2172" s="2" t="s">
        <v>3259</v>
      </c>
    </row>
    <row r="2173">
      <c r="A2173" s="64" t="s">
        <v>3256</v>
      </c>
      <c r="B2173" s="2" t="s">
        <v>3290</v>
      </c>
      <c r="C2173" s="2" t="s">
        <v>3258</v>
      </c>
      <c r="D2173" s="2" t="s">
        <v>3259</v>
      </c>
    </row>
    <row r="2174">
      <c r="A2174" s="64" t="s">
        <v>3256</v>
      </c>
      <c r="B2174" s="2" t="s">
        <v>3291</v>
      </c>
      <c r="C2174" s="2" t="s">
        <v>3258</v>
      </c>
      <c r="D2174" s="2" t="s">
        <v>3259</v>
      </c>
    </row>
    <row r="2175">
      <c r="A2175" s="64" t="s">
        <v>3256</v>
      </c>
      <c r="B2175" s="2" t="s">
        <v>3292</v>
      </c>
      <c r="C2175" s="2" t="s">
        <v>3258</v>
      </c>
      <c r="D2175" s="2" t="s">
        <v>3259</v>
      </c>
    </row>
    <row r="2176">
      <c r="A2176" s="64" t="s">
        <v>3256</v>
      </c>
      <c r="B2176" s="2" t="s">
        <v>3293</v>
      </c>
      <c r="C2176" s="2" t="s">
        <v>3258</v>
      </c>
      <c r="D2176" s="2" t="s">
        <v>3259</v>
      </c>
    </row>
    <row r="2177">
      <c r="A2177" s="64" t="s">
        <v>3256</v>
      </c>
      <c r="B2177" s="2" t="s">
        <v>3294</v>
      </c>
      <c r="C2177" s="2" t="s">
        <v>3258</v>
      </c>
      <c r="D2177" s="2" t="s">
        <v>3259</v>
      </c>
    </row>
    <row r="2178">
      <c r="A2178" s="64" t="s">
        <v>3256</v>
      </c>
      <c r="B2178" s="2" t="s">
        <v>3295</v>
      </c>
      <c r="C2178" s="2" t="s">
        <v>3258</v>
      </c>
      <c r="D2178" s="2" t="s">
        <v>3259</v>
      </c>
    </row>
    <row r="2179">
      <c r="A2179" s="64" t="s">
        <v>3256</v>
      </c>
      <c r="B2179" s="2" t="s">
        <v>3296</v>
      </c>
      <c r="C2179" s="2" t="s">
        <v>3258</v>
      </c>
      <c r="D2179" s="2" t="s">
        <v>3259</v>
      </c>
    </row>
    <row r="2180">
      <c r="A2180" s="64" t="s">
        <v>3256</v>
      </c>
      <c r="B2180" s="2" t="s">
        <v>3297</v>
      </c>
      <c r="C2180" s="2" t="s">
        <v>3258</v>
      </c>
      <c r="D2180" s="2" t="s">
        <v>3259</v>
      </c>
    </row>
    <row r="2181">
      <c r="A2181" s="64" t="s">
        <v>3256</v>
      </c>
      <c r="B2181" s="2" t="s">
        <v>3298</v>
      </c>
      <c r="C2181" s="2" t="s">
        <v>3258</v>
      </c>
      <c r="D2181" s="2" t="s">
        <v>3259</v>
      </c>
    </row>
    <row r="2182">
      <c r="A2182" s="64" t="s">
        <v>3256</v>
      </c>
      <c r="B2182" s="2" t="s">
        <v>3299</v>
      </c>
      <c r="C2182" s="2" t="s">
        <v>3258</v>
      </c>
      <c r="D2182" s="2" t="s">
        <v>3259</v>
      </c>
    </row>
    <row r="2183">
      <c r="A2183" s="64" t="s">
        <v>3256</v>
      </c>
      <c r="B2183" s="2" t="s">
        <v>3300</v>
      </c>
      <c r="C2183" s="2" t="s">
        <v>3258</v>
      </c>
      <c r="D2183" s="2" t="s">
        <v>3259</v>
      </c>
    </row>
    <row r="2184">
      <c r="A2184" s="64" t="s">
        <v>3256</v>
      </c>
      <c r="B2184" s="2" t="s">
        <v>3301</v>
      </c>
      <c r="C2184" s="2" t="s">
        <v>3258</v>
      </c>
      <c r="D2184" s="2" t="s">
        <v>3259</v>
      </c>
    </row>
    <row r="2185">
      <c r="A2185" s="64" t="s">
        <v>3256</v>
      </c>
      <c r="B2185" s="2" t="s">
        <v>3302</v>
      </c>
      <c r="C2185" s="2" t="s">
        <v>3258</v>
      </c>
      <c r="D2185" s="2" t="s">
        <v>3259</v>
      </c>
    </row>
    <row r="2186">
      <c r="A2186" s="64" t="s">
        <v>3256</v>
      </c>
      <c r="B2186" s="2" t="s">
        <v>3303</v>
      </c>
      <c r="C2186" s="2" t="s">
        <v>3258</v>
      </c>
      <c r="D2186" s="2" t="s">
        <v>3259</v>
      </c>
    </row>
    <row r="2187">
      <c r="A2187" s="64" t="s">
        <v>3256</v>
      </c>
      <c r="B2187" s="2" t="s">
        <v>3304</v>
      </c>
      <c r="C2187" s="2" t="s">
        <v>3258</v>
      </c>
      <c r="D2187" s="2" t="s">
        <v>3259</v>
      </c>
    </row>
    <row r="2188">
      <c r="A2188" s="64" t="s">
        <v>3256</v>
      </c>
      <c r="B2188" s="2" t="s">
        <v>3305</v>
      </c>
      <c r="C2188" s="2" t="s">
        <v>3258</v>
      </c>
      <c r="D2188" s="2" t="s">
        <v>3259</v>
      </c>
    </row>
    <row r="2189">
      <c r="A2189" s="64" t="s">
        <v>3256</v>
      </c>
      <c r="B2189" s="2" t="s">
        <v>3306</v>
      </c>
      <c r="C2189" s="2" t="s">
        <v>3258</v>
      </c>
      <c r="D2189" s="2" t="s">
        <v>3259</v>
      </c>
    </row>
    <row r="2190">
      <c r="A2190" s="64" t="s">
        <v>3256</v>
      </c>
      <c r="B2190" s="2" t="s">
        <v>3307</v>
      </c>
      <c r="C2190" s="2" t="s">
        <v>3258</v>
      </c>
      <c r="D2190" s="2" t="s">
        <v>3259</v>
      </c>
    </row>
    <row r="2191">
      <c r="A2191" s="64" t="s">
        <v>3256</v>
      </c>
      <c r="B2191" s="2" t="s">
        <v>3308</v>
      </c>
      <c r="C2191" s="2" t="s">
        <v>3258</v>
      </c>
      <c r="D2191" s="2" t="s">
        <v>3259</v>
      </c>
    </row>
    <row r="2192">
      <c r="A2192" s="64" t="s">
        <v>3256</v>
      </c>
      <c r="B2192" s="2" t="s">
        <v>3309</v>
      </c>
      <c r="C2192" s="2" t="s">
        <v>3258</v>
      </c>
      <c r="D2192" s="2" t="s">
        <v>3259</v>
      </c>
    </row>
    <row r="2193">
      <c r="A2193" s="64" t="s">
        <v>3256</v>
      </c>
      <c r="B2193" s="2" t="s">
        <v>3310</v>
      </c>
      <c r="C2193" s="2" t="s">
        <v>3258</v>
      </c>
      <c r="D2193" s="2" t="s">
        <v>3259</v>
      </c>
    </row>
    <row r="2194">
      <c r="A2194" s="64" t="s">
        <v>3256</v>
      </c>
      <c r="B2194" s="2" t="s">
        <v>3311</v>
      </c>
      <c r="C2194" s="2" t="s">
        <v>3258</v>
      </c>
      <c r="D2194" s="2" t="s">
        <v>3259</v>
      </c>
    </row>
    <row r="2195">
      <c r="A2195" s="64" t="s">
        <v>3256</v>
      </c>
      <c r="B2195" s="2" t="s">
        <v>3312</v>
      </c>
      <c r="C2195" s="2" t="s">
        <v>3258</v>
      </c>
      <c r="D2195" s="2" t="s">
        <v>3259</v>
      </c>
    </row>
    <row r="2196">
      <c r="A2196" s="64" t="s">
        <v>3256</v>
      </c>
      <c r="B2196" s="2" t="s">
        <v>3313</v>
      </c>
      <c r="C2196" s="2" t="s">
        <v>3258</v>
      </c>
      <c r="D2196" s="2" t="s">
        <v>3259</v>
      </c>
    </row>
    <row r="2197">
      <c r="A2197" s="64" t="s">
        <v>3256</v>
      </c>
      <c r="B2197" s="2" t="s">
        <v>3314</v>
      </c>
      <c r="C2197" s="2" t="s">
        <v>3258</v>
      </c>
      <c r="D2197" s="2" t="s">
        <v>3259</v>
      </c>
    </row>
    <row r="2198">
      <c r="A2198" s="64" t="s">
        <v>3256</v>
      </c>
      <c r="B2198" s="2" t="s">
        <v>3315</v>
      </c>
      <c r="C2198" s="2" t="s">
        <v>3258</v>
      </c>
      <c r="D2198" s="2" t="s">
        <v>3259</v>
      </c>
    </row>
    <row r="2199">
      <c r="A2199" s="64" t="s">
        <v>3256</v>
      </c>
      <c r="B2199" s="2" t="s">
        <v>3316</v>
      </c>
      <c r="C2199" s="2" t="s">
        <v>3258</v>
      </c>
      <c r="D2199" s="2" t="s">
        <v>3259</v>
      </c>
    </row>
    <row r="2200">
      <c r="A2200" s="64" t="s">
        <v>3256</v>
      </c>
      <c r="B2200" s="2" t="s">
        <v>3317</v>
      </c>
      <c r="C2200" s="2" t="s">
        <v>3258</v>
      </c>
      <c r="D2200" s="2" t="s">
        <v>3259</v>
      </c>
    </row>
    <row r="2201">
      <c r="A2201" s="64" t="s">
        <v>3256</v>
      </c>
      <c r="B2201" s="2" t="s">
        <v>3318</v>
      </c>
      <c r="C2201" s="2" t="s">
        <v>3258</v>
      </c>
      <c r="D2201" s="2" t="s">
        <v>3259</v>
      </c>
    </row>
    <row r="2202">
      <c r="A2202" s="64" t="s">
        <v>3256</v>
      </c>
      <c r="B2202" s="2" t="s">
        <v>3319</v>
      </c>
      <c r="C2202" s="2" t="s">
        <v>3258</v>
      </c>
      <c r="D2202" s="2" t="s">
        <v>3259</v>
      </c>
    </row>
    <row r="2203">
      <c r="A2203" s="64" t="s">
        <v>3256</v>
      </c>
      <c r="B2203" s="2" t="s">
        <v>3320</v>
      </c>
      <c r="C2203" s="2" t="s">
        <v>3258</v>
      </c>
      <c r="D2203" s="2" t="s">
        <v>3259</v>
      </c>
    </row>
    <row r="2204">
      <c r="A2204" s="2" t="s">
        <v>3321</v>
      </c>
      <c r="B2204" s="2" t="s">
        <v>3322</v>
      </c>
      <c r="C2204" s="2" t="s">
        <v>3323</v>
      </c>
      <c r="D2204" s="2" t="s">
        <v>3324</v>
      </c>
    </row>
    <row r="2205">
      <c r="A2205" s="2" t="s">
        <v>3321</v>
      </c>
      <c r="B2205" s="2" t="s">
        <v>3325</v>
      </c>
      <c r="C2205" s="2" t="s">
        <v>3323</v>
      </c>
      <c r="D2205" s="2" t="s">
        <v>3324</v>
      </c>
    </row>
    <row r="2206">
      <c r="A2206" s="2" t="s">
        <v>3326</v>
      </c>
      <c r="B2206" s="2" t="s">
        <v>3327</v>
      </c>
      <c r="C2206" s="2" t="s">
        <v>3328</v>
      </c>
      <c r="D2206" s="2" t="s">
        <v>3329</v>
      </c>
    </row>
    <row r="2207">
      <c r="A2207" s="2" t="s">
        <v>3330</v>
      </c>
      <c r="B2207" s="2" t="s">
        <v>3331</v>
      </c>
      <c r="G2207" s="2" t="s">
        <v>3332</v>
      </c>
    </row>
    <row r="2208">
      <c r="A2208" s="2" t="s">
        <v>3330</v>
      </c>
      <c r="B2208" s="2" t="s">
        <v>3333</v>
      </c>
      <c r="G2208" s="2" t="s">
        <v>3332</v>
      </c>
    </row>
    <row r="2209">
      <c r="A2209" s="2" t="s">
        <v>3330</v>
      </c>
      <c r="B2209" s="2" t="s">
        <v>3334</v>
      </c>
      <c r="G2209" s="2" t="s">
        <v>3332</v>
      </c>
    </row>
    <row r="2210">
      <c r="A2210" s="2" t="s">
        <v>3330</v>
      </c>
      <c r="B2210" s="2" t="s">
        <v>3335</v>
      </c>
      <c r="G2210" s="2" t="s">
        <v>3332</v>
      </c>
    </row>
    <row r="2211">
      <c r="A2211" s="2" t="s">
        <v>3330</v>
      </c>
      <c r="B2211" s="2" t="s">
        <v>3336</v>
      </c>
      <c r="G2211" s="2" t="s">
        <v>3332</v>
      </c>
    </row>
    <row r="2212">
      <c r="A2212" s="2" t="s">
        <v>3330</v>
      </c>
      <c r="B2212" s="2" t="s">
        <v>3337</v>
      </c>
      <c r="G2212" s="2" t="s">
        <v>3332</v>
      </c>
    </row>
    <row r="2213">
      <c r="A2213" s="2" t="s">
        <v>3330</v>
      </c>
      <c r="B2213" s="2" t="s">
        <v>3338</v>
      </c>
      <c r="G2213" s="2" t="s">
        <v>3332</v>
      </c>
    </row>
    <row r="2214">
      <c r="A2214" s="2" t="s">
        <v>3330</v>
      </c>
      <c r="B2214" s="2" t="s">
        <v>3339</v>
      </c>
      <c r="G2214" s="2" t="s">
        <v>3332</v>
      </c>
    </row>
    <row r="2215">
      <c r="A2215" s="2" t="s">
        <v>3330</v>
      </c>
      <c r="B2215" s="2" t="s">
        <v>3340</v>
      </c>
      <c r="G2215" s="2" t="s">
        <v>3332</v>
      </c>
    </row>
    <row r="2216">
      <c r="A2216" s="2" t="s">
        <v>3330</v>
      </c>
      <c r="B2216" s="2" t="s">
        <v>3341</v>
      </c>
      <c r="G2216" s="2" t="s">
        <v>3332</v>
      </c>
    </row>
    <row r="2217">
      <c r="A2217" s="2" t="s">
        <v>3330</v>
      </c>
      <c r="B2217" s="2" t="s">
        <v>3342</v>
      </c>
      <c r="G2217" s="2" t="s">
        <v>3332</v>
      </c>
    </row>
    <row r="2218">
      <c r="A2218" s="2" t="s">
        <v>3330</v>
      </c>
      <c r="B2218" s="2" t="s">
        <v>3343</v>
      </c>
      <c r="G2218" s="2" t="s">
        <v>3332</v>
      </c>
    </row>
    <row r="2219">
      <c r="A2219" s="2" t="s">
        <v>3330</v>
      </c>
      <c r="B2219" s="2" t="s">
        <v>3344</v>
      </c>
      <c r="G2219" s="2" t="s">
        <v>3332</v>
      </c>
    </row>
    <row r="2220">
      <c r="A2220" s="2" t="s">
        <v>3345</v>
      </c>
      <c r="B2220" s="2" t="s">
        <v>3346</v>
      </c>
      <c r="C2220" s="2" t="s">
        <v>3347</v>
      </c>
      <c r="D2220" s="2" t="s">
        <v>3348</v>
      </c>
    </row>
    <row r="2221">
      <c r="A2221" s="2" t="s">
        <v>3345</v>
      </c>
      <c r="B2221" s="2" t="s">
        <v>3349</v>
      </c>
      <c r="C2221" s="2" t="s">
        <v>3347</v>
      </c>
      <c r="D2221" s="2" t="s">
        <v>3348</v>
      </c>
    </row>
    <row r="2222">
      <c r="A2222" s="2" t="s">
        <v>3345</v>
      </c>
      <c r="B2222" s="2" t="s">
        <v>3350</v>
      </c>
      <c r="C2222" s="2" t="s">
        <v>3347</v>
      </c>
      <c r="D2222" s="2" t="s">
        <v>3348</v>
      </c>
    </row>
    <row r="2223">
      <c r="A2223" s="2" t="s">
        <v>3345</v>
      </c>
      <c r="B2223" s="2" t="s">
        <v>3351</v>
      </c>
      <c r="C2223" s="2" t="s">
        <v>3347</v>
      </c>
      <c r="D2223" s="2" t="s">
        <v>3348</v>
      </c>
    </row>
    <row r="2224">
      <c r="A2224" s="2" t="s">
        <v>3345</v>
      </c>
      <c r="B2224" s="2" t="s">
        <v>3352</v>
      </c>
      <c r="C2224" s="2" t="s">
        <v>3347</v>
      </c>
      <c r="D2224" s="2" t="s">
        <v>3348</v>
      </c>
    </row>
    <row r="2225">
      <c r="A2225" s="2" t="s">
        <v>3345</v>
      </c>
      <c r="B2225" s="2" t="s">
        <v>3353</v>
      </c>
      <c r="C2225" s="2" t="s">
        <v>3347</v>
      </c>
      <c r="D2225" s="2" t="s">
        <v>3348</v>
      </c>
    </row>
    <row r="2226">
      <c r="A2226" s="2" t="s">
        <v>3345</v>
      </c>
      <c r="B2226" s="2" t="s">
        <v>3354</v>
      </c>
      <c r="C2226" s="2" t="s">
        <v>3347</v>
      </c>
      <c r="D2226" s="2" t="s">
        <v>3348</v>
      </c>
    </row>
    <row r="2227">
      <c r="A2227" s="2" t="s">
        <v>3345</v>
      </c>
      <c r="B2227" s="2" t="s">
        <v>3355</v>
      </c>
      <c r="C2227" s="2" t="s">
        <v>3347</v>
      </c>
      <c r="D2227" s="2" t="s">
        <v>3348</v>
      </c>
    </row>
    <row r="2228">
      <c r="A2228" s="2" t="s">
        <v>3345</v>
      </c>
      <c r="B2228" s="2" t="s">
        <v>3356</v>
      </c>
      <c r="C2228" s="2" t="s">
        <v>3347</v>
      </c>
      <c r="D2228" s="2" t="s">
        <v>3348</v>
      </c>
    </row>
    <row r="2229">
      <c r="A2229" s="2" t="s">
        <v>3345</v>
      </c>
      <c r="B2229" s="2" t="s">
        <v>3357</v>
      </c>
      <c r="C2229" s="2" t="s">
        <v>3347</v>
      </c>
      <c r="D2229" s="2" t="s">
        <v>3348</v>
      </c>
    </row>
    <row r="2230">
      <c r="A2230" s="2" t="s">
        <v>3345</v>
      </c>
      <c r="B2230" s="2" t="s">
        <v>3358</v>
      </c>
      <c r="C2230" s="2" t="s">
        <v>3347</v>
      </c>
      <c r="D2230" s="2" t="s">
        <v>3348</v>
      </c>
    </row>
    <row r="2231">
      <c r="A2231" s="2" t="s">
        <v>3345</v>
      </c>
      <c r="B2231" s="2" t="s">
        <v>3359</v>
      </c>
      <c r="C2231" s="2" t="s">
        <v>3347</v>
      </c>
      <c r="D2231" s="2" t="s">
        <v>3348</v>
      </c>
    </row>
    <row r="2232">
      <c r="A2232" s="2" t="s">
        <v>3345</v>
      </c>
      <c r="B2232" s="2" t="s">
        <v>3360</v>
      </c>
      <c r="C2232" s="2" t="s">
        <v>3347</v>
      </c>
      <c r="D2232" s="2" t="s">
        <v>3348</v>
      </c>
    </row>
    <row r="2233">
      <c r="A2233" s="2" t="s">
        <v>3345</v>
      </c>
      <c r="B2233" s="2" t="s">
        <v>3361</v>
      </c>
      <c r="C2233" s="2" t="s">
        <v>3347</v>
      </c>
      <c r="D2233" s="2" t="s">
        <v>3348</v>
      </c>
    </row>
    <row r="2234">
      <c r="A2234" s="2" t="s">
        <v>3345</v>
      </c>
      <c r="B2234" s="2" t="s">
        <v>3362</v>
      </c>
      <c r="C2234" s="2" t="s">
        <v>3347</v>
      </c>
      <c r="D2234" s="2" t="s">
        <v>3348</v>
      </c>
    </row>
    <row r="2235">
      <c r="A2235" s="2" t="s">
        <v>3345</v>
      </c>
      <c r="B2235" s="2" t="s">
        <v>3363</v>
      </c>
      <c r="C2235" s="2" t="s">
        <v>3347</v>
      </c>
      <c r="D2235" s="2" t="s">
        <v>3348</v>
      </c>
    </row>
    <row r="2236">
      <c r="A2236" s="2" t="s">
        <v>3345</v>
      </c>
      <c r="B2236" s="2" t="s">
        <v>3364</v>
      </c>
      <c r="C2236" s="2" t="s">
        <v>3347</v>
      </c>
      <c r="D2236" s="2" t="s">
        <v>3348</v>
      </c>
    </row>
    <row r="2237">
      <c r="A2237" s="2" t="s">
        <v>3345</v>
      </c>
      <c r="B2237" s="2" t="s">
        <v>3365</v>
      </c>
      <c r="C2237" s="2" t="s">
        <v>3347</v>
      </c>
      <c r="D2237" s="2" t="s">
        <v>3348</v>
      </c>
    </row>
    <row r="2238">
      <c r="A2238" s="2" t="s">
        <v>3345</v>
      </c>
      <c r="B2238" s="2" t="s">
        <v>3366</v>
      </c>
      <c r="C2238" s="2" t="s">
        <v>3347</v>
      </c>
      <c r="D2238" s="2" t="s">
        <v>3348</v>
      </c>
    </row>
    <row r="2239">
      <c r="A2239" s="2" t="s">
        <v>3345</v>
      </c>
      <c r="B2239" s="2" t="s">
        <v>3367</v>
      </c>
      <c r="C2239" s="2" t="s">
        <v>3347</v>
      </c>
      <c r="D2239" s="2" t="s">
        <v>3348</v>
      </c>
    </row>
    <row r="2240">
      <c r="A2240" s="2" t="s">
        <v>3345</v>
      </c>
      <c r="B2240" s="2" t="s">
        <v>3368</v>
      </c>
      <c r="C2240" s="2" t="s">
        <v>3347</v>
      </c>
      <c r="D2240" s="2" t="s">
        <v>3348</v>
      </c>
    </row>
    <row r="2241">
      <c r="A2241" s="2" t="s">
        <v>3345</v>
      </c>
      <c r="B2241" s="2" t="s">
        <v>3369</v>
      </c>
      <c r="C2241" s="2" t="s">
        <v>3347</v>
      </c>
      <c r="D2241" s="2" t="s">
        <v>3348</v>
      </c>
    </row>
    <row r="2242">
      <c r="A2242" s="2" t="s">
        <v>3345</v>
      </c>
      <c r="B2242" s="2" t="s">
        <v>3370</v>
      </c>
      <c r="C2242" s="2" t="s">
        <v>3347</v>
      </c>
      <c r="D2242" s="2" t="s">
        <v>3348</v>
      </c>
    </row>
    <row r="2243">
      <c r="A2243" s="2" t="s">
        <v>3345</v>
      </c>
      <c r="B2243" s="2" t="s">
        <v>3371</v>
      </c>
      <c r="C2243" s="2" t="s">
        <v>3347</v>
      </c>
      <c r="D2243" s="2" t="s">
        <v>3348</v>
      </c>
    </row>
    <row r="2244">
      <c r="A2244" s="2" t="s">
        <v>3345</v>
      </c>
      <c r="B2244" s="2" t="s">
        <v>3372</v>
      </c>
      <c r="C2244" s="2" t="s">
        <v>3347</v>
      </c>
      <c r="D2244" s="2" t="s">
        <v>3348</v>
      </c>
    </row>
    <row r="2245">
      <c r="A2245" s="2" t="s">
        <v>3345</v>
      </c>
      <c r="B2245" s="2" t="s">
        <v>3373</v>
      </c>
      <c r="C2245" s="2" t="s">
        <v>3347</v>
      </c>
      <c r="D2245" s="2" t="s">
        <v>3348</v>
      </c>
    </row>
    <row r="2246">
      <c r="A2246" s="2" t="s">
        <v>3345</v>
      </c>
      <c r="B2246" s="2" t="s">
        <v>3374</v>
      </c>
      <c r="C2246" s="2" t="s">
        <v>3347</v>
      </c>
      <c r="D2246" s="2" t="s">
        <v>3348</v>
      </c>
    </row>
    <row r="2247">
      <c r="A2247" s="2" t="s">
        <v>3345</v>
      </c>
      <c r="B2247" s="2" t="s">
        <v>3375</v>
      </c>
      <c r="C2247" s="2" t="s">
        <v>3347</v>
      </c>
      <c r="D2247" s="2" t="s">
        <v>3348</v>
      </c>
    </row>
    <row r="2248">
      <c r="A2248" s="2" t="s">
        <v>3345</v>
      </c>
      <c r="B2248" s="2" t="s">
        <v>3376</v>
      </c>
      <c r="C2248" s="2" t="s">
        <v>3347</v>
      </c>
      <c r="D2248" s="2" t="s">
        <v>3348</v>
      </c>
    </row>
    <row r="2249">
      <c r="A2249" s="2" t="s">
        <v>3345</v>
      </c>
      <c r="B2249" s="2" t="s">
        <v>3377</v>
      </c>
      <c r="C2249" s="2" t="s">
        <v>3347</v>
      </c>
      <c r="D2249" s="2" t="s">
        <v>3348</v>
      </c>
    </row>
    <row r="2250">
      <c r="A2250" s="2" t="s">
        <v>3345</v>
      </c>
      <c r="B2250" s="2" t="s">
        <v>3378</v>
      </c>
      <c r="C2250" s="2" t="s">
        <v>3347</v>
      </c>
      <c r="D2250" s="2" t="s">
        <v>3348</v>
      </c>
    </row>
    <row r="2251">
      <c r="A2251" s="2" t="s">
        <v>3379</v>
      </c>
      <c r="B2251" s="2" t="s">
        <v>3380</v>
      </c>
      <c r="C2251" s="2" t="s">
        <v>3381</v>
      </c>
      <c r="D2251" s="2" t="s">
        <v>3382</v>
      </c>
    </row>
    <row r="2252">
      <c r="A2252" s="2" t="s">
        <v>3379</v>
      </c>
      <c r="B2252" s="2" t="s">
        <v>3383</v>
      </c>
      <c r="C2252" s="2" t="s">
        <v>3381</v>
      </c>
      <c r="D2252" s="2" t="s">
        <v>3382</v>
      </c>
    </row>
    <row r="2253">
      <c r="A2253" s="2" t="s">
        <v>3379</v>
      </c>
      <c r="B2253" s="2" t="s">
        <v>3384</v>
      </c>
      <c r="C2253" s="2" t="s">
        <v>3381</v>
      </c>
      <c r="D2253" s="2" t="s">
        <v>3382</v>
      </c>
    </row>
    <row r="2254">
      <c r="A2254" s="2" t="s">
        <v>3385</v>
      </c>
      <c r="B2254" s="2" t="s">
        <v>3380</v>
      </c>
      <c r="C2254" s="2" t="s">
        <v>3386</v>
      </c>
      <c r="D2254" s="2" t="s">
        <v>3387</v>
      </c>
    </row>
    <row r="2255">
      <c r="A2255" s="2" t="s">
        <v>3385</v>
      </c>
      <c r="B2255" s="2" t="s">
        <v>3383</v>
      </c>
      <c r="C2255" s="2" t="s">
        <v>3386</v>
      </c>
      <c r="D2255" s="2" t="s">
        <v>3387</v>
      </c>
    </row>
    <row r="2256">
      <c r="A2256" s="2" t="s">
        <v>3385</v>
      </c>
      <c r="B2256" s="2" t="s">
        <v>3384</v>
      </c>
      <c r="C2256" s="2" t="s">
        <v>3386</v>
      </c>
      <c r="D2256" s="2" t="s">
        <v>3387</v>
      </c>
    </row>
    <row r="2257">
      <c r="A2257" s="2" t="s">
        <v>3388</v>
      </c>
      <c r="B2257" s="2" t="s">
        <v>3389</v>
      </c>
      <c r="C2257" s="2" t="s">
        <v>3390</v>
      </c>
      <c r="D2257" s="2" t="s">
        <v>3391</v>
      </c>
    </row>
    <row r="2258">
      <c r="A2258" s="2" t="s">
        <v>3388</v>
      </c>
      <c r="B2258" s="2" t="s">
        <v>3392</v>
      </c>
      <c r="C2258" s="2" t="s">
        <v>3390</v>
      </c>
      <c r="D2258" s="2" t="s">
        <v>3391</v>
      </c>
    </row>
    <row r="2259">
      <c r="A2259" s="2" t="s">
        <v>3388</v>
      </c>
      <c r="B2259" s="2" t="s">
        <v>3393</v>
      </c>
      <c r="C2259" s="2" t="s">
        <v>3390</v>
      </c>
      <c r="D2259" s="2" t="s">
        <v>3391</v>
      </c>
    </row>
    <row r="2260">
      <c r="A2260" s="2" t="s">
        <v>3388</v>
      </c>
      <c r="B2260" s="2" t="s">
        <v>3394</v>
      </c>
      <c r="C2260" s="2" t="s">
        <v>3390</v>
      </c>
      <c r="D2260" s="2" t="s">
        <v>3391</v>
      </c>
    </row>
    <row r="2261">
      <c r="A2261" s="2" t="s">
        <v>3388</v>
      </c>
      <c r="B2261" s="2" t="s">
        <v>3395</v>
      </c>
      <c r="C2261" s="2" t="s">
        <v>3390</v>
      </c>
      <c r="D2261" s="2" t="s">
        <v>3391</v>
      </c>
    </row>
    <row r="2262">
      <c r="A2262" s="2" t="s">
        <v>3388</v>
      </c>
      <c r="B2262" s="2" t="s">
        <v>3396</v>
      </c>
      <c r="C2262" s="2" t="s">
        <v>3390</v>
      </c>
      <c r="D2262" s="2" t="s">
        <v>3391</v>
      </c>
    </row>
    <row r="2263">
      <c r="A2263" s="2" t="s">
        <v>3388</v>
      </c>
      <c r="B2263" s="2" t="s">
        <v>3397</v>
      </c>
      <c r="C2263" s="2" t="s">
        <v>3390</v>
      </c>
      <c r="D2263" s="2" t="s">
        <v>3391</v>
      </c>
    </row>
    <row r="2264">
      <c r="A2264" s="2" t="s">
        <v>3388</v>
      </c>
      <c r="B2264" s="2" t="s">
        <v>3398</v>
      </c>
      <c r="C2264" s="2" t="s">
        <v>3390</v>
      </c>
      <c r="D2264" s="2" t="s">
        <v>3391</v>
      </c>
    </row>
    <row r="2265">
      <c r="A2265" s="2" t="s">
        <v>3388</v>
      </c>
      <c r="B2265" s="2" t="s">
        <v>3399</v>
      </c>
      <c r="C2265" s="2" t="s">
        <v>3390</v>
      </c>
      <c r="D2265" s="2" t="s">
        <v>3391</v>
      </c>
    </row>
    <row r="2266">
      <c r="A2266" s="2" t="s">
        <v>3388</v>
      </c>
      <c r="B2266" s="2" t="s">
        <v>3400</v>
      </c>
      <c r="C2266" s="2" t="s">
        <v>3390</v>
      </c>
      <c r="D2266" s="2" t="s">
        <v>3391</v>
      </c>
    </row>
    <row r="2267">
      <c r="A2267" s="2" t="s">
        <v>3388</v>
      </c>
      <c r="B2267" s="2" t="s">
        <v>3401</v>
      </c>
      <c r="C2267" s="2" t="s">
        <v>3390</v>
      </c>
      <c r="D2267" s="2" t="s">
        <v>3391</v>
      </c>
    </row>
    <row r="2268">
      <c r="A2268" s="2" t="s">
        <v>3388</v>
      </c>
      <c r="B2268" s="2" t="s">
        <v>3402</v>
      </c>
      <c r="C2268" s="2" t="s">
        <v>3390</v>
      </c>
      <c r="D2268" s="2" t="s">
        <v>3391</v>
      </c>
    </row>
    <row r="2269">
      <c r="A2269" s="2" t="s">
        <v>3388</v>
      </c>
      <c r="B2269" s="2" t="s">
        <v>3403</v>
      </c>
      <c r="C2269" s="2" t="s">
        <v>3390</v>
      </c>
      <c r="D2269" s="2" t="s">
        <v>3391</v>
      </c>
    </row>
    <row r="2270">
      <c r="A2270" s="2" t="s">
        <v>3388</v>
      </c>
      <c r="B2270" s="2" t="s">
        <v>3404</v>
      </c>
      <c r="C2270" s="2" t="s">
        <v>3390</v>
      </c>
      <c r="D2270" s="2" t="s">
        <v>3391</v>
      </c>
    </row>
    <row r="2271">
      <c r="A2271" s="2" t="s">
        <v>3405</v>
      </c>
      <c r="B2271" s="2" t="s">
        <v>3406</v>
      </c>
      <c r="C2271" s="2" t="s">
        <v>3407</v>
      </c>
      <c r="D2271" s="2" t="s">
        <v>3408</v>
      </c>
    </row>
    <row r="2272">
      <c r="A2272" s="2" t="s">
        <v>3405</v>
      </c>
      <c r="B2272" s="2" t="s">
        <v>3409</v>
      </c>
      <c r="C2272" s="2" t="s">
        <v>3407</v>
      </c>
      <c r="D2272" s="2" t="s">
        <v>3408</v>
      </c>
    </row>
    <row r="2273">
      <c r="A2273" s="2" t="s">
        <v>3405</v>
      </c>
      <c r="B2273" s="2" t="s">
        <v>3410</v>
      </c>
      <c r="C2273" s="2" t="s">
        <v>3407</v>
      </c>
      <c r="D2273" s="2" t="s">
        <v>3408</v>
      </c>
    </row>
    <row r="2274">
      <c r="A2274" s="2" t="s">
        <v>3405</v>
      </c>
      <c r="B2274" s="2" t="s">
        <v>3411</v>
      </c>
      <c r="C2274" s="2" t="s">
        <v>3407</v>
      </c>
      <c r="D2274" s="2" t="s">
        <v>3408</v>
      </c>
    </row>
    <row r="2275">
      <c r="A2275" s="2" t="s">
        <v>3405</v>
      </c>
      <c r="B2275" s="2" t="s">
        <v>3412</v>
      </c>
      <c r="C2275" s="2" t="s">
        <v>3407</v>
      </c>
      <c r="D2275" s="2" t="s">
        <v>3408</v>
      </c>
    </row>
    <row r="2276">
      <c r="A2276" s="2" t="s">
        <v>3405</v>
      </c>
      <c r="B2276" s="2" t="s">
        <v>3413</v>
      </c>
      <c r="C2276" s="2" t="s">
        <v>3407</v>
      </c>
      <c r="D2276" s="2" t="s">
        <v>3408</v>
      </c>
    </row>
    <row r="2277">
      <c r="A2277" s="2" t="s">
        <v>3405</v>
      </c>
      <c r="B2277" s="2" t="s">
        <v>3414</v>
      </c>
      <c r="C2277" s="2" t="s">
        <v>3407</v>
      </c>
      <c r="D2277" s="2" t="s">
        <v>3408</v>
      </c>
    </row>
    <row r="2278">
      <c r="A2278" s="2" t="s">
        <v>3415</v>
      </c>
      <c r="B2278" s="2" t="s">
        <v>3416</v>
      </c>
      <c r="C2278" s="2"/>
      <c r="D2278" s="2"/>
      <c r="G2278" s="2" t="s">
        <v>3417</v>
      </c>
    </row>
    <row r="2279">
      <c r="A2279" s="2" t="s">
        <v>3415</v>
      </c>
      <c r="B2279" s="2" t="s">
        <v>3418</v>
      </c>
      <c r="C2279" s="2"/>
      <c r="D2279" s="2"/>
      <c r="G2279" s="2" t="s">
        <v>3417</v>
      </c>
    </row>
    <row r="2280">
      <c r="A2280" s="2" t="s">
        <v>3419</v>
      </c>
      <c r="B2280" s="2" t="s">
        <v>3420</v>
      </c>
      <c r="C2280" s="2" t="s">
        <v>3421</v>
      </c>
      <c r="D2280" s="2" t="s">
        <v>3422</v>
      </c>
    </row>
    <row r="2281">
      <c r="A2281" s="2" t="s">
        <v>3419</v>
      </c>
      <c r="B2281" s="2" t="s">
        <v>3423</v>
      </c>
      <c r="C2281" s="2" t="s">
        <v>3421</v>
      </c>
      <c r="D2281" s="2" t="s">
        <v>3422</v>
      </c>
    </row>
    <row r="2282">
      <c r="A2282" s="2" t="s">
        <v>3419</v>
      </c>
      <c r="B2282" s="2" t="s">
        <v>3424</v>
      </c>
      <c r="C2282" s="2" t="s">
        <v>3421</v>
      </c>
      <c r="D2282" s="2" t="s">
        <v>3422</v>
      </c>
    </row>
    <row r="2283">
      <c r="A2283" s="2" t="s">
        <v>3419</v>
      </c>
      <c r="B2283" s="2" t="s">
        <v>3425</v>
      </c>
      <c r="C2283" s="2" t="s">
        <v>3421</v>
      </c>
      <c r="D2283" s="2" t="s">
        <v>3422</v>
      </c>
    </row>
    <row r="2284">
      <c r="A2284" s="2" t="s">
        <v>3419</v>
      </c>
      <c r="B2284" s="2" t="s">
        <v>3426</v>
      </c>
      <c r="C2284" s="2" t="s">
        <v>3421</v>
      </c>
      <c r="D2284" s="2" t="s">
        <v>3422</v>
      </c>
    </row>
    <row r="2285">
      <c r="A2285" s="2" t="s">
        <v>3419</v>
      </c>
      <c r="B2285" s="2" t="s">
        <v>3427</v>
      </c>
      <c r="C2285" s="2" t="s">
        <v>3421</v>
      </c>
      <c r="D2285" s="2" t="s">
        <v>3422</v>
      </c>
    </row>
    <row r="2286">
      <c r="A2286" s="2" t="s">
        <v>3419</v>
      </c>
      <c r="B2286" s="2" t="s">
        <v>3428</v>
      </c>
      <c r="C2286" s="2" t="s">
        <v>3421</v>
      </c>
      <c r="D2286" s="2" t="s">
        <v>3422</v>
      </c>
    </row>
    <row r="2287">
      <c r="A2287" s="2" t="s">
        <v>3419</v>
      </c>
      <c r="B2287" s="2" t="s">
        <v>3429</v>
      </c>
      <c r="C2287" s="2" t="s">
        <v>3421</v>
      </c>
      <c r="D2287" s="2" t="s">
        <v>3422</v>
      </c>
    </row>
    <row r="2288">
      <c r="A2288" s="2" t="s">
        <v>3419</v>
      </c>
      <c r="B2288" s="2" t="s">
        <v>3430</v>
      </c>
      <c r="C2288" s="2" t="s">
        <v>3421</v>
      </c>
      <c r="D2288" s="2" t="s">
        <v>3422</v>
      </c>
    </row>
    <row r="2289">
      <c r="A2289" s="2" t="s">
        <v>3419</v>
      </c>
      <c r="B2289" s="2" t="s">
        <v>3431</v>
      </c>
      <c r="C2289" s="2" t="s">
        <v>3421</v>
      </c>
      <c r="D2289" s="2" t="s">
        <v>3422</v>
      </c>
    </row>
    <row r="2290">
      <c r="A2290" s="2" t="s">
        <v>3419</v>
      </c>
      <c r="B2290" s="2" t="s">
        <v>3432</v>
      </c>
      <c r="C2290" s="2" t="s">
        <v>3421</v>
      </c>
      <c r="D2290" s="2" t="s">
        <v>3422</v>
      </c>
    </row>
    <row r="2291">
      <c r="A2291" s="2" t="s">
        <v>3419</v>
      </c>
      <c r="B2291" s="2" t="s">
        <v>3433</v>
      </c>
      <c r="C2291" s="2" t="s">
        <v>3421</v>
      </c>
      <c r="D2291" s="2" t="s">
        <v>3422</v>
      </c>
    </row>
    <row r="2292">
      <c r="A2292" s="2" t="s">
        <v>3419</v>
      </c>
      <c r="B2292" s="2" t="s">
        <v>3434</v>
      </c>
      <c r="C2292" s="2" t="s">
        <v>3421</v>
      </c>
      <c r="D2292" s="2" t="s">
        <v>3422</v>
      </c>
    </row>
    <row r="2293">
      <c r="A2293" s="2" t="s">
        <v>3419</v>
      </c>
      <c r="B2293" s="2" t="s">
        <v>3435</v>
      </c>
      <c r="C2293" s="2" t="s">
        <v>3421</v>
      </c>
      <c r="D2293" s="2" t="s">
        <v>3422</v>
      </c>
    </row>
    <row r="2294">
      <c r="A2294" s="2" t="s">
        <v>3419</v>
      </c>
      <c r="B2294" s="2" t="s">
        <v>3436</v>
      </c>
      <c r="C2294" s="2" t="s">
        <v>3421</v>
      </c>
      <c r="D2294" s="2" t="s">
        <v>3422</v>
      </c>
    </row>
    <row r="2295">
      <c r="A2295" s="2" t="s">
        <v>3419</v>
      </c>
      <c r="B2295" s="2" t="s">
        <v>3437</v>
      </c>
      <c r="C2295" s="2" t="s">
        <v>3421</v>
      </c>
      <c r="D2295" s="2" t="s">
        <v>3422</v>
      </c>
    </row>
    <row r="2296">
      <c r="A2296" s="2" t="s">
        <v>3419</v>
      </c>
      <c r="B2296" s="2" t="s">
        <v>3438</v>
      </c>
      <c r="C2296" s="2" t="s">
        <v>3421</v>
      </c>
      <c r="D2296" s="2" t="s">
        <v>3422</v>
      </c>
    </row>
    <row r="2297">
      <c r="A2297" s="2" t="s">
        <v>3419</v>
      </c>
      <c r="B2297" s="2" t="s">
        <v>3439</v>
      </c>
      <c r="C2297" s="2" t="s">
        <v>3421</v>
      </c>
      <c r="D2297" s="2" t="s">
        <v>3422</v>
      </c>
    </row>
    <row r="2298">
      <c r="A2298" s="2" t="s">
        <v>3419</v>
      </c>
      <c r="B2298" s="2" t="s">
        <v>3440</v>
      </c>
      <c r="C2298" s="2" t="s">
        <v>3421</v>
      </c>
      <c r="D2298" s="2" t="s">
        <v>3422</v>
      </c>
    </row>
    <row r="2299">
      <c r="A2299" s="2" t="s">
        <v>3419</v>
      </c>
      <c r="B2299" s="2" t="s">
        <v>3441</v>
      </c>
      <c r="C2299" s="2" t="s">
        <v>3421</v>
      </c>
      <c r="D2299" s="2" t="s">
        <v>3422</v>
      </c>
    </row>
    <row r="2300">
      <c r="A2300" s="2" t="s">
        <v>3419</v>
      </c>
      <c r="B2300" s="2" t="s">
        <v>3442</v>
      </c>
      <c r="C2300" s="2" t="s">
        <v>3421</v>
      </c>
      <c r="D2300" s="2" t="s">
        <v>3422</v>
      </c>
    </row>
    <row r="2301">
      <c r="A2301" s="2" t="s">
        <v>3419</v>
      </c>
      <c r="B2301" s="2" t="s">
        <v>3443</v>
      </c>
      <c r="C2301" s="2" t="s">
        <v>3421</v>
      </c>
      <c r="D2301" s="2" t="s">
        <v>3422</v>
      </c>
    </row>
    <row r="2302">
      <c r="A2302" s="2" t="s">
        <v>3419</v>
      </c>
      <c r="B2302" s="2" t="s">
        <v>3444</v>
      </c>
      <c r="C2302" s="2" t="s">
        <v>3421</v>
      </c>
      <c r="D2302" s="2" t="s">
        <v>3422</v>
      </c>
    </row>
    <row r="2303">
      <c r="A2303" s="2" t="s">
        <v>3419</v>
      </c>
      <c r="B2303" s="2" t="s">
        <v>3445</v>
      </c>
      <c r="C2303" s="2" t="s">
        <v>3421</v>
      </c>
      <c r="D2303" s="2" t="s">
        <v>3422</v>
      </c>
    </row>
    <row r="2304">
      <c r="A2304" s="2" t="s">
        <v>3419</v>
      </c>
      <c r="B2304" s="2" t="s">
        <v>3446</v>
      </c>
      <c r="C2304" s="2" t="s">
        <v>3421</v>
      </c>
      <c r="D2304" s="2" t="s">
        <v>3422</v>
      </c>
    </row>
    <row r="2305">
      <c r="A2305" s="2" t="s">
        <v>3419</v>
      </c>
      <c r="B2305" s="2" t="s">
        <v>3447</v>
      </c>
      <c r="C2305" s="2" t="s">
        <v>3421</v>
      </c>
      <c r="D2305" s="2" t="s">
        <v>3422</v>
      </c>
    </row>
    <row r="2306">
      <c r="A2306" s="2" t="s">
        <v>3419</v>
      </c>
      <c r="B2306" s="2" t="s">
        <v>3448</v>
      </c>
      <c r="C2306" s="2" t="s">
        <v>3421</v>
      </c>
      <c r="D2306" s="2" t="s">
        <v>3422</v>
      </c>
    </row>
    <row r="2307">
      <c r="A2307" s="2" t="s">
        <v>3419</v>
      </c>
      <c r="B2307" s="2" t="s">
        <v>3449</v>
      </c>
      <c r="C2307" s="2" t="s">
        <v>3421</v>
      </c>
      <c r="D2307" s="2" t="s">
        <v>3422</v>
      </c>
    </row>
    <row r="2308">
      <c r="A2308" s="2" t="s">
        <v>3419</v>
      </c>
      <c r="B2308" s="2" t="s">
        <v>3450</v>
      </c>
      <c r="C2308" s="2" t="s">
        <v>3421</v>
      </c>
      <c r="D2308" s="2" t="s">
        <v>3422</v>
      </c>
    </row>
    <row r="2309">
      <c r="A2309" s="2" t="s">
        <v>3419</v>
      </c>
      <c r="B2309" s="2" t="s">
        <v>3451</v>
      </c>
      <c r="C2309" s="2" t="s">
        <v>3421</v>
      </c>
      <c r="D2309" s="2" t="s">
        <v>3422</v>
      </c>
    </row>
    <row r="2310">
      <c r="A2310" s="2" t="s">
        <v>3419</v>
      </c>
      <c r="B2310" s="2" t="s">
        <v>3452</v>
      </c>
      <c r="C2310" s="2" t="s">
        <v>3421</v>
      </c>
      <c r="D2310" s="2" t="s">
        <v>3422</v>
      </c>
    </row>
    <row r="2311">
      <c r="A2311" s="2" t="s">
        <v>3419</v>
      </c>
      <c r="B2311" s="2" t="s">
        <v>3453</v>
      </c>
      <c r="C2311" s="2" t="s">
        <v>3421</v>
      </c>
      <c r="D2311" s="2" t="s">
        <v>3422</v>
      </c>
    </row>
    <row r="2312">
      <c r="A2312" s="2" t="s">
        <v>3419</v>
      </c>
      <c r="B2312" s="2" t="s">
        <v>3454</v>
      </c>
      <c r="C2312" s="2" t="s">
        <v>3421</v>
      </c>
      <c r="D2312" s="2" t="s">
        <v>3422</v>
      </c>
    </row>
    <row r="2313">
      <c r="A2313" s="2" t="s">
        <v>3419</v>
      </c>
      <c r="B2313" s="2" t="s">
        <v>3455</v>
      </c>
      <c r="C2313" s="2" t="s">
        <v>3421</v>
      </c>
      <c r="D2313" s="2" t="s">
        <v>3422</v>
      </c>
    </row>
    <row r="2314">
      <c r="A2314" s="2" t="s">
        <v>3419</v>
      </c>
      <c r="B2314" s="2" t="s">
        <v>3456</v>
      </c>
      <c r="C2314" s="2" t="s">
        <v>3421</v>
      </c>
      <c r="D2314" s="2" t="s">
        <v>3422</v>
      </c>
    </row>
    <row r="2315">
      <c r="A2315" s="2" t="s">
        <v>3419</v>
      </c>
      <c r="B2315" s="2" t="s">
        <v>3457</v>
      </c>
      <c r="C2315" s="2" t="s">
        <v>3421</v>
      </c>
      <c r="D2315" s="2" t="s">
        <v>3422</v>
      </c>
    </row>
    <row r="2316">
      <c r="A2316" s="2" t="s">
        <v>3419</v>
      </c>
      <c r="B2316" s="2" t="s">
        <v>3458</v>
      </c>
      <c r="C2316" s="2" t="s">
        <v>3421</v>
      </c>
      <c r="D2316" s="2" t="s">
        <v>3422</v>
      </c>
    </row>
    <row r="2317">
      <c r="A2317" s="2" t="s">
        <v>3419</v>
      </c>
      <c r="B2317" s="2" t="s">
        <v>3459</v>
      </c>
      <c r="C2317" s="2" t="s">
        <v>3421</v>
      </c>
      <c r="D2317" s="2" t="s">
        <v>3422</v>
      </c>
    </row>
    <row r="2318">
      <c r="A2318" s="2" t="s">
        <v>3419</v>
      </c>
      <c r="B2318" s="2" t="s">
        <v>3460</v>
      </c>
      <c r="C2318" s="2" t="s">
        <v>3421</v>
      </c>
      <c r="D2318" s="2" t="s">
        <v>3422</v>
      </c>
    </row>
    <row r="2319">
      <c r="A2319" s="2" t="s">
        <v>3419</v>
      </c>
      <c r="B2319" s="2" t="s">
        <v>3461</v>
      </c>
      <c r="C2319" s="2" t="s">
        <v>3421</v>
      </c>
      <c r="D2319" s="2" t="s">
        <v>3422</v>
      </c>
    </row>
    <row r="2320">
      <c r="A2320" s="2" t="s">
        <v>3419</v>
      </c>
      <c r="B2320" s="2" t="s">
        <v>3462</v>
      </c>
      <c r="C2320" s="2" t="s">
        <v>3421</v>
      </c>
      <c r="D2320" s="2" t="s">
        <v>3422</v>
      </c>
    </row>
    <row r="2321">
      <c r="A2321" s="2" t="s">
        <v>3419</v>
      </c>
      <c r="B2321" s="2" t="s">
        <v>3463</v>
      </c>
      <c r="C2321" s="2" t="s">
        <v>3421</v>
      </c>
      <c r="D2321" s="2" t="s">
        <v>3422</v>
      </c>
    </row>
    <row r="2322">
      <c r="A2322" s="2" t="s">
        <v>3419</v>
      </c>
      <c r="B2322" s="2" t="s">
        <v>3464</v>
      </c>
      <c r="C2322" s="2" t="s">
        <v>3421</v>
      </c>
      <c r="D2322" s="2" t="s">
        <v>3422</v>
      </c>
    </row>
    <row r="2323">
      <c r="A2323" s="2" t="s">
        <v>3419</v>
      </c>
      <c r="B2323" s="2" t="s">
        <v>3465</v>
      </c>
      <c r="C2323" s="2" t="s">
        <v>3421</v>
      </c>
      <c r="D2323" s="2" t="s">
        <v>3422</v>
      </c>
    </row>
    <row r="2324">
      <c r="A2324" s="2" t="s">
        <v>3419</v>
      </c>
      <c r="B2324" s="2" t="s">
        <v>3467</v>
      </c>
      <c r="C2324" s="2" t="s">
        <v>3421</v>
      </c>
      <c r="D2324" s="2" t="s">
        <v>3422</v>
      </c>
    </row>
    <row r="2325">
      <c r="A2325" s="2" t="s">
        <v>3419</v>
      </c>
      <c r="B2325" s="2" t="s">
        <v>3468</v>
      </c>
      <c r="C2325" s="2" t="s">
        <v>3421</v>
      </c>
      <c r="D2325" s="2" t="s">
        <v>3422</v>
      </c>
    </row>
    <row r="2326">
      <c r="A2326" s="2" t="s">
        <v>3419</v>
      </c>
      <c r="B2326" s="2" t="s">
        <v>3469</v>
      </c>
      <c r="C2326" s="2" t="s">
        <v>3421</v>
      </c>
      <c r="D2326" s="2" t="s">
        <v>3422</v>
      </c>
    </row>
    <row r="2327">
      <c r="A2327" s="2" t="s">
        <v>3419</v>
      </c>
      <c r="B2327" s="2" t="s">
        <v>3470</v>
      </c>
      <c r="C2327" s="2" t="s">
        <v>3421</v>
      </c>
      <c r="D2327" s="2" t="s">
        <v>3422</v>
      </c>
    </row>
    <row r="2328">
      <c r="A2328" s="2" t="s">
        <v>3419</v>
      </c>
      <c r="B2328" s="2" t="s">
        <v>3471</v>
      </c>
      <c r="C2328" s="2" t="s">
        <v>3421</v>
      </c>
      <c r="D2328" s="2" t="s">
        <v>3422</v>
      </c>
    </row>
    <row r="2329">
      <c r="A2329" s="2" t="s">
        <v>3419</v>
      </c>
      <c r="B2329" s="2" t="s">
        <v>3472</v>
      </c>
      <c r="C2329" s="2" t="s">
        <v>3421</v>
      </c>
      <c r="D2329" s="2" t="s">
        <v>3422</v>
      </c>
    </row>
    <row r="2330">
      <c r="A2330" s="2" t="s">
        <v>3419</v>
      </c>
      <c r="B2330" s="2" t="s">
        <v>3473</v>
      </c>
      <c r="C2330" s="2" t="s">
        <v>3421</v>
      </c>
      <c r="D2330" s="2" t="s">
        <v>3422</v>
      </c>
    </row>
    <row r="2331">
      <c r="A2331" s="2" t="s">
        <v>3419</v>
      </c>
      <c r="B2331" s="2" t="s">
        <v>3474</v>
      </c>
      <c r="C2331" s="2" t="s">
        <v>3421</v>
      </c>
      <c r="D2331" s="2" t="s">
        <v>3422</v>
      </c>
    </row>
    <row r="2332">
      <c r="A2332" s="2" t="s">
        <v>3419</v>
      </c>
      <c r="B2332" s="2" t="s">
        <v>3475</v>
      </c>
      <c r="C2332" s="2" t="s">
        <v>3421</v>
      </c>
      <c r="D2332" s="2" t="s">
        <v>3422</v>
      </c>
    </row>
    <row r="2333">
      <c r="A2333" s="2" t="s">
        <v>3419</v>
      </c>
      <c r="B2333" s="2" t="s">
        <v>3477</v>
      </c>
      <c r="C2333" s="2" t="s">
        <v>3421</v>
      </c>
      <c r="D2333" s="2" t="s">
        <v>3422</v>
      </c>
    </row>
    <row r="2334">
      <c r="A2334" s="2" t="s">
        <v>3419</v>
      </c>
      <c r="B2334" s="2" t="s">
        <v>3479</v>
      </c>
      <c r="C2334" s="2" t="s">
        <v>3421</v>
      </c>
      <c r="D2334" s="2" t="s">
        <v>3422</v>
      </c>
    </row>
    <row r="2335">
      <c r="A2335" s="2" t="s">
        <v>3419</v>
      </c>
      <c r="B2335" s="2" t="s">
        <v>3480</v>
      </c>
      <c r="C2335" s="2" t="s">
        <v>3421</v>
      </c>
      <c r="D2335" s="2" t="s">
        <v>3422</v>
      </c>
    </row>
    <row r="2336">
      <c r="A2336" s="2" t="s">
        <v>3419</v>
      </c>
      <c r="B2336" s="2" t="s">
        <v>3481</v>
      </c>
      <c r="C2336" s="2" t="s">
        <v>3421</v>
      </c>
      <c r="D2336" s="2" t="s">
        <v>3422</v>
      </c>
    </row>
    <row r="2337">
      <c r="A2337" s="2" t="s">
        <v>3419</v>
      </c>
      <c r="B2337" s="2" t="s">
        <v>3482</v>
      </c>
      <c r="C2337" s="2" t="s">
        <v>3421</v>
      </c>
      <c r="D2337" s="2" t="s">
        <v>3422</v>
      </c>
    </row>
    <row r="2338">
      <c r="A2338" s="2" t="s">
        <v>3419</v>
      </c>
      <c r="B2338" s="2" t="s">
        <v>3483</v>
      </c>
      <c r="C2338" s="2" t="s">
        <v>3421</v>
      </c>
      <c r="D2338" s="2" t="s">
        <v>3422</v>
      </c>
    </row>
    <row r="2339">
      <c r="A2339" s="2" t="s">
        <v>3419</v>
      </c>
      <c r="B2339" s="2" t="s">
        <v>3484</v>
      </c>
      <c r="C2339" s="2" t="s">
        <v>3421</v>
      </c>
      <c r="D2339" s="2" t="s">
        <v>3422</v>
      </c>
    </row>
    <row r="2340">
      <c r="A2340" s="2" t="s">
        <v>3419</v>
      </c>
      <c r="B2340" s="2" t="s">
        <v>3485</v>
      </c>
      <c r="C2340" s="2" t="s">
        <v>3421</v>
      </c>
      <c r="D2340" s="2" t="s">
        <v>3422</v>
      </c>
    </row>
    <row r="2341">
      <c r="A2341" s="2" t="s">
        <v>3419</v>
      </c>
      <c r="B2341" s="2" t="s">
        <v>3486</v>
      </c>
      <c r="C2341" s="2" t="s">
        <v>3421</v>
      </c>
      <c r="D2341" s="2" t="s">
        <v>3422</v>
      </c>
    </row>
    <row r="2342">
      <c r="A2342" s="2" t="s">
        <v>3419</v>
      </c>
      <c r="B2342" s="2" t="s">
        <v>3487</v>
      </c>
      <c r="C2342" s="2" t="s">
        <v>3421</v>
      </c>
      <c r="D2342" s="2" t="s">
        <v>3422</v>
      </c>
    </row>
    <row r="2343">
      <c r="A2343" s="2" t="s">
        <v>3488</v>
      </c>
      <c r="B2343" s="2" t="s">
        <v>3489</v>
      </c>
      <c r="G2343" s="2" t="s">
        <v>3490</v>
      </c>
    </row>
    <row r="2344">
      <c r="A2344" s="2" t="s">
        <v>3488</v>
      </c>
      <c r="B2344" s="2" t="s">
        <v>3491</v>
      </c>
      <c r="G2344" s="2" t="s">
        <v>3490</v>
      </c>
    </row>
    <row r="2345">
      <c r="A2345" s="2" t="s">
        <v>3488</v>
      </c>
      <c r="B2345" s="2" t="s">
        <v>3492</v>
      </c>
      <c r="G2345" s="2" t="s">
        <v>3490</v>
      </c>
    </row>
    <row r="2346">
      <c r="A2346" s="2" t="s">
        <v>3488</v>
      </c>
      <c r="B2346" s="2" t="s">
        <v>3493</v>
      </c>
      <c r="G2346" s="2" t="s">
        <v>3490</v>
      </c>
    </row>
    <row r="2347">
      <c r="A2347" s="2" t="s">
        <v>3488</v>
      </c>
      <c r="B2347" s="2" t="s">
        <v>3494</v>
      </c>
      <c r="G2347" s="2" t="s">
        <v>3490</v>
      </c>
    </row>
    <row r="2348">
      <c r="A2348" s="2" t="s">
        <v>3488</v>
      </c>
      <c r="B2348" s="2" t="s">
        <v>3495</v>
      </c>
      <c r="G2348" s="2" t="s">
        <v>3490</v>
      </c>
    </row>
    <row r="2349">
      <c r="A2349" s="2" t="s">
        <v>3488</v>
      </c>
      <c r="B2349" s="2" t="s">
        <v>3496</v>
      </c>
      <c r="G2349" s="2" t="s">
        <v>3490</v>
      </c>
    </row>
    <row r="2350">
      <c r="A2350" s="2" t="s">
        <v>3488</v>
      </c>
      <c r="B2350" s="2" t="s">
        <v>3497</v>
      </c>
      <c r="G2350" s="2" t="s">
        <v>3490</v>
      </c>
    </row>
    <row r="2351">
      <c r="A2351" s="2" t="s">
        <v>3488</v>
      </c>
      <c r="B2351" s="2" t="s">
        <v>3498</v>
      </c>
      <c r="G2351" s="2" t="s">
        <v>3490</v>
      </c>
    </row>
    <row r="2352">
      <c r="A2352" s="2" t="s">
        <v>3488</v>
      </c>
      <c r="B2352" s="2" t="s">
        <v>3499</v>
      </c>
      <c r="G2352" s="2" t="s">
        <v>3490</v>
      </c>
    </row>
    <row r="2353">
      <c r="A2353" s="2" t="s">
        <v>3500</v>
      </c>
      <c r="B2353" s="2" t="s">
        <v>3501</v>
      </c>
      <c r="C2353" s="2" t="s">
        <v>3502</v>
      </c>
      <c r="D2353" s="2" t="s">
        <v>3504</v>
      </c>
    </row>
    <row r="2354">
      <c r="A2354" s="2" t="s">
        <v>3500</v>
      </c>
      <c r="B2354" s="2" t="s">
        <v>3505</v>
      </c>
      <c r="C2354" s="2" t="s">
        <v>3502</v>
      </c>
      <c r="D2354" s="2" t="s">
        <v>3504</v>
      </c>
    </row>
    <row r="2355">
      <c r="A2355" s="2" t="s">
        <v>3500</v>
      </c>
      <c r="B2355" s="2" t="s">
        <v>3506</v>
      </c>
      <c r="C2355" s="2" t="s">
        <v>3502</v>
      </c>
      <c r="D2355" s="2" t="s">
        <v>3504</v>
      </c>
    </row>
    <row r="2356">
      <c r="A2356" s="2" t="s">
        <v>3500</v>
      </c>
      <c r="B2356" s="2" t="s">
        <v>3507</v>
      </c>
      <c r="C2356" s="2" t="s">
        <v>3502</v>
      </c>
      <c r="D2356" s="2" t="s">
        <v>3504</v>
      </c>
    </row>
    <row r="2357">
      <c r="A2357" s="2" t="s">
        <v>3500</v>
      </c>
      <c r="B2357" s="2" t="s">
        <v>3508</v>
      </c>
      <c r="C2357" s="2" t="s">
        <v>3502</v>
      </c>
      <c r="D2357" s="2" t="s">
        <v>3504</v>
      </c>
    </row>
    <row r="2358">
      <c r="A2358" s="2" t="s">
        <v>3500</v>
      </c>
      <c r="B2358" s="2" t="s">
        <v>3509</v>
      </c>
      <c r="C2358" s="2" t="s">
        <v>3502</v>
      </c>
      <c r="D2358" s="2" t="s">
        <v>3504</v>
      </c>
    </row>
    <row r="2359">
      <c r="A2359" s="2" t="s">
        <v>3500</v>
      </c>
      <c r="B2359" s="2" t="s">
        <v>3511</v>
      </c>
      <c r="C2359" s="2" t="s">
        <v>3502</v>
      </c>
      <c r="D2359" s="2" t="s">
        <v>3504</v>
      </c>
    </row>
    <row r="2360">
      <c r="A2360" s="2" t="s">
        <v>3500</v>
      </c>
      <c r="B2360" s="2" t="s">
        <v>3513</v>
      </c>
      <c r="C2360" s="2" t="s">
        <v>3502</v>
      </c>
      <c r="D2360" s="2" t="s">
        <v>3504</v>
      </c>
    </row>
    <row r="2361">
      <c r="A2361" s="2" t="s">
        <v>3500</v>
      </c>
      <c r="B2361" s="2" t="s">
        <v>3514</v>
      </c>
      <c r="C2361" s="2" t="s">
        <v>3502</v>
      </c>
      <c r="D2361" s="2" t="s">
        <v>3504</v>
      </c>
    </row>
    <row r="2362">
      <c r="A2362" s="2" t="s">
        <v>3500</v>
      </c>
      <c r="B2362" s="2" t="s">
        <v>3515</v>
      </c>
      <c r="C2362" s="2" t="s">
        <v>3502</v>
      </c>
      <c r="D2362" s="2" t="s">
        <v>3504</v>
      </c>
    </row>
    <row r="2363">
      <c r="A2363" s="2" t="s">
        <v>3500</v>
      </c>
      <c r="B2363" s="2" t="s">
        <v>3516</v>
      </c>
      <c r="C2363" s="2" t="s">
        <v>3502</v>
      </c>
      <c r="D2363" s="2" t="s">
        <v>3504</v>
      </c>
    </row>
    <row r="2364">
      <c r="A2364" s="2" t="s">
        <v>3500</v>
      </c>
      <c r="B2364" s="2" t="s">
        <v>3517</v>
      </c>
      <c r="C2364" s="2" t="s">
        <v>3502</v>
      </c>
      <c r="D2364" s="2" t="s">
        <v>3504</v>
      </c>
    </row>
    <row r="2365">
      <c r="A2365" s="2" t="s">
        <v>3500</v>
      </c>
      <c r="B2365" s="2" t="s">
        <v>3518</v>
      </c>
      <c r="C2365" s="2" t="s">
        <v>3502</v>
      </c>
      <c r="D2365" s="2" t="s">
        <v>3504</v>
      </c>
    </row>
    <row r="2366">
      <c r="A2366" s="2" t="s">
        <v>3519</v>
      </c>
      <c r="B2366" s="2">
        <v>19946.0</v>
      </c>
      <c r="G2366" s="2" t="s">
        <v>3520</v>
      </c>
    </row>
    <row r="2367">
      <c r="A2367" s="2" t="s">
        <v>3519</v>
      </c>
      <c r="B2367" s="2">
        <v>19942.0</v>
      </c>
      <c r="G2367" s="2" t="s">
        <v>3520</v>
      </c>
    </row>
    <row r="2368">
      <c r="A2368" s="2" t="s">
        <v>3519</v>
      </c>
      <c r="B2368" s="2">
        <v>20088.0</v>
      </c>
      <c r="G2368" s="2" t="s">
        <v>3520</v>
      </c>
    </row>
    <row r="2369">
      <c r="A2369" s="2" t="s">
        <v>3519</v>
      </c>
      <c r="B2369" s="2">
        <v>19948.0</v>
      </c>
      <c r="G2369" s="2" t="s">
        <v>3520</v>
      </c>
    </row>
    <row r="2370">
      <c r="A2370" s="2" t="s">
        <v>3521</v>
      </c>
      <c r="B2370" s="2" t="s">
        <v>3522</v>
      </c>
      <c r="C2370" s="2" t="s">
        <v>3523</v>
      </c>
      <c r="D2370" s="2" t="s">
        <v>3524</v>
      </c>
    </row>
    <row r="2371">
      <c r="A2371" s="2" t="s">
        <v>3521</v>
      </c>
      <c r="B2371" s="2" t="s">
        <v>3525</v>
      </c>
      <c r="C2371" s="2" t="s">
        <v>3523</v>
      </c>
      <c r="D2371" s="2" t="s">
        <v>3524</v>
      </c>
    </row>
    <row r="2372">
      <c r="A2372" s="2" t="s">
        <v>3521</v>
      </c>
      <c r="B2372" s="2" t="s">
        <v>3526</v>
      </c>
      <c r="C2372" s="2" t="s">
        <v>3523</v>
      </c>
      <c r="D2372" s="2" t="s">
        <v>3524</v>
      </c>
    </row>
    <row r="2373">
      <c r="A2373" s="2" t="s">
        <v>3521</v>
      </c>
      <c r="B2373" s="2" t="s">
        <v>3527</v>
      </c>
      <c r="C2373" s="2" t="s">
        <v>3523</v>
      </c>
      <c r="D2373" s="2" t="s">
        <v>3524</v>
      </c>
    </row>
    <row r="2374">
      <c r="A2374" s="2" t="s">
        <v>3521</v>
      </c>
      <c r="B2374" s="2" t="s">
        <v>3528</v>
      </c>
      <c r="C2374" s="2" t="s">
        <v>3523</v>
      </c>
      <c r="D2374" s="2" t="s">
        <v>3524</v>
      </c>
    </row>
    <row r="2375">
      <c r="A2375" s="2" t="s">
        <v>3521</v>
      </c>
      <c r="B2375" s="2" t="s">
        <v>3529</v>
      </c>
      <c r="C2375" s="2" t="s">
        <v>3523</v>
      </c>
      <c r="D2375" s="2" t="s">
        <v>3524</v>
      </c>
    </row>
    <row r="2376">
      <c r="A2376" s="2" t="s">
        <v>3521</v>
      </c>
      <c r="B2376" s="2" t="s">
        <v>3530</v>
      </c>
      <c r="C2376" s="2" t="s">
        <v>3523</v>
      </c>
      <c r="D2376" s="2" t="s">
        <v>3524</v>
      </c>
    </row>
    <row r="2377">
      <c r="A2377" s="2" t="s">
        <v>3521</v>
      </c>
      <c r="B2377" s="2" t="s">
        <v>3531</v>
      </c>
      <c r="C2377" s="2" t="s">
        <v>3523</v>
      </c>
      <c r="D2377" s="2" t="s">
        <v>3524</v>
      </c>
    </row>
    <row r="2378">
      <c r="A2378" s="2" t="s">
        <v>3521</v>
      </c>
      <c r="B2378" s="2" t="s">
        <v>3532</v>
      </c>
      <c r="C2378" s="2" t="s">
        <v>3523</v>
      </c>
      <c r="D2378" s="2" t="s">
        <v>3524</v>
      </c>
    </row>
    <row r="2379">
      <c r="A2379" s="2" t="s">
        <v>3521</v>
      </c>
      <c r="B2379" s="2" t="s">
        <v>3533</v>
      </c>
      <c r="C2379" s="2" t="s">
        <v>3523</v>
      </c>
      <c r="D2379" s="2" t="s">
        <v>3524</v>
      </c>
    </row>
    <row r="2380">
      <c r="A2380" s="2" t="s">
        <v>3521</v>
      </c>
      <c r="B2380" s="2" t="s">
        <v>3534</v>
      </c>
      <c r="C2380" s="2" t="s">
        <v>3523</v>
      </c>
      <c r="D2380" s="2" t="s">
        <v>3524</v>
      </c>
    </row>
    <row r="2381">
      <c r="A2381" s="2" t="s">
        <v>3521</v>
      </c>
      <c r="B2381" s="2" t="s">
        <v>3535</v>
      </c>
      <c r="C2381" s="2" t="s">
        <v>3523</v>
      </c>
      <c r="D2381" s="2" t="s">
        <v>3524</v>
      </c>
    </row>
    <row r="2382">
      <c r="A2382" s="2" t="s">
        <v>3521</v>
      </c>
      <c r="B2382" s="2" t="s">
        <v>3536</v>
      </c>
      <c r="C2382" s="2" t="s">
        <v>3523</v>
      </c>
      <c r="D2382" s="2" t="s">
        <v>3524</v>
      </c>
    </row>
    <row r="2383">
      <c r="A2383" s="2" t="s">
        <v>3521</v>
      </c>
      <c r="B2383" s="2" t="s">
        <v>3537</v>
      </c>
      <c r="C2383" s="2" t="s">
        <v>3523</v>
      </c>
      <c r="D2383" s="2" t="s">
        <v>3524</v>
      </c>
    </row>
    <row r="2384">
      <c r="A2384" s="2" t="s">
        <v>3521</v>
      </c>
      <c r="B2384" s="2" t="s">
        <v>3539</v>
      </c>
      <c r="C2384" s="2" t="s">
        <v>3523</v>
      </c>
      <c r="D2384" s="2" t="s">
        <v>3524</v>
      </c>
    </row>
    <row r="2385">
      <c r="A2385" s="2" t="s">
        <v>3521</v>
      </c>
      <c r="B2385" s="2" t="s">
        <v>3540</v>
      </c>
      <c r="C2385" s="2" t="s">
        <v>3523</v>
      </c>
      <c r="D2385" s="2" t="s">
        <v>3524</v>
      </c>
    </row>
    <row r="2386">
      <c r="A2386" s="2" t="s">
        <v>3521</v>
      </c>
      <c r="B2386" s="2" t="s">
        <v>3541</v>
      </c>
      <c r="C2386" s="2" t="s">
        <v>3523</v>
      </c>
      <c r="D2386" s="2" t="s">
        <v>3524</v>
      </c>
    </row>
    <row r="2387">
      <c r="A2387" s="2" t="s">
        <v>3521</v>
      </c>
      <c r="B2387" s="2" t="s">
        <v>3542</v>
      </c>
      <c r="C2387" s="2" t="s">
        <v>3523</v>
      </c>
      <c r="D2387" s="2" t="s">
        <v>3524</v>
      </c>
    </row>
    <row r="2388">
      <c r="A2388" s="2" t="s">
        <v>3521</v>
      </c>
      <c r="B2388" s="2" t="s">
        <v>3543</v>
      </c>
      <c r="C2388" s="2" t="s">
        <v>3523</v>
      </c>
      <c r="D2388" s="2" t="s">
        <v>3524</v>
      </c>
    </row>
    <row r="2389">
      <c r="A2389" s="2" t="s">
        <v>3521</v>
      </c>
      <c r="B2389" s="2" t="s">
        <v>3544</v>
      </c>
      <c r="C2389" s="2" t="s">
        <v>3523</v>
      </c>
      <c r="D2389" s="2" t="s">
        <v>3524</v>
      </c>
    </row>
    <row r="2390">
      <c r="A2390" s="2" t="s">
        <v>3521</v>
      </c>
      <c r="B2390" s="2" t="s">
        <v>3545</v>
      </c>
      <c r="C2390" s="2" t="s">
        <v>3523</v>
      </c>
      <c r="D2390" s="2" t="s">
        <v>3524</v>
      </c>
    </row>
    <row r="2391">
      <c r="A2391" s="2" t="s">
        <v>3521</v>
      </c>
      <c r="B2391" s="2" t="s">
        <v>3546</v>
      </c>
      <c r="C2391" s="2" t="s">
        <v>3523</v>
      </c>
      <c r="D2391" s="2" t="s">
        <v>3524</v>
      </c>
    </row>
    <row r="2392">
      <c r="A2392" s="2" t="s">
        <v>3521</v>
      </c>
      <c r="B2392" s="2" t="s">
        <v>3547</v>
      </c>
      <c r="C2392" s="2" t="s">
        <v>3523</v>
      </c>
      <c r="D2392" s="2" t="s">
        <v>3524</v>
      </c>
    </row>
    <row r="2393">
      <c r="A2393" s="2" t="s">
        <v>3521</v>
      </c>
      <c r="B2393" s="2" t="s">
        <v>3548</v>
      </c>
      <c r="C2393" s="2" t="s">
        <v>3523</v>
      </c>
      <c r="D2393" s="2" t="s">
        <v>3524</v>
      </c>
    </row>
    <row r="2394">
      <c r="A2394" s="2" t="s">
        <v>3521</v>
      </c>
      <c r="B2394" s="2" t="s">
        <v>3549</v>
      </c>
      <c r="C2394" s="2" t="s">
        <v>3523</v>
      </c>
      <c r="D2394" s="2" t="s">
        <v>3524</v>
      </c>
    </row>
    <row r="2395">
      <c r="A2395" s="2" t="s">
        <v>3521</v>
      </c>
      <c r="B2395" s="2" t="s">
        <v>3550</v>
      </c>
      <c r="C2395" s="2" t="s">
        <v>3523</v>
      </c>
      <c r="D2395" s="2" t="s">
        <v>3524</v>
      </c>
    </row>
    <row r="2396">
      <c r="A2396" s="2" t="s">
        <v>3521</v>
      </c>
      <c r="B2396" s="2" t="s">
        <v>3551</v>
      </c>
      <c r="C2396" s="2" t="s">
        <v>3523</v>
      </c>
      <c r="D2396" s="2" t="s">
        <v>3524</v>
      </c>
    </row>
    <row r="2397">
      <c r="A2397" s="2" t="s">
        <v>3521</v>
      </c>
      <c r="B2397" s="2" t="s">
        <v>3552</v>
      </c>
      <c r="C2397" s="2" t="s">
        <v>3523</v>
      </c>
      <c r="D2397" s="2" t="s">
        <v>3524</v>
      </c>
    </row>
    <row r="2398">
      <c r="A2398" s="2" t="s">
        <v>3521</v>
      </c>
      <c r="B2398" s="2" t="s">
        <v>3553</v>
      </c>
      <c r="C2398" s="2" t="s">
        <v>3523</v>
      </c>
      <c r="D2398" s="2" t="s">
        <v>3524</v>
      </c>
    </row>
    <row r="2399">
      <c r="A2399" s="2" t="s">
        <v>3521</v>
      </c>
      <c r="B2399" s="2" t="s">
        <v>3554</v>
      </c>
      <c r="C2399" s="2" t="s">
        <v>3523</v>
      </c>
      <c r="D2399" s="2" t="s">
        <v>3524</v>
      </c>
    </row>
    <row r="2400">
      <c r="A2400" s="2" t="s">
        <v>3521</v>
      </c>
      <c r="B2400" s="2" t="s">
        <v>3555</v>
      </c>
      <c r="C2400" s="2" t="s">
        <v>3523</v>
      </c>
      <c r="D2400" s="2" t="s">
        <v>3524</v>
      </c>
    </row>
    <row r="2401">
      <c r="A2401" s="2" t="s">
        <v>3521</v>
      </c>
      <c r="B2401" s="2" t="s">
        <v>3556</v>
      </c>
      <c r="C2401" s="2" t="s">
        <v>3523</v>
      </c>
      <c r="D2401" s="2" t="s">
        <v>3524</v>
      </c>
    </row>
    <row r="2402">
      <c r="A2402" s="2" t="s">
        <v>3521</v>
      </c>
      <c r="B2402" s="2" t="s">
        <v>3557</v>
      </c>
      <c r="C2402" s="2" t="s">
        <v>3523</v>
      </c>
      <c r="D2402" s="2" t="s">
        <v>3524</v>
      </c>
    </row>
    <row r="2403">
      <c r="A2403" s="2" t="s">
        <v>3521</v>
      </c>
      <c r="B2403" s="2" t="s">
        <v>3558</v>
      </c>
      <c r="C2403" s="2" t="s">
        <v>3523</v>
      </c>
      <c r="D2403" s="2" t="s">
        <v>3524</v>
      </c>
    </row>
    <row r="2404">
      <c r="A2404" s="2" t="s">
        <v>3521</v>
      </c>
      <c r="B2404" s="2" t="s">
        <v>3559</v>
      </c>
      <c r="C2404" s="2" t="s">
        <v>3523</v>
      </c>
      <c r="D2404" s="2" t="s">
        <v>3524</v>
      </c>
    </row>
    <row r="2405">
      <c r="A2405" s="2" t="s">
        <v>3521</v>
      </c>
      <c r="B2405" s="2" t="s">
        <v>3560</v>
      </c>
      <c r="C2405" s="2" t="s">
        <v>3523</v>
      </c>
      <c r="D2405" s="2" t="s">
        <v>3524</v>
      </c>
    </row>
    <row r="2406">
      <c r="A2406" s="2" t="s">
        <v>3521</v>
      </c>
      <c r="B2406" s="2" t="s">
        <v>3561</v>
      </c>
      <c r="C2406" s="2" t="s">
        <v>3523</v>
      </c>
      <c r="D2406" s="2" t="s">
        <v>3524</v>
      </c>
    </row>
    <row r="2407">
      <c r="A2407" s="2" t="s">
        <v>3521</v>
      </c>
      <c r="B2407" s="2" t="s">
        <v>3562</v>
      </c>
      <c r="C2407" s="2" t="s">
        <v>3523</v>
      </c>
      <c r="D2407" s="2" t="s">
        <v>3524</v>
      </c>
    </row>
    <row r="2408">
      <c r="A2408" s="2" t="s">
        <v>3521</v>
      </c>
      <c r="B2408" s="2" t="s">
        <v>3563</v>
      </c>
      <c r="C2408" s="2" t="s">
        <v>3523</v>
      </c>
      <c r="D2408" s="2" t="s">
        <v>3524</v>
      </c>
    </row>
    <row r="2409">
      <c r="A2409" s="2" t="s">
        <v>3521</v>
      </c>
      <c r="B2409" s="2" t="s">
        <v>3564</v>
      </c>
      <c r="C2409" s="2" t="s">
        <v>3523</v>
      </c>
      <c r="D2409" s="2" t="s">
        <v>3524</v>
      </c>
    </row>
    <row r="2410">
      <c r="A2410" s="2" t="s">
        <v>3521</v>
      </c>
      <c r="B2410" s="2" t="s">
        <v>3565</v>
      </c>
      <c r="C2410" s="2" t="s">
        <v>3523</v>
      </c>
      <c r="D2410" s="2" t="s">
        <v>3524</v>
      </c>
    </row>
    <row r="2411">
      <c r="A2411" s="2" t="s">
        <v>3521</v>
      </c>
      <c r="B2411" s="2" t="s">
        <v>3566</v>
      </c>
      <c r="C2411" s="2" t="s">
        <v>3523</v>
      </c>
      <c r="D2411" s="2" t="s">
        <v>3524</v>
      </c>
    </row>
    <row r="2412">
      <c r="A2412" s="2" t="s">
        <v>3521</v>
      </c>
      <c r="B2412" s="2" t="s">
        <v>3567</v>
      </c>
      <c r="C2412" s="2" t="s">
        <v>3523</v>
      </c>
      <c r="D2412" s="2" t="s">
        <v>3524</v>
      </c>
    </row>
    <row r="2413">
      <c r="A2413" s="2" t="s">
        <v>3521</v>
      </c>
      <c r="B2413" s="2" t="s">
        <v>3568</v>
      </c>
      <c r="C2413" s="2" t="s">
        <v>3523</v>
      </c>
      <c r="D2413" s="2" t="s">
        <v>3524</v>
      </c>
    </row>
    <row r="2414">
      <c r="A2414" s="2" t="s">
        <v>3521</v>
      </c>
      <c r="B2414" s="2" t="s">
        <v>3569</v>
      </c>
      <c r="C2414" s="2" t="s">
        <v>3523</v>
      </c>
      <c r="D2414" s="2" t="s">
        <v>3524</v>
      </c>
    </row>
    <row r="2415">
      <c r="A2415" s="2" t="s">
        <v>3521</v>
      </c>
      <c r="B2415" s="2" t="s">
        <v>3570</v>
      </c>
      <c r="C2415" s="2" t="s">
        <v>3523</v>
      </c>
      <c r="D2415" s="2" t="s">
        <v>3524</v>
      </c>
    </row>
    <row r="2416">
      <c r="A2416" s="2" t="s">
        <v>3521</v>
      </c>
      <c r="B2416" s="2" t="s">
        <v>3571</v>
      </c>
      <c r="C2416" s="2" t="s">
        <v>3523</v>
      </c>
      <c r="D2416" s="2" t="s">
        <v>3524</v>
      </c>
    </row>
    <row r="2417">
      <c r="A2417" s="2" t="s">
        <v>3521</v>
      </c>
      <c r="B2417" s="2" t="s">
        <v>3572</v>
      </c>
      <c r="C2417" s="2" t="s">
        <v>3523</v>
      </c>
      <c r="D2417" s="2" t="s">
        <v>3524</v>
      </c>
    </row>
    <row r="2418">
      <c r="A2418" s="2" t="s">
        <v>3521</v>
      </c>
      <c r="B2418" s="2" t="s">
        <v>3573</v>
      </c>
      <c r="C2418" s="2" t="s">
        <v>3523</v>
      </c>
      <c r="D2418" s="2" t="s">
        <v>3524</v>
      </c>
    </row>
    <row r="2419">
      <c r="A2419" s="2" t="s">
        <v>3521</v>
      </c>
      <c r="B2419" s="2" t="s">
        <v>3574</v>
      </c>
      <c r="C2419" s="2" t="s">
        <v>3523</v>
      </c>
      <c r="D2419" s="2" t="s">
        <v>3524</v>
      </c>
    </row>
    <row r="2420">
      <c r="A2420" s="2" t="s">
        <v>3521</v>
      </c>
      <c r="B2420" s="2" t="s">
        <v>3575</v>
      </c>
      <c r="C2420" s="2" t="s">
        <v>3523</v>
      </c>
      <c r="D2420" s="2" t="s">
        <v>3524</v>
      </c>
    </row>
    <row r="2421">
      <c r="A2421" s="2" t="s">
        <v>3521</v>
      </c>
      <c r="B2421" s="2" t="s">
        <v>3576</v>
      </c>
      <c r="C2421" s="2" t="s">
        <v>3523</v>
      </c>
      <c r="D2421" s="2" t="s">
        <v>3524</v>
      </c>
    </row>
    <row r="2422">
      <c r="A2422" s="2" t="s">
        <v>3521</v>
      </c>
      <c r="B2422" s="2" t="s">
        <v>3577</v>
      </c>
      <c r="C2422" s="2" t="s">
        <v>3523</v>
      </c>
      <c r="D2422" s="2" t="s">
        <v>3524</v>
      </c>
    </row>
    <row r="2423">
      <c r="A2423" s="2" t="s">
        <v>3521</v>
      </c>
      <c r="B2423" s="2" t="s">
        <v>3578</v>
      </c>
      <c r="C2423" s="2" t="s">
        <v>3523</v>
      </c>
      <c r="D2423" s="2" t="s">
        <v>3524</v>
      </c>
    </row>
    <row r="2424">
      <c r="A2424" s="2" t="s">
        <v>3521</v>
      </c>
      <c r="B2424" s="2" t="s">
        <v>3579</v>
      </c>
      <c r="C2424" s="2" t="s">
        <v>3523</v>
      </c>
      <c r="D2424" s="2" t="s">
        <v>3524</v>
      </c>
    </row>
    <row r="2425">
      <c r="A2425" s="2" t="s">
        <v>3521</v>
      </c>
      <c r="B2425" s="2" t="s">
        <v>3580</v>
      </c>
      <c r="C2425" s="2" t="s">
        <v>3523</v>
      </c>
      <c r="D2425" s="2" t="s">
        <v>3524</v>
      </c>
    </row>
    <row r="2426">
      <c r="A2426" s="2" t="s">
        <v>3521</v>
      </c>
      <c r="B2426" s="2" t="s">
        <v>3581</v>
      </c>
      <c r="C2426" s="2" t="s">
        <v>3523</v>
      </c>
      <c r="D2426" s="2" t="s">
        <v>3524</v>
      </c>
    </row>
    <row r="2427">
      <c r="A2427" s="2" t="s">
        <v>3521</v>
      </c>
      <c r="B2427" s="2" t="s">
        <v>3582</v>
      </c>
      <c r="C2427" s="2" t="s">
        <v>3523</v>
      </c>
      <c r="D2427" s="2" t="s">
        <v>3524</v>
      </c>
    </row>
    <row r="2428">
      <c r="A2428" s="2" t="s">
        <v>3521</v>
      </c>
      <c r="B2428" s="2" t="s">
        <v>3583</v>
      </c>
      <c r="C2428" s="2" t="s">
        <v>3523</v>
      </c>
      <c r="D2428" s="2" t="s">
        <v>3524</v>
      </c>
    </row>
    <row r="2429">
      <c r="A2429" s="2" t="s">
        <v>3521</v>
      </c>
      <c r="B2429" s="2" t="s">
        <v>3584</v>
      </c>
      <c r="C2429" s="2" t="s">
        <v>3523</v>
      </c>
      <c r="D2429" s="2" t="s">
        <v>3524</v>
      </c>
    </row>
    <row r="2430">
      <c r="A2430" s="2" t="s">
        <v>3521</v>
      </c>
      <c r="B2430" s="2" t="s">
        <v>3585</v>
      </c>
      <c r="C2430" s="2" t="s">
        <v>3523</v>
      </c>
      <c r="D2430" s="2" t="s">
        <v>3524</v>
      </c>
    </row>
    <row r="2431">
      <c r="A2431" s="2" t="s">
        <v>3521</v>
      </c>
      <c r="B2431" s="2" t="s">
        <v>3586</v>
      </c>
      <c r="C2431" s="2" t="s">
        <v>3523</v>
      </c>
      <c r="D2431" s="2" t="s">
        <v>3524</v>
      </c>
    </row>
    <row r="2432">
      <c r="A2432" s="2" t="s">
        <v>3521</v>
      </c>
      <c r="B2432" s="2" t="s">
        <v>3587</v>
      </c>
      <c r="C2432" s="2" t="s">
        <v>3523</v>
      </c>
      <c r="D2432" s="2" t="s">
        <v>3524</v>
      </c>
    </row>
    <row r="2433">
      <c r="A2433" s="2" t="s">
        <v>3521</v>
      </c>
      <c r="B2433" s="2" t="s">
        <v>3588</v>
      </c>
      <c r="C2433" s="2" t="s">
        <v>3523</v>
      </c>
      <c r="D2433" s="2" t="s">
        <v>3524</v>
      </c>
    </row>
    <row r="2434">
      <c r="A2434" s="2" t="s">
        <v>3521</v>
      </c>
      <c r="B2434" s="2" t="s">
        <v>3589</v>
      </c>
      <c r="C2434" s="2" t="s">
        <v>3523</v>
      </c>
      <c r="D2434" s="2" t="s">
        <v>3524</v>
      </c>
    </row>
    <row r="2435">
      <c r="A2435" s="2" t="s">
        <v>3521</v>
      </c>
      <c r="B2435" s="2" t="s">
        <v>3590</v>
      </c>
      <c r="C2435" s="2" t="s">
        <v>3523</v>
      </c>
      <c r="D2435" s="2" t="s">
        <v>3524</v>
      </c>
    </row>
    <row r="2436">
      <c r="A2436" s="2" t="s">
        <v>3521</v>
      </c>
      <c r="B2436" s="2" t="s">
        <v>3591</v>
      </c>
      <c r="C2436" s="2" t="s">
        <v>3523</v>
      </c>
      <c r="D2436" s="2" t="s">
        <v>3524</v>
      </c>
    </row>
    <row r="2437">
      <c r="A2437" s="2" t="s">
        <v>3521</v>
      </c>
      <c r="B2437" s="2" t="s">
        <v>3592</v>
      </c>
      <c r="C2437" s="2" t="s">
        <v>3523</v>
      </c>
      <c r="D2437" s="2" t="s">
        <v>3524</v>
      </c>
    </row>
    <row r="2438">
      <c r="A2438" s="64" t="s">
        <v>3593</v>
      </c>
      <c r="B2438" s="2" t="s">
        <v>3594</v>
      </c>
      <c r="C2438" s="2" t="s">
        <v>3595</v>
      </c>
      <c r="D2438" s="2" t="s">
        <v>3595</v>
      </c>
    </row>
    <row r="2439">
      <c r="A2439" s="64" t="s">
        <v>3593</v>
      </c>
      <c r="B2439" s="2" t="s">
        <v>3596</v>
      </c>
      <c r="C2439" s="2" t="s">
        <v>3595</v>
      </c>
      <c r="D2439" s="2" t="s">
        <v>3595</v>
      </c>
    </row>
    <row r="2440">
      <c r="A2440" s="64" t="s">
        <v>3593</v>
      </c>
      <c r="B2440" s="2" t="s">
        <v>3597</v>
      </c>
      <c r="C2440" s="2" t="s">
        <v>3595</v>
      </c>
      <c r="D2440" s="2" t="s">
        <v>3595</v>
      </c>
    </row>
    <row r="2441">
      <c r="A2441" s="64" t="s">
        <v>3593</v>
      </c>
      <c r="B2441" s="2" t="s">
        <v>3598</v>
      </c>
      <c r="C2441" s="2" t="s">
        <v>3595</v>
      </c>
      <c r="D2441" s="2" t="s">
        <v>3595</v>
      </c>
    </row>
    <row r="2442">
      <c r="A2442" s="64" t="s">
        <v>3593</v>
      </c>
      <c r="B2442" s="2" t="s">
        <v>3599</v>
      </c>
      <c r="C2442" s="2" t="s">
        <v>3595</v>
      </c>
      <c r="D2442" s="2" t="s">
        <v>3595</v>
      </c>
    </row>
    <row r="2443">
      <c r="A2443" s="64" t="s">
        <v>3593</v>
      </c>
      <c r="B2443" s="2" t="s">
        <v>3600</v>
      </c>
      <c r="C2443" s="2" t="s">
        <v>3595</v>
      </c>
      <c r="D2443" s="2" t="s">
        <v>3595</v>
      </c>
    </row>
    <row r="2444">
      <c r="A2444" s="2" t="s">
        <v>3601</v>
      </c>
      <c r="B2444" s="2" t="s">
        <v>3602</v>
      </c>
      <c r="C2444" s="2" t="s">
        <v>3603</v>
      </c>
      <c r="D2444" s="2" t="s">
        <v>3604</v>
      </c>
    </row>
    <row r="2445">
      <c r="A2445" s="2" t="s">
        <v>3601</v>
      </c>
      <c r="B2445" s="2" t="s">
        <v>3605</v>
      </c>
      <c r="C2445" s="2" t="s">
        <v>3603</v>
      </c>
      <c r="D2445" s="2" t="s">
        <v>3604</v>
      </c>
    </row>
    <row r="2446">
      <c r="A2446" s="2" t="s">
        <v>3601</v>
      </c>
      <c r="B2446" s="2" t="s">
        <v>3606</v>
      </c>
      <c r="G2446" s="2" t="s">
        <v>3607</v>
      </c>
    </row>
    <row r="2447">
      <c r="A2447" s="2" t="s">
        <v>3601</v>
      </c>
      <c r="B2447" s="2" t="s">
        <v>3608</v>
      </c>
      <c r="G2447" s="2" t="s">
        <v>3607</v>
      </c>
    </row>
    <row r="2448">
      <c r="A2448" s="2" t="s">
        <v>3601</v>
      </c>
      <c r="B2448" s="2" t="s">
        <v>3609</v>
      </c>
      <c r="G2448" s="2" t="s">
        <v>3607</v>
      </c>
    </row>
    <row r="2449">
      <c r="A2449" s="2" t="s">
        <v>3601</v>
      </c>
      <c r="B2449" s="2" t="s">
        <v>3610</v>
      </c>
      <c r="G2449" s="2" t="s">
        <v>3607</v>
      </c>
    </row>
    <row r="2450">
      <c r="A2450" s="2" t="s">
        <v>3601</v>
      </c>
      <c r="B2450" s="2" t="s">
        <v>3611</v>
      </c>
      <c r="G2450" s="2" t="s">
        <v>3607</v>
      </c>
    </row>
    <row r="2451">
      <c r="A2451" s="2" t="s">
        <v>3601</v>
      </c>
      <c r="B2451" s="2" t="s">
        <v>3612</v>
      </c>
      <c r="G2451" s="2" t="s">
        <v>3607</v>
      </c>
    </row>
    <row r="2452">
      <c r="A2452" s="2" t="s">
        <v>3601</v>
      </c>
      <c r="B2452" s="2" t="s">
        <v>3613</v>
      </c>
      <c r="G2452" s="2" t="s">
        <v>3607</v>
      </c>
    </row>
    <row r="2453">
      <c r="A2453" s="2" t="s">
        <v>3614</v>
      </c>
      <c r="B2453" s="2" t="s">
        <v>3615</v>
      </c>
      <c r="C2453" s="2" t="s">
        <v>3616</v>
      </c>
      <c r="D2453" s="2" t="s">
        <v>3617</v>
      </c>
    </row>
    <row r="2454">
      <c r="A2454" s="2" t="s">
        <v>3614</v>
      </c>
      <c r="B2454" s="2" t="s">
        <v>3618</v>
      </c>
      <c r="C2454" s="2" t="s">
        <v>3616</v>
      </c>
      <c r="D2454" s="2" t="s">
        <v>3617</v>
      </c>
    </row>
    <row r="2455">
      <c r="A2455" s="2" t="s">
        <v>3614</v>
      </c>
      <c r="B2455" s="2" t="s">
        <v>3619</v>
      </c>
      <c r="C2455" s="2" t="s">
        <v>3616</v>
      </c>
      <c r="D2455" s="2" t="s">
        <v>3617</v>
      </c>
    </row>
    <row r="2456">
      <c r="A2456" s="2" t="s">
        <v>3614</v>
      </c>
      <c r="B2456" s="2" t="s">
        <v>3620</v>
      </c>
      <c r="C2456" s="2" t="s">
        <v>3616</v>
      </c>
      <c r="D2456" s="2" t="s">
        <v>3617</v>
      </c>
    </row>
    <row r="2457">
      <c r="A2457" s="2" t="s">
        <v>3614</v>
      </c>
      <c r="B2457" s="2" t="s">
        <v>3621</v>
      </c>
      <c r="C2457" s="2" t="s">
        <v>3616</v>
      </c>
      <c r="D2457" s="2" t="s">
        <v>3617</v>
      </c>
    </row>
    <row r="2458">
      <c r="A2458" s="2" t="s">
        <v>3614</v>
      </c>
      <c r="B2458" s="2" t="s">
        <v>3622</v>
      </c>
      <c r="C2458" s="2" t="s">
        <v>3616</v>
      </c>
      <c r="D2458" s="2" t="s">
        <v>3617</v>
      </c>
    </row>
    <row r="2459">
      <c r="A2459" s="2" t="s">
        <v>3614</v>
      </c>
      <c r="B2459" s="2" t="s">
        <v>3624</v>
      </c>
      <c r="C2459" s="2" t="s">
        <v>3616</v>
      </c>
      <c r="D2459" s="2" t="s">
        <v>3617</v>
      </c>
    </row>
    <row r="2460">
      <c r="A2460" s="2" t="s">
        <v>3614</v>
      </c>
      <c r="B2460" s="2" t="s">
        <v>3625</v>
      </c>
      <c r="C2460" s="2" t="s">
        <v>3616</v>
      </c>
      <c r="D2460" s="2" t="s">
        <v>3617</v>
      </c>
    </row>
    <row r="2461">
      <c r="A2461" s="2" t="s">
        <v>3614</v>
      </c>
      <c r="B2461" s="2" t="s">
        <v>3626</v>
      </c>
      <c r="C2461" s="2" t="s">
        <v>3616</v>
      </c>
      <c r="D2461" s="2" t="s">
        <v>3617</v>
      </c>
    </row>
    <row r="2462">
      <c r="A2462" s="2" t="s">
        <v>3614</v>
      </c>
      <c r="B2462" s="2" t="s">
        <v>3627</v>
      </c>
      <c r="C2462" s="2" t="s">
        <v>3616</v>
      </c>
      <c r="D2462" s="2" t="s">
        <v>3617</v>
      </c>
    </row>
    <row r="2463">
      <c r="A2463" s="2" t="s">
        <v>3614</v>
      </c>
      <c r="B2463" s="2" t="s">
        <v>3628</v>
      </c>
      <c r="C2463" s="2" t="s">
        <v>3616</v>
      </c>
      <c r="D2463" s="2" t="s">
        <v>3617</v>
      </c>
    </row>
    <row r="2464">
      <c r="A2464" s="2" t="s">
        <v>3614</v>
      </c>
      <c r="B2464" s="2" t="s">
        <v>3629</v>
      </c>
      <c r="C2464" s="2" t="s">
        <v>3616</v>
      </c>
      <c r="D2464" s="2" t="s">
        <v>3617</v>
      </c>
    </row>
    <row r="2465">
      <c r="A2465" s="2" t="s">
        <v>3614</v>
      </c>
      <c r="B2465" s="2" t="s">
        <v>3630</v>
      </c>
      <c r="C2465" s="2" t="s">
        <v>3616</v>
      </c>
      <c r="D2465" s="2" t="s">
        <v>3617</v>
      </c>
    </row>
    <row r="2466">
      <c r="A2466" s="2" t="s">
        <v>3614</v>
      </c>
      <c r="B2466" s="2" t="s">
        <v>3631</v>
      </c>
      <c r="C2466" s="2" t="s">
        <v>3616</v>
      </c>
      <c r="D2466" s="2" t="s">
        <v>3617</v>
      </c>
    </row>
    <row r="2467">
      <c r="A2467" s="2" t="s">
        <v>3632</v>
      </c>
      <c r="B2467" s="2" t="s">
        <v>3633</v>
      </c>
      <c r="C2467" s="2" t="s">
        <v>3616</v>
      </c>
      <c r="D2467" s="2" t="s">
        <v>3617</v>
      </c>
    </row>
    <row r="2468">
      <c r="A2468" s="2" t="s">
        <v>3632</v>
      </c>
      <c r="B2468" s="2" t="s">
        <v>3634</v>
      </c>
      <c r="C2468" s="2" t="s">
        <v>3616</v>
      </c>
      <c r="D2468" s="2" t="s">
        <v>3617</v>
      </c>
    </row>
    <row r="2469">
      <c r="A2469" s="2" t="s">
        <v>3632</v>
      </c>
      <c r="B2469" s="2" t="s">
        <v>3635</v>
      </c>
      <c r="C2469" s="2" t="s">
        <v>3616</v>
      </c>
      <c r="D2469" s="2" t="s">
        <v>3617</v>
      </c>
    </row>
    <row r="2470">
      <c r="A2470" s="2" t="s">
        <v>3632</v>
      </c>
      <c r="B2470" s="2" t="s">
        <v>3636</v>
      </c>
      <c r="C2470" s="2" t="s">
        <v>3616</v>
      </c>
      <c r="D2470" s="2" t="s">
        <v>3617</v>
      </c>
    </row>
    <row r="2471">
      <c r="A2471" s="2" t="s">
        <v>3632</v>
      </c>
      <c r="B2471" s="2" t="s">
        <v>3637</v>
      </c>
      <c r="C2471" s="2" t="s">
        <v>3616</v>
      </c>
      <c r="D2471" s="2" t="s">
        <v>3617</v>
      </c>
    </row>
    <row r="2472">
      <c r="A2472" s="2" t="s">
        <v>3632</v>
      </c>
      <c r="B2472" s="2" t="s">
        <v>3638</v>
      </c>
      <c r="C2472" s="2" t="s">
        <v>3616</v>
      </c>
      <c r="D2472" s="2" t="s">
        <v>3617</v>
      </c>
    </row>
    <row r="2473">
      <c r="A2473" s="2" t="s">
        <v>3632</v>
      </c>
      <c r="B2473" s="2" t="s">
        <v>3639</v>
      </c>
      <c r="C2473" s="2" t="s">
        <v>3616</v>
      </c>
      <c r="D2473" s="2" t="s">
        <v>3617</v>
      </c>
    </row>
    <row r="2474">
      <c r="A2474" s="2" t="s">
        <v>3632</v>
      </c>
      <c r="B2474" s="2" t="s">
        <v>3640</v>
      </c>
      <c r="C2474" s="2" t="s">
        <v>3616</v>
      </c>
      <c r="D2474" s="2" t="s">
        <v>3617</v>
      </c>
    </row>
    <row r="2475">
      <c r="A2475" s="2" t="s">
        <v>3632</v>
      </c>
      <c r="B2475" s="2" t="s">
        <v>3641</v>
      </c>
      <c r="C2475" s="2" t="s">
        <v>3616</v>
      </c>
      <c r="D2475" s="2" t="s">
        <v>3617</v>
      </c>
    </row>
    <row r="2476">
      <c r="A2476" s="2" t="s">
        <v>3632</v>
      </c>
      <c r="B2476" s="2" t="s">
        <v>3642</v>
      </c>
      <c r="C2476" s="2" t="s">
        <v>3616</v>
      </c>
      <c r="D2476" s="2" t="s">
        <v>3617</v>
      </c>
    </row>
    <row r="2477">
      <c r="A2477" s="2" t="s">
        <v>3632</v>
      </c>
      <c r="B2477" s="2" t="s">
        <v>3643</v>
      </c>
      <c r="C2477" s="2" t="s">
        <v>3616</v>
      </c>
      <c r="D2477" s="2" t="s">
        <v>3617</v>
      </c>
    </row>
    <row r="2478">
      <c r="A2478" s="2" t="s">
        <v>3632</v>
      </c>
      <c r="B2478" s="2" t="s">
        <v>3644</v>
      </c>
      <c r="C2478" s="2" t="s">
        <v>3616</v>
      </c>
      <c r="D2478" s="2" t="s">
        <v>3617</v>
      </c>
    </row>
    <row r="2479">
      <c r="A2479" s="2" t="s">
        <v>3614</v>
      </c>
      <c r="B2479" s="2" t="s">
        <v>3645</v>
      </c>
      <c r="C2479" s="2" t="s">
        <v>3616</v>
      </c>
      <c r="D2479" s="2" t="s">
        <v>3617</v>
      </c>
    </row>
    <row r="2480">
      <c r="A2480" s="2" t="s">
        <v>3614</v>
      </c>
      <c r="B2480" s="2" t="s">
        <v>3646</v>
      </c>
      <c r="C2480" s="2" t="s">
        <v>3616</v>
      </c>
      <c r="D2480" s="2" t="s">
        <v>3617</v>
      </c>
    </row>
    <row r="2481">
      <c r="A2481" s="2" t="s">
        <v>3614</v>
      </c>
      <c r="B2481" s="2" t="s">
        <v>3647</v>
      </c>
      <c r="C2481" s="2" t="s">
        <v>3616</v>
      </c>
      <c r="D2481" s="2" t="s">
        <v>3617</v>
      </c>
    </row>
    <row r="2482">
      <c r="A2482" s="2" t="s">
        <v>3614</v>
      </c>
      <c r="B2482" s="2" t="s">
        <v>3648</v>
      </c>
      <c r="C2482" s="2" t="s">
        <v>3616</v>
      </c>
      <c r="D2482" s="2" t="s">
        <v>3617</v>
      </c>
    </row>
    <row r="2483">
      <c r="A2483" s="2" t="s">
        <v>3614</v>
      </c>
      <c r="B2483" s="2" t="s">
        <v>3649</v>
      </c>
      <c r="C2483" s="2" t="s">
        <v>3616</v>
      </c>
      <c r="D2483" s="2" t="s">
        <v>3617</v>
      </c>
    </row>
    <row r="2484">
      <c r="A2484" s="2" t="s">
        <v>3614</v>
      </c>
      <c r="B2484" s="2" t="s">
        <v>3618</v>
      </c>
      <c r="C2484" s="2" t="s">
        <v>3616</v>
      </c>
      <c r="D2484" s="2" t="s">
        <v>3617</v>
      </c>
    </row>
    <row r="2485">
      <c r="A2485" s="2" t="s">
        <v>3614</v>
      </c>
      <c r="B2485" s="2" t="s">
        <v>3619</v>
      </c>
      <c r="C2485" s="2" t="s">
        <v>3616</v>
      </c>
      <c r="D2485" s="2" t="s">
        <v>3617</v>
      </c>
    </row>
    <row r="2486">
      <c r="A2486" s="2" t="s">
        <v>3614</v>
      </c>
      <c r="B2486" s="2" t="s">
        <v>3650</v>
      </c>
      <c r="C2486" s="2" t="s">
        <v>3616</v>
      </c>
      <c r="D2486" s="2" t="s">
        <v>3617</v>
      </c>
    </row>
    <row r="2487">
      <c r="A2487" s="2" t="s">
        <v>3614</v>
      </c>
      <c r="B2487" s="2" t="s">
        <v>3651</v>
      </c>
      <c r="C2487" s="2" t="s">
        <v>3616</v>
      </c>
      <c r="D2487" s="2" t="s">
        <v>3617</v>
      </c>
    </row>
    <row r="2488">
      <c r="A2488" s="2" t="s">
        <v>3614</v>
      </c>
      <c r="B2488" s="2" t="s">
        <v>3652</v>
      </c>
      <c r="C2488" s="2" t="s">
        <v>3616</v>
      </c>
      <c r="D2488" s="2" t="s">
        <v>3617</v>
      </c>
    </row>
    <row r="2489">
      <c r="A2489" s="2" t="s">
        <v>3614</v>
      </c>
      <c r="B2489" s="2" t="s">
        <v>3653</v>
      </c>
      <c r="C2489" s="2" t="s">
        <v>3616</v>
      </c>
      <c r="D2489" s="2" t="s">
        <v>3617</v>
      </c>
    </row>
    <row r="2490">
      <c r="A2490" s="2" t="s">
        <v>3614</v>
      </c>
      <c r="B2490" s="2" t="s">
        <v>3654</v>
      </c>
      <c r="C2490" s="2" t="s">
        <v>3616</v>
      </c>
      <c r="D2490" s="2" t="s">
        <v>3617</v>
      </c>
    </row>
    <row r="2491">
      <c r="A2491" s="2" t="s">
        <v>3614</v>
      </c>
      <c r="B2491" s="2" t="s">
        <v>3655</v>
      </c>
      <c r="C2491" s="2" t="s">
        <v>3616</v>
      </c>
      <c r="D2491" s="2" t="s">
        <v>3617</v>
      </c>
    </row>
    <row r="2492">
      <c r="A2492" s="2" t="s">
        <v>3614</v>
      </c>
      <c r="B2492" s="2" t="s">
        <v>3656</v>
      </c>
      <c r="C2492" s="2" t="s">
        <v>3616</v>
      </c>
      <c r="D2492" s="2" t="s">
        <v>3617</v>
      </c>
    </row>
    <row r="2493">
      <c r="A2493" s="2" t="s">
        <v>3614</v>
      </c>
      <c r="B2493" s="2" t="s">
        <v>3657</v>
      </c>
      <c r="C2493" s="2" t="s">
        <v>3616</v>
      </c>
      <c r="D2493" s="2" t="s">
        <v>3617</v>
      </c>
    </row>
    <row r="2494">
      <c r="A2494" s="2" t="s">
        <v>3614</v>
      </c>
      <c r="B2494" s="2" t="s">
        <v>3658</v>
      </c>
      <c r="C2494" s="2" t="s">
        <v>3616</v>
      </c>
      <c r="D2494" s="2" t="s">
        <v>3617</v>
      </c>
    </row>
    <row r="2495">
      <c r="A2495" s="2" t="s">
        <v>3614</v>
      </c>
      <c r="B2495" s="2" t="s">
        <v>3659</v>
      </c>
      <c r="C2495" s="2" t="s">
        <v>3616</v>
      </c>
      <c r="D2495" s="2" t="s">
        <v>3617</v>
      </c>
    </row>
    <row r="2496">
      <c r="A2496" s="2" t="s">
        <v>3614</v>
      </c>
      <c r="B2496" s="2" t="s">
        <v>3660</v>
      </c>
      <c r="C2496" s="2" t="s">
        <v>3616</v>
      </c>
      <c r="D2496" s="2" t="s">
        <v>3617</v>
      </c>
    </row>
    <row r="2497">
      <c r="A2497" s="2" t="s">
        <v>3614</v>
      </c>
      <c r="B2497" s="2" t="s">
        <v>3661</v>
      </c>
      <c r="C2497" s="2" t="s">
        <v>3616</v>
      </c>
      <c r="D2497" s="2" t="s">
        <v>3617</v>
      </c>
    </row>
    <row r="2498">
      <c r="A2498" s="2" t="s">
        <v>3614</v>
      </c>
      <c r="B2498" s="2" t="s">
        <v>3662</v>
      </c>
      <c r="C2498" s="2" t="s">
        <v>3616</v>
      </c>
      <c r="D2498" s="2" t="s">
        <v>3617</v>
      </c>
    </row>
    <row r="2499">
      <c r="A2499" s="2" t="s">
        <v>3614</v>
      </c>
      <c r="B2499" s="2" t="s">
        <v>3663</v>
      </c>
      <c r="C2499" s="2" t="s">
        <v>3616</v>
      </c>
      <c r="D2499" s="2" t="s">
        <v>3617</v>
      </c>
    </row>
    <row r="2500">
      <c r="A2500" s="2" t="s">
        <v>3614</v>
      </c>
      <c r="B2500" s="2" t="s">
        <v>3626</v>
      </c>
      <c r="C2500" s="2" t="s">
        <v>3616</v>
      </c>
      <c r="D2500" s="2" t="s">
        <v>3617</v>
      </c>
    </row>
    <row r="2501">
      <c r="A2501" s="2" t="s">
        <v>3614</v>
      </c>
      <c r="B2501" s="2" t="s">
        <v>3664</v>
      </c>
      <c r="C2501" s="2" t="s">
        <v>3616</v>
      </c>
      <c r="D2501" s="2" t="s">
        <v>3617</v>
      </c>
    </row>
    <row r="2502">
      <c r="A2502" s="2" t="s">
        <v>3614</v>
      </c>
      <c r="B2502" s="2" t="s">
        <v>3665</v>
      </c>
      <c r="C2502" s="2" t="s">
        <v>3616</v>
      </c>
      <c r="D2502" s="2" t="s">
        <v>3617</v>
      </c>
    </row>
    <row r="2503">
      <c r="A2503" s="2" t="s">
        <v>3614</v>
      </c>
      <c r="B2503" s="2" t="s">
        <v>3628</v>
      </c>
      <c r="C2503" s="2" t="s">
        <v>3616</v>
      </c>
      <c r="D2503" s="2" t="s">
        <v>3617</v>
      </c>
    </row>
    <row r="2504">
      <c r="A2504" s="2" t="s">
        <v>3614</v>
      </c>
      <c r="B2504" s="2" t="s">
        <v>3666</v>
      </c>
      <c r="C2504" s="2" t="s">
        <v>3616</v>
      </c>
      <c r="D2504" s="2" t="s">
        <v>3617</v>
      </c>
    </row>
    <row r="2505">
      <c r="A2505" s="2" t="s">
        <v>3614</v>
      </c>
      <c r="B2505" s="2" t="s">
        <v>3667</v>
      </c>
      <c r="C2505" s="2" t="s">
        <v>3616</v>
      </c>
      <c r="D2505" s="2" t="s">
        <v>3617</v>
      </c>
    </row>
    <row r="2506">
      <c r="A2506" s="2" t="s">
        <v>3614</v>
      </c>
      <c r="B2506" s="2" t="s">
        <v>3668</v>
      </c>
      <c r="C2506" s="2" t="s">
        <v>3616</v>
      </c>
      <c r="D2506" s="2" t="s">
        <v>3617</v>
      </c>
    </row>
    <row r="2507">
      <c r="A2507" s="2" t="s">
        <v>3614</v>
      </c>
      <c r="B2507" s="2" t="s">
        <v>3669</v>
      </c>
      <c r="C2507" s="2" t="s">
        <v>3616</v>
      </c>
      <c r="D2507" s="2" t="s">
        <v>3617</v>
      </c>
    </row>
    <row r="2508">
      <c r="A2508" s="2" t="s">
        <v>3614</v>
      </c>
      <c r="B2508" s="2" t="s">
        <v>3670</v>
      </c>
      <c r="C2508" s="2" t="s">
        <v>3616</v>
      </c>
      <c r="D2508" s="2" t="s">
        <v>3617</v>
      </c>
    </row>
    <row r="2509">
      <c r="A2509" s="2" t="s">
        <v>3632</v>
      </c>
      <c r="B2509" s="2" t="s">
        <v>3671</v>
      </c>
      <c r="C2509" s="2" t="s">
        <v>3616</v>
      </c>
      <c r="D2509" s="2" t="s">
        <v>3617</v>
      </c>
    </row>
    <row r="2510">
      <c r="A2510" s="2" t="s">
        <v>3632</v>
      </c>
      <c r="B2510" s="2" t="s">
        <v>3672</v>
      </c>
      <c r="C2510" s="2" t="s">
        <v>3616</v>
      </c>
      <c r="D2510" s="2" t="s">
        <v>3617</v>
      </c>
    </row>
    <row r="2511">
      <c r="A2511" s="2" t="s">
        <v>3632</v>
      </c>
      <c r="B2511" s="2" t="s">
        <v>3673</v>
      </c>
      <c r="C2511" s="2" t="s">
        <v>3616</v>
      </c>
      <c r="D2511" s="2" t="s">
        <v>3617</v>
      </c>
    </row>
    <row r="2512">
      <c r="A2512" s="2" t="s">
        <v>3632</v>
      </c>
      <c r="B2512" s="2" t="s">
        <v>3674</v>
      </c>
      <c r="C2512" s="2" t="s">
        <v>3616</v>
      </c>
      <c r="D2512" s="2" t="s">
        <v>3617</v>
      </c>
    </row>
    <row r="2513">
      <c r="A2513" s="2" t="s">
        <v>3632</v>
      </c>
      <c r="B2513" s="2" t="s">
        <v>3675</v>
      </c>
      <c r="C2513" s="2" t="s">
        <v>3616</v>
      </c>
      <c r="D2513" s="2" t="s">
        <v>3617</v>
      </c>
    </row>
    <row r="2514">
      <c r="A2514" s="2" t="s">
        <v>3632</v>
      </c>
      <c r="B2514" s="2" t="s">
        <v>3676</v>
      </c>
      <c r="C2514" s="2" t="s">
        <v>3616</v>
      </c>
      <c r="D2514" s="2" t="s">
        <v>3617</v>
      </c>
    </row>
    <row r="2515">
      <c r="A2515" s="2" t="s">
        <v>3632</v>
      </c>
      <c r="B2515" s="2" t="s">
        <v>3677</v>
      </c>
      <c r="C2515" s="2" t="s">
        <v>3616</v>
      </c>
      <c r="D2515" s="2" t="s">
        <v>3617</v>
      </c>
    </row>
    <row r="2516">
      <c r="A2516" s="2" t="s">
        <v>3632</v>
      </c>
      <c r="B2516" s="2" t="s">
        <v>3678</v>
      </c>
      <c r="C2516" s="2" t="s">
        <v>3616</v>
      </c>
      <c r="D2516" s="2" t="s">
        <v>3617</v>
      </c>
    </row>
    <row r="2517">
      <c r="A2517" s="2" t="s">
        <v>3632</v>
      </c>
      <c r="B2517" s="2" t="s">
        <v>3679</v>
      </c>
      <c r="C2517" s="2" t="s">
        <v>3616</v>
      </c>
      <c r="D2517" s="2" t="s">
        <v>3617</v>
      </c>
    </row>
    <row r="2518">
      <c r="A2518" s="2" t="s">
        <v>3632</v>
      </c>
      <c r="B2518" s="2" t="s">
        <v>3680</v>
      </c>
      <c r="C2518" s="2" t="s">
        <v>3616</v>
      </c>
      <c r="D2518" s="2" t="s">
        <v>3617</v>
      </c>
    </row>
    <row r="2519">
      <c r="A2519" s="2" t="s">
        <v>3632</v>
      </c>
      <c r="B2519" s="2" t="s">
        <v>3681</v>
      </c>
      <c r="C2519" s="2" t="s">
        <v>3616</v>
      </c>
      <c r="D2519" s="2" t="s">
        <v>3617</v>
      </c>
    </row>
    <row r="2520">
      <c r="A2520" s="2" t="s">
        <v>3632</v>
      </c>
      <c r="B2520" s="2" t="s">
        <v>3682</v>
      </c>
      <c r="C2520" s="2" t="s">
        <v>3616</v>
      </c>
      <c r="D2520" s="2" t="s">
        <v>3617</v>
      </c>
    </row>
    <row r="2521">
      <c r="A2521" s="2" t="s">
        <v>3632</v>
      </c>
      <c r="B2521" s="2" t="s">
        <v>3683</v>
      </c>
      <c r="C2521" s="2" t="s">
        <v>3616</v>
      </c>
      <c r="D2521" s="2" t="s">
        <v>3617</v>
      </c>
    </row>
    <row r="2522">
      <c r="A2522" s="2" t="s">
        <v>3632</v>
      </c>
      <c r="B2522" s="2" t="s">
        <v>3684</v>
      </c>
      <c r="C2522" s="2" t="s">
        <v>3616</v>
      </c>
      <c r="D2522" s="2" t="s">
        <v>3617</v>
      </c>
    </row>
    <row r="2523">
      <c r="A2523" s="2" t="s">
        <v>3632</v>
      </c>
      <c r="B2523" s="2" t="s">
        <v>3685</v>
      </c>
      <c r="C2523" s="2" t="s">
        <v>3616</v>
      </c>
      <c r="D2523" s="2" t="s">
        <v>3617</v>
      </c>
    </row>
    <row r="2524">
      <c r="A2524" s="2" t="s">
        <v>3632</v>
      </c>
      <c r="B2524" s="2" t="s">
        <v>3686</v>
      </c>
      <c r="C2524" s="2" t="s">
        <v>3616</v>
      </c>
      <c r="D2524" s="2" t="s">
        <v>3617</v>
      </c>
    </row>
    <row r="2525">
      <c r="A2525" s="2" t="s">
        <v>3632</v>
      </c>
      <c r="B2525" s="2" t="s">
        <v>3687</v>
      </c>
      <c r="C2525" s="2" t="s">
        <v>3616</v>
      </c>
      <c r="D2525" s="2" t="s">
        <v>3617</v>
      </c>
    </row>
    <row r="2526">
      <c r="A2526" s="2" t="s">
        <v>3632</v>
      </c>
      <c r="B2526" s="2" t="s">
        <v>3688</v>
      </c>
      <c r="C2526" s="2" t="s">
        <v>3616</v>
      </c>
      <c r="D2526" s="2" t="s">
        <v>3617</v>
      </c>
    </row>
    <row r="2527">
      <c r="A2527" s="2" t="s">
        <v>3632</v>
      </c>
      <c r="B2527" s="2" t="s">
        <v>3689</v>
      </c>
      <c r="C2527" s="2" t="s">
        <v>3616</v>
      </c>
      <c r="D2527" s="2" t="s">
        <v>3617</v>
      </c>
    </row>
    <row r="2528">
      <c r="A2528" s="2" t="s">
        <v>3632</v>
      </c>
      <c r="B2528" s="2" t="s">
        <v>3690</v>
      </c>
      <c r="C2528" s="2" t="s">
        <v>3616</v>
      </c>
      <c r="D2528" s="2" t="s">
        <v>3617</v>
      </c>
    </row>
    <row r="2529">
      <c r="A2529" s="2" t="s">
        <v>3632</v>
      </c>
      <c r="B2529" s="2" t="s">
        <v>3691</v>
      </c>
      <c r="C2529" s="2" t="s">
        <v>3616</v>
      </c>
      <c r="D2529" s="2" t="s">
        <v>3617</v>
      </c>
    </row>
    <row r="2530">
      <c r="A2530" s="2" t="s">
        <v>3632</v>
      </c>
      <c r="B2530" s="2" t="s">
        <v>3692</v>
      </c>
      <c r="C2530" s="2" t="s">
        <v>3616</v>
      </c>
      <c r="D2530" s="2" t="s">
        <v>3617</v>
      </c>
    </row>
    <row r="2531">
      <c r="A2531" s="2" t="s">
        <v>3632</v>
      </c>
      <c r="B2531" s="2" t="s">
        <v>3693</v>
      </c>
      <c r="C2531" s="2" t="s">
        <v>3616</v>
      </c>
      <c r="D2531" s="2" t="s">
        <v>3617</v>
      </c>
    </row>
    <row r="2532">
      <c r="A2532" s="2" t="s">
        <v>3632</v>
      </c>
      <c r="B2532" s="2" t="s">
        <v>3694</v>
      </c>
      <c r="C2532" s="2" t="s">
        <v>3616</v>
      </c>
      <c r="D2532" s="2" t="s">
        <v>3617</v>
      </c>
    </row>
    <row r="2533">
      <c r="A2533" s="2" t="s">
        <v>3632</v>
      </c>
      <c r="B2533" s="2" t="s">
        <v>3695</v>
      </c>
      <c r="C2533" s="2" t="s">
        <v>3616</v>
      </c>
      <c r="D2533" s="2" t="s">
        <v>3617</v>
      </c>
    </row>
    <row r="2534">
      <c r="A2534" s="2" t="s">
        <v>3632</v>
      </c>
      <c r="B2534" s="2" t="s">
        <v>3696</v>
      </c>
      <c r="C2534" s="2" t="s">
        <v>3616</v>
      </c>
      <c r="D2534" s="2" t="s">
        <v>3617</v>
      </c>
    </row>
    <row r="2535">
      <c r="A2535" s="2" t="s">
        <v>3632</v>
      </c>
      <c r="B2535" s="2" t="s">
        <v>3697</v>
      </c>
      <c r="C2535" s="2" t="s">
        <v>3616</v>
      </c>
      <c r="D2535" s="2" t="s">
        <v>3617</v>
      </c>
    </row>
    <row r="2536">
      <c r="A2536" s="2" t="s">
        <v>3632</v>
      </c>
      <c r="B2536" s="2" t="s">
        <v>3698</v>
      </c>
      <c r="C2536" s="2" t="s">
        <v>3616</v>
      </c>
      <c r="D2536" s="2" t="s">
        <v>3617</v>
      </c>
    </row>
    <row r="2537">
      <c r="A2537" s="2" t="s">
        <v>3632</v>
      </c>
      <c r="B2537" s="2" t="s">
        <v>3699</v>
      </c>
      <c r="C2537" s="2" t="s">
        <v>3616</v>
      </c>
      <c r="D2537" s="2" t="s">
        <v>3617</v>
      </c>
    </row>
    <row r="2538">
      <c r="A2538" s="2" t="s">
        <v>3632</v>
      </c>
      <c r="B2538" s="2" t="s">
        <v>3700</v>
      </c>
      <c r="C2538" s="2" t="s">
        <v>3616</v>
      </c>
      <c r="D2538" s="2" t="s">
        <v>3617</v>
      </c>
    </row>
    <row r="2539">
      <c r="A2539" s="2" t="s">
        <v>3632</v>
      </c>
      <c r="B2539" s="2" t="s">
        <v>3701</v>
      </c>
      <c r="C2539" s="2" t="s">
        <v>3616</v>
      </c>
      <c r="D2539" s="2" t="s">
        <v>3617</v>
      </c>
    </row>
    <row r="2540">
      <c r="A2540" s="2" t="s">
        <v>3632</v>
      </c>
      <c r="B2540" s="2" t="s">
        <v>3702</v>
      </c>
      <c r="C2540" s="2" t="s">
        <v>3616</v>
      </c>
      <c r="D2540" s="2" t="s">
        <v>3617</v>
      </c>
    </row>
    <row r="2541">
      <c r="A2541" s="2" t="s">
        <v>3632</v>
      </c>
      <c r="B2541" s="2" t="s">
        <v>3703</v>
      </c>
      <c r="C2541" s="2" t="s">
        <v>3616</v>
      </c>
      <c r="D2541" s="2" t="s">
        <v>3617</v>
      </c>
    </row>
    <row r="2542">
      <c r="A2542" s="2" t="s">
        <v>3632</v>
      </c>
      <c r="B2542" s="2" t="s">
        <v>3704</v>
      </c>
      <c r="C2542" s="2" t="s">
        <v>3616</v>
      </c>
      <c r="D2542" s="2" t="s">
        <v>3617</v>
      </c>
    </row>
    <row r="2543">
      <c r="A2543" s="2" t="s">
        <v>3632</v>
      </c>
      <c r="B2543" s="2" t="s">
        <v>3705</v>
      </c>
      <c r="C2543" s="2" t="s">
        <v>3616</v>
      </c>
      <c r="D2543" s="2" t="s">
        <v>3617</v>
      </c>
    </row>
    <row r="2544">
      <c r="A2544" s="2" t="s">
        <v>3632</v>
      </c>
      <c r="B2544" s="2" t="s">
        <v>3706</v>
      </c>
      <c r="C2544" s="2" t="s">
        <v>3616</v>
      </c>
      <c r="D2544" s="2" t="s">
        <v>3617</v>
      </c>
    </row>
    <row r="2545">
      <c r="A2545" s="2" t="s">
        <v>3632</v>
      </c>
      <c r="B2545" s="2" t="s">
        <v>3707</v>
      </c>
      <c r="C2545" s="2" t="s">
        <v>3616</v>
      </c>
      <c r="D2545" s="2" t="s">
        <v>3617</v>
      </c>
    </row>
    <row r="2546">
      <c r="A2546" s="2" t="s">
        <v>3632</v>
      </c>
      <c r="B2546" s="2" t="s">
        <v>3708</v>
      </c>
      <c r="C2546" s="2" t="s">
        <v>3616</v>
      </c>
      <c r="D2546" s="2" t="s">
        <v>3617</v>
      </c>
    </row>
    <row r="2547">
      <c r="A2547" s="2" t="s">
        <v>3632</v>
      </c>
      <c r="B2547" s="2" t="s">
        <v>3709</v>
      </c>
      <c r="C2547" s="2" t="s">
        <v>3616</v>
      </c>
      <c r="D2547" s="2" t="s">
        <v>3617</v>
      </c>
    </row>
    <row r="2548">
      <c r="A2548" s="2" t="s">
        <v>3632</v>
      </c>
      <c r="B2548" s="2" t="s">
        <v>3710</v>
      </c>
      <c r="C2548" s="2" t="s">
        <v>3616</v>
      </c>
      <c r="D2548" s="2" t="s">
        <v>3617</v>
      </c>
    </row>
    <row r="2549">
      <c r="A2549" s="2" t="s">
        <v>3632</v>
      </c>
      <c r="B2549" s="2" t="s">
        <v>3711</v>
      </c>
      <c r="C2549" s="2" t="s">
        <v>3616</v>
      </c>
      <c r="D2549" s="2" t="s">
        <v>3617</v>
      </c>
    </row>
    <row r="2550">
      <c r="A2550" s="2" t="s">
        <v>3632</v>
      </c>
      <c r="B2550" s="2" t="s">
        <v>3712</v>
      </c>
      <c r="C2550" s="2" t="s">
        <v>3616</v>
      </c>
      <c r="D2550" s="2" t="s">
        <v>3617</v>
      </c>
    </row>
    <row r="2551">
      <c r="A2551" s="2" t="s">
        <v>3632</v>
      </c>
      <c r="B2551" s="2" t="s">
        <v>3713</v>
      </c>
      <c r="C2551" s="2" t="s">
        <v>3616</v>
      </c>
      <c r="D2551" s="2" t="s">
        <v>3617</v>
      </c>
    </row>
    <row r="2552">
      <c r="A2552" s="2" t="s">
        <v>3632</v>
      </c>
      <c r="B2552" s="2" t="s">
        <v>3714</v>
      </c>
      <c r="C2552" s="2" t="s">
        <v>3616</v>
      </c>
      <c r="D2552" s="2" t="s">
        <v>3617</v>
      </c>
    </row>
    <row r="2553">
      <c r="A2553" s="2" t="s">
        <v>3715</v>
      </c>
      <c r="B2553" s="2" t="s">
        <v>3716</v>
      </c>
      <c r="C2553" s="2" t="s">
        <v>3717</v>
      </c>
      <c r="D2553" s="2" t="s">
        <v>3718</v>
      </c>
    </row>
    <row r="2554">
      <c r="A2554" s="2" t="s">
        <v>3715</v>
      </c>
      <c r="B2554" s="2" t="s">
        <v>3716</v>
      </c>
      <c r="C2554" s="2" t="s">
        <v>3719</v>
      </c>
      <c r="D2554" s="2" t="s">
        <v>3718</v>
      </c>
    </row>
    <row r="2555">
      <c r="A2555" s="2" t="s">
        <v>3715</v>
      </c>
      <c r="B2555" s="2" t="s">
        <v>3720</v>
      </c>
      <c r="C2555" s="2" t="s">
        <v>3721</v>
      </c>
      <c r="D2555" s="2" t="s">
        <v>3722</v>
      </c>
    </row>
    <row r="2556">
      <c r="A2556" s="2" t="s">
        <v>3715</v>
      </c>
      <c r="B2556" s="2" t="s">
        <v>3720</v>
      </c>
      <c r="C2556" s="2" t="s">
        <v>3723</v>
      </c>
      <c r="D2556" s="2" t="s">
        <v>3722</v>
      </c>
    </row>
    <row r="2557">
      <c r="A2557" s="2" t="s">
        <v>3715</v>
      </c>
      <c r="B2557" s="2" t="s">
        <v>3724</v>
      </c>
      <c r="C2557" s="2" t="s">
        <v>3725</v>
      </c>
      <c r="D2557" s="2" t="s">
        <v>3726</v>
      </c>
    </row>
    <row r="2558">
      <c r="A2558" s="2" t="s">
        <v>3715</v>
      </c>
      <c r="B2558" s="2" t="s">
        <v>3727</v>
      </c>
      <c r="G2558" s="2" t="s">
        <v>3728</v>
      </c>
      <c r="H2558" s="2" t="s">
        <v>3729</v>
      </c>
    </row>
    <row r="2559">
      <c r="A2559" s="2" t="s">
        <v>3715</v>
      </c>
      <c r="B2559" s="2" t="s">
        <v>3730</v>
      </c>
      <c r="G2559" s="2" t="s">
        <v>3731</v>
      </c>
      <c r="H2559" s="2" t="s">
        <v>3732</v>
      </c>
    </row>
    <row r="2560">
      <c r="A2560" s="2" t="s">
        <v>3715</v>
      </c>
      <c r="B2560" s="2" t="s">
        <v>3733</v>
      </c>
      <c r="G2560" s="2" t="s">
        <v>3734</v>
      </c>
      <c r="H2560" s="2" t="s">
        <v>3735</v>
      </c>
    </row>
    <row r="2561">
      <c r="A2561" s="2" t="s">
        <v>3715</v>
      </c>
      <c r="B2561" s="2" t="s">
        <v>3733</v>
      </c>
      <c r="G2561" s="2" t="s">
        <v>3734</v>
      </c>
      <c r="H2561" s="2" t="s">
        <v>3736</v>
      </c>
    </row>
    <row r="2562">
      <c r="A2562" s="2" t="s">
        <v>3737</v>
      </c>
      <c r="B2562" s="2" t="s">
        <v>3738</v>
      </c>
      <c r="E2562" s="2"/>
      <c r="F2562" s="2" t="s">
        <v>3739</v>
      </c>
    </row>
    <row r="2563">
      <c r="A2563" s="2" t="s">
        <v>3737</v>
      </c>
      <c r="B2563" s="2" t="s">
        <v>3740</v>
      </c>
      <c r="E2563" s="2"/>
      <c r="F2563" s="2" t="s">
        <v>3741</v>
      </c>
    </row>
    <row r="2564">
      <c r="A2564" s="2" t="s">
        <v>3737</v>
      </c>
      <c r="B2564" s="2" t="s">
        <v>3742</v>
      </c>
      <c r="E2564" s="2"/>
      <c r="F2564" s="2" t="s">
        <v>3743</v>
      </c>
    </row>
    <row r="2565">
      <c r="A2565" s="2" t="s">
        <v>3737</v>
      </c>
      <c r="B2565" s="2" t="s">
        <v>3744</v>
      </c>
      <c r="E2565" s="2"/>
      <c r="F2565" s="2" t="s">
        <v>3745</v>
      </c>
    </row>
    <row r="2566">
      <c r="A2566" s="2" t="s">
        <v>3737</v>
      </c>
      <c r="B2566" s="2" t="s">
        <v>3746</v>
      </c>
      <c r="E2566" s="2"/>
      <c r="F2566" s="2" t="s">
        <v>3747</v>
      </c>
    </row>
    <row r="2567">
      <c r="A2567" s="2" t="s">
        <v>3737</v>
      </c>
      <c r="B2567" s="2" t="s">
        <v>3748</v>
      </c>
      <c r="E2567" s="2"/>
      <c r="F2567" s="2" t="s">
        <v>3747</v>
      </c>
    </row>
    <row r="2568">
      <c r="A2568" s="2" t="s">
        <v>3737</v>
      </c>
      <c r="B2568" s="2" t="s">
        <v>3749</v>
      </c>
      <c r="E2568" s="2"/>
      <c r="F2568" s="2" t="s">
        <v>3750</v>
      </c>
    </row>
    <row r="2569">
      <c r="A2569" s="2" t="s">
        <v>3737</v>
      </c>
      <c r="B2569" s="2" t="s">
        <v>3751</v>
      </c>
      <c r="E2569" s="2"/>
      <c r="F2569" s="2" t="s">
        <v>3750</v>
      </c>
    </row>
    <row r="2570">
      <c r="A2570" s="2" t="s">
        <v>3737</v>
      </c>
      <c r="B2570" s="2" t="s">
        <v>3752</v>
      </c>
      <c r="E2570" s="2"/>
      <c r="F2570" s="2" t="s">
        <v>3753</v>
      </c>
    </row>
    <row r="2571">
      <c r="A2571" s="2" t="s">
        <v>3737</v>
      </c>
      <c r="B2571" s="2" t="s">
        <v>3754</v>
      </c>
      <c r="E2571" s="2"/>
      <c r="F2571" s="2" t="s">
        <v>3755</v>
      </c>
    </row>
    <row r="2572">
      <c r="A2572" s="2" t="s">
        <v>3756</v>
      </c>
      <c r="B2572" s="2" t="s">
        <v>3757</v>
      </c>
      <c r="G2572" s="2" t="s">
        <v>3758</v>
      </c>
    </row>
    <row r="2573">
      <c r="A2573" s="2" t="s">
        <v>3756</v>
      </c>
      <c r="B2573" s="2" t="s">
        <v>3759</v>
      </c>
      <c r="G2573" s="2" t="s">
        <v>3758</v>
      </c>
    </row>
    <row r="2574">
      <c r="A2574" s="2" t="s">
        <v>3760</v>
      </c>
      <c r="B2574" s="2" t="s">
        <v>3761</v>
      </c>
      <c r="G2574" s="2" t="s">
        <v>3762</v>
      </c>
    </row>
    <row r="2575">
      <c r="A2575" s="2" t="s">
        <v>3760</v>
      </c>
      <c r="B2575" s="2" t="s">
        <v>3763</v>
      </c>
      <c r="G2575" s="2" t="s">
        <v>3762</v>
      </c>
    </row>
    <row r="2576">
      <c r="A2576" s="2" t="s">
        <v>3760</v>
      </c>
      <c r="B2576" s="2" t="s">
        <v>3764</v>
      </c>
      <c r="G2576" s="2" t="s">
        <v>3762</v>
      </c>
    </row>
    <row r="2577">
      <c r="A2577" s="2" t="s">
        <v>3760</v>
      </c>
      <c r="B2577" s="2" t="s">
        <v>3765</v>
      </c>
      <c r="G2577" s="2" t="s">
        <v>3762</v>
      </c>
    </row>
    <row r="2578">
      <c r="A2578" s="2" t="s">
        <v>3760</v>
      </c>
      <c r="B2578" s="2" t="s">
        <v>3766</v>
      </c>
      <c r="G2578" s="2" t="s">
        <v>3762</v>
      </c>
    </row>
    <row r="2579">
      <c r="A2579" s="2" t="s">
        <v>3760</v>
      </c>
      <c r="B2579" s="2" t="s">
        <v>3767</v>
      </c>
      <c r="G2579" s="2" t="s">
        <v>3762</v>
      </c>
    </row>
    <row r="2580">
      <c r="A2580" s="2" t="s">
        <v>3760</v>
      </c>
      <c r="B2580" s="2" t="s">
        <v>3768</v>
      </c>
      <c r="G2580" s="2" t="s">
        <v>3762</v>
      </c>
    </row>
    <row r="2581">
      <c r="A2581" s="2" t="s">
        <v>3760</v>
      </c>
      <c r="B2581" s="2" t="s">
        <v>3769</v>
      </c>
      <c r="G2581" s="2" t="s">
        <v>3762</v>
      </c>
    </row>
    <row r="2582">
      <c r="A2582" s="2" t="s">
        <v>3760</v>
      </c>
      <c r="B2582" s="2" t="s">
        <v>3770</v>
      </c>
      <c r="G2582" s="2" t="s">
        <v>3762</v>
      </c>
    </row>
    <row r="2583">
      <c r="A2583" s="2" t="s">
        <v>3760</v>
      </c>
      <c r="B2583" s="2" t="s">
        <v>3771</v>
      </c>
      <c r="G2583" s="2" t="s">
        <v>3762</v>
      </c>
    </row>
    <row r="2584">
      <c r="A2584" s="2" t="s">
        <v>3760</v>
      </c>
      <c r="B2584" s="2" t="s">
        <v>3772</v>
      </c>
      <c r="G2584" s="2" t="s">
        <v>3762</v>
      </c>
    </row>
    <row r="2585">
      <c r="A2585" s="2" t="s">
        <v>3760</v>
      </c>
      <c r="B2585" s="2" t="s">
        <v>3773</v>
      </c>
      <c r="G2585" s="2" t="s">
        <v>3762</v>
      </c>
    </row>
    <row r="2586">
      <c r="A2586" s="2" t="s">
        <v>3760</v>
      </c>
      <c r="B2586" s="2" t="s">
        <v>3768</v>
      </c>
      <c r="G2586" s="2" t="s">
        <v>3762</v>
      </c>
    </row>
    <row r="2587">
      <c r="A2587" s="2" t="s">
        <v>3760</v>
      </c>
      <c r="B2587" s="2" t="s">
        <v>3774</v>
      </c>
      <c r="G2587" s="2" t="s">
        <v>3762</v>
      </c>
    </row>
    <row r="2588">
      <c r="A2588" s="2" t="s">
        <v>3775</v>
      </c>
      <c r="B2588" s="2" t="s">
        <v>3776</v>
      </c>
      <c r="G2588" s="2" t="s">
        <v>3762</v>
      </c>
    </row>
    <row r="2589">
      <c r="A2589" s="2" t="s">
        <v>3775</v>
      </c>
      <c r="B2589" s="2" t="s">
        <v>3777</v>
      </c>
      <c r="G2589" s="2" t="s">
        <v>3762</v>
      </c>
    </row>
    <row r="2590">
      <c r="A2590" s="2" t="s">
        <v>3775</v>
      </c>
      <c r="B2590" s="2" t="s">
        <v>3778</v>
      </c>
      <c r="G2590" s="2" t="s">
        <v>3762</v>
      </c>
    </row>
    <row r="2591">
      <c r="A2591" s="2" t="s">
        <v>3775</v>
      </c>
      <c r="B2591" s="2" t="s">
        <v>3779</v>
      </c>
      <c r="G2591" s="2" t="s">
        <v>3762</v>
      </c>
    </row>
    <row r="2592">
      <c r="A2592" s="2" t="s">
        <v>3775</v>
      </c>
      <c r="B2592" s="2" t="s">
        <v>3780</v>
      </c>
      <c r="G2592" s="2" t="s">
        <v>3762</v>
      </c>
    </row>
    <row r="2593">
      <c r="A2593" s="2" t="s">
        <v>3775</v>
      </c>
      <c r="B2593" s="2" t="s">
        <v>3781</v>
      </c>
      <c r="G2593" s="2" t="s">
        <v>3762</v>
      </c>
    </row>
    <row r="2594">
      <c r="A2594" s="2" t="s">
        <v>3775</v>
      </c>
      <c r="B2594" s="2" t="s">
        <v>3782</v>
      </c>
      <c r="G2594" s="2" t="s">
        <v>3762</v>
      </c>
    </row>
    <row r="2595">
      <c r="A2595" s="2" t="s">
        <v>3775</v>
      </c>
      <c r="B2595" s="2" t="s">
        <v>3783</v>
      </c>
      <c r="G2595" s="2" t="s">
        <v>3762</v>
      </c>
    </row>
    <row r="2596">
      <c r="A2596" s="2" t="s">
        <v>3775</v>
      </c>
      <c r="B2596" s="2" t="s">
        <v>3784</v>
      </c>
      <c r="G2596" s="2" t="s">
        <v>3762</v>
      </c>
    </row>
    <row r="2597">
      <c r="A2597" s="2" t="s">
        <v>3775</v>
      </c>
      <c r="B2597" s="2" t="s">
        <v>3785</v>
      </c>
      <c r="G2597" s="2" t="s">
        <v>3762</v>
      </c>
    </row>
    <row r="2598">
      <c r="A2598" s="2" t="s">
        <v>3775</v>
      </c>
      <c r="B2598" s="2" t="s">
        <v>3786</v>
      </c>
      <c r="G2598" s="2" t="s">
        <v>3762</v>
      </c>
    </row>
    <row r="2599">
      <c r="A2599" s="2" t="s">
        <v>3775</v>
      </c>
      <c r="B2599" s="2" t="s">
        <v>3787</v>
      </c>
      <c r="G2599" s="2" t="s">
        <v>3762</v>
      </c>
    </row>
    <row r="2600">
      <c r="A2600" s="2" t="s">
        <v>3775</v>
      </c>
      <c r="B2600" s="2" t="s">
        <v>3788</v>
      </c>
      <c r="G2600" s="2" t="s">
        <v>3762</v>
      </c>
    </row>
    <row r="2601">
      <c r="A2601" s="2" t="s">
        <v>3775</v>
      </c>
      <c r="B2601" s="2" t="s">
        <v>3789</v>
      </c>
      <c r="G2601" s="2" t="s">
        <v>3762</v>
      </c>
    </row>
    <row r="2602">
      <c r="A2602" s="2" t="s">
        <v>3775</v>
      </c>
      <c r="B2602" s="2" t="s">
        <v>3790</v>
      </c>
      <c r="G2602" s="2" t="s">
        <v>3762</v>
      </c>
    </row>
    <row r="2603">
      <c r="A2603" s="2" t="s">
        <v>3775</v>
      </c>
      <c r="B2603" s="2" t="s">
        <v>3791</v>
      </c>
      <c r="G2603" s="2" t="s">
        <v>3762</v>
      </c>
    </row>
    <row r="2604">
      <c r="A2604" s="2" t="s">
        <v>3775</v>
      </c>
      <c r="B2604" s="2" t="s">
        <v>3792</v>
      </c>
      <c r="G2604" s="2" t="s">
        <v>3762</v>
      </c>
    </row>
    <row r="2605">
      <c r="A2605" s="2" t="s">
        <v>3775</v>
      </c>
      <c r="B2605" s="2" t="s">
        <v>3793</v>
      </c>
      <c r="G2605" s="2" t="s">
        <v>3762</v>
      </c>
    </row>
    <row r="2606">
      <c r="A2606" s="2" t="s">
        <v>3775</v>
      </c>
      <c r="B2606" s="2" t="s">
        <v>3794</v>
      </c>
      <c r="G2606" s="2" t="s">
        <v>3762</v>
      </c>
    </row>
    <row r="2607">
      <c r="A2607" s="2" t="s">
        <v>3775</v>
      </c>
      <c r="B2607" s="2" t="s">
        <v>3795</v>
      </c>
      <c r="G2607" s="2" t="s">
        <v>3762</v>
      </c>
    </row>
    <row r="2608">
      <c r="A2608" s="2" t="s">
        <v>3775</v>
      </c>
      <c r="B2608" s="2" t="s">
        <v>3796</v>
      </c>
      <c r="G2608" s="2" t="s">
        <v>3762</v>
      </c>
    </row>
    <row r="2609">
      <c r="A2609" s="2" t="s">
        <v>3775</v>
      </c>
      <c r="B2609" s="2" t="s">
        <v>3797</v>
      </c>
      <c r="G2609" s="2" t="s">
        <v>3762</v>
      </c>
    </row>
    <row r="2610">
      <c r="A2610" s="2" t="s">
        <v>3775</v>
      </c>
      <c r="B2610" s="2" t="s">
        <v>3798</v>
      </c>
      <c r="G2610" s="2" t="s">
        <v>3762</v>
      </c>
    </row>
    <row r="2611">
      <c r="A2611" s="2" t="s">
        <v>3775</v>
      </c>
      <c r="B2611" s="2" t="s">
        <v>3799</v>
      </c>
      <c r="G2611" s="2" t="s">
        <v>3762</v>
      </c>
    </row>
    <row r="2612">
      <c r="A2612" s="2" t="s">
        <v>3775</v>
      </c>
      <c r="B2612" s="2" t="s">
        <v>3800</v>
      </c>
      <c r="G2612" s="2" t="s">
        <v>3762</v>
      </c>
    </row>
    <row r="2613">
      <c r="A2613" s="2" t="s">
        <v>3775</v>
      </c>
      <c r="B2613" s="2" t="s">
        <v>3801</v>
      </c>
      <c r="G2613" s="2" t="s">
        <v>3762</v>
      </c>
    </row>
    <row r="2614">
      <c r="A2614" s="2" t="s">
        <v>3775</v>
      </c>
      <c r="B2614" s="2" t="s">
        <v>3802</v>
      </c>
      <c r="G2614" s="2" t="s">
        <v>3762</v>
      </c>
    </row>
    <row r="2615">
      <c r="A2615" s="2" t="s">
        <v>3775</v>
      </c>
      <c r="B2615" s="2" t="s">
        <v>3803</v>
      </c>
      <c r="G2615" s="2" t="s">
        <v>3762</v>
      </c>
    </row>
    <row r="2616">
      <c r="A2616" s="2" t="s">
        <v>3775</v>
      </c>
      <c r="B2616" s="2" t="s">
        <v>3804</v>
      </c>
      <c r="G2616" s="2" t="s">
        <v>3762</v>
      </c>
    </row>
    <row r="2617">
      <c r="A2617" s="2" t="s">
        <v>3775</v>
      </c>
      <c r="B2617" s="2" t="s">
        <v>3805</v>
      </c>
      <c r="G2617" s="2" t="s">
        <v>3762</v>
      </c>
    </row>
    <row r="2618">
      <c r="A2618" s="2" t="s">
        <v>3775</v>
      </c>
      <c r="B2618" s="2" t="s">
        <v>3806</v>
      </c>
      <c r="G2618" s="2" t="s">
        <v>3762</v>
      </c>
    </row>
    <row r="2619">
      <c r="A2619" s="2" t="s">
        <v>3775</v>
      </c>
      <c r="B2619" s="2" t="s">
        <v>3807</v>
      </c>
      <c r="G2619" s="2" t="s">
        <v>3762</v>
      </c>
    </row>
    <row r="2620">
      <c r="A2620" s="2" t="s">
        <v>3775</v>
      </c>
      <c r="B2620" s="2" t="s">
        <v>3808</v>
      </c>
      <c r="G2620" s="2" t="s">
        <v>3762</v>
      </c>
    </row>
    <row r="2621">
      <c r="A2621" s="2" t="s">
        <v>3775</v>
      </c>
      <c r="B2621" s="2" t="s">
        <v>3809</v>
      </c>
      <c r="G2621" s="2" t="s">
        <v>3762</v>
      </c>
    </row>
    <row r="2622">
      <c r="A2622" s="2" t="s">
        <v>3775</v>
      </c>
      <c r="B2622" s="2" t="s">
        <v>3810</v>
      </c>
      <c r="G2622" s="2" t="s">
        <v>3762</v>
      </c>
    </row>
    <row r="2623">
      <c r="A2623" s="2" t="s">
        <v>3775</v>
      </c>
      <c r="B2623" s="2" t="s">
        <v>3811</v>
      </c>
      <c r="G2623" s="2" t="s">
        <v>3762</v>
      </c>
    </row>
    <row r="2624">
      <c r="A2624" s="2" t="s">
        <v>3775</v>
      </c>
      <c r="B2624" s="2" t="s">
        <v>3812</v>
      </c>
      <c r="G2624" s="2" t="s">
        <v>3762</v>
      </c>
    </row>
    <row r="2625">
      <c r="A2625" s="2" t="s">
        <v>3775</v>
      </c>
      <c r="B2625" s="2" t="s">
        <v>3813</v>
      </c>
      <c r="G2625" s="2" t="s">
        <v>3762</v>
      </c>
    </row>
    <row r="2626">
      <c r="A2626" s="2" t="s">
        <v>3775</v>
      </c>
      <c r="B2626" s="2" t="s">
        <v>3814</v>
      </c>
      <c r="G2626" s="2" t="s">
        <v>3762</v>
      </c>
    </row>
    <row r="2627">
      <c r="A2627" s="2" t="s">
        <v>3775</v>
      </c>
      <c r="B2627" s="2" t="s">
        <v>3815</v>
      </c>
      <c r="G2627" s="2" t="s">
        <v>3762</v>
      </c>
    </row>
    <row r="2628">
      <c r="A2628" s="2" t="s">
        <v>3775</v>
      </c>
      <c r="B2628" s="2" t="s">
        <v>3816</v>
      </c>
      <c r="G2628" s="2" t="s">
        <v>3762</v>
      </c>
    </row>
    <row r="2629">
      <c r="A2629" s="2" t="s">
        <v>3775</v>
      </c>
      <c r="B2629" s="2" t="s">
        <v>3817</v>
      </c>
      <c r="G2629" s="2" t="s">
        <v>3762</v>
      </c>
    </row>
    <row r="2630">
      <c r="A2630" s="2" t="s">
        <v>3775</v>
      </c>
      <c r="B2630" s="2" t="s">
        <v>3818</v>
      </c>
      <c r="G2630" s="2" t="s">
        <v>3762</v>
      </c>
    </row>
    <row r="2631">
      <c r="A2631" s="2" t="s">
        <v>3775</v>
      </c>
      <c r="B2631" s="2" t="s">
        <v>3819</v>
      </c>
      <c r="G2631" s="2" t="s">
        <v>3762</v>
      </c>
    </row>
    <row r="2632">
      <c r="A2632" s="2" t="s">
        <v>3775</v>
      </c>
      <c r="B2632" s="2" t="s">
        <v>3820</v>
      </c>
      <c r="G2632" s="2" t="s">
        <v>3762</v>
      </c>
    </row>
    <row r="2633">
      <c r="A2633" s="2" t="s">
        <v>3775</v>
      </c>
      <c r="B2633" s="2" t="s">
        <v>3821</v>
      </c>
      <c r="G2633" s="2" t="s">
        <v>3762</v>
      </c>
    </row>
    <row r="2634">
      <c r="A2634" s="2" t="s">
        <v>3775</v>
      </c>
      <c r="B2634" s="2" t="s">
        <v>3822</v>
      </c>
      <c r="G2634" s="2" t="s">
        <v>3762</v>
      </c>
    </row>
    <row r="2635">
      <c r="A2635" s="2" t="s">
        <v>3775</v>
      </c>
      <c r="B2635" s="2" t="s">
        <v>3823</v>
      </c>
      <c r="G2635" s="2" t="s">
        <v>3762</v>
      </c>
    </row>
    <row r="2636">
      <c r="A2636" s="2" t="s">
        <v>3775</v>
      </c>
      <c r="B2636" s="2" t="s">
        <v>3824</v>
      </c>
      <c r="G2636" s="2" t="s">
        <v>3762</v>
      </c>
    </row>
    <row r="2637">
      <c r="A2637" s="2" t="s">
        <v>3775</v>
      </c>
      <c r="B2637" s="2" t="s">
        <v>3825</v>
      </c>
      <c r="G2637" s="2" t="s">
        <v>3762</v>
      </c>
    </row>
    <row r="2638">
      <c r="A2638" s="2" t="s">
        <v>3775</v>
      </c>
      <c r="B2638" s="2" t="s">
        <v>3826</v>
      </c>
      <c r="G2638" s="2" t="s">
        <v>3762</v>
      </c>
    </row>
    <row r="2639">
      <c r="A2639" s="2" t="s">
        <v>3775</v>
      </c>
      <c r="B2639" s="2" t="s">
        <v>3827</v>
      </c>
      <c r="G2639" s="2" t="s">
        <v>3762</v>
      </c>
    </row>
    <row r="2640">
      <c r="A2640" s="2" t="s">
        <v>3775</v>
      </c>
      <c r="B2640" s="2" t="s">
        <v>3828</v>
      </c>
      <c r="G2640" s="2" t="s">
        <v>3762</v>
      </c>
    </row>
    <row r="2641">
      <c r="A2641" s="2" t="s">
        <v>3775</v>
      </c>
      <c r="B2641" s="2" t="s">
        <v>3829</v>
      </c>
      <c r="G2641" s="2" t="s">
        <v>3762</v>
      </c>
    </row>
    <row r="2642">
      <c r="A2642" s="2" t="s">
        <v>3775</v>
      </c>
      <c r="B2642" s="2" t="s">
        <v>3830</v>
      </c>
      <c r="G2642" s="2" t="s">
        <v>3762</v>
      </c>
    </row>
    <row r="2643">
      <c r="A2643" s="2" t="s">
        <v>3775</v>
      </c>
      <c r="B2643" s="2" t="s">
        <v>3831</v>
      </c>
      <c r="G2643" s="2" t="s">
        <v>3762</v>
      </c>
    </row>
    <row r="2644">
      <c r="A2644" s="2" t="s">
        <v>3775</v>
      </c>
      <c r="B2644" s="2" t="s">
        <v>3832</v>
      </c>
      <c r="G2644" s="2" t="s">
        <v>3762</v>
      </c>
    </row>
    <row r="2645">
      <c r="A2645" s="2" t="s">
        <v>3775</v>
      </c>
      <c r="B2645" s="2" t="s">
        <v>3833</v>
      </c>
      <c r="G2645" s="2" t="s">
        <v>3762</v>
      </c>
    </row>
    <row r="2646">
      <c r="A2646" s="2" t="s">
        <v>3775</v>
      </c>
      <c r="B2646" s="2" t="s">
        <v>3834</v>
      </c>
      <c r="G2646" s="2" t="s">
        <v>3762</v>
      </c>
    </row>
    <row r="2647">
      <c r="A2647" s="2" t="s">
        <v>3775</v>
      </c>
      <c r="B2647" s="2" t="s">
        <v>3835</v>
      </c>
      <c r="G2647" s="2" t="s">
        <v>3762</v>
      </c>
    </row>
    <row r="2648">
      <c r="A2648" s="2" t="s">
        <v>3775</v>
      </c>
      <c r="B2648" s="2" t="s">
        <v>3836</v>
      </c>
      <c r="G2648" s="2" t="s">
        <v>3762</v>
      </c>
    </row>
    <row r="2649">
      <c r="A2649" s="2" t="s">
        <v>3775</v>
      </c>
      <c r="B2649" s="2" t="s">
        <v>3837</v>
      </c>
      <c r="G2649" s="2" t="s">
        <v>3762</v>
      </c>
    </row>
    <row r="2650">
      <c r="A2650" s="2" t="s">
        <v>3775</v>
      </c>
      <c r="B2650" s="2" t="s">
        <v>3838</v>
      </c>
      <c r="G2650" s="2" t="s">
        <v>3762</v>
      </c>
    </row>
    <row r="2651">
      <c r="A2651" s="2" t="s">
        <v>3775</v>
      </c>
      <c r="B2651" s="2" t="s">
        <v>3839</v>
      </c>
      <c r="G2651" s="2" t="s">
        <v>3762</v>
      </c>
    </row>
    <row r="2652">
      <c r="A2652" s="2" t="s">
        <v>3775</v>
      </c>
      <c r="B2652" s="2" t="s">
        <v>3840</v>
      </c>
      <c r="G2652" s="2" t="s">
        <v>3762</v>
      </c>
    </row>
    <row r="2653">
      <c r="A2653" s="2" t="s">
        <v>3775</v>
      </c>
      <c r="B2653" s="2" t="s">
        <v>3841</v>
      </c>
      <c r="G2653" s="2" t="s">
        <v>3762</v>
      </c>
    </row>
    <row r="2654">
      <c r="A2654" s="2" t="s">
        <v>3775</v>
      </c>
      <c r="B2654" s="2" t="s">
        <v>3842</v>
      </c>
      <c r="G2654" s="2" t="s">
        <v>3762</v>
      </c>
    </row>
    <row r="2655">
      <c r="A2655" s="2" t="s">
        <v>3775</v>
      </c>
      <c r="B2655" s="2" t="s">
        <v>3843</v>
      </c>
      <c r="G2655" s="2" t="s">
        <v>3762</v>
      </c>
    </row>
    <row r="2656">
      <c r="A2656" s="2" t="s">
        <v>3775</v>
      </c>
      <c r="B2656" s="2" t="s">
        <v>3844</v>
      </c>
      <c r="G2656" s="2" t="s">
        <v>3762</v>
      </c>
    </row>
    <row r="2657">
      <c r="A2657" s="2" t="s">
        <v>3775</v>
      </c>
      <c r="B2657" s="2" t="s">
        <v>3845</v>
      </c>
      <c r="G2657" s="2" t="s">
        <v>3762</v>
      </c>
    </row>
    <row r="2658">
      <c r="A2658" s="2" t="s">
        <v>3775</v>
      </c>
      <c r="B2658" s="2" t="s">
        <v>3846</v>
      </c>
      <c r="G2658" s="2" t="s">
        <v>3762</v>
      </c>
    </row>
    <row r="2659">
      <c r="A2659" s="2" t="s">
        <v>3775</v>
      </c>
      <c r="B2659" s="2" t="s">
        <v>3847</v>
      </c>
      <c r="G2659" s="2" t="s">
        <v>3762</v>
      </c>
    </row>
    <row r="2660">
      <c r="A2660" s="2" t="s">
        <v>3775</v>
      </c>
      <c r="B2660" s="2" t="s">
        <v>3848</v>
      </c>
      <c r="G2660" s="2" t="s">
        <v>3762</v>
      </c>
    </row>
    <row r="2661">
      <c r="A2661" s="2" t="s">
        <v>3775</v>
      </c>
      <c r="B2661" s="2" t="s">
        <v>3849</v>
      </c>
      <c r="G2661" s="2" t="s">
        <v>3762</v>
      </c>
    </row>
    <row r="2662">
      <c r="A2662" s="2" t="s">
        <v>3775</v>
      </c>
      <c r="B2662" s="2" t="s">
        <v>3850</v>
      </c>
      <c r="G2662" s="2" t="s">
        <v>3762</v>
      </c>
    </row>
    <row r="2663">
      <c r="A2663" s="2" t="s">
        <v>3775</v>
      </c>
      <c r="B2663" s="2" t="s">
        <v>3851</v>
      </c>
      <c r="G2663" s="2" t="s">
        <v>3762</v>
      </c>
    </row>
    <row r="2664">
      <c r="A2664" s="2" t="s">
        <v>3775</v>
      </c>
      <c r="B2664" s="2" t="s">
        <v>3852</v>
      </c>
      <c r="G2664" s="2" t="s">
        <v>3762</v>
      </c>
    </row>
    <row r="2665">
      <c r="A2665" s="2" t="s">
        <v>3775</v>
      </c>
      <c r="B2665" s="2" t="s">
        <v>3853</v>
      </c>
      <c r="G2665" s="2" t="s">
        <v>3762</v>
      </c>
    </row>
    <row r="2666">
      <c r="A2666" s="2" t="s">
        <v>3775</v>
      </c>
      <c r="B2666" s="2" t="s">
        <v>3854</v>
      </c>
      <c r="G2666" s="2" t="s">
        <v>3762</v>
      </c>
    </row>
    <row r="2667">
      <c r="A2667" s="2" t="s">
        <v>3775</v>
      </c>
      <c r="B2667" s="2" t="s">
        <v>3855</v>
      </c>
      <c r="G2667" s="2" t="s">
        <v>3762</v>
      </c>
    </row>
    <row r="2668">
      <c r="A2668" s="2" t="s">
        <v>3775</v>
      </c>
      <c r="B2668" s="2" t="s">
        <v>3856</v>
      </c>
      <c r="G2668" s="2" t="s">
        <v>3762</v>
      </c>
    </row>
    <row r="2669">
      <c r="A2669" s="2" t="s">
        <v>3775</v>
      </c>
      <c r="B2669" s="2" t="s">
        <v>3857</v>
      </c>
      <c r="G2669" s="2" t="s">
        <v>3762</v>
      </c>
    </row>
    <row r="2670">
      <c r="A2670" s="2" t="s">
        <v>3775</v>
      </c>
      <c r="B2670" s="2" t="s">
        <v>3858</v>
      </c>
      <c r="G2670" s="2" t="s">
        <v>3762</v>
      </c>
    </row>
    <row r="2671">
      <c r="A2671" s="2" t="s">
        <v>3775</v>
      </c>
      <c r="B2671" s="2" t="s">
        <v>3859</v>
      </c>
      <c r="G2671" s="2" t="s">
        <v>3762</v>
      </c>
    </row>
    <row r="2672">
      <c r="A2672" s="2" t="s">
        <v>3775</v>
      </c>
      <c r="B2672" s="2" t="s">
        <v>3860</v>
      </c>
      <c r="G2672" s="2" t="s">
        <v>3762</v>
      </c>
    </row>
    <row r="2673">
      <c r="A2673" s="2" t="s">
        <v>3775</v>
      </c>
      <c r="B2673" s="2" t="s">
        <v>3861</v>
      </c>
      <c r="G2673" s="2" t="s">
        <v>3762</v>
      </c>
    </row>
    <row r="2674">
      <c r="A2674" s="2" t="s">
        <v>3862</v>
      </c>
      <c r="B2674" s="2" t="s">
        <v>3863</v>
      </c>
      <c r="G2674" s="2" t="s">
        <v>3864</v>
      </c>
    </row>
    <row r="2675">
      <c r="A2675" s="2" t="s">
        <v>3862</v>
      </c>
      <c r="B2675" s="2" t="s">
        <v>3865</v>
      </c>
      <c r="G2675" s="2" t="s">
        <v>3864</v>
      </c>
    </row>
    <row r="2676">
      <c r="A2676" s="2" t="s">
        <v>3862</v>
      </c>
      <c r="B2676" s="2" t="s">
        <v>3866</v>
      </c>
      <c r="G2676" s="2" t="s">
        <v>3864</v>
      </c>
    </row>
    <row r="2677">
      <c r="A2677" s="2" t="s">
        <v>3862</v>
      </c>
      <c r="B2677" s="2" t="s">
        <v>3867</v>
      </c>
      <c r="G2677" s="2" t="s">
        <v>3864</v>
      </c>
    </row>
    <row r="2678">
      <c r="A2678" s="2" t="s">
        <v>3862</v>
      </c>
      <c r="B2678" s="2" t="s">
        <v>3868</v>
      </c>
      <c r="G2678" s="2" t="s">
        <v>3864</v>
      </c>
    </row>
    <row r="2679">
      <c r="A2679" s="2" t="s">
        <v>3862</v>
      </c>
      <c r="B2679" s="2" t="s">
        <v>3869</v>
      </c>
      <c r="G2679" s="2" t="s">
        <v>3864</v>
      </c>
    </row>
    <row r="2680">
      <c r="A2680" s="2" t="s">
        <v>3862</v>
      </c>
      <c r="B2680" s="2" t="s">
        <v>3870</v>
      </c>
      <c r="G2680" s="2" t="s">
        <v>3864</v>
      </c>
    </row>
    <row r="2681">
      <c r="A2681" s="2" t="s">
        <v>3862</v>
      </c>
      <c r="B2681" s="2" t="s">
        <v>3871</v>
      </c>
      <c r="G2681" s="2" t="s">
        <v>3864</v>
      </c>
    </row>
    <row r="2682">
      <c r="A2682" s="2" t="s">
        <v>3872</v>
      </c>
      <c r="B2682" s="2" t="s">
        <v>3873</v>
      </c>
      <c r="G2682" s="2" t="s">
        <v>3864</v>
      </c>
    </row>
    <row r="2683">
      <c r="A2683" s="2" t="s">
        <v>3872</v>
      </c>
      <c r="B2683" s="2" t="s">
        <v>3874</v>
      </c>
      <c r="G2683" s="2" t="s">
        <v>3864</v>
      </c>
    </row>
    <row r="2684">
      <c r="A2684" s="2" t="s">
        <v>3872</v>
      </c>
      <c r="B2684" s="2" t="s">
        <v>3866</v>
      </c>
      <c r="G2684" s="2" t="s">
        <v>3864</v>
      </c>
    </row>
    <row r="2685">
      <c r="A2685" s="2" t="s">
        <v>3875</v>
      </c>
      <c r="B2685" s="2" t="s">
        <v>3876</v>
      </c>
      <c r="D2685" s="2" t="s">
        <v>3877</v>
      </c>
    </row>
    <row r="2686">
      <c r="A2686" s="2" t="s">
        <v>3875</v>
      </c>
      <c r="B2686" s="2" t="s">
        <v>3878</v>
      </c>
      <c r="D2686" s="2" t="s">
        <v>3877</v>
      </c>
    </row>
    <row r="2687">
      <c r="A2687" s="2" t="s">
        <v>3875</v>
      </c>
      <c r="B2687" s="2" t="s">
        <v>3879</v>
      </c>
      <c r="D2687" s="2" t="s">
        <v>3877</v>
      </c>
    </row>
    <row r="2688">
      <c r="A2688" s="2" t="s">
        <v>3875</v>
      </c>
      <c r="B2688" s="2" t="s">
        <v>3880</v>
      </c>
      <c r="D2688" s="2" t="s">
        <v>3877</v>
      </c>
    </row>
    <row r="2689">
      <c r="A2689" s="2" t="s">
        <v>3881</v>
      </c>
      <c r="B2689" s="2" t="s">
        <v>3882</v>
      </c>
      <c r="G2689" s="2" t="s">
        <v>3883</v>
      </c>
    </row>
    <row r="2690">
      <c r="A2690" s="2" t="s">
        <v>3881</v>
      </c>
      <c r="B2690" s="2" t="s">
        <v>3884</v>
      </c>
      <c r="G2690" s="2" t="s">
        <v>3883</v>
      </c>
    </row>
    <row r="2691">
      <c r="A2691" s="2" t="s">
        <v>3885</v>
      </c>
      <c r="B2691" s="2" t="s">
        <v>3886</v>
      </c>
      <c r="I2691" s="2" t="s">
        <v>3887</v>
      </c>
    </row>
    <row r="2692">
      <c r="A2692" s="2" t="s">
        <v>3888</v>
      </c>
      <c r="B2692" s="2" t="s">
        <v>3889</v>
      </c>
      <c r="G2692" s="2" t="s">
        <v>3890</v>
      </c>
      <c r="H2692" s="2" t="s">
        <v>3891</v>
      </c>
    </row>
    <row r="2693">
      <c r="A2693" s="2" t="s">
        <v>3888</v>
      </c>
      <c r="B2693" s="2" t="s">
        <v>3892</v>
      </c>
      <c r="G2693" s="2" t="s">
        <v>3890</v>
      </c>
      <c r="H2693" s="2" t="s">
        <v>3891</v>
      </c>
    </row>
    <row r="2694">
      <c r="A2694" s="2" t="s">
        <v>3888</v>
      </c>
      <c r="B2694" s="2" t="s">
        <v>3893</v>
      </c>
      <c r="G2694" s="2" t="s">
        <v>3890</v>
      </c>
      <c r="H2694" s="2" t="s">
        <v>3891</v>
      </c>
    </row>
    <row r="2695">
      <c r="A2695" s="2" t="s">
        <v>3888</v>
      </c>
      <c r="B2695" s="2" t="s">
        <v>3894</v>
      </c>
      <c r="G2695" s="2" t="s">
        <v>3890</v>
      </c>
      <c r="H2695" s="2" t="s">
        <v>3891</v>
      </c>
    </row>
    <row r="2696">
      <c r="A2696" s="2" t="s">
        <v>3888</v>
      </c>
      <c r="B2696" s="2" t="s">
        <v>3895</v>
      </c>
      <c r="G2696" s="2" t="s">
        <v>3890</v>
      </c>
      <c r="H2696" s="2" t="s">
        <v>3891</v>
      </c>
    </row>
    <row r="2697">
      <c r="A2697" s="2" t="s">
        <v>3888</v>
      </c>
      <c r="B2697" s="2" t="s">
        <v>3896</v>
      </c>
      <c r="G2697" s="2" t="s">
        <v>3890</v>
      </c>
      <c r="H2697" s="2" t="s">
        <v>3891</v>
      </c>
    </row>
    <row r="2698">
      <c r="A2698" s="2" t="s">
        <v>3888</v>
      </c>
      <c r="B2698" s="2" t="s">
        <v>3897</v>
      </c>
      <c r="G2698" s="2" t="s">
        <v>3890</v>
      </c>
      <c r="H2698" s="2" t="s">
        <v>3891</v>
      </c>
    </row>
    <row r="2699">
      <c r="A2699" s="2" t="s">
        <v>3888</v>
      </c>
      <c r="B2699" s="2" t="s">
        <v>3898</v>
      </c>
      <c r="G2699" s="2" t="s">
        <v>3890</v>
      </c>
      <c r="H2699" s="2" t="s">
        <v>3891</v>
      </c>
    </row>
    <row r="2700">
      <c r="A2700" s="2" t="s">
        <v>3888</v>
      </c>
      <c r="B2700" s="163" t="s">
        <v>3899</v>
      </c>
      <c r="G2700" s="2" t="s">
        <v>3890</v>
      </c>
      <c r="H2700" s="2" t="s">
        <v>3891</v>
      </c>
    </row>
    <row r="2701">
      <c r="A2701" s="2" t="s">
        <v>3888</v>
      </c>
      <c r="B2701" s="163" t="s">
        <v>3900</v>
      </c>
      <c r="G2701" s="2" t="s">
        <v>3890</v>
      </c>
      <c r="H2701" s="2" t="s">
        <v>3891</v>
      </c>
    </row>
    <row r="2702">
      <c r="A2702" s="64" t="s">
        <v>3901</v>
      </c>
      <c r="B2702" s="2" t="s">
        <v>3902</v>
      </c>
      <c r="C2702" s="2" t="s">
        <v>3903</v>
      </c>
      <c r="D2702" s="2" t="s">
        <v>3904</v>
      </c>
    </row>
    <row r="2703">
      <c r="A2703" s="64" t="s">
        <v>3901</v>
      </c>
      <c r="B2703" s="2" t="s">
        <v>3905</v>
      </c>
      <c r="C2703" s="2" t="s">
        <v>3903</v>
      </c>
      <c r="D2703" s="2" t="s">
        <v>3904</v>
      </c>
    </row>
    <row r="2704">
      <c r="A2704" s="64" t="s">
        <v>3901</v>
      </c>
      <c r="B2704" s="2" t="s">
        <v>3906</v>
      </c>
      <c r="C2704" s="2" t="s">
        <v>3903</v>
      </c>
      <c r="D2704" s="2" t="s">
        <v>3904</v>
      </c>
    </row>
    <row r="2705">
      <c r="A2705" s="64" t="s">
        <v>3907</v>
      </c>
      <c r="B2705" s="2" t="s">
        <v>3902</v>
      </c>
      <c r="C2705" s="2" t="s">
        <v>3903</v>
      </c>
      <c r="D2705" s="2" t="s">
        <v>3904</v>
      </c>
    </row>
    <row r="2706">
      <c r="A2706" s="2" t="s">
        <v>3908</v>
      </c>
      <c r="B2706" s="2" t="s">
        <v>3909</v>
      </c>
      <c r="D2706" s="2" t="s">
        <v>3910</v>
      </c>
    </row>
    <row r="2707">
      <c r="A2707" s="2" t="s">
        <v>3908</v>
      </c>
      <c r="B2707" s="2" t="s">
        <v>3911</v>
      </c>
      <c r="D2707" s="2" t="s">
        <v>3910</v>
      </c>
    </row>
    <row r="2708">
      <c r="A2708" s="2" t="s">
        <v>3908</v>
      </c>
      <c r="B2708" s="2" t="s">
        <v>3912</v>
      </c>
      <c r="D2708" s="2" t="s">
        <v>3910</v>
      </c>
    </row>
    <row r="2709">
      <c r="A2709" s="2" t="s">
        <v>3908</v>
      </c>
      <c r="B2709" s="2" t="s">
        <v>3913</v>
      </c>
      <c r="D2709" s="2" t="s">
        <v>3910</v>
      </c>
    </row>
    <row r="2710">
      <c r="A2710" s="2" t="s">
        <v>3908</v>
      </c>
      <c r="B2710" s="2" t="s">
        <v>3914</v>
      </c>
      <c r="D2710" s="2" t="s">
        <v>3910</v>
      </c>
    </row>
    <row r="2711">
      <c r="A2711" s="2" t="s">
        <v>3908</v>
      </c>
      <c r="B2711" s="2" t="s">
        <v>3915</v>
      </c>
      <c r="D2711" s="2" t="s">
        <v>3910</v>
      </c>
    </row>
    <row r="2712">
      <c r="A2712" s="2" t="s">
        <v>3908</v>
      </c>
      <c r="B2712" s="2" t="s">
        <v>3916</v>
      </c>
      <c r="D2712" s="2" t="s">
        <v>3910</v>
      </c>
    </row>
    <row r="2713">
      <c r="A2713" s="2" t="s">
        <v>3908</v>
      </c>
      <c r="B2713" s="2" t="s">
        <v>3917</v>
      </c>
      <c r="G2713" s="2" t="s">
        <v>3918</v>
      </c>
    </row>
    <row r="2714">
      <c r="A2714" s="2" t="s">
        <v>3919</v>
      </c>
      <c r="B2714" s="2" t="s">
        <v>3920</v>
      </c>
      <c r="D2714" s="2" t="s">
        <v>3910</v>
      </c>
    </row>
    <row r="2715">
      <c r="A2715" s="2" t="s">
        <v>3921</v>
      </c>
      <c r="B2715" s="2" t="s">
        <v>3922</v>
      </c>
      <c r="D2715" s="2" t="s">
        <v>3910</v>
      </c>
    </row>
    <row r="2716">
      <c r="A2716" s="2" t="s">
        <v>3921</v>
      </c>
      <c r="B2716" s="2" t="s">
        <v>3924</v>
      </c>
      <c r="D2716" s="2" t="s">
        <v>3910</v>
      </c>
    </row>
    <row r="2717">
      <c r="A2717" s="2" t="s">
        <v>3921</v>
      </c>
      <c r="B2717" s="2" t="s">
        <v>3925</v>
      </c>
      <c r="D2717" s="2" t="s">
        <v>3910</v>
      </c>
    </row>
    <row r="2718">
      <c r="A2718" s="2" t="s">
        <v>3921</v>
      </c>
      <c r="B2718" s="2" t="s">
        <v>3926</v>
      </c>
      <c r="D2718" s="2" t="s">
        <v>3910</v>
      </c>
    </row>
    <row r="2719">
      <c r="A2719" s="2" t="s">
        <v>3921</v>
      </c>
      <c r="B2719" s="2" t="s">
        <v>3927</v>
      </c>
      <c r="D2719" s="2" t="s">
        <v>3910</v>
      </c>
    </row>
    <row r="2720">
      <c r="A2720" s="2" t="s">
        <v>3921</v>
      </c>
      <c r="B2720" s="2" t="s">
        <v>3928</v>
      </c>
      <c r="D2720" s="2" t="s">
        <v>3910</v>
      </c>
    </row>
    <row r="2721">
      <c r="A2721" s="2" t="s">
        <v>3921</v>
      </c>
      <c r="B2721" s="2" t="s">
        <v>3929</v>
      </c>
      <c r="D2721" s="2" t="s">
        <v>3910</v>
      </c>
    </row>
    <row r="2722">
      <c r="A2722" s="2" t="s">
        <v>3921</v>
      </c>
      <c r="B2722" s="2" t="s">
        <v>3930</v>
      </c>
      <c r="D2722" s="2" t="s">
        <v>3910</v>
      </c>
    </row>
    <row r="2723">
      <c r="A2723" s="2" t="s">
        <v>3921</v>
      </c>
      <c r="B2723" s="2" t="s">
        <v>3931</v>
      </c>
      <c r="D2723" s="2" t="s">
        <v>3910</v>
      </c>
    </row>
    <row r="2724">
      <c r="A2724" s="2" t="s">
        <v>3921</v>
      </c>
      <c r="B2724" s="2" t="s">
        <v>3932</v>
      </c>
      <c r="D2724" s="2" t="s">
        <v>3910</v>
      </c>
    </row>
    <row r="2725">
      <c r="A2725" s="2" t="s">
        <v>3921</v>
      </c>
      <c r="B2725" s="2" t="s">
        <v>3933</v>
      </c>
      <c r="D2725" s="2" t="s">
        <v>3910</v>
      </c>
    </row>
    <row r="2726">
      <c r="A2726" s="2" t="s">
        <v>3921</v>
      </c>
      <c r="B2726" s="2" t="s">
        <v>3934</v>
      </c>
      <c r="D2726" s="2" t="s">
        <v>3910</v>
      </c>
    </row>
    <row r="2727">
      <c r="A2727" s="2" t="s">
        <v>3921</v>
      </c>
      <c r="B2727" s="2" t="s">
        <v>3935</v>
      </c>
      <c r="D2727" s="2" t="s">
        <v>3910</v>
      </c>
    </row>
    <row r="2728">
      <c r="A2728" s="2" t="s">
        <v>3921</v>
      </c>
      <c r="B2728" s="2" t="s">
        <v>3936</v>
      </c>
      <c r="D2728" s="2" t="s">
        <v>3910</v>
      </c>
    </row>
    <row r="2729">
      <c r="A2729" s="2" t="s">
        <v>3921</v>
      </c>
      <c r="B2729" s="2" t="s">
        <v>3937</v>
      </c>
      <c r="D2729" s="2" t="s">
        <v>3910</v>
      </c>
    </row>
    <row r="2730">
      <c r="A2730" s="2" t="s">
        <v>3921</v>
      </c>
      <c r="B2730" s="2" t="s">
        <v>3938</v>
      </c>
      <c r="D2730" s="2" t="s">
        <v>3910</v>
      </c>
    </row>
    <row r="2731">
      <c r="A2731" s="2" t="s">
        <v>3921</v>
      </c>
      <c r="B2731" s="2" t="s">
        <v>3939</v>
      </c>
      <c r="D2731" s="2" t="s">
        <v>3910</v>
      </c>
    </row>
    <row r="2732">
      <c r="A2732" s="2" t="s">
        <v>3921</v>
      </c>
      <c r="B2732" s="2" t="s">
        <v>3940</v>
      </c>
      <c r="D2732" s="2" t="s">
        <v>3910</v>
      </c>
    </row>
    <row r="2733">
      <c r="A2733" s="2" t="s">
        <v>3921</v>
      </c>
      <c r="B2733" s="2" t="s">
        <v>3941</v>
      </c>
      <c r="D2733" s="2" t="s">
        <v>3910</v>
      </c>
    </row>
    <row r="2734">
      <c r="A2734" s="2" t="s">
        <v>3921</v>
      </c>
      <c r="B2734" s="2" t="s">
        <v>3942</v>
      </c>
      <c r="D2734" s="2" t="s">
        <v>3910</v>
      </c>
    </row>
    <row r="2735">
      <c r="A2735" s="2" t="s">
        <v>3921</v>
      </c>
      <c r="B2735" s="2" t="s">
        <v>3943</v>
      </c>
      <c r="D2735" s="2" t="s">
        <v>3910</v>
      </c>
    </row>
    <row r="2736">
      <c r="A2736" s="2" t="s">
        <v>3921</v>
      </c>
      <c r="B2736" s="2" t="s">
        <v>3944</v>
      </c>
      <c r="D2736" s="2" t="s">
        <v>3910</v>
      </c>
    </row>
    <row r="2737">
      <c r="A2737" s="2" t="s">
        <v>3921</v>
      </c>
      <c r="B2737" s="2" t="s">
        <v>3945</v>
      </c>
      <c r="D2737" s="2" t="s">
        <v>3910</v>
      </c>
    </row>
    <row r="2738">
      <c r="A2738" s="2" t="s">
        <v>3921</v>
      </c>
      <c r="B2738" s="2" t="s">
        <v>3946</v>
      </c>
      <c r="D2738" s="2" t="s">
        <v>3910</v>
      </c>
    </row>
    <row r="2739">
      <c r="A2739" s="2" t="s">
        <v>3921</v>
      </c>
      <c r="B2739" s="2" t="s">
        <v>3947</v>
      </c>
      <c r="D2739" s="2" t="s">
        <v>3910</v>
      </c>
    </row>
    <row r="2740">
      <c r="A2740" s="2" t="s">
        <v>3921</v>
      </c>
      <c r="B2740" s="2" t="s">
        <v>3948</v>
      </c>
      <c r="D2740" s="2" t="s">
        <v>3910</v>
      </c>
    </row>
    <row r="2741">
      <c r="A2741" s="2" t="s">
        <v>3921</v>
      </c>
      <c r="B2741" s="2" t="s">
        <v>3949</v>
      </c>
      <c r="D2741" s="2" t="s">
        <v>3910</v>
      </c>
    </row>
    <row r="2742">
      <c r="A2742" s="2" t="s">
        <v>3921</v>
      </c>
      <c r="B2742" s="2" t="s">
        <v>3922</v>
      </c>
      <c r="G2742" s="2" t="s">
        <v>3918</v>
      </c>
    </row>
    <row r="2743">
      <c r="A2743" s="2" t="s">
        <v>3921</v>
      </c>
      <c r="B2743" s="2" t="s">
        <v>3924</v>
      </c>
      <c r="G2743" s="2" t="s">
        <v>3918</v>
      </c>
    </row>
    <row r="2744">
      <c r="A2744" s="2" t="s">
        <v>3921</v>
      </c>
      <c r="B2744" s="2" t="s">
        <v>3925</v>
      </c>
      <c r="G2744" s="2" t="s">
        <v>3918</v>
      </c>
    </row>
    <row r="2745">
      <c r="A2745" s="2" t="s">
        <v>3921</v>
      </c>
      <c r="B2745" s="2" t="s">
        <v>3950</v>
      </c>
      <c r="G2745" s="2" t="s">
        <v>3918</v>
      </c>
    </row>
    <row r="2746">
      <c r="A2746" s="2" t="s">
        <v>3921</v>
      </c>
      <c r="B2746" s="2" t="s">
        <v>3927</v>
      </c>
      <c r="G2746" s="2" t="s">
        <v>3918</v>
      </c>
    </row>
    <row r="2747">
      <c r="A2747" s="2" t="s">
        <v>3921</v>
      </c>
      <c r="B2747" s="2" t="s">
        <v>3951</v>
      </c>
      <c r="G2747" s="2" t="s">
        <v>3918</v>
      </c>
    </row>
    <row r="2748">
      <c r="A2748" s="2" t="s">
        <v>3921</v>
      </c>
      <c r="B2748" s="2" t="s">
        <v>3929</v>
      </c>
      <c r="G2748" s="2" t="s">
        <v>3918</v>
      </c>
    </row>
    <row r="2749">
      <c r="A2749" s="2" t="s">
        <v>3921</v>
      </c>
      <c r="B2749" s="2" t="s">
        <v>3952</v>
      </c>
      <c r="G2749" s="2" t="s">
        <v>3918</v>
      </c>
    </row>
    <row r="2750">
      <c r="A2750" s="2" t="s">
        <v>3921</v>
      </c>
      <c r="B2750" s="2" t="s">
        <v>3909</v>
      </c>
      <c r="G2750" s="2" t="s">
        <v>3918</v>
      </c>
    </row>
    <row r="2751">
      <c r="A2751" s="2" t="s">
        <v>3921</v>
      </c>
      <c r="B2751" s="2" t="s">
        <v>3931</v>
      </c>
      <c r="G2751" s="2" t="s">
        <v>3918</v>
      </c>
    </row>
    <row r="2752">
      <c r="A2752" s="2" t="s">
        <v>3921</v>
      </c>
      <c r="B2752" s="2" t="s">
        <v>3938</v>
      </c>
      <c r="G2752" s="2" t="s">
        <v>3918</v>
      </c>
    </row>
    <row r="2753">
      <c r="A2753" s="2" t="s">
        <v>3921</v>
      </c>
      <c r="B2753" s="2" t="s">
        <v>3939</v>
      </c>
      <c r="G2753" s="2" t="s">
        <v>3918</v>
      </c>
    </row>
    <row r="2754">
      <c r="A2754" s="2" t="s">
        <v>3921</v>
      </c>
      <c r="B2754" s="2" t="s">
        <v>3953</v>
      </c>
      <c r="G2754" s="2" t="s">
        <v>3918</v>
      </c>
    </row>
    <row r="2755">
      <c r="A2755" s="2" t="s">
        <v>3921</v>
      </c>
      <c r="B2755" s="2" t="s">
        <v>3932</v>
      </c>
      <c r="G2755" s="2" t="s">
        <v>3918</v>
      </c>
    </row>
    <row r="2756">
      <c r="A2756" s="2" t="s">
        <v>3921</v>
      </c>
      <c r="B2756" s="2" t="s">
        <v>3934</v>
      </c>
      <c r="G2756" s="2" t="s">
        <v>3918</v>
      </c>
    </row>
    <row r="2757">
      <c r="A2757" s="2" t="s">
        <v>3921</v>
      </c>
      <c r="B2757" s="2" t="s">
        <v>3954</v>
      </c>
      <c r="G2757" s="2" t="s">
        <v>3918</v>
      </c>
    </row>
    <row r="2758">
      <c r="A2758" s="2" t="s">
        <v>3921</v>
      </c>
      <c r="B2758" s="2" t="s">
        <v>3936</v>
      </c>
      <c r="G2758" s="2" t="s">
        <v>3918</v>
      </c>
    </row>
    <row r="2759">
      <c r="A2759" s="2" t="s">
        <v>3921</v>
      </c>
      <c r="B2759" s="2" t="s">
        <v>3942</v>
      </c>
      <c r="G2759" s="2" t="s">
        <v>3918</v>
      </c>
    </row>
    <row r="2760">
      <c r="A2760" s="2" t="s">
        <v>3921</v>
      </c>
      <c r="B2760" s="2" t="s">
        <v>3912</v>
      </c>
      <c r="G2760" s="2" t="s">
        <v>3918</v>
      </c>
    </row>
    <row r="2761">
      <c r="A2761" s="2" t="s">
        <v>3921</v>
      </c>
      <c r="B2761" s="2" t="s">
        <v>3955</v>
      </c>
      <c r="G2761" s="2" t="s">
        <v>3918</v>
      </c>
    </row>
    <row r="2762">
      <c r="A2762" s="2" t="s">
        <v>3921</v>
      </c>
      <c r="B2762" s="2" t="s">
        <v>3913</v>
      </c>
      <c r="G2762" s="2" t="s">
        <v>3918</v>
      </c>
    </row>
    <row r="2763">
      <c r="A2763" s="2" t="s">
        <v>3921</v>
      </c>
      <c r="B2763" s="2" t="s">
        <v>3943</v>
      </c>
      <c r="G2763" s="2" t="s">
        <v>3918</v>
      </c>
    </row>
    <row r="2764">
      <c r="A2764" s="2" t="s">
        <v>3921</v>
      </c>
      <c r="B2764" s="2" t="s">
        <v>3944</v>
      </c>
      <c r="G2764" s="2" t="s">
        <v>3918</v>
      </c>
    </row>
    <row r="2765">
      <c r="A2765" s="2" t="s">
        <v>3921</v>
      </c>
      <c r="B2765" s="2" t="s">
        <v>3945</v>
      </c>
      <c r="G2765" s="2" t="s">
        <v>3918</v>
      </c>
    </row>
    <row r="2766">
      <c r="A2766" s="2" t="s">
        <v>3921</v>
      </c>
      <c r="B2766" s="2" t="s">
        <v>3956</v>
      </c>
      <c r="G2766" s="2" t="s">
        <v>3918</v>
      </c>
    </row>
    <row r="2767">
      <c r="A2767" s="2" t="s">
        <v>3921</v>
      </c>
      <c r="B2767" s="2" t="s">
        <v>3917</v>
      </c>
      <c r="G2767" s="2" t="s">
        <v>3918</v>
      </c>
    </row>
    <row r="2768">
      <c r="A2768" s="2" t="s">
        <v>3921</v>
      </c>
      <c r="B2768" s="2" t="s">
        <v>3920</v>
      </c>
      <c r="G2768" s="2" t="s">
        <v>3918</v>
      </c>
    </row>
    <row r="2769">
      <c r="A2769" s="2" t="s">
        <v>3921</v>
      </c>
      <c r="B2769" s="2" t="s">
        <v>3915</v>
      </c>
      <c r="G2769" s="2" t="s">
        <v>3918</v>
      </c>
    </row>
    <row r="2770">
      <c r="A2770" s="2" t="s">
        <v>3921</v>
      </c>
      <c r="B2770" s="2" t="s">
        <v>3957</v>
      </c>
      <c r="G2770" s="2" t="s">
        <v>3918</v>
      </c>
    </row>
    <row r="2771">
      <c r="A2771" s="2" t="s">
        <v>3921</v>
      </c>
      <c r="B2771" s="2" t="s">
        <v>3916</v>
      </c>
      <c r="G2771" s="2" t="s">
        <v>3918</v>
      </c>
    </row>
    <row r="2772">
      <c r="A2772" s="2" t="s">
        <v>3921</v>
      </c>
      <c r="B2772" s="2" t="s">
        <v>3946</v>
      </c>
      <c r="G2772" s="2" t="s">
        <v>3918</v>
      </c>
    </row>
    <row r="2773">
      <c r="A2773" s="2" t="s">
        <v>3921</v>
      </c>
      <c r="B2773" s="2" t="s">
        <v>3947</v>
      </c>
      <c r="G2773" s="2" t="s">
        <v>3918</v>
      </c>
    </row>
    <row r="2774">
      <c r="A2774" s="2" t="s">
        <v>3921</v>
      </c>
      <c r="B2774" s="2" t="s">
        <v>3948</v>
      </c>
      <c r="G2774" s="2" t="s">
        <v>3918</v>
      </c>
    </row>
    <row r="2775">
      <c r="A2775" s="2" t="s">
        <v>3958</v>
      </c>
      <c r="B2775" s="2" t="s">
        <v>3959</v>
      </c>
      <c r="D2775" s="2" t="s">
        <v>3960</v>
      </c>
    </row>
    <row r="2776">
      <c r="A2776" s="2" t="s">
        <v>3958</v>
      </c>
      <c r="B2776" s="2" t="s">
        <v>3961</v>
      </c>
      <c r="D2776" s="2" t="s">
        <v>3960</v>
      </c>
    </row>
    <row r="2777">
      <c r="A2777" s="2" t="s">
        <v>3958</v>
      </c>
      <c r="B2777" s="2" t="s">
        <v>3962</v>
      </c>
      <c r="D2777" s="2" t="s">
        <v>3960</v>
      </c>
    </row>
    <row r="2778">
      <c r="A2778" s="2" t="s">
        <v>3958</v>
      </c>
      <c r="B2778" s="2" t="s">
        <v>3963</v>
      </c>
      <c r="D2778" s="2" t="s">
        <v>3960</v>
      </c>
    </row>
    <row r="2779">
      <c r="A2779" s="2" t="s">
        <v>3958</v>
      </c>
      <c r="B2779" s="2" t="s">
        <v>3964</v>
      </c>
      <c r="D2779" s="2" t="s">
        <v>3960</v>
      </c>
    </row>
    <row r="2780">
      <c r="A2780" s="2" t="s">
        <v>3958</v>
      </c>
      <c r="B2780" s="2" t="s">
        <v>3965</v>
      </c>
      <c r="D2780" s="2" t="s">
        <v>3960</v>
      </c>
    </row>
    <row r="2781">
      <c r="A2781" s="2" t="s">
        <v>3958</v>
      </c>
      <c r="B2781" s="2" t="s">
        <v>3966</v>
      </c>
      <c r="D2781" s="2" t="s">
        <v>3960</v>
      </c>
    </row>
    <row r="2782">
      <c r="A2782" s="2" t="s">
        <v>3958</v>
      </c>
      <c r="B2782" s="2" t="s">
        <v>3967</v>
      </c>
      <c r="D2782" s="2" t="s">
        <v>3960</v>
      </c>
    </row>
    <row r="2783">
      <c r="A2783" s="2" t="s">
        <v>3958</v>
      </c>
      <c r="B2783" s="2" t="s">
        <v>3968</v>
      </c>
      <c r="D2783" s="2" t="s">
        <v>3960</v>
      </c>
    </row>
    <row r="2784">
      <c r="A2784" s="2" t="s">
        <v>3958</v>
      </c>
      <c r="B2784" s="2" t="s">
        <v>3969</v>
      </c>
      <c r="D2784" s="2" t="s">
        <v>3960</v>
      </c>
    </row>
    <row r="2785">
      <c r="A2785" s="2" t="s">
        <v>3958</v>
      </c>
      <c r="B2785" s="2" t="s">
        <v>3970</v>
      </c>
      <c r="D2785" s="2" t="s">
        <v>3960</v>
      </c>
    </row>
    <row r="2786">
      <c r="A2786" s="64" t="s">
        <v>3971</v>
      </c>
      <c r="B2786" s="2" t="s">
        <v>3972</v>
      </c>
      <c r="G2786" s="2" t="s">
        <v>3973</v>
      </c>
    </row>
    <row r="2787">
      <c r="A2787" s="64" t="s">
        <v>3971</v>
      </c>
      <c r="B2787" s="2" t="s">
        <v>3974</v>
      </c>
      <c r="G2787" s="2" t="s">
        <v>3973</v>
      </c>
    </row>
    <row r="2788">
      <c r="A2788" s="64" t="s">
        <v>3971</v>
      </c>
      <c r="B2788" s="2" t="s">
        <v>3975</v>
      </c>
      <c r="G2788" s="2" t="s">
        <v>3973</v>
      </c>
    </row>
    <row r="2789">
      <c r="A2789" s="64" t="s">
        <v>3971</v>
      </c>
      <c r="B2789" s="2" t="s">
        <v>3976</v>
      </c>
      <c r="G2789" s="2" t="s">
        <v>3973</v>
      </c>
    </row>
    <row r="2790">
      <c r="A2790" s="64" t="s">
        <v>3971</v>
      </c>
      <c r="B2790" s="2" t="s">
        <v>3977</v>
      </c>
      <c r="G2790" s="2" t="s">
        <v>3973</v>
      </c>
    </row>
    <row r="2791">
      <c r="A2791" s="64" t="s">
        <v>3971</v>
      </c>
      <c r="B2791" s="2" t="s">
        <v>3978</v>
      </c>
      <c r="G2791" s="2" t="s">
        <v>3973</v>
      </c>
    </row>
    <row r="2792">
      <c r="A2792" s="2" t="s">
        <v>3979</v>
      </c>
      <c r="B2792" s="2" t="s">
        <v>3980</v>
      </c>
      <c r="G2792" s="2" t="s">
        <v>3973</v>
      </c>
    </row>
    <row r="2793">
      <c r="A2793" s="2" t="s">
        <v>3979</v>
      </c>
      <c r="B2793" s="2" t="s">
        <v>3981</v>
      </c>
      <c r="G2793" s="2" t="s">
        <v>3973</v>
      </c>
    </row>
    <row r="2794">
      <c r="A2794" s="2" t="s">
        <v>3979</v>
      </c>
      <c r="B2794" s="2" t="s">
        <v>3982</v>
      </c>
      <c r="G2794" s="2" t="s">
        <v>3973</v>
      </c>
    </row>
    <row r="2795">
      <c r="A2795" s="2" t="s">
        <v>3979</v>
      </c>
      <c r="B2795" s="2" t="s">
        <v>3983</v>
      </c>
      <c r="G2795" s="2" t="s">
        <v>3973</v>
      </c>
    </row>
    <row r="2796">
      <c r="A2796" s="2" t="s">
        <v>3979</v>
      </c>
      <c r="B2796" s="2" t="s">
        <v>3984</v>
      </c>
      <c r="G2796" s="2" t="s">
        <v>3973</v>
      </c>
    </row>
    <row r="2797">
      <c r="A2797" s="2" t="s">
        <v>3979</v>
      </c>
      <c r="B2797" s="2" t="s">
        <v>3985</v>
      </c>
      <c r="G2797" s="2" t="s">
        <v>3973</v>
      </c>
    </row>
    <row r="2798">
      <c r="A2798" s="2" t="s">
        <v>3979</v>
      </c>
      <c r="B2798" s="2" t="s">
        <v>3986</v>
      </c>
      <c r="G2798" s="2" t="s">
        <v>3973</v>
      </c>
    </row>
    <row r="2799">
      <c r="A2799" s="2" t="s">
        <v>3979</v>
      </c>
      <c r="B2799" s="2" t="s">
        <v>3987</v>
      </c>
      <c r="G2799" s="2" t="s">
        <v>3973</v>
      </c>
    </row>
    <row r="2800">
      <c r="A2800" s="2" t="s">
        <v>3979</v>
      </c>
      <c r="B2800" s="2" t="s">
        <v>3988</v>
      </c>
      <c r="G2800" s="2" t="s">
        <v>3973</v>
      </c>
    </row>
    <row r="2801">
      <c r="A2801" s="2" t="s">
        <v>3979</v>
      </c>
      <c r="B2801" s="2" t="s">
        <v>3989</v>
      </c>
      <c r="G2801" s="2" t="s">
        <v>3973</v>
      </c>
    </row>
    <row r="2802">
      <c r="A2802" s="2" t="s">
        <v>3979</v>
      </c>
      <c r="B2802" s="2" t="s">
        <v>3990</v>
      </c>
      <c r="G2802" s="2" t="s">
        <v>3973</v>
      </c>
    </row>
    <row r="2803">
      <c r="A2803" s="2" t="s">
        <v>3979</v>
      </c>
      <c r="B2803" s="2" t="s">
        <v>3991</v>
      </c>
      <c r="G2803" s="2" t="s">
        <v>3973</v>
      </c>
    </row>
    <row r="2804">
      <c r="A2804" s="2" t="s">
        <v>3979</v>
      </c>
      <c r="B2804" s="2" t="s">
        <v>3992</v>
      </c>
      <c r="G2804" s="2" t="s">
        <v>3973</v>
      </c>
    </row>
    <row r="2805">
      <c r="A2805" s="2" t="s">
        <v>3979</v>
      </c>
      <c r="B2805" s="2" t="s">
        <v>3993</v>
      </c>
      <c r="G2805" s="2" t="s">
        <v>3973</v>
      </c>
    </row>
    <row r="2806">
      <c r="A2806" s="2" t="s">
        <v>3979</v>
      </c>
      <c r="B2806" s="2" t="s">
        <v>3994</v>
      </c>
      <c r="G2806" s="2" t="s">
        <v>3973</v>
      </c>
    </row>
    <row r="2807">
      <c r="A2807" s="2" t="s">
        <v>3979</v>
      </c>
      <c r="B2807" s="2" t="s">
        <v>3995</v>
      </c>
      <c r="G2807" s="2" t="s">
        <v>3973</v>
      </c>
    </row>
    <row r="2808">
      <c r="A2808" s="2" t="s">
        <v>3979</v>
      </c>
      <c r="B2808" s="2" t="s">
        <v>3996</v>
      </c>
      <c r="G2808" s="2" t="s">
        <v>3973</v>
      </c>
    </row>
    <row r="2809">
      <c r="A2809" s="2" t="s">
        <v>3979</v>
      </c>
      <c r="B2809" s="2" t="s">
        <v>3997</v>
      </c>
      <c r="G2809" s="2" t="s">
        <v>3973</v>
      </c>
    </row>
    <row r="2810">
      <c r="A2810" s="2" t="s">
        <v>3979</v>
      </c>
      <c r="B2810" s="2" t="s">
        <v>3998</v>
      </c>
      <c r="G2810" s="2" t="s">
        <v>3973</v>
      </c>
    </row>
    <row r="2811">
      <c r="A2811" s="2" t="s">
        <v>3979</v>
      </c>
      <c r="B2811" s="2" t="s">
        <v>3999</v>
      </c>
      <c r="G2811" s="2" t="s">
        <v>3973</v>
      </c>
    </row>
    <row r="2812">
      <c r="A2812" s="2" t="s">
        <v>3979</v>
      </c>
      <c r="B2812" s="2" t="s">
        <v>4000</v>
      </c>
      <c r="G2812" s="2" t="s">
        <v>3973</v>
      </c>
    </row>
    <row r="2813">
      <c r="A2813" s="2" t="s">
        <v>3979</v>
      </c>
      <c r="B2813" s="2" t="s">
        <v>4001</v>
      </c>
      <c r="G2813" s="2" t="s">
        <v>3973</v>
      </c>
    </row>
    <row r="2814">
      <c r="A2814" s="2" t="s">
        <v>3979</v>
      </c>
      <c r="B2814" s="2" t="s">
        <v>4002</v>
      </c>
      <c r="G2814" s="2" t="s">
        <v>3973</v>
      </c>
    </row>
    <row r="2815">
      <c r="A2815" s="2" t="s">
        <v>3979</v>
      </c>
      <c r="B2815" s="2" t="s">
        <v>4003</v>
      </c>
      <c r="G2815" s="2" t="s">
        <v>3973</v>
      </c>
    </row>
    <row r="2816">
      <c r="A2816" s="2" t="s">
        <v>3979</v>
      </c>
      <c r="B2816" s="2" t="s">
        <v>4004</v>
      </c>
      <c r="G2816" s="2" t="s">
        <v>3973</v>
      </c>
    </row>
    <row r="2817">
      <c r="A2817" s="2" t="s">
        <v>3979</v>
      </c>
      <c r="B2817" s="2" t="s">
        <v>4005</v>
      </c>
      <c r="G2817" s="2" t="s">
        <v>3973</v>
      </c>
    </row>
    <row r="2818">
      <c r="A2818" s="2" t="s">
        <v>3979</v>
      </c>
      <c r="B2818" s="2" t="s">
        <v>4006</v>
      </c>
      <c r="G2818" s="2" t="s">
        <v>3973</v>
      </c>
    </row>
    <row r="2819">
      <c r="A2819" s="2" t="s">
        <v>3979</v>
      </c>
      <c r="B2819" s="2" t="s">
        <v>4007</v>
      </c>
      <c r="G2819" s="2" t="s">
        <v>3973</v>
      </c>
    </row>
    <row r="2820">
      <c r="A2820" s="2" t="s">
        <v>3979</v>
      </c>
      <c r="B2820" s="2" t="s">
        <v>4008</v>
      </c>
      <c r="G2820" s="2" t="s">
        <v>3973</v>
      </c>
    </row>
    <row r="2821">
      <c r="A2821" s="2" t="s">
        <v>3979</v>
      </c>
      <c r="B2821" s="2" t="s">
        <v>4009</v>
      </c>
      <c r="G2821" s="2" t="s">
        <v>3973</v>
      </c>
    </row>
    <row r="2822">
      <c r="A2822" s="2" t="s">
        <v>3979</v>
      </c>
      <c r="B2822" s="2" t="s">
        <v>4010</v>
      </c>
      <c r="G2822" s="2" t="s">
        <v>3973</v>
      </c>
    </row>
    <row r="2823">
      <c r="A2823" s="2" t="s">
        <v>3979</v>
      </c>
      <c r="B2823" s="2" t="s">
        <v>4011</v>
      </c>
      <c r="G2823" s="2" t="s">
        <v>3973</v>
      </c>
    </row>
    <row r="2824">
      <c r="A2824" s="2" t="s">
        <v>3979</v>
      </c>
      <c r="B2824" s="2" t="s">
        <v>4012</v>
      </c>
      <c r="G2824" s="2" t="s">
        <v>3973</v>
      </c>
    </row>
    <row r="2825">
      <c r="A2825" s="2" t="s">
        <v>3979</v>
      </c>
      <c r="B2825" s="2" t="s">
        <v>4013</v>
      </c>
      <c r="G2825" s="2" t="s">
        <v>3973</v>
      </c>
    </row>
    <row r="2826">
      <c r="A2826" s="2" t="s">
        <v>3979</v>
      </c>
      <c r="B2826" s="2" t="s">
        <v>4014</v>
      </c>
      <c r="G2826" s="2" t="s">
        <v>3973</v>
      </c>
    </row>
    <row r="2827">
      <c r="A2827" s="2" t="s">
        <v>3979</v>
      </c>
      <c r="B2827" s="2" t="s">
        <v>4015</v>
      </c>
      <c r="G2827" s="2" t="s">
        <v>3973</v>
      </c>
    </row>
    <row r="2828">
      <c r="A2828" s="2" t="s">
        <v>3979</v>
      </c>
      <c r="B2828" s="2" t="s">
        <v>4016</v>
      </c>
      <c r="G2828" s="2" t="s">
        <v>3973</v>
      </c>
    </row>
    <row r="2829">
      <c r="A2829" s="2" t="s">
        <v>3979</v>
      </c>
      <c r="B2829" s="2" t="s">
        <v>4017</v>
      </c>
      <c r="G2829" s="2" t="s">
        <v>3973</v>
      </c>
    </row>
    <row r="2830">
      <c r="A2830" s="2" t="s">
        <v>3979</v>
      </c>
      <c r="B2830" s="2" t="s">
        <v>4018</v>
      </c>
      <c r="G2830" s="2" t="s">
        <v>3973</v>
      </c>
    </row>
    <row r="2831">
      <c r="A2831" s="2" t="s">
        <v>3979</v>
      </c>
      <c r="B2831" s="2" t="s">
        <v>4019</v>
      </c>
      <c r="G2831" s="2" t="s">
        <v>3973</v>
      </c>
    </row>
    <row r="2832">
      <c r="A2832" s="2" t="s">
        <v>3979</v>
      </c>
      <c r="B2832" s="2" t="s">
        <v>4020</v>
      </c>
      <c r="G2832" s="2" t="s">
        <v>3973</v>
      </c>
    </row>
    <row r="2833">
      <c r="A2833" s="2" t="s">
        <v>3979</v>
      </c>
      <c r="B2833" s="2" t="s">
        <v>4021</v>
      </c>
      <c r="G2833" s="2" t="s">
        <v>3973</v>
      </c>
    </row>
    <row r="2834">
      <c r="A2834" s="2" t="s">
        <v>3979</v>
      </c>
      <c r="B2834" s="2" t="s">
        <v>4022</v>
      </c>
      <c r="G2834" s="2" t="s">
        <v>3973</v>
      </c>
    </row>
    <row r="2835">
      <c r="A2835" s="2" t="s">
        <v>3979</v>
      </c>
      <c r="B2835" s="2" t="s">
        <v>4023</v>
      </c>
      <c r="G2835" s="2" t="s">
        <v>3973</v>
      </c>
    </row>
    <row r="2836">
      <c r="A2836" s="2" t="s">
        <v>3979</v>
      </c>
      <c r="B2836" s="2" t="s">
        <v>4024</v>
      </c>
      <c r="G2836" s="2" t="s">
        <v>3973</v>
      </c>
    </row>
    <row r="2837">
      <c r="A2837" s="2" t="s">
        <v>3979</v>
      </c>
      <c r="B2837" s="2" t="s">
        <v>4025</v>
      </c>
      <c r="G2837" s="2" t="s">
        <v>3973</v>
      </c>
    </row>
    <row r="2838">
      <c r="A2838" s="2" t="s">
        <v>3979</v>
      </c>
      <c r="B2838" s="2" t="s">
        <v>4026</v>
      </c>
      <c r="G2838" s="2" t="s">
        <v>3973</v>
      </c>
    </row>
    <row r="2839">
      <c r="A2839" s="2" t="s">
        <v>3979</v>
      </c>
      <c r="B2839" s="2" t="s">
        <v>4027</v>
      </c>
      <c r="G2839" s="2" t="s">
        <v>3973</v>
      </c>
    </row>
    <row r="2840">
      <c r="A2840" s="2" t="s">
        <v>3979</v>
      </c>
      <c r="B2840" s="2" t="s">
        <v>4028</v>
      </c>
      <c r="G2840" s="2" t="s">
        <v>3973</v>
      </c>
    </row>
    <row r="2841">
      <c r="A2841" s="2" t="s">
        <v>3979</v>
      </c>
      <c r="B2841" s="2" t="s">
        <v>4029</v>
      </c>
      <c r="G2841" s="2" t="s">
        <v>3973</v>
      </c>
    </row>
    <row r="2842">
      <c r="A2842" s="2" t="s">
        <v>3979</v>
      </c>
      <c r="B2842" s="2" t="s">
        <v>4030</v>
      </c>
      <c r="G2842" s="2" t="s">
        <v>3973</v>
      </c>
    </row>
    <row r="2843">
      <c r="A2843" s="2" t="s">
        <v>3979</v>
      </c>
      <c r="B2843" s="2" t="s">
        <v>4031</v>
      </c>
      <c r="G2843" s="2" t="s">
        <v>3973</v>
      </c>
    </row>
    <row r="2844">
      <c r="A2844" s="2" t="s">
        <v>3979</v>
      </c>
      <c r="B2844" s="2" t="s">
        <v>4032</v>
      </c>
      <c r="G2844" s="2" t="s">
        <v>3973</v>
      </c>
    </row>
    <row r="2845">
      <c r="A2845" s="2" t="s">
        <v>3979</v>
      </c>
      <c r="B2845" s="2" t="s">
        <v>4033</v>
      </c>
      <c r="G2845" s="2" t="s">
        <v>3973</v>
      </c>
    </row>
    <row r="2846">
      <c r="A2846" s="2" t="s">
        <v>3979</v>
      </c>
      <c r="B2846" s="2" t="s">
        <v>4034</v>
      </c>
      <c r="G2846" s="2" t="s">
        <v>3973</v>
      </c>
    </row>
    <row r="2847">
      <c r="A2847" s="2" t="s">
        <v>3979</v>
      </c>
      <c r="B2847" s="2" t="s">
        <v>4035</v>
      </c>
      <c r="G2847" s="2" t="s">
        <v>3973</v>
      </c>
    </row>
    <row r="2848">
      <c r="A2848" s="2" t="s">
        <v>3979</v>
      </c>
      <c r="B2848" s="2" t="s">
        <v>4036</v>
      </c>
      <c r="G2848" s="2" t="s">
        <v>3973</v>
      </c>
    </row>
    <row r="2849">
      <c r="A2849" s="2" t="s">
        <v>3979</v>
      </c>
      <c r="B2849" s="2" t="s">
        <v>4037</v>
      </c>
      <c r="G2849" s="2" t="s">
        <v>3973</v>
      </c>
    </row>
    <row r="2850">
      <c r="A2850" s="2" t="s">
        <v>3979</v>
      </c>
      <c r="B2850" s="2" t="s">
        <v>4038</v>
      </c>
      <c r="G2850" s="2" t="s">
        <v>3973</v>
      </c>
    </row>
    <row r="2851">
      <c r="A2851" s="2" t="s">
        <v>3979</v>
      </c>
      <c r="B2851" s="2" t="s">
        <v>4039</v>
      </c>
      <c r="G2851" s="2" t="s">
        <v>3973</v>
      </c>
    </row>
    <row r="2852">
      <c r="A2852" s="2" t="s">
        <v>3979</v>
      </c>
      <c r="B2852" s="2" t="s">
        <v>4040</v>
      </c>
      <c r="G2852" s="2" t="s">
        <v>3973</v>
      </c>
    </row>
    <row r="2853">
      <c r="A2853" s="2" t="s">
        <v>3979</v>
      </c>
      <c r="B2853" s="2" t="s">
        <v>4041</v>
      </c>
      <c r="G2853" s="2" t="s">
        <v>3973</v>
      </c>
    </row>
    <row r="2854">
      <c r="A2854" s="2" t="s">
        <v>3979</v>
      </c>
      <c r="B2854" s="2" t="s">
        <v>4042</v>
      </c>
      <c r="G2854" s="2" t="s">
        <v>3973</v>
      </c>
    </row>
    <row r="2855">
      <c r="A2855" s="2" t="s">
        <v>3979</v>
      </c>
      <c r="B2855" s="2" t="s">
        <v>4043</v>
      </c>
      <c r="G2855" s="2" t="s">
        <v>3973</v>
      </c>
    </row>
    <row r="2856">
      <c r="A2856" s="2" t="s">
        <v>3979</v>
      </c>
      <c r="B2856" s="2" t="s">
        <v>4044</v>
      </c>
      <c r="G2856" s="2" t="s">
        <v>3973</v>
      </c>
    </row>
    <row r="2857">
      <c r="A2857" s="2" t="s">
        <v>3979</v>
      </c>
      <c r="B2857" s="2" t="s">
        <v>4045</v>
      </c>
      <c r="G2857" s="2" t="s">
        <v>3973</v>
      </c>
    </row>
    <row r="2858">
      <c r="A2858" s="2" t="s">
        <v>3979</v>
      </c>
      <c r="B2858" s="2" t="s">
        <v>4046</v>
      </c>
      <c r="G2858" s="2" t="s">
        <v>3973</v>
      </c>
    </row>
    <row r="2859">
      <c r="A2859" s="2" t="s">
        <v>3979</v>
      </c>
      <c r="B2859" s="2" t="s">
        <v>4047</v>
      </c>
      <c r="G2859" s="2" t="s">
        <v>3973</v>
      </c>
    </row>
    <row r="2860">
      <c r="A2860" s="2" t="s">
        <v>3979</v>
      </c>
      <c r="B2860" s="2" t="s">
        <v>4048</v>
      </c>
      <c r="G2860" s="2" t="s">
        <v>3973</v>
      </c>
    </row>
    <row r="2861">
      <c r="A2861" s="2" t="s">
        <v>3979</v>
      </c>
      <c r="B2861" s="2" t="s">
        <v>4049</v>
      </c>
      <c r="G2861" s="2" t="s">
        <v>3973</v>
      </c>
    </row>
    <row r="2862">
      <c r="A2862" s="2" t="s">
        <v>3979</v>
      </c>
      <c r="B2862" s="2" t="s">
        <v>4050</v>
      </c>
      <c r="G2862" s="2" t="s">
        <v>3973</v>
      </c>
    </row>
    <row r="2863">
      <c r="A2863" s="2" t="s">
        <v>3979</v>
      </c>
      <c r="B2863" s="2" t="s">
        <v>4051</v>
      </c>
      <c r="G2863" s="2" t="s">
        <v>3973</v>
      </c>
    </row>
    <row r="2864">
      <c r="A2864" s="2" t="s">
        <v>3979</v>
      </c>
      <c r="B2864" s="2" t="s">
        <v>4052</v>
      </c>
      <c r="G2864" s="2" t="s">
        <v>3973</v>
      </c>
    </row>
    <row r="2865">
      <c r="A2865" s="2" t="s">
        <v>3979</v>
      </c>
      <c r="B2865" s="2" t="s">
        <v>4053</v>
      </c>
      <c r="G2865" s="2" t="s">
        <v>3973</v>
      </c>
    </row>
    <row r="2866">
      <c r="A2866" s="2" t="s">
        <v>3979</v>
      </c>
      <c r="B2866" s="2" t="s">
        <v>4054</v>
      </c>
      <c r="G2866" s="2" t="s">
        <v>3973</v>
      </c>
    </row>
    <row r="2867">
      <c r="A2867" s="2" t="s">
        <v>3979</v>
      </c>
      <c r="B2867" s="2" t="s">
        <v>4055</v>
      </c>
      <c r="G2867" s="2" t="s">
        <v>3973</v>
      </c>
    </row>
    <row r="2868">
      <c r="A2868" s="2" t="s">
        <v>3979</v>
      </c>
      <c r="B2868" s="2" t="s">
        <v>4056</v>
      </c>
      <c r="G2868" s="2" t="s">
        <v>3973</v>
      </c>
    </row>
    <row r="2869">
      <c r="A2869" s="2" t="s">
        <v>3979</v>
      </c>
      <c r="B2869" s="2" t="s">
        <v>4057</v>
      </c>
      <c r="G2869" s="2" t="s">
        <v>3973</v>
      </c>
    </row>
    <row r="2870">
      <c r="A2870" s="2" t="s">
        <v>3979</v>
      </c>
      <c r="B2870" s="2" t="s">
        <v>4058</v>
      </c>
      <c r="G2870" s="2" t="s">
        <v>3973</v>
      </c>
    </row>
    <row r="2871">
      <c r="A2871" s="2" t="s">
        <v>3979</v>
      </c>
      <c r="B2871" s="2" t="s">
        <v>4059</v>
      </c>
      <c r="G2871" s="2" t="s">
        <v>3973</v>
      </c>
    </row>
    <row r="2872">
      <c r="A2872" s="2" t="s">
        <v>3979</v>
      </c>
      <c r="B2872" s="2" t="s">
        <v>4060</v>
      </c>
      <c r="G2872" s="2" t="s">
        <v>3973</v>
      </c>
    </row>
    <row r="2873">
      <c r="A2873" s="2" t="s">
        <v>3979</v>
      </c>
      <c r="B2873" s="2" t="s">
        <v>4061</v>
      </c>
      <c r="G2873" s="2" t="s">
        <v>3973</v>
      </c>
    </row>
    <row r="2874">
      <c r="A2874" s="2" t="s">
        <v>3979</v>
      </c>
      <c r="B2874" s="2" t="s">
        <v>4062</v>
      </c>
      <c r="G2874" s="2" t="s">
        <v>3973</v>
      </c>
    </row>
    <row r="2875">
      <c r="A2875" s="2" t="s">
        <v>3979</v>
      </c>
      <c r="B2875" s="2" t="s">
        <v>4063</v>
      </c>
      <c r="G2875" s="2" t="s">
        <v>3973</v>
      </c>
    </row>
    <row r="2876">
      <c r="A2876" s="2" t="s">
        <v>3979</v>
      </c>
      <c r="B2876" s="2" t="s">
        <v>4064</v>
      </c>
      <c r="G2876" s="2" t="s">
        <v>3973</v>
      </c>
    </row>
    <row r="2877">
      <c r="A2877" s="2" t="s">
        <v>3979</v>
      </c>
      <c r="B2877" s="2" t="s">
        <v>4065</v>
      </c>
      <c r="G2877" s="2" t="s">
        <v>3973</v>
      </c>
    </row>
    <row r="2878">
      <c r="A2878" s="2" t="s">
        <v>3979</v>
      </c>
      <c r="B2878" s="2" t="s">
        <v>4066</v>
      </c>
      <c r="G2878" s="2" t="s">
        <v>3973</v>
      </c>
    </row>
    <row r="2879">
      <c r="A2879" s="2" t="s">
        <v>3979</v>
      </c>
      <c r="B2879" s="2" t="s">
        <v>4067</v>
      </c>
      <c r="G2879" s="2" t="s">
        <v>3973</v>
      </c>
    </row>
    <row r="2880">
      <c r="A2880" s="2" t="s">
        <v>3979</v>
      </c>
      <c r="B2880" s="2" t="s">
        <v>4068</v>
      </c>
      <c r="G2880" s="2" t="s">
        <v>3973</v>
      </c>
    </row>
    <row r="2881">
      <c r="A2881" s="2" t="s">
        <v>3979</v>
      </c>
      <c r="B2881" s="2" t="s">
        <v>4069</v>
      </c>
      <c r="G2881" s="2" t="s">
        <v>3973</v>
      </c>
    </row>
    <row r="2882">
      <c r="A2882" s="2" t="s">
        <v>3979</v>
      </c>
      <c r="B2882" s="2" t="s">
        <v>4070</v>
      </c>
      <c r="G2882" s="2" t="s">
        <v>3973</v>
      </c>
    </row>
    <row r="2883">
      <c r="A2883" s="2" t="s">
        <v>3979</v>
      </c>
      <c r="B2883" s="2" t="s">
        <v>4071</v>
      </c>
      <c r="G2883" s="2" t="s">
        <v>3973</v>
      </c>
    </row>
    <row r="2884">
      <c r="A2884" s="2" t="s">
        <v>3979</v>
      </c>
      <c r="B2884" s="2" t="s">
        <v>4072</v>
      </c>
      <c r="G2884" s="2" t="s">
        <v>3973</v>
      </c>
    </row>
    <row r="2885">
      <c r="A2885" s="2" t="s">
        <v>3979</v>
      </c>
      <c r="B2885" s="2" t="s">
        <v>4073</v>
      </c>
      <c r="G2885" s="2" t="s">
        <v>3973</v>
      </c>
    </row>
    <row r="2886">
      <c r="A2886" s="2" t="s">
        <v>3979</v>
      </c>
      <c r="B2886" s="2" t="s">
        <v>4074</v>
      </c>
      <c r="G2886" s="2" t="s">
        <v>3973</v>
      </c>
    </row>
    <row r="2887">
      <c r="A2887" s="2" t="s">
        <v>3979</v>
      </c>
      <c r="B2887" s="2" t="s">
        <v>4075</v>
      </c>
      <c r="G2887" s="2" t="s">
        <v>3973</v>
      </c>
    </row>
    <row r="2888">
      <c r="A2888" s="2" t="s">
        <v>3979</v>
      </c>
      <c r="B2888" s="2" t="s">
        <v>4003</v>
      </c>
      <c r="G2888" s="2" t="s">
        <v>3973</v>
      </c>
    </row>
    <row r="2889">
      <c r="A2889" s="2" t="s">
        <v>3979</v>
      </c>
      <c r="B2889" s="2" t="s">
        <v>4033</v>
      </c>
      <c r="G2889" s="2" t="s">
        <v>3973</v>
      </c>
    </row>
    <row r="2890">
      <c r="A2890" s="2" t="s">
        <v>3979</v>
      </c>
      <c r="B2890" s="2" t="s">
        <v>4004</v>
      </c>
      <c r="G2890" s="2" t="s">
        <v>3973</v>
      </c>
    </row>
    <row r="2891">
      <c r="A2891" s="2" t="s">
        <v>3979</v>
      </c>
      <c r="B2891" s="2" t="s">
        <v>4005</v>
      </c>
      <c r="G2891" s="2" t="s">
        <v>3973</v>
      </c>
    </row>
    <row r="2892">
      <c r="A2892" s="2" t="s">
        <v>3979</v>
      </c>
      <c r="B2892" s="2" t="s">
        <v>4006</v>
      </c>
      <c r="G2892" s="2" t="s">
        <v>3973</v>
      </c>
    </row>
    <row r="2893">
      <c r="A2893" s="2" t="s">
        <v>3979</v>
      </c>
      <c r="B2893" s="2" t="s">
        <v>4007</v>
      </c>
      <c r="G2893" s="2" t="s">
        <v>3973</v>
      </c>
    </row>
    <row r="2894">
      <c r="A2894" s="2" t="s">
        <v>3979</v>
      </c>
      <c r="B2894" s="2" t="s">
        <v>4008</v>
      </c>
      <c r="G2894" s="2" t="s">
        <v>3973</v>
      </c>
    </row>
    <row r="2895">
      <c r="A2895" s="2" t="s">
        <v>3979</v>
      </c>
      <c r="B2895" s="2" t="s">
        <v>4034</v>
      </c>
      <c r="G2895" s="2" t="s">
        <v>3973</v>
      </c>
    </row>
    <row r="2896">
      <c r="A2896" s="2" t="s">
        <v>3979</v>
      </c>
      <c r="B2896" s="2" t="s">
        <v>4035</v>
      </c>
      <c r="G2896" s="2" t="s">
        <v>3973</v>
      </c>
    </row>
    <row r="2897">
      <c r="A2897" s="2" t="s">
        <v>3979</v>
      </c>
      <c r="B2897" s="2" t="s">
        <v>4036</v>
      </c>
      <c r="G2897" s="2" t="s">
        <v>3973</v>
      </c>
    </row>
    <row r="2898">
      <c r="A2898" s="2" t="s">
        <v>3979</v>
      </c>
      <c r="B2898" s="2" t="s">
        <v>4048</v>
      </c>
      <c r="G2898" s="2" t="s">
        <v>3973</v>
      </c>
    </row>
    <row r="2899">
      <c r="A2899" s="2" t="s">
        <v>3979</v>
      </c>
      <c r="B2899" s="2" t="s">
        <v>4037</v>
      </c>
      <c r="G2899" s="2" t="s">
        <v>3973</v>
      </c>
    </row>
    <row r="2900">
      <c r="A2900" s="2" t="s">
        <v>3979</v>
      </c>
      <c r="B2900" s="2" t="s">
        <v>4042</v>
      </c>
      <c r="G2900" s="2" t="s">
        <v>3973</v>
      </c>
    </row>
    <row r="2901">
      <c r="A2901" s="2" t="s">
        <v>3979</v>
      </c>
      <c r="B2901" s="2" t="s">
        <v>4038</v>
      </c>
      <c r="G2901" s="2" t="s">
        <v>3973</v>
      </c>
    </row>
    <row r="2902">
      <c r="A2902" s="2" t="s">
        <v>3979</v>
      </c>
      <c r="B2902" s="2" t="s">
        <v>4076</v>
      </c>
      <c r="G2902" s="2" t="s">
        <v>3973</v>
      </c>
    </row>
    <row r="2903">
      <c r="A2903" s="2" t="s">
        <v>3979</v>
      </c>
      <c r="B2903" s="2" t="s">
        <v>4077</v>
      </c>
      <c r="G2903" s="2" t="s">
        <v>3973</v>
      </c>
    </row>
    <row r="2904">
      <c r="A2904" s="2" t="s">
        <v>3979</v>
      </c>
      <c r="B2904" s="2" t="s">
        <v>4010</v>
      </c>
      <c r="G2904" s="2" t="s">
        <v>3973</v>
      </c>
    </row>
    <row r="2905">
      <c r="A2905" s="2" t="s">
        <v>3979</v>
      </c>
      <c r="B2905" s="2" t="s">
        <v>4011</v>
      </c>
      <c r="G2905" s="2" t="s">
        <v>3973</v>
      </c>
    </row>
    <row r="2906">
      <c r="A2906" s="2" t="s">
        <v>3979</v>
      </c>
      <c r="B2906" s="2" t="s">
        <v>4049</v>
      </c>
      <c r="G2906" s="2" t="s">
        <v>3973</v>
      </c>
    </row>
    <row r="2907">
      <c r="A2907" s="2" t="s">
        <v>3979</v>
      </c>
      <c r="B2907" s="2" t="s">
        <v>4012</v>
      </c>
      <c r="G2907" s="2" t="s">
        <v>3973</v>
      </c>
    </row>
    <row r="2908">
      <c r="A2908" s="2" t="s">
        <v>3979</v>
      </c>
      <c r="B2908" s="2" t="s">
        <v>4039</v>
      </c>
      <c r="G2908" s="2" t="s">
        <v>3973</v>
      </c>
    </row>
    <row r="2909">
      <c r="A2909" s="2" t="s">
        <v>3979</v>
      </c>
      <c r="B2909" s="2" t="s">
        <v>4040</v>
      </c>
      <c r="G2909" s="2" t="s">
        <v>3973</v>
      </c>
    </row>
    <row r="2910">
      <c r="A2910" s="2" t="s">
        <v>3979</v>
      </c>
      <c r="B2910" s="2" t="s">
        <v>4043</v>
      </c>
      <c r="G2910" s="2" t="s">
        <v>3973</v>
      </c>
    </row>
    <row r="2911">
      <c r="A2911" s="2" t="s">
        <v>3979</v>
      </c>
      <c r="B2911" s="2" t="s">
        <v>4041</v>
      </c>
      <c r="G2911" s="2" t="s">
        <v>3973</v>
      </c>
    </row>
    <row r="2912">
      <c r="A2912" s="2" t="s">
        <v>3979</v>
      </c>
      <c r="B2912" s="2" t="s">
        <v>4044</v>
      </c>
      <c r="G2912" s="2" t="s">
        <v>3973</v>
      </c>
    </row>
    <row r="2913">
      <c r="A2913" s="2" t="s">
        <v>3979</v>
      </c>
      <c r="B2913" s="2" t="s">
        <v>4050</v>
      </c>
      <c r="G2913" s="2" t="s">
        <v>3973</v>
      </c>
    </row>
    <row r="2914">
      <c r="A2914" s="2" t="s">
        <v>3979</v>
      </c>
      <c r="B2914" s="2" t="s">
        <v>4051</v>
      </c>
      <c r="G2914" s="2" t="s">
        <v>3973</v>
      </c>
    </row>
    <row r="2915">
      <c r="A2915" s="2" t="s">
        <v>3979</v>
      </c>
      <c r="B2915" s="2" t="s">
        <v>4052</v>
      </c>
      <c r="G2915" s="2" t="s">
        <v>3973</v>
      </c>
    </row>
    <row r="2916">
      <c r="A2916" s="2" t="s">
        <v>3979</v>
      </c>
      <c r="B2916" s="2" t="s">
        <v>4045</v>
      </c>
      <c r="G2916" s="2" t="s">
        <v>3973</v>
      </c>
    </row>
    <row r="2917">
      <c r="A2917" s="2" t="s">
        <v>3979</v>
      </c>
      <c r="B2917" s="2" t="s">
        <v>4046</v>
      </c>
      <c r="G2917" s="2" t="s">
        <v>3973</v>
      </c>
    </row>
    <row r="2918">
      <c r="A2918" s="2" t="s">
        <v>3979</v>
      </c>
      <c r="B2918" s="2" t="s">
        <v>4053</v>
      </c>
      <c r="G2918" s="2" t="s">
        <v>3973</v>
      </c>
    </row>
    <row r="2919">
      <c r="A2919" s="2" t="s">
        <v>3979</v>
      </c>
      <c r="B2919" s="2" t="s">
        <v>4054</v>
      </c>
      <c r="G2919" s="2" t="s">
        <v>3973</v>
      </c>
    </row>
    <row r="2920">
      <c r="A2920" s="2" t="s">
        <v>3979</v>
      </c>
      <c r="B2920" s="2" t="s">
        <v>4055</v>
      </c>
      <c r="G2920" s="2" t="s">
        <v>3973</v>
      </c>
    </row>
    <row r="2921">
      <c r="A2921" s="2" t="s">
        <v>3979</v>
      </c>
      <c r="B2921" s="2" t="s">
        <v>4056</v>
      </c>
      <c r="G2921" s="2" t="s">
        <v>3973</v>
      </c>
    </row>
    <row r="2922">
      <c r="A2922" s="2" t="s">
        <v>3979</v>
      </c>
      <c r="B2922" s="2" t="s">
        <v>4070</v>
      </c>
      <c r="G2922" s="2" t="s">
        <v>3973</v>
      </c>
    </row>
    <row r="2923">
      <c r="A2923" s="2" t="s">
        <v>3979</v>
      </c>
      <c r="B2923" s="2" t="s">
        <v>4071</v>
      </c>
      <c r="G2923" s="2" t="s">
        <v>3973</v>
      </c>
    </row>
    <row r="2924">
      <c r="A2924" s="2" t="s">
        <v>3979</v>
      </c>
      <c r="B2924" s="2" t="s">
        <v>4072</v>
      </c>
      <c r="G2924" s="2" t="s">
        <v>3973</v>
      </c>
    </row>
    <row r="2925">
      <c r="A2925" s="2" t="s">
        <v>3979</v>
      </c>
      <c r="B2925" s="2" t="s">
        <v>4013</v>
      </c>
      <c r="G2925" s="2" t="s">
        <v>3973</v>
      </c>
    </row>
    <row r="2926">
      <c r="A2926" s="2" t="s">
        <v>3979</v>
      </c>
      <c r="B2926" s="2" t="s">
        <v>4014</v>
      </c>
      <c r="G2926" s="2" t="s">
        <v>3973</v>
      </c>
    </row>
    <row r="2927">
      <c r="A2927" s="2" t="s">
        <v>3979</v>
      </c>
      <c r="B2927" s="2" t="s">
        <v>4015</v>
      </c>
      <c r="G2927" s="2" t="s">
        <v>3973</v>
      </c>
    </row>
    <row r="2928">
      <c r="A2928" s="2" t="s">
        <v>3979</v>
      </c>
      <c r="B2928" s="2" t="s">
        <v>4016</v>
      </c>
      <c r="G2928" s="2" t="s">
        <v>3973</v>
      </c>
    </row>
    <row r="2929">
      <c r="A2929" s="2" t="s">
        <v>3979</v>
      </c>
      <c r="B2929" s="2" t="s">
        <v>4017</v>
      </c>
      <c r="G2929" s="2" t="s">
        <v>3973</v>
      </c>
    </row>
    <row r="2930">
      <c r="A2930" s="2" t="s">
        <v>3979</v>
      </c>
      <c r="B2930" s="2" t="s">
        <v>4018</v>
      </c>
      <c r="G2930" s="2" t="s">
        <v>3973</v>
      </c>
    </row>
    <row r="2931">
      <c r="A2931" s="2" t="s">
        <v>3979</v>
      </c>
      <c r="B2931" s="2" t="s">
        <v>4019</v>
      </c>
      <c r="G2931" s="2" t="s">
        <v>3973</v>
      </c>
    </row>
    <row r="2932">
      <c r="A2932" s="2" t="s">
        <v>3979</v>
      </c>
      <c r="B2932" s="2" t="s">
        <v>4020</v>
      </c>
      <c r="G2932" s="2" t="s">
        <v>3973</v>
      </c>
    </row>
    <row r="2933">
      <c r="A2933" s="2" t="s">
        <v>3979</v>
      </c>
      <c r="B2933" s="2" t="s">
        <v>4021</v>
      </c>
      <c r="G2933" s="2" t="s">
        <v>3973</v>
      </c>
    </row>
    <row r="2934">
      <c r="A2934" s="2" t="s">
        <v>3979</v>
      </c>
      <c r="B2934" s="2" t="s">
        <v>4022</v>
      </c>
      <c r="G2934" s="2" t="s">
        <v>3973</v>
      </c>
    </row>
    <row r="2935">
      <c r="A2935" s="2" t="s">
        <v>3979</v>
      </c>
      <c r="B2935" s="2" t="s">
        <v>4023</v>
      </c>
      <c r="G2935" s="2" t="s">
        <v>3973</v>
      </c>
    </row>
    <row r="2936">
      <c r="A2936" s="2" t="s">
        <v>3979</v>
      </c>
      <c r="B2936" s="2" t="s">
        <v>4024</v>
      </c>
      <c r="G2936" s="2" t="s">
        <v>3973</v>
      </c>
    </row>
    <row r="2937">
      <c r="A2937" s="2" t="s">
        <v>3979</v>
      </c>
      <c r="B2937" s="2" t="s">
        <v>4025</v>
      </c>
      <c r="G2937" s="2" t="s">
        <v>3973</v>
      </c>
    </row>
    <row r="2938">
      <c r="A2938" s="2" t="s">
        <v>3979</v>
      </c>
      <c r="B2938" s="2" t="s">
        <v>4026</v>
      </c>
      <c r="G2938" s="2" t="s">
        <v>3973</v>
      </c>
    </row>
    <row r="2939">
      <c r="A2939" s="2" t="s">
        <v>3979</v>
      </c>
      <c r="B2939" s="2" t="s">
        <v>4047</v>
      </c>
      <c r="G2939" s="2" t="s">
        <v>3973</v>
      </c>
    </row>
    <row r="2940">
      <c r="A2940" s="2" t="s">
        <v>3979</v>
      </c>
      <c r="B2940" s="2" t="s">
        <v>4057</v>
      </c>
      <c r="G2940" s="2" t="s">
        <v>3973</v>
      </c>
    </row>
    <row r="2941">
      <c r="A2941" s="2" t="s">
        <v>3979</v>
      </c>
      <c r="B2941" s="2" t="s">
        <v>4058</v>
      </c>
      <c r="G2941" s="2" t="s">
        <v>3973</v>
      </c>
    </row>
    <row r="2942">
      <c r="A2942" s="2" t="s">
        <v>3979</v>
      </c>
      <c r="B2942" s="2" t="s">
        <v>4059</v>
      </c>
      <c r="G2942" s="2" t="s">
        <v>3973</v>
      </c>
    </row>
    <row r="2943">
      <c r="A2943" s="2" t="s">
        <v>3979</v>
      </c>
      <c r="B2943" s="2" t="s">
        <v>4060</v>
      </c>
      <c r="G2943" s="2" t="s">
        <v>3973</v>
      </c>
    </row>
    <row r="2944">
      <c r="A2944" s="2" t="s">
        <v>3979</v>
      </c>
      <c r="B2944" s="2" t="s">
        <v>4061</v>
      </c>
      <c r="G2944" s="2" t="s">
        <v>3973</v>
      </c>
    </row>
    <row r="2945">
      <c r="A2945" s="2" t="s">
        <v>3979</v>
      </c>
      <c r="B2945" s="2" t="s">
        <v>4062</v>
      </c>
      <c r="G2945" s="2" t="s">
        <v>3973</v>
      </c>
    </row>
    <row r="2946">
      <c r="A2946" s="2" t="s">
        <v>3979</v>
      </c>
      <c r="B2946" s="2" t="s">
        <v>4063</v>
      </c>
      <c r="G2946" s="2" t="s">
        <v>3973</v>
      </c>
    </row>
    <row r="2947">
      <c r="A2947" s="2" t="s">
        <v>3979</v>
      </c>
      <c r="B2947" s="2" t="s">
        <v>4064</v>
      </c>
      <c r="G2947" s="2" t="s">
        <v>3973</v>
      </c>
    </row>
    <row r="2948">
      <c r="A2948" s="2" t="s">
        <v>3979</v>
      </c>
      <c r="B2948" s="2" t="s">
        <v>4065</v>
      </c>
      <c r="G2948" s="2" t="s">
        <v>3973</v>
      </c>
    </row>
    <row r="2949">
      <c r="A2949" s="2" t="s">
        <v>3979</v>
      </c>
      <c r="B2949" s="2" t="s">
        <v>4067</v>
      </c>
      <c r="G2949" s="2" t="s">
        <v>3973</v>
      </c>
    </row>
    <row r="2950">
      <c r="A2950" s="2" t="s">
        <v>3979</v>
      </c>
      <c r="B2950" s="2" t="s">
        <v>4068</v>
      </c>
      <c r="G2950" s="2" t="s">
        <v>3973</v>
      </c>
    </row>
    <row r="2951">
      <c r="A2951" s="2" t="s">
        <v>3979</v>
      </c>
      <c r="B2951" s="2" t="s">
        <v>4027</v>
      </c>
      <c r="G2951" s="2" t="s">
        <v>3973</v>
      </c>
    </row>
    <row r="2952">
      <c r="A2952" s="2" t="s">
        <v>3979</v>
      </c>
      <c r="B2952" s="2" t="s">
        <v>4028</v>
      </c>
      <c r="G2952" s="2" t="s">
        <v>3973</v>
      </c>
    </row>
    <row r="2953">
      <c r="A2953" s="2" t="s">
        <v>3979</v>
      </c>
      <c r="B2953" s="2" t="s">
        <v>4029</v>
      </c>
      <c r="G2953" s="2" t="s">
        <v>3973</v>
      </c>
    </row>
    <row r="2954">
      <c r="A2954" s="2" t="s">
        <v>3979</v>
      </c>
      <c r="B2954" s="2" t="s">
        <v>4030</v>
      </c>
      <c r="G2954" s="2" t="s">
        <v>3973</v>
      </c>
    </row>
    <row r="2955">
      <c r="A2955" s="2" t="s">
        <v>3979</v>
      </c>
      <c r="B2955" s="2" t="s">
        <v>4031</v>
      </c>
      <c r="G2955" s="2" t="s">
        <v>3973</v>
      </c>
    </row>
    <row r="2956">
      <c r="A2956" s="2" t="s">
        <v>3979</v>
      </c>
      <c r="B2956" s="2" t="s">
        <v>4032</v>
      </c>
      <c r="G2956" s="2" t="s">
        <v>3973</v>
      </c>
    </row>
    <row r="2957">
      <c r="A2957" s="2" t="s">
        <v>3979</v>
      </c>
      <c r="B2957" s="2" t="s">
        <v>4069</v>
      </c>
      <c r="G2957" s="2" t="s">
        <v>3973</v>
      </c>
    </row>
    <row r="2958">
      <c r="A2958" s="2" t="s">
        <v>3979</v>
      </c>
      <c r="B2958" s="2" t="s">
        <v>4073</v>
      </c>
      <c r="G2958" s="2" t="s">
        <v>3973</v>
      </c>
    </row>
    <row r="2959">
      <c r="A2959" s="2" t="s">
        <v>3979</v>
      </c>
      <c r="B2959" s="2" t="s">
        <v>4074</v>
      </c>
      <c r="G2959" s="2" t="s">
        <v>3973</v>
      </c>
    </row>
    <row r="2960">
      <c r="A2960" s="2" t="s">
        <v>3979</v>
      </c>
      <c r="B2960" s="2" t="s">
        <v>4075</v>
      </c>
      <c r="G2960" s="2" t="s">
        <v>3973</v>
      </c>
    </row>
    <row r="2961">
      <c r="A2961" s="2" t="s">
        <v>4079</v>
      </c>
      <c r="B2961" s="2" t="s">
        <v>4080</v>
      </c>
      <c r="E2961" s="2" t="s">
        <v>4081</v>
      </c>
    </row>
    <row r="2962">
      <c r="A2962" s="2" t="s">
        <v>4079</v>
      </c>
      <c r="B2962" s="2" t="s">
        <v>4080</v>
      </c>
      <c r="F2962" s="2" t="s">
        <v>4082</v>
      </c>
    </row>
    <row r="2963">
      <c r="A2963" s="2" t="s">
        <v>4079</v>
      </c>
      <c r="B2963" s="2" t="s">
        <v>4080</v>
      </c>
      <c r="F2963" s="2" t="s">
        <v>4083</v>
      </c>
    </row>
    <row r="2964">
      <c r="A2964" s="2" t="s">
        <v>4084</v>
      </c>
      <c r="B2964" s="2" t="s">
        <v>4085</v>
      </c>
      <c r="F2964" s="2" t="s">
        <v>4086</v>
      </c>
    </row>
    <row r="2965">
      <c r="A2965" s="2" t="s">
        <v>4084</v>
      </c>
      <c r="B2965" s="2" t="s">
        <v>4087</v>
      </c>
      <c r="F2965" s="2" t="s">
        <v>4086</v>
      </c>
    </row>
    <row r="2966">
      <c r="A2966" s="2" t="s">
        <v>4084</v>
      </c>
      <c r="B2966" s="2" t="s">
        <v>4088</v>
      </c>
      <c r="F2966" s="2" t="s">
        <v>4086</v>
      </c>
    </row>
    <row r="2967">
      <c r="A2967" s="2" t="s">
        <v>4084</v>
      </c>
      <c r="B2967" s="2" t="s">
        <v>4089</v>
      </c>
      <c r="F2967" s="2" t="s">
        <v>4086</v>
      </c>
    </row>
    <row r="2968">
      <c r="A2968" s="2" t="s">
        <v>4084</v>
      </c>
      <c r="B2968" s="2" t="s">
        <v>4090</v>
      </c>
      <c r="F2968" s="2" t="s">
        <v>4086</v>
      </c>
    </row>
    <row r="2969">
      <c r="A2969" s="2" t="s">
        <v>4084</v>
      </c>
      <c r="B2969" s="2" t="s">
        <v>4091</v>
      </c>
      <c r="F2969" s="2" t="s">
        <v>4086</v>
      </c>
    </row>
    <row r="2970">
      <c r="A2970" s="2" t="s">
        <v>4084</v>
      </c>
      <c r="B2970" s="2" t="s">
        <v>4092</v>
      </c>
      <c r="F2970" s="2" t="s">
        <v>4086</v>
      </c>
    </row>
    <row r="2971">
      <c r="A2971" s="2" t="s">
        <v>4084</v>
      </c>
      <c r="B2971" s="2" t="s">
        <v>4093</v>
      </c>
      <c r="F2971" s="2" t="s">
        <v>4086</v>
      </c>
    </row>
    <row r="2972">
      <c r="A2972" s="2" t="s">
        <v>4084</v>
      </c>
      <c r="B2972" s="2" t="s">
        <v>4095</v>
      </c>
      <c r="F2972" s="2" t="s">
        <v>4086</v>
      </c>
    </row>
    <row r="2973">
      <c r="A2973" s="2" t="s">
        <v>4084</v>
      </c>
      <c r="B2973" s="2" t="s">
        <v>4096</v>
      </c>
      <c r="F2973" s="2" t="s">
        <v>4086</v>
      </c>
    </row>
    <row r="2974">
      <c r="A2974" s="64" t="s">
        <v>4097</v>
      </c>
      <c r="B2974" s="2" t="s">
        <v>4096</v>
      </c>
      <c r="F2974" s="2" t="s">
        <v>4086</v>
      </c>
    </row>
    <row r="2975">
      <c r="A2975" s="64" t="s">
        <v>4097</v>
      </c>
      <c r="B2975" s="2" t="s">
        <v>4095</v>
      </c>
      <c r="F2975" s="2" t="s">
        <v>4086</v>
      </c>
    </row>
    <row r="2976">
      <c r="A2976" s="2" t="s">
        <v>4098</v>
      </c>
      <c r="B2976" s="2">
        <v>4546.0</v>
      </c>
      <c r="G2976" s="2" t="s">
        <v>4099</v>
      </c>
      <c r="H2976" s="2" t="s">
        <v>4100</v>
      </c>
    </row>
    <row r="2977">
      <c r="A2977" s="2" t="s">
        <v>4101</v>
      </c>
      <c r="B2977" s="2" t="s">
        <v>4102</v>
      </c>
      <c r="G2977" s="2" t="s">
        <v>4103</v>
      </c>
    </row>
    <row r="2978">
      <c r="A2978" s="2" t="s">
        <v>4104</v>
      </c>
      <c r="B2978" s="2" t="s">
        <v>4105</v>
      </c>
      <c r="G2978" s="2" t="s">
        <v>4106</v>
      </c>
    </row>
    <row r="2979">
      <c r="A2979" s="2" t="s">
        <v>4104</v>
      </c>
      <c r="B2979" s="2" t="s">
        <v>4107</v>
      </c>
      <c r="G2979" s="2" t="s">
        <v>4106</v>
      </c>
    </row>
    <row r="2980">
      <c r="A2980" s="2" t="s">
        <v>4104</v>
      </c>
      <c r="B2980" s="2" t="s">
        <v>4108</v>
      </c>
      <c r="G2980" s="2" t="s">
        <v>4106</v>
      </c>
    </row>
    <row r="2981">
      <c r="A2981" s="2" t="s">
        <v>4104</v>
      </c>
      <c r="B2981" s="2" t="s">
        <v>4109</v>
      </c>
      <c r="G2981" s="2" t="s">
        <v>4106</v>
      </c>
    </row>
    <row r="2982">
      <c r="A2982" s="2" t="s">
        <v>4104</v>
      </c>
      <c r="B2982" s="2" t="s">
        <v>4110</v>
      </c>
      <c r="G2982" s="2" t="s">
        <v>4106</v>
      </c>
    </row>
    <row r="2983">
      <c r="A2983" s="2" t="s">
        <v>4104</v>
      </c>
      <c r="B2983" s="2" t="s">
        <v>4111</v>
      </c>
      <c r="G2983" s="2" t="s">
        <v>4106</v>
      </c>
    </row>
    <row r="2984">
      <c r="A2984" s="2" t="s">
        <v>4104</v>
      </c>
      <c r="B2984" s="2" t="s">
        <v>4112</v>
      </c>
      <c r="G2984" s="2" t="s">
        <v>4106</v>
      </c>
    </row>
    <row r="2985">
      <c r="A2985" s="2" t="s">
        <v>4104</v>
      </c>
      <c r="B2985" s="2" t="s">
        <v>4113</v>
      </c>
      <c r="G2985" s="2" t="s">
        <v>4106</v>
      </c>
    </row>
    <row r="2986">
      <c r="A2986" s="2" t="s">
        <v>4104</v>
      </c>
      <c r="B2986" s="2" t="s">
        <v>4114</v>
      </c>
      <c r="G2986" s="2" t="s">
        <v>4106</v>
      </c>
    </row>
    <row r="2987">
      <c r="A2987" s="2" t="s">
        <v>4104</v>
      </c>
      <c r="B2987" s="2" t="s">
        <v>4115</v>
      </c>
      <c r="G2987" s="2" t="s">
        <v>4106</v>
      </c>
    </row>
    <row r="2988">
      <c r="A2988" s="2" t="s">
        <v>4104</v>
      </c>
      <c r="B2988" s="2" t="s">
        <v>4116</v>
      </c>
      <c r="G2988" s="2" t="s">
        <v>4106</v>
      </c>
    </row>
    <row r="2989">
      <c r="A2989" s="2" t="s">
        <v>4104</v>
      </c>
      <c r="B2989" s="2" t="s">
        <v>4117</v>
      </c>
      <c r="G2989" s="2" t="s">
        <v>4106</v>
      </c>
    </row>
    <row r="2990">
      <c r="A2990" s="2" t="s">
        <v>4104</v>
      </c>
      <c r="B2990" s="2" t="s">
        <v>4118</v>
      </c>
      <c r="G2990" s="2" t="s">
        <v>4106</v>
      </c>
    </row>
    <row r="2991">
      <c r="A2991" s="2" t="s">
        <v>4104</v>
      </c>
      <c r="B2991" s="2" t="s">
        <v>4119</v>
      </c>
      <c r="G2991" s="2" t="s">
        <v>4106</v>
      </c>
    </row>
    <row r="2992">
      <c r="A2992" s="2" t="s">
        <v>4104</v>
      </c>
      <c r="B2992" s="2" t="s">
        <v>4120</v>
      </c>
      <c r="G2992" s="2" t="s">
        <v>4106</v>
      </c>
    </row>
    <row r="2993">
      <c r="A2993" s="2" t="s">
        <v>4104</v>
      </c>
      <c r="B2993" s="2" t="s">
        <v>4121</v>
      </c>
      <c r="G2993" s="2" t="s">
        <v>4106</v>
      </c>
    </row>
    <row r="2994">
      <c r="A2994" s="2" t="s">
        <v>4104</v>
      </c>
      <c r="B2994" s="2" t="s">
        <v>4122</v>
      </c>
      <c r="G2994" s="2" t="s">
        <v>4106</v>
      </c>
    </row>
    <row r="2995">
      <c r="A2995" s="2" t="s">
        <v>4104</v>
      </c>
      <c r="B2995" s="2" t="s">
        <v>4123</v>
      </c>
      <c r="G2995" s="2" t="s">
        <v>4106</v>
      </c>
    </row>
    <row r="2996">
      <c r="A2996" s="2" t="s">
        <v>4104</v>
      </c>
      <c r="B2996" s="2" t="s">
        <v>4124</v>
      </c>
      <c r="G2996" s="2" t="s">
        <v>4106</v>
      </c>
    </row>
    <row r="2997">
      <c r="A2997" s="2" t="s">
        <v>4104</v>
      </c>
      <c r="B2997" s="2" t="s">
        <v>4125</v>
      </c>
      <c r="G2997" s="2" t="s">
        <v>4106</v>
      </c>
    </row>
    <row r="2998">
      <c r="A2998" s="2" t="s">
        <v>4104</v>
      </c>
      <c r="B2998" s="2" t="s">
        <v>4126</v>
      </c>
      <c r="G2998" s="2" t="s">
        <v>4106</v>
      </c>
    </row>
    <row r="2999">
      <c r="A2999" s="2" t="s">
        <v>4104</v>
      </c>
      <c r="B2999" s="2" t="s">
        <v>4127</v>
      </c>
      <c r="G2999" s="2" t="s">
        <v>4106</v>
      </c>
    </row>
    <row r="3000">
      <c r="A3000" s="2" t="s">
        <v>4104</v>
      </c>
      <c r="B3000" s="2" t="s">
        <v>4128</v>
      </c>
      <c r="G3000" s="2" t="s">
        <v>4106</v>
      </c>
    </row>
    <row r="3001">
      <c r="A3001" s="2" t="s">
        <v>4104</v>
      </c>
      <c r="B3001" s="2" t="s">
        <v>4129</v>
      </c>
      <c r="G3001" s="2" t="s">
        <v>4106</v>
      </c>
    </row>
    <row r="3002">
      <c r="A3002" s="2" t="s">
        <v>4104</v>
      </c>
      <c r="B3002" s="2" t="s">
        <v>4130</v>
      </c>
      <c r="G3002" s="2" t="s">
        <v>4106</v>
      </c>
    </row>
    <row r="3003">
      <c r="A3003" s="2" t="s">
        <v>4104</v>
      </c>
      <c r="B3003" s="2" t="s">
        <v>4131</v>
      </c>
      <c r="G3003" s="2" t="s">
        <v>4106</v>
      </c>
    </row>
    <row r="3004">
      <c r="A3004" s="2" t="s">
        <v>4104</v>
      </c>
      <c r="B3004" s="2" t="s">
        <v>4132</v>
      </c>
      <c r="G3004" s="2" t="s">
        <v>4106</v>
      </c>
    </row>
    <row r="3005">
      <c r="A3005" s="2" t="s">
        <v>4104</v>
      </c>
      <c r="B3005" s="2" t="s">
        <v>4133</v>
      </c>
      <c r="G3005" s="2" t="s">
        <v>4106</v>
      </c>
    </row>
    <row r="3006">
      <c r="A3006" s="2" t="s">
        <v>4104</v>
      </c>
      <c r="B3006" s="2" t="s">
        <v>4134</v>
      </c>
      <c r="G3006" s="2" t="s">
        <v>4106</v>
      </c>
    </row>
    <row r="3007">
      <c r="A3007" s="2" t="s">
        <v>4104</v>
      </c>
      <c r="B3007" s="2" t="s">
        <v>4135</v>
      </c>
      <c r="G3007" s="2" t="s">
        <v>4106</v>
      </c>
    </row>
    <row r="3008">
      <c r="A3008" s="2" t="s">
        <v>4104</v>
      </c>
      <c r="B3008" s="2" t="s">
        <v>4136</v>
      </c>
      <c r="G3008" s="2" t="s">
        <v>4106</v>
      </c>
    </row>
    <row r="3009">
      <c r="A3009" s="2" t="s">
        <v>4104</v>
      </c>
      <c r="B3009" s="2" t="s">
        <v>4137</v>
      </c>
      <c r="G3009" s="2" t="s">
        <v>4106</v>
      </c>
    </row>
    <row r="3010">
      <c r="A3010" s="2" t="s">
        <v>4104</v>
      </c>
      <c r="B3010" s="2" t="s">
        <v>4138</v>
      </c>
      <c r="G3010" s="2" t="s">
        <v>4106</v>
      </c>
    </row>
    <row r="3011">
      <c r="A3011" s="2" t="s">
        <v>4104</v>
      </c>
      <c r="B3011" s="2" t="s">
        <v>4139</v>
      </c>
      <c r="G3011" s="2" t="s">
        <v>4106</v>
      </c>
    </row>
    <row r="3012">
      <c r="A3012" s="2" t="s">
        <v>4104</v>
      </c>
      <c r="B3012" s="2" t="s">
        <v>4140</v>
      </c>
      <c r="G3012" s="2" t="s">
        <v>4106</v>
      </c>
    </row>
    <row r="3013">
      <c r="A3013" s="2" t="s">
        <v>4104</v>
      </c>
      <c r="B3013" s="2" t="s">
        <v>4141</v>
      </c>
      <c r="G3013" s="2" t="s">
        <v>4106</v>
      </c>
    </row>
    <row r="3014">
      <c r="A3014" s="64" t="s">
        <v>4142</v>
      </c>
      <c r="B3014" s="2" t="s">
        <v>4143</v>
      </c>
      <c r="C3014" s="2" t="s">
        <v>4144</v>
      </c>
    </row>
    <row r="3015">
      <c r="A3015" s="64" t="s">
        <v>4145</v>
      </c>
      <c r="B3015" s="2" t="s">
        <v>4146</v>
      </c>
      <c r="G3015" s="2" t="s">
        <v>4106</v>
      </c>
    </row>
    <row r="3016">
      <c r="A3016" s="2" t="s">
        <v>4147</v>
      </c>
      <c r="B3016" s="2" t="s">
        <v>4148</v>
      </c>
      <c r="G3016" s="2" t="s">
        <v>4149</v>
      </c>
    </row>
    <row r="3017">
      <c r="A3017" s="2" t="s">
        <v>4147</v>
      </c>
      <c r="B3017" s="34" t="s">
        <v>4150</v>
      </c>
      <c r="G3017" s="2" t="s">
        <v>4149</v>
      </c>
    </row>
    <row r="3018">
      <c r="A3018" s="2" t="s">
        <v>4147</v>
      </c>
      <c r="B3018" s="2" t="s">
        <v>4151</v>
      </c>
      <c r="G3018" s="2" t="s">
        <v>4149</v>
      </c>
    </row>
    <row r="3019">
      <c r="A3019" s="2" t="s">
        <v>4147</v>
      </c>
      <c r="B3019" s="34" t="s">
        <v>4152</v>
      </c>
      <c r="G3019" s="2" t="s">
        <v>4149</v>
      </c>
    </row>
    <row r="3020">
      <c r="A3020" s="2" t="s">
        <v>4147</v>
      </c>
      <c r="B3020" s="2" t="s">
        <v>4153</v>
      </c>
      <c r="G3020" s="2" t="s">
        <v>4149</v>
      </c>
    </row>
    <row r="3021">
      <c r="A3021" s="2" t="s">
        <v>4147</v>
      </c>
      <c r="B3021" s="34" t="s">
        <v>4154</v>
      </c>
      <c r="G3021" s="2" t="s">
        <v>4149</v>
      </c>
    </row>
    <row r="3022">
      <c r="A3022" s="2" t="s">
        <v>4147</v>
      </c>
      <c r="B3022" s="2" t="s">
        <v>4155</v>
      </c>
      <c r="G3022" s="2" t="s">
        <v>4149</v>
      </c>
    </row>
    <row r="3023">
      <c r="A3023" s="2" t="s">
        <v>4147</v>
      </c>
      <c r="B3023" s="2" t="s">
        <v>4156</v>
      </c>
      <c r="G3023" s="2" t="s">
        <v>4149</v>
      </c>
    </row>
    <row r="3024">
      <c r="A3024" s="2" t="s">
        <v>4147</v>
      </c>
      <c r="B3024" s="34" t="s">
        <v>4157</v>
      </c>
      <c r="G3024" s="2" t="s">
        <v>4149</v>
      </c>
    </row>
    <row r="3025">
      <c r="A3025" s="2" t="s">
        <v>4147</v>
      </c>
      <c r="B3025" s="34" t="s">
        <v>4158</v>
      </c>
      <c r="G3025" s="2" t="s">
        <v>4149</v>
      </c>
    </row>
    <row r="3026">
      <c r="A3026" s="2" t="s">
        <v>4147</v>
      </c>
      <c r="B3026" s="34" t="s">
        <v>4159</v>
      </c>
      <c r="G3026" s="2" t="s">
        <v>4149</v>
      </c>
    </row>
    <row r="3027">
      <c r="A3027" s="2" t="s">
        <v>4147</v>
      </c>
      <c r="B3027" s="34" t="s">
        <v>4160</v>
      </c>
      <c r="G3027" s="2" t="s">
        <v>4149</v>
      </c>
    </row>
    <row r="3028">
      <c r="A3028" s="2" t="s">
        <v>4147</v>
      </c>
      <c r="B3028" s="2" t="s">
        <v>4161</v>
      </c>
      <c r="G3028" s="2" t="s">
        <v>4149</v>
      </c>
    </row>
    <row r="3029">
      <c r="A3029" s="2" t="s">
        <v>4147</v>
      </c>
      <c r="B3029" s="34" t="s">
        <v>4162</v>
      </c>
      <c r="G3029" s="2" t="s">
        <v>4149</v>
      </c>
    </row>
    <row r="3030">
      <c r="A3030" s="2" t="s">
        <v>4147</v>
      </c>
      <c r="B3030" s="2" t="s">
        <v>4163</v>
      </c>
      <c r="G3030" s="2" t="s">
        <v>4149</v>
      </c>
    </row>
    <row r="3031">
      <c r="A3031" s="2" t="s">
        <v>4147</v>
      </c>
      <c r="B3031" s="2" t="s">
        <v>4164</v>
      </c>
      <c r="G3031" s="2" t="s">
        <v>4149</v>
      </c>
    </row>
    <row r="3032">
      <c r="A3032" s="2" t="s">
        <v>4147</v>
      </c>
      <c r="B3032" s="2" t="s">
        <v>4165</v>
      </c>
      <c r="G3032" s="2" t="s">
        <v>4149</v>
      </c>
    </row>
    <row r="3033">
      <c r="A3033" s="2" t="s">
        <v>4147</v>
      </c>
      <c r="B3033" s="34" t="s">
        <v>4166</v>
      </c>
      <c r="G3033" s="2" t="s">
        <v>4149</v>
      </c>
    </row>
    <row r="3034">
      <c r="A3034" s="2" t="s">
        <v>4147</v>
      </c>
      <c r="B3034" s="2" t="s">
        <v>4168</v>
      </c>
      <c r="G3034" s="2" t="s">
        <v>4149</v>
      </c>
    </row>
    <row r="3035">
      <c r="A3035" s="2" t="s">
        <v>4147</v>
      </c>
      <c r="B3035" s="2" t="s">
        <v>4169</v>
      </c>
      <c r="G3035" s="2" t="s">
        <v>4149</v>
      </c>
    </row>
    <row r="3036">
      <c r="A3036" s="2" t="s">
        <v>4147</v>
      </c>
      <c r="B3036" s="2" t="s">
        <v>4170</v>
      </c>
      <c r="G3036" s="2" t="s">
        <v>4149</v>
      </c>
    </row>
    <row r="3037">
      <c r="A3037" s="2" t="s">
        <v>4147</v>
      </c>
      <c r="B3037" s="2" t="s">
        <v>4171</v>
      </c>
      <c r="G3037" s="2" t="s">
        <v>4149</v>
      </c>
    </row>
    <row r="3038">
      <c r="A3038" s="2" t="s">
        <v>4147</v>
      </c>
      <c r="B3038" s="34" t="s">
        <v>4172</v>
      </c>
      <c r="G3038" s="2" t="s">
        <v>4149</v>
      </c>
    </row>
    <row r="3039">
      <c r="A3039" s="2" t="s">
        <v>4147</v>
      </c>
      <c r="B3039" s="34" t="s">
        <v>4175</v>
      </c>
      <c r="G3039" s="2" t="s">
        <v>4149</v>
      </c>
    </row>
    <row r="3040">
      <c r="A3040" s="2" t="s">
        <v>4147</v>
      </c>
      <c r="B3040" s="2" t="s">
        <v>4176</v>
      </c>
      <c r="G3040" s="2" t="s">
        <v>4149</v>
      </c>
    </row>
    <row r="3041">
      <c r="A3041" s="2" t="s">
        <v>4147</v>
      </c>
      <c r="B3041" s="34" t="s">
        <v>4177</v>
      </c>
      <c r="G3041" s="2" t="s">
        <v>4149</v>
      </c>
    </row>
    <row r="3042">
      <c r="A3042" s="2" t="s">
        <v>4147</v>
      </c>
      <c r="B3042" s="34" t="s">
        <v>4178</v>
      </c>
      <c r="G3042" s="2" t="s">
        <v>4149</v>
      </c>
    </row>
    <row r="3043">
      <c r="A3043" s="2" t="s">
        <v>4147</v>
      </c>
      <c r="B3043" s="34" t="s">
        <v>4179</v>
      </c>
      <c r="G3043" s="2" t="s">
        <v>4149</v>
      </c>
    </row>
    <row r="3044">
      <c r="A3044" s="2" t="s">
        <v>4147</v>
      </c>
      <c r="B3044" s="34" t="s">
        <v>4181</v>
      </c>
      <c r="G3044" s="2" t="s">
        <v>4149</v>
      </c>
    </row>
    <row r="3045">
      <c r="A3045" s="2" t="s">
        <v>4147</v>
      </c>
      <c r="B3045" s="2" t="s">
        <v>4182</v>
      </c>
      <c r="G3045" s="2" t="s">
        <v>4149</v>
      </c>
    </row>
    <row r="3046">
      <c r="A3046" s="2" t="s">
        <v>4147</v>
      </c>
      <c r="B3046" s="2" t="s">
        <v>4183</v>
      </c>
      <c r="G3046" s="2" t="s">
        <v>4149</v>
      </c>
    </row>
    <row r="3047">
      <c r="A3047" s="2" t="s">
        <v>4147</v>
      </c>
      <c r="B3047" s="2" t="s">
        <v>4184</v>
      </c>
      <c r="G3047" s="2" t="s">
        <v>4149</v>
      </c>
    </row>
    <row r="3048">
      <c r="A3048" s="2" t="s">
        <v>4147</v>
      </c>
      <c r="B3048" s="34" t="s">
        <v>4187</v>
      </c>
      <c r="G3048" s="2" t="s">
        <v>4149</v>
      </c>
    </row>
    <row r="3049">
      <c r="A3049" s="2" t="s">
        <v>4147</v>
      </c>
      <c r="B3049" s="34" t="s">
        <v>4188</v>
      </c>
      <c r="G3049" s="2" t="s">
        <v>4149</v>
      </c>
    </row>
    <row r="3050">
      <c r="A3050" s="2" t="s">
        <v>4147</v>
      </c>
      <c r="B3050" s="2" t="s">
        <v>4189</v>
      </c>
      <c r="G3050" s="2" t="s">
        <v>4149</v>
      </c>
    </row>
    <row r="3051">
      <c r="A3051" s="2" t="s">
        <v>4147</v>
      </c>
      <c r="B3051" s="34" t="s">
        <v>4190</v>
      </c>
      <c r="G3051" s="2" t="s">
        <v>4149</v>
      </c>
    </row>
    <row r="3052">
      <c r="A3052" s="2" t="s">
        <v>4147</v>
      </c>
      <c r="B3052" s="2" t="s">
        <v>4191</v>
      </c>
      <c r="G3052" s="2" t="s">
        <v>4149</v>
      </c>
    </row>
    <row r="3053">
      <c r="A3053" s="2" t="s">
        <v>4147</v>
      </c>
      <c r="B3053" s="34" t="s">
        <v>4192</v>
      </c>
      <c r="G3053" s="2" t="s">
        <v>4149</v>
      </c>
    </row>
    <row r="3054">
      <c r="A3054" s="2" t="s">
        <v>4147</v>
      </c>
      <c r="B3054" s="34" t="s">
        <v>4193</v>
      </c>
      <c r="G3054" s="2" t="s">
        <v>4149</v>
      </c>
    </row>
    <row r="3055">
      <c r="A3055" s="2" t="s">
        <v>4147</v>
      </c>
      <c r="B3055" s="34" t="s">
        <v>4195</v>
      </c>
      <c r="G3055" s="2" t="s">
        <v>4149</v>
      </c>
    </row>
    <row r="3056">
      <c r="A3056" s="2" t="s">
        <v>4147</v>
      </c>
      <c r="B3056" s="34" t="s">
        <v>4196</v>
      </c>
      <c r="G3056" s="2" t="s">
        <v>4149</v>
      </c>
    </row>
    <row r="3057">
      <c r="A3057" s="2" t="s">
        <v>4147</v>
      </c>
      <c r="B3057" s="2" t="s">
        <v>4198</v>
      </c>
      <c r="G3057" s="2" t="s">
        <v>4149</v>
      </c>
    </row>
    <row r="3058">
      <c r="A3058" s="2" t="s">
        <v>4147</v>
      </c>
      <c r="B3058" s="2" t="s">
        <v>4199</v>
      </c>
      <c r="G3058" s="2" t="s">
        <v>4149</v>
      </c>
    </row>
    <row r="3059">
      <c r="A3059" s="2" t="s">
        <v>4147</v>
      </c>
      <c r="B3059" s="34" t="s">
        <v>4200</v>
      </c>
      <c r="G3059" s="2" t="s">
        <v>4149</v>
      </c>
    </row>
    <row r="3060">
      <c r="A3060" s="2" t="s">
        <v>4147</v>
      </c>
      <c r="B3060" s="34" t="s">
        <v>4201</v>
      </c>
      <c r="G3060" s="2" t="s">
        <v>4149</v>
      </c>
    </row>
    <row r="3061">
      <c r="A3061" s="2" t="s">
        <v>4147</v>
      </c>
      <c r="B3061" s="34" t="s">
        <v>4202</v>
      </c>
      <c r="G3061" s="2" t="s">
        <v>4149</v>
      </c>
    </row>
    <row r="3062">
      <c r="A3062" s="2" t="s">
        <v>4147</v>
      </c>
      <c r="B3062" s="2" t="s">
        <v>4204</v>
      </c>
      <c r="G3062" s="2" t="s">
        <v>4149</v>
      </c>
    </row>
    <row r="3063">
      <c r="A3063" s="2" t="s">
        <v>4147</v>
      </c>
      <c r="B3063" s="34" t="s">
        <v>4205</v>
      </c>
      <c r="G3063" s="2" t="s">
        <v>4149</v>
      </c>
    </row>
    <row r="3064">
      <c r="A3064" s="2" t="s">
        <v>4147</v>
      </c>
      <c r="B3064" s="2" t="s">
        <v>4208</v>
      </c>
      <c r="G3064" s="2" t="s">
        <v>4149</v>
      </c>
    </row>
    <row r="3065">
      <c r="A3065" s="2" t="s">
        <v>4147</v>
      </c>
      <c r="B3065" s="2" t="s">
        <v>4209</v>
      </c>
      <c r="G3065" s="2" t="s">
        <v>4149</v>
      </c>
    </row>
    <row r="3066">
      <c r="A3066" s="2" t="s">
        <v>4147</v>
      </c>
      <c r="B3066" s="2" t="s">
        <v>4210</v>
      </c>
      <c r="G3066" s="2" t="s">
        <v>4149</v>
      </c>
    </row>
    <row r="3067">
      <c r="A3067" s="2" t="s">
        <v>4147</v>
      </c>
      <c r="B3067" s="34" t="s">
        <v>4211</v>
      </c>
      <c r="G3067" s="2" t="s">
        <v>4149</v>
      </c>
    </row>
    <row r="3068">
      <c r="A3068" s="2" t="s">
        <v>4147</v>
      </c>
      <c r="B3068" s="2" t="s">
        <v>4212</v>
      </c>
      <c r="G3068" s="2" t="s">
        <v>4149</v>
      </c>
    </row>
    <row r="3069">
      <c r="A3069" s="2" t="s">
        <v>4147</v>
      </c>
      <c r="B3069" s="2" t="s">
        <v>4213</v>
      </c>
      <c r="G3069" s="2" t="s">
        <v>4149</v>
      </c>
    </row>
    <row r="3070">
      <c r="A3070" s="2" t="s">
        <v>4147</v>
      </c>
      <c r="B3070" s="34" t="s">
        <v>4157</v>
      </c>
      <c r="G3070" s="2" t="s">
        <v>4149</v>
      </c>
    </row>
    <row r="3071">
      <c r="A3071" s="2" t="s">
        <v>4147</v>
      </c>
      <c r="B3071" s="34" t="s">
        <v>4214</v>
      </c>
      <c r="G3071" s="2" t="s">
        <v>4149</v>
      </c>
    </row>
    <row r="3072">
      <c r="A3072" s="2" t="s">
        <v>4147</v>
      </c>
      <c r="B3072" s="34" t="s">
        <v>4159</v>
      </c>
      <c r="G3072" s="2" t="s">
        <v>4149</v>
      </c>
    </row>
    <row r="3073">
      <c r="A3073" s="2" t="s">
        <v>4147</v>
      </c>
      <c r="B3073" s="2" t="s">
        <v>4163</v>
      </c>
      <c r="G3073" s="2" t="s">
        <v>4149</v>
      </c>
    </row>
    <row r="3074">
      <c r="A3074" s="2" t="s">
        <v>4147</v>
      </c>
      <c r="B3074" s="34" t="s">
        <v>4215</v>
      </c>
      <c r="G3074" s="2" t="s">
        <v>4149</v>
      </c>
    </row>
    <row r="3075">
      <c r="A3075" s="2" t="s">
        <v>4147</v>
      </c>
      <c r="B3075" s="2" t="s">
        <v>4161</v>
      </c>
      <c r="G3075" s="2" t="s">
        <v>4149</v>
      </c>
    </row>
    <row r="3076">
      <c r="A3076" s="2" t="s">
        <v>4147</v>
      </c>
      <c r="B3076" s="34" t="s">
        <v>4216</v>
      </c>
      <c r="G3076" s="2" t="s">
        <v>4149</v>
      </c>
    </row>
    <row r="3077">
      <c r="A3077" s="2" t="s">
        <v>4147</v>
      </c>
      <c r="B3077" s="34" t="s">
        <v>4217</v>
      </c>
      <c r="G3077" s="2" t="s">
        <v>4149</v>
      </c>
    </row>
    <row r="3078">
      <c r="A3078" s="2" t="s">
        <v>4147</v>
      </c>
      <c r="B3078" s="2" t="s">
        <v>4155</v>
      </c>
      <c r="G3078" s="2" t="s">
        <v>4149</v>
      </c>
    </row>
    <row r="3079">
      <c r="A3079" s="2" t="s">
        <v>4147</v>
      </c>
      <c r="B3079" s="2" t="s">
        <v>4170</v>
      </c>
      <c r="G3079" s="2" t="s">
        <v>4149</v>
      </c>
    </row>
    <row r="3080">
      <c r="A3080" s="2" t="s">
        <v>4147</v>
      </c>
      <c r="B3080" s="2" t="s">
        <v>4218</v>
      </c>
      <c r="G3080" s="2" t="s">
        <v>4149</v>
      </c>
    </row>
    <row r="3081">
      <c r="A3081" s="2" t="s">
        <v>4147</v>
      </c>
      <c r="B3081" s="2" t="s">
        <v>4219</v>
      </c>
      <c r="G3081" s="2" t="s">
        <v>4149</v>
      </c>
    </row>
    <row r="3082">
      <c r="A3082" s="2" t="s">
        <v>4147</v>
      </c>
      <c r="B3082" s="34" t="s">
        <v>4220</v>
      </c>
      <c r="G3082" s="2" t="s">
        <v>4149</v>
      </c>
    </row>
    <row r="3083">
      <c r="A3083" s="2" t="s">
        <v>4147</v>
      </c>
      <c r="B3083" s="34" t="s">
        <v>4221</v>
      </c>
      <c r="G3083" s="2" t="s">
        <v>4149</v>
      </c>
    </row>
    <row r="3084">
      <c r="A3084" s="2" t="s">
        <v>4147</v>
      </c>
      <c r="B3084" s="34" t="s">
        <v>4172</v>
      </c>
      <c r="G3084" s="2" t="s">
        <v>4149</v>
      </c>
    </row>
    <row r="3085">
      <c r="A3085" s="2" t="s">
        <v>4147</v>
      </c>
      <c r="B3085" s="34" t="s">
        <v>4222</v>
      </c>
      <c r="G3085" s="2" t="s">
        <v>4149</v>
      </c>
    </row>
    <row r="3086">
      <c r="A3086" s="2" t="s">
        <v>4147</v>
      </c>
      <c r="B3086" s="34" t="s">
        <v>4223</v>
      </c>
      <c r="G3086" s="2" t="s">
        <v>4149</v>
      </c>
    </row>
    <row r="3087">
      <c r="A3087" s="2" t="s">
        <v>4147</v>
      </c>
      <c r="B3087" s="2" t="s">
        <v>4153</v>
      </c>
      <c r="G3087" s="2" t="s">
        <v>4149</v>
      </c>
    </row>
    <row r="3088">
      <c r="A3088" s="2" t="s">
        <v>4147</v>
      </c>
      <c r="B3088" s="2" t="s">
        <v>4224</v>
      </c>
      <c r="G3088" s="2" t="s">
        <v>4149</v>
      </c>
    </row>
    <row r="3089">
      <c r="A3089" s="2" t="s">
        <v>4147</v>
      </c>
      <c r="B3089" s="2" t="s">
        <v>4151</v>
      </c>
      <c r="G3089" s="2" t="s">
        <v>4149</v>
      </c>
    </row>
    <row r="3090">
      <c r="A3090" s="2" t="s">
        <v>4147</v>
      </c>
      <c r="B3090" s="2" t="s">
        <v>4165</v>
      </c>
      <c r="G3090" s="2" t="s">
        <v>4149</v>
      </c>
    </row>
    <row r="3091">
      <c r="A3091" s="2" t="s">
        <v>4147</v>
      </c>
      <c r="B3091" s="34" t="s">
        <v>4225</v>
      </c>
      <c r="G3091" s="2" t="s">
        <v>4149</v>
      </c>
    </row>
    <row r="3092">
      <c r="A3092" s="2" t="s">
        <v>4147</v>
      </c>
      <c r="B3092" s="2" t="s">
        <v>4168</v>
      </c>
      <c r="G3092" s="2" t="s">
        <v>4149</v>
      </c>
    </row>
    <row r="3093">
      <c r="A3093" s="2" t="s">
        <v>4147</v>
      </c>
      <c r="B3093" s="34" t="s">
        <v>4226</v>
      </c>
      <c r="G3093" s="2" t="s">
        <v>4149</v>
      </c>
    </row>
    <row r="3094">
      <c r="A3094" s="64" t="s">
        <v>4227</v>
      </c>
      <c r="B3094" s="2" t="s">
        <v>4228</v>
      </c>
      <c r="I3094" s="2" t="s">
        <v>4229</v>
      </c>
    </row>
    <row r="3095">
      <c r="A3095" s="2" t="s">
        <v>4230</v>
      </c>
      <c r="B3095" s="2" t="s">
        <v>4231</v>
      </c>
      <c r="D3095" s="2" t="s">
        <v>4232</v>
      </c>
      <c r="G3095" s="2" t="s">
        <v>729</v>
      </c>
    </row>
    <row r="3096">
      <c r="A3096" s="64" t="s">
        <v>4233</v>
      </c>
      <c r="B3096" s="2" t="s">
        <v>4234</v>
      </c>
      <c r="C3096" s="2" t="s">
        <v>4235</v>
      </c>
      <c r="D3096" s="2" t="s">
        <v>4236</v>
      </c>
    </row>
    <row r="3097">
      <c r="A3097" s="64" t="s">
        <v>4233</v>
      </c>
      <c r="B3097" s="2" t="s">
        <v>4237</v>
      </c>
      <c r="C3097" s="2" t="s">
        <v>4235</v>
      </c>
      <c r="D3097" s="2" t="s">
        <v>4236</v>
      </c>
    </row>
    <row r="3098">
      <c r="A3098" s="64" t="s">
        <v>4233</v>
      </c>
      <c r="B3098" s="2" t="s">
        <v>4238</v>
      </c>
      <c r="C3098" s="2" t="s">
        <v>4235</v>
      </c>
      <c r="D3098" s="2" t="s">
        <v>4236</v>
      </c>
    </row>
    <row r="3099">
      <c r="A3099" s="64" t="s">
        <v>4233</v>
      </c>
      <c r="B3099" s="2" t="s">
        <v>4239</v>
      </c>
      <c r="C3099" s="2" t="s">
        <v>4235</v>
      </c>
      <c r="D3099" s="2" t="s">
        <v>4236</v>
      </c>
    </row>
    <row r="3100">
      <c r="A3100" s="64" t="s">
        <v>4233</v>
      </c>
      <c r="B3100" s="2" t="s">
        <v>4240</v>
      </c>
      <c r="C3100" s="2" t="s">
        <v>4235</v>
      </c>
      <c r="D3100" s="2" t="s">
        <v>4236</v>
      </c>
    </row>
    <row r="3101">
      <c r="A3101" s="64" t="s">
        <v>4233</v>
      </c>
      <c r="B3101" s="2" t="s">
        <v>4241</v>
      </c>
      <c r="C3101" s="2" t="s">
        <v>4235</v>
      </c>
      <c r="D3101" s="2" t="s">
        <v>4236</v>
      </c>
    </row>
    <row r="3102">
      <c r="A3102" s="64" t="s">
        <v>4233</v>
      </c>
      <c r="B3102" s="2" t="s">
        <v>4242</v>
      </c>
      <c r="C3102" s="2" t="s">
        <v>4235</v>
      </c>
      <c r="D3102" s="2" t="s">
        <v>4236</v>
      </c>
    </row>
    <row r="3103">
      <c r="A3103" s="64" t="s">
        <v>4233</v>
      </c>
      <c r="B3103" s="2" t="s">
        <v>4243</v>
      </c>
      <c r="C3103" s="2" t="s">
        <v>4235</v>
      </c>
      <c r="D3103" s="2" t="s">
        <v>4236</v>
      </c>
    </row>
    <row r="3104">
      <c r="A3104" s="64" t="s">
        <v>4233</v>
      </c>
      <c r="B3104" s="2" t="s">
        <v>4244</v>
      </c>
      <c r="C3104" s="2" t="s">
        <v>4235</v>
      </c>
      <c r="D3104" s="2" t="s">
        <v>4236</v>
      </c>
    </row>
    <row r="3105">
      <c r="A3105" s="2" t="s">
        <v>4245</v>
      </c>
      <c r="B3105" s="2" t="s">
        <v>4234</v>
      </c>
      <c r="C3105" s="2" t="s">
        <v>4235</v>
      </c>
      <c r="D3105" s="2" t="s">
        <v>4236</v>
      </c>
    </row>
    <row r="3106">
      <c r="A3106" s="2" t="s">
        <v>4245</v>
      </c>
      <c r="B3106" s="2" t="s">
        <v>4246</v>
      </c>
      <c r="C3106" s="2" t="s">
        <v>4235</v>
      </c>
      <c r="D3106" s="2" t="s">
        <v>4236</v>
      </c>
    </row>
    <row r="3107">
      <c r="A3107" s="2" t="s">
        <v>4245</v>
      </c>
      <c r="B3107" s="2" t="s">
        <v>4247</v>
      </c>
      <c r="C3107" s="2" t="s">
        <v>4235</v>
      </c>
      <c r="D3107" s="2" t="s">
        <v>4236</v>
      </c>
    </row>
    <row r="3108">
      <c r="A3108" s="2" t="s">
        <v>4245</v>
      </c>
      <c r="B3108" s="2" t="s">
        <v>4248</v>
      </c>
      <c r="C3108" s="2" t="s">
        <v>4235</v>
      </c>
      <c r="D3108" s="2" t="s">
        <v>4236</v>
      </c>
    </row>
    <row r="3109">
      <c r="A3109" s="2" t="s">
        <v>4245</v>
      </c>
      <c r="B3109" s="2" t="s">
        <v>4249</v>
      </c>
      <c r="C3109" s="2" t="s">
        <v>4235</v>
      </c>
      <c r="D3109" s="2" t="s">
        <v>4236</v>
      </c>
    </row>
    <row r="3110">
      <c r="A3110" s="2" t="s">
        <v>4245</v>
      </c>
      <c r="B3110" s="2" t="s">
        <v>4250</v>
      </c>
      <c r="C3110" s="2" t="s">
        <v>4235</v>
      </c>
      <c r="D3110" s="2" t="s">
        <v>4236</v>
      </c>
    </row>
    <row r="3111">
      <c r="A3111" s="2" t="s">
        <v>4245</v>
      </c>
      <c r="B3111" s="2" t="s">
        <v>4251</v>
      </c>
      <c r="C3111" s="2" t="s">
        <v>4235</v>
      </c>
      <c r="D3111" s="2" t="s">
        <v>4236</v>
      </c>
    </row>
    <row r="3112">
      <c r="A3112" s="2" t="s">
        <v>4245</v>
      </c>
      <c r="B3112" s="2" t="s">
        <v>4238</v>
      </c>
      <c r="C3112" s="2" t="s">
        <v>4235</v>
      </c>
      <c r="D3112" s="2" t="s">
        <v>4236</v>
      </c>
    </row>
    <row r="3113">
      <c r="A3113" s="2" t="s">
        <v>4245</v>
      </c>
      <c r="B3113" s="2" t="s">
        <v>4239</v>
      </c>
      <c r="C3113" s="2" t="s">
        <v>4235</v>
      </c>
      <c r="D3113" s="2" t="s">
        <v>4236</v>
      </c>
    </row>
    <row r="3114">
      <c r="A3114" s="2" t="s">
        <v>4245</v>
      </c>
      <c r="B3114" s="2" t="s">
        <v>4240</v>
      </c>
      <c r="C3114" s="2" t="s">
        <v>4235</v>
      </c>
      <c r="D3114" s="2" t="s">
        <v>4236</v>
      </c>
    </row>
    <row r="3115">
      <c r="A3115" s="2" t="s">
        <v>4245</v>
      </c>
      <c r="B3115" s="2" t="s">
        <v>4252</v>
      </c>
      <c r="C3115" s="2" t="s">
        <v>4235</v>
      </c>
      <c r="D3115" s="2" t="s">
        <v>4236</v>
      </c>
    </row>
    <row r="3116">
      <c r="A3116" s="2" t="s">
        <v>4245</v>
      </c>
      <c r="B3116" s="2" t="s">
        <v>4241</v>
      </c>
      <c r="C3116" s="2" t="s">
        <v>4235</v>
      </c>
      <c r="D3116" s="2" t="s">
        <v>4236</v>
      </c>
    </row>
    <row r="3117">
      <c r="A3117" s="2" t="s">
        <v>4245</v>
      </c>
      <c r="B3117" s="2" t="s">
        <v>4246</v>
      </c>
      <c r="C3117" s="2" t="s">
        <v>4235</v>
      </c>
      <c r="D3117" s="2" t="s">
        <v>4236</v>
      </c>
    </row>
    <row r="3118">
      <c r="A3118" s="2" t="s">
        <v>4245</v>
      </c>
      <c r="B3118" s="2" t="s">
        <v>4253</v>
      </c>
      <c r="C3118" s="2" t="s">
        <v>4235</v>
      </c>
      <c r="D3118" s="2" t="s">
        <v>4236</v>
      </c>
    </row>
    <row r="3119">
      <c r="A3119" s="2" t="s">
        <v>4245</v>
      </c>
      <c r="B3119" s="2" t="s">
        <v>4254</v>
      </c>
      <c r="C3119" s="2" t="s">
        <v>4235</v>
      </c>
      <c r="D3119" s="2" t="s">
        <v>4236</v>
      </c>
    </row>
    <row r="3120">
      <c r="A3120" s="2" t="s">
        <v>4245</v>
      </c>
      <c r="B3120" s="2" t="s">
        <v>4255</v>
      </c>
      <c r="C3120" s="2" t="s">
        <v>4235</v>
      </c>
      <c r="D3120" s="2" t="s">
        <v>4236</v>
      </c>
    </row>
    <row r="3121">
      <c r="A3121" s="2" t="s">
        <v>4245</v>
      </c>
      <c r="B3121" s="2" t="s">
        <v>4256</v>
      </c>
      <c r="C3121" s="2" t="s">
        <v>4235</v>
      </c>
      <c r="D3121" s="2" t="s">
        <v>4236</v>
      </c>
    </row>
    <row r="3122">
      <c r="A3122" s="2" t="s">
        <v>4245</v>
      </c>
      <c r="B3122" s="2" t="s">
        <v>4257</v>
      </c>
      <c r="C3122" s="2" t="s">
        <v>4235</v>
      </c>
      <c r="D3122" s="2" t="s">
        <v>4236</v>
      </c>
    </row>
    <row r="3123">
      <c r="A3123" s="2" t="s">
        <v>4245</v>
      </c>
      <c r="B3123" s="2" t="s">
        <v>4258</v>
      </c>
      <c r="C3123" s="2" t="s">
        <v>4235</v>
      </c>
      <c r="D3123" s="2" t="s">
        <v>4236</v>
      </c>
    </row>
    <row r="3124">
      <c r="A3124" s="64" t="s">
        <v>4259</v>
      </c>
      <c r="B3124" s="2" t="s">
        <v>4260</v>
      </c>
      <c r="C3124" s="2" t="s">
        <v>4235</v>
      </c>
      <c r="D3124" s="2" t="s">
        <v>4236</v>
      </c>
    </row>
    <row r="3125">
      <c r="A3125" s="64" t="s">
        <v>4259</v>
      </c>
      <c r="B3125" s="2" t="s">
        <v>4261</v>
      </c>
      <c r="C3125" s="2" t="s">
        <v>4235</v>
      </c>
      <c r="D3125" s="2" t="s">
        <v>4236</v>
      </c>
    </row>
    <row r="3126">
      <c r="A3126" s="64" t="s">
        <v>4259</v>
      </c>
      <c r="B3126" s="2" t="s">
        <v>4262</v>
      </c>
      <c r="C3126" s="2" t="s">
        <v>4235</v>
      </c>
      <c r="D3126" s="2" t="s">
        <v>4236</v>
      </c>
    </row>
    <row r="3127">
      <c r="A3127" s="64" t="s">
        <v>4259</v>
      </c>
      <c r="B3127" s="2" t="s">
        <v>4263</v>
      </c>
      <c r="C3127" s="2" t="s">
        <v>4235</v>
      </c>
      <c r="D3127" s="2" t="s">
        <v>4236</v>
      </c>
    </row>
    <row r="3128">
      <c r="A3128" s="64" t="s">
        <v>4259</v>
      </c>
      <c r="B3128" s="2" t="s">
        <v>4264</v>
      </c>
      <c r="C3128" s="2" t="s">
        <v>4235</v>
      </c>
      <c r="D3128" s="2" t="s">
        <v>4236</v>
      </c>
    </row>
    <row r="3129">
      <c r="A3129" s="64" t="s">
        <v>4259</v>
      </c>
      <c r="B3129" s="2" t="s">
        <v>4265</v>
      </c>
      <c r="C3129" s="2" t="s">
        <v>4235</v>
      </c>
      <c r="D3129" s="2" t="s">
        <v>4236</v>
      </c>
    </row>
    <row r="3130">
      <c r="A3130" s="64" t="s">
        <v>4259</v>
      </c>
      <c r="B3130" s="2" t="s">
        <v>4237</v>
      </c>
      <c r="C3130" s="2" t="s">
        <v>4235</v>
      </c>
      <c r="D3130" s="2" t="s">
        <v>4236</v>
      </c>
    </row>
    <row r="3131">
      <c r="A3131" s="64" t="s">
        <v>4259</v>
      </c>
      <c r="B3131" s="2" t="s">
        <v>4266</v>
      </c>
      <c r="C3131" s="2" t="s">
        <v>4235</v>
      </c>
      <c r="D3131" s="2" t="s">
        <v>4236</v>
      </c>
    </row>
    <row r="3132">
      <c r="A3132" s="64" t="s">
        <v>4259</v>
      </c>
      <c r="B3132" s="2" t="s">
        <v>4240</v>
      </c>
      <c r="C3132" s="2" t="s">
        <v>4235</v>
      </c>
      <c r="D3132" s="2" t="s">
        <v>4236</v>
      </c>
    </row>
    <row r="3133">
      <c r="A3133" s="64" t="s">
        <v>4259</v>
      </c>
      <c r="B3133" s="2" t="s">
        <v>4248</v>
      </c>
      <c r="C3133" s="2" t="s">
        <v>4235</v>
      </c>
      <c r="D3133" s="2" t="s">
        <v>4236</v>
      </c>
    </row>
    <row r="3134">
      <c r="A3134" s="64" t="s">
        <v>4259</v>
      </c>
      <c r="B3134" s="2" t="s">
        <v>4267</v>
      </c>
      <c r="C3134" s="2" t="s">
        <v>4235</v>
      </c>
      <c r="D3134" s="2" t="s">
        <v>4236</v>
      </c>
    </row>
    <row r="3135">
      <c r="A3135" s="64" t="s">
        <v>4259</v>
      </c>
      <c r="B3135" s="2" t="s">
        <v>4268</v>
      </c>
      <c r="C3135" s="2" t="s">
        <v>4235</v>
      </c>
      <c r="D3135" s="2" t="s">
        <v>4236</v>
      </c>
    </row>
    <row r="3136">
      <c r="A3136" s="64" t="s">
        <v>4259</v>
      </c>
      <c r="B3136" s="2" t="s">
        <v>4249</v>
      </c>
      <c r="C3136" s="2" t="s">
        <v>4235</v>
      </c>
      <c r="D3136" s="2" t="s">
        <v>4236</v>
      </c>
    </row>
    <row r="3137">
      <c r="A3137" s="64" t="s">
        <v>4259</v>
      </c>
      <c r="B3137" s="2" t="s">
        <v>4269</v>
      </c>
      <c r="C3137" s="2" t="s">
        <v>4235</v>
      </c>
      <c r="D3137" s="2" t="s">
        <v>4236</v>
      </c>
    </row>
    <row r="3138">
      <c r="A3138" s="64" t="s">
        <v>4259</v>
      </c>
      <c r="B3138" s="2" t="s">
        <v>4270</v>
      </c>
      <c r="C3138" s="2" t="s">
        <v>4235</v>
      </c>
      <c r="D3138" s="2" t="s">
        <v>4236</v>
      </c>
    </row>
    <row r="3139">
      <c r="A3139" s="64" t="s">
        <v>4259</v>
      </c>
      <c r="B3139" s="2" t="s">
        <v>4250</v>
      </c>
      <c r="C3139" s="2" t="s">
        <v>4235</v>
      </c>
      <c r="D3139" s="2" t="s">
        <v>4236</v>
      </c>
    </row>
    <row r="3140">
      <c r="A3140" s="64" t="s">
        <v>4259</v>
      </c>
      <c r="B3140" s="2" t="s">
        <v>4271</v>
      </c>
      <c r="C3140" s="2" t="s">
        <v>4235</v>
      </c>
      <c r="D3140" s="2" t="s">
        <v>4236</v>
      </c>
    </row>
    <row r="3141">
      <c r="A3141" s="64" t="s">
        <v>4259</v>
      </c>
      <c r="B3141" s="2" t="s">
        <v>4251</v>
      </c>
      <c r="C3141" s="2" t="s">
        <v>4235</v>
      </c>
      <c r="D3141" s="2" t="s">
        <v>4236</v>
      </c>
    </row>
    <row r="3142">
      <c r="A3142" s="64" t="s">
        <v>4259</v>
      </c>
      <c r="B3142" s="2" t="s">
        <v>4272</v>
      </c>
      <c r="C3142" s="2" t="s">
        <v>4235</v>
      </c>
      <c r="D3142" s="2" t="s">
        <v>4236</v>
      </c>
    </row>
    <row r="3143">
      <c r="A3143" s="64" t="s">
        <v>4259</v>
      </c>
      <c r="B3143" s="2" t="s">
        <v>4273</v>
      </c>
      <c r="C3143" s="2" t="s">
        <v>4235</v>
      </c>
      <c r="D3143" s="2" t="s">
        <v>4236</v>
      </c>
    </row>
    <row r="3144">
      <c r="A3144" s="64" t="s">
        <v>4259</v>
      </c>
      <c r="B3144" s="2" t="s">
        <v>4274</v>
      </c>
      <c r="C3144" s="2" t="s">
        <v>4235</v>
      </c>
      <c r="D3144" s="2" t="s">
        <v>4236</v>
      </c>
    </row>
    <row r="3145">
      <c r="A3145" s="64" t="s">
        <v>4259</v>
      </c>
      <c r="B3145" s="2" t="s">
        <v>4275</v>
      </c>
      <c r="C3145" s="2" t="s">
        <v>4235</v>
      </c>
      <c r="D3145" s="2" t="s">
        <v>4236</v>
      </c>
    </row>
    <row r="3146">
      <c r="A3146" s="64" t="s">
        <v>4259</v>
      </c>
      <c r="B3146" s="2" t="s">
        <v>4276</v>
      </c>
      <c r="C3146" s="2" t="s">
        <v>4235</v>
      </c>
      <c r="D3146" s="2" t="s">
        <v>4236</v>
      </c>
    </row>
    <row r="3147">
      <c r="A3147" s="64" t="s">
        <v>4259</v>
      </c>
      <c r="B3147" s="2" t="s">
        <v>4277</v>
      </c>
      <c r="C3147" s="2" t="s">
        <v>4235</v>
      </c>
      <c r="D3147" s="2" t="s">
        <v>4236</v>
      </c>
    </row>
    <row r="3148">
      <c r="A3148" s="64" t="s">
        <v>4259</v>
      </c>
      <c r="B3148" s="2" t="s">
        <v>4278</v>
      </c>
      <c r="C3148" s="2" t="s">
        <v>4235</v>
      </c>
      <c r="D3148" s="2" t="s">
        <v>4236</v>
      </c>
    </row>
    <row r="3149">
      <c r="A3149" s="64" t="s">
        <v>4259</v>
      </c>
      <c r="B3149" s="2" t="s">
        <v>4279</v>
      </c>
      <c r="C3149" s="2" t="s">
        <v>4235</v>
      </c>
      <c r="D3149" s="2" t="s">
        <v>4236</v>
      </c>
    </row>
    <row r="3150">
      <c r="A3150" s="64" t="s">
        <v>4259</v>
      </c>
      <c r="B3150" s="2" t="s">
        <v>4280</v>
      </c>
      <c r="C3150" s="2" t="s">
        <v>4235</v>
      </c>
      <c r="D3150" s="2" t="s">
        <v>4236</v>
      </c>
    </row>
    <row r="3151">
      <c r="A3151" s="64" t="s">
        <v>4259</v>
      </c>
      <c r="B3151" s="2" t="s">
        <v>4281</v>
      </c>
      <c r="C3151" s="2" t="s">
        <v>4235</v>
      </c>
      <c r="D3151" s="2" t="s">
        <v>4236</v>
      </c>
    </row>
    <row r="3152">
      <c r="A3152" s="64" t="s">
        <v>4259</v>
      </c>
      <c r="B3152" s="2" t="s">
        <v>4282</v>
      </c>
      <c r="C3152" s="2" t="s">
        <v>4235</v>
      </c>
      <c r="D3152" s="2" t="s">
        <v>4236</v>
      </c>
    </row>
    <row r="3153">
      <c r="A3153" s="64" t="s">
        <v>4259</v>
      </c>
      <c r="B3153" s="2" t="s">
        <v>4283</v>
      </c>
      <c r="C3153" s="2" t="s">
        <v>4235</v>
      </c>
      <c r="D3153" s="2" t="s">
        <v>4236</v>
      </c>
    </row>
    <row r="3154">
      <c r="A3154" s="64" t="s">
        <v>4259</v>
      </c>
      <c r="B3154" s="2" t="s">
        <v>4284</v>
      </c>
      <c r="C3154" s="2" t="s">
        <v>4235</v>
      </c>
      <c r="D3154" s="2" t="s">
        <v>4236</v>
      </c>
    </row>
    <row r="3155">
      <c r="A3155" s="64" t="s">
        <v>4259</v>
      </c>
      <c r="B3155" s="2" t="s">
        <v>4238</v>
      </c>
      <c r="C3155" s="2" t="s">
        <v>4235</v>
      </c>
      <c r="D3155" s="2" t="s">
        <v>4236</v>
      </c>
    </row>
    <row r="3156">
      <c r="A3156" s="64" t="s">
        <v>4259</v>
      </c>
      <c r="B3156" s="2" t="s">
        <v>4285</v>
      </c>
      <c r="C3156" s="2" t="s">
        <v>4235</v>
      </c>
      <c r="D3156" s="2" t="s">
        <v>4236</v>
      </c>
    </row>
    <row r="3157">
      <c r="A3157" s="64" t="s">
        <v>4259</v>
      </c>
      <c r="B3157" s="2" t="s">
        <v>4286</v>
      </c>
      <c r="C3157" s="2" t="s">
        <v>4235</v>
      </c>
      <c r="D3157" s="2" t="s">
        <v>4236</v>
      </c>
    </row>
    <row r="3158">
      <c r="A3158" s="64" t="s">
        <v>4259</v>
      </c>
      <c r="B3158" s="2" t="s">
        <v>4287</v>
      </c>
      <c r="C3158" s="2" t="s">
        <v>4235</v>
      </c>
      <c r="D3158" s="2" t="s">
        <v>4236</v>
      </c>
    </row>
    <row r="3159">
      <c r="A3159" s="64" t="s">
        <v>4259</v>
      </c>
      <c r="B3159" s="2" t="s">
        <v>4288</v>
      </c>
      <c r="C3159" s="2" t="s">
        <v>4235</v>
      </c>
      <c r="D3159" s="2" t="s">
        <v>4236</v>
      </c>
    </row>
    <row r="3160">
      <c r="A3160" s="64" t="s">
        <v>4259</v>
      </c>
      <c r="B3160" s="2" t="s">
        <v>4289</v>
      </c>
      <c r="C3160" s="2" t="s">
        <v>4235</v>
      </c>
      <c r="D3160" s="2" t="s">
        <v>4236</v>
      </c>
    </row>
    <row r="3161">
      <c r="A3161" s="64" t="s">
        <v>4259</v>
      </c>
      <c r="B3161" s="2" t="s">
        <v>4290</v>
      </c>
      <c r="C3161" s="2" t="s">
        <v>4235</v>
      </c>
      <c r="D3161" s="2" t="s">
        <v>4236</v>
      </c>
    </row>
    <row r="3162">
      <c r="A3162" s="64" t="s">
        <v>4259</v>
      </c>
      <c r="B3162" s="2" t="s">
        <v>4291</v>
      </c>
      <c r="C3162" s="2" t="s">
        <v>4235</v>
      </c>
      <c r="D3162" s="2" t="s">
        <v>4236</v>
      </c>
    </row>
    <row r="3163">
      <c r="A3163" s="64" t="s">
        <v>4259</v>
      </c>
      <c r="B3163" s="2" t="s">
        <v>4292</v>
      </c>
      <c r="C3163" s="2" t="s">
        <v>4235</v>
      </c>
      <c r="D3163" s="2" t="s">
        <v>4236</v>
      </c>
    </row>
    <row r="3164">
      <c r="A3164" s="64" t="s">
        <v>4259</v>
      </c>
      <c r="B3164" s="2" t="s">
        <v>4293</v>
      </c>
      <c r="C3164" s="2" t="s">
        <v>4235</v>
      </c>
      <c r="D3164" s="2" t="s">
        <v>4236</v>
      </c>
    </row>
    <row r="3165">
      <c r="A3165" s="64" t="s">
        <v>4259</v>
      </c>
      <c r="B3165" s="2" t="s">
        <v>4239</v>
      </c>
      <c r="C3165" s="2" t="s">
        <v>4235</v>
      </c>
      <c r="D3165" s="2" t="s">
        <v>4236</v>
      </c>
    </row>
    <row r="3166">
      <c r="A3166" s="64" t="s">
        <v>4259</v>
      </c>
      <c r="B3166" s="2" t="s">
        <v>4294</v>
      </c>
      <c r="C3166" s="2" t="s">
        <v>4235</v>
      </c>
      <c r="D3166" s="2" t="s">
        <v>4236</v>
      </c>
    </row>
    <row r="3167">
      <c r="A3167" s="64" t="s">
        <v>4259</v>
      </c>
      <c r="B3167" s="2" t="s">
        <v>4295</v>
      </c>
      <c r="C3167" s="2" t="s">
        <v>4235</v>
      </c>
      <c r="D3167" s="2" t="s">
        <v>4236</v>
      </c>
    </row>
    <row r="3168">
      <c r="A3168" s="64" t="s">
        <v>4259</v>
      </c>
      <c r="B3168" s="2" t="s">
        <v>4296</v>
      </c>
      <c r="C3168" s="2" t="s">
        <v>4235</v>
      </c>
      <c r="D3168" s="2" t="s">
        <v>4236</v>
      </c>
    </row>
    <row r="3169">
      <c r="A3169" s="64" t="s">
        <v>4259</v>
      </c>
      <c r="B3169" s="2" t="s">
        <v>4297</v>
      </c>
      <c r="C3169" s="2" t="s">
        <v>4235</v>
      </c>
      <c r="D3169" s="2" t="s">
        <v>4236</v>
      </c>
    </row>
    <row r="3170">
      <c r="A3170" s="64" t="s">
        <v>4259</v>
      </c>
      <c r="B3170" s="2" t="s">
        <v>4298</v>
      </c>
      <c r="C3170" s="2" t="s">
        <v>4235</v>
      </c>
      <c r="D3170" s="2" t="s">
        <v>4236</v>
      </c>
    </row>
    <row r="3171">
      <c r="A3171" s="64" t="s">
        <v>4259</v>
      </c>
      <c r="B3171" s="2" t="s">
        <v>4299</v>
      </c>
      <c r="C3171" s="2" t="s">
        <v>4235</v>
      </c>
      <c r="D3171" s="2" t="s">
        <v>4236</v>
      </c>
    </row>
    <row r="3172">
      <c r="A3172" s="64" t="s">
        <v>4259</v>
      </c>
      <c r="B3172" s="2" t="s">
        <v>4300</v>
      </c>
      <c r="C3172" s="2" t="s">
        <v>4235</v>
      </c>
      <c r="D3172" s="2" t="s">
        <v>4236</v>
      </c>
    </row>
    <row r="3173">
      <c r="A3173" s="64" t="s">
        <v>4259</v>
      </c>
      <c r="B3173" s="2" t="s">
        <v>4301</v>
      </c>
      <c r="C3173" s="2" t="s">
        <v>4235</v>
      </c>
      <c r="D3173" s="2" t="s">
        <v>4236</v>
      </c>
    </row>
    <row r="3174">
      <c r="A3174" s="64" t="s">
        <v>4259</v>
      </c>
      <c r="B3174" s="2" t="s">
        <v>4302</v>
      </c>
      <c r="C3174" s="2" t="s">
        <v>4235</v>
      </c>
      <c r="D3174" s="2" t="s">
        <v>4236</v>
      </c>
    </row>
    <row r="3175">
      <c r="A3175" s="64" t="s">
        <v>4259</v>
      </c>
      <c r="B3175" s="2" t="s">
        <v>4303</v>
      </c>
      <c r="C3175" s="2" t="s">
        <v>4235</v>
      </c>
      <c r="D3175" s="2" t="s">
        <v>4236</v>
      </c>
    </row>
    <row r="3176">
      <c r="A3176" s="64" t="s">
        <v>4259</v>
      </c>
      <c r="B3176" s="2" t="s">
        <v>4304</v>
      </c>
      <c r="C3176" s="2" t="s">
        <v>4235</v>
      </c>
      <c r="D3176" s="2" t="s">
        <v>4236</v>
      </c>
    </row>
    <row r="3177">
      <c r="A3177" s="64" t="s">
        <v>4259</v>
      </c>
      <c r="B3177" s="2" t="s">
        <v>4305</v>
      </c>
      <c r="C3177" s="2" t="s">
        <v>4235</v>
      </c>
      <c r="D3177" s="2" t="s">
        <v>4236</v>
      </c>
    </row>
    <row r="3178">
      <c r="A3178" s="64" t="s">
        <v>4259</v>
      </c>
      <c r="B3178" s="2" t="s">
        <v>4306</v>
      </c>
      <c r="C3178" s="2" t="s">
        <v>4235</v>
      </c>
      <c r="D3178" s="2" t="s">
        <v>4236</v>
      </c>
    </row>
    <row r="3179">
      <c r="A3179" s="64" t="s">
        <v>4259</v>
      </c>
      <c r="B3179" s="2" t="s">
        <v>4307</v>
      </c>
      <c r="C3179" s="2" t="s">
        <v>4235</v>
      </c>
      <c r="D3179" s="2" t="s">
        <v>4236</v>
      </c>
    </row>
    <row r="3180">
      <c r="A3180" s="64" t="s">
        <v>4259</v>
      </c>
      <c r="B3180" s="2" t="s">
        <v>4308</v>
      </c>
      <c r="C3180" s="2" t="s">
        <v>4235</v>
      </c>
      <c r="D3180" s="2" t="s">
        <v>4236</v>
      </c>
    </row>
    <row r="3181">
      <c r="A3181" s="64" t="s">
        <v>4259</v>
      </c>
      <c r="B3181" s="2" t="s">
        <v>4309</v>
      </c>
      <c r="C3181" s="2" t="s">
        <v>4235</v>
      </c>
      <c r="D3181" s="2" t="s">
        <v>4236</v>
      </c>
    </row>
    <row r="3182">
      <c r="A3182" s="64" t="s">
        <v>4259</v>
      </c>
      <c r="B3182" s="2" t="s">
        <v>4310</v>
      </c>
      <c r="C3182" s="2" t="s">
        <v>4235</v>
      </c>
      <c r="D3182" s="2" t="s">
        <v>4236</v>
      </c>
    </row>
    <row r="3183">
      <c r="A3183" s="64" t="s">
        <v>4259</v>
      </c>
      <c r="B3183" s="2" t="s">
        <v>4311</v>
      </c>
      <c r="C3183" s="2" t="s">
        <v>4235</v>
      </c>
      <c r="D3183" s="2" t="s">
        <v>4236</v>
      </c>
    </row>
    <row r="3184">
      <c r="A3184" s="64" t="s">
        <v>4259</v>
      </c>
      <c r="B3184" s="2" t="s">
        <v>4312</v>
      </c>
      <c r="C3184" s="2" t="s">
        <v>4235</v>
      </c>
      <c r="D3184" s="2" t="s">
        <v>4236</v>
      </c>
    </row>
    <row r="3185">
      <c r="A3185" s="64" t="s">
        <v>4259</v>
      </c>
      <c r="B3185" s="2" t="s">
        <v>4313</v>
      </c>
      <c r="C3185" s="2" t="s">
        <v>4235</v>
      </c>
      <c r="D3185" s="2" t="s">
        <v>4236</v>
      </c>
    </row>
    <row r="3186">
      <c r="A3186" s="64" t="s">
        <v>4259</v>
      </c>
      <c r="B3186" s="2" t="s">
        <v>4314</v>
      </c>
      <c r="C3186" s="2" t="s">
        <v>4235</v>
      </c>
      <c r="D3186" s="2" t="s">
        <v>4236</v>
      </c>
    </row>
    <row r="3187">
      <c r="A3187" s="64" t="s">
        <v>4259</v>
      </c>
      <c r="B3187" s="2" t="s">
        <v>4315</v>
      </c>
      <c r="C3187" s="2" t="s">
        <v>4235</v>
      </c>
      <c r="D3187" s="2" t="s">
        <v>4236</v>
      </c>
    </row>
    <row r="3188">
      <c r="A3188" s="64" t="s">
        <v>4259</v>
      </c>
      <c r="B3188" s="2" t="s">
        <v>4316</v>
      </c>
      <c r="C3188" s="2" t="s">
        <v>4235</v>
      </c>
      <c r="D3188" s="2" t="s">
        <v>4236</v>
      </c>
    </row>
    <row r="3189">
      <c r="A3189" s="64" t="s">
        <v>4259</v>
      </c>
      <c r="B3189" s="2" t="s">
        <v>4317</v>
      </c>
      <c r="C3189" s="2" t="s">
        <v>4235</v>
      </c>
      <c r="D3189" s="2" t="s">
        <v>4236</v>
      </c>
    </row>
    <row r="3190">
      <c r="A3190" s="64" t="s">
        <v>4259</v>
      </c>
      <c r="B3190" s="2" t="s">
        <v>4318</v>
      </c>
      <c r="C3190" s="2" t="s">
        <v>4235</v>
      </c>
      <c r="D3190" s="2" t="s">
        <v>4236</v>
      </c>
    </row>
    <row r="3191">
      <c r="A3191" s="64" t="s">
        <v>4259</v>
      </c>
      <c r="B3191" s="2" t="s">
        <v>4319</v>
      </c>
      <c r="C3191" s="2" t="s">
        <v>4235</v>
      </c>
      <c r="D3191" s="2" t="s">
        <v>4236</v>
      </c>
    </row>
    <row r="3192">
      <c r="A3192" s="64" t="s">
        <v>4259</v>
      </c>
      <c r="B3192" s="2" t="s">
        <v>4320</v>
      </c>
      <c r="C3192" s="2" t="s">
        <v>4235</v>
      </c>
      <c r="D3192" s="2" t="s">
        <v>4236</v>
      </c>
    </row>
    <row r="3193">
      <c r="A3193" s="64" t="s">
        <v>4259</v>
      </c>
      <c r="B3193" s="2" t="s">
        <v>4321</v>
      </c>
      <c r="C3193" s="2" t="s">
        <v>4235</v>
      </c>
      <c r="D3193" s="2" t="s">
        <v>4236</v>
      </c>
    </row>
    <row r="3194">
      <c r="A3194" s="64" t="s">
        <v>4259</v>
      </c>
      <c r="B3194" s="2" t="s">
        <v>4322</v>
      </c>
      <c r="C3194" s="2" t="s">
        <v>4235</v>
      </c>
      <c r="D3194" s="2" t="s">
        <v>4236</v>
      </c>
    </row>
    <row r="3195">
      <c r="A3195" s="64" t="s">
        <v>4259</v>
      </c>
      <c r="B3195" s="2" t="s">
        <v>4323</v>
      </c>
      <c r="C3195" s="2" t="s">
        <v>4235</v>
      </c>
      <c r="D3195" s="2" t="s">
        <v>4236</v>
      </c>
    </row>
    <row r="3196">
      <c r="A3196" s="64" t="s">
        <v>4259</v>
      </c>
      <c r="B3196" s="2" t="s">
        <v>4324</v>
      </c>
      <c r="C3196" s="2" t="s">
        <v>4235</v>
      </c>
      <c r="D3196" s="2" t="s">
        <v>4236</v>
      </c>
    </row>
    <row r="3197">
      <c r="A3197" s="64" t="s">
        <v>4259</v>
      </c>
      <c r="B3197" s="2" t="s">
        <v>4325</v>
      </c>
      <c r="C3197" s="2" t="s">
        <v>4235</v>
      </c>
      <c r="D3197" s="2" t="s">
        <v>4236</v>
      </c>
    </row>
    <row r="3198">
      <c r="A3198" s="64" t="s">
        <v>4259</v>
      </c>
      <c r="B3198" s="2" t="s">
        <v>4326</v>
      </c>
      <c r="C3198" s="2" t="s">
        <v>4235</v>
      </c>
      <c r="D3198" s="2" t="s">
        <v>4236</v>
      </c>
    </row>
    <row r="3199">
      <c r="A3199" s="64" t="s">
        <v>4259</v>
      </c>
      <c r="B3199" s="2" t="s">
        <v>4327</v>
      </c>
      <c r="C3199" s="2" t="s">
        <v>4235</v>
      </c>
      <c r="D3199" s="2" t="s">
        <v>4236</v>
      </c>
    </row>
    <row r="3200">
      <c r="A3200" s="64" t="s">
        <v>4259</v>
      </c>
      <c r="B3200" s="2" t="s">
        <v>4328</v>
      </c>
      <c r="C3200" s="2" t="s">
        <v>4235</v>
      </c>
      <c r="D3200" s="2" t="s">
        <v>4236</v>
      </c>
    </row>
    <row r="3201">
      <c r="A3201" s="64" t="s">
        <v>4259</v>
      </c>
      <c r="B3201" s="2" t="s">
        <v>4329</v>
      </c>
      <c r="C3201" s="2" t="s">
        <v>4235</v>
      </c>
      <c r="D3201" s="2" t="s">
        <v>4236</v>
      </c>
    </row>
    <row r="3202">
      <c r="A3202" s="64" t="s">
        <v>4259</v>
      </c>
      <c r="B3202" s="2" t="s">
        <v>4330</v>
      </c>
      <c r="C3202" s="2" t="s">
        <v>4235</v>
      </c>
      <c r="D3202" s="2" t="s">
        <v>4236</v>
      </c>
    </row>
    <row r="3203">
      <c r="A3203" s="64" t="s">
        <v>4259</v>
      </c>
      <c r="B3203" s="2" t="s">
        <v>4331</v>
      </c>
      <c r="C3203" s="2" t="s">
        <v>4235</v>
      </c>
      <c r="D3203" s="2" t="s">
        <v>4236</v>
      </c>
    </row>
    <row r="3204">
      <c r="A3204" s="64" t="s">
        <v>4259</v>
      </c>
      <c r="B3204" s="2" t="s">
        <v>4332</v>
      </c>
      <c r="C3204" s="2" t="s">
        <v>4235</v>
      </c>
      <c r="D3204" s="2" t="s">
        <v>4236</v>
      </c>
    </row>
    <row r="3205">
      <c r="A3205" s="2" t="s">
        <v>4259</v>
      </c>
      <c r="B3205" s="2" t="s">
        <v>4333</v>
      </c>
      <c r="C3205" s="2" t="s">
        <v>4235</v>
      </c>
      <c r="D3205" s="2" t="s">
        <v>4236</v>
      </c>
    </row>
    <row r="3206">
      <c r="A3206" s="2" t="s">
        <v>4259</v>
      </c>
      <c r="B3206" s="2" t="s">
        <v>4334</v>
      </c>
      <c r="C3206" s="2" t="s">
        <v>4235</v>
      </c>
      <c r="D3206" s="2" t="s">
        <v>4236</v>
      </c>
    </row>
    <row r="3207">
      <c r="A3207" s="2" t="s">
        <v>4259</v>
      </c>
      <c r="B3207" s="2" t="s">
        <v>4335</v>
      </c>
      <c r="C3207" s="2" t="s">
        <v>4235</v>
      </c>
      <c r="D3207" s="2" t="s">
        <v>4236</v>
      </c>
    </row>
    <row r="3208">
      <c r="A3208" s="2" t="s">
        <v>4259</v>
      </c>
      <c r="B3208" s="2" t="s">
        <v>4336</v>
      </c>
      <c r="C3208" s="2" t="s">
        <v>4235</v>
      </c>
      <c r="D3208" s="2" t="s">
        <v>4236</v>
      </c>
    </row>
    <row r="3209">
      <c r="A3209" s="2" t="s">
        <v>4259</v>
      </c>
      <c r="B3209" s="2" t="s">
        <v>4337</v>
      </c>
      <c r="C3209" s="2" t="s">
        <v>4235</v>
      </c>
      <c r="D3209" s="2" t="s">
        <v>4236</v>
      </c>
    </row>
    <row r="3210">
      <c r="A3210" s="2" t="s">
        <v>4259</v>
      </c>
      <c r="B3210" s="2" t="s">
        <v>4338</v>
      </c>
      <c r="C3210" s="2" t="s">
        <v>4235</v>
      </c>
      <c r="D3210" s="2" t="s">
        <v>4236</v>
      </c>
    </row>
    <row r="3211">
      <c r="A3211" s="2" t="s">
        <v>4259</v>
      </c>
      <c r="B3211" s="2" t="s">
        <v>4339</v>
      </c>
      <c r="C3211" s="2" t="s">
        <v>4235</v>
      </c>
      <c r="D3211" s="2" t="s">
        <v>4236</v>
      </c>
    </row>
    <row r="3212">
      <c r="A3212" s="2" t="s">
        <v>4259</v>
      </c>
      <c r="B3212" s="2" t="s">
        <v>4340</v>
      </c>
      <c r="C3212" s="2" t="s">
        <v>4235</v>
      </c>
      <c r="D3212" s="2" t="s">
        <v>4236</v>
      </c>
    </row>
    <row r="3213">
      <c r="A3213" s="2" t="s">
        <v>4259</v>
      </c>
      <c r="B3213" s="2" t="s">
        <v>4341</v>
      </c>
      <c r="C3213" s="2" t="s">
        <v>4235</v>
      </c>
      <c r="D3213" s="2" t="s">
        <v>4236</v>
      </c>
    </row>
    <row r="3214">
      <c r="A3214" s="2" t="s">
        <v>4259</v>
      </c>
      <c r="B3214" s="2" t="s">
        <v>4342</v>
      </c>
      <c r="C3214" s="2" t="s">
        <v>4235</v>
      </c>
      <c r="D3214" s="2" t="s">
        <v>4236</v>
      </c>
    </row>
    <row r="3215">
      <c r="A3215" s="2" t="s">
        <v>4259</v>
      </c>
      <c r="B3215" s="2" t="s">
        <v>4343</v>
      </c>
      <c r="C3215" s="2" t="s">
        <v>4235</v>
      </c>
      <c r="D3215" s="2" t="s">
        <v>4236</v>
      </c>
    </row>
    <row r="3216">
      <c r="A3216" s="2" t="s">
        <v>4259</v>
      </c>
      <c r="B3216" s="2" t="s">
        <v>4344</v>
      </c>
      <c r="C3216" s="2" t="s">
        <v>4235</v>
      </c>
      <c r="D3216" s="2" t="s">
        <v>4236</v>
      </c>
    </row>
    <row r="3217">
      <c r="A3217" s="2" t="s">
        <v>4259</v>
      </c>
      <c r="B3217" s="2" t="s">
        <v>4345</v>
      </c>
      <c r="C3217" s="2" t="s">
        <v>4235</v>
      </c>
      <c r="D3217" s="2" t="s">
        <v>4236</v>
      </c>
    </row>
    <row r="3218">
      <c r="A3218" s="2" t="s">
        <v>4259</v>
      </c>
      <c r="B3218" s="2" t="s">
        <v>4346</v>
      </c>
      <c r="C3218" s="2" t="s">
        <v>4235</v>
      </c>
      <c r="D3218" s="2" t="s">
        <v>4236</v>
      </c>
    </row>
    <row r="3219">
      <c r="A3219" s="2" t="s">
        <v>4259</v>
      </c>
      <c r="B3219" s="2" t="s">
        <v>4347</v>
      </c>
      <c r="C3219" s="2" t="s">
        <v>4235</v>
      </c>
      <c r="D3219" s="2" t="s">
        <v>4236</v>
      </c>
    </row>
    <row r="3220">
      <c r="A3220" s="2" t="s">
        <v>4259</v>
      </c>
      <c r="B3220" s="2" t="s">
        <v>4348</v>
      </c>
      <c r="C3220" s="2" t="s">
        <v>4235</v>
      </c>
      <c r="D3220" s="2" t="s">
        <v>4236</v>
      </c>
    </row>
    <row r="3221">
      <c r="A3221" s="2" t="s">
        <v>4259</v>
      </c>
      <c r="B3221" s="2" t="s">
        <v>4349</v>
      </c>
      <c r="C3221" s="2" t="s">
        <v>4235</v>
      </c>
      <c r="D3221" s="2" t="s">
        <v>4236</v>
      </c>
    </row>
    <row r="3222">
      <c r="A3222" s="2" t="s">
        <v>4259</v>
      </c>
      <c r="B3222" s="2" t="s">
        <v>4350</v>
      </c>
      <c r="C3222" s="2" t="s">
        <v>4235</v>
      </c>
      <c r="D3222" s="2" t="s">
        <v>4236</v>
      </c>
    </row>
    <row r="3223">
      <c r="A3223" s="2" t="s">
        <v>4259</v>
      </c>
      <c r="B3223" s="2" t="s">
        <v>4351</v>
      </c>
      <c r="C3223" s="2" t="s">
        <v>4235</v>
      </c>
      <c r="D3223" s="2" t="s">
        <v>4236</v>
      </c>
    </row>
    <row r="3224">
      <c r="A3224" s="2" t="s">
        <v>4259</v>
      </c>
      <c r="B3224" s="2" t="s">
        <v>4353</v>
      </c>
      <c r="C3224" s="2" t="s">
        <v>4235</v>
      </c>
      <c r="D3224" s="2" t="s">
        <v>4236</v>
      </c>
    </row>
    <row r="3225">
      <c r="A3225" s="2" t="s">
        <v>4259</v>
      </c>
      <c r="B3225" s="2" t="s">
        <v>4354</v>
      </c>
      <c r="C3225" s="2" t="s">
        <v>4235</v>
      </c>
      <c r="D3225" s="2" t="s">
        <v>4236</v>
      </c>
    </row>
    <row r="3226">
      <c r="A3226" s="2" t="s">
        <v>4259</v>
      </c>
      <c r="B3226" s="2" t="s">
        <v>4355</v>
      </c>
      <c r="C3226" s="2" t="s">
        <v>4235</v>
      </c>
      <c r="D3226" s="2" t="s">
        <v>4236</v>
      </c>
    </row>
    <row r="3227">
      <c r="A3227" s="2" t="s">
        <v>4259</v>
      </c>
      <c r="B3227" s="2" t="s">
        <v>4356</v>
      </c>
      <c r="C3227" s="2" t="s">
        <v>4235</v>
      </c>
      <c r="D3227" s="2" t="s">
        <v>4236</v>
      </c>
    </row>
    <row r="3228">
      <c r="A3228" s="2" t="s">
        <v>4259</v>
      </c>
      <c r="B3228" s="2" t="s">
        <v>4357</v>
      </c>
      <c r="C3228" s="2" t="s">
        <v>4235</v>
      </c>
      <c r="D3228" s="2" t="s">
        <v>4236</v>
      </c>
    </row>
    <row r="3229">
      <c r="A3229" s="2" t="s">
        <v>4259</v>
      </c>
      <c r="B3229" s="2" t="s">
        <v>4359</v>
      </c>
      <c r="C3229" s="2" t="s">
        <v>4235</v>
      </c>
      <c r="D3229" s="2" t="s">
        <v>4236</v>
      </c>
    </row>
    <row r="3230">
      <c r="A3230" s="2" t="s">
        <v>4259</v>
      </c>
      <c r="B3230" s="2" t="s">
        <v>4361</v>
      </c>
      <c r="C3230" s="2" t="s">
        <v>4235</v>
      </c>
      <c r="D3230" s="2" t="s">
        <v>4236</v>
      </c>
    </row>
    <row r="3231">
      <c r="A3231" s="2" t="s">
        <v>4259</v>
      </c>
      <c r="B3231" s="2" t="s">
        <v>4362</v>
      </c>
      <c r="C3231" s="2" t="s">
        <v>4235</v>
      </c>
      <c r="D3231" s="2" t="s">
        <v>4236</v>
      </c>
    </row>
    <row r="3232">
      <c r="A3232" s="2" t="s">
        <v>4259</v>
      </c>
      <c r="B3232" s="2" t="s">
        <v>4363</v>
      </c>
      <c r="C3232" s="2" t="s">
        <v>4235</v>
      </c>
      <c r="D3232" s="2" t="s">
        <v>4236</v>
      </c>
    </row>
    <row r="3233">
      <c r="A3233" s="2" t="s">
        <v>4259</v>
      </c>
      <c r="B3233" s="2" t="s">
        <v>4364</v>
      </c>
      <c r="C3233" s="2" t="s">
        <v>4235</v>
      </c>
      <c r="D3233" s="2" t="s">
        <v>4236</v>
      </c>
    </row>
    <row r="3234">
      <c r="A3234" s="2" t="s">
        <v>4259</v>
      </c>
      <c r="B3234" s="2" t="s">
        <v>4365</v>
      </c>
      <c r="C3234" s="2" t="s">
        <v>4235</v>
      </c>
      <c r="D3234" s="2" t="s">
        <v>4236</v>
      </c>
    </row>
    <row r="3235">
      <c r="A3235" s="2" t="s">
        <v>4259</v>
      </c>
      <c r="B3235" s="2" t="s">
        <v>4366</v>
      </c>
      <c r="C3235" s="2" t="s">
        <v>4235</v>
      </c>
      <c r="D3235" s="2" t="s">
        <v>4236</v>
      </c>
    </row>
    <row r="3236">
      <c r="A3236" s="2" t="s">
        <v>4259</v>
      </c>
      <c r="B3236" s="2" t="s">
        <v>4367</v>
      </c>
      <c r="C3236" s="2" t="s">
        <v>4235</v>
      </c>
      <c r="D3236" s="2" t="s">
        <v>4236</v>
      </c>
    </row>
    <row r="3237">
      <c r="A3237" s="2" t="s">
        <v>4259</v>
      </c>
      <c r="B3237" s="2" t="s">
        <v>4368</v>
      </c>
      <c r="C3237" s="2" t="s">
        <v>4235</v>
      </c>
      <c r="D3237" s="2" t="s">
        <v>4236</v>
      </c>
    </row>
    <row r="3238">
      <c r="A3238" s="2" t="s">
        <v>4259</v>
      </c>
      <c r="B3238" s="2" t="s">
        <v>4369</v>
      </c>
      <c r="C3238" s="2" t="s">
        <v>4235</v>
      </c>
      <c r="D3238" s="2" t="s">
        <v>4236</v>
      </c>
    </row>
    <row r="3239">
      <c r="A3239" s="2" t="s">
        <v>4259</v>
      </c>
      <c r="B3239" s="2" t="s">
        <v>4370</v>
      </c>
      <c r="C3239" s="2" t="s">
        <v>4235</v>
      </c>
      <c r="D3239" s="2" t="s">
        <v>4236</v>
      </c>
    </row>
    <row r="3240">
      <c r="A3240" s="2" t="s">
        <v>4259</v>
      </c>
      <c r="B3240" s="2" t="s">
        <v>4371</v>
      </c>
      <c r="C3240" s="2" t="s">
        <v>4235</v>
      </c>
      <c r="D3240" s="2" t="s">
        <v>4236</v>
      </c>
    </row>
    <row r="3241">
      <c r="A3241" s="2" t="s">
        <v>4259</v>
      </c>
      <c r="B3241" s="2" t="s">
        <v>4372</v>
      </c>
      <c r="C3241" s="2" t="s">
        <v>4235</v>
      </c>
      <c r="D3241" s="2" t="s">
        <v>4236</v>
      </c>
    </row>
    <row r="3242">
      <c r="A3242" s="2" t="s">
        <v>4259</v>
      </c>
      <c r="B3242" s="2" t="s">
        <v>4373</v>
      </c>
      <c r="C3242" s="2" t="s">
        <v>4235</v>
      </c>
      <c r="D3242" s="2" t="s">
        <v>4236</v>
      </c>
    </row>
    <row r="3243">
      <c r="A3243" s="2" t="s">
        <v>4259</v>
      </c>
      <c r="B3243" s="2" t="s">
        <v>4374</v>
      </c>
      <c r="C3243" s="2" t="s">
        <v>4235</v>
      </c>
      <c r="D3243" s="2" t="s">
        <v>4236</v>
      </c>
    </row>
    <row r="3244">
      <c r="A3244" s="2" t="s">
        <v>4259</v>
      </c>
      <c r="B3244" s="2" t="s">
        <v>4375</v>
      </c>
      <c r="C3244" s="2" t="s">
        <v>4235</v>
      </c>
      <c r="D3244" s="2" t="s">
        <v>4236</v>
      </c>
    </row>
    <row r="3245">
      <c r="A3245" s="2" t="s">
        <v>4259</v>
      </c>
      <c r="B3245" s="2" t="s">
        <v>4376</v>
      </c>
      <c r="C3245" s="2" t="s">
        <v>4235</v>
      </c>
      <c r="D3245" s="2" t="s">
        <v>4236</v>
      </c>
    </row>
    <row r="3246">
      <c r="A3246" s="2" t="s">
        <v>4259</v>
      </c>
      <c r="B3246" s="2" t="s">
        <v>4377</v>
      </c>
      <c r="C3246" s="2" t="s">
        <v>4235</v>
      </c>
      <c r="D3246" s="2" t="s">
        <v>4236</v>
      </c>
    </row>
    <row r="3247">
      <c r="A3247" s="2" t="s">
        <v>4259</v>
      </c>
      <c r="B3247" s="2" t="s">
        <v>4378</v>
      </c>
      <c r="C3247" s="2" t="s">
        <v>4235</v>
      </c>
      <c r="D3247" s="2" t="s">
        <v>4236</v>
      </c>
    </row>
    <row r="3248">
      <c r="A3248" s="2" t="s">
        <v>4259</v>
      </c>
      <c r="B3248" s="2" t="s">
        <v>4379</v>
      </c>
      <c r="C3248" s="2" t="s">
        <v>4235</v>
      </c>
      <c r="D3248" s="2" t="s">
        <v>4236</v>
      </c>
    </row>
    <row r="3249">
      <c r="A3249" s="2" t="s">
        <v>4259</v>
      </c>
      <c r="B3249" s="2" t="s">
        <v>4380</v>
      </c>
      <c r="C3249" s="2" t="s">
        <v>4235</v>
      </c>
      <c r="D3249" s="2" t="s">
        <v>4236</v>
      </c>
    </row>
    <row r="3250">
      <c r="A3250" s="2" t="s">
        <v>4259</v>
      </c>
      <c r="B3250" s="2" t="s">
        <v>4381</v>
      </c>
      <c r="C3250" s="2" t="s">
        <v>4235</v>
      </c>
      <c r="D3250" s="2" t="s">
        <v>4236</v>
      </c>
    </row>
    <row r="3251">
      <c r="A3251" s="2" t="s">
        <v>4259</v>
      </c>
      <c r="B3251" s="2" t="s">
        <v>4382</v>
      </c>
      <c r="C3251" s="2" t="s">
        <v>4235</v>
      </c>
      <c r="D3251" s="2" t="s">
        <v>4236</v>
      </c>
    </row>
    <row r="3252">
      <c r="A3252" s="2" t="s">
        <v>4259</v>
      </c>
      <c r="B3252" s="2" t="s">
        <v>4383</v>
      </c>
      <c r="C3252" s="2" t="s">
        <v>4235</v>
      </c>
      <c r="D3252" s="2" t="s">
        <v>4236</v>
      </c>
    </row>
    <row r="3253">
      <c r="A3253" s="2" t="s">
        <v>4259</v>
      </c>
      <c r="B3253" s="2" t="s">
        <v>4384</v>
      </c>
      <c r="C3253" s="2" t="s">
        <v>4235</v>
      </c>
      <c r="D3253" s="2" t="s">
        <v>4236</v>
      </c>
    </row>
    <row r="3254">
      <c r="A3254" s="2" t="s">
        <v>4259</v>
      </c>
      <c r="B3254" s="2" t="s">
        <v>4385</v>
      </c>
      <c r="C3254" s="2" t="s">
        <v>4235</v>
      </c>
      <c r="D3254" s="2" t="s">
        <v>4236</v>
      </c>
    </row>
    <row r="3255">
      <c r="A3255" s="2" t="s">
        <v>4259</v>
      </c>
      <c r="B3255" s="2" t="s">
        <v>4386</v>
      </c>
      <c r="C3255" s="2" t="s">
        <v>4235</v>
      </c>
      <c r="D3255" s="2" t="s">
        <v>4236</v>
      </c>
    </row>
    <row r="3256">
      <c r="A3256" s="2" t="s">
        <v>4259</v>
      </c>
      <c r="B3256" s="2" t="s">
        <v>4387</v>
      </c>
      <c r="C3256" s="2" t="s">
        <v>4235</v>
      </c>
      <c r="D3256" s="2" t="s">
        <v>4236</v>
      </c>
    </row>
    <row r="3257">
      <c r="A3257" s="2" t="s">
        <v>4259</v>
      </c>
      <c r="B3257" s="2" t="s">
        <v>4388</v>
      </c>
      <c r="C3257" s="2" t="s">
        <v>4235</v>
      </c>
      <c r="D3257" s="2" t="s">
        <v>4236</v>
      </c>
    </row>
    <row r="3258">
      <c r="A3258" s="2" t="s">
        <v>4259</v>
      </c>
      <c r="B3258" s="2" t="s">
        <v>4389</v>
      </c>
      <c r="C3258" s="2" t="s">
        <v>4235</v>
      </c>
      <c r="D3258" s="2" t="s">
        <v>4236</v>
      </c>
    </row>
    <row r="3259">
      <c r="A3259" s="2" t="s">
        <v>4259</v>
      </c>
      <c r="B3259" s="2" t="s">
        <v>4390</v>
      </c>
      <c r="C3259" s="2" t="s">
        <v>4235</v>
      </c>
      <c r="D3259" s="2" t="s">
        <v>4236</v>
      </c>
    </row>
    <row r="3260">
      <c r="A3260" s="2" t="s">
        <v>4259</v>
      </c>
      <c r="B3260" s="2" t="s">
        <v>4391</v>
      </c>
      <c r="C3260" s="2" t="s">
        <v>4235</v>
      </c>
      <c r="D3260" s="2" t="s">
        <v>4236</v>
      </c>
    </row>
    <row r="3261">
      <c r="A3261" s="2" t="s">
        <v>4259</v>
      </c>
      <c r="B3261" s="2" t="s">
        <v>4392</v>
      </c>
      <c r="C3261" s="2" t="s">
        <v>4235</v>
      </c>
      <c r="D3261" s="2" t="s">
        <v>4236</v>
      </c>
    </row>
    <row r="3262">
      <c r="A3262" s="2" t="s">
        <v>4259</v>
      </c>
      <c r="B3262" s="2" t="s">
        <v>4393</v>
      </c>
      <c r="C3262" s="2" t="s">
        <v>4235</v>
      </c>
      <c r="D3262" s="2" t="s">
        <v>4236</v>
      </c>
    </row>
    <row r="3263">
      <c r="A3263" s="2" t="s">
        <v>4259</v>
      </c>
      <c r="B3263" s="2" t="s">
        <v>4394</v>
      </c>
      <c r="C3263" s="2" t="s">
        <v>4235</v>
      </c>
      <c r="D3263" s="2" t="s">
        <v>4236</v>
      </c>
    </row>
    <row r="3264">
      <c r="A3264" s="2" t="s">
        <v>4259</v>
      </c>
      <c r="B3264" s="2" t="s">
        <v>4395</v>
      </c>
      <c r="C3264" s="2" t="s">
        <v>4235</v>
      </c>
      <c r="D3264" s="2" t="s">
        <v>4236</v>
      </c>
    </row>
    <row r="3265">
      <c r="A3265" s="2" t="s">
        <v>4259</v>
      </c>
      <c r="B3265" s="2" t="s">
        <v>4396</v>
      </c>
      <c r="C3265" s="2" t="s">
        <v>4235</v>
      </c>
      <c r="D3265" s="2" t="s">
        <v>4236</v>
      </c>
    </row>
    <row r="3266">
      <c r="A3266" s="2" t="s">
        <v>4259</v>
      </c>
      <c r="B3266" s="2" t="s">
        <v>4397</v>
      </c>
      <c r="C3266" s="2" t="s">
        <v>4235</v>
      </c>
      <c r="D3266" s="2" t="s">
        <v>4236</v>
      </c>
    </row>
    <row r="3267">
      <c r="A3267" s="2" t="s">
        <v>4259</v>
      </c>
      <c r="B3267" s="2" t="s">
        <v>4398</v>
      </c>
      <c r="C3267" s="2" t="s">
        <v>4235</v>
      </c>
      <c r="D3267" s="2" t="s">
        <v>4236</v>
      </c>
    </row>
    <row r="3268">
      <c r="A3268" s="2" t="s">
        <v>4259</v>
      </c>
      <c r="B3268" s="2" t="s">
        <v>4399</v>
      </c>
      <c r="C3268" s="2" t="s">
        <v>4235</v>
      </c>
      <c r="D3268" s="2" t="s">
        <v>4236</v>
      </c>
    </row>
    <row r="3269">
      <c r="A3269" s="2" t="s">
        <v>4259</v>
      </c>
      <c r="B3269" s="2" t="s">
        <v>4400</v>
      </c>
      <c r="C3269" s="2" t="s">
        <v>4235</v>
      </c>
      <c r="D3269" s="2" t="s">
        <v>4236</v>
      </c>
    </row>
    <row r="3270">
      <c r="A3270" s="2" t="s">
        <v>4259</v>
      </c>
      <c r="B3270" s="2" t="s">
        <v>4401</v>
      </c>
      <c r="C3270" s="2" t="s">
        <v>4235</v>
      </c>
      <c r="D3270" s="2" t="s">
        <v>4236</v>
      </c>
    </row>
    <row r="3271">
      <c r="A3271" s="2" t="s">
        <v>4259</v>
      </c>
      <c r="B3271" s="2" t="s">
        <v>4402</v>
      </c>
      <c r="C3271" s="2" t="s">
        <v>4235</v>
      </c>
      <c r="D3271" s="2" t="s">
        <v>4236</v>
      </c>
    </row>
    <row r="3272">
      <c r="A3272" s="2" t="s">
        <v>4259</v>
      </c>
      <c r="B3272" s="2" t="s">
        <v>4403</v>
      </c>
      <c r="C3272" s="2" t="s">
        <v>4235</v>
      </c>
      <c r="D3272" s="2" t="s">
        <v>4236</v>
      </c>
    </row>
    <row r="3273">
      <c r="A3273" s="2" t="s">
        <v>4259</v>
      </c>
      <c r="B3273" s="2" t="s">
        <v>4404</v>
      </c>
      <c r="C3273" s="2" t="s">
        <v>4235</v>
      </c>
      <c r="D3273" s="2" t="s">
        <v>4236</v>
      </c>
    </row>
    <row r="3274">
      <c r="A3274" s="2" t="s">
        <v>4259</v>
      </c>
      <c r="B3274" s="2" t="s">
        <v>4405</v>
      </c>
      <c r="C3274" s="2" t="s">
        <v>4235</v>
      </c>
      <c r="D3274" s="2" t="s">
        <v>4236</v>
      </c>
    </row>
    <row r="3275">
      <c r="A3275" s="2" t="s">
        <v>4259</v>
      </c>
      <c r="B3275" s="2" t="s">
        <v>4407</v>
      </c>
      <c r="C3275" s="2" t="s">
        <v>4235</v>
      </c>
      <c r="D3275" s="2" t="s">
        <v>4236</v>
      </c>
    </row>
    <row r="3276">
      <c r="A3276" s="2" t="s">
        <v>4259</v>
      </c>
      <c r="B3276" s="2" t="s">
        <v>4408</v>
      </c>
      <c r="C3276" s="2" t="s">
        <v>4235</v>
      </c>
      <c r="D3276" s="2" t="s">
        <v>4236</v>
      </c>
    </row>
    <row r="3277">
      <c r="A3277" s="2" t="s">
        <v>4259</v>
      </c>
      <c r="B3277" s="2" t="s">
        <v>4409</v>
      </c>
      <c r="C3277" s="2" t="s">
        <v>4235</v>
      </c>
      <c r="D3277" s="2" t="s">
        <v>4236</v>
      </c>
    </row>
    <row r="3278">
      <c r="A3278" s="2" t="s">
        <v>4259</v>
      </c>
      <c r="B3278" s="2" t="s">
        <v>4410</v>
      </c>
      <c r="C3278" s="2" t="s">
        <v>4235</v>
      </c>
      <c r="D3278" s="2" t="s">
        <v>4236</v>
      </c>
    </row>
    <row r="3279">
      <c r="A3279" s="2" t="s">
        <v>4259</v>
      </c>
      <c r="B3279" s="2" t="s">
        <v>4411</v>
      </c>
      <c r="C3279" s="2" t="s">
        <v>4235</v>
      </c>
      <c r="D3279" s="2" t="s">
        <v>4236</v>
      </c>
    </row>
    <row r="3280">
      <c r="A3280" s="2" t="s">
        <v>4412</v>
      </c>
      <c r="B3280" s="2" t="s">
        <v>4414</v>
      </c>
      <c r="G3280" s="2" t="s">
        <v>4415</v>
      </c>
    </row>
    <row r="3281">
      <c r="A3281" s="2" t="s">
        <v>4416</v>
      </c>
      <c r="B3281" s="2" t="s">
        <v>4417</v>
      </c>
      <c r="G3281" s="2" t="s">
        <v>4415</v>
      </c>
    </row>
    <row r="3282">
      <c r="A3282" s="2" t="s">
        <v>4416</v>
      </c>
      <c r="B3282" s="2" t="s">
        <v>4418</v>
      </c>
      <c r="G3282" s="2" t="s">
        <v>4415</v>
      </c>
    </row>
    <row r="3283">
      <c r="A3283" s="2" t="s">
        <v>4416</v>
      </c>
      <c r="B3283" s="2" t="s">
        <v>4419</v>
      </c>
      <c r="G3283" s="2" t="s">
        <v>4415</v>
      </c>
    </row>
    <row r="3284">
      <c r="A3284" s="2" t="s">
        <v>4416</v>
      </c>
      <c r="B3284" s="2" t="s">
        <v>4420</v>
      </c>
      <c r="G3284" s="2" t="s">
        <v>4415</v>
      </c>
    </row>
    <row r="3285">
      <c r="A3285" s="2" t="s">
        <v>4416</v>
      </c>
      <c r="B3285" s="2" t="s">
        <v>4421</v>
      </c>
      <c r="G3285" s="2" t="s">
        <v>4415</v>
      </c>
    </row>
    <row r="3286">
      <c r="A3286" s="2" t="s">
        <v>4416</v>
      </c>
      <c r="B3286" s="2" t="s">
        <v>4422</v>
      </c>
      <c r="G3286" s="2" t="s">
        <v>4415</v>
      </c>
    </row>
    <row r="3287">
      <c r="A3287" s="2" t="s">
        <v>4416</v>
      </c>
      <c r="B3287" s="2" t="s">
        <v>4423</v>
      </c>
      <c r="G3287" s="2" t="s">
        <v>4415</v>
      </c>
    </row>
    <row r="3288">
      <c r="A3288" s="2" t="s">
        <v>4416</v>
      </c>
      <c r="B3288" s="2" t="s">
        <v>4424</v>
      </c>
      <c r="G3288" s="2" t="s">
        <v>4415</v>
      </c>
    </row>
    <row r="3289">
      <c r="A3289" s="2" t="s">
        <v>4416</v>
      </c>
      <c r="B3289" s="2" t="s">
        <v>4425</v>
      </c>
      <c r="G3289" s="2" t="s">
        <v>4415</v>
      </c>
    </row>
    <row r="3290">
      <c r="A3290" s="2" t="s">
        <v>4416</v>
      </c>
      <c r="B3290" s="2" t="s">
        <v>4426</v>
      </c>
      <c r="G3290" s="2" t="s">
        <v>4415</v>
      </c>
    </row>
    <row r="3291">
      <c r="A3291" s="2" t="s">
        <v>4416</v>
      </c>
      <c r="B3291" s="2" t="s">
        <v>4427</v>
      </c>
      <c r="G3291" s="2" t="s">
        <v>4415</v>
      </c>
    </row>
    <row r="3292">
      <c r="A3292" s="2" t="s">
        <v>4416</v>
      </c>
      <c r="B3292" s="2" t="s">
        <v>4428</v>
      </c>
      <c r="G3292" s="2" t="s">
        <v>4415</v>
      </c>
    </row>
    <row r="3293">
      <c r="A3293" s="2" t="s">
        <v>4416</v>
      </c>
      <c r="B3293" s="2" t="s">
        <v>4429</v>
      </c>
      <c r="G3293" s="2" t="s">
        <v>4415</v>
      </c>
    </row>
    <row r="3294">
      <c r="A3294" s="2" t="s">
        <v>4416</v>
      </c>
      <c r="B3294" s="2" t="s">
        <v>4430</v>
      </c>
      <c r="G3294" s="2" t="s">
        <v>4415</v>
      </c>
    </row>
    <row r="3295">
      <c r="A3295" s="2" t="s">
        <v>4416</v>
      </c>
      <c r="B3295" s="2" t="s">
        <v>4431</v>
      </c>
      <c r="G3295" s="2" t="s">
        <v>4415</v>
      </c>
    </row>
    <row r="3296">
      <c r="A3296" s="2" t="s">
        <v>4416</v>
      </c>
      <c r="B3296" s="2" t="s">
        <v>4432</v>
      </c>
      <c r="G3296" s="2" t="s">
        <v>4415</v>
      </c>
    </row>
    <row r="3297">
      <c r="A3297" s="2" t="s">
        <v>4416</v>
      </c>
      <c r="B3297" s="2" t="s">
        <v>4433</v>
      </c>
      <c r="G3297" s="2" t="s">
        <v>4415</v>
      </c>
    </row>
    <row r="3298">
      <c r="A3298" s="2" t="s">
        <v>4416</v>
      </c>
      <c r="B3298" s="2" t="s">
        <v>4434</v>
      </c>
      <c r="G3298" s="2" t="s">
        <v>4415</v>
      </c>
    </row>
    <row r="3299">
      <c r="A3299" s="2" t="s">
        <v>4416</v>
      </c>
      <c r="B3299" s="2" t="s">
        <v>4435</v>
      </c>
      <c r="G3299" s="2" t="s">
        <v>4415</v>
      </c>
    </row>
    <row r="3300">
      <c r="A3300" s="2" t="s">
        <v>4416</v>
      </c>
      <c r="B3300" s="2" t="s">
        <v>4437</v>
      </c>
      <c r="G3300" s="2" t="s">
        <v>4415</v>
      </c>
    </row>
    <row r="3301">
      <c r="A3301" s="2" t="s">
        <v>4416</v>
      </c>
      <c r="B3301" s="2" t="s">
        <v>4438</v>
      </c>
      <c r="G3301" s="2" t="s">
        <v>4415</v>
      </c>
    </row>
    <row r="3302">
      <c r="A3302" s="2" t="s">
        <v>4416</v>
      </c>
      <c r="B3302" s="2" t="s">
        <v>4439</v>
      </c>
      <c r="G3302" s="2" t="s">
        <v>4415</v>
      </c>
    </row>
    <row r="3303">
      <c r="A3303" s="2" t="s">
        <v>4416</v>
      </c>
      <c r="B3303" s="2" t="s">
        <v>4440</v>
      </c>
      <c r="G3303" s="2" t="s">
        <v>4415</v>
      </c>
    </row>
    <row r="3304">
      <c r="A3304" s="2" t="s">
        <v>4416</v>
      </c>
      <c r="B3304" s="2" t="s">
        <v>4441</v>
      </c>
      <c r="G3304" s="2" t="s">
        <v>4415</v>
      </c>
    </row>
    <row r="3305">
      <c r="A3305" s="2" t="s">
        <v>4416</v>
      </c>
      <c r="B3305" s="2" t="s">
        <v>4442</v>
      </c>
      <c r="G3305" s="2" t="s">
        <v>4415</v>
      </c>
    </row>
    <row r="3306">
      <c r="A3306" s="2" t="s">
        <v>4416</v>
      </c>
      <c r="B3306" s="2" t="s">
        <v>4443</v>
      </c>
      <c r="G3306" s="2" t="s">
        <v>4415</v>
      </c>
    </row>
    <row r="3307">
      <c r="A3307" s="2" t="s">
        <v>4416</v>
      </c>
      <c r="B3307" s="2" t="s">
        <v>4445</v>
      </c>
      <c r="G3307" s="2" t="s">
        <v>4415</v>
      </c>
    </row>
    <row r="3308">
      <c r="A3308" s="2" t="s">
        <v>4416</v>
      </c>
      <c r="B3308" s="2" t="s">
        <v>4446</v>
      </c>
      <c r="G3308" s="2" t="s">
        <v>4415</v>
      </c>
    </row>
    <row r="3309">
      <c r="A3309" s="2" t="s">
        <v>4416</v>
      </c>
      <c r="B3309" s="2" t="s">
        <v>4447</v>
      </c>
      <c r="G3309" s="2" t="s">
        <v>4415</v>
      </c>
    </row>
    <row r="3310">
      <c r="A3310" s="2" t="s">
        <v>4416</v>
      </c>
      <c r="B3310" s="2" t="s">
        <v>4448</v>
      </c>
      <c r="G3310" s="2" t="s">
        <v>4415</v>
      </c>
    </row>
    <row r="3311">
      <c r="A3311" s="2" t="s">
        <v>4416</v>
      </c>
      <c r="B3311" s="2" t="s">
        <v>4449</v>
      </c>
      <c r="G3311" s="2" t="s">
        <v>4415</v>
      </c>
    </row>
    <row r="3312">
      <c r="A3312" s="2" t="s">
        <v>4416</v>
      </c>
      <c r="B3312" s="2" t="s">
        <v>4450</v>
      </c>
      <c r="G3312" s="2" t="s">
        <v>4415</v>
      </c>
    </row>
    <row r="3313">
      <c r="A3313" s="2" t="s">
        <v>4416</v>
      </c>
      <c r="B3313" s="2" t="s">
        <v>4451</v>
      </c>
      <c r="G3313" s="2" t="s">
        <v>4415</v>
      </c>
    </row>
    <row r="3314">
      <c r="A3314" s="2" t="s">
        <v>4416</v>
      </c>
      <c r="B3314" s="2" t="s">
        <v>4452</v>
      </c>
      <c r="G3314" s="2" t="s">
        <v>4415</v>
      </c>
    </row>
    <row r="3315">
      <c r="A3315" s="2" t="s">
        <v>4416</v>
      </c>
      <c r="B3315" s="2" t="s">
        <v>4453</v>
      </c>
      <c r="G3315" s="2" t="s">
        <v>4415</v>
      </c>
    </row>
    <row r="3316">
      <c r="A3316" s="2" t="s">
        <v>4416</v>
      </c>
      <c r="B3316" s="2" t="s">
        <v>4454</v>
      </c>
      <c r="G3316" s="2" t="s">
        <v>4415</v>
      </c>
    </row>
    <row r="3317">
      <c r="A3317" s="2" t="s">
        <v>4416</v>
      </c>
      <c r="B3317" s="2" t="s">
        <v>4455</v>
      </c>
      <c r="G3317" s="2" t="s">
        <v>4415</v>
      </c>
    </row>
    <row r="3318">
      <c r="A3318" s="2" t="s">
        <v>4416</v>
      </c>
      <c r="B3318" s="2" t="s">
        <v>4456</v>
      </c>
      <c r="G3318" s="2" t="s">
        <v>4415</v>
      </c>
    </row>
    <row r="3319">
      <c r="A3319" s="2" t="s">
        <v>4416</v>
      </c>
      <c r="B3319" s="2" t="s">
        <v>4457</v>
      </c>
      <c r="G3319" s="2" t="s">
        <v>4415</v>
      </c>
    </row>
    <row r="3320">
      <c r="A3320" s="2" t="s">
        <v>4416</v>
      </c>
      <c r="B3320" s="2" t="s">
        <v>4458</v>
      </c>
      <c r="G3320" s="2" t="s">
        <v>4415</v>
      </c>
    </row>
    <row r="3321">
      <c r="A3321" s="2" t="s">
        <v>4416</v>
      </c>
      <c r="B3321" s="2" t="s">
        <v>4459</v>
      </c>
      <c r="G3321" s="2" t="s">
        <v>4415</v>
      </c>
    </row>
    <row r="3322">
      <c r="A3322" s="2" t="s">
        <v>4416</v>
      </c>
      <c r="B3322" s="2" t="s">
        <v>4460</v>
      </c>
      <c r="G3322" s="2" t="s">
        <v>4415</v>
      </c>
    </row>
    <row r="3323">
      <c r="A3323" s="2" t="s">
        <v>4416</v>
      </c>
      <c r="B3323" s="2" t="s">
        <v>4461</v>
      </c>
      <c r="G3323" s="2" t="s">
        <v>4415</v>
      </c>
    </row>
    <row r="3324">
      <c r="A3324" s="2" t="s">
        <v>4416</v>
      </c>
      <c r="B3324" s="2" t="s">
        <v>4462</v>
      </c>
      <c r="G3324" s="2" t="s">
        <v>4415</v>
      </c>
    </row>
    <row r="3325">
      <c r="A3325" s="2" t="s">
        <v>4416</v>
      </c>
      <c r="B3325" s="2" t="s">
        <v>4463</v>
      </c>
      <c r="G3325" s="2" t="s">
        <v>4415</v>
      </c>
    </row>
    <row r="3326">
      <c r="A3326" s="2" t="s">
        <v>4416</v>
      </c>
      <c r="B3326" s="2" t="s">
        <v>4464</v>
      </c>
      <c r="G3326" s="2" t="s">
        <v>4415</v>
      </c>
    </row>
    <row r="3327">
      <c r="A3327" s="2" t="s">
        <v>4416</v>
      </c>
      <c r="B3327" s="2" t="s">
        <v>4465</v>
      </c>
      <c r="G3327" s="2" t="s">
        <v>4415</v>
      </c>
    </row>
    <row r="3328">
      <c r="A3328" s="2" t="s">
        <v>4416</v>
      </c>
      <c r="B3328" s="2" t="s">
        <v>4466</v>
      </c>
      <c r="G3328" s="2" t="s">
        <v>4415</v>
      </c>
    </row>
    <row r="3329">
      <c r="A3329" s="2" t="s">
        <v>4416</v>
      </c>
      <c r="B3329" s="2" t="s">
        <v>4467</v>
      </c>
      <c r="G3329" s="2" t="s">
        <v>4415</v>
      </c>
    </row>
    <row r="3330">
      <c r="A3330" s="2" t="s">
        <v>4416</v>
      </c>
      <c r="B3330" s="2" t="s">
        <v>4468</v>
      </c>
      <c r="G3330" s="2" t="s">
        <v>4415</v>
      </c>
    </row>
    <row r="3331">
      <c r="A3331" s="2" t="s">
        <v>4416</v>
      </c>
      <c r="B3331" s="2" t="s">
        <v>4469</v>
      </c>
      <c r="G3331" s="2" t="s">
        <v>4415</v>
      </c>
    </row>
    <row r="3332">
      <c r="A3332" s="2" t="s">
        <v>4416</v>
      </c>
      <c r="B3332" s="2" t="s">
        <v>4470</v>
      </c>
      <c r="G3332" s="2" t="s">
        <v>4415</v>
      </c>
    </row>
    <row r="3333">
      <c r="A3333" s="2" t="s">
        <v>4416</v>
      </c>
      <c r="B3333" s="2" t="s">
        <v>4471</v>
      </c>
      <c r="G3333" s="2" t="s">
        <v>4415</v>
      </c>
    </row>
    <row r="3334">
      <c r="A3334" s="2" t="s">
        <v>4416</v>
      </c>
      <c r="B3334" s="2" t="s">
        <v>4472</v>
      </c>
      <c r="G3334" s="2" t="s">
        <v>4415</v>
      </c>
    </row>
    <row r="3335">
      <c r="A3335" s="2" t="s">
        <v>4416</v>
      </c>
      <c r="B3335" s="2" t="s">
        <v>4473</v>
      </c>
      <c r="G3335" s="2" t="s">
        <v>4415</v>
      </c>
    </row>
    <row r="3336">
      <c r="A3336" s="2" t="s">
        <v>4416</v>
      </c>
      <c r="B3336" s="2" t="s">
        <v>4474</v>
      </c>
      <c r="G3336" s="2" t="s">
        <v>4415</v>
      </c>
    </row>
    <row r="3337">
      <c r="A3337" s="2" t="s">
        <v>4416</v>
      </c>
      <c r="B3337" s="2" t="s">
        <v>4475</v>
      </c>
      <c r="G3337" s="2" t="s">
        <v>4415</v>
      </c>
    </row>
    <row r="3338">
      <c r="A3338" s="2" t="s">
        <v>4416</v>
      </c>
      <c r="B3338" s="2" t="s">
        <v>4476</v>
      </c>
      <c r="G3338" s="2" t="s">
        <v>4415</v>
      </c>
    </row>
    <row r="3339">
      <c r="A3339" s="2" t="s">
        <v>4416</v>
      </c>
      <c r="B3339" s="2" t="s">
        <v>4477</v>
      </c>
      <c r="G3339" s="2" t="s">
        <v>4415</v>
      </c>
    </row>
    <row r="3340">
      <c r="A3340" s="2" t="s">
        <v>4416</v>
      </c>
      <c r="B3340" s="2" t="s">
        <v>4478</v>
      </c>
      <c r="G3340" s="2" t="s">
        <v>4415</v>
      </c>
    </row>
    <row r="3341">
      <c r="A3341" s="2" t="s">
        <v>4416</v>
      </c>
      <c r="B3341" s="2" t="s">
        <v>4479</v>
      </c>
      <c r="G3341" s="2" t="s">
        <v>4415</v>
      </c>
    </row>
    <row r="3342">
      <c r="A3342" s="2" t="s">
        <v>4416</v>
      </c>
      <c r="B3342" s="2" t="s">
        <v>4480</v>
      </c>
      <c r="G3342" s="2" t="s">
        <v>4415</v>
      </c>
    </row>
    <row r="3343">
      <c r="A3343" s="2" t="s">
        <v>4416</v>
      </c>
      <c r="B3343" s="2" t="s">
        <v>4481</v>
      </c>
      <c r="G3343" s="2" t="s">
        <v>4415</v>
      </c>
    </row>
    <row r="3344">
      <c r="A3344" s="2" t="s">
        <v>4416</v>
      </c>
      <c r="B3344" s="2" t="s">
        <v>4482</v>
      </c>
      <c r="G3344" s="2" t="s">
        <v>4415</v>
      </c>
    </row>
    <row r="3345">
      <c r="A3345" s="2" t="s">
        <v>4416</v>
      </c>
      <c r="B3345" s="2" t="s">
        <v>4483</v>
      </c>
      <c r="G3345" s="2" t="s">
        <v>4415</v>
      </c>
    </row>
    <row r="3346">
      <c r="A3346" s="2" t="s">
        <v>4416</v>
      </c>
      <c r="B3346" s="2" t="s">
        <v>4484</v>
      </c>
      <c r="G3346" s="2" t="s">
        <v>4415</v>
      </c>
    </row>
    <row r="3347">
      <c r="A3347" s="2" t="s">
        <v>4416</v>
      </c>
      <c r="B3347" s="2" t="s">
        <v>4485</v>
      </c>
      <c r="G3347" s="2" t="s">
        <v>4415</v>
      </c>
    </row>
    <row r="3348">
      <c r="A3348" s="2" t="s">
        <v>4416</v>
      </c>
      <c r="B3348" s="2" t="s">
        <v>4486</v>
      </c>
      <c r="G3348" s="2" t="s">
        <v>4415</v>
      </c>
    </row>
    <row r="3349">
      <c r="A3349" s="2" t="s">
        <v>4416</v>
      </c>
      <c r="B3349" s="2" t="s">
        <v>4487</v>
      </c>
      <c r="G3349" s="2" t="s">
        <v>4415</v>
      </c>
    </row>
    <row r="3350">
      <c r="A3350" s="2" t="s">
        <v>4416</v>
      </c>
      <c r="B3350" s="2" t="s">
        <v>4488</v>
      </c>
      <c r="G3350" s="2" t="s">
        <v>4415</v>
      </c>
    </row>
    <row r="3351">
      <c r="A3351" s="2" t="s">
        <v>4416</v>
      </c>
      <c r="B3351" s="2" t="s">
        <v>4490</v>
      </c>
      <c r="G3351" s="2" t="s">
        <v>4415</v>
      </c>
    </row>
    <row r="3352">
      <c r="A3352" s="2" t="s">
        <v>4416</v>
      </c>
      <c r="B3352" s="2" t="s">
        <v>4491</v>
      </c>
      <c r="G3352" s="2" t="s">
        <v>4415</v>
      </c>
    </row>
    <row r="3353">
      <c r="A3353" s="2" t="s">
        <v>4416</v>
      </c>
      <c r="B3353" s="2" t="s">
        <v>4492</v>
      </c>
      <c r="G3353" s="2" t="s">
        <v>4415</v>
      </c>
    </row>
    <row r="3354">
      <c r="A3354" s="2" t="s">
        <v>4416</v>
      </c>
      <c r="B3354" s="2" t="s">
        <v>4493</v>
      </c>
      <c r="G3354" s="2" t="s">
        <v>4415</v>
      </c>
    </row>
    <row r="3355">
      <c r="A3355" s="2" t="s">
        <v>4416</v>
      </c>
      <c r="B3355" s="2" t="s">
        <v>4494</v>
      </c>
      <c r="G3355" s="2" t="s">
        <v>4415</v>
      </c>
    </row>
    <row r="3356">
      <c r="A3356" s="2" t="s">
        <v>4416</v>
      </c>
      <c r="B3356" s="2" t="s">
        <v>4495</v>
      </c>
      <c r="G3356" s="2" t="s">
        <v>4415</v>
      </c>
    </row>
    <row r="3357">
      <c r="A3357" s="2" t="s">
        <v>4416</v>
      </c>
      <c r="B3357" s="2" t="s">
        <v>4496</v>
      </c>
      <c r="G3357" s="2" t="s">
        <v>4415</v>
      </c>
    </row>
    <row r="3358">
      <c r="A3358" s="2" t="s">
        <v>4416</v>
      </c>
      <c r="B3358" s="2" t="s">
        <v>4497</v>
      </c>
      <c r="G3358" s="2" t="s">
        <v>4415</v>
      </c>
    </row>
    <row r="3359">
      <c r="A3359" s="2" t="s">
        <v>4416</v>
      </c>
      <c r="B3359" s="2" t="s">
        <v>4499</v>
      </c>
      <c r="G3359" s="2" t="s">
        <v>4415</v>
      </c>
    </row>
    <row r="3360">
      <c r="A3360" s="2" t="s">
        <v>4416</v>
      </c>
      <c r="B3360" s="2" t="s">
        <v>4501</v>
      </c>
      <c r="G3360" s="2" t="s">
        <v>4415</v>
      </c>
    </row>
    <row r="3361">
      <c r="A3361" s="2" t="s">
        <v>4416</v>
      </c>
      <c r="B3361" s="2" t="s">
        <v>4502</v>
      </c>
      <c r="G3361" s="2" t="s">
        <v>4415</v>
      </c>
    </row>
    <row r="3362">
      <c r="A3362" s="2" t="s">
        <v>4416</v>
      </c>
      <c r="B3362" s="2" t="s">
        <v>4503</v>
      </c>
      <c r="G3362" s="2" t="s">
        <v>4415</v>
      </c>
    </row>
    <row r="3363">
      <c r="A3363" s="2" t="s">
        <v>4416</v>
      </c>
      <c r="B3363" s="2" t="s">
        <v>4504</v>
      </c>
      <c r="G3363" s="2" t="s">
        <v>4415</v>
      </c>
    </row>
    <row r="3364">
      <c r="A3364" s="2" t="s">
        <v>4416</v>
      </c>
      <c r="B3364" s="2" t="s">
        <v>4505</v>
      </c>
      <c r="G3364" s="2" t="s">
        <v>4415</v>
      </c>
    </row>
    <row r="3365">
      <c r="A3365" s="2" t="s">
        <v>4416</v>
      </c>
      <c r="B3365" s="2" t="s">
        <v>4506</v>
      </c>
      <c r="G3365" s="2" t="s">
        <v>4415</v>
      </c>
    </row>
    <row r="3366">
      <c r="A3366" s="2" t="s">
        <v>4416</v>
      </c>
      <c r="B3366" s="2" t="s">
        <v>4507</v>
      </c>
      <c r="G3366" s="2" t="s">
        <v>4415</v>
      </c>
    </row>
    <row r="3367">
      <c r="A3367" s="2" t="s">
        <v>4416</v>
      </c>
      <c r="B3367" s="2" t="s">
        <v>4508</v>
      </c>
      <c r="G3367" s="2" t="s">
        <v>4415</v>
      </c>
    </row>
    <row r="3368">
      <c r="A3368" s="2" t="s">
        <v>4416</v>
      </c>
      <c r="B3368" s="2" t="s">
        <v>4509</v>
      </c>
      <c r="G3368" s="2" t="s">
        <v>4415</v>
      </c>
    </row>
    <row r="3369">
      <c r="A3369" s="2" t="s">
        <v>4416</v>
      </c>
      <c r="B3369" s="2" t="s">
        <v>4510</v>
      </c>
      <c r="G3369" s="2" t="s">
        <v>4415</v>
      </c>
    </row>
    <row r="3370">
      <c r="A3370" s="2" t="s">
        <v>4416</v>
      </c>
      <c r="B3370" s="2" t="s">
        <v>4511</v>
      </c>
      <c r="G3370" s="2" t="s">
        <v>4415</v>
      </c>
    </row>
    <row r="3371">
      <c r="A3371" s="2" t="s">
        <v>4416</v>
      </c>
      <c r="B3371" s="2" t="s">
        <v>4512</v>
      </c>
      <c r="G3371" s="2" t="s">
        <v>4415</v>
      </c>
    </row>
    <row r="3372">
      <c r="A3372" s="2" t="s">
        <v>4416</v>
      </c>
      <c r="B3372" s="2" t="s">
        <v>4513</v>
      </c>
      <c r="G3372" s="2" t="s">
        <v>4415</v>
      </c>
    </row>
    <row r="3373">
      <c r="A3373" s="2" t="s">
        <v>4416</v>
      </c>
      <c r="B3373" s="2" t="s">
        <v>4514</v>
      </c>
      <c r="G3373" s="2" t="s">
        <v>4415</v>
      </c>
    </row>
    <row r="3374">
      <c r="A3374" s="2" t="s">
        <v>4416</v>
      </c>
      <c r="B3374" s="2" t="s">
        <v>4515</v>
      </c>
      <c r="G3374" s="2" t="s">
        <v>4415</v>
      </c>
    </row>
    <row r="3375">
      <c r="A3375" s="2" t="s">
        <v>4416</v>
      </c>
      <c r="B3375" s="2" t="s">
        <v>4516</v>
      </c>
      <c r="G3375" s="2" t="s">
        <v>4415</v>
      </c>
    </row>
    <row r="3376">
      <c r="A3376" s="2" t="s">
        <v>4416</v>
      </c>
      <c r="B3376" s="2" t="s">
        <v>4517</v>
      </c>
      <c r="G3376" s="2" t="s">
        <v>4415</v>
      </c>
    </row>
    <row r="3377">
      <c r="A3377" s="2" t="s">
        <v>4416</v>
      </c>
      <c r="B3377" s="2" t="s">
        <v>4519</v>
      </c>
      <c r="G3377" s="2" t="s">
        <v>4415</v>
      </c>
    </row>
    <row r="3378">
      <c r="A3378" s="2" t="s">
        <v>4416</v>
      </c>
      <c r="B3378" s="2" t="s">
        <v>4520</v>
      </c>
      <c r="G3378" s="2" t="s">
        <v>4415</v>
      </c>
    </row>
    <row r="3379">
      <c r="A3379" s="2" t="s">
        <v>4416</v>
      </c>
      <c r="B3379" s="2" t="s">
        <v>4521</v>
      </c>
      <c r="G3379" s="2" t="s">
        <v>4415</v>
      </c>
    </row>
    <row r="3380">
      <c r="A3380" s="2" t="s">
        <v>4416</v>
      </c>
      <c r="B3380" s="2" t="s">
        <v>4522</v>
      </c>
      <c r="G3380" s="2" t="s">
        <v>4415</v>
      </c>
    </row>
    <row r="3381">
      <c r="A3381" s="2" t="s">
        <v>4416</v>
      </c>
      <c r="B3381" s="2" t="s">
        <v>4523</v>
      </c>
      <c r="G3381" s="2" t="s">
        <v>4415</v>
      </c>
    </row>
    <row r="3382">
      <c r="A3382" s="2" t="s">
        <v>4416</v>
      </c>
      <c r="B3382" s="2" t="s">
        <v>4524</v>
      </c>
      <c r="G3382" s="2" t="s">
        <v>4415</v>
      </c>
    </row>
    <row r="3383">
      <c r="A3383" s="2" t="s">
        <v>4416</v>
      </c>
      <c r="B3383" s="2" t="s">
        <v>4525</v>
      </c>
      <c r="G3383" s="2" t="s">
        <v>4415</v>
      </c>
    </row>
    <row r="3384">
      <c r="A3384" s="2" t="s">
        <v>4416</v>
      </c>
      <c r="B3384" s="2" t="s">
        <v>4526</v>
      </c>
      <c r="G3384" s="2" t="s">
        <v>4415</v>
      </c>
    </row>
    <row r="3385">
      <c r="A3385" s="2" t="s">
        <v>4416</v>
      </c>
      <c r="B3385" s="2" t="s">
        <v>4527</v>
      </c>
      <c r="G3385" s="2" t="s">
        <v>4415</v>
      </c>
    </row>
    <row r="3386">
      <c r="A3386" s="2" t="s">
        <v>4416</v>
      </c>
      <c r="B3386" s="2" t="s">
        <v>4528</v>
      </c>
      <c r="G3386" s="2" t="s">
        <v>4415</v>
      </c>
    </row>
    <row r="3387">
      <c r="A3387" s="2" t="s">
        <v>4416</v>
      </c>
      <c r="B3387" s="2" t="s">
        <v>4529</v>
      </c>
      <c r="G3387" s="2" t="s">
        <v>4415</v>
      </c>
    </row>
    <row r="3388">
      <c r="A3388" s="2" t="s">
        <v>4416</v>
      </c>
      <c r="B3388" s="2" t="s">
        <v>4530</v>
      </c>
      <c r="G3388" s="2" t="s">
        <v>4415</v>
      </c>
    </row>
    <row r="3389">
      <c r="A3389" s="2" t="s">
        <v>4416</v>
      </c>
      <c r="B3389" s="2" t="s">
        <v>4531</v>
      </c>
      <c r="G3389" s="2" t="s">
        <v>4415</v>
      </c>
    </row>
    <row r="3390">
      <c r="A3390" s="2" t="s">
        <v>4416</v>
      </c>
      <c r="B3390" s="2" t="s">
        <v>4532</v>
      </c>
      <c r="G3390" s="2" t="s">
        <v>4415</v>
      </c>
    </row>
    <row r="3391">
      <c r="A3391" s="2" t="s">
        <v>4416</v>
      </c>
      <c r="B3391" s="2" t="s">
        <v>4533</v>
      </c>
      <c r="G3391" s="2" t="s">
        <v>4415</v>
      </c>
    </row>
    <row r="3392">
      <c r="A3392" s="2" t="s">
        <v>4416</v>
      </c>
      <c r="B3392" s="2" t="s">
        <v>4534</v>
      </c>
      <c r="G3392" s="2" t="s">
        <v>4415</v>
      </c>
    </row>
    <row r="3393">
      <c r="A3393" s="2" t="s">
        <v>4416</v>
      </c>
      <c r="B3393" s="2" t="s">
        <v>4535</v>
      </c>
      <c r="G3393" s="2" t="s">
        <v>4415</v>
      </c>
    </row>
    <row r="3394">
      <c r="A3394" s="2" t="s">
        <v>4416</v>
      </c>
      <c r="B3394" s="2" t="s">
        <v>4536</v>
      </c>
      <c r="G3394" s="2" t="s">
        <v>4415</v>
      </c>
    </row>
    <row r="3395">
      <c r="A3395" s="2" t="s">
        <v>4416</v>
      </c>
      <c r="B3395" s="2" t="s">
        <v>4537</v>
      </c>
      <c r="G3395" s="2" t="s">
        <v>4415</v>
      </c>
    </row>
    <row r="3396">
      <c r="A3396" s="2" t="s">
        <v>4416</v>
      </c>
      <c r="B3396" s="2" t="s">
        <v>4538</v>
      </c>
      <c r="G3396" s="2" t="s">
        <v>4415</v>
      </c>
    </row>
    <row r="3397">
      <c r="A3397" s="2" t="s">
        <v>4416</v>
      </c>
      <c r="B3397" s="2" t="s">
        <v>4539</v>
      </c>
      <c r="G3397" s="2" t="s">
        <v>4415</v>
      </c>
    </row>
    <row r="3398">
      <c r="A3398" s="2" t="s">
        <v>4416</v>
      </c>
      <c r="B3398" s="2" t="s">
        <v>4540</v>
      </c>
      <c r="G3398" s="2" t="s">
        <v>4415</v>
      </c>
    </row>
    <row r="3399">
      <c r="A3399" s="2" t="s">
        <v>4416</v>
      </c>
      <c r="B3399" s="2" t="s">
        <v>4541</v>
      </c>
      <c r="G3399" s="2" t="s">
        <v>4415</v>
      </c>
    </row>
    <row r="3400">
      <c r="A3400" s="2" t="s">
        <v>4416</v>
      </c>
      <c r="B3400" s="2" t="s">
        <v>4542</v>
      </c>
      <c r="G3400" s="2" t="s">
        <v>4415</v>
      </c>
    </row>
    <row r="3401">
      <c r="A3401" s="2" t="s">
        <v>4416</v>
      </c>
      <c r="B3401" s="2" t="s">
        <v>4543</v>
      </c>
      <c r="G3401" s="2" t="s">
        <v>4415</v>
      </c>
    </row>
    <row r="3402">
      <c r="A3402" s="2" t="s">
        <v>4416</v>
      </c>
      <c r="B3402" s="2" t="s">
        <v>4544</v>
      </c>
      <c r="G3402" s="2" t="s">
        <v>4415</v>
      </c>
    </row>
    <row r="3403">
      <c r="A3403" s="2" t="s">
        <v>4416</v>
      </c>
      <c r="B3403" s="2" t="s">
        <v>4545</v>
      </c>
      <c r="G3403" s="2" t="s">
        <v>4415</v>
      </c>
    </row>
    <row r="3404">
      <c r="A3404" s="2" t="s">
        <v>4416</v>
      </c>
      <c r="B3404" s="2" t="s">
        <v>4546</v>
      </c>
      <c r="G3404" s="2" t="s">
        <v>4415</v>
      </c>
    </row>
    <row r="3405">
      <c r="A3405" s="2" t="s">
        <v>4416</v>
      </c>
      <c r="B3405" s="2" t="s">
        <v>4547</v>
      </c>
      <c r="G3405" s="2" t="s">
        <v>4415</v>
      </c>
    </row>
    <row r="3406">
      <c r="A3406" s="2" t="s">
        <v>4416</v>
      </c>
      <c r="B3406" s="2" t="s">
        <v>4548</v>
      </c>
      <c r="G3406" s="2" t="s">
        <v>4415</v>
      </c>
    </row>
    <row r="3407">
      <c r="A3407" s="2" t="s">
        <v>4416</v>
      </c>
      <c r="B3407" s="2" t="s">
        <v>4549</v>
      </c>
      <c r="G3407" s="2" t="s">
        <v>4415</v>
      </c>
    </row>
    <row r="3408">
      <c r="A3408" s="2" t="s">
        <v>4416</v>
      </c>
      <c r="B3408" s="2" t="s">
        <v>4551</v>
      </c>
      <c r="G3408" s="2" t="s">
        <v>4415</v>
      </c>
    </row>
    <row r="3409">
      <c r="A3409" s="2" t="s">
        <v>4416</v>
      </c>
      <c r="B3409" s="2" t="s">
        <v>4552</v>
      </c>
      <c r="G3409" s="2" t="s">
        <v>4415</v>
      </c>
    </row>
    <row r="3410">
      <c r="A3410" s="2" t="s">
        <v>4416</v>
      </c>
      <c r="B3410" s="2" t="s">
        <v>4553</v>
      </c>
      <c r="G3410" s="2" t="s">
        <v>4415</v>
      </c>
    </row>
    <row r="3411">
      <c r="A3411" s="2" t="s">
        <v>4416</v>
      </c>
      <c r="B3411" s="2" t="s">
        <v>4554</v>
      </c>
      <c r="G3411" s="2" t="s">
        <v>4415</v>
      </c>
    </row>
    <row r="3412">
      <c r="A3412" s="2" t="s">
        <v>4416</v>
      </c>
      <c r="B3412" s="2" t="s">
        <v>4555</v>
      </c>
      <c r="G3412" s="2" t="s">
        <v>4415</v>
      </c>
    </row>
    <row r="3413">
      <c r="A3413" s="2" t="s">
        <v>4416</v>
      </c>
      <c r="B3413" s="2" t="s">
        <v>4556</v>
      </c>
      <c r="G3413" s="2" t="s">
        <v>4415</v>
      </c>
    </row>
    <row r="3414">
      <c r="A3414" s="2" t="s">
        <v>4416</v>
      </c>
      <c r="B3414" s="2" t="s">
        <v>4557</v>
      </c>
      <c r="G3414" s="2" t="s">
        <v>4415</v>
      </c>
    </row>
    <row r="3415">
      <c r="A3415" s="2" t="s">
        <v>4416</v>
      </c>
      <c r="B3415" s="2" t="s">
        <v>4558</v>
      </c>
      <c r="G3415" s="2" t="s">
        <v>4415</v>
      </c>
    </row>
    <row r="3416">
      <c r="A3416" s="2" t="s">
        <v>4416</v>
      </c>
      <c r="B3416" s="2" t="s">
        <v>4559</v>
      </c>
      <c r="G3416" s="2" t="s">
        <v>4415</v>
      </c>
    </row>
    <row r="3417">
      <c r="A3417" s="2" t="s">
        <v>4416</v>
      </c>
      <c r="B3417" s="2" t="s">
        <v>4561</v>
      </c>
      <c r="G3417" s="2" t="s">
        <v>4415</v>
      </c>
    </row>
    <row r="3418">
      <c r="A3418" s="2" t="s">
        <v>4416</v>
      </c>
      <c r="B3418" s="2" t="s">
        <v>4563</v>
      </c>
      <c r="G3418" s="2" t="s">
        <v>4415</v>
      </c>
    </row>
    <row r="3419">
      <c r="A3419" s="2" t="s">
        <v>4416</v>
      </c>
      <c r="B3419" s="2" t="s">
        <v>4564</v>
      </c>
      <c r="G3419" s="2" t="s">
        <v>4415</v>
      </c>
    </row>
    <row r="3420">
      <c r="A3420" s="2" t="s">
        <v>4416</v>
      </c>
      <c r="B3420" s="2" t="s">
        <v>4565</v>
      </c>
      <c r="G3420" s="2" t="s">
        <v>4415</v>
      </c>
    </row>
    <row r="3421">
      <c r="A3421" s="2" t="s">
        <v>4416</v>
      </c>
      <c r="B3421" s="2" t="s">
        <v>4566</v>
      </c>
      <c r="G3421" s="2" t="s">
        <v>4415</v>
      </c>
    </row>
    <row r="3422">
      <c r="A3422" s="2" t="s">
        <v>4416</v>
      </c>
      <c r="B3422" s="2" t="s">
        <v>4567</v>
      </c>
      <c r="G3422" s="2" t="s">
        <v>4415</v>
      </c>
    </row>
    <row r="3423">
      <c r="A3423" s="2" t="s">
        <v>4416</v>
      </c>
      <c r="B3423" s="2" t="s">
        <v>4568</v>
      </c>
      <c r="G3423" s="2" t="s">
        <v>4415</v>
      </c>
    </row>
    <row r="3424">
      <c r="A3424" s="2" t="s">
        <v>4416</v>
      </c>
      <c r="B3424" s="2" t="s">
        <v>4569</v>
      </c>
      <c r="G3424" s="2" t="s">
        <v>4415</v>
      </c>
    </row>
    <row r="3425">
      <c r="A3425" s="2" t="s">
        <v>4416</v>
      </c>
      <c r="B3425" s="2" t="s">
        <v>4570</v>
      </c>
      <c r="G3425" s="2" t="s">
        <v>4415</v>
      </c>
    </row>
    <row r="3426">
      <c r="A3426" s="2" t="s">
        <v>4416</v>
      </c>
      <c r="B3426" s="2" t="s">
        <v>4571</v>
      </c>
      <c r="G3426" s="2" t="s">
        <v>4415</v>
      </c>
    </row>
    <row r="3427">
      <c r="A3427" s="2" t="s">
        <v>4416</v>
      </c>
      <c r="B3427" s="2" t="s">
        <v>4572</v>
      </c>
      <c r="G3427" s="2" t="s">
        <v>4415</v>
      </c>
    </row>
    <row r="3428">
      <c r="A3428" s="2" t="s">
        <v>4416</v>
      </c>
      <c r="B3428" s="2" t="s">
        <v>4573</v>
      </c>
      <c r="G3428" s="2" t="s">
        <v>4415</v>
      </c>
    </row>
    <row r="3429">
      <c r="A3429" s="2" t="s">
        <v>4416</v>
      </c>
      <c r="B3429" s="2" t="s">
        <v>4574</v>
      </c>
      <c r="G3429" s="2" t="s">
        <v>4415</v>
      </c>
    </row>
    <row r="3430">
      <c r="A3430" s="2" t="s">
        <v>4416</v>
      </c>
      <c r="B3430" s="2" t="s">
        <v>4575</v>
      </c>
      <c r="G3430" s="2" t="s">
        <v>4415</v>
      </c>
    </row>
    <row r="3431">
      <c r="A3431" s="2" t="s">
        <v>4416</v>
      </c>
      <c r="B3431" s="2" t="s">
        <v>4576</v>
      </c>
      <c r="G3431" s="2" t="s">
        <v>4415</v>
      </c>
    </row>
    <row r="3432">
      <c r="A3432" s="2" t="s">
        <v>4416</v>
      </c>
      <c r="B3432" s="2" t="s">
        <v>4577</v>
      </c>
      <c r="G3432" s="2" t="s">
        <v>4415</v>
      </c>
    </row>
    <row r="3433">
      <c r="A3433" s="2" t="s">
        <v>4416</v>
      </c>
      <c r="B3433" s="2" t="s">
        <v>4578</v>
      </c>
      <c r="G3433" s="2" t="s">
        <v>4415</v>
      </c>
    </row>
    <row r="3434">
      <c r="A3434" s="2" t="s">
        <v>4416</v>
      </c>
      <c r="B3434" s="2" t="s">
        <v>4579</v>
      </c>
      <c r="G3434" s="2" t="s">
        <v>4415</v>
      </c>
    </row>
    <row r="3435">
      <c r="A3435" s="2" t="s">
        <v>4416</v>
      </c>
      <c r="B3435" s="2" t="s">
        <v>4580</v>
      </c>
      <c r="G3435" s="2" t="s">
        <v>4415</v>
      </c>
    </row>
    <row r="3436">
      <c r="A3436" s="2" t="s">
        <v>4416</v>
      </c>
      <c r="B3436" s="2" t="s">
        <v>4581</v>
      </c>
      <c r="G3436" s="2" t="s">
        <v>4415</v>
      </c>
    </row>
    <row r="3437">
      <c r="A3437" s="2" t="s">
        <v>4416</v>
      </c>
      <c r="B3437" s="2" t="s">
        <v>4582</v>
      </c>
      <c r="G3437" s="2" t="s">
        <v>4415</v>
      </c>
    </row>
    <row r="3438">
      <c r="A3438" s="2" t="s">
        <v>4416</v>
      </c>
      <c r="B3438" s="2" t="s">
        <v>4583</v>
      </c>
      <c r="G3438" s="2" t="s">
        <v>4415</v>
      </c>
    </row>
    <row r="3439">
      <c r="A3439" s="2" t="s">
        <v>4416</v>
      </c>
      <c r="B3439" s="2" t="s">
        <v>4584</v>
      </c>
      <c r="G3439" s="2" t="s">
        <v>4415</v>
      </c>
    </row>
    <row r="3440">
      <c r="A3440" s="2" t="s">
        <v>4416</v>
      </c>
      <c r="B3440" s="2" t="s">
        <v>4585</v>
      </c>
      <c r="G3440" s="2" t="s">
        <v>4415</v>
      </c>
    </row>
    <row r="3441">
      <c r="A3441" s="2" t="s">
        <v>4416</v>
      </c>
      <c r="B3441" s="2" t="s">
        <v>4586</v>
      </c>
      <c r="G3441" s="2" t="s">
        <v>4415</v>
      </c>
    </row>
    <row r="3442">
      <c r="A3442" s="2" t="s">
        <v>4416</v>
      </c>
      <c r="B3442" s="2" t="s">
        <v>4587</v>
      </c>
      <c r="G3442" s="2" t="s">
        <v>4415</v>
      </c>
    </row>
    <row r="3443">
      <c r="A3443" s="2" t="s">
        <v>4416</v>
      </c>
      <c r="B3443" s="2" t="s">
        <v>4588</v>
      </c>
      <c r="G3443" s="2" t="s">
        <v>4415</v>
      </c>
    </row>
    <row r="3444">
      <c r="A3444" s="2" t="s">
        <v>4416</v>
      </c>
      <c r="B3444" s="2" t="s">
        <v>4589</v>
      </c>
      <c r="G3444" s="2" t="s">
        <v>4415</v>
      </c>
    </row>
    <row r="3445">
      <c r="A3445" s="2" t="s">
        <v>4416</v>
      </c>
      <c r="B3445" s="2" t="s">
        <v>4590</v>
      </c>
      <c r="G3445" s="2" t="s">
        <v>4415</v>
      </c>
    </row>
    <row r="3446">
      <c r="A3446" s="2" t="s">
        <v>4416</v>
      </c>
      <c r="B3446" s="2" t="s">
        <v>4591</v>
      </c>
      <c r="G3446" s="2" t="s">
        <v>4415</v>
      </c>
    </row>
    <row r="3447">
      <c r="A3447" s="2" t="s">
        <v>4416</v>
      </c>
      <c r="B3447" s="2" t="s">
        <v>4592</v>
      </c>
      <c r="G3447" s="2" t="s">
        <v>4415</v>
      </c>
    </row>
    <row r="3448">
      <c r="A3448" s="2" t="s">
        <v>4416</v>
      </c>
      <c r="B3448" s="2" t="s">
        <v>4593</v>
      </c>
      <c r="G3448" s="2" t="s">
        <v>4415</v>
      </c>
    </row>
    <row r="3449">
      <c r="A3449" s="2" t="s">
        <v>4416</v>
      </c>
      <c r="B3449" s="2" t="s">
        <v>4594</v>
      </c>
      <c r="G3449" s="2" t="s">
        <v>4415</v>
      </c>
    </row>
    <row r="3450">
      <c r="A3450" s="2" t="s">
        <v>4416</v>
      </c>
      <c r="B3450" s="2" t="s">
        <v>4595</v>
      </c>
      <c r="G3450" s="2" t="s">
        <v>4415</v>
      </c>
    </row>
    <row r="3451">
      <c r="A3451" s="2" t="s">
        <v>4416</v>
      </c>
      <c r="B3451" s="2" t="s">
        <v>4596</v>
      </c>
      <c r="G3451" s="2" t="s">
        <v>4415</v>
      </c>
    </row>
    <row r="3452">
      <c r="A3452" s="2" t="s">
        <v>4416</v>
      </c>
      <c r="B3452" s="2" t="s">
        <v>4597</v>
      </c>
      <c r="G3452" s="2" t="s">
        <v>4415</v>
      </c>
    </row>
    <row r="3453">
      <c r="A3453" s="2" t="s">
        <v>4416</v>
      </c>
      <c r="B3453" s="2" t="s">
        <v>4598</v>
      </c>
      <c r="G3453" s="2" t="s">
        <v>4415</v>
      </c>
    </row>
    <row r="3454">
      <c r="A3454" s="2" t="s">
        <v>4416</v>
      </c>
      <c r="B3454" s="2" t="s">
        <v>4599</v>
      </c>
      <c r="G3454" s="2" t="s">
        <v>4415</v>
      </c>
    </row>
    <row r="3455">
      <c r="A3455" s="2" t="s">
        <v>4416</v>
      </c>
      <c r="B3455" s="2" t="s">
        <v>4600</v>
      </c>
      <c r="G3455" s="2" t="s">
        <v>4415</v>
      </c>
    </row>
    <row r="3456">
      <c r="A3456" s="2" t="s">
        <v>4416</v>
      </c>
      <c r="B3456" s="2" t="s">
        <v>4601</v>
      </c>
      <c r="G3456" s="2" t="s">
        <v>4415</v>
      </c>
    </row>
    <row r="3457">
      <c r="A3457" s="2" t="s">
        <v>4416</v>
      </c>
      <c r="B3457" s="2" t="s">
        <v>4602</v>
      </c>
      <c r="G3457" s="2" t="s">
        <v>4415</v>
      </c>
    </row>
    <row r="3458">
      <c r="A3458" s="2" t="s">
        <v>4416</v>
      </c>
      <c r="B3458" s="2" t="s">
        <v>4603</v>
      </c>
      <c r="G3458" s="2" t="s">
        <v>4415</v>
      </c>
    </row>
    <row r="3459">
      <c r="A3459" s="2" t="s">
        <v>4416</v>
      </c>
      <c r="B3459" s="2" t="s">
        <v>4604</v>
      </c>
      <c r="G3459" s="2" t="s">
        <v>4415</v>
      </c>
    </row>
    <row r="3460">
      <c r="A3460" s="2" t="s">
        <v>4416</v>
      </c>
      <c r="B3460" s="2" t="s">
        <v>4605</v>
      </c>
      <c r="G3460" s="2" t="s">
        <v>4415</v>
      </c>
    </row>
    <row r="3461">
      <c r="A3461" s="2" t="s">
        <v>4416</v>
      </c>
      <c r="B3461" s="2" t="s">
        <v>4606</v>
      </c>
      <c r="G3461" s="2" t="s">
        <v>4415</v>
      </c>
    </row>
    <row r="3462">
      <c r="A3462" s="2" t="s">
        <v>4416</v>
      </c>
      <c r="B3462" s="2" t="s">
        <v>4607</v>
      </c>
      <c r="G3462" s="2" t="s">
        <v>4415</v>
      </c>
    </row>
    <row r="3463">
      <c r="A3463" s="2" t="s">
        <v>4416</v>
      </c>
      <c r="B3463" s="2" t="s">
        <v>4608</v>
      </c>
      <c r="G3463" s="2" t="s">
        <v>4415</v>
      </c>
    </row>
    <row r="3464">
      <c r="A3464" s="2" t="s">
        <v>4416</v>
      </c>
      <c r="B3464" s="2" t="s">
        <v>4609</v>
      </c>
      <c r="G3464" s="2" t="s">
        <v>4415</v>
      </c>
    </row>
    <row r="3465">
      <c r="A3465" s="2" t="s">
        <v>4416</v>
      </c>
      <c r="B3465" s="2" t="s">
        <v>4610</v>
      </c>
      <c r="G3465" s="2" t="s">
        <v>4415</v>
      </c>
    </row>
    <row r="3466">
      <c r="A3466" s="2" t="s">
        <v>4416</v>
      </c>
      <c r="B3466" s="2" t="s">
        <v>4611</v>
      </c>
      <c r="G3466" s="2" t="s">
        <v>4415</v>
      </c>
    </row>
    <row r="3467">
      <c r="A3467" s="2" t="s">
        <v>4416</v>
      </c>
      <c r="B3467" s="2" t="s">
        <v>4612</v>
      </c>
      <c r="G3467" s="2" t="s">
        <v>4415</v>
      </c>
    </row>
    <row r="3468">
      <c r="A3468" s="2" t="s">
        <v>4416</v>
      </c>
      <c r="B3468" s="2" t="s">
        <v>4613</v>
      </c>
      <c r="G3468" s="2" t="s">
        <v>4415</v>
      </c>
    </row>
    <row r="3469">
      <c r="A3469" s="2" t="s">
        <v>4416</v>
      </c>
      <c r="B3469" s="2" t="s">
        <v>4614</v>
      </c>
      <c r="G3469" s="2" t="s">
        <v>4415</v>
      </c>
    </row>
    <row r="3470">
      <c r="A3470" s="2" t="s">
        <v>4416</v>
      </c>
      <c r="B3470" s="2" t="s">
        <v>4615</v>
      </c>
      <c r="G3470" s="2" t="s">
        <v>4415</v>
      </c>
    </row>
    <row r="3471">
      <c r="A3471" s="2" t="s">
        <v>4416</v>
      </c>
      <c r="B3471" s="2" t="s">
        <v>4616</v>
      </c>
      <c r="G3471" s="2" t="s">
        <v>4415</v>
      </c>
    </row>
    <row r="3472">
      <c r="A3472" s="2" t="s">
        <v>4416</v>
      </c>
      <c r="B3472" s="2" t="s">
        <v>4617</v>
      </c>
      <c r="G3472" s="2" t="s">
        <v>4415</v>
      </c>
    </row>
    <row r="3473">
      <c r="A3473" s="2" t="s">
        <v>4416</v>
      </c>
      <c r="B3473" s="2" t="s">
        <v>4618</v>
      </c>
      <c r="G3473" s="2" t="s">
        <v>4415</v>
      </c>
    </row>
    <row r="3474">
      <c r="A3474" s="2" t="s">
        <v>4416</v>
      </c>
      <c r="B3474" s="2" t="s">
        <v>4619</v>
      </c>
      <c r="G3474" s="2" t="s">
        <v>4415</v>
      </c>
    </row>
    <row r="3475">
      <c r="A3475" s="2" t="s">
        <v>4416</v>
      </c>
      <c r="B3475" s="2" t="s">
        <v>4620</v>
      </c>
      <c r="G3475" s="2" t="s">
        <v>4415</v>
      </c>
    </row>
    <row r="3476">
      <c r="A3476" s="2" t="s">
        <v>4416</v>
      </c>
      <c r="B3476" s="2" t="s">
        <v>4621</v>
      </c>
      <c r="G3476" s="2" t="s">
        <v>4415</v>
      </c>
    </row>
    <row r="3477">
      <c r="A3477" s="2" t="s">
        <v>4416</v>
      </c>
      <c r="B3477" s="2" t="s">
        <v>4622</v>
      </c>
      <c r="G3477" s="2" t="s">
        <v>4415</v>
      </c>
    </row>
    <row r="3478">
      <c r="A3478" s="2" t="s">
        <v>4416</v>
      </c>
      <c r="B3478" s="2" t="s">
        <v>4623</v>
      </c>
      <c r="G3478" s="2" t="s">
        <v>4415</v>
      </c>
    </row>
    <row r="3479">
      <c r="A3479" s="2" t="s">
        <v>4416</v>
      </c>
      <c r="B3479" s="2" t="s">
        <v>4624</v>
      </c>
      <c r="G3479" s="2" t="s">
        <v>4415</v>
      </c>
    </row>
    <row r="3480">
      <c r="A3480" s="2" t="s">
        <v>4416</v>
      </c>
      <c r="B3480" s="2" t="s">
        <v>4625</v>
      </c>
      <c r="G3480" s="2" t="s">
        <v>4415</v>
      </c>
    </row>
    <row r="3481">
      <c r="A3481" s="2" t="s">
        <v>4416</v>
      </c>
      <c r="B3481" s="2" t="s">
        <v>4626</v>
      </c>
      <c r="G3481" s="2" t="s">
        <v>4415</v>
      </c>
    </row>
    <row r="3482">
      <c r="A3482" s="2" t="s">
        <v>4416</v>
      </c>
      <c r="B3482" s="2" t="s">
        <v>4627</v>
      </c>
      <c r="G3482" s="2" t="s">
        <v>4415</v>
      </c>
    </row>
    <row r="3483">
      <c r="A3483" s="2" t="s">
        <v>4416</v>
      </c>
      <c r="B3483" s="2" t="s">
        <v>4628</v>
      </c>
      <c r="G3483" s="2" t="s">
        <v>4415</v>
      </c>
    </row>
    <row r="3484">
      <c r="A3484" s="2" t="s">
        <v>4416</v>
      </c>
      <c r="B3484" s="2" t="s">
        <v>4629</v>
      </c>
      <c r="G3484" s="2" t="s">
        <v>4415</v>
      </c>
    </row>
    <row r="3485">
      <c r="A3485" s="2" t="s">
        <v>4416</v>
      </c>
      <c r="B3485" s="2" t="s">
        <v>4630</v>
      </c>
      <c r="G3485" s="2" t="s">
        <v>4415</v>
      </c>
    </row>
    <row r="3486">
      <c r="A3486" s="2" t="s">
        <v>4416</v>
      </c>
      <c r="B3486" s="2" t="s">
        <v>4631</v>
      </c>
      <c r="G3486" s="2" t="s">
        <v>4415</v>
      </c>
    </row>
    <row r="3487">
      <c r="A3487" s="2" t="s">
        <v>4416</v>
      </c>
      <c r="B3487" s="2" t="s">
        <v>4632</v>
      </c>
      <c r="G3487" s="2" t="s">
        <v>4415</v>
      </c>
    </row>
    <row r="3488">
      <c r="A3488" s="2" t="s">
        <v>4416</v>
      </c>
      <c r="B3488" s="2" t="s">
        <v>4633</v>
      </c>
      <c r="G3488" s="2" t="s">
        <v>4415</v>
      </c>
    </row>
    <row r="3489">
      <c r="A3489" s="2" t="s">
        <v>4416</v>
      </c>
      <c r="B3489" s="2" t="s">
        <v>4634</v>
      </c>
      <c r="G3489" s="2" t="s">
        <v>4415</v>
      </c>
    </row>
    <row r="3490">
      <c r="A3490" s="2" t="s">
        <v>4416</v>
      </c>
      <c r="B3490" s="2" t="s">
        <v>4635</v>
      </c>
      <c r="G3490" s="2" t="s">
        <v>4415</v>
      </c>
    </row>
    <row r="3491">
      <c r="A3491" s="2" t="s">
        <v>4416</v>
      </c>
      <c r="B3491" s="2" t="s">
        <v>4636</v>
      </c>
      <c r="G3491" s="2" t="s">
        <v>4415</v>
      </c>
    </row>
    <row r="3492">
      <c r="A3492" s="2" t="s">
        <v>4416</v>
      </c>
      <c r="B3492" s="2" t="s">
        <v>4637</v>
      </c>
      <c r="G3492" s="2" t="s">
        <v>4415</v>
      </c>
    </row>
    <row r="3493">
      <c r="A3493" s="2" t="s">
        <v>4416</v>
      </c>
      <c r="B3493" s="2" t="s">
        <v>4638</v>
      </c>
      <c r="G3493" s="2" t="s">
        <v>4415</v>
      </c>
    </row>
    <row r="3494">
      <c r="A3494" s="2" t="s">
        <v>4416</v>
      </c>
      <c r="B3494" s="2" t="s">
        <v>4639</v>
      </c>
      <c r="G3494" s="2" t="s">
        <v>4415</v>
      </c>
    </row>
    <row r="3495">
      <c r="A3495" s="2" t="s">
        <v>4416</v>
      </c>
      <c r="B3495" s="2" t="s">
        <v>4641</v>
      </c>
      <c r="G3495" s="2" t="s">
        <v>4415</v>
      </c>
    </row>
    <row r="3496">
      <c r="A3496" s="2" t="s">
        <v>4416</v>
      </c>
      <c r="B3496" s="2" t="s">
        <v>4642</v>
      </c>
      <c r="G3496" s="2" t="s">
        <v>4415</v>
      </c>
    </row>
    <row r="3497">
      <c r="A3497" s="2" t="s">
        <v>4416</v>
      </c>
      <c r="B3497" s="2" t="s">
        <v>4643</v>
      </c>
      <c r="G3497" s="2" t="s">
        <v>4415</v>
      </c>
    </row>
    <row r="3498">
      <c r="A3498" s="2" t="s">
        <v>4416</v>
      </c>
      <c r="B3498" s="2" t="s">
        <v>4644</v>
      </c>
      <c r="G3498" s="2" t="s">
        <v>4415</v>
      </c>
    </row>
    <row r="3499">
      <c r="A3499" s="2" t="s">
        <v>4416</v>
      </c>
      <c r="B3499" s="2" t="s">
        <v>4645</v>
      </c>
      <c r="G3499" s="2" t="s">
        <v>4415</v>
      </c>
    </row>
    <row r="3500">
      <c r="A3500" s="2" t="s">
        <v>4416</v>
      </c>
      <c r="B3500" s="2" t="s">
        <v>4646</v>
      </c>
      <c r="G3500" s="2" t="s">
        <v>4415</v>
      </c>
    </row>
    <row r="3501">
      <c r="A3501" s="2" t="s">
        <v>4416</v>
      </c>
      <c r="B3501" s="2" t="s">
        <v>4647</v>
      </c>
      <c r="G3501" s="2" t="s">
        <v>4415</v>
      </c>
    </row>
    <row r="3502">
      <c r="A3502" s="2" t="s">
        <v>4416</v>
      </c>
      <c r="B3502" s="2" t="s">
        <v>4648</v>
      </c>
      <c r="G3502" s="2" t="s">
        <v>4415</v>
      </c>
    </row>
    <row r="3503">
      <c r="A3503" s="2" t="s">
        <v>4416</v>
      </c>
      <c r="B3503" s="2" t="s">
        <v>4649</v>
      </c>
      <c r="G3503" s="2" t="s">
        <v>4415</v>
      </c>
    </row>
    <row r="3504">
      <c r="A3504" s="2" t="s">
        <v>4416</v>
      </c>
      <c r="B3504" s="2" t="s">
        <v>4650</v>
      </c>
      <c r="G3504" s="2" t="s">
        <v>4415</v>
      </c>
    </row>
    <row r="3505">
      <c r="A3505" s="2" t="s">
        <v>4416</v>
      </c>
      <c r="B3505" s="2" t="s">
        <v>4651</v>
      </c>
      <c r="G3505" s="2" t="s">
        <v>4415</v>
      </c>
    </row>
    <row r="3506">
      <c r="A3506" s="2" t="s">
        <v>4416</v>
      </c>
      <c r="B3506" s="2" t="s">
        <v>4652</v>
      </c>
      <c r="G3506" s="2" t="s">
        <v>4415</v>
      </c>
    </row>
    <row r="3507">
      <c r="A3507" s="2" t="s">
        <v>4416</v>
      </c>
      <c r="B3507" s="2" t="s">
        <v>4653</v>
      </c>
      <c r="G3507" s="2" t="s">
        <v>4415</v>
      </c>
    </row>
    <row r="3508">
      <c r="A3508" s="2" t="s">
        <v>4416</v>
      </c>
      <c r="B3508" s="2" t="s">
        <v>4654</v>
      </c>
      <c r="G3508" s="2" t="s">
        <v>4415</v>
      </c>
    </row>
    <row r="3509">
      <c r="A3509" s="2" t="s">
        <v>4416</v>
      </c>
      <c r="B3509" s="2" t="s">
        <v>4655</v>
      </c>
      <c r="G3509" s="2" t="s">
        <v>4415</v>
      </c>
    </row>
    <row r="3510">
      <c r="A3510" s="2" t="s">
        <v>4416</v>
      </c>
      <c r="B3510" s="2" t="s">
        <v>4656</v>
      </c>
      <c r="G3510" s="2" t="s">
        <v>4415</v>
      </c>
    </row>
    <row r="3511">
      <c r="A3511" s="2" t="s">
        <v>4416</v>
      </c>
      <c r="B3511" s="2" t="s">
        <v>4657</v>
      </c>
      <c r="G3511" s="2" t="s">
        <v>4415</v>
      </c>
    </row>
    <row r="3512">
      <c r="A3512" s="2" t="s">
        <v>4416</v>
      </c>
      <c r="B3512" s="2" t="s">
        <v>4658</v>
      </c>
      <c r="G3512" s="2" t="s">
        <v>4415</v>
      </c>
    </row>
    <row r="3513">
      <c r="A3513" s="2" t="s">
        <v>4416</v>
      </c>
      <c r="B3513" s="2" t="s">
        <v>4659</v>
      </c>
      <c r="G3513" s="2" t="s">
        <v>4415</v>
      </c>
    </row>
    <row r="3514">
      <c r="A3514" s="2" t="s">
        <v>4416</v>
      </c>
      <c r="B3514" s="2" t="s">
        <v>4660</v>
      </c>
      <c r="G3514" s="2" t="s">
        <v>4415</v>
      </c>
    </row>
    <row r="3515">
      <c r="A3515" s="2" t="s">
        <v>4416</v>
      </c>
      <c r="B3515" s="2" t="s">
        <v>4661</v>
      </c>
      <c r="G3515" s="2" t="s">
        <v>4415</v>
      </c>
    </row>
    <row r="3516">
      <c r="A3516" s="2" t="s">
        <v>4416</v>
      </c>
      <c r="B3516" s="2" t="s">
        <v>4662</v>
      </c>
      <c r="G3516" s="2" t="s">
        <v>4415</v>
      </c>
    </row>
    <row r="3517">
      <c r="A3517" s="2" t="s">
        <v>4416</v>
      </c>
      <c r="B3517" s="2" t="s">
        <v>4663</v>
      </c>
      <c r="G3517" s="2" t="s">
        <v>4415</v>
      </c>
    </row>
    <row r="3518">
      <c r="A3518" s="2" t="s">
        <v>4416</v>
      </c>
      <c r="B3518" s="2" t="s">
        <v>4664</v>
      </c>
      <c r="G3518" s="2" t="s">
        <v>4415</v>
      </c>
    </row>
    <row r="3519">
      <c r="A3519" s="2" t="s">
        <v>4416</v>
      </c>
      <c r="B3519" s="2" t="s">
        <v>4665</v>
      </c>
      <c r="G3519" s="2" t="s">
        <v>4415</v>
      </c>
    </row>
    <row r="3520">
      <c r="A3520" s="2" t="s">
        <v>4416</v>
      </c>
      <c r="B3520" s="2" t="s">
        <v>4666</v>
      </c>
      <c r="G3520" s="2" t="s">
        <v>4415</v>
      </c>
    </row>
    <row r="3521">
      <c r="A3521" s="2" t="s">
        <v>4416</v>
      </c>
      <c r="B3521" s="2" t="s">
        <v>4667</v>
      </c>
      <c r="G3521" s="2" t="s">
        <v>4415</v>
      </c>
    </row>
    <row r="3522">
      <c r="A3522" s="2" t="s">
        <v>4416</v>
      </c>
      <c r="B3522" s="2" t="s">
        <v>4668</v>
      </c>
      <c r="G3522" s="2" t="s">
        <v>4415</v>
      </c>
    </row>
    <row r="3523">
      <c r="A3523" s="2" t="s">
        <v>4416</v>
      </c>
      <c r="B3523" s="2" t="s">
        <v>4669</v>
      </c>
      <c r="G3523" s="2" t="s">
        <v>4415</v>
      </c>
    </row>
    <row r="3524">
      <c r="A3524" s="2" t="s">
        <v>4416</v>
      </c>
      <c r="B3524" s="2" t="s">
        <v>4670</v>
      </c>
      <c r="G3524" s="2" t="s">
        <v>4415</v>
      </c>
    </row>
    <row r="3525">
      <c r="A3525" s="2" t="s">
        <v>4416</v>
      </c>
      <c r="B3525" s="2" t="s">
        <v>4671</v>
      </c>
      <c r="G3525" s="2" t="s">
        <v>4415</v>
      </c>
    </row>
    <row r="3526">
      <c r="A3526" s="2" t="s">
        <v>4416</v>
      </c>
      <c r="B3526" s="2" t="s">
        <v>4672</v>
      </c>
      <c r="G3526" s="2" t="s">
        <v>4415</v>
      </c>
    </row>
    <row r="3527">
      <c r="A3527" s="2" t="s">
        <v>4416</v>
      </c>
      <c r="B3527" s="2" t="s">
        <v>4673</v>
      </c>
      <c r="G3527" s="2" t="s">
        <v>4415</v>
      </c>
    </row>
    <row r="3528">
      <c r="A3528" s="2" t="s">
        <v>4416</v>
      </c>
      <c r="B3528" s="2" t="s">
        <v>4674</v>
      </c>
      <c r="G3528" s="2" t="s">
        <v>4415</v>
      </c>
    </row>
    <row r="3529">
      <c r="A3529" s="2" t="s">
        <v>4416</v>
      </c>
      <c r="B3529" s="2" t="s">
        <v>4675</v>
      </c>
      <c r="G3529" s="2" t="s">
        <v>4415</v>
      </c>
    </row>
    <row r="3530">
      <c r="A3530" s="2" t="s">
        <v>4416</v>
      </c>
      <c r="B3530" s="2" t="s">
        <v>4676</v>
      </c>
      <c r="G3530" s="2" t="s">
        <v>4415</v>
      </c>
    </row>
    <row r="3531">
      <c r="A3531" s="2" t="s">
        <v>4416</v>
      </c>
      <c r="B3531" s="2" t="s">
        <v>4677</v>
      </c>
      <c r="G3531" s="2" t="s">
        <v>4415</v>
      </c>
    </row>
    <row r="3532">
      <c r="A3532" s="2" t="s">
        <v>4416</v>
      </c>
      <c r="B3532" s="2" t="s">
        <v>4678</v>
      </c>
      <c r="G3532" s="2" t="s">
        <v>4415</v>
      </c>
    </row>
    <row r="3533">
      <c r="A3533" s="2" t="s">
        <v>4416</v>
      </c>
      <c r="B3533" s="2" t="s">
        <v>4679</v>
      </c>
      <c r="G3533" s="2" t="s">
        <v>4415</v>
      </c>
    </row>
    <row r="3534">
      <c r="A3534" s="2" t="s">
        <v>4416</v>
      </c>
      <c r="B3534" s="2" t="s">
        <v>4680</v>
      </c>
      <c r="G3534" s="2" t="s">
        <v>4415</v>
      </c>
    </row>
    <row r="3535">
      <c r="A3535" s="2" t="s">
        <v>4416</v>
      </c>
      <c r="B3535" s="2" t="s">
        <v>4681</v>
      </c>
      <c r="G3535" s="2" t="s">
        <v>4415</v>
      </c>
    </row>
    <row r="3536">
      <c r="A3536" s="2" t="s">
        <v>4416</v>
      </c>
      <c r="B3536" s="2" t="s">
        <v>4682</v>
      </c>
      <c r="G3536" s="2" t="s">
        <v>4415</v>
      </c>
    </row>
    <row r="3537">
      <c r="A3537" s="2" t="s">
        <v>4683</v>
      </c>
      <c r="B3537" s="2" t="s">
        <v>4684</v>
      </c>
      <c r="G3537" s="2" t="s">
        <v>4685</v>
      </c>
      <c r="H3537" s="2" t="s">
        <v>729</v>
      </c>
    </row>
    <row r="3538">
      <c r="A3538" s="2" t="s">
        <v>4683</v>
      </c>
      <c r="B3538" s="2" t="s">
        <v>4686</v>
      </c>
      <c r="G3538" s="2" t="s">
        <v>4685</v>
      </c>
      <c r="H3538" s="2" t="s">
        <v>729</v>
      </c>
    </row>
    <row r="3539">
      <c r="A3539" s="2" t="s">
        <v>4687</v>
      </c>
      <c r="B3539" s="2" t="s">
        <v>4688</v>
      </c>
      <c r="G3539" s="2" t="s">
        <v>2763</v>
      </c>
      <c r="H3539" s="2" t="s">
        <v>729</v>
      </c>
    </row>
    <row r="3540">
      <c r="A3540" s="2" t="s">
        <v>4689</v>
      </c>
      <c r="B3540" s="2" t="s">
        <v>4690</v>
      </c>
      <c r="D3540" s="2" t="s">
        <v>4691</v>
      </c>
    </row>
    <row r="3541">
      <c r="A3541" s="2" t="s">
        <v>4692</v>
      </c>
      <c r="B3541" s="2" t="s">
        <v>4693</v>
      </c>
      <c r="D3541" s="2" t="s">
        <v>4691</v>
      </c>
    </row>
    <row r="3542">
      <c r="A3542" s="2" t="s">
        <v>4692</v>
      </c>
      <c r="B3542" s="2" t="s">
        <v>4694</v>
      </c>
      <c r="D3542" s="2" t="s">
        <v>4691</v>
      </c>
    </row>
    <row r="3543">
      <c r="A3543" s="2" t="s">
        <v>4692</v>
      </c>
      <c r="B3543" s="2" t="s">
        <v>4695</v>
      </c>
      <c r="D3543" s="2" t="s">
        <v>4691</v>
      </c>
    </row>
    <row r="3544">
      <c r="A3544" s="2" t="s">
        <v>4692</v>
      </c>
      <c r="B3544" s="2" t="s">
        <v>4696</v>
      </c>
      <c r="D3544" s="2" t="s">
        <v>4691</v>
      </c>
    </row>
    <row r="3545">
      <c r="A3545" s="2" t="s">
        <v>4692</v>
      </c>
      <c r="B3545" s="2" t="s">
        <v>4697</v>
      </c>
      <c r="D3545" s="2" t="s">
        <v>4691</v>
      </c>
    </row>
    <row r="3546">
      <c r="A3546" s="2" t="s">
        <v>4692</v>
      </c>
      <c r="B3546" s="2" t="s">
        <v>4698</v>
      </c>
      <c r="D3546" s="2" t="s">
        <v>4691</v>
      </c>
    </row>
    <row r="3547">
      <c r="A3547" s="2" t="s">
        <v>4692</v>
      </c>
      <c r="B3547" s="2" t="s">
        <v>4699</v>
      </c>
      <c r="D3547" s="2" t="s">
        <v>4691</v>
      </c>
    </row>
    <row r="3548">
      <c r="A3548" s="2" t="s">
        <v>4692</v>
      </c>
      <c r="B3548" s="2" t="s">
        <v>4700</v>
      </c>
      <c r="D3548" s="2" t="s">
        <v>4691</v>
      </c>
    </row>
    <row r="3549">
      <c r="A3549" s="2" t="s">
        <v>4692</v>
      </c>
      <c r="B3549" s="2" t="s">
        <v>4701</v>
      </c>
      <c r="D3549" s="2" t="s">
        <v>4691</v>
      </c>
    </row>
    <row r="3550">
      <c r="A3550" s="2" t="s">
        <v>4692</v>
      </c>
      <c r="B3550" s="2" t="s">
        <v>4695</v>
      </c>
      <c r="D3550" s="2" t="s">
        <v>4691</v>
      </c>
    </row>
    <row r="3551">
      <c r="A3551" s="2" t="s">
        <v>4692</v>
      </c>
      <c r="B3551" s="2" t="s">
        <v>4702</v>
      </c>
      <c r="D3551" s="2" t="s">
        <v>4691</v>
      </c>
    </row>
    <row r="3552">
      <c r="A3552" s="2" t="s">
        <v>4692</v>
      </c>
      <c r="B3552" s="2" t="s">
        <v>4703</v>
      </c>
      <c r="D3552" s="2" t="s">
        <v>4691</v>
      </c>
    </row>
    <row r="3553">
      <c r="A3553" s="2" t="s">
        <v>4692</v>
      </c>
      <c r="B3553" s="2" t="s">
        <v>4704</v>
      </c>
      <c r="D3553" s="2" t="s">
        <v>4691</v>
      </c>
    </row>
    <row r="3554">
      <c r="A3554" s="2" t="s">
        <v>4692</v>
      </c>
      <c r="B3554" s="2" t="s">
        <v>4705</v>
      </c>
      <c r="D3554" s="2" t="s">
        <v>4691</v>
      </c>
    </row>
    <row r="3555">
      <c r="A3555" s="2" t="s">
        <v>4692</v>
      </c>
      <c r="B3555" s="2" t="s">
        <v>4701</v>
      </c>
      <c r="D3555" s="2" t="s">
        <v>4691</v>
      </c>
    </row>
    <row r="3556">
      <c r="A3556" s="2" t="s">
        <v>4692</v>
      </c>
      <c r="B3556" s="2" t="s">
        <v>4706</v>
      </c>
      <c r="D3556" s="2" t="s">
        <v>4691</v>
      </c>
    </row>
    <row r="3557">
      <c r="A3557" s="2" t="s">
        <v>4692</v>
      </c>
      <c r="B3557" s="2" t="s">
        <v>4707</v>
      </c>
      <c r="D3557" s="2" t="s">
        <v>4691</v>
      </c>
    </row>
    <row r="3558">
      <c r="A3558" s="2" t="s">
        <v>4692</v>
      </c>
      <c r="B3558" s="2" t="s">
        <v>4708</v>
      </c>
      <c r="D3558" s="2" t="s">
        <v>4691</v>
      </c>
    </row>
    <row r="3559">
      <c r="A3559" s="2" t="s">
        <v>4692</v>
      </c>
      <c r="B3559" s="2" t="s">
        <v>4709</v>
      </c>
      <c r="D3559" s="2" t="s">
        <v>4691</v>
      </c>
    </row>
    <row r="3560">
      <c r="A3560" s="2" t="s">
        <v>4692</v>
      </c>
      <c r="B3560" s="2" t="s">
        <v>4710</v>
      </c>
      <c r="D3560" s="2" t="s">
        <v>4691</v>
      </c>
    </row>
    <row r="3561">
      <c r="A3561" s="2" t="s">
        <v>4692</v>
      </c>
      <c r="B3561" s="2" t="s">
        <v>4703</v>
      </c>
      <c r="D3561" s="2" t="s">
        <v>4691</v>
      </c>
    </row>
    <row r="3562">
      <c r="A3562" s="2" t="s">
        <v>4692</v>
      </c>
      <c r="B3562" s="2" t="s">
        <v>4711</v>
      </c>
      <c r="D3562" s="2" t="s">
        <v>4691</v>
      </c>
    </row>
    <row r="3563">
      <c r="A3563" s="2" t="s">
        <v>4692</v>
      </c>
      <c r="B3563" s="2" t="s">
        <v>4699</v>
      </c>
      <c r="D3563" s="2" t="s">
        <v>4691</v>
      </c>
    </row>
    <row r="3564">
      <c r="A3564" s="2" t="s">
        <v>4692</v>
      </c>
      <c r="B3564" s="2" t="s">
        <v>4712</v>
      </c>
      <c r="D3564" s="2" t="s">
        <v>4691</v>
      </c>
    </row>
    <row r="3565">
      <c r="A3565" s="2" t="s">
        <v>4692</v>
      </c>
      <c r="B3565" s="2" t="s">
        <v>4713</v>
      </c>
      <c r="D3565" s="2" t="s">
        <v>4691</v>
      </c>
    </row>
    <row r="3566">
      <c r="A3566" s="2" t="s">
        <v>4692</v>
      </c>
      <c r="B3566" s="2" t="s">
        <v>4714</v>
      </c>
      <c r="D3566" s="2" t="s">
        <v>4691</v>
      </c>
    </row>
    <row r="3567">
      <c r="A3567" s="2" t="s">
        <v>4692</v>
      </c>
      <c r="B3567" s="2" t="s">
        <v>4702</v>
      </c>
      <c r="D3567" s="2" t="s">
        <v>4691</v>
      </c>
    </row>
    <row r="3568">
      <c r="A3568" s="2" t="s">
        <v>4692</v>
      </c>
      <c r="B3568" s="2" t="s">
        <v>4715</v>
      </c>
      <c r="D3568" s="2" t="s">
        <v>4691</v>
      </c>
    </row>
    <row r="3569">
      <c r="A3569" s="2" t="s">
        <v>4692</v>
      </c>
      <c r="B3569" s="2" t="s">
        <v>4716</v>
      </c>
      <c r="D3569" s="2" t="s">
        <v>4691</v>
      </c>
    </row>
    <row r="3570">
      <c r="A3570" s="2" t="s">
        <v>4692</v>
      </c>
      <c r="B3570" s="2" t="s">
        <v>4697</v>
      </c>
      <c r="D3570" s="2" t="s">
        <v>4691</v>
      </c>
    </row>
    <row r="3571">
      <c r="A3571" s="2" t="s">
        <v>4692</v>
      </c>
      <c r="B3571" s="2" t="s">
        <v>4717</v>
      </c>
      <c r="D3571" s="2" t="s">
        <v>4691</v>
      </c>
    </row>
    <row r="3572">
      <c r="A3572" s="2" t="s">
        <v>4692</v>
      </c>
      <c r="B3572" s="2" t="s">
        <v>4718</v>
      </c>
      <c r="D3572" s="2" t="s">
        <v>4691</v>
      </c>
    </row>
    <row r="3573">
      <c r="A3573" s="2" t="s">
        <v>4692</v>
      </c>
      <c r="B3573" s="2" t="s">
        <v>4719</v>
      </c>
      <c r="D3573" s="2" t="s">
        <v>4691</v>
      </c>
    </row>
    <row r="3574">
      <c r="A3574" s="2" t="s">
        <v>4692</v>
      </c>
      <c r="B3574" s="2" t="s">
        <v>4711</v>
      </c>
      <c r="D3574" s="2" t="s">
        <v>4691</v>
      </c>
    </row>
    <row r="3575">
      <c r="A3575" s="2" t="s">
        <v>4692</v>
      </c>
      <c r="B3575" s="2" t="s">
        <v>4720</v>
      </c>
      <c r="D3575" s="2" t="s">
        <v>4691</v>
      </c>
    </row>
    <row r="3576">
      <c r="A3576" s="2" t="s">
        <v>4692</v>
      </c>
      <c r="B3576" s="2" t="s">
        <v>4721</v>
      </c>
      <c r="D3576" s="2" t="s">
        <v>4691</v>
      </c>
    </row>
    <row r="3577">
      <c r="A3577" s="64" t="s">
        <v>4689</v>
      </c>
      <c r="B3577" s="2" t="s">
        <v>4717</v>
      </c>
      <c r="D3577" s="2" t="s">
        <v>4691</v>
      </c>
    </row>
    <row r="3578">
      <c r="A3578" s="2" t="s">
        <v>4689</v>
      </c>
      <c r="B3578" s="2" t="s">
        <v>4722</v>
      </c>
      <c r="D3578" s="2" t="s">
        <v>4691</v>
      </c>
    </row>
    <row r="3579">
      <c r="A3579" s="2" t="s">
        <v>4689</v>
      </c>
      <c r="B3579" s="2" t="s">
        <v>4723</v>
      </c>
      <c r="D3579" s="2" t="s">
        <v>4691</v>
      </c>
    </row>
    <row r="3580">
      <c r="A3580" s="2" t="s">
        <v>4689</v>
      </c>
      <c r="B3580" s="2" t="s">
        <v>4724</v>
      </c>
      <c r="D3580" s="2" t="s">
        <v>4691</v>
      </c>
    </row>
    <row r="3581">
      <c r="A3581" s="2" t="s">
        <v>4692</v>
      </c>
      <c r="B3581" s="2" t="s">
        <v>4725</v>
      </c>
      <c r="D3581" s="2" t="s">
        <v>4691</v>
      </c>
    </row>
    <row r="3582">
      <c r="A3582" s="2" t="s">
        <v>4692</v>
      </c>
      <c r="B3582" s="2" t="s">
        <v>4726</v>
      </c>
      <c r="D3582" s="2" t="s">
        <v>4691</v>
      </c>
    </row>
    <row r="3583">
      <c r="A3583" s="2" t="s">
        <v>4692</v>
      </c>
      <c r="B3583" s="2" t="s">
        <v>4727</v>
      </c>
      <c r="D3583" s="2" t="s">
        <v>4691</v>
      </c>
    </row>
    <row r="3584">
      <c r="A3584" s="2" t="s">
        <v>4692</v>
      </c>
      <c r="B3584" s="2" t="s">
        <v>4728</v>
      </c>
      <c r="D3584" s="2" t="s">
        <v>4691</v>
      </c>
    </row>
    <row r="3585">
      <c r="A3585" s="2" t="s">
        <v>4692</v>
      </c>
      <c r="B3585" s="2" t="s">
        <v>4729</v>
      </c>
      <c r="D3585" s="2" t="s">
        <v>4691</v>
      </c>
    </row>
    <row r="3586">
      <c r="A3586" s="2" t="s">
        <v>4692</v>
      </c>
      <c r="B3586" s="2" t="s">
        <v>4730</v>
      </c>
      <c r="D3586" s="2" t="s">
        <v>4691</v>
      </c>
    </row>
    <row r="3587">
      <c r="A3587" s="2" t="s">
        <v>4692</v>
      </c>
      <c r="B3587" s="2" t="s">
        <v>4731</v>
      </c>
      <c r="D3587" s="2" t="s">
        <v>4691</v>
      </c>
    </row>
    <row r="3588">
      <c r="A3588" s="2" t="s">
        <v>4692</v>
      </c>
      <c r="B3588" s="2" t="s">
        <v>4732</v>
      </c>
      <c r="D3588" s="2" t="s">
        <v>4691</v>
      </c>
    </row>
    <row r="3589">
      <c r="A3589" s="2" t="s">
        <v>4692</v>
      </c>
      <c r="B3589" s="2" t="s">
        <v>4733</v>
      </c>
      <c r="D3589" s="2" t="s">
        <v>4691</v>
      </c>
    </row>
    <row r="3590">
      <c r="A3590" s="2" t="s">
        <v>4692</v>
      </c>
      <c r="B3590" s="2" t="s">
        <v>4729</v>
      </c>
      <c r="D3590" s="2" t="s">
        <v>4691</v>
      </c>
    </row>
    <row r="3591">
      <c r="A3591" s="2" t="s">
        <v>4692</v>
      </c>
      <c r="B3591" s="2" t="s">
        <v>4734</v>
      </c>
      <c r="D3591" s="2" t="s">
        <v>4691</v>
      </c>
    </row>
    <row r="3592">
      <c r="A3592" s="2" t="s">
        <v>4692</v>
      </c>
      <c r="B3592" s="2" t="s">
        <v>4735</v>
      </c>
      <c r="D3592" s="2" t="s">
        <v>4691</v>
      </c>
    </row>
    <row r="3593">
      <c r="A3593" s="2" t="s">
        <v>4692</v>
      </c>
      <c r="B3593" s="2" t="s">
        <v>4736</v>
      </c>
      <c r="D3593" s="2" t="s">
        <v>4691</v>
      </c>
    </row>
    <row r="3594">
      <c r="A3594" s="2" t="s">
        <v>4692</v>
      </c>
      <c r="B3594" s="2" t="s">
        <v>4737</v>
      </c>
      <c r="D3594" s="2" t="s">
        <v>4691</v>
      </c>
    </row>
    <row r="3595">
      <c r="A3595" s="2" t="s">
        <v>4692</v>
      </c>
      <c r="B3595" s="2" t="s">
        <v>4738</v>
      </c>
      <c r="D3595" s="2" t="s">
        <v>4691</v>
      </c>
    </row>
    <row r="3596">
      <c r="A3596" s="2" t="s">
        <v>4692</v>
      </c>
      <c r="B3596" s="2" t="s">
        <v>4739</v>
      </c>
      <c r="D3596" s="2" t="s">
        <v>4691</v>
      </c>
    </row>
    <row r="3597">
      <c r="A3597" s="2" t="s">
        <v>4692</v>
      </c>
      <c r="B3597" s="2" t="s">
        <v>4740</v>
      </c>
      <c r="D3597" s="2" t="s">
        <v>4691</v>
      </c>
    </row>
    <row r="3598">
      <c r="A3598" s="2" t="s">
        <v>4692</v>
      </c>
      <c r="B3598" s="2" t="s">
        <v>4741</v>
      </c>
      <c r="D3598" s="2" t="s">
        <v>4691</v>
      </c>
    </row>
    <row r="3599">
      <c r="A3599" s="2" t="s">
        <v>4692</v>
      </c>
      <c r="B3599" s="2" t="s">
        <v>4742</v>
      </c>
      <c r="D3599" s="2" t="s">
        <v>4691</v>
      </c>
    </row>
    <row r="3600">
      <c r="A3600" s="2" t="s">
        <v>4692</v>
      </c>
      <c r="B3600" s="2" t="s">
        <v>4743</v>
      </c>
      <c r="D3600" s="2" t="s">
        <v>4691</v>
      </c>
    </row>
    <row r="3601">
      <c r="A3601" s="2" t="s">
        <v>4692</v>
      </c>
      <c r="B3601" s="2" t="s">
        <v>4744</v>
      </c>
      <c r="D3601" s="2" t="s">
        <v>4691</v>
      </c>
    </row>
    <row r="3602">
      <c r="A3602" s="2" t="s">
        <v>4692</v>
      </c>
      <c r="B3602" s="2" t="s">
        <v>4740</v>
      </c>
      <c r="D3602" s="2" t="s">
        <v>4691</v>
      </c>
    </row>
    <row r="3603">
      <c r="A3603" s="2" t="s">
        <v>4692</v>
      </c>
      <c r="B3603" s="2" t="s">
        <v>4745</v>
      </c>
      <c r="D3603" s="2" t="s">
        <v>4691</v>
      </c>
    </row>
    <row r="3604">
      <c r="A3604" s="2" t="s">
        <v>4692</v>
      </c>
      <c r="B3604" s="2" t="s">
        <v>4746</v>
      </c>
      <c r="D3604" s="2" t="s">
        <v>4691</v>
      </c>
    </row>
    <row r="3605">
      <c r="A3605" s="2" t="s">
        <v>4692</v>
      </c>
      <c r="B3605" s="2" t="s">
        <v>4747</v>
      </c>
      <c r="D3605" s="2" t="s">
        <v>4691</v>
      </c>
    </row>
    <row r="3606">
      <c r="A3606" s="2" t="s">
        <v>4692</v>
      </c>
      <c r="B3606" s="2" t="s">
        <v>4748</v>
      </c>
      <c r="D3606" s="2" t="s">
        <v>4691</v>
      </c>
    </row>
    <row r="3607">
      <c r="A3607" s="2" t="s">
        <v>4692</v>
      </c>
      <c r="B3607" s="2" t="s">
        <v>4749</v>
      </c>
      <c r="D3607" s="2" t="s">
        <v>4691</v>
      </c>
    </row>
    <row r="3608">
      <c r="A3608" s="2" t="s">
        <v>4692</v>
      </c>
      <c r="B3608" s="2" t="s">
        <v>4750</v>
      </c>
      <c r="D3608" s="2" t="s">
        <v>4691</v>
      </c>
    </row>
    <row r="3609">
      <c r="A3609" s="2" t="s">
        <v>4692</v>
      </c>
      <c r="B3609" s="2" t="s">
        <v>4751</v>
      </c>
      <c r="D3609" s="2" t="s">
        <v>4691</v>
      </c>
    </row>
    <row r="3610">
      <c r="A3610" s="2" t="s">
        <v>4692</v>
      </c>
      <c r="B3610" s="2" t="s">
        <v>4738</v>
      </c>
      <c r="D3610" s="2" t="s">
        <v>4691</v>
      </c>
    </row>
    <row r="3611">
      <c r="A3611" s="2" t="s">
        <v>4692</v>
      </c>
      <c r="B3611" s="2" t="s">
        <v>4752</v>
      </c>
      <c r="D3611" s="2" t="s">
        <v>4691</v>
      </c>
    </row>
    <row r="3612">
      <c r="A3612" s="2" t="s">
        <v>4692</v>
      </c>
      <c r="B3612" s="2" t="s">
        <v>4753</v>
      </c>
      <c r="D3612" s="2" t="s">
        <v>4691</v>
      </c>
    </row>
    <row r="3613">
      <c r="A3613" s="2" t="s">
        <v>4692</v>
      </c>
      <c r="B3613" s="2" t="s">
        <v>4754</v>
      </c>
      <c r="D3613" s="2" t="s">
        <v>4691</v>
      </c>
    </row>
    <row r="3614">
      <c r="A3614" s="2" t="s">
        <v>4692</v>
      </c>
      <c r="B3614" s="2" t="s">
        <v>4741</v>
      </c>
      <c r="D3614" s="2" t="s">
        <v>4691</v>
      </c>
    </row>
    <row r="3615">
      <c r="A3615" s="2" t="s">
        <v>4692</v>
      </c>
      <c r="B3615" s="2" t="s">
        <v>4755</v>
      </c>
      <c r="D3615" s="2" t="s">
        <v>4691</v>
      </c>
    </row>
    <row r="3616">
      <c r="A3616" s="2" t="s">
        <v>4692</v>
      </c>
      <c r="B3616" s="2" t="s">
        <v>4725</v>
      </c>
      <c r="D3616" s="2" t="s">
        <v>4691</v>
      </c>
    </row>
    <row r="3617">
      <c r="A3617" s="2" t="s">
        <v>4692</v>
      </c>
      <c r="B3617" s="2" t="s">
        <v>4756</v>
      </c>
      <c r="D3617" s="2" t="s">
        <v>4691</v>
      </c>
    </row>
    <row r="3618">
      <c r="A3618" s="2" t="s">
        <v>4692</v>
      </c>
      <c r="B3618" s="2" t="s">
        <v>4739</v>
      </c>
      <c r="D3618" s="2" t="s">
        <v>4691</v>
      </c>
    </row>
    <row r="3619">
      <c r="A3619" s="2" t="s">
        <v>4692</v>
      </c>
      <c r="B3619" s="2" t="s">
        <v>4757</v>
      </c>
      <c r="D3619" s="2" t="s">
        <v>4691</v>
      </c>
    </row>
    <row r="3620">
      <c r="A3620" s="2" t="s">
        <v>4692</v>
      </c>
      <c r="B3620" s="2" t="s">
        <v>4758</v>
      </c>
      <c r="D3620" s="2" t="s">
        <v>4691</v>
      </c>
    </row>
    <row r="3621">
      <c r="A3621" s="2" t="s">
        <v>4692</v>
      </c>
      <c r="B3621" s="2" t="s">
        <v>4759</v>
      </c>
      <c r="D3621" s="2" t="s">
        <v>4691</v>
      </c>
    </row>
    <row r="3622">
      <c r="A3622" s="2" t="s">
        <v>4692</v>
      </c>
      <c r="B3622" s="2" t="s">
        <v>4758</v>
      </c>
      <c r="D3622" s="2" t="s">
        <v>4691</v>
      </c>
    </row>
    <row r="3623">
      <c r="A3623" s="2" t="s">
        <v>4692</v>
      </c>
      <c r="B3623" s="2" t="s">
        <v>4727</v>
      </c>
      <c r="D3623" s="2" t="s">
        <v>4691</v>
      </c>
    </row>
    <row r="3624">
      <c r="A3624" s="2" t="s">
        <v>4692</v>
      </c>
      <c r="B3624" s="2" t="s">
        <v>4728</v>
      </c>
      <c r="D3624" s="2" t="s">
        <v>4691</v>
      </c>
    </row>
    <row r="3625">
      <c r="A3625" s="2" t="s">
        <v>4692</v>
      </c>
      <c r="B3625" s="2" t="s">
        <v>4760</v>
      </c>
      <c r="D3625" s="2" t="s">
        <v>4691</v>
      </c>
    </row>
    <row r="3626">
      <c r="A3626" s="2" t="s">
        <v>4692</v>
      </c>
      <c r="B3626" s="2" t="s">
        <v>4729</v>
      </c>
      <c r="D3626" s="2" t="s">
        <v>4691</v>
      </c>
    </row>
    <row r="3627">
      <c r="A3627" s="2" t="s">
        <v>4692</v>
      </c>
      <c r="B3627" s="2" t="s">
        <v>4761</v>
      </c>
      <c r="D3627" s="2" t="s">
        <v>4691</v>
      </c>
    </row>
    <row r="3628">
      <c r="A3628" s="2" t="s">
        <v>4692</v>
      </c>
      <c r="B3628" s="2" t="s">
        <v>4736</v>
      </c>
      <c r="D3628" s="2" t="s">
        <v>4691</v>
      </c>
    </row>
    <row r="3629">
      <c r="A3629" s="2" t="s">
        <v>4692</v>
      </c>
      <c r="B3629" s="2" t="s">
        <v>4762</v>
      </c>
      <c r="D3629" s="2" t="s">
        <v>4691</v>
      </c>
    </row>
    <row r="3630">
      <c r="A3630" s="2" t="s">
        <v>4692</v>
      </c>
      <c r="B3630" s="2" t="s">
        <v>4731</v>
      </c>
      <c r="D3630" s="2" t="s">
        <v>4691</v>
      </c>
    </row>
    <row r="3631">
      <c r="A3631" s="2" t="s">
        <v>4692</v>
      </c>
      <c r="B3631" s="2" t="s">
        <v>4756</v>
      </c>
      <c r="D3631" s="2" t="s">
        <v>4691</v>
      </c>
    </row>
    <row r="3632">
      <c r="A3632" s="2" t="s">
        <v>4692</v>
      </c>
      <c r="B3632" s="2" t="s">
        <v>4734</v>
      </c>
      <c r="D3632" s="2" t="s">
        <v>4691</v>
      </c>
    </row>
    <row r="3633">
      <c r="A3633" s="2" t="s">
        <v>4692</v>
      </c>
      <c r="B3633" s="2" t="s">
        <v>4728</v>
      </c>
      <c r="D3633" s="2" t="s">
        <v>4691</v>
      </c>
    </row>
    <row r="3634">
      <c r="A3634" s="2" t="s">
        <v>4692</v>
      </c>
      <c r="B3634" s="2" t="s">
        <v>4738</v>
      </c>
      <c r="D3634" s="2" t="s">
        <v>4691</v>
      </c>
    </row>
    <row r="3635">
      <c r="A3635" s="2" t="s">
        <v>4692</v>
      </c>
      <c r="B3635" s="2" t="s">
        <v>4738</v>
      </c>
      <c r="D3635" s="2" t="s">
        <v>4691</v>
      </c>
    </row>
    <row r="3636">
      <c r="A3636" s="2" t="s">
        <v>4692</v>
      </c>
      <c r="B3636" s="2" t="s">
        <v>4749</v>
      </c>
      <c r="D3636" s="2" t="s">
        <v>4691</v>
      </c>
    </row>
    <row r="3637">
      <c r="A3637" s="2" t="s">
        <v>4692</v>
      </c>
      <c r="B3637" s="2" t="s">
        <v>4762</v>
      </c>
      <c r="D3637" s="2" t="s">
        <v>4691</v>
      </c>
    </row>
    <row r="3638">
      <c r="A3638" s="2" t="s">
        <v>4692</v>
      </c>
      <c r="B3638" s="2" t="s">
        <v>4727</v>
      </c>
      <c r="D3638" s="2" t="s">
        <v>4691</v>
      </c>
    </row>
    <row r="3639">
      <c r="A3639" s="2" t="s">
        <v>4692</v>
      </c>
      <c r="B3639" s="2" t="s">
        <v>4726</v>
      </c>
      <c r="D3639" s="2" t="s">
        <v>4691</v>
      </c>
    </row>
    <row r="3640">
      <c r="A3640" s="2" t="s">
        <v>4692</v>
      </c>
      <c r="B3640" s="2" t="s">
        <v>4728</v>
      </c>
      <c r="D3640" s="2" t="s">
        <v>4691</v>
      </c>
    </row>
    <row r="3641">
      <c r="A3641" s="2" t="s">
        <v>4692</v>
      </c>
      <c r="B3641" s="2" t="s">
        <v>4763</v>
      </c>
      <c r="D3641" s="2" t="s">
        <v>4691</v>
      </c>
    </row>
    <row r="3642">
      <c r="A3642" s="2" t="s">
        <v>4692</v>
      </c>
      <c r="B3642" s="2" t="s">
        <v>4734</v>
      </c>
      <c r="D3642" s="2" t="s">
        <v>4691</v>
      </c>
    </row>
    <row r="3643">
      <c r="A3643" s="2" t="s">
        <v>4692</v>
      </c>
      <c r="B3643" s="2" t="s">
        <v>4726</v>
      </c>
      <c r="D3643" s="2" t="s">
        <v>4691</v>
      </c>
    </row>
    <row r="3644">
      <c r="A3644" s="2" t="s">
        <v>4692</v>
      </c>
      <c r="B3644" s="2" t="s">
        <v>4729</v>
      </c>
      <c r="D3644" s="2" t="s">
        <v>4691</v>
      </c>
    </row>
    <row r="3645">
      <c r="A3645" s="2" t="s">
        <v>4692</v>
      </c>
      <c r="B3645" s="2" t="s">
        <v>4738</v>
      </c>
      <c r="D3645" s="2" t="s">
        <v>4691</v>
      </c>
    </row>
    <row r="3646">
      <c r="A3646" s="2" t="s">
        <v>4692</v>
      </c>
      <c r="B3646" s="2" t="s">
        <v>4764</v>
      </c>
      <c r="D3646" s="2" t="s">
        <v>4691</v>
      </c>
    </row>
    <row r="3647">
      <c r="A3647" s="2" t="s">
        <v>4692</v>
      </c>
      <c r="B3647" s="2" t="s">
        <v>4709</v>
      </c>
      <c r="D3647" s="2" t="s">
        <v>4691</v>
      </c>
    </row>
    <row r="3648">
      <c r="A3648" s="2" t="s">
        <v>4692</v>
      </c>
      <c r="B3648" s="2" t="s">
        <v>4765</v>
      </c>
      <c r="D3648" s="2" t="s">
        <v>4691</v>
      </c>
    </row>
    <row r="3649">
      <c r="A3649" s="2" t="s">
        <v>4692</v>
      </c>
      <c r="B3649" s="2" t="s">
        <v>4766</v>
      </c>
      <c r="D3649" s="2" t="s">
        <v>4691</v>
      </c>
    </row>
    <row r="3650">
      <c r="A3650" s="2" t="s">
        <v>4692</v>
      </c>
      <c r="B3650" s="2" t="s">
        <v>4711</v>
      </c>
      <c r="D3650" s="2" t="s">
        <v>4691</v>
      </c>
    </row>
    <row r="3651">
      <c r="A3651" s="2" t="s">
        <v>4692</v>
      </c>
      <c r="B3651" s="2" t="s">
        <v>4750</v>
      </c>
      <c r="D3651" s="2" t="s">
        <v>4691</v>
      </c>
    </row>
    <row r="3652">
      <c r="A3652" s="2" t="s">
        <v>4692</v>
      </c>
      <c r="B3652" s="2" t="s">
        <v>4757</v>
      </c>
      <c r="D3652" s="2" t="s">
        <v>4691</v>
      </c>
    </row>
    <row r="3653">
      <c r="A3653" s="2" t="s">
        <v>4692</v>
      </c>
      <c r="B3653" s="2" t="s">
        <v>4767</v>
      </c>
      <c r="D3653" s="2" t="s">
        <v>4691</v>
      </c>
    </row>
    <row r="3654">
      <c r="A3654" s="2" t="s">
        <v>4692</v>
      </c>
      <c r="B3654" s="2" t="s">
        <v>4768</v>
      </c>
      <c r="D3654" s="2" t="s">
        <v>4691</v>
      </c>
    </row>
    <row r="3655">
      <c r="A3655" s="2" t="s">
        <v>4692</v>
      </c>
      <c r="B3655" s="2" t="s">
        <v>4749</v>
      </c>
      <c r="D3655" s="2" t="s">
        <v>4691</v>
      </c>
    </row>
    <row r="3656">
      <c r="A3656" s="2" t="s">
        <v>4692</v>
      </c>
      <c r="B3656" s="2" t="s">
        <v>4756</v>
      </c>
      <c r="D3656" s="2" t="s">
        <v>4691</v>
      </c>
    </row>
    <row r="3657">
      <c r="A3657" s="2" t="s">
        <v>4692</v>
      </c>
      <c r="B3657" s="2" t="s">
        <v>4740</v>
      </c>
      <c r="D3657" s="2" t="s">
        <v>4691</v>
      </c>
    </row>
    <row r="3658">
      <c r="A3658" s="2" t="s">
        <v>4692</v>
      </c>
      <c r="B3658" s="2" t="s">
        <v>4769</v>
      </c>
      <c r="D3658" s="2" t="s">
        <v>4691</v>
      </c>
    </row>
    <row r="3659">
      <c r="A3659" s="2" t="s">
        <v>4692</v>
      </c>
      <c r="B3659" s="2" t="s">
        <v>4747</v>
      </c>
      <c r="D3659" s="2" t="s">
        <v>4691</v>
      </c>
    </row>
    <row r="3660">
      <c r="A3660" s="2" t="s">
        <v>4692</v>
      </c>
      <c r="B3660" s="2" t="s">
        <v>4757</v>
      </c>
      <c r="D3660" s="2" t="s">
        <v>4691</v>
      </c>
    </row>
    <row r="3661">
      <c r="A3661" s="2" t="s">
        <v>4692</v>
      </c>
      <c r="B3661" s="2" t="s">
        <v>4728</v>
      </c>
      <c r="D3661" s="2" t="s">
        <v>4691</v>
      </c>
    </row>
    <row r="3662">
      <c r="A3662" s="2" t="s">
        <v>4692</v>
      </c>
      <c r="B3662" s="2" t="s">
        <v>4725</v>
      </c>
      <c r="D3662" s="2" t="s">
        <v>4691</v>
      </c>
    </row>
    <row r="3663">
      <c r="A3663" s="2" t="s">
        <v>4692</v>
      </c>
      <c r="B3663" s="2" t="s">
        <v>4770</v>
      </c>
      <c r="D3663" s="2" t="s">
        <v>4691</v>
      </c>
    </row>
    <row r="3664">
      <c r="A3664" s="2" t="s">
        <v>4692</v>
      </c>
      <c r="B3664" s="2" t="s">
        <v>4771</v>
      </c>
      <c r="D3664" s="2" t="s">
        <v>4691</v>
      </c>
    </row>
    <row r="3665">
      <c r="A3665" s="2" t="s">
        <v>4692</v>
      </c>
      <c r="B3665" s="2" t="s">
        <v>4772</v>
      </c>
      <c r="D3665" s="2" t="s">
        <v>4691</v>
      </c>
    </row>
    <row r="3666">
      <c r="A3666" s="2" t="s">
        <v>4692</v>
      </c>
      <c r="B3666" s="2" t="s">
        <v>4749</v>
      </c>
      <c r="D3666" s="2" t="s">
        <v>4691</v>
      </c>
    </row>
    <row r="3667">
      <c r="A3667" s="2" t="s">
        <v>4692</v>
      </c>
      <c r="B3667" s="2" t="s">
        <v>4730</v>
      </c>
      <c r="D3667" s="2" t="s">
        <v>4691</v>
      </c>
    </row>
    <row r="3668">
      <c r="A3668" s="2" t="s">
        <v>4692</v>
      </c>
      <c r="B3668" s="2" t="s">
        <v>4757</v>
      </c>
      <c r="D3668" s="2" t="s">
        <v>4691</v>
      </c>
    </row>
    <row r="3669">
      <c r="A3669" s="2" t="s">
        <v>4692</v>
      </c>
      <c r="B3669" s="2" t="s">
        <v>4734</v>
      </c>
      <c r="D3669" s="2" t="s">
        <v>4691</v>
      </c>
    </row>
    <row r="3670">
      <c r="A3670" s="2" t="s">
        <v>4692</v>
      </c>
      <c r="B3670" s="2" t="s">
        <v>4773</v>
      </c>
      <c r="D3670" s="2" t="s">
        <v>4691</v>
      </c>
    </row>
    <row r="3671">
      <c r="A3671" s="2" t="s">
        <v>4692</v>
      </c>
      <c r="B3671" s="2" t="s">
        <v>4731</v>
      </c>
      <c r="D3671" s="2" t="s">
        <v>4691</v>
      </c>
    </row>
    <row r="3672">
      <c r="A3672" s="2" t="s">
        <v>4692</v>
      </c>
      <c r="B3672" s="2" t="s">
        <v>4757</v>
      </c>
      <c r="D3672" s="2" t="s">
        <v>4691</v>
      </c>
    </row>
    <row r="3673">
      <c r="A3673" s="2" t="s">
        <v>4692</v>
      </c>
      <c r="B3673" s="2" t="s">
        <v>4757</v>
      </c>
      <c r="D3673" s="2" t="s">
        <v>4691</v>
      </c>
    </row>
    <row r="3674">
      <c r="A3674" s="2" t="s">
        <v>4692</v>
      </c>
      <c r="B3674" s="2" t="s">
        <v>4747</v>
      </c>
      <c r="D3674" s="2" t="s">
        <v>4691</v>
      </c>
    </row>
    <row r="3675">
      <c r="A3675" s="2" t="s">
        <v>4692</v>
      </c>
      <c r="B3675" s="2" t="s">
        <v>4774</v>
      </c>
      <c r="D3675" s="2" t="s">
        <v>4691</v>
      </c>
    </row>
    <row r="3676">
      <c r="A3676" s="2" t="s">
        <v>4692</v>
      </c>
      <c r="B3676" s="2" t="s">
        <v>4775</v>
      </c>
      <c r="D3676" s="2" t="s">
        <v>4691</v>
      </c>
    </row>
    <row r="3677">
      <c r="A3677" s="2" t="s">
        <v>4692</v>
      </c>
      <c r="B3677" s="2" t="s">
        <v>4738</v>
      </c>
      <c r="D3677" s="2" t="s">
        <v>4691</v>
      </c>
    </row>
    <row r="3678">
      <c r="A3678" s="2" t="s">
        <v>4692</v>
      </c>
      <c r="B3678" s="2" t="s">
        <v>4756</v>
      </c>
      <c r="D3678" s="2" t="s">
        <v>4691</v>
      </c>
    </row>
    <row r="3679">
      <c r="A3679" s="2" t="s">
        <v>4692</v>
      </c>
      <c r="B3679" s="2" t="s">
        <v>4757</v>
      </c>
      <c r="D3679" s="2" t="s">
        <v>4691</v>
      </c>
    </row>
    <row r="3680">
      <c r="A3680" s="2" t="s">
        <v>4692</v>
      </c>
      <c r="B3680" s="2" t="s">
        <v>4771</v>
      </c>
      <c r="D3680" s="2" t="s">
        <v>4691</v>
      </c>
    </row>
    <row r="3681">
      <c r="A3681" s="2" t="s">
        <v>4692</v>
      </c>
      <c r="B3681" s="2" t="s">
        <v>4776</v>
      </c>
      <c r="D3681" s="2" t="s">
        <v>4691</v>
      </c>
    </row>
    <row r="3682">
      <c r="A3682" s="2" t="s">
        <v>4692</v>
      </c>
      <c r="B3682" s="2" t="s">
        <v>4756</v>
      </c>
      <c r="D3682" s="2" t="s">
        <v>4691</v>
      </c>
    </row>
    <row r="3683">
      <c r="A3683" s="2" t="s">
        <v>4692</v>
      </c>
      <c r="B3683" s="2" t="s">
        <v>4757</v>
      </c>
      <c r="D3683" s="2" t="s">
        <v>4691</v>
      </c>
    </row>
    <row r="3684">
      <c r="A3684" s="2" t="s">
        <v>4692</v>
      </c>
      <c r="B3684" s="2" t="s">
        <v>4729</v>
      </c>
      <c r="D3684" s="2" t="s">
        <v>4691</v>
      </c>
    </row>
    <row r="3685">
      <c r="A3685" s="2" t="s">
        <v>4692</v>
      </c>
      <c r="B3685" s="2" t="s">
        <v>4758</v>
      </c>
      <c r="D3685" s="2" t="s">
        <v>4691</v>
      </c>
    </row>
    <row r="3686">
      <c r="A3686" s="2" t="s">
        <v>4692</v>
      </c>
      <c r="B3686" s="2" t="s">
        <v>4777</v>
      </c>
      <c r="D3686" s="2" t="s">
        <v>4691</v>
      </c>
    </row>
    <row r="3687">
      <c r="A3687" s="2" t="s">
        <v>4692</v>
      </c>
      <c r="B3687" s="2" t="s">
        <v>4757</v>
      </c>
      <c r="D3687" s="2" t="s">
        <v>4691</v>
      </c>
    </row>
    <row r="3688">
      <c r="A3688" s="2" t="s">
        <v>4692</v>
      </c>
      <c r="B3688" s="2" t="s">
        <v>4693</v>
      </c>
      <c r="D3688" s="2" t="s">
        <v>4691</v>
      </c>
    </row>
    <row r="3689">
      <c r="A3689" s="2" t="s">
        <v>4692</v>
      </c>
      <c r="B3689" s="2" t="s">
        <v>4701</v>
      </c>
      <c r="D3689" s="2" t="s">
        <v>4691</v>
      </c>
    </row>
    <row r="3690">
      <c r="A3690" s="2" t="s">
        <v>4692</v>
      </c>
      <c r="B3690" s="2" t="s">
        <v>4764</v>
      </c>
      <c r="D3690" s="2" t="s">
        <v>4691</v>
      </c>
    </row>
    <row r="3691">
      <c r="A3691" s="2" t="s">
        <v>4692</v>
      </c>
      <c r="B3691" s="2" t="s">
        <v>4701</v>
      </c>
      <c r="D3691" s="2" t="s">
        <v>4691</v>
      </c>
    </row>
    <row r="3692">
      <c r="A3692" s="2" t="s">
        <v>4692</v>
      </c>
      <c r="B3692" s="2" t="s">
        <v>4759</v>
      </c>
      <c r="D3692" s="2" t="s">
        <v>4691</v>
      </c>
    </row>
    <row r="3693">
      <c r="A3693" s="2" t="s">
        <v>4692</v>
      </c>
      <c r="B3693" s="2" t="s">
        <v>4750</v>
      </c>
      <c r="D3693" s="2" t="s">
        <v>4691</v>
      </c>
    </row>
    <row r="3694">
      <c r="A3694" s="2" t="s">
        <v>4692</v>
      </c>
      <c r="B3694" s="2" t="s">
        <v>4778</v>
      </c>
      <c r="D3694" s="2" t="s">
        <v>4691</v>
      </c>
    </row>
    <row r="3695">
      <c r="A3695" s="2" t="s">
        <v>4692</v>
      </c>
      <c r="B3695" s="2" t="s">
        <v>4762</v>
      </c>
      <c r="D3695" s="2" t="s">
        <v>4691</v>
      </c>
    </row>
    <row r="3696">
      <c r="A3696" s="2" t="s">
        <v>4692</v>
      </c>
      <c r="B3696" s="2" t="s">
        <v>4779</v>
      </c>
      <c r="D3696" s="2" t="s">
        <v>4691</v>
      </c>
    </row>
    <row r="3697">
      <c r="A3697" s="2" t="s">
        <v>4692</v>
      </c>
      <c r="B3697" s="2" t="s">
        <v>4758</v>
      </c>
      <c r="D3697" s="2" t="s">
        <v>4691</v>
      </c>
    </row>
    <row r="3698">
      <c r="A3698" s="2" t="s">
        <v>4692</v>
      </c>
      <c r="B3698" s="2" t="s">
        <v>4764</v>
      </c>
      <c r="D3698" s="2" t="s">
        <v>4691</v>
      </c>
    </row>
    <row r="3699">
      <c r="A3699" s="2" t="s">
        <v>4692</v>
      </c>
      <c r="B3699" s="2" t="s">
        <v>4738</v>
      </c>
      <c r="D3699" s="2" t="s">
        <v>4691</v>
      </c>
    </row>
    <row r="3700">
      <c r="A3700" s="2" t="s">
        <v>4692</v>
      </c>
      <c r="B3700" s="2" t="s">
        <v>4759</v>
      </c>
      <c r="D3700" s="2" t="s">
        <v>4691</v>
      </c>
    </row>
    <row r="3701">
      <c r="A3701" s="2" t="s">
        <v>4692</v>
      </c>
      <c r="B3701" s="2" t="s">
        <v>4748</v>
      </c>
      <c r="D3701" s="2" t="s">
        <v>4691</v>
      </c>
    </row>
    <row r="3702">
      <c r="A3702" s="2" t="s">
        <v>4692</v>
      </c>
      <c r="B3702" s="2" t="s">
        <v>4728</v>
      </c>
      <c r="D3702" s="2" t="s">
        <v>4691</v>
      </c>
    </row>
    <row r="3703">
      <c r="A3703" s="2" t="s">
        <v>4692</v>
      </c>
      <c r="B3703" s="2" t="s">
        <v>4738</v>
      </c>
      <c r="D3703" s="2" t="s">
        <v>4691</v>
      </c>
    </row>
    <row r="3704">
      <c r="A3704" s="2" t="s">
        <v>4692</v>
      </c>
      <c r="B3704" s="2" t="s">
        <v>4757</v>
      </c>
      <c r="D3704" s="2" t="s">
        <v>4691</v>
      </c>
    </row>
    <row r="3705">
      <c r="A3705" s="2" t="s">
        <v>4692</v>
      </c>
      <c r="B3705" s="2" t="s">
        <v>4780</v>
      </c>
      <c r="D3705" s="2" t="s">
        <v>4691</v>
      </c>
    </row>
    <row r="3706">
      <c r="A3706" s="2" t="s">
        <v>4692</v>
      </c>
      <c r="B3706" s="2" t="s">
        <v>4781</v>
      </c>
      <c r="D3706" s="2" t="s">
        <v>4691</v>
      </c>
    </row>
    <row r="3707">
      <c r="A3707" s="2" t="s">
        <v>4692</v>
      </c>
      <c r="B3707" s="2" t="s">
        <v>4756</v>
      </c>
      <c r="D3707" s="2" t="s">
        <v>4691</v>
      </c>
    </row>
    <row r="3708">
      <c r="A3708" s="2" t="s">
        <v>4692</v>
      </c>
      <c r="B3708" s="2" t="s">
        <v>4767</v>
      </c>
      <c r="D3708" s="2" t="s">
        <v>4691</v>
      </c>
    </row>
    <row r="3709">
      <c r="A3709" s="2" t="s">
        <v>4692</v>
      </c>
      <c r="B3709" s="2" t="s">
        <v>4778</v>
      </c>
      <c r="D3709" s="2" t="s">
        <v>4691</v>
      </c>
    </row>
    <row r="3710">
      <c r="A3710" s="2" t="s">
        <v>4692</v>
      </c>
      <c r="B3710" s="2" t="s">
        <v>4782</v>
      </c>
      <c r="D3710" s="2" t="s">
        <v>4691</v>
      </c>
    </row>
    <row r="3711">
      <c r="A3711" s="2" t="s">
        <v>4692</v>
      </c>
      <c r="B3711" s="2" t="s">
        <v>4749</v>
      </c>
      <c r="D3711" s="2" t="s">
        <v>4691</v>
      </c>
    </row>
    <row r="3712">
      <c r="A3712" s="2" t="s">
        <v>4692</v>
      </c>
      <c r="B3712" s="2" t="s">
        <v>4757</v>
      </c>
      <c r="D3712" s="2" t="s">
        <v>4691</v>
      </c>
    </row>
    <row r="3713">
      <c r="A3713" s="2" t="s">
        <v>4692</v>
      </c>
      <c r="B3713" s="2" t="s">
        <v>4755</v>
      </c>
      <c r="D3713" s="2" t="s">
        <v>4691</v>
      </c>
    </row>
    <row r="3714">
      <c r="A3714" s="2" t="s">
        <v>4692</v>
      </c>
      <c r="B3714" s="2" t="s">
        <v>4759</v>
      </c>
      <c r="D3714" s="2" t="s">
        <v>4691</v>
      </c>
    </row>
    <row r="3715">
      <c r="A3715" s="2" t="s">
        <v>4692</v>
      </c>
      <c r="B3715" s="2" t="s">
        <v>4783</v>
      </c>
      <c r="D3715" s="2" t="s">
        <v>4691</v>
      </c>
    </row>
    <row r="3716">
      <c r="A3716" s="2" t="s">
        <v>4692</v>
      </c>
      <c r="B3716" s="2" t="s">
        <v>4764</v>
      </c>
      <c r="D3716" s="2" t="s">
        <v>4691</v>
      </c>
    </row>
    <row r="3717">
      <c r="A3717" s="2" t="s">
        <v>4692</v>
      </c>
      <c r="B3717" s="2" t="s">
        <v>4782</v>
      </c>
      <c r="D3717" s="2" t="s">
        <v>4691</v>
      </c>
    </row>
    <row r="3718">
      <c r="A3718" s="2" t="s">
        <v>4692</v>
      </c>
      <c r="B3718" s="2" t="s">
        <v>4728</v>
      </c>
      <c r="D3718" s="2" t="s">
        <v>4691</v>
      </c>
    </row>
    <row r="3719">
      <c r="A3719" s="2" t="s">
        <v>4692</v>
      </c>
      <c r="B3719" s="2" t="s">
        <v>4757</v>
      </c>
      <c r="D3719" s="2" t="s">
        <v>4691</v>
      </c>
    </row>
    <row r="3720">
      <c r="A3720" s="2" t="s">
        <v>4692</v>
      </c>
      <c r="B3720" s="2" t="s">
        <v>4756</v>
      </c>
      <c r="D3720" s="2" t="s">
        <v>4691</v>
      </c>
    </row>
    <row r="3721">
      <c r="A3721" s="2" t="s">
        <v>4692</v>
      </c>
      <c r="B3721" s="2" t="s">
        <v>4731</v>
      </c>
      <c r="D3721" s="2" t="s">
        <v>4691</v>
      </c>
    </row>
    <row r="3722">
      <c r="A3722" s="2" t="s">
        <v>4692</v>
      </c>
      <c r="B3722" s="2" t="s">
        <v>4743</v>
      </c>
      <c r="D3722" s="2" t="s">
        <v>4691</v>
      </c>
    </row>
    <row r="3723">
      <c r="A3723" s="2" t="s">
        <v>4692</v>
      </c>
      <c r="B3723" s="2" t="s">
        <v>4774</v>
      </c>
      <c r="D3723" s="2" t="s">
        <v>4691</v>
      </c>
    </row>
    <row r="3724">
      <c r="A3724" s="2" t="s">
        <v>4692</v>
      </c>
      <c r="B3724" s="2" t="s">
        <v>4741</v>
      </c>
      <c r="D3724" s="2" t="s">
        <v>4691</v>
      </c>
    </row>
    <row r="3725">
      <c r="A3725" s="2" t="s">
        <v>4692</v>
      </c>
      <c r="B3725" s="2" t="s">
        <v>4784</v>
      </c>
      <c r="D3725" s="2" t="s">
        <v>4691</v>
      </c>
    </row>
    <row r="3726">
      <c r="A3726" s="2" t="s">
        <v>4692</v>
      </c>
      <c r="B3726" s="2" t="s">
        <v>4785</v>
      </c>
      <c r="D3726" s="2" t="s">
        <v>4691</v>
      </c>
    </row>
    <row r="3727">
      <c r="A3727" s="2" t="s">
        <v>4692</v>
      </c>
      <c r="B3727" s="2" t="s">
        <v>4736</v>
      </c>
      <c r="D3727" s="2" t="s">
        <v>4691</v>
      </c>
    </row>
    <row r="3728">
      <c r="A3728" s="2" t="s">
        <v>4692</v>
      </c>
      <c r="B3728" s="2" t="s">
        <v>4738</v>
      </c>
      <c r="D3728" s="2" t="s">
        <v>4691</v>
      </c>
    </row>
    <row r="3729">
      <c r="A3729" s="2" t="s">
        <v>4692</v>
      </c>
      <c r="B3729" s="2" t="s">
        <v>4786</v>
      </c>
      <c r="D3729" s="2" t="s">
        <v>4691</v>
      </c>
    </row>
    <row r="3730">
      <c r="A3730" s="2" t="s">
        <v>4692</v>
      </c>
      <c r="B3730" s="2" t="s">
        <v>4764</v>
      </c>
      <c r="D3730" s="2" t="s">
        <v>4691</v>
      </c>
    </row>
    <row r="3731">
      <c r="A3731" s="2" t="s">
        <v>4692</v>
      </c>
      <c r="B3731" s="2" t="s">
        <v>4779</v>
      </c>
      <c r="D3731" s="2" t="s">
        <v>4691</v>
      </c>
    </row>
    <row r="3732">
      <c r="A3732" s="2" t="s">
        <v>4692</v>
      </c>
      <c r="B3732" s="2" t="s">
        <v>4755</v>
      </c>
      <c r="D3732" s="2" t="s">
        <v>4691</v>
      </c>
    </row>
    <row r="3733">
      <c r="A3733" s="2" t="s">
        <v>4692</v>
      </c>
      <c r="B3733" s="2" t="s">
        <v>4731</v>
      </c>
      <c r="D3733" s="2" t="s">
        <v>4691</v>
      </c>
    </row>
    <row r="3734">
      <c r="A3734" s="2" t="s">
        <v>4692</v>
      </c>
      <c r="B3734" s="2" t="s">
        <v>4758</v>
      </c>
      <c r="D3734" s="2" t="s">
        <v>4691</v>
      </c>
    </row>
    <row r="3735">
      <c r="A3735" s="2" t="s">
        <v>4692</v>
      </c>
      <c r="B3735" s="2" t="s">
        <v>4757</v>
      </c>
      <c r="D3735" s="2" t="s">
        <v>4691</v>
      </c>
    </row>
    <row r="3736">
      <c r="A3736" s="2" t="s">
        <v>4692</v>
      </c>
      <c r="B3736" s="2" t="s">
        <v>4758</v>
      </c>
      <c r="D3736" s="2" t="s">
        <v>4691</v>
      </c>
    </row>
    <row r="3737">
      <c r="A3737" s="2" t="s">
        <v>4692</v>
      </c>
      <c r="B3737" s="2" t="s">
        <v>4735</v>
      </c>
      <c r="D3737" s="2" t="s">
        <v>4691</v>
      </c>
    </row>
    <row r="3738">
      <c r="A3738" s="2" t="s">
        <v>4692</v>
      </c>
      <c r="B3738" s="2" t="s">
        <v>4729</v>
      </c>
      <c r="D3738" s="2" t="s">
        <v>4691</v>
      </c>
    </row>
    <row r="3739">
      <c r="A3739" s="2" t="s">
        <v>4692</v>
      </c>
      <c r="B3739" s="2" t="s">
        <v>4743</v>
      </c>
      <c r="D3739" s="2" t="s">
        <v>4691</v>
      </c>
    </row>
    <row r="3740">
      <c r="A3740" s="2" t="s">
        <v>4692</v>
      </c>
      <c r="B3740" s="2" t="s">
        <v>4757</v>
      </c>
      <c r="D3740" s="2" t="s">
        <v>4691</v>
      </c>
    </row>
    <row r="3741">
      <c r="A3741" s="2" t="s">
        <v>4692</v>
      </c>
      <c r="B3741" s="2" t="s">
        <v>4708</v>
      </c>
      <c r="D3741" s="2" t="s">
        <v>4691</v>
      </c>
    </row>
    <row r="3742">
      <c r="A3742" s="2" t="s">
        <v>4692</v>
      </c>
      <c r="B3742" s="2" t="s">
        <v>4756</v>
      </c>
      <c r="D3742" s="2" t="s">
        <v>4691</v>
      </c>
    </row>
    <row r="3743">
      <c r="A3743" s="2" t="s">
        <v>4692</v>
      </c>
      <c r="B3743" s="2" t="s">
        <v>4748</v>
      </c>
      <c r="D3743" s="2" t="s">
        <v>4691</v>
      </c>
    </row>
    <row r="3744">
      <c r="A3744" s="2" t="s">
        <v>4692</v>
      </c>
      <c r="B3744" s="2" t="s">
        <v>4787</v>
      </c>
      <c r="D3744" s="2" t="s">
        <v>4691</v>
      </c>
    </row>
    <row r="3745">
      <c r="A3745" s="2" t="s">
        <v>4692</v>
      </c>
      <c r="B3745" s="2" t="s">
        <v>4783</v>
      </c>
      <c r="D3745" s="2" t="s">
        <v>4691</v>
      </c>
    </row>
    <row r="3746">
      <c r="A3746" s="2" t="s">
        <v>4692</v>
      </c>
      <c r="B3746" s="2" t="s">
        <v>4788</v>
      </c>
      <c r="D3746" s="2" t="s">
        <v>4691</v>
      </c>
    </row>
    <row r="3747">
      <c r="A3747" s="2" t="s">
        <v>4692</v>
      </c>
      <c r="B3747" s="2" t="s">
        <v>4757</v>
      </c>
      <c r="D3747" s="2" t="s">
        <v>4691</v>
      </c>
    </row>
    <row r="3748">
      <c r="A3748" s="2" t="s">
        <v>4692</v>
      </c>
      <c r="B3748" s="2" t="s">
        <v>4789</v>
      </c>
      <c r="D3748" s="2" t="s">
        <v>4691</v>
      </c>
    </row>
    <row r="3749">
      <c r="A3749" s="2" t="s">
        <v>4692</v>
      </c>
      <c r="B3749" s="2" t="s">
        <v>4790</v>
      </c>
      <c r="D3749" s="2" t="s">
        <v>4691</v>
      </c>
    </row>
    <row r="3750">
      <c r="A3750" s="2" t="s">
        <v>4692</v>
      </c>
      <c r="B3750" s="2" t="s">
        <v>4774</v>
      </c>
      <c r="D3750" s="2" t="s">
        <v>4691</v>
      </c>
    </row>
    <row r="3751">
      <c r="A3751" s="2" t="s">
        <v>4692</v>
      </c>
      <c r="B3751" s="2" t="s">
        <v>4791</v>
      </c>
      <c r="D3751" s="2" t="s">
        <v>4691</v>
      </c>
    </row>
    <row r="3752">
      <c r="A3752" s="2" t="s">
        <v>4692</v>
      </c>
      <c r="B3752" s="2" t="s">
        <v>4792</v>
      </c>
      <c r="D3752" s="2" t="s">
        <v>4691</v>
      </c>
    </row>
    <row r="3753">
      <c r="A3753" s="2" t="s">
        <v>4692</v>
      </c>
      <c r="B3753" s="2" t="s">
        <v>4759</v>
      </c>
      <c r="D3753" s="2" t="s">
        <v>4691</v>
      </c>
    </row>
    <row r="3754">
      <c r="A3754" s="2" t="s">
        <v>4692</v>
      </c>
      <c r="B3754" s="2" t="s">
        <v>4731</v>
      </c>
      <c r="D3754" s="2" t="s">
        <v>4691</v>
      </c>
    </row>
    <row r="3755">
      <c r="A3755" s="2" t="s">
        <v>4692</v>
      </c>
      <c r="B3755" s="2" t="s">
        <v>4764</v>
      </c>
      <c r="D3755" s="2" t="s">
        <v>4691</v>
      </c>
    </row>
    <row r="3756">
      <c r="A3756" s="2" t="s">
        <v>4692</v>
      </c>
      <c r="B3756" s="2" t="s">
        <v>4757</v>
      </c>
      <c r="D3756" s="2" t="s">
        <v>4691</v>
      </c>
    </row>
    <row r="3757">
      <c r="A3757" s="2" t="s">
        <v>4692</v>
      </c>
      <c r="B3757" s="2" t="s">
        <v>4793</v>
      </c>
      <c r="D3757" s="2" t="s">
        <v>4691</v>
      </c>
    </row>
    <row r="3758">
      <c r="A3758" s="2" t="s">
        <v>4692</v>
      </c>
      <c r="B3758" s="2" t="s">
        <v>4794</v>
      </c>
      <c r="D3758" s="2" t="s">
        <v>4691</v>
      </c>
    </row>
    <row r="3759">
      <c r="A3759" s="2" t="s">
        <v>4692</v>
      </c>
      <c r="B3759" s="2" t="s">
        <v>4756</v>
      </c>
      <c r="D3759" s="2" t="s">
        <v>4691</v>
      </c>
    </row>
    <row r="3760">
      <c r="A3760" s="2" t="s">
        <v>4692</v>
      </c>
      <c r="B3760" s="2" t="s">
        <v>4787</v>
      </c>
      <c r="D3760" s="2" t="s">
        <v>4691</v>
      </c>
    </row>
    <row r="3761">
      <c r="A3761" s="2" t="s">
        <v>4692</v>
      </c>
      <c r="B3761" s="2" t="s">
        <v>4756</v>
      </c>
      <c r="D3761" s="2" t="s">
        <v>4691</v>
      </c>
    </row>
    <row r="3762">
      <c r="A3762" s="2" t="s">
        <v>4692</v>
      </c>
      <c r="B3762" s="2" t="s">
        <v>4794</v>
      </c>
      <c r="D3762" s="2" t="s">
        <v>4691</v>
      </c>
    </row>
    <row r="3763">
      <c r="A3763" s="2" t="s">
        <v>4692</v>
      </c>
      <c r="B3763" s="2" t="s">
        <v>4795</v>
      </c>
      <c r="D3763" s="2" t="s">
        <v>4691</v>
      </c>
    </row>
    <row r="3764">
      <c r="A3764" s="2" t="s">
        <v>4692</v>
      </c>
      <c r="B3764" s="2" t="s">
        <v>4796</v>
      </c>
      <c r="D3764" s="2" t="s">
        <v>4691</v>
      </c>
    </row>
    <row r="3765">
      <c r="A3765" s="2" t="s">
        <v>4692</v>
      </c>
      <c r="B3765" s="2" t="s">
        <v>4797</v>
      </c>
      <c r="D3765" s="2" t="s">
        <v>4691</v>
      </c>
    </row>
    <row r="3766">
      <c r="A3766" s="2" t="s">
        <v>4798</v>
      </c>
      <c r="B3766" s="2" t="s">
        <v>4799</v>
      </c>
      <c r="D3766" s="2" t="s">
        <v>4800</v>
      </c>
      <c r="G3766" s="2" t="s">
        <v>4801</v>
      </c>
    </row>
    <row r="3767">
      <c r="A3767" s="2" t="s">
        <v>4802</v>
      </c>
      <c r="B3767" s="2" t="s">
        <v>4803</v>
      </c>
      <c r="D3767" s="2" t="s">
        <v>4800</v>
      </c>
      <c r="G3767" s="2" t="s">
        <v>4801</v>
      </c>
    </row>
    <row r="3768">
      <c r="A3768" s="2" t="s">
        <v>4802</v>
      </c>
      <c r="B3768" s="2" t="s">
        <v>4804</v>
      </c>
      <c r="D3768" s="2" t="s">
        <v>4800</v>
      </c>
      <c r="G3768" s="2" t="s">
        <v>4801</v>
      </c>
    </row>
    <row r="3769">
      <c r="A3769" s="2" t="s">
        <v>4805</v>
      </c>
      <c r="B3769" s="2" t="s">
        <v>4806</v>
      </c>
      <c r="D3769" s="2" t="s">
        <v>4800</v>
      </c>
      <c r="G3769" s="2" t="s">
        <v>4801</v>
      </c>
    </row>
    <row r="3770">
      <c r="A3770" s="2" t="s">
        <v>4807</v>
      </c>
      <c r="B3770" s="2" t="s">
        <v>4808</v>
      </c>
      <c r="D3770" s="2" t="s">
        <v>4800</v>
      </c>
      <c r="G3770" s="2" t="s">
        <v>4801</v>
      </c>
    </row>
    <row r="3771">
      <c r="A3771" s="2" t="s">
        <v>4807</v>
      </c>
      <c r="B3771" s="2" t="s">
        <v>4809</v>
      </c>
      <c r="D3771" s="2" t="s">
        <v>4800</v>
      </c>
      <c r="G3771" s="2" t="s">
        <v>4801</v>
      </c>
    </row>
    <row r="3772">
      <c r="A3772" s="2" t="s">
        <v>4807</v>
      </c>
      <c r="B3772" s="2" t="s">
        <v>4810</v>
      </c>
      <c r="D3772" s="2" t="s">
        <v>4800</v>
      </c>
      <c r="G3772" s="2" t="s">
        <v>4801</v>
      </c>
    </row>
    <row r="3773">
      <c r="A3773" s="2" t="s">
        <v>4807</v>
      </c>
      <c r="B3773" s="2" t="s">
        <v>4811</v>
      </c>
      <c r="D3773" s="2" t="s">
        <v>4800</v>
      </c>
      <c r="G3773" s="2" t="s">
        <v>4801</v>
      </c>
    </row>
    <row r="3774">
      <c r="A3774" s="2" t="s">
        <v>4807</v>
      </c>
      <c r="B3774" s="2" t="s">
        <v>4812</v>
      </c>
      <c r="D3774" s="2" t="s">
        <v>4800</v>
      </c>
      <c r="G3774" s="2" t="s">
        <v>4801</v>
      </c>
    </row>
    <row r="3775">
      <c r="A3775" s="2" t="s">
        <v>4807</v>
      </c>
      <c r="B3775" s="2" t="s">
        <v>4813</v>
      </c>
      <c r="D3775" s="2" t="s">
        <v>4800</v>
      </c>
      <c r="G3775" s="2" t="s">
        <v>4801</v>
      </c>
    </row>
    <row r="3776">
      <c r="A3776" s="2" t="s">
        <v>4807</v>
      </c>
      <c r="B3776" s="2" t="s">
        <v>4814</v>
      </c>
      <c r="D3776" s="2" t="s">
        <v>4800</v>
      </c>
      <c r="G3776" s="2" t="s">
        <v>4801</v>
      </c>
    </row>
    <row r="3777">
      <c r="A3777" s="2" t="s">
        <v>4807</v>
      </c>
      <c r="B3777" s="2" t="s">
        <v>4815</v>
      </c>
      <c r="D3777" s="2" t="s">
        <v>4800</v>
      </c>
      <c r="G3777" s="2" t="s">
        <v>4801</v>
      </c>
    </row>
    <row r="3778">
      <c r="A3778" s="2" t="s">
        <v>4807</v>
      </c>
      <c r="B3778" s="2" t="s">
        <v>4816</v>
      </c>
      <c r="D3778" s="2" t="s">
        <v>4800</v>
      </c>
      <c r="G3778" s="2" t="s">
        <v>4801</v>
      </c>
    </row>
    <row r="3779">
      <c r="A3779" s="2" t="s">
        <v>4807</v>
      </c>
      <c r="B3779" s="2" t="s">
        <v>4817</v>
      </c>
      <c r="D3779" s="2" t="s">
        <v>4800</v>
      </c>
      <c r="G3779" s="2" t="s">
        <v>4801</v>
      </c>
    </row>
    <row r="3780">
      <c r="A3780" s="2" t="s">
        <v>4807</v>
      </c>
      <c r="B3780" s="2" t="s">
        <v>4818</v>
      </c>
      <c r="D3780" s="2" t="s">
        <v>4800</v>
      </c>
      <c r="G3780" s="2" t="s">
        <v>4801</v>
      </c>
    </row>
    <row r="3781">
      <c r="A3781" s="2" t="s">
        <v>4807</v>
      </c>
      <c r="B3781" s="2" t="s">
        <v>4819</v>
      </c>
      <c r="D3781" s="2" t="s">
        <v>4800</v>
      </c>
      <c r="G3781" s="2" t="s">
        <v>4801</v>
      </c>
    </row>
    <row r="3782">
      <c r="A3782" s="2" t="s">
        <v>4807</v>
      </c>
      <c r="B3782" s="2" t="s">
        <v>4820</v>
      </c>
      <c r="D3782" s="2" t="s">
        <v>4800</v>
      </c>
      <c r="G3782" s="2" t="s">
        <v>4801</v>
      </c>
    </row>
    <row r="3783">
      <c r="A3783" s="2" t="s">
        <v>4807</v>
      </c>
      <c r="B3783" s="2" t="s">
        <v>4821</v>
      </c>
      <c r="D3783" s="2" t="s">
        <v>4800</v>
      </c>
      <c r="G3783" s="2" t="s">
        <v>4801</v>
      </c>
    </row>
    <row r="3784">
      <c r="A3784" s="2" t="s">
        <v>4807</v>
      </c>
      <c r="B3784" s="2" t="s">
        <v>4822</v>
      </c>
      <c r="D3784" s="2" t="s">
        <v>4800</v>
      </c>
      <c r="G3784" s="2" t="s">
        <v>4801</v>
      </c>
    </row>
    <row r="3785">
      <c r="A3785" s="2" t="s">
        <v>4807</v>
      </c>
      <c r="B3785" s="2" t="s">
        <v>4823</v>
      </c>
      <c r="D3785" s="2" t="s">
        <v>4800</v>
      </c>
      <c r="G3785" s="2" t="s">
        <v>4801</v>
      </c>
    </row>
    <row r="3786">
      <c r="A3786" s="2" t="s">
        <v>4807</v>
      </c>
      <c r="B3786" s="2" t="s">
        <v>4824</v>
      </c>
      <c r="D3786" s="2" t="s">
        <v>4800</v>
      </c>
      <c r="G3786" s="2" t="s">
        <v>4801</v>
      </c>
    </row>
    <row r="3787">
      <c r="A3787" s="2" t="s">
        <v>4807</v>
      </c>
      <c r="B3787" s="2" t="s">
        <v>4825</v>
      </c>
      <c r="D3787" s="2" t="s">
        <v>4800</v>
      </c>
      <c r="G3787" s="2" t="s">
        <v>4801</v>
      </c>
    </row>
    <row r="3788">
      <c r="A3788" s="2" t="s">
        <v>4807</v>
      </c>
      <c r="B3788" s="2" t="s">
        <v>4826</v>
      </c>
      <c r="D3788" s="2" t="s">
        <v>4800</v>
      </c>
      <c r="G3788" s="2" t="s">
        <v>4801</v>
      </c>
    </row>
    <row r="3789">
      <c r="A3789" s="2" t="s">
        <v>4807</v>
      </c>
      <c r="B3789" s="2" t="s">
        <v>4827</v>
      </c>
      <c r="D3789" s="2" t="s">
        <v>4800</v>
      </c>
      <c r="G3789" s="2" t="s">
        <v>4801</v>
      </c>
    </row>
    <row r="3790">
      <c r="A3790" s="2" t="s">
        <v>4807</v>
      </c>
      <c r="B3790" s="2" t="s">
        <v>4828</v>
      </c>
      <c r="D3790" s="2" t="s">
        <v>4800</v>
      </c>
      <c r="G3790" s="2" t="s">
        <v>4801</v>
      </c>
    </row>
    <row r="3791">
      <c r="A3791" s="2" t="s">
        <v>4807</v>
      </c>
      <c r="B3791" s="2" t="s">
        <v>4829</v>
      </c>
      <c r="D3791" s="2" t="s">
        <v>4800</v>
      </c>
      <c r="G3791" s="2" t="s">
        <v>4801</v>
      </c>
    </row>
    <row r="3792">
      <c r="A3792" s="2" t="s">
        <v>4807</v>
      </c>
      <c r="B3792" s="2" t="s">
        <v>4831</v>
      </c>
      <c r="D3792" s="2" t="s">
        <v>4800</v>
      </c>
      <c r="G3792" s="2" t="s">
        <v>4801</v>
      </c>
    </row>
    <row r="3793">
      <c r="A3793" s="2" t="s">
        <v>4807</v>
      </c>
      <c r="B3793" s="2" t="s">
        <v>4832</v>
      </c>
      <c r="D3793" s="2" t="s">
        <v>4800</v>
      </c>
      <c r="G3793" s="2" t="s">
        <v>4801</v>
      </c>
    </row>
    <row r="3794">
      <c r="A3794" s="2" t="s">
        <v>4807</v>
      </c>
      <c r="B3794" s="2" t="s">
        <v>4833</v>
      </c>
      <c r="D3794" s="2" t="s">
        <v>4800</v>
      </c>
      <c r="G3794" s="2" t="s">
        <v>4801</v>
      </c>
    </row>
    <row r="3795">
      <c r="A3795" s="2" t="s">
        <v>4807</v>
      </c>
      <c r="B3795" s="2" t="s">
        <v>4834</v>
      </c>
      <c r="D3795" s="2" t="s">
        <v>4800</v>
      </c>
      <c r="G3795" s="2" t="s">
        <v>4801</v>
      </c>
    </row>
    <row r="3796">
      <c r="A3796" s="2" t="s">
        <v>4807</v>
      </c>
      <c r="B3796" s="2" t="s">
        <v>4835</v>
      </c>
      <c r="D3796" s="2" t="s">
        <v>4800</v>
      </c>
      <c r="G3796" s="2" t="s">
        <v>4801</v>
      </c>
    </row>
    <row r="3797">
      <c r="A3797" s="2" t="s">
        <v>4807</v>
      </c>
      <c r="B3797" s="2" t="s">
        <v>4834</v>
      </c>
      <c r="D3797" s="2" t="s">
        <v>4800</v>
      </c>
      <c r="G3797" s="2" t="s">
        <v>4801</v>
      </c>
    </row>
    <row r="3798">
      <c r="A3798" s="2" t="s">
        <v>4807</v>
      </c>
      <c r="B3798" s="2" t="s">
        <v>4836</v>
      </c>
      <c r="D3798" s="2" t="s">
        <v>4800</v>
      </c>
      <c r="G3798" s="2" t="s">
        <v>4801</v>
      </c>
    </row>
    <row r="3799">
      <c r="A3799" s="2" t="s">
        <v>4807</v>
      </c>
      <c r="B3799" s="2" t="s">
        <v>4837</v>
      </c>
      <c r="D3799" s="2" t="s">
        <v>4800</v>
      </c>
      <c r="G3799" s="2" t="s">
        <v>4801</v>
      </c>
    </row>
    <row r="3800">
      <c r="A3800" s="2" t="s">
        <v>4807</v>
      </c>
      <c r="B3800" s="2" t="s">
        <v>4836</v>
      </c>
      <c r="D3800" s="2" t="s">
        <v>4800</v>
      </c>
      <c r="G3800" s="2" t="s">
        <v>4801</v>
      </c>
    </row>
    <row r="3801">
      <c r="A3801" s="2" t="s">
        <v>4807</v>
      </c>
      <c r="B3801" s="2" t="s">
        <v>4838</v>
      </c>
      <c r="D3801" s="2" t="s">
        <v>4800</v>
      </c>
      <c r="G3801" s="2" t="s">
        <v>4801</v>
      </c>
    </row>
    <row r="3802">
      <c r="A3802" s="2" t="s">
        <v>4807</v>
      </c>
      <c r="B3802" s="2" t="s">
        <v>4836</v>
      </c>
      <c r="D3802" s="2" t="s">
        <v>4800</v>
      </c>
      <c r="G3802" s="2" t="s">
        <v>4801</v>
      </c>
    </row>
    <row r="3803">
      <c r="A3803" s="2" t="s">
        <v>4807</v>
      </c>
      <c r="B3803" s="2" t="s">
        <v>4839</v>
      </c>
      <c r="D3803" s="2" t="s">
        <v>4800</v>
      </c>
      <c r="G3803" s="2" t="s">
        <v>4801</v>
      </c>
    </row>
    <row r="3804">
      <c r="A3804" s="2" t="s">
        <v>4807</v>
      </c>
      <c r="B3804" s="2" t="s">
        <v>4836</v>
      </c>
      <c r="D3804" s="2" t="s">
        <v>4800</v>
      </c>
      <c r="G3804" s="2" t="s">
        <v>4801</v>
      </c>
    </row>
    <row r="3805">
      <c r="A3805" s="2" t="s">
        <v>4807</v>
      </c>
      <c r="B3805" s="2" t="s">
        <v>4840</v>
      </c>
      <c r="D3805" s="2" t="s">
        <v>4800</v>
      </c>
      <c r="G3805" s="2" t="s">
        <v>4801</v>
      </c>
    </row>
    <row r="3806">
      <c r="A3806" s="2" t="s">
        <v>4807</v>
      </c>
      <c r="B3806" s="2" t="s">
        <v>4836</v>
      </c>
      <c r="D3806" s="2" t="s">
        <v>4800</v>
      </c>
      <c r="G3806" s="2" t="s">
        <v>4801</v>
      </c>
    </row>
    <row r="3807">
      <c r="A3807" s="2" t="s">
        <v>4807</v>
      </c>
      <c r="B3807" s="2" t="s">
        <v>4842</v>
      </c>
      <c r="D3807" s="2" t="s">
        <v>4800</v>
      </c>
      <c r="G3807" s="2" t="s">
        <v>4801</v>
      </c>
    </row>
    <row r="3808">
      <c r="A3808" s="2" t="s">
        <v>4807</v>
      </c>
      <c r="B3808" s="2" t="s">
        <v>4843</v>
      </c>
      <c r="D3808" s="2" t="s">
        <v>4800</v>
      </c>
      <c r="G3808" s="2" t="s">
        <v>4801</v>
      </c>
    </row>
    <row r="3809">
      <c r="A3809" s="2" t="s">
        <v>4807</v>
      </c>
      <c r="B3809" s="2" t="s">
        <v>4844</v>
      </c>
      <c r="D3809" s="2" t="s">
        <v>4800</v>
      </c>
      <c r="G3809" s="2" t="s">
        <v>4801</v>
      </c>
    </row>
    <row r="3810">
      <c r="A3810" s="2" t="s">
        <v>4807</v>
      </c>
      <c r="B3810" s="2" t="s">
        <v>4845</v>
      </c>
      <c r="D3810" s="2" t="s">
        <v>4800</v>
      </c>
      <c r="G3810" s="2" t="s">
        <v>4801</v>
      </c>
    </row>
    <row r="3811">
      <c r="A3811" s="2" t="s">
        <v>4807</v>
      </c>
      <c r="B3811" s="2" t="s">
        <v>4846</v>
      </c>
      <c r="D3811" s="2" t="s">
        <v>4800</v>
      </c>
      <c r="G3811" s="2" t="s">
        <v>4801</v>
      </c>
    </row>
    <row r="3812">
      <c r="A3812" s="2" t="s">
        <v>4807</v>
      </c>
      <c r="B3812" s="2" t="s">
        <v>4847</v>
      </c>
      <c r="D3812" s="2" t="s">
        <v>4800</v>
      </c>
      <c r="G3812" s="2" t="s">
        <v>4801</v>
      </c>
    </row>
    <row r="3813">
      <c r="A3813" s="2" t="s">
        <v>4807</v>
      </c>
      <c r="B3813" s="2" t="s">
        <v>4848</v>
      </c>
      <c r="D3813" s="2" t="s">
        <v>4800</v>
      </c>
      <c r="G3813" s="2" t="s">
        <v>4801</v>
      </c>
    </row>
    <row r="3814">
      <c r="A3814" s="2" t="s">
        <v>4807</v>
      </c>
      <c r="B3814" s="2" t="s">
        <v>4849</v>
      </c>
      <c r="D3814" s="2" t="s">
        <v>4800</v>
      </c>
      <c r="G3814" s="2" t="s">
        <v>4801</v>
      </c>
    </row>
    <row r="3815">
      <c r="A3815" s="2" t="s">
        <v>4807</v>
      </c>
      <c r="B3815" s="2" t="s">
        <v>4850</v>
      </c>
      <c r="D3815" s="2" t="s">
        <v>4800</v>
      </c>
      <c r="G3815" s="2" t="s">
        <v>4801</v>
      </c>
    </row>
    <row r="3816">
      <c r="A3816" s="2" t="s">
        <v>4807</v>
      </c>
      <c r="B3816" s="2" t="s">
        <v>4851</v>
      </c>
      <c r="D3816" s="2" t="s">
        <v>4800</v>
      </c>
      <c r="G3816" s="2" t="s">
        <v>4801</v>
      </c>
    </row>
    <row r="3817">
      <c r="A3817" s="2" t="s">
        <v>4807</v>
      </c>
      <c r="B3817" s="2" t="s">
        <v>4852</v>
      </c>
      <c r="D3817" s="2" t="s">
        <v>4800</v>
      </c>
      <c r="G3817" s="2" t="s">
        <v>4801</v>
      </c>
    </row>
    <row r="3818">
      <c r="A3818" s="2" t="s">
        <v>4807</v>
      </c>
      <c r="B3818" s="2" t="s">
        <v>4853</v>
      </c>
      <c r="D3818" s="2" t="s">
        <v>4800</v>
      </c>
      <c r="G3818" s="2" t="s">
        <v>4801</v>
      </c>
    </row>
    <row r="3819">
      <c r="A3819" s="2" t="s">
        <v>4807</v>
      </c>
      <c r="B3819" s="2" t="s">
        <v>4854</v>
      </c>
      <c r="D3819" s="2" t="s">
        <v>4800</v>
      </c>
      <c r="G3819" s="2" t="s">
        <v>4801</v>
      </c>
    </row>
    <row r="3820">
      <c r="A3820" s="2" t="s">
        <v>4807</v>
      </c>
      <c r="B3820" s="2" t="s">
        <v>4856</v>
      </c>
      <c r="D3820" s="2" t="s">
        <v>4800</v>
      </c>
      <c r="G3820" s="2" t="s">
        <v>4801</v>
      </c>
    </row>
    <row r="3821">
      <c r="A3821" s="2" t="s">
        <v>4807</v>
      </c>
      <c r="B3821" s="2" t="s">
        <v>4858</v>
      </c>
      <c r="D3821" s="2" t="s">
        <v>4800</v>
      </c>
      <c r="G3821" s="2" t="s">
        <v>4801</v>
      </c>
    </row>
    <row r="3822">
      <c r="A3822" s="2" t="s">
        <v>4807</v>
      </c>
      <c r="B3822" s="2" t="s">
        <v>4859</v>
      </c>
      <c r="D3822" s="2" t="s">
        <v>4800</v>
      </c>
      <c r="G3822" s="2" t="s">
        <v>4801</v>
      </c>
    </row>
    <row r="3823">
      <c r="A3823" s="2" t="s">
        <v>4807</v>
      </c>
      <c r="B3823" s="2" t="s">
        <v>4860</v>
      </c>
      <c r="D3823" s="2" t="s">
        <v>4800</v>
      </c>
      <c r="G3823" s="2" t="s">
        <v>4801</v>
      </c>
    </row>
    <row r="3824">
      <c r="A3824" s="2" t="s">
        <v>4807</v>
      </c>
      <c r="B3824" s="2" t="s">
        <v>4861</v>
      </c>
      <c r="D3824" s="2" t="s">
        <v>4800</v>
      </c>
      <c r="G3824" s="2" t="s">
        <v>4801</v>
      </c>
    </row>
    <row r="3825">
      <c r="A3825" s="2" t="s">
        <v>4807</v>
      </c>
      <c r="B3825" s="2" t="s">
        <v>4862</v>
      </c>
      <c r="D3825" s="2" t="s">
        <v>4800</v>
      </c>
      <c r="G3825" s="2" t="s">
        <v>4801</v>
      </c>
    </row>
    <row r="3826">
      <c r="A3826" s="2" t="s">
        <v>4807</v>
      </c>
      <c r="B3826" s="2" t="s">
        <v>4863</v>
      </c>
      <c r="D3826" s="2" t="s">
        <v>4800</v>
      </c>
      <c r="G3826" s="2" t="s">
        <v>4801</v>
      </c>
    </row>
    <row r="3827">
      <c r="A3827" s="2" t="s">
        <v>4807</v>
      </c>
      <c r="B3827" s="2" t="s">
        <v>4864</v>
      </c>
      <c r="D3827" s="2" t="s">
        <v>4800</v>
      </c>
      <c r="G3827" s="2" t="s">
        <v>4801</v>
      </c>
    </row>
    <row r="3828">
      <c r="A3828" s="2" t="s">
        <v>4807</v>
      </c>
      <c r="B3828" s="2" t="s">
        <v>4865</v>
      </c>
      <c r="D3828" s="2" t="s">
        <v>4800</v>
      </c>
      <c r="G3828" s="2" t="s">
        <v>4801</v>
      </c>
    </row>
    <row r="3829">
      <c r="A3829" s="2" t="s">
        <v>4807</v>
      </c>
      <c r="B3829" s="2" t="s">
        <v>4866</v>
      </c>
      <c r="D3829" s="2" t="s">
        <v>4800</v>
      </c>
      <c r="G3829" s="2" t="s">
        <v>4801</v>
      </c>
    </row>
    <row r="3830">
      <c r="A3830" s="2" t="s">
        <v>4807</v>
      </c>
      <c r="B3830" s="2" t="s">
        <v>4867</v>
      </c>
      <c r="D3830" s="2" t="s">
        <v>4800</v>
      </c>
      <c r="G3830" s="2" t="s">
        <v>4801</v>
      </c>
    </row>
    <row r="3831">
      <c r="A3831" s="2" t="s">
        <v>4807</v>
      </c>
      <c r="B3831" s="2" t="s">
        <v>4868</v>
      </c>
      <c r="D3831" s="2" t="s">
        <v>4800</v>
      </c>
      <c r="G3831" s="2" t="s">
        <v>4801</v>
      </c>
    </row>
    <row r="3832">
      <c r="A3832" s="2" t="s">
        <v>4807</v>
      </c>
      <c r="B3832" s="2" t="s">
        <v>4869</v>
      </c>
      <c r="D3832" s="2" t="s">
        <v>4800</v>
      </c>
      <c r="G3832" s="2" t="s">
        <v>4801</v>
      </c>
    </row>
    <row r="3833">
      <c r="A3833" s="2" t="s">
        <v>4807</v>
      </c>
      <c r="B3833" s="2" t="s">
        <v>4870</v>
      </c>
      <c r="D3833" s="2" t="s">
        <v>4800</v>
      </c>
      <c r="G3833" s="2" t="s">
        <v>4801</v>
      </c>
    </row>
    <row r="3834">
      <c r="A3834" s="2" t="s">
        <v>4807</v>
      </c>
      <c r="B3834" s="2" t="s">
        <v>4871</v>
      </c>
      <c r="D3834" s="2" t="s">
        <v>4800</v>
      </c>
      <c r="G3834" s="2" t="s">
        <v>4801</v>
      </c>
    </row>
    <row r="3835">
      <c r="A3835" s="2" t="s">
        <v>4807</v>
      </c>
      <c r="B3835" s="2" t="s">
        <v>4872</v>
      </c>
      <c r="D3835" s="2" t="s">
        <v>4800</v>
      </c>
      <c r="G3835" s="2" t="s">
        <v>4801</v>
      </c>
    </row>
    <row r="3836">
      <c r="A3836" s="2" t="s">
        <v>4807</v>
      </c>
      <c r="B3836" s="2" t="s">
        <v>4873</v>
      </c>
      <c r="D3836" s="2" t="s">
        <v>4800</v>
      </c>
      <c r="G3836" s="2" t="s">
        <v>4801</v>
      </c>
    </row>
    <row r="3837">
      <c r="A3837" s="2" t="s">
        <v>4807</v>
      </c>
      <c r="B3837" s="2" t="s">
        <v>4874</v>
      </c>
      <c r="D3837" s="2" t="s">
        <v>4800</v>
      </c>
      <c r="G3837" s="2" t="s">
        <v>4801</v>
      </c>
    </row>
    <row r="3838">
      <c r="A3838" s="2" t="s">
        <v>4807</v>
      </c>
      <c r="B3838" s="2" t="s">
        <v>4875</v>
      </c>
      <c r="D3838" s="2" t="s">
        <v>4800</v>
      </c>
      <c r="G3838" s="2" t="s">
        <v>4801</v>
      </c>
    </row>
    <row r="3839">
      <c r="A3839" s="2" t="s">
        <v>4807</v>
      </c>
      <c r="B3839" s="2" t="s">
        <v>4876</v>
      </c>
      <c r="D3839" s="2" t="s">
        <v>4800</v>
      </c>
      <c r="G3839" s="2" t="s">
        <v>4801</v>
      </c>
    </row>
    <row r="3840">
      <c r="A3840" s="2" t="s">
        <v>4807</v>
      </c>
      <c r="B3840" s="2" t="s">
        <v>4877</v>
      </c>
      <c r="D3840" s="2" t="s">
        <v>4800</v>
      </c>
      <c r="G3840" s="2" t="s">
        <v>4801</v>
      </c>
    </row>
    <row r="3841">
      <c r="A3841" s="2" t="s">
        <v>4807</v>
      </c>
      <c r="B3841" s="2" t="s">
        <v>4878</v>
      </c>
      <c r="D3841" s="2" t="s">
        <v>4800</v>
      </c>
      <c r="G3841" s="2" t="s">
        <v>4801</v>
      </c>
    </row>
    <row r="3842">
      <c r="A3842" s="2" t="s">
        <v>4807</v>
      </c>
      <c r="B3842" s="2" t="s">
        <v>4879</v>
      </c>
      <c r="D3842" s="2" t="s">
        <v>4800</v>
      </c>
      <c r="G3842" s="2" t="s">
        <v>4801</v>
      </c>
    </row>
    <row r="3843">
      <c r="A3843" s="2" t="s">
        <v>4807</v>
      </c>
      <c r="B3843" s="2" t="s">
        <v>4880</v>
      </c>
      <c r="D3843" s="2" t="s">
        <v>4800</v>
      </c>
      <c r="G3843" s="2" t="s">
        <v>4801</v>
      </c>
    </row>
    <row r="3844">
      <c r="A3844" s="2" t="s">
        <v>4807</v>
      </c>
      <c r="B3844" s="2" t="s">
        <v>4881</v>
      </c>
      <c r="D3844" s="2" t="s">
        <v>4800</v>
      </c>
      <c r="G3844" s="2" t="s">
        <v>4801</v>
      </c>
    </row>
    <row r="3845">
      <c r="A3845" s="2" t="s">
        <v>4807</v>
      </c>
      <c r="B3845" s="2" t="s">
        <v>4882</v>
      </c>
      <c r="D3845" s="2" t="s">
        <v>4800</v>
      </c>
      <c r="G3845" s="2" t="s">
        <v>4801</v>
      </c>
    </row>
    <row r="3846">
      <c r="A3846" s="2" t="s">
        <v>4807</v>
      </c>
      <c r="B3846" s="2" t="s">
        <v>4883</v>
      </c>
      <c r="D3846" s="2" t="s">
        <v>4800</v>
      </c>
      <c r="G3846" s="2" t="s">
        <v>4801</v>
      </c>
    </row>
    <row r="3847">
      <c r="A3847" s="2" t="s">
        <v>4807</v>
      </c>
      <c r="B3847" s="2" t="s">
        <v>4884</v>
      </c>
      <c r="D3847" s="2" t="s">
        <v>4800</v>
      </c>
      <c r="G3847" s="2" t="s">
        <v>4801</v>
      </c>
    </row>
    <row r="3848">
      <c r="A3848" s="2" t="s">
        <v>4807</v>
      </c>
      <c r="B3848" s="2" t="s">
        <v>4885</v>
      </c>
      <c r="D3848" s="2" t="s">
        <v>4800</v>
      </c>
      <c r="G3848" s="2" t="s">
        <v>4801</v>
      </c>
    </row>
    <row r="3849">
      <c r="A3849" s="2" t="s">
        <v>4807</v>
      </c>
      <c r="B3849" s="2" t="s">
        <v>4886</v>
      </c>
      <c r="D3849" s="2" t="s">
        <v>4800</v>
      </c>
      <c r="G3849" s="2" t="s">
        <v>4801</v>
      </c>
    </row>
    <row r="3850">
      <c r="A3850" s="2" t="s">
        <v>4807</v>
      </c>
      <c r="B3850" s="2" t="s">
        <v>4887</v>
      </c>
      <c r="D3850" s="2" t="s">
        <v>4800</v>
      </c>
      <c r="G3850" s="2" t="s">
        <v>4801</v>
      </c>
    </row>
    <row r="3851">
      <c r="A3851" s="2" t="s">
        <v>4807</v>
      </c>
      <c r="B3851" s="2" t="s">
        <v>4888</v>
      </c>
      <c r="D3851" s="2" t="s">
        <v>4800</v>
      </c>
      <c r="G3851" s="2" t="s">
        <v>4801</v>
      </c>
    </row>
    <row r="3852">
      <c r="A3852" s="2" t="s">
        <v>4807</v>
      </c>
      <c r="B3852" s="2" t="s">
        <v>4889</v>
      </c>
      <c r="D3852" s="2" t="s">
        <v>4800</v>
      </c>
      <c r="G3852" s="2" t="s">
        <v>4801</v>
      </c>
    </row>
    <row r="3853">
      <c r="A3853" s="2" t="s">
        <v>4807</v>
      </c>
      <c r="B3853" s="2" t="s">
        <v>4890</v>
      </c>
      <c r="D3853" s="2" t="s">
        <v>4800</v>
      </c>
      <c r="G3853" s="2" t="s">
        <v>4801</v>
      </c>
    </row>
    <row r="3854">
      <c r="A3854" s="2" t="s">
        <v>4807</v>
      </c>
      <c r="B3854" s="2" t="s">
        <v>4891</v>
      </c>
      <c r="D3854" s="2" t="s">
        <v>4800</v>
      </c>
      <c r="G3854" s="2" t="s">
        <v>4801</v>
      </c>
    </row>
    <row r="3855">
      <c r="A3855" s="2" t="s">
        <v>4807</v>
      </c>
      <c r="B3855" s="2" t="s">
        <v>4892</v>
      </c>
      <c r="D3855" s="2" t="s">
        <v>4800</v>
      </c>
      <c r="G3855" s="2" t="s">
        <v>4801</v>
      </c>
    </row>
    <row r="3856">
      <c r="A3856" s="2" t="s">
        <v>4807</v>
      </c>
      <c r="B3856" s="2" t="s">
        <v>4893</v>
      </c>
      <c r="D3856" s="2" t="s">
        <v>4800</v>
      </c>
      <c r="G3856" s="2" t="s">
        <v>4801</v>
      </c>
    </row>
    <row r="3857">
      <c r="A3857" s="2" t="s">
        <v>4807</v>
      </c>
      <c r="B3857" s="2" t="s">
        <v>4894</v>
      </c>
      <c r="D3857" s="2" t="s">
        <v>4800</v>
      </c>
      <c r="G3857" s="2" t="s">
        <v>4801</v>
      </c>
    </row>
    <row r="3858">
      <c r="A3858" s="2" t="s">
        <v>4807</v>
      </c>
      <c r="B3858" s="2" t="s">
        <v>4895</v>
      </c>
      <c r="D3858" s="2" t="s">
        <v>4800</v>
      </c>
      <c r="G3858" s="2" t="s">
        <v>4801</v>
      </c>
    </row>
    <row r="3859">
      <c r="A3859" s="2" t="s">
        <v>4807</v>
      </c>
      <c r="B3859" s="2" t="s">
        <v>4896</v>
      </c>
      <c r="D3859" s="2" t="s">
        <v>4800</v>
      </c>
      <c r="G3859" s="2" t="s">
        <v>4801</v>
      </c>
    </row>
    <row r="3860">
      <c r="A3860" s="2" t="s">
        <v>4807</v>
      </c>
      <c r="B3860" s="2" t="s">
        <v>4897</v>
      </c>
      <c r="D3860" s="2" t="s">
        <v>4800</v>
      </c>
      <c r="G3860" s="2" t="s">
        <v>4801</v>
      </c>
    </row>
    <row r="3861">
      <c r="A3861" s="2" t="s">
        <v>4807</v>
      </c>
      <c r="B3861" s="2" t="s">
        <v>4898</v>
      </c>
      <c r="D3861" s="2" t="s">
        <v>4800</v>
      </c>
      <c r="G3861" s="2" t="s">
        <v>4801</v>
      </c>
    </row>
    <row r="3862">
      <c r="A3862" s="2" t="s">
        <v>4807</v>
      </c>
      <c r="B3862" s="2" t="s">
        <v>4899</v>
      </c>
      <c r="D3862" s="2" t="s">
        <v>4800</v>
      </c>
      <c r="G3862" s="2" t="s">
        <v>4801</v>
      </c>
    </row>
    <row r="3863">
      <c r="A3863" s="2" t="s">
        <v>4807</v>
      </c>
      <c r="B3863" s="2" t="s">
        <v>4900</v>
      </c>
      <c r="D3863" s="2" t="s">
        <v>4800</v>
      </c>
      <c r="G3863" s="2" t="s">
        <v>4801</v>
      </c>
    </row>
    <row r="3864">
      <c r="A3864" s="2" t="s">
        <v>4807</v>
      </c>
      <c r="B3864" s="2" t="s">
        <v>4901</v>
      </c>
      <c r="D3864" s="2" t="s">
        <v>4800</v>
      </c>
      <c r="G3864" s="2" t="s">
        <v>4801</v>
      </c>
    </row>
    <row r="3865">
      <c r="A3865" s="2" t="s">
        <v>4807</v>
      </c>
      <c r="B3865" s="2" t="s">
        <v>4880</v>
      </c>
      <c r="D3865" s="2" t="s">
        <v>4800</v>
      </c>
      <c r="G3865" s="2" t="s">
        <v>4801</v>
      </c>
    </row>
    <row r="3866">
      <c r="A3866" s="2" t="s">
        <v>4807</v>
      </c>
      <c r="B3866" s="2" t="s">
        <v>4902</v>
      </c>
      <c r="D3866" s="2" t="s">
        <v>4800</v>
      </c>
      <c r="G3866" s="2" t="s">
        <v>4801</v>
      </c>
    </row>
    <row r="3867">
      <c r="A3867" s="2" t="s">
        <v>4807</v>
      </c>
      <c r="B3867" s="2" t="s">
        <v>4903</v>
      </c>
      <c r="D3867" s="2" t="s">
        <v>4800</v>
      </c>
      <c r="G3867" s="2" t="s">
        <v>4801</v>
      </c>
    </row>
    <row r="3868">
      <c r="A3868" s="2" t="s">
        <v>4807</v>
      </c>
      <c r="B3868" s="2" t="s">
        <v>4880</v>
      </c>
      <c r="D3868" s="2" t="s">
        <v>4800</v>
      </c>
      <c r="G3868" s="2" t="s">
        <v>4801</v>
      </c>
    </row>
    <row r="3869">
      <c r="A3869" s="2" t="s">
        <v>4807</v>
      </c>
      <c r="B3869" s="2" t="s">
        <v>4904</v>
      </c>
      <c r="D3869" s="2" t="s">
        <v>4800</v>
      </c>
      <c r="G3869" s="2" t="s">
        <v>4801</v>
      </c>
    </row>
    <row r="3870">
      <c r="A3870" s="2" t="s">
        <v>4807</v>
      </c>
      <c r="B3870" s="2" t="s">
        <v>4905</v>
      </c>
      <c r="D3870" s="2" t="s">
        <v>4800</v>
      </c>
      <c r="G3870" s="2" t="s">
        <v>4801</v>
      </c>
    </row>
    <row r="3871">
      <c r="A3871" s="2" t="s">
        <v>4807</v>
      </c>
      <c r="B3871" s="2" t="s">
        <v>4906</v>
      </c>
      <c r="D3871" s="2" t="s">
        <v>4800</v>
      </c>
      <c r="G3871" s="2" t="s">
        <v>4801</v>
      </c>
    </row>
    <row r="3872">
      <c r="A3872" s="2" t="s">
        <v>4807</v>
      </c>
      <c r="B3872" s="2" t="s">
        <v>4907</v>
      </c>
      <c r="D3872" s="2" t="s">
        <v>4800</v>
      </c>
      <c r="G3872" s="2" t="s">
        <v>4801</v>
      </c>
    </row>
    <row r="3873">
      <c r="A3873" s="2" t="s">
        <v>4807</v>
      </c>
      <c r="B3873" s="2" t="s">
        <v>4908</v>
      </c>
      <c r="D3873" s="2" t="s">
        <v>4800</v>
      </c>
      <c r="G3873" s="2" t="s">
        <v>4801</v>
      </c>
    </row>
    <row r="3874">
      <c r="A3874" s="2" t="s">
        <v>4807</v>
      </c>
      <c r="B3874" s="2" t="s">
        <v>4909</v>
      </c>
      <c r="D3874" s="2" t="s">
        <v>4800</v>
      </c>
      <c r="G3874" s="2" t="s">
        <v>4801</v>
      </c>
    </row>
    <row r="3875">
      <c r="A3875" s="2" t="s">
        <v>4807</v>
      </c>
      <c r="B3875" s="2" t="s">
        <v>4910</v>
      </c>
      <c r="D3875" s="2" t="s">
        <v>4800</v>
      </c>
      <c r="G3875" s="2" t="s">
        <v>4801</v>
      </c>
    </row>
    <row r="3876">
      <c r="A3876" s="2" t="s">
        <v>4807</v>
      </c>
      <c r="B3876" s="2" t="s">
        <v>4911</v>
      </c>
      <c r="D3876" s="2" t="s">
        <v>4800</v>
      </c>
      <c r="G3876" s="2" t="s">
        <v>4801</v>
      </c>
    </row>
    <row r="3877">
      <c r="A3877" s="2" t="s">
        <v>4807</v>
      </c>
      <c r="B3877" s="2" t="s">
        <v>4912</v>
      </c>
      <c r="D3877" s="2" t="s">
        <v>4800</v>
      </c>
      <c r="G3877" s="2" t="s">
        <v>4801</v>
      </c>
    </row>
    <row r="3878">
      <c r="A3878" s="2" t="s">
        <v>4807</v>
      </c>
      <c r="B3878" s="2" t="s">
        <v>4913</v>
      </c>
      <c r="D3878" s="2" t="s">
        <v>4800</v>
      </c>
      <c r="G3878" s="2" t="s">
        <v>4801</v>
      </c>
    </row>
    <row r="3879">
      <c r="A3879" s="2" t="s">
        <v>4807</v>
      </c>
      <c r="B3879" s="2" t="s">
        <v>4914</v>
      </c>
      <c r="D3879" s="2" t="s">
        <v>4800</v>
      </c>
      <c r="G3879" s="2" t="s">
        <v>4801</v>
      </c>
    </row>
    <row r="3880">
      <c r="A3880" s="2" t="s">
        <v>4807</v>
      </c>
      <c r="B3880" s="2" t="s">
        <v>4915</v>
      </c>
      <c r="D3880" s="2" t="s">
        <v>4800</v>
      </c>
      <c r="G3880" s="2" t="s">
        <v>4801</v>
      </c>
    </row>
    <row r="3881">
      <c r="A3881" s="2" t="s">
        <v>4807</v>
      </c>
      <c r="B3881" s="2" t="s">
        <v>4916</v>
      </c>
      <c r="D3881" s="2" t="s">
        <v>4800</v>
      </c>
      <c r="G3881" s="2" t="s">
        <v>4801</v>
      </c>
    </row>
    <row r="3882">
      <c r="A3882" s="2" t="s">
        <v>4807</v>
      </c>
      <c r="B3882" s="2" t="s">
        <v>4917</v>
      </c>
      <c r="D3882" s="2" t="s">
        <v>4800</v>
      </c>
      <c r="G3882" s="2" t="s">
        <v>4801</v>
      </c>
    </row>
    <row r="3883">
      <c r="A3883" s="2" t="s">
        <v>4807</v>
      </c>
      <c r="B3883" s="2" t="s">
        <v>4918</v>
      </c>
      <c r="D3883" s="2" t="s">
        <v>4800</v>
      </c>
      <c r="G3883" s="2" t="s">
        <v>4801</v>
      </c>
    </row>
    <row r="3884">
      <c r="A3884" s="2" t="s">
        <v>4807</v>
      </c>
      <c r="B3884" s="2" t="s">
        <v>4919</v>
      </c>
      <c r="D3884" s="2" t="s">
        <v>4800</v>
      </c>
      <c r="G3884" s="2" t="s">
        <v>4801</v>
      </c>
    </row>
    <row r="3885">
      <c r="A3885" s="2" t="s">
        <v>4807</v>
      </c>
      <c r="B3885" s="2" t="s">
        <v>4920</v>
      </c>
      <c r="D3885" s="2" t="s">
        <v>4800</v>
      </c>
      <c r="G3885" s="2" t="s">
        <v>4801</v>
      </c>
    </row>
    <row r="3886">
      <c r="A3886" s="2" t="s">
        <v>4807</v>
      </c>
      <c r="B3886" s="2" t="s">
        <v>4921</v>
      </c>
      <c r="D3886" s="2" t="s">
        <v>4800</v>
      </c>
      <c r="G3886" s="2" t="s">
        <v>4801</v>
      </c>
    </row>
    <row r="3887">
      <c r="A3887" s="2" t="s">
        <v>4807</v>
      </c>
      <c r="B3887" s="2" t="s">
        <v>4922</v>
      </c>
      <c r="D3887" s="2" t="s">
        <v>4800</v>
      </c>
      <c r="G3887" s="2" t="s">
        <v>4801</v>
      </c>
    </row>
    <row r="3888">
      <c r="A3888" s="2" t="s">
        <v>4807</v>
      </c>
      <c r="B3888" s="2" t="s">
        <v>4923</v>
      </c>
      <c r="D3888" s="2" t="s">
        <v>4800</v>
      </c>
      <c r="G3888" s="2" t="s">
        <v>4801</v>
      </c>
    </row>
    <row r="3889">
      <c r="A3889" s="2" t="s">
        <v>4807</v>
      </c>
      <c r="B3889" s="2" t="s">
        <v>4924</v>
      </c>
      <c r="D3889" s="2" t="s">
        <v>4800</v>
      </c>
      <c r="G3889" s="2" t="s">
        <v>4801</v>
      </c>
    </row>
    <row r="3890">
      <c r="A3890" s="2" t="s">
        <v>4807</v>
      </c>
      <c r="B3890" s="2" t="s">
        <v>4925</v>
      </c>
      <c r="D3890" s="2" t="s">
        <v>4800</v>
      </c>
      <c r="G3890" s="2" t="s">
        <v>4801</v>
      </c>
    </row>
    <row r="3891">
      <c r="A3891" s="2" t="s">
        <v>4807</v>
      </c>
      <c r="B3891" s="2" t="s">
        <v>4926</v>
      </c>
      <c r="D3891" s="2" t="s">
        <v>4800</v>
      </c>
      <c r="G3891" s="2" t="s">
        <v>4801</v>
      </c>
    </row>
    <row r="3892">
      <c r="A3892" s="2" t="s">
        <v>4807</v>
      </c>
      <c r="B3892" s="2" t="s">
        <v>4927</v>
      </c>
      <c r="D3892" s="2" t="s">
        <v>4800</v>
      </c>
      <c r="G3892" s="2" t="s">
        <v>4801</v>
      </c>
    </row>
    <row r="3893">
      <c r="A3893" s="2" t="s">
        <v>4807</v>
      </c>
      <c r="B3893" s="2" t="s">
        <v>4928</v>
      </c>
      <c r="D3893" s="2" t="s">
        <v>4800</v>
      </c>
      <c r="G3893" s="2" t="s">
        <v>4801</v>
      </c>
    </row>
    <row r="3894">
      <c r="A3894" s="2" t="s">
        <v>4807</v>
      </c>
      <c r="B3894" s="2" t="s">
        <v>4929</v>
      </c>
      <c r="D3894" s="2" t="s">
        <v>4800</v>
      </c>
      <c r="G3894" s="2" t="s">
        <v>4801</v>
      </c>
    </row>
    <row r="3895">
      <c r="A3895" s="2" t="s">
        <v>4807</v>
      </c>
      <c r="B3895" s="2" t="s">
        <v>4930</v>
      </c>
      <c r="D3895" s="2" t="s">
        <v>4800</v>
      </c>
      <c r="G3895" s="2" t="s">
        <v>4801</v>
      </c>
    </row>
    <row r="3896">
      <c r="A3896" s="2" t="s">
        <v>4807</v>
      </c>
      <c r="B3896" s="2" t="s">
        <v>4931</v>
      </c>
      <c r="D3896" s="2" t="s">
        <v>4800</v>
      </c>
      <c r="G3896" s="2" t="s">
        <v>4801</v>
      </c>
    </row>
    <row r="3897">
      <c r="A3897" s="2" t="s">
        <v>4807</v>
      </c>
      <c r="B3897" s="2" t="s">
        <v>4932</v>
      </c>
      <c r="D3897" s="2" t="s">
        <v>4800</v>
      </c>
      <c r="G3897" s="2" t="s">
        <v>4801</v>
      </c>
    </row>
    <row r="3898">
      <c r="A3898" s="2" t="s">
        <v>4807</v>
      </c>
      <c r="B3898" s="2" t="s">
        <v>4933</v>
      </c>
      <c r="D3898" s="2" t="s">
        <v>4800</v>
      </c>
      <c r="G3898" s="2" t="s">
        <v>4801</v>
      </c>
    </row>
    <row r="3899">
      <c r="A3899" s="2" t="s">
        <v>4807</v>
      </c>
      <c r="B3899" s="2" t="s">
        <v>4934</v>
      </c>
      <c r="D3899" s="2" t="s">
        <v>4800</v>
      </c>
      <c r="G3899" s="2" t="s">
        <v>4801</v>
      </c>
    </row>
    <row r="3900">
      <c r="A3900" s="2" t="s">
        <v>4807</v>
      </c>
      <c r="B3900" s="2" t="s">
        <v>4935</v>
      </c>
      <c r="D3900" s="2" t="s">
        <v>4800</v>
      </c>
      <c r="G3900" s="2" t="s">
        <v>4801</v>
      </c>
    </row>
    <row r="3901">
      <c r="A3901" s="2" t="s">
        <v>4807</v>
      </c>
      <c r="B3901" s="2" t="s">
        <v>4936</v>
      </c>
      <c r="D3901" s="2" t="s">
        <v>4800</v>
      </c>
      <c r="G3901" s="2" t="s">
        <v>4801</v>
      </c>
    </row>
    <row r="3902">
      <c r="A3902" s="2" t="s">
        <v>4807</v>
      </c>
      <c r="B3902" s="2" t="s">
        <v>4937</v>
      </c>
      <c r="D3902" s="2" t="s">
        <v>4800</v>
      </c>
      <c r="G3902" s="2" t="s">
        <v>4801</v>
      </c>
    </row>
    <row r="3903">
      <c r="A3903" s="2" t="s">
        <v>4807</v>
      </c>
      <c r="B3903" s="2" t="s">
        <v>4938</v>
      </c>
      <c r="D3903" s="2" t="s">
        <v>4800</v>
      </c>
      <c r="G3903" s="2" t="s">
        <v>4801</v>
      </c>
    </row>
    <row r="3904">
      <c r="A3904" s="2" t="s">
        <v>4807</v>
      </c>
      <c r="B3904" s="2" t="s">
        <v>4940</v>
      </c>
      <c r="D3904" s="2" t="s">
        <v>4800</v>
      </c>
      <c r="G3904" s="2" t="s">
        <v>4801</v>
      </c>
    </row>
    <row r="3905">
      <c r="A3905" s="2" t="s">
        <v>4807</v>
      </c>
      <c r="B3905" s="2" t="s">
        <v>4941</v>
      </c>
      <c r="D3905" s="2" t="s">
        <v>4800</v>
      </c>
      <c r="G3905" s="2" t="s">
        <v>4801</v>
      </c>
    </row>
    <row r="3906">
      <c r="A3906" s="2" t="s">
        <v>4807</v>
      </c>
      <c r="B3906" s="2" t="s">
        <v>4942</v>
      </c>
      <c r="D3906" s="2" t="s">
        <v>4800</v>
      </c>
      <c r="G3906" s="2" t="s">
        <v>4801</v>
      </c>
    </row>
    <row r="3907">
      <c r="A3907" s="2" t="s">
        <v>4807</v>
      </c>
      <c r="B3907" s="2" t="s">
        <v>4943</v>
      </c>
      <c r="D3907" s="2" t="s">
        <v>4800</v>
      </c>
      <c r="G3907" s="2" t="s">
        <v>4801</v>
      </c>
    </row>
    <row r="3908">
      <c r="A3908" s="2" t="s">
        <v>4807</v>
      </c>
      <c r="B3908" s="2" t="s">
        <v>4944</v>
      </c>
      <c r="D3908" s="2" t="s">
        <v>4800</v>
      </c>
      <c r="G3908" s="2" t="s">
        <v>4801</v>
      </c>
    </row>
    <row r="3909">
      <c r="A3909" s="2" t="s">
        <v>4807</v>
      </c>
      <c r="B3909" s="2" t="s">
        <v>4945</v>
      </c>
      <c r="D3909" s="2" t="s">
        <v>4800</v>
      </c>
      <c r="G3909" s="2" t="s">
        <v>4801</v>
      </c>
    </row>
    <row r="3910">
      <c r="A3910" s="2" t="s">
        <v>4807</v>
      </c>
      <c r="B3910" s="2" t="s">
        <v>4946</v>
      </c>
      <c r="D3910" s="2" t="s">
        <v>4800</v>
      </c>
      <c r="G3910" s="2" t="s">
        <v>4801</v>
      </c>
    </row>
    <row r="3911">
      <c r="A3911" s="2" t="s">
        <v>4807</v>
      </c>
      <c r="B3911" s="2" t="s">
        <v>4947</v>
      </c>
      <c r="D3911" s="2" t="s">
        <v>4800</v>
      </c>
      <c r="G3911" s="2" t="s">
        <v>4801</v>
      </c>
    </row>
    <row r="3912">
      <c r="A3912" s="2" t="s">
        <v>4807</v>
      </c>
      <c r="B3912" s="2" t="s">
        <v>4948</v>
      </c>
      <c r="D3912" s="2" t="s">
        <v>4800</v>
      </c>
      <c r="G3912" s="2" t="s">
        <v>4801</v>
      </c>
    </row>
    <row r="3913">
      <c r="A3913" s="2" t="s">
        <v>4807</v>
      </c>
      <c r="B3913" s="2" t="s">
        <v>4949</v>
      </c>
      <c r="D3913" s="2" t="s">
        <v>4800</v>
      </c>
      <c r="G3913" s="2" t="s">
        <v>4801</v>
      </c>
    </row>
    <row r="3914">
      <c r="A3914" s="2" t="s">
        <v>4807</v>
      </c>
      <c r="B3914" s="2" t="s">
        <v>4950</v>
      </c>
      <c r="D3914" s="2" t="s">
        <v>4800</v>
      </c>
      <c r="G3914" s="2" t="s">
        <v>4801</v>
      </c>
    </row>
    <row r="3915">
      <c r="A3915" s="2" t="s">
        <v>4807</v>
      </c>
      <c r="B3915" s="2" t="s">
        <v>4951</v>
      </c>
      <c r="D3915" s="2" t="s">
        <v>4800</v>
      </c>
      <c r="G3915" s="2" t="s">
        <v>4801</v>
      </c>
    </row>
    <row r="3916">
      <c r="A3916" s="2" t="s">
        <v>4807</v>
      </c>
      <c r="B3916" s="2" t="s">
        <v>4952</v>
      </c>
      <c r="D3916" s="2" t="s">
        <v>4800</v>
      </c>
      <c r="G3916" s="2" t="s">
        <v>4801</v>
      </c>
    </row>
    <row r="3917">
      <c r="A3917" s="2" t="s">
        <v>4807</v>
      </c>
      <c r="B3917" s="2" t="s">
        <v>4953</v>
      </c>
      <c r="D3917" s="2" t="s">
        <v>4800</v>
      </c>
      <c r="G3917" s="2" t="s">
        <v>4801</v>
      </c>
    </row>
    <row r="3918">
      <c r="A3918" s="2" t="s">
        <v>4807</v>
      </c>
      <c r="B3918" s="2" t="s">
        <v>4954</v>
      </c>
      <c r="D3918" s="2" t="s">
        <v>4800</v>
      </c>
      <c r="G3918" s="2" t="s">
        <v>4801</v>
      </c>
    </row>
    <row r="3919">
      <c r="A3919" s="2" t="s">
        <v>4807</v>
      </c>
      <c r="B3919" s="2" t="s">
        <v>4955</v>
      </c>
      <c r="D3919" s="2" t="s">
        <v>4800</v>
      </c>
      <c r="G3919" s="2" t="s">
        <v>4801</v>
      </c>
    </row>
    <row r="3920">
      <c r="A3920" s="2" t="s">
        <v>4807</v>
      </c>
      <c r="B3920" s="2" t="s">
        <v>4956</v>
      </c>
      <c r="D3920" s="2" t="s">
        <v>4800</v>
      </c>
      <c r="G3920" s="2" t="s">
        <v>4801</v>
      </c>
    </row>
    <row r="3921">
      <c r="A3921" s="2" t="s">
        <v>4807</v>
      </c>
      <c r="B3921" s="2" t="s">
        <v>4957</v>
      </c>
      <c r="D3921" s="2" t="s">
        <v>4800</v>
      </c>
      <c r="G3921" s="2" t="s">
        <v>4801</v>
      </c>
    </row>
    <row r="3922">
      <c r="A3922" s="2" t="s">
        <v>4807</v>
      </c>
      <c r="B3922" s="2" t="s">
        <v>4958</v>
      </c>
      <c r="D3922" s="2" t="s">
        <v>4800</v>
      </c>
      <c r="G3922" s="2" t="s">
        <v>4801</v>
      </c>
    </row>
    <row r="3923">
      <c r="A3923" s="2" t="s">
        <v>4807</v>
      </c>
      <c r="B3923" s="2" t="s">
        <v>4959</v>
      </c>
      <c r="D3923" s="2" t="s">
        <v>4800</v>
      </c>
      <c r="G3923" s="2" t="s">
        <v>4801</v>
      </c>
    </row>
    <row r="3924">
      <c r="A3924" s="2" t="s">
        <v>4807</v>
      </c>
      <c r="B3924" s="2" t="s">
        <v>4960</v>
      </c>
      <c r="D3924" s="2" t="s">
        <v>4800</v>
      </c>
      <c r="G3924" s="2" t="s">
        <v>4801</v>
      </c>
    </row>
    <row r="3925">
      <c r="A3925" s="2" t="s">
        <v>4807</v>
      </c>
      <c r="B3925" s="2" t="s">
        <v>4961</v>
      </c>
      <c r="D3925" s="2" t="s">
        <v>4800</v>
      </c>
      <c r="G3925" s="2" t="s">
        <v>4801</v>
      </c>
    </row>
    <row r="3926">
      <c r="A3926" s="2" t="s">
        <v>4807</v>
      </c>
      <c r="B3926" s="2" t="s">
        <v>4962</v>
      </c>
      <c r="D3926" s="2" t="s">
        <v>4800</v>
      </c>
      <c r="G3926" s="2" t="s">
        <v>4801</v>
      </c>
    </row>
    <row r="3927">
      <c r="A3927" s="2" t="s">
        <v>4807</v>
      </c>
      <c r="B3927" s="2" t="s">
        <v>4963</v>
      </c>
      <c r="D3927" s="2" t="s">
        <v>4800</v>
      </c>
      <c r="G3927" s="2" t="s">
        <v>4801</v>
      </c>
    </row>
    <row r="3928">
      <c r="A3928" s="2" t="s">
        <v>4807</v>
      </c>
      <c r="B3928" s="2" t="s">
        <v>4964</v>
      </c>
      <c r="D3928" s="2" t="s">
        <v>4800</v>
      </c>
      <c r="G3928" s="2" t="s">
        <v>4801</v>
      </c>
    </row>
    <row r="3929">
      <c r="A3929" s="2" t="s">
        <v>4807</v>
      </c>
      <c r="B3929" s="2" t="s">
        <v>4965</v>
      </c>
      <c r="D3929" s="2" t="s">
        <v>4800</v>
      </c>
      <c r="G3929" s="2" t="s">
        <v>4801</v>
      </c>
    </row>
    <row r="3930">
      <c r="A3930" s="2" t="s">
        <v>4807</v>
      </c>
      <c r="B3930" s="2" t="s">
        <v>4966</v>
      </c>
      <c r="D3930" s="2" t="s">
        <v>4800</v>
      </c>
      <c r="G3930" s="2" t="s">
        <v>4801</v>
      </c>
    </row>
    <row r="3931">
      <c r="A3931" s="2" t="s">
        <v>4807</v>
      </c>
      <c r="B3931" s="2" t="s">
        <v>4967</v>
      </c>
      <c r="D3931" s="2" t="s">
        <v>4800</v>
      </c>
      <c r="G3931" s="2" t="s">
        <v>4801</v>
      </c>
    </row>
    <row r="3932">
      <c r="A3932" s="2" t="s">
        <v>4807</v>
      </c>
      <c r="B3932" s="2" t="s">
        <v>4968</v>
      </c>
      <c r="D3932" s="2" t="s">
        <v>4800</v>
      </c>
      <c r="G3932" s="2" t="s">
        <v>4801</v>
      </c>
    </row>
    <row r="3933">
      <c r="A3933" s="2" t="s">
        <v>4807</v>
      </c>
      <c r="B3933" s="2" t="s">
        <v>4969</v>
      </c>
      <c r="D3933" s="2" t="s">
        <v>4800</v>
      </c>
      <c r="G3933" s="2" t="s">
        <v>4801</v>
      </c>
    </row>
    <row r="3934">
      <c r="A3934" s="2" t="s">
        <v>4807</v>
      </c>
      <c r="B3934" s="2" t="s">
        <v>4971</v>
      </c>
      <c r="D3934" s="2" t="s">
        <v>4800</v>
      </c>
      <c r="G3934" s="2" t="s">
        <v>4801</v>
      </c>
    </row>
    <row r="3935">
      <c r="A3935" s="2" t="s">
        <v>4807</v>
      </c>
      <c r="B3935" s="2" t="s">
        <v>4972</v>
      </c>
      <c r="D3935" s="2" t="s">
        <v>4800</v>
      </c>
      <c r="G3935" s="2" t="s">
        <v>4801</v>
      </c>
    </row>
    <row r="3936">
      <c r="A3936" s="2" t="s">
        <v>4807</v>
      </c>
      <c r="B3936" s="2" t="s">
        <v>4973</v>
      </c>
      <c r="D3936" s="2" t="s">
        <v>4800</v>
      </c>
      <c r="G3936" s="2" t="s">
        <v>4801</v>
      </c>
    </row>
    <row r="3937">
      <c r="A3937" s="2" t="s">
        <v>4807</v>
      </c>
      <c r="B3937" s="2" t="s">
        <v>4974</v>
      </c>
      <c r="D3937" s="2" t="s">
        <v>4800</v>
      </c>
      <c r="G3937" s="2" t="s">
        <v>4801</v>
      </c>
    </row>
    <row r="3938">
      <c r="A3938" s="2" t="s">
        <v>4807</v>
      </c>
      <c r="B3938" s="2" t="s">
        <v>4975</v>
      </c>
      <c r="D3938" s="2" t="s">
        <v>4800</v>
      </c>
      <c r="G3938" s="2" t="s">
        <v>4801</v>
      </c>
    </row>
    <row r="3939">
      <c r="A3939" s="2" t="s">
        <v>4807</v>
      </c>
      <c r="B3939" s="2" t="s">
        <v>4976</v>
      </c>
      <c r="D3939" s="2" t="s">
        <v>4800</v>
      </c>
      <c r="G3939" s="2" t="s">
        <v>4801</v>
      </c>
    </row>
    <row r="3940">
      <c r="A3940" s="2" t="s">
        <v>4807</v>
      </c>
      <c r="B3940" s="2" t="s">
        <v>4977</v>
      </c>
      <c r="D3940" s="2" t="s">
        <v>4800</v>
      </c>
      <c r="G3940" s="2" t="s">
        <v>4801</v>
      </c>
    </row>
    <row r="3941">
      <c r="A3941" s="2" t="s">
        <v>4807</v>
      </c>
      <c r="B3941" s="2" t="s">
        <v>4978</v>
      </c>
      <c r="D3941" s="2" t="s">
        <v>4800</v>
      </c>
      <c r="G3941" s="2" t="s">
        <v>4801</v>
      </c>
    </row>
    <row r="3942">
      <c r="A3942" s="2" t="s">
        <v>4807</v>
      </c>
      <c r="B3942" s="2" t="s">
        <v>4980</v>
      </c>
      <c r="D3942" s="2" t="s">
        <v>4800</v>
      </c>
      <c r="G3942" s="2" t="s">
        <v>4801</v>
      </c>
    </row>
    <row r="3943">
      <c r="A3943" s="2" t="s">
        <v>4807</v>
      </c>
      <c r="B3943" s="2" t="s">
        <v>4981</v>
      </c>
      <c r="D3943" s="2" t="s">
        <v>4800</v>
      </c>
      <c r="G3943" s="2" t="s">
        <v>4801</v>
      </c>
    </row>
    <row r="3944">
      <c r="A3944" s="2" t="s">
        <v>4807</v>
      </c>
      <c r="B3944" s="2" t="s">
        <v>4982</v>
      </c>
      <c r="D3944" s="2" t="s">
        <v>4800</v>
      </c>
      <c r="G3944" s="2" t="s">
        <v>4801</v>
      </c>
    </row>
    <row r="3945">
      <c r="A3945" s="2" t="s">
        <v>4807</v>
      </c>
      <c r="B3945" s="2" t="s">
        <v>4983</v>
      </c>
      <c r="D3945" s="2" t="s">
        <v>4800</v>
      </c>
      <c r="G3945" s="2" t="s">
        <v>4801</v>
      </c>
    </row>
    <row r="3946">
      <c r="A3946" s="2" t="s">
        <v>4807</v>
      </c>
      <c r="B3946" s="2" t="s">
        <v>4984</v>
      </c>
      <c r="D3946" s="2" t="s">
        <v>4800</v>
      </c>
      <c r="G3946" s="2" t="s">
        <v>4801</v>
      </c>
    </row>
    <row r="3947">
      <c r="A3947" s="2" t="s">
        <v>4807</v>
      </c>
      <c r="B3947" s="2" t="s">
        <v>4985</v>
      </c>
      <c r="D3947" s="2" t="s">
        <v>4800</v>
      </c>
      <c r="G3947" s="2" t="s">
        <v>4801</v>
      </c>
    </row>
    <row r="3948">
      <c r="A3948" s="2" t="s">
        <v>4807</v>
      </c>
      <c r="B3948" s="2" t="s">
        <v>4986</v>
      </c>
      <c r="D3948" s="2" t="s">
        <v>4800</v>
      </c>
      <c r="G3948" s="2" t="s">
        <v>4801</v>
      </c>
    </row>
    <row r="3949">
      <c r="A3949" s="2" t="s">
        <v>4807</v>
      </c>
      <c r="B3949" s="2" t="s">
        <v>4987</v>
      </c>
      <c r="D3949" s="2" t="s">
        <v>4800</v>
      </c>
      <c r="G3949" s="2" t="s">
        <v>4801</v>
      </c>
    </row>
    <row r="3950">
      <c r="A3950" s="2" t="s">
        <v>4807</v>
      </c>
      <c r="B3950" s="2" t="s">
        <v>4988</v>
      </c>
      <c r="D3950" s="2" t="s">
        <v>4800</v>
      </c>
      <c r="G3950" s="2" t="s">
        <v>4801</v>
      </c>
    </row>
    <row r="3951">
      <c r="A3951" s="2" t="s">
        <v>4807</v>
      </c>
      <c r="B3951" s="2" t="s">
        <v>4989</v>
      </c>
      <c r="D3951" s="2" t="s">
        <v>4800</v>
      </c>
      <c r="G3951" s="2" t="s">
        <v>4801</v>
      </c>
    </row>
    <row r="3952">
      <c r="A3952" s="2" t="s">
        <v>4807</v>
      </c>
      <c r="B3952" s="2" t="s">
        <v>4990</v>
      </c>
      <c r="D3952" s="2" t="s">
        <v>4800</v>
      </c>
      <c r="G3952" s="2" t="s">
        <v>4801</v>
      </c>
    </row>
    <row r="3953">
      <c r="A3953" s="2" t="s">
        <v>4807</v>
      </c>
      <c r="B3953" s="2" t="s">
        <v>4991</v>
      </c>
      <c r="D3953" s="2" t="s">
        <v>4800</v>
      </c>
      <c r="G3953" s="2" t="s">
        <v>4801</v>
      </c>
    </row>
    <row r="3954">
      <c r="A3954" s="2" t="s">
        <v>4807</v>
      </c>
      <c r="B3954" s="2" t="s">
        <v>4992</v>
      </c>
      <c r="D3954" s="2" t="s">
        <v>4800</v>
      </c>
      <c r="G3954" s="2" t="s">
        <v>4801</v>
      </c>
    </row>
    <row r="3955">
      <c r="A3955" s="2" t="s">
        <v>4807</v>
      </c>
      <c r="B3955" s="2" t="s">
        <v>4993</v>
      </c>
      <c r="D3955" s="2" t="s">
        <v>4800</v>
      </c>
      <c r="G3955" s="2" t="s">
        <v>4801</v>
      </c>
    </row>
    <row r="3956">
      <c r="A3956" s="2" t="s">
        <v>4807</v>
      </c>
      <c r="B3956" s="2" t="s">
        <v>4994</v>
      </c>
      <c r="D3956" s="2" t="s">
        <v>4800</v>
      </c>
      <c r="G3956" s="2" t="s">
        <v>4801</v>
      </c>
    </row>
    <row r="3957">
      <c r="A3957" s="2" t="s">
        <v>4807</v>
      </c>
      <c r="B3957" s="2" t="s">
        <v>4995</v>
      </c>
      <c r="D3957" s="2" t="s">
        <v>4800</v>
      </c>
      <c r="G3957" s="2" t="s">
        <v>4801</v>
      </c>
    </row>
    <row r="3958">
      <c r="A3958" s="2" t="s">
        <v>4807</v>
      </c>
      <c r="B3958" s="2" t="s">
        <v>4996</v>
      </c>
      <c r="D3958" s="2" t="s">
        <v>4800</v>
      </c>
      <c r="G3958" s="2" t="s">
        <v>4801</v>
      </c>
    </row>
    <row r="3959">
      <c r="A3959" s="2" t="s">
        <v>4807</v>
      </c>
      <c r="B3959" s="2" t="s">
        <v>4997</v>
      </c>
      <c r="D3959" s="2" t="s">
        <v>4800</v>
      </c>
      <c r="G3959" s="2" t="s">
        <v>4801</v>
      </c>
    </row>
    <row r="3960">
      <c r="A3960" s="2" t="s">
        <v>4807</v>
      </c>
      <c r="B3960" s="2" t="s">
        <v>4998</v>
      </c>
      <c r="D3960" s="2" t="s">
        <v>4800</v>
      </c>
      <c r="G3960" s="2" t="s">
        <v>4801</v>
      </c>
    </row>
    <row r="3961">
      <c r="A3961" s="2" t="s">
        <v>4807</v>
      </c>
      <c r="B3961" s="2" t="s">
        <v>4999</v>
      </c>
      <c r="D3961" s="2" t="s">
        <v>4800</v>
      </c>
      <c r="G3961" s="2" t="s">
        <v>4801</v>
      </c>
    </row>
    <row r="3962">
      <c r="A3962" s="2" t="s">
        <v>4807</v>
      </c>
      <c r="B3962" s="2" t="s">
        <v>5000</v>
      </c>
      <c r="D3962" s="2" t="s">
        <v>4800</v>
      </c>
      <c r="G3962" s="2" t="s">
        <v>4801</v>
      </c>
    </row>
    <row r="3963">
      <c r="A3963" s="2" t="s">
        <v>4807</v>
      </c>
      <c r="B3963" s="2" t="s">
        <v>5001</v>
      </c>
      <c r="D3963" s="2" t="s">
        <v>4800</v>
      </c>
      <c r="G3963" s="2" t="s">
        <v>4801</v>
      </c>
    </row>
    <row r="3964">
      <c r="A3964" s="2" t="s">
        <v>4807</v>
      </c>
      <c r="B3964" s="2" t="s">
        <v>5002</v>
      </c>
      <c r="D3964" s="2" t="s">
        <v>4800</v>
      </c>
      <c r="G3964" s="2" t="s">
        <v>4801</v>
      </c>
    </row>
    <row r="3965">
      <c r="A3965" s="2" t="s">
        <v>4807</v>
      </c>
      <c r="B3965" s="2" t="s">
        <v>5004</v>
      </c>
      <c r="D3965" s="2" t="s">
        <v>4800</v>
      </c>
      <c r="G3965" s="2" t="s">
        <v>4801</v>
      </c>
    </row>
    <row r="3966">
      <c r="A3966" s="2" t="s">
        <v>4807</v>
      </c>
      <c r="B3966" s="2" t="s">
        <v>5005</v>
      </c>
      <c r="D3966" s="2" t="s">
        <v>4800</v>
      </c>
      <c r="G3966" s="2" t="s">
        <v>4801</v>
      </c>
    </row>
    <row r="3967">
      <c r="A3967" s="2" t="s">
        <v>4807</v>
      </c>
      <c r="B3967" s="2" t="s">
        <v>5006</v>
      </c>
      <c r="D3967" s="2" t="s">
        <v>4800</v>
      </c>
      <c r="G3967" s="2" t="s">
        <v>4801</v>
      </c>
    </row>
    <row r="3968">
      <c r="A3968" s="2" t="s">
        <v>4807</v>
      </c>
      <c r="B3968" s="2" t="s">
        <v>5007</v>
      </c>
      <c r="D3968" s="2" t="s">
        <v>4800</v>
      </c>
      <c r="G3968" s="2" t="s">
        <v>4801</v>
      </c>
    </row>
    <row r="3969">
      <c r="A3969" s="2" t="s">
        <v>4807</v>
      </c>
      <c r="B3969" s="2" t="s">
        <v>5008</v>
      </c>
      <c r="D3969" s="2" t="s">
        <v>4800</v>
      </c>
      <c r="G3969" s="2" t="s">
        <v>4801</v>
      </c>
    </row>
    <row r="3970">
      <c r="A3970" s="2" t="s">
        <v>4807</v>
      </c>
      <c r="B3970" s="2" t="s">
        <v>5009</v>
      </c>
      <c r="D3970" s="2" t="s">
        <v>4800</v>
      </c>
      <c r="G3970" s="2" t="s">
        <v>4801</v>
      </c>
    </row>
    <row r="3971">
      <c r="A3971" s="2" t="s">
        <v>4807</v>
      </c>
      <c r="B3971" s="2" t="s">
        <v>5010</v>
      </c>
      <c r="D3971" s="2" t="s">
        <v>4800</v>
      </c>
      <c r="G3971" s="2" t="s">
        <v>4801</v>
      </c>
    </row>
    <row r="3972">
      <c r="A3972" s="2" t="s">
        <v>4807</v>
      </c>
      <c r="B3972" s="2" t="s">
        <v>4839</v>
      </c>
      <c r="D3972" s="2" t="s">
        <v>4800</v>
      </c>
      <c r="G3972" s="2" t="s">
        <v>4801</v>
      </c>
    </row>
    <row r="3973">
      <c r="A3973" s="2" t="s">
        <v>4807</v>
      </c>
      <c r="B3973" s="2" t="s">
        <v>5011</v>
      </c>
      <c r="D3973" s="2" t="s">
        <v>4800</v>
      </c>
      <c r="G3973" s="2" t="s">
        <v>4801</v>
      </c>
    </row>
    <row r="3974">
      <c r="A3974" s="2" t="s">
        <v>4807</v>
      </c>
      <c r="B3974" s="2" t="s">
        <v>5012</v>
      </c>
      <c r="D3974" s="2" t="s">
        <v>4800</v>
      </c>
      <c r="G3974" s="2" t="s">
        <v>4801</v>
      </c>
    </row>
    <row r="3975">
      <c r="A3975" s="2" t="s">
        <v>4807</v>
      </c>
      <c r="B3975" s="2" t="s">
        <v>5013</v>
      </c>
      <c r="D3975" s="2" t="s">
        <v>4800</v>
      </c>
      <c r="G3975" s="2" t="s">
        <v>4801</v>
      </c>
    </row>
    <row r="3976">
      <c r="A3976" s="2" t="s">
        <v>4807</v>
      </c>
      <c r="B3976" s="2" t="s">
        <v>5014</v>
      </c>
      <c r="D3976" s="2" t="s">
        <v>4800</v>
      </c>
      <c r="G3976" s="2" t="s">
        <v>4801</v>
      </c>
    </row>
    <row r="3977">
      <c r="A3977" s="2" t="s">
        <v>4807</v>
      </c>
      <c r="B3977" s="2" t="s">
        <v>5015</v>
      </c>
      <c r="D3977" s="2" t="s">
        <v>4800</v>
      </c>
      <c r="G3977" s="2" t="s">
        <v>4801</v>
      </c>
    </row>
    <row r="3978">
      <c r="A3978" s="2" t="s">
        <v>4807</v>
      </c>
      <c r="B3978" s="2" t="s">
        <v>5016</v>
      </c>
      <c r="D3978" s="2" t="s">
        <v>4800</v>
      </c>
      <c r="G3978" s="2" t="s">
        <v>4801</v>
      </c>
    </row>
    <row r="3979">
      <c r="A3979" s="2" t="s">
        <v>4807</v>
      </c>
      <c r="B3979" s="2" t="s">
        <v>5017</v>
      </c>
      <c r="D3979" s="2" t="s">
        <v>4800</v>
      </c>
      <c r="G3979" s="2" t="s">
        <v>4801</v>
      </c>
    </row>
    <row r="3980">
      <c r="A3980" s="2" t="s">
        <v>4807</v>
      </c>
      <c r="B3980" s="2" t="s">
        <v>5018</v>
      </c>
      <c r="D3980" s="2" t="s">
        <v>4800</v>
      </c>
      <c r="G3980" s="2" t="s">
        <v>4801</v>
      </c>
    </row>
    <row r="3981">
      <c r="A3981" s="2" t="s">
        <v>4807</v>
      </c>
      <c r="B3981" s="2" t="s">
        <v>5019</v>
      </c>
      <c r="D3981" s="2" t="s">
        <v>4800</v>
      </c>
      <c r="G3981" s="2" t="s">
        <v>4801</v>
      </c>
    </row>
    <row r="3982">
      <c r="A3982" s="2" t="s">
        <v>4807</v>
      </c>
      <c r="B3982" s="2" t="s">
        <v>5020</v>
      </c>
      <c r="D3982" s="2" t="s">
        <v>4800</v>
      </c>
      <c r="G3982" s="2" t="s">
        <v>4801</v>
      </c>
    </row>
    <row r="3983">
      <c r="A3983" s="2" t="s">
        <v>4807</v>
      </c>
      <c r="B3983" s="2" t="s">
        <v>5021</v>
      </c>
      <c r="D3983" s="2" t="s">
        <v>4800</v>
      </c>
      <c r="G3983" s="2" t="s">
        <v>4801</v>
      </c>
    </row>
    <row r="3984">
      <c r="A3984" s="2" t="s">
        <v>4807</v>
      </c>
      <c r="B3984" s="2" t="s">
        <v>5022</v>
      </c>
      <c r="D3984" s="2" t="s">
        <v>4800</v>
      </c>
      <c r="G3984" s="2" t="s">
        <v>4801</v>
      </c>
    </row>
    <row r="3985">
      <c r="A3985" s="2" t="s">
        <v>4807</v>
      </c>
      <c r="B3985" s="2" t="s">
        <v>5023</v>
      </c>
      <c r="D3985" s="2" t="s">
        <v>4800</v>
      </c>
      <c r="G3985" s="2" t="s">
        <v>4801</v>
      </c>
    </row>
    <row r="3986">
      <c r="A3986" s="2" t="s">
        <v>4807</v>
      </c>
      <c r="B3986" s="2" t="s">
        <v>5024</v>
      </c>
      <c r="D3986" s="2" t="s">
        <v>4800</v>
      </c>
      <c r="G3986" s="2" t="s">
        <v>4801</v>
      </c>
    </row>
    <row r="3987">
      <c r="A3987" s="2" t="s">
        <v>4807</v>
      </c>
      <c r="B3987" s="2" t="s">
        <v>5025</v>
      </c>
      <c r="D3987" s="2" t="s">
        <v>4800</v>
      </c>
      <c r="G3987" s="2" t="s">
        <v>4801</v>
      </c>
    </row>
    <row r="3988">
      <c r="A3988" s="2" t="s">
        <v>4807</v>
      </c>
      <c r="B3988" s="2" t="s">
        <v>5026</v>
      </c>
      <c r="D3988" s="2" t="s">
        <v>4800</v>
      </c>
      <c r="G3988" s="2" t="s">
        <v>4801</v>
      </c>
    </row>
    <row r="3989">
      <c r="A3989" s="2" t="s">
        <v>4807</v>
      </c>
      <c r="B3989" s="2" t="s">
        <v>5027</v>
      </c>
      <c r="D3989" s="2" t="s">
        <v>4800</v>
      </c>
      <c r="G3989" s="2" t="s">
        <v>4801</v>
      </c>
    </row>
    <row r="3990">
      <c r="A3990" s="2" t="s">
        <v>4807</v>
      </c>
      <c r="B3990" s="2" t="s">
        <v>5028</v>
      </c>
      <c r="D3990" s="2" t="s">
        <v>4800</v>
      </c>
      <c r="G3990" s="2" t="s">
        <v>4801</v>
      </c>
    </row>
    <row r="3991">
      <c r="A3991" s="2" t="s">
        <v>4807</v>
      </c>
      <c r="B3991" s="2" t="s">
        <v>5029</v>
      </c>
      <c r="D3991" s="2" t="s">
        <v>4800</v>
      </c>
      <c r="G3991" s="2" t="s">
        <v>4801</v>
      </c>
    </row>
    <row r="3992">
      <c r="A3992" s="2" t="s">
        <v>4807</v>
      </c>
      <c r="B3992" s="2" t="s">
        <v>5030</v>
      </c>
      <c r="D3992" s="2" t="s">
        <v>4800</v>
      </c>
      <c r="G3992" s="2" t="s">
        <v>4801</v>
      </c>
    </row>
    <row r="3993">
      <c r="A3993" s="2" t="s">
        <v>4807</v>
      </c>
      <c r="B3993" s="2" t="s">
        <v>5031</v>
      </c>
      <c r="D3993" s="2" t="s">
        <v>4800</v>
      </c>
      <c r="G3993" s="2" t="s">
        <v>4801</v>
      </c>
    </row>
    <row r="3994">
      <c r="A3994" s="2" t="s">
        <v>4807</v>
      </c>
      <c r="B3994" s="2" t="s">
        <v>5032</v>
      </c>
      <c r="D3994" s="2" t="s">
        <v>4800</v>
      </c>
      <c r="G3994" s="2" t="s">
        <v>4801</v>
      </c>
    </row>
    <row r="3995">
      <c r="A3995" s="2" t="s">
        <v>4807</v>
      </c>
      <c r="B3995" s="2" t="s">
        <v>5033</v>
      </c>
      <c r="D3995" s="2" t="s">
        <v>4800</v>
      </c>
      <c r="G3995" s="2" t="s">
        <v>4801</v>
      </c>
    </row>
    <row r="3996">
      <c r="A3996" s="2" t="s">
        <v>4807</v>
      </c>
      <c r="B3996" s="2" t="s">
        <v>5034</v>
      </c>
      <c r="D3996" s="2" t="s">
        <v>4800</v>
      </c>
      <c r="G3996" s="2" t="s">
        <v>4801</v>
      </c>
    </row>
    <row r="3997">
      <c r="A3997" s="2" t="s">
        <v>4807</v>
      </c>
      <c r="B3997" s="2" t="s">
        <v>5035</v>
      </c>
      <c r="D3997" s="2" t="s">
        <v>4800</v>
      </c>
      <c r="G3997" s="2" t="s">
        <v>4801</v>
      </c>
    </row>
    <row r="3998">
      <c r="A3998" s="2" t="s">
        <v>4807</v>
      </c>
      <c r="B3998" s="2" t="s">
        <v>5036</v>
      </c>
      <c r="D3998" s="2" t="s">
        <v>4800</v>
      </c>
      <c r="G3998" s="2" t="s">
        <v>4801</v>
      </c>
    </row>
    <row r="3999">
      <c r="A3999" s="2" t="s">
        <v>4807</v>
      </c>
      <c r="B3999" s="2" t="s">
        <v>5037</v>
      </c>
      <c r="D3999" s="2" t="s">
        <v>4800</v>
      </c>
      <c r="G3999" s="2" t="s">
        <v>4801</v>
      </c>
    </row>
    <row r="4000">
      <c r="A4000" s="2" t="s">
        <v>4807</v>
      </c>
      <c r="B4000" s="2" t="s">
        <v>5038</v>
      </c>
      <c r="D4000" s="2" t="s">
        <v>4800</v>
      </c>
      <c r="G4000" s="2" t="s">
        <v>4801</v>
      </c>
    </row>
    <row r="4001">
      <c r="A4001" s="2" t="s">
        <v>4807</v>
      </c>
      <c r="B4001" s="2" t="s">
        <v>5039</v>
      </c>
      <c r="D4001" s="2" t="s">
        <v>4800</v>
      </c>
      <c r="G4001" s="2" t="s">
        <v>4801</v>
      </c>
    </row>
    <row r="4002">
      <c r="A4002" s="2" t="s">
        <v>4807</v>
      </c>
      <c r="B4002" s="2" t="s">
        <v>5040</v>
      </c>
      <c r="D4002" s="2" t="s">
        <v>4800</v>
      </c>
      <c r="G4002" s="2" t="s">
        <v>4801</v>
      </c>
    </row>
    <row r="4003">
      <c r="A4003" s="2" t="s">
        <v>4807</v>
      </c>
      <c r="B4003" s="2" t="s">
        <v>5041</v>
      </c>
      <c r="D4003" s="2" t="s">
        <v>4800</v>
      </c>
      <c r="G4003" s="2" t="s">
        <v>4801</v>
      </c>
    </row>
    <row r="4004">
      <c r="A4004" s="2" t="s">
        <v>4807</v>
      </c>
      <c r="B4004" s="2" t="s">
        <v>5042</v>
      </c>
      <c r="D4004" s="2" t="s">
        <v>4800</v>
      </c>
      <c r="G4004" s="2" t="s">
        <v>4801</v>
      </c>
    </row>
    <row r="4005">
      <c r="A4005" s="2" t="s">
        <v>4807</v>
      </c>
      <c r="B4005" s="2" t="s">
        <v>5043</v>
      </c>
      <c r="D4005" s="2" t="s">
        <v>4800</v>
      </c>
      <c r="G4005" s="2" t="s">
        <v>4801</v>
      </c>
    </row>
    <row r="4006">
      <c r="A4006" s="2" t="s">
        <v>4807</v>
      </c>
      <c r="B4006" s="2" t="s">
        <v>5044</v>
      </c>
      <c r="D4006" s="2" t="s">
        <v>4800</v>
      </c>
      <c r="G4006" s="2" t="s">
        <v>4801</v>
      </c>
    </row>
    <row r="4007">
      <c r="A4007" s="2" t="s">
        <v>4807</v>
      </c>
      <c r="B4007" s="2" t="s">
        <v>5045</v>
      </c>
      <c r="D4007" s="2" t="s">
        <v>4800</v>
      </c>
      <c r="G4007" s="2" t="s">
        <v>4801</v>
      </c>
    </row>
    <row r="4008">
      <c r="A4008" s="2" t="s">
        <v>4807</v>
      </c>
      <c r="B4008" s="2" t="s">
        <v>5046</v>
      </c>
      <c r="D4008" s="2" t="s">
        <v>4800</v>
      </c>
      <c r="G4008" s="2" t="s">
        <v>4801</v>
      </c>
    </row>
    <row r="4009">
      <c r="A4009" s="2" t="s">
        <v>4807</v>
      </c>
      <c r="B4009" s="2" t="s">
        <v>5047</v>
      </c>
      <c r="D4009" s="2" t="s">
        <v>4800</v>
      </c>
      <c r="G4009" s="2" t="s">
        <v>4801</v>
      </c>
    </row>
    <row r="4010">
      <c r="A4010" s="2" t="s">
        <v>4807</v>
      </c>
      <c r="B4010" s="2" t="s">
        <v>5048</v>
      </c>
      <c r="D4010" s="2" t="s">
        <v>4800</v>
      </c>
      <c r="G4010" s="2" t="s">
        <v>4801</v>
      </c>
    </row>
    <row r="4011">
      <c r="A4011" s="2" t="s">
        <v>4807</v>
      </c>
      <c r="B4011" s="2" t="s">
        <v>5049</v>
      </c>
      <c r="D4011" s="2" t="s">
        <v>4800</v>
      </c>
      <c r="G4011" s="2" t="s">
        <v>4801</v>
      </c>
    </row>
    <row r="4012">
      <c r="A4012" s="2" t="s">
        <v>4807</v>
      </c>
      <c r="B4012" s="2" t="s">
        <v>5050</v>
      </c>
      <c r="D4012" s="2" t="s">
        <v>4800</v>
      </c>
      <c r="G4012" s="2" t="s">
        <v>4801</v>
      </c>
    </row>
    <row r="4013">
      <c r="A4013" s="2" t="s">
        <v>4807</v>
      </c>
      <c r="B4013" s="2" t="s">
        <v>5051</v>
      </c>
      <c r="D4013" s="2" t="s">
        <v>4800</v>
      </c>
      <c r="G4013" s="2" t="s">
        <v>4801</v>
      </c>
    </row>
    <row r="4014">
      <c r="A4014" s="2" t="s">
        <v>4807</v>
      </c>
      <c r="B4014" s="2" t="s">
        <v>5052</v>
      </c>
      <c r="D4014" s="2" t="s">
        <v>4800</v>
      </c>
      <c r="G4014" s="2" t="s">
        <v>4801</v>
      </c>
    </row>
    <row r="4015">
      <c r="A4015" s="2" t="s">
        <v>4807</v>
      </c>
      <c r="B4015" s="2" t="s">
        <v>5053</v>
      </c>
      <c r="D4015" s="2" t="s">
        <v>4800</v>
      </c>
      <c r="G4015" s="2" t="s">
        <v>4801</v>
      </c>
    </row>
    <row r="4016">
      <c r="A4016" s="2" t="s">
        <v>4807</v>
      </c>
      <c r="B4016" s="2" t="s">
        <v>5054</v>
      </c>
      <c r="D4016" s="2" t="s">
        <v>4800</v>
      </c>
      <c r="G4016" s="2" t="s">
        <v>4801</v>
      </c>
    </row>
    <row r="4017">
      <c r="A4017" s="2" t="s">
        <v>4807</v>
      </c>
      <c r="B4017" s="2" t="s">
        <v>5055</v>
      </c>
      <c r="D4017" s="2" t="s">
        <v>4800</v>
      </c>
      <c r="G4017" s="2" t="s">
        <v>4801</v>
      </c>
    </row>
    <row r="4018">
      <c r="A4018" s="2" t="s">
        <v>4807</v>
      </c>
      <c r="B4018" s="2" t="s">
        <v>5056</v>
      </c>
      <c r="D4018" s="2" t="s">
        <v>4800</v>
      </c>
      <c r="G4018" s="2" t="s">
        <v>4801</v>
      </c>
    </row>
    <row r="4019">
      <c r="A4019" s="2" t="s">
        <v>4807</v>
      </c>
      <c r="B4019" s="2" t="s">
        <v>5057</v>
      </c>
      <c r="D4019" s="2" t="s">
        <v>4800</v>
      </c>
      <c r="G4019" s="2" t="s">
        <v>4801</v>
      </c>
    </row>
    <row r="4020">
      <c r="A4020" s="2" t="s">
        <v>4807</v>
      </c>
      <c r="B4020" s="2" t="s">
        <v>5058</v>
      </c>
      <c r="D4020" s="2" t="s">
        <v>4800</v>
      </c>
      <c r="G4020" s="2" t="s">
        <v>4801</v>
      </c>
    </row>
    <row r="4021">
      <c r="A4021" s="2" t="s">
        <v>4807</v>
      </c>
      <c r="B4021" s="2" t="s">
        <v>5059</v>
      </c>
      <c r="D4021" s="2" t="s">
        <v>4800</v>
      </c>
      <c r="G4021" s="2" t="s">
        <v>4801</v>
      </c>
    </row>
    <row r="4022">
      <c r="A4022" s="2" t="s">
        <v>4807</v>
      </c>
      <c r="B4022" s="2" t="s">
        <v>5060</v>
      </c>
      <c r="D4022" s="2" t="s">
        <v>4800</v>
      </c>
      <c r="G4022" s="2" t="s">
        <v>4801</v>
      </c>
    </row>
    <row r="4023">
      <c r="A4023" s="2" t="s">
        <v>4807</v>
      </c>
      <c r="B4023" s="2" t="s">
        <v>5061</v>
      </c>
      <c r="D4023" s="2" t="s">
        <v>4800</v>
      </c>
      <c r="G4023" s="2" t="s">
        <v>4801</v>
      </c>
    </row>
    <row r="4024">
      <c r="A4024" s="2" t="s">
        <v>4807</v>
      </c>
      <c r="B4024" s="2" t="s">
        <v>5062</v>
      </c>
      <c r="D4024" s="2" t="s">
        <v>4800</v>
      </c>
      <c r="G4024" s="2" t="s">
        <v>4801</v>
      </c>
    </row>
    <row r="4025">
      <c r="A4025" s="2" t="s">
        <v>4807</v>
      </c>
      <c r="B4025" s="2" t="s">
        <v>5063</v>
      </c>
      <c r="D4025" s="2" t="s">
        <v>4800</v>
      </c>
      <c r="G4025" s="2" t="s">
        <v>4801</v>
      </c>
    </row>
    <row r="4026">
      <c r="A4026" s="2" t="s">
        <v>4807</v>
      </c>
      <c r="B4026" s="2" t="s">
        <v>5064</v>
      </c>
      <c r="D4026" s="2" t="s">
        <v>4800</v>
      </c>
      <c r="G4026" s="2" t="s">
        <v>4801</v>
      </c>
    </row>
    <row r="4027">
      <c r="A4027" s="2" t="s">
        <v>4807</v>
      </c>
      <c r="B4027" s="2" t="s">
        <v>5065</v>
      </c>
      <c r="D4027" s="2" t="s">
        <v>4800</v>
      </c>
      <c r="G4027" s="2" t="s">
        <v>4801</v>
      </c>
    </row>
    <row r="4028">
      <c r="A4028" s="2" t="s">
        <v>4807</v>
      </c>
      <c r="B4028" s="2" t="s">
        <v>5066</v>
      </c>
      <c r="D4028" s="2" t="s">
        <v>4800</v>
      </c>
      <c r="G4028" s="2" t="s">
        <v>4801</v>
      </c>
    </row>
    <row r="4029">
      <c r="A4029" s="2" t="s">
        <v>4807</v>
      </c>
      <c r="B4029" s="2" t="s">
        <v>5067</v>
      </c>
      <c r="D4029" s="2" t="s">
        <v>4800</v>
      </c>
      <c r="G4029" s="2" t="s">
        <v>4801</v>
      </c>
    </row>
    <row r="4030">
      <c r="A4030" s="2" t="s">
        <v>4807</v>
      </c>
      <c r="B4030" s="2" t="s">
        <v>5068</v>
      </c>
      <c r="D4030" s="2" t="s">
        <v>4800</v>
      </c>
      <c r="G4030" s="2" t="s">
        <v>4801</v>
      </c>
    </row>
    <row r="4031">
      <c r="A4031" s="2" t="s">
        <v>4807</v>
      </c>
      <c r="B4031" s="2" t="s">
        <v>5069</v>
      </c>
      <c r="D4031" s="2" t="s">
        <v>4800</v>
      </c>
      <c r="G4031" s="2" t="s">
        <v>4801</v>
      </c>
    </row>
    <row r="4032">
      <c r="A4032" s="2" t="s">
        <v>4807</v>
      </c>
      <c r="B4032" s="2" t="s">
        <v>5070</v>
      </c>
      <c r="D4032" s="2" t="s">
        <v>4800</v>
      </c>
      <c r="G4032" s="2" t="s">
        <v>4801</v>
      </c>
    </row>
    <row r="4033">
      <c r="A4033" s="2" t="s">
        <v>4807</v>
      </c>
      <c r="B4033" s="2" t="s">
        <v>5071</v>
      </c>
      <c r="D4033" s="2" t="s">
        <v>4800</v>
      </c>
      <c r="G4033" s="2" t="s">
        <v>4801</v>
      </c>
    </row>
    <row r="4034">
      <c r="A4034" s="2" t="s">
        <v>4807</v>
      </c>
      <c r="B4034" s="2" t="s">
        <v>5072</v>
      </c>
      <c r="D4034" s="2" t="s">
        <v>4800</v>
      </c>
      <c r="G4034" s="2" t="s">
        <v>4801</v>
      </c>
    </row>
    <row r="4035">
      <c r="A4035" s="2" t="s">
        <v>4807</v>
      </c>
      <c r="B4035" s="2" t="s">
        <v>5073</v>
      </c>
      <c r="D4035" s="2" t="s">
        <v>4800</v>
      </c>
      <c r="G4035" s="2" t="s">
        <v>4801</v>
      </c>
    </row>
    <row r="4036">
      <c r="A4036" s="2" t="s">
        <v>4807</v>
      </c>
      <c r="B4036" s="2" t="s">
        <v>5074</v>
      </c>
      <c r="D4036" s="2" t="s">
        <v>4800</v>
      </c>
      <c r="G4036" s="2" t="s">
        <v>4801</v>
      </c>
    </row>
    <row r="4037">
      <c r="A4037" s="2" t="s">
        <v>4807</v>
      </c>
      <c r="B4037" s="2" t="s">
        <v>5075</v>
      </c>
      <c r="D4037" s="2" t="s">
        <v>4800</v>
      </c>
      <c r="G4037" s="2" t="s">
        <v>4801</v>
      </c>
    </row>
    <row r="4038">
      <c r="A4038" s="2" t="s">
        <v>4807</v>
      </c>
      <c r="B4038" s="2" t="s">
        <v>5076</v>
      </c>
      <c r="D4038" s="2" t="s">
        <v>4800</v>
      </c>
      <c r="G4038" s="2" t="s">
        <v>4801</v>
      </c>
    </row>
    <row r="4039">
      <c r="A4039" s="2" t="s">
        <v>4807</v>
      </c>
      <c r="B4039" s="2" t="s">
        <v>5077</v>
      </c>
      <c r="D4039" s="2" t="s">
        <v>4800</v>
      </c>
      <c r="G4039" s="2" t="s">
        <v>4801</v>
      </c>
    </row>
    <row r="4040">
      <c r="A4040" s="2" t="s">
        <v>4807</v>
      </c>
      <c r="B4040" s="2" t="s">
        <v>5078</v>
      </c>
      <c r="D4040" s="2" t="s">
        <v>4800</v>
      </c>
      <c r="G4040" s="2" t="s">
        <v>4801</v>
      </c>
    </row>
    <row r="4041">
      <c r="A4041" s="2" t="s">
        <v>4807</v>
      </c>
      <c r="B4041" s="2" t="s">
        <v>5079</v>
      </c>
      <c r="D4041" s="2" t="s">
        <v>4800</v>
      </c>
      <c r="G4041" s="2" t="s">
        <v>4801</v>
      </c>
    </row>
    <row r="4042">
      <c r="A4042" s="2" t="s">
        <v>4807</v>
      </c>
      <c r="B4042" s="2" t="s">
        <v>5080</v>
      </c>
      <c r="D4042" s="2" t="s">
        <v>4800</v>
      </c>
      <c r="G4042" s="2" t="s">
        <v>4801</v>
      </c>
    </row>
    <row r="4043">
      <c r="A4043" s="2" t="s">
        <v>4807</v>
      </c>
      <c r="B4043" s="2" t="s">
        <v>5081</v>
      </c>
      <c r="D4043" s="2" t="s">
        <v>4800</v>
      </c>
      <c r="G4043" s="2" t="s">
        <v>4801</v>
      </c>
    </row>
    <row r="4044">
      <c r="A4044" s="2" t="s">
        <v>4807</v>
      </c>
      <c r="B4044" s="2" t="s">
        <v>5082</v>
      </c>
      <c r="D4044" s="2" t="s">
        <v>4800</v>
      </c>
      <c r="G4044" s="2" t="s">
        <v>4801</v>
      </c>
    </row>
    <row r="4045">
      <c r="A4045" s="2" t="s">
        <v>4807</v>
      </c>
      <c r="B4045" s="2" t="s">
        <v>5083</v>
      </c>
      <c r="D4045" s="2" t="s">
        <v>4800</v>
      </c>
      <c r="G4045" s="2" t="s">
        <v>4801</v>
      </c>
    </row>
    <row r="4046">
      <c r="A4046" s="2" t="s">
        <v>4807</v>
      </c>
      <c r="B4046" s="2" t="s">
        <v>5084</v>
      </c>
      <c r="D4046" s="2" t="s">
        <v>4800</v>
      </c>
      <c r="G4046" s="2" t="s">
        <v>4801</v>
      </c>
    </row>
    <row r="4047">
      <c r="A4047" s="2" t="s">
        <v>4807</v>
      </c>
      <c r="B4047" s="2" t="s">
        <v>5085</v>
      </c>
      <c r="D4047" s="2" t="s">
        <v>4800</v>
      </c>
      <c r="G4047" s="2" t="s">
        <v>4801</v>
      </c>
    </row>
    <row r="4048">
      <c r="A4048" s="2" t="s">
        <v>4807</v>
      </c>
      <c r="B4048" s="2" t="s">
        <v>5086</v>
      </c>
      <c r="D4048" s="2" t="s">
        <v>4800</v>
      </c>
      <c r="G4048" s="2" t="s">
        <v>4801</v>
      </c>
    </row>
    <row r="4049">
      <c r="A4049" s="2" t="s">
        <v>4807</v>
      </c>
      <c r="B4049" s="2" t="s">
        <v>5087</v>
      </c>
      <c r="D4049" s="2" t="s">
        <v>4800</v>
      </c>
      <c r="G4049" s="2" t="s">
        <v>4801</v>
      </c>
    </row>
    <row r="4050">
      <c r="A4050" s="2" t="s">
        <v>4807</v>
      </c>
      <c r="B4050" s="2" t="s">
        <v>5088</v>
      </c>
      <c r="D4050" s="2" t="s">
        <v>4800</v>
      </c>
      <c r="G4050" s="2" t="s">
        <v>4801</v>
      </c>
    </row>
    <row r="4051">
      <c r="A4051" s="2" t="s">
        <v>4807</v>
      </c>
      <c r="B4051" s="2" t="s">
        <v>5089</v>
      </c>
      <c r="D4051" s="2" t="s">
        <v>4800</v>
      </c>
      <c r="G4051" s="2" t="s">
        <v>4801</v>
      </c>
    </row>
    <row r="4052">
      <c r="A4052" s="2" t="s">
        <v>4807</v>
      </c>
      <c r="B4052" s="2" t="s">
        <v>5090</v>
      </c>
      <c r="D4052" s="2" t="s">
        <v>4800</v>
      </c>
      <c r="G4052" s="2" t="s">
        <v>4801</v>
      </c>
    </row>
    <row r="4053">
      <c r="A4053" s="2" t="s">
        <v>4807</v>
      </c>
      <c r="B4053" s="2" t="s">
        <v>5091</v>
      </c>
      <c r="D4053" s="2" t="s">
        <v>4800</v>
      </c>
      <c r="G4053" s="2" t="s">
        <v>4801</v>
      </c>
    </row>
    <row r="4054">
      <c r="A4054" s="2" t="s">
        <v>4807</v>
      </c>
      <c r="B4054" s="2" t="s">
        <v>5092</v>
      </c>
      <c r="D4054" s="2" t="s">
        <v>4800</v>
      </c>
      <c r="G4054" s="2" t="s">
        <v>4801</v>
      </c>
    </row>
    <row r="4055">
      <c r="A4055" s="2" t="s">
        <v>4807</v>
      </c>
      <c r="B4055" s="2" t="s">
        <v>5093</v>
      </c>
      <c r="D4055" s="2" t="s">
        <v>4800</v>
      </c>
      <c r="G4055" s="2" t="s">
        <v>4801</v>
      </c>
    </row>
    <row r="4056">
      <c r="A4056" s="2" t="s">
        <v>4807</v>
      </c>
      <c r="B4056" s="2" t="s">
        <v>5094</v>
      </c>
      <c r="D4056" s="2" t="s">
        <v>4800</v>
      </c>
      <c r="G4056" s="2" t="s">
        <v>4801</v>
      </c>
    </row>
    <row r="4057">
      <c r="A4057" s="2" t="s">
        <v>4807</v>
      </c>
      <c r="B4057" s="2" t="s">
        <v>5095</v>
      </c>
      <c r="D4057" s="2" t="s">
        <v>4800</v>
      </c>
      <c r="G4057" s="2" t="s">
        <v>4801</v>
      </c>
    </row>
    <row r="4058">
      <c r="A4058" s="2" t="s">
        <v>4807</v>
      </c>
      <c r="B4058" s="2" t="s">
        <v>5096</v>
      </c>
      <c r="D4058" s="2" t="s">
        <v>4800</v>
      </c>
      <c r="G4058" s="2" t="s">
        <v>4801</v>
      </c>
    </row>
    <row r="4059">
      <c r="A4059" s="2" t="s">
        <v>4807</v>
      </c>
      <c r="B4059" s="2" t="s">
        <v>5097</v>
      </c>
      <c r="D4059" s="2" t="s">
        <v>4800</v>
      </c>
      <c r="G4059" s="2" t="s">
        <v>4801</v>
      </c>
    </row>
    <row r="4060">
      <c r="A4060" s="2" t="s">
        <v>4807</v>
      </c>
      <c r="B4060" s="2" t="s">
        <v>5098</v>
      </c>
      <c r="D4060" s="2" t="s">
        <v>4800</v>
      </c>
      <c r="G4060" s="2" t="s">
        <v>4801</v>
      </c>
    </row>
    <row r="4061">
      <c r="A4061" s="2" t="s">
        <v>4807</v>
      </c>
      <c r="B4061" s="2" t="s">
        <v>5099</v>
      </c>
      <c r="D4061" s="2" t="s">
        <v>4800</v>
      </c>
      <c r="G4061" s="2" t="s">
        <v>4801</v>
      </c>
    </row>
    <row r="4062">
      <c r="A4062" s="2" t="s">
        <v>4807</v>
      </c>
      <c r="B4062" s="2" t="s">
        <v>5100</v>
      </c>
      <c r="D4062" s="2" t="s">
        <v>4800</v>
      </c>
      <c r="G4062" s="2" t="s">
        <v>4801</v>
      </c>
    </row>
    <row r="4063">
      <c r="A4063" s="2" t="s">
        <v>4807</v>
      </c>
      <c r="B4063" s="2" t="s">
        <v>5101</v>
      </c>
      <c r="D4063" s="2" t="s">
        <v>4800</v>
      </c>
      <c r="G4063" s="2" t="s">
        <v>4801</v>
      </c>
    </row>
    <row r="4064">
      <c r="A4064" s="2" t="s">
        <v>4807</v>
      </c>
      <c r="B4064" s="2" t="s">
        <v>5102</v>
      </c>
      <c r="D4064" s="2" t="s">
        <v>4800</v>
      </c>
      <c r="G4064" s="2" t="s">
        <v>4801</v>
      </c>
    </row>
    <row r="4065">
      <c r="A4065" s="2" t="s">
        <v>4807</v>
      </c>
      <c r="B4065" s="2" t="s">
        <v>5103</v>
      </c>
      <c r="D4065" s="2" t="s">
        <v>4800</v>
      </c>
      <c r="G4065" s="2" t="s">
        <v>4801</v>
      </c>
    </row>
    <row r="4066">
      <c r="A4066" s="2" t="s">
        <v>4807</v>
      </c>
      <c r="B4066" s="2" t="s">
        <v>5104</v>
      </c>
      <c r="D4066" s="2" t="s">
        <v>4800</v>
      </c>
      <c r="G4066" s="2" t="s">
        <v>4801</v>
      </c>
    </row>
    <row r="4067">
      <c r="A4067" s="2" t="s">
        <v>4807</v>
      </c>
      <c r="B4067" s="2" t="s">
        <v>5105</v>
      </c>
      <c r="D4067" s="2" t="s">
        <v>4800</v>
      </c>
      <c r="G4067" s="2" t="s">
        <v>4801</v>
      </c>
    </row>
    <row r="4068">
      <c r="A4068" s="2" t="s">
        <v>4807</v>
      </c>
      <c r="B4068" s="2" t="s">
        <v>5106</v>
      </c>
      <c r="D4068" s="2" t="s">
        <v>4800</v>
      </c>
      <c r="G4068" s="2" t="s">
        <v>4801</v>
      </c>
    </row>
    <row r="4069">
      <c r="A4069" s="2" t="s">
        <v>4807</v>
      </c>
      <c r="B4069" s="2" t="s">
        <v>5107</v>
      </c>
      <c r="D4069" s="2" t="s">
        <v>4800</v>
      </c>
      <c r="G4069" s="2" t="s">
        <v>4801</v>
      </c>
    </row>
    <row r="4070">
      <c r="A4070" s="2" t="s">
        <v>4807</v>
      </c>
      <c r="B4070" s="2" t="s">
        <v>5108</v>
      </c>
      <c r="D4070" s="2" t="s">
        <v>4800</v>
      </c>
      <c r="G4070" s="2" t="s">
        <v>4801</v>
      </c>
    </row>
    <row r="4071">
      <c r="A4071" s="2" t="s">
        <v>4807</v>
      </c>
      <c r="B4071" s="2" t="s">
        <v>5109</v>
      </c>
      <c r="D4071" s="2" t="s">
        <v>4800</v>
      </c>
      <c r="G4071" s="2" t="s">
        <v>4801</v>
      </c>
    </row>
    <row r="4072">
      <c r="A4072" s="2" t="s">
        <v>4807</v>
      </c>
      <c r="B4072" s="2" t="s">
        <v>5110</v>
      </c>
      <c r="D4072" s="2" t="s">
        <v>4800</v>
      </c>
      <c r="G4072" s="2" t="s">
        <v>4801</v>
      </c>
    </row>
    <row r="4073">
      <c r="A4073" s="2" t="s">
        <v>4807</v>
      </c>
      <c r="B4073" s="247">
        <v>44470.0</v>
      </c>
      <c r="D4073" s="2" t="s">
        <v>4800</v>
      </c>
      <c r="G4073" s="2" t="s">
        <v>4801</v>
      </c>
    </row>
    <row r="4074">
      <c r="A4074" s="2" t="s">
        <v>4807</v>
      </c>
      <c r="B4074" s="2" t="s">
        <v>5111</v>
      </c>
      <c r="D4074" s="2" t="s">
        <v>4800</v>
      </c>
      <c r="G4074" s="2" t="s">
        <v>4801</v>
      </c>
    </row>
    <row r="4075">
      <c r="A4075" s="2" t="s">
        <v>4807</v>
      </c>
      <c r="B4075" s="2" t="s">
        <v>5112</v>
      </c>
      <c r="D4075" s="2" t="s">
        <v>4800</v>
      </c>
      <c r="G4075" s="2" t="s">
        <v>4801</v>
      </c>
    </row>
    <row r="4076">
      <c r="A4076" s="2" t="s">
        <v>4807</v>
      </c>
      <c r="B4076" s="2" t="s">
        <v>5113</v>
      </c>
      <c r="D4076" s="2" t="s">
        <v>4800</v>
      </c>
      <c r="G4076" s="2" t="s">
        <v>4801</v>
      </c>
    </row>
    <row r="4077">
      <c r="A4077" s="2" t="s">
        <v>4807</v>
      </c>
      <c r="B4077" s="2" t="s">
        <v>5114</v>
      </c>
      <c r="D4077" s="2" t="s">
        <v>4800</v>
      </c>
      <c r="G4077" s="2" t="s">
        <v>4801</v>
      </c>
    </row>
    <row r="4078">
      <c r="A4078" s="2" t="s">
        <v>4807</v>
      </c>
      <c r="B4078" s="2" t="s">
        <v>5115</v>
      </c>
      <c r="D4078" s="2" t="s">
        <v>4800</v>
      </c>
      <c r="G4078" s="2" t="s">
        <v>4801</v>
      </c>
    </row>
    <row r="4079">
      <c r="A4079" s="2" t="s">
        <v>4807</v>
      </c>
      <c r="B4079" s="2" t="s">
        <v>5116</v>
      </c>
      <c r="D4079" s="2" t="s">
        <v>4800</v>
      </c>
      <c r="G4079" s="2" t="s">
        <v>4801</v>
      </c>
    </row>
    <row r="4080">
      <c r="A4080" s="2" t="s">
        <v>4807</v>
      </c>
      <c r="B4080" s="2" t="s">
        <v>5117</v>
      </c>
      <c r="D4080" s="2" t="s">
        <v>4800</v>
      </c>
      <c r="G4080" s="2" t="s">
        <v>4801</v>
      </c>
    </row>
    <row r="4081">
      <c r="A4081" s="2" t="s">
        <v>4807</v>
      </c>
      <c r="B4081" s="2" t="s">
        <v>5118</v>
      </c>
      <c r="D4081" s="2" t="s">
        <v>4800</v>
      </c>
      <c r="G4081" s="2" t="s">
        <v>4801</v>
      </c>
    </row>
    <row r="4082">
      <c r="A4082" s="2" t="s">
        <v>4807</v>
      </c>
      <c r="B4082" s="2" t="s">
        <v>5119</v>
      </c>
      <c r="D4082" s="2" t="s">
        <v>4800</v>
      </c>
      <c r="G4082" s="2" t="s">
        <v>4801</v>
      </c>
    </row>
    <row r="4083">
      <c r="A4083" s="2" t="s">
        <v>4807</v>
      </c>
      <c r="B4083" s="2" t="s">
        <v>5120</v>
      </c>
      <c r="D4083" s="2" t="s">
        <v>4800</v>
      </c>
      <c r="G4083" s="2" t="s">
        <v>4801</v>
      </c>
    </row>
    <row r="4084">
      <c r="A4084" s="2" t="s">
        <v>4807</v>
      </c>
      <c r="B4084" s="2" t="s">
        <v>5121</v>
      </c>
      <c r="D4084" s="2" t="s">
        <v>4800</v>
      </c>
      <c r="G4084" s="2" t="s">
        <v>4801</v>
      </c>
    </row>
    <row r="4085">
      <c r="A4085" s="2" t="s">
        <v>4807</v>
      </c>
      <c r="B4085" s="2" t="s">
        <v>5122</v>
      </c>
      <c r="D4085" s="2" t="s">
        <v>4800</v>
      </c>
      <c r="G4085" s="2" t="s">
        <v>4801</v>
      </c>
    </row>
    <row r="4086">
      <c r="A4086" s="2" t="s">
        <v>4807</v>
      </c>
      <c r="B4086" s="2" t="s">
        <v>5123</v>
      </c>
      <c r="D4086" s="2" t="s">
        <v>4800</v>
      </c>
      <c r="G4086" s="2" t="s">
        <v>4801</v>
      </c>
    </row>
    <row r="4087">
      <c r="A4087" s="2" t="s">
        <v>4807</v>
      </c>
      <c r="B4087" s="2" t="s">
        <v>5124</v>
      </c>
      <c r="D4087" s="2" t="s">
        <v>4800</v>
      </c>
      <c r="G4087" s="2" t="s">
        <v>4801</v>
      </c>
    </row>
    <row r="4088">
      <c r="A4088" s="2" t="s">
        <v>4807</v>
      </c>
      <c r="B4088" s="2" t="s">
        <v>5125</v>
      </c>
      <c r="D4088" s="2" t="s">
        <v>4800</v>
      </c>
      <c r="G4088" s="2" t="s">
        <v>4801</v>
      </c>
    </row>
    <row r="4089">
      <c r="A4089" s="2" t="s">
        <v>4807</v>
      </c>
      <c r="B4089" s="2" t="s">
        <v>5126</v>
      </c>
      <c r="D4089" s="2" t="s">
        <v>4800</v>
      </c>
      <c r="G4089" s="2" t="s">
        <v>4801</v>
      </c>
    </row>
    <row r="4090">
      <c r="A4090" s="2" t="s">
        <v>4807</v>
      </c>
      <c r="B4090" s="2" t="s">
        <v>5127</v>
      </c>
      <c r="D4090" s="2" t="s">
        <v>4800</v>
      </c>
      <c r="G4090" s="2" t="s">
        <v>4801</v>
      </c>
    </row>
    <row r="4091">
      <c r="A4091" s="2" t="s">
        <v>4807</v>
      </c>
      <c r="B4091" s="2" t="s">
        <v>4838</v>
      </c>
      <c r="D4091" s="2" t="s">
        <v>4800</v>
      </c>
      <c r="G4091" s="2" t="s">
        <v>4801</v>
      </c>
    </row>
    <row r="4092">
      <c r="A4092" s="2" t="s">
        <v>4807</v>
      </c>
      <c r="B4092" s="2" t="s">
        <v>5128</v>
      </c>
      <c r="D4092" s="2" t="s">
        <v>4800</v>
      </c>
      <c r="G4092" s="2" t="s">
        <v>4801</v>
      </c>
    </row>
    <row r="4093">
      <c r="A4093" s="2" t="s">
        <v>4807</v>
      </c>
      <c r="B4093" s="2" t="s">
        <v>5129</v>
      </c>
      <c r="D4093" s="2" t="s">
        <v>4800</v>
      </c>
      <c r="G4093" s="2" t="s">
        <v>4801</v>
      </c>
    </row>
    <row r="4094">
      <c r="A4094" s="2" t="s">
        <v>4807</v>
      </c>
      <c r="B4094" s="2" t="s">
        <v>5130</v>
      </c>
      <c r="D4094" s="2" t="s">
        <v>4800</v>
      </c>
      <c r="G4094" s="2" t="s">
        <v>4801</v>
      </c>
    </row>
    <row r="4095">
      <c r="A4095" s="2" t="s">
        <v>4807</v>
      </c>
      <c r="B4095" s="2" t="s">
        <v>5131</v>
      </c>
      <c r="D4095" s="2" t="s">
        <v>4800</v>
      </c>
      <c r="G4095" s="2" t="s">
        <v>4801</v>
      </c>
    </row>
    <row r="4096">
      <c r="A4096" s="2" t="s">
        <v>4807</v>
      </c>
      <c r="B4096" s="2" t="s">
        <v>5132</v>
      </c>
      <c r="D4096" s="2" t="s">
        <v>4800</v>
      </c>
      <c r="G4096" s="2" t="s">
        <v>4801</v>
      </c>
    </row>
    <row r="4097">
      <c r="A4097" s="2" t="s">
        <v>4807</v>
      </c>
      <c r="B4097" s="2" t="s">
        <v>5133</v>
      </c>
      <c r="D4097" s="2" t="s">
        <v>4800</v>
      </c>
      <c r="G4097" s="2" t="s">
        <v>4801</v>
      </c>
    </row>
    <row r="4098">
      <c r="A4098" s="2" t="s">
        <v>4807</v>
      </c>
      <c r="B4098" s="2" t="s">
        <v>5134</v>
      </c>
      <c r="D4098" s="2" t="s">
        <v>4800</v>
      </c>
      <c r="G4098" s="2" t="s">
        <v>4801</v>
      </c>
    </row>
    <row r="4099">
      <c r="A4099" s="2" t="s">
        <v>4807</v>
      </c>
      <c r="B4099" s="2" t="s">
        <v>5135</v>
      </c>
      <c r="D4099" s="2" t="s">
        <v>4800</v>
      </c>
      <c r="G4099" s="2" t="s">
        <v>4801</v>
      </c>
    </row>
    <row r="4100">
      <c r="A4100" s="2" t="s">
        <v>4807</v>
      </c>
      <c r="B4100" s="2" t="s">
        <v>5136</v>
      </c>
      <c r="D4100" s="2" t="s">
        <v>4800</v>
      </c>
      <c r="G4100" s="2" t="s">
        <v>4801</v>
      </c>
    </row>
    <row r="4101">
      <c r="A4101" s="2" t="s">
        <v>4807</v>
      </c>
      <c r="B4101" s="2" t="s">
        <v>5137</v>
      </c>
      <c r="D4101" s="2" t="s">
        <v>4800</v>
      </c>
      <c r="G4101" s="2" t="s">
        <v>4801</v>
      </c>
    </row>
    <row r="4102">
      <c r="A4102" s="2" t="s">
        <v>4807</v>
      </c>
      <c r="B4102" s="2" t="s">
        <v>5138</v>
      </c>
      <c r="D4102" s="2" t="s">
        <v>4800</v>
      </c>
      <c r="G4102" s="2" t="s">
        <v>4801</v>
      </c>
    </row>
    <row r="4103">
      <c r="A4103" s="2" t="s">
        <v>4807</v>
      </c>
      <c r="B4103" s="2" t="s">
        <v>5139</v>
      </c>
      <c r="D4103" s="2" t="s">
        <v>4800</v>
      </c>
      <c r="G4103" s="2" t="s">
        <v>4801</v>
      </c>
    </row>
    <row r="4104">
      <c r="A4104" s="2" t="s">
        <v>4807</v>
      </c>
      <c r="B4104" s="2" t="s">
        <v>5140</v>
      </c>
      <c r="D4104" s="2" t="s">
        <v>4800</v>
      </c>
      <c r="G4104" s="2" t="s">
        <v>4801</v>
      </c>
    </row>
    <row r="4105">
      <c r="A4105" s="2" t="s">
        <v>4807</v>
      </c>
      <c r="B4105" s="2" t="s">
        <v>5141</v>
      </c>
      <c r="D4105" s="2" t="s">
        <v>4800</v>
      </c>
      <c r="G4105" s="2" t="s">
        <v>4801</v>
      </c>
    </row>
    <row r="4106">
      <c r="A4106" s="2" t="s">
        <v>4807</v>
      </c>
      <c r="B4106" s="2" t="s">
        <v>5142</v>
      </c>
      <c r="D4106" s="2" t="s">
        <v>4800</v>
      </c>
      <c r="G4106" s="2" t="s">
        <v>4801</v>
      </c>
    </row>
    <row r="4107">
      <c r="A4107" s="2" t="s">
        <v>4807</v>
      </c>
      <c r="B4107" s="2" t="s">
        <v>5143</v>
      </c>
      <c r="D4107" s="2" t="s">
        <v>4800</v>
      </c>
      <c r="G4107" s="2" t="s">
        <v>4801</v>
      </c>
    </row>
    <row r="4108">
      <c r="A4108" s="2" t="s">
        <v>4807</v>
      </c>
      <c r="B4108" s="2" t="s">
        <v>5144</v>
      </c>
      <c r="D4108" s="2" t="s">
        <v>4800</v>
      </c>
      <c r="G4108" s="2" t="s">
        <v>4801</v>
      </c>
    </row>
    <row r="4109">
      <c r="A4109" s="2" t="s">
        <v>4807</v>
      </c>
      <c r="B4109" s="2" t="s">
        <v>5145</v>
      </c>
      <c r="D4109" s="2" t="s">
        <v>4800</v>
      </c>
      <c r="G4109" s="2" t="s">
        <v>4801</v>
      </c>
    </row>
    <row r="4110">
      <c r="A4110" s="2" t="s">
        <v>4807</v>
      </c>
      <c r="B4110" s="2" t="s">
        <v>5146</v>
      </c>
      <c r="D4110" s="2" t="s">
        <v>4800</v>
      </c>
      <c r="G4110" s="2" t="s">
        <v>4801</v>
      </c>
    </row>
    <row r="4111">
      <c r="A4111" s="2" t="s">
        <v>4807</v>
      </c>
      <c r="B4111" s="2" t="s">
        <v>5147</v>
      </c>
      <c r="D4111" s="2" t="s">
        <v>4800</v>
      </c>
      <c r="G4111" s="2" t="s">
        <v>4801</v>
      </c>
    </row>
    <row r="4112">
      <c r="A4112" s="2" t="s">
        <v>4807</v>
      </c>
      <c r="B4112" s="2" t="s">
        <v>5148</v>
      </c>
      <c r="D4112" s="2" t="s">
        <v>4800</v>
      </c>
      <c r="G4112" s="2" t="s">
        <v>4801</v>
      </c>
    </row>
    <row r="4113">
      <c r="A4113" s="2" t="s">
        <v>4807</v>
      </c>
      <c r="B4113" s="2" t="s">
        <v>5149</v>
      </c>
      <c r="D4113" s="2" t="s">
        <v>4800</v>
      </c>
      <c r="G4113" s="2" t="s">
        <v>4801</v>
      </c>
    </row>
    <row r="4114">
      <c r="A4114" s="2" t="s">
        <v>4807</v>
      </c>
      <c r="B4114" s="2" t="s">
        <v>5150</v>
      </c>
      <c r="D4114" s="2" t="s">
        <v>4800</v>
      </c>
      <c r="G4114" s="2" t="s">
        <v>4801</v>
      </c>
    </row>
    <row r="4115">
      <c r="A4115" s="2" t="s">
        <v>4807</v>
      </c>
      <c r="B4115" s="2" t="s">
        <v>5151</v>
      </c>
      <c r="D4115" s="2" t="s">
        <v>4800</v>
      </c>
      <c r="G4115" s="2" t="s">
        <v>4801</v>
      </c>
    </row>
    <row r="4116">
      <c r="A4116" s="2" t="s">
        <v>4807</v>
      </c>
      <c r="B4116" s="2" t="s">
        <v>5152</v>
      </c>
      <c r="D4116" s="2" t="s">
        <v>4800</v>
      </c>
      <c r="G4116" s="2" t="s">
        <v>4801</v>
      </c>
    </row>
    <row r="4117">
      <c r="A4117" s="2" t="s">
        <v>4807</v>
      </c>
      <c r="B4117" s="2" t="s">
        <v>5153</v>
      </c>
      <c r="D4117" s="2" t="s">
        <v>4800</v>
      </c>
      <c r="G4117" s="2" t="s">
        <v>4801</v>
      </c>
    </row>
    <row r="4118">
      <c r="A4118" s="2" t="s">
        <v>4807</v>
      </c>
      <c r="B4118" s="2" t="s">
        <v>5154</v>
      </c>
      <c r="D4118" s="2" t="s">
        <v>4800</v>
      </c>
      <c r="G4118" s="2" t="s">
        <v>4801</v>
      </c>
    </row>
    <row r="4119">
      <c r="A4119" s="2" t="s">
        <v>4807</v>
      </c>
      <c r="B4119" s="2" t="s">
        <v>5155</v>
      </c>
      <c r="D4119" s="2" t="s">
        <v>4800</v>
      </c>
      <c r="G4119" s="2" t="s">
        <v>4801</v>
      </c>
    </row>
    <row r="4120">
      <c r="A4120" s="2" t="s">
        <v>4807</v>
      </c>
      <c r="B4120" s="2" t="s">
        <v>5156</v>
      </c>
      <c r="D4120" s="2" t="s">
        <v>4800</v>
      </c>
      <c r="G4120" s="2" t="s">
        <v>4801</v>
      </c>
    </row>
    <row r="4121">
      <c r="A4121" s="2" t="s">
        <v>4807</v>
      </c>
      <c r="B4121" s="2" t="s">
        <v>5157</v>
      </c>
      <c r="D4121" s="2" t="s">
        <v>4800</v>
      </c>
      <c r="G4121" s="2" t="s">
        <v>4801</v>
      </c>
    </row>
    <row r="4122">
      <c r="A4122" s="2" t="s">
        <v>4807</v>
      </c>
      <c r="B4122" s="2" t="s">
        <v>5158</v>
      </c>
      <c r="D4122" s="2" t="s">
        <v>4800</v>
      </c>
      <c r="G4122" s="2" t="s">
        <v>4801</v>
      </c>
    </row>
    <row r="4123">
      <c r="A4123" s="2" t="s">
        <v>4807</v>
      </c>
      <c r="B4123" s="2" t="s">
        <v>5159</v>
      </c>
      <c r="D4123" s="2" t="s">
        <v>4800</v>
      </c>
      <c r="G4123" s="2" t="s">
        <v>4801</v>
      </c>
    </row>
    <row r="4124">
      <c r="A4124" s="2" t="s">
        <v>4807</v>
      </c>
      <c r="B4124" s="2" t="s">
        <v>5160</v>
      </c>
      <c r="D4124" s="2" t="s">
        <v>4800</v>
      </c>
      <c r="G4124" s="2" t="s">
        <v>4801</v>
      </c>
    </row>
    <row r="4125">
      <c r="A4125" s="2" t="s">
        <v>4807</v>
      </c>
      <c r="B4125" s="2" t="s">
        <v>5161</v>
      </c>
      <c r="D4125" s="2" t="s">
        <v>4800</v>
      </c>
      <c r="G4125" s="2" t="s">
        <v>4801</v>
      </c>
    </row>
    <row r="4126">
      <c r="A4126" s="2" t="s">
        <v>4807</v>
      </c>
      <c r="B4126" s="2" t="s">
        <v>5162</v>
      </c>
      <c r="D4126" s="2" t="s">
        <v>4800</v>
      </c>
      <c r="G4126" s="2" t="s">
        <v>4801</v>
      </c>
    </row>
    <row r="4127">
      <c r="A4127" s="2" t="s">
        <v>4807</v>
      </c>
      <c r="B4127" s="2" t="s">
        <v>5163</v>
      </c>
      <c r="D4127" s="2" t="s">
        <v>4800</v>
      </c>
      <c r="G4127" s="2" t="s">
        <v>4801</v>
      </c>
    </row>
    <row r="4128">
      <c r="A4128" s="2" t="s">
        <v>4807</v>
      </c>
      <c r="B4128" s="2" t="s">
        <v>5164</v>
      </c>
      <c r="D4128" s="2" t="s">
        <v>4800</v>
      </c>
      <c r="G4128" s="2" t="s">
        <v>4801</v>
      </c>
    </row>
    <row r="4129">
      <c r="A4129" s="2" t="s">
        <v>4807</v>
      </c>
      <c r="B4129" s="2" t="s">
        <v>5165</v>
      </c>
      <c r="D4129" s="2" t="s">
        <v>4800</v>
      </c>
      <c r="G4129" s="2" t="s">
        <v>4801</v>
      </c>
    </row>
    <row r="4130">
      <c r="A4130" s="2" t="s">
        <v>4807</v>
      </c>
      <c r="B4130" s="2" t="s">
        <v>5166</v>
      </c>
      <c r="D4130" s="2" t="s">
        <v>4800</v>
      </c>
      <c r="G4130" s="2" t="s">
        <v>4801</v>
      </c>
    </row>
    <row r="4131">
      <c r="A4131" s="2" t="s">
        <v>4807</v>
      </c>
      <c r="B4131" s="2" t="s">
        <v>5167</v>
      </c>
      <c r="D4131" s="2" t="s">
        <v>4800</v>
      </c>
      <c r="G4131" s="2" t="s">
        <v>4801</v>
      </c>
    </row>
    <row r="4132">
      <c r="A4132" s="2" t="s">
        <v>4807</v>
      </c>
      <c r="B4132" s="2" t="s">
        <v>5168</v>
      </c>
      <c r="D4132" s="2" t="s">
        <v>4800</v>
      </c>
      <c r="G4132" s="2" t="s">
        <v>4801</v>
      </c>
    </row>
    <row r="4133">
      <c r="A4133" s="2" t="s">
        <v>4807</v>
      </c>
      <c r="B4133" s="2" t="s">
        <v>5169</v>
      </c>
      <c r="D4133" s="2" t="s">
        <v>4800</v>
      </c>
      <c r="G4133" s="2" t="s">
        <v>4801</v>
      </c>
    </row>
    <row r="4134">
      <c r="A4134" s="2" t="s">
        <v>4807</v>
      </c>
      <c r="B4134" s="2" t="s">
        <v>5170</v>
      </c>
      <c r="D4134" s="2" t="s">
        <v>4800</v>
      </c>
      <c r="G4134" s="2" t="s">
        <v>4801</v>
      </c>
    </row>
    <row r="4135">
      <c r="A4135" s="2" t="s">
        <v>4807</v>
      </c>
      <c r="B4135" s="2" t="s">
        <v>5171</v>
      </c>
      <c r="D4135" s="2" t="s">
        <v>4800</v>
      </c>
      <c r="G4135" s="2" t="s">
        <v>4801</v>
      </c>
    </row>
    <row r="4136">
      <c r="A4136" s="2" t="s">
        <v>4807</v>
      </c>
      <c r="B4136" s="2" t="s">
        <v>5172</v>
      </c>
      <c r="D4136" s="2" t="s">
        <v>4800</v>
      </c>
      <c r="G4136" s="2" t="s">
        <v>4801</v>
      </c>
    </row>
    <row r="4137">
      <c r="A4137" s="2" t="s">
        <v>4807</v>
      </c>
      <c r="B4137" s="2" t="s">
        <v>5173</v>
      </c>
      <c r="D4137" s="2" t="s">
        <v>4800</v>
      </c>
      <c r="G4137" s="2" t="s">
        <v>4801</v>
      </c>
    </row>
    <row r="4138">
      <c r="A4138" s="2" t="s">
        <v>4807</v>
      </c>
      <c r="B4138" s="2" t="s">
        <v>5174</v>
      </c>
      <c r="D4138" s="2" t="s">
        <v>4800</v>
      </c>
      <c r="G4138" s="2" t="s">
        <v>4801</v>
      </c>
    </row>
    <row r="4139">
      <c r="A4139" s="2" t="s">
        <v>4807</v>
      </c>
      <c r="B4139" s="2" t="s">
        <v>5175</v>
      </c>
      <c r="D4139" s="2" t="s">
        <v>4800</v>
      </c>
      <c r="G4139" s="2" t="s">
        <v>4801</v>
      </c>
    </row>
    <row r="4140">
      <c r="A4140" s="2" t="s">
        <v>4807</v>
      </c>
      <c r="B4140" s="2" t="s">
        <v>5176</v>
      </c>
      <c r="D4140" s="2" t="s">
        <v>4800</v>
      </c>
      <c r="G4140" s="2" t="s">
        <v>4801</v>
      </c>
    </row>
    <row r="4141">
      <c r="A4141" s="2" t="s">
        <v>4807</v>
      </c>
      <c r="B4141" s="2" t="s">
        <v>5177</v>
      </c>
      <c r="D4141" s="2" t="s">
        <v>4800</v>
      </c>
      <c r="G4141" s="2" t="s">
        <v>4801</v>
      </c>
    </row>
    <row r="4142">
      <c r="A4142" s="2" t="s">
        <v>4807</v>
      </c>
      <c r="B4142" s="2" t="s">
        <v>5178</v>
      </c>
      <c r="D4142" s="2" t="s">
        <v>4800</v>
      </c>
      <c r="G4142" s="2" t="s">
        <v>4801</v>
      </c>
    </row>
    <row r="4143">
      <c r="A4143" s="2" t="s">
        <v>4807</v>
      </c>
      <c r="B4143" s="2" t="s">
        <v>5179</v>
      </c>
      <c r="D4143" s="2" t="s">
        <v>4800</v>
      </c>
      <c r="G4143" s="2" t="s">
        <v>4801</v>
      </c>
    </row>
    <row r="4144">
      <c r="A4144" s="2" t="s">
        <v>4807</v>
      </c>
      <c r="B4144" s="2" t="s">
        <v>5180</v>
      </c>
      <c r="D4144" s="2" t="s">
        <v>4800</v>
      </c>
      <c r="G4144" s="2" t="s">
        <v>4801</v>
      </c>
    </row>
    <row r="4145">
      <c r="A4145" s="2" t="s">
        <v>4807</v>
      </c>
      <c r="B4145" s="2" t="s">
        <v>5181</v>
      </c>
      <c r="D4145" s="2" t="s">
        <v>4800</v>
      </c>
      <c r="G4145" s="2" t="s">
        <v>4801</v>
      </c>
    </row>
    <row r="4146">
      <c r="A4146" s="2" t="s">
        <v>4807</v>
      </c>
      <c r="B4146" s="2" t="s">
        <v>5182</v>
      </c>
      <c r="D4146" s="2" t="s">
        <v>4800</v>
      </c>
      <c r="G4146" s="2" t="s">
        <v>4801</v>
      </c>
    </row>
    <row r="4147">
      <c r="A4147" s="2" t="s">
        <v>4807</v>
      </c>
      <c r="B4147" s="2" t="s">
        <v>5183</v>
      </c>
      <c r="D4147" s="2" t="s">
        <v>4800</v>
      </c>
      <c r="G4147" s="2" t="s">
        <v>4801</v>
      </c>
    </row>
    <row r="4148">
      <c r="A4148" s="2" t="s">
        <v>4807</v>
      </c>
      <c r="B4148" s="2" t="s">
        <v>5184</v>
      </c>
      <c r="D4148" s="2" t="s">
        <v>4800</v>
      </c>
      <c r="G4148" s="2" t="s">
        <v>4801</v>
      </c>
    </row>
    <row r="4149">
      <c r="A4149" s="2" t="s">
        <v>4807</v>
      </c>
      <c r="B4149" s="2" t="s">
        <v>5185</v>
      </c>
      <c r="D4149" s="2" t="s">
        <v>4800</v>
      </c>
      <c r="G4149" s="2" t="s">
        <v>4801</v>
      </c>
    </row>
    <row r="4150">
      <c r="A4150" s="2" t="s">
        <v>4807</v>
      </c>
      <c r="B4150" s="2" t="s">
        <v>5186</v>
      </c>
      <c r="D4150" s="2" t="s">
        <v>4800</v>
      </c>
      <c r="G4150" s="2" t="s">
        <v>4801</v>
      </c>
    </row>
    <row r="4151">
      <c r="A4151" s="2" t="s">
        <v>4807</v>
      </c>
      <c r="B4151" s="2" t="s">
        <v>5187</v>
      </c>
      <c r="D4151" s="2" t="s">
        <v>4800</v>
      </c>
      <c r="G4151" s="2" t="s">
        <v>4801</v>
      </c>
    </row>
    <row r="4152">
      <c r="A4152" s="2" t="s">
        <v>4807</v>
      </c>
      <c r="B4152" s="2" t="s">
        <v>5188</v>
      </c>
      <c r="D4152" s="2" t="s">
        <v>4800</v>
      </c>
      <c r="G4152" s="2" t="s">
        <v>4801</v>
      </c>
    </row>
    <row r="4153">
      <c r="A4153" s="2" t="s">
        <v>4807</v>
      </c>
      <c r="B4153" s="2" t="s">
        <v>5189</v>
      </c>
      <c r="D4153" s="2" t="s">
        <v>4800</v>
      </c>
      <c r="G4153" s="2" t="s">
        <v>4801</v>
      </c>
    </row>
    <row r="4154">
      <c r="A4154" s="2" t="s">
        <v>4807</v>
      </c>
      <c r="B4154" s="2" t="s">
        <v>5190</v>
      </c>
      <c r="D4154" s="2" t="s">
        <v>4800</v>
      </c>
      <c r="G4154" s="2" t="s">
        <v>4801</v>
      </c>
    </row>
    <row r="4155">
      <c r="A4155" s="2" t="s">
        <v>4807</v>
      </c>
      <c r="B4155" s="2" t="s">
        <v>5191</v>
      </c>
      <c r="D4155" s="2" t="s">
        <v>4800</v>
      </c>
      <c r="G4155" s="2" t="s">
        <v>4801</v>
      </c>
    </row>
    <row r="4156">
      <c r="A4156" s="2" t="s">
        <v>4807</v>
      </c>
      <c r="B4156" s="2" t="s">
        <v>5192</v>
      </c>
      <c r="D4156" s="2" t="s">
        <v>4800</v>
      </c>
      <c r="G4156" s="2" t="s">
        <v>4801</v>
      </c>
    </row>
    <row r="4157">
      <c r="A4157" s="2" t="s">
        <v>4807</v>
      </c>
      <c r="B4157" s="2" t="s">
        <v>5193</v>
      </c>
      <c r="D4157" s="2" t="s">
        <v>4800</v>
      </c>
      <c r="G4157" s="2" t="s">
        <v>4801</v>
      </c>
    </row>
    <row r="4158">
      <c r="A4158" s="2" t="s">
        <v>4807</v>
      </c>
      <c r="B4158" s="2" t="s">
        <v>5194</v>
      </c>
      <c r="D4158" s="2" t="s">
        <v>4800</v>
      </c>
      <c r="G4158" s="2" t="s">
        <v>4801</v>
      </c>
    </row>
    <row r="4159">
      <c r="A4159" s="2" t="s">
        <v>4807</v>
      </c>
      <c r="B4159" s="2" t="s">
        <v>5195</v>
      </c>
      <c r="D4159" s="2" t="s">
        <v>4800</v>
      </c>
      <c r="G4159" s="2" t="s">
        <v>4801</v>
      </c>
    </row>
    <row r="4160">
      <c r="A4160" s="2" t="s">
        <v>4807</v>
      </c>
      <c r="B4160" s="2" t="s">
        <v>5196</v>
      </c>
      <c r="D4160" s="2" t="s">
        <v>4800</v>
      </c>
      <c r="G4160" s="2" t="s">
        <v>4801</v>
      </c>
    </row>
    <row r="4161">
      <c r="A4161" s="2" t="s">
        <v>4807</v>
      </c>
      <c r="B4161" s="2" t="s">
        <v>5197</v>
      </c>
      <c r="D4161" s="2" t="s">
        <v>4800</v>
      </c>
      <c r="G4161" s="2" t="s">
        <v>4801</v>
      </c>
    </row>
    <row r="4162">
      <c r="A4162" s="2" t="s">
        <v>4807</v>
      </c>
      <c r="B4162" s="2" t="s">
        <v>5198</v>
      </c>
      <c r="D4162" s="2" t="s">
        <v>4800</v>
      </c>
      <c r="G4162" s="2" t="s">
        <v>4801</v>
      </c>
    </row>
    <row r="4163">
      <c r="A4163" s="2" t="s">
        <v>4807</v>
      </c>
      <c r="B4163" s="2" t="s">
        <v>5199</v>
      </c>
      <c r="D4163" s="2" t="s">
        <v>4800</v>
      </c>
      <c r="G4163" s="2" t="s">
        <v>4801</v>
      </c>
    </row>
    <row r="4164">
      <c r="A4164" s="2" t="s">
        <v>4807</v>
      </c>
      <c r="B4164" s="2" t="s">
        <v>5200</v>
      </c>
      <c r="D4164" s="2" t="s">
        <v>4800</v>
      </c>
      <c r="G4164" s="2" t="s">
        <v>4801</v>
      </c>
    </row>
    <row r="4165">
      <c r="A4165" s="2" t="s">
        <v>4807</v>
      </c>
      <c r="B4165" s="2" t="s">
        <v>5201</v>
      </c>
      <c r="D4165" s="2" t="s">
        <v>4800</v>
      </c>
      <c r="G4165" s="2" t="s">
        <v>4801</v>
      </c>
    </row>
    <row r="4166">
      <c r="A4166" s="2" t="s">
        <v>4807</v>
      </c>
      <c r="B4166" s="2" t="s">
        <v>5202</v>
      </c>
      <c r="D4166" s="2" t="s">
        <v>4800</v>
      </c>
      <c r="G4166" s="2" t="s">
        <v>4801</v>
      </c>
    </row>
    <row r="4167">
      <c r="A4167" s="2" t="s">
        <v>4807</v>
      </c>
      <c r="B4167" s="2" t="s">
        <v>5203</v>
      </c>
      <c r="D4167" s="2" t="s">
        <v>4800</v>
      </c>
      <c r="G4167" s="2" t="s">
        <v>4801</v>
      </c>
    </row>
    <row r="4168">
      <c r="A4168" s="2" t="s">
        <v>4807</v>
      </c>
      <c r="B4168" s="2" t="s">
        <v>5204</v>
      </c>
      <c r="D4168" s="2" t="s">
        <v>4800</v>
      </c>
      <c r="G4168" s="2" t="s">
        <v>4801</v>
      </c>
    </row>
    <row r="4169">
      <c r="A4169" s="2" t="s">
        <v>4807</v>
      </c>
      <c r="B4169" s="2" t="s">
        <v>5205</v>
      </c>
      <c r="D4169" s="2" t="s">
        <v>4800</v>
      </c>
      <c r="G4169" s="2" t="s">
        <v>4801</v>
      </c>
    </row>
    <row r="4170">
      <c r="A4170" s="2" t="s">
        <v>4807</v>
      </c>
      <c r="B4170" s="2" t="s">
        <v>5206</v>
      </c>
      <c r="D4170" s="2" t="s">
        <v>4800</v>
      </c>
      <c r="G4170" s="2" t="s">
        <v>4801</v>
      </c>
    </row>
    <row r="4171">
      <c r="A4171" s="2" t="s">
        <v>4807</v>
      </c>
      <c r="B4171" s="2" t="s">
        <v>5207</v>
      </c>
      <c r="D4171" s="2" t="s">
        <v>4800</v>
      </c>
      <c r="G4171" s="2" t="s">
        <v>4801</v>
      </c>
    </row>
    <row r="4172">
      <c r="A4172" s="2" t="s">
        <v>4807</v>
      </c>
      <c r="B4172" s="2" t="s">
        <v>5208</v>
      </c>
      <c r="D4172" s="2" t="s">
        <v>4800</v>
      </c>
      <c r="G4172" s="2" t="s">
        <v>4801</v>
      </c>
    </row>
    <row r="4173">
      <c r="A4173" s="2" t="s">
        <v>4807</v>
      </c>
      <c r="B4173" s="2" t="s">
        <v>5209</v>
      </c>
      <c r="D4173" s="2" t="s">
        <v>4800</v>
      </c>
      <c r="G4173" s="2" t="s">
        <v>4801</v>
      </c>
    </row>
    <row r="4174">
      <c r="A4174" s="2" t="s">
        <v>4807</v>
      </c>
      <c r="B4174" s="2" t="s">
        <v>5210</v>
      </c>
      <c r="D4174" s="2" t="s">
        <v>4800</v>
      </c>
      <c r="G4174" s="2" t="s">
        <v>4801</v>
      </c>
    </row>
    <row r="4175">
      <c r="A4175" s="2" t="s">
        <v>4807</v>
      </c>
      <c r="B4175" s="2" t="s">
        <v>5211</v>
      </c>
      <c r="D4175" s="2" t="s">
        <v>4800</v>
      </c>
      <c r="G4175" s="2" t="s">
        <v>4801</v>
      </c>
    </row>
    <row r="4176">
      <c r="A4176" s="2" t="s">
        <v>4807</v>
      </c>
      <c r="B4176" s="2" t="s">
        <v>5212</v>
      </c>
      <c r="D4176" s="2" t="s">
        <v>4800</v>
      </c>
      <c r="G4176" s="2" t="s">
        <v>4801</v>
      </c>
    </row>
    <row r="4177">
      <c r="A4177" s="2" t="s">
        <v>4807</v>
      </c>
      <c r="B4177" s="2" t="s">
        <v>5213</v>
      </c>
      <c r="D4177" s="2" t="s">
        <v>4800</v>
      </c>
      <c r="G4177" s="2" t="s">
        <v>4801</v>
      </c>
    </row>
    <row r="4178">
      <c r="A4178" s="2" t="s">
        <v>4807</v>
      </c>
      <c r="B4178" s="2" t="s">
        <v>5214</v>
      </c>
      <c r="D4178" s="2" t="s">
        <v>4800</v>
      </c>
      <c r="G4178" s="2" t="s">
        <v>4801</v>
      </c>
    </row>
    <row r="4179">
      <c r="A4179" s="2" t="s">
        <v>4807</v>
      </c>
      <c r="B4179" s="2" t="s">
        <v>5215</v>
      </c>
      <c r="D4179" s="2" t="s">
        <v>4800</v>
      </c>
      <c r="G4179" s="2" t="s">
        <v>4801</v>
      </c>
    </row>
    <row r="4180">
      <c r="A4180" s="2" t="s">
        <v>4807</v>
      </c>
      <c r="B4180" s="2" t="s">
        <v>5216</v>
      </c>
      <c r="D4180" s="2" t="s">
        <v>4800</v>
      </c>
      <c r="G4180" s="2" t="s">
        <v>4801</v>
      </c>
    </row>
    <row r="4181">
      <c r="A4181" s="2" t="s">
        <v>4807</v>
      </c>
      <c r="B4181" s="2" t="s">
        <v>5217</v>
      </c>
      <c r="D4181" s="2" t="s">
        <v>4800</v>
      </c>
      <c r="G4181" s="2" t="s">
        <v>4801</v>
      </c>
    </row>
    <row r="4182">
      <c r="A4182" s="2" t="s">
        <v>4807</v>
      </c>
      <c r="B4182" s="2" t="s">
        <v>5218</v>
      </c>
      <c r="D4182" s="2" t="s">
        <v>4800</v>
      </c>
      <c r="G4182" s="2" t="s">
        <v>4801</v>
      </c>
    </row>
    <row r="4183">
      <c r="A4183" s="2" t="s">
        <v>4807</v>
      </c>
      <c r="B4183" s="2" t="s">
        <v>5219</v>
      </c>
      <c r="D4183" s="2" t="s">
        <v>4800</v>
      </c>
      <c r="G4183" s="2" t="s">
        <v>4801</v>
      </c>
    </row>
    <row r="4184">
      <c r="A4184" s="2" t="s">
        <v>4807</v>
      </c>
      <c r="B4184" s="2" t="s">
        <v>5220</v>
      </c>
      <c r="D4184" s="2" t="s">
        <v>4800</v>
      </c>
      <c r="G4184" s="2" t="s">
        <v>4801</v>
      </c>
    </row>
    <row r="4185">
      <c r="A4185" s="2" t="s">
        <v>4807</v>
      </c>
      <c r="B4185" s="2" t="s">
        <v>5221</v>
      </c>
      <c r="D4185" s="2" t="s">
        <v>4800</v>
      </c>
      <c r="G4185" s="2" t="s">
        <v>4801</v>
      </c>
    </row>
    <row r="4186">
      <c r="A4186" s="2" t="s">
        <v>4807</v>
      </c>
      <c r="B4186" s="2" t="s">
        <v>5222</v>
      </c>
      <c r="D4186" s="2" t="s">
        <v>4800</v>
      </c>
      <c r="G4186" s="2" t="s">
        <v>4801</v>
      </c>
    </row>
    <row r="4187">
      <c r="A4187" s="2" t="s">
        <v>4807</v>
      </c>
      <c r="B4187" s="2" t="s">
        <v>5223</v>
      </c>
      <c r="D4187" s="2" t="s">
        <v>4800</v>
      </c>
      <c r="G4187" s="2" t="s">
        <v>4801</v>
      </c>
    </row>
    <row r="4188">
      <c r="A4188" s="2" t="s">
        <v>4807</v>
      </c>
      <c r="B4188" s="2" t="s">
        <v>5224</v>
      </c>
      <c r="D4188" s="2" t="s">
        <v>4800</v>
      </c>
      <c r="G4188" s="2" t="s">
        <v>4801</v>
      </c>
    </row>
    <row r="4189">
      <c r="A4189" s="2" t="s">
        <v>4807</v>
      </c>
      <c r="B4189" s="2" t="s">
        <v>5225</v>
      </c>
      <c r="D4189" s="2" t="s">
        <v>4800</v>
      </c>
      <c r="G4189" s="2" t="s">
        <v>4801</v>
      </c>
    </row>
    <row r="4190">
      <c r="A4190" s="2" t="s">
        <v>4807</v>
      </c>
      <c r="B4190" s="2" t="s">
        <v>5226</v>
      </c>
      <c r="D4190" s="2" t="s">
        <v>4800</v>
      </c>
      <c r="G4190" s="2" t="s">
        <v>4801</v>
      </c>
    </row>
    <row r="4191">
      <c r="A4191" s="2" t="s">
        <v>4807</v>
      </c>
      <c r="B4191" s="2" t="s">
        <v>5227</v>
      </c>
      <c r="D4191" s="2" t="s">
        <v>4800</v>
      </c>
      <c r="G4191" s="2" t="s">
        <v>4801</v>
      </c>
    </row>
    <row r="4192">
      <c r="A4192" s="2" t="s">
        <v>4807</v>
      </c>
      <c r="B4192" s="2" t="s">
        <v>5228</v>
      </c>
      <c r="D4192" s="2" t="s">
        <v>4800</v>
      </c>
      <c r="G4192" s="2" t="s">
        <v>4801</v>
      </c>
    </row>
    <row r="4193">
      <c r="A4193" s="2" t="s">
        <v>4807</v>
      </c>
      <c r="B4193" s="2" t="s">
        <v>5229</v>
      </c>
      <c r="D4193" s="2" t="s">
        <v>4800</v>
      </c>
      <c r="G4193" s="2" t="s">
        <v>4801</v>
      </c>
    </row>
    <row r="4194">
      <c r="A4194" s="2" t="s">
        <v>4807</v>
      </c>
      <c r="B4194" s="2" t="s">
        <v>5230</v>
      </c>
      <c r="D4194" s="2" t="s">
        <v>4800</v>
      </c>
      <c r="G4194" s="2" t="s">
        <v>4801</v>
      </c>
    </row>
    <row r="4195">
      <c r="A4195" s="2" t="s">
        <v>4807</v>
      </c>
      <c r="B4195" s="2" t="s">
        <v>5231</v>
      </c>
      <c r="D4195" s="2" t="s">
        <v>4800</v>
      </c>
      <c r="G4195" s="2" t="s">
        <v>4801</v>
      </c>
    </row>
    <row r="4196">
      <c r="A4196" s="2" t="s">
        <v>4807</v>
      </c>
      <c r="B4196" s="2" t="s">
        <v>5232</v>
      </c>
      <c r="D4196" s="2" t="s">
        <v>4800</v>
      </c>
      <c r="G4196" s="2" t="s">
        <v>4801</v>
      </c>
    </row>
    <row r="4197">
      <c r="A4197" s="2" t="s">
        <v>4807</v>
      </c>
      <c r="B4197" s="2" t="s">
        <v>5233</v>
      </c>
      <c r="D4197" s="2" t="s">
        <v>4800</v>
      </c>
      <c r="G4197" s="2" t="s">
        <v>4801</v>
      </c>
    </row>
    <row r="4198">
      <c r="A4198" s="2" t="s">
        <v>4807</v>
      </c>
      <c r="B4198" s="2" t="s">
        <v>5234</v>
      </c>
      <c r="D4198" s="2" t="s">
        <v>4800</v>
      </c>
      <c r="G4198" s="2" t="s">
        <v>4801</v>
      </c>
    </row>
    <row r="4199">
      <c r="A4199" s="2" t="s">
        <v>4807</v>
      </c>
      <c r="B4199" s="2" t="s">
        <v>5235</v>
      </c>
      <c r="D4199" s="2" t="s">
        <v>4800</v>
      </c>
      <c r="G4199" s="2" t="s">
        <v>4801</v>
      </c>
    </row>
    <row r="4200">
      <c r="A4200" s="2" t="s">
        <v>4807</v>
      </c>
      <c r="B4200" s="2" t="s">
        <v>5236</v>
      </c>
      <c r="D4200" s="2" t="s">
        <v>4800</v>
      </c>
      <c r="G4200" s="2" t="s">
        <v>4801</v>
      </c>
    </row>
    <row r="4201">
      <c r="A4201" s="2" t="s">
        <v>4807</v>
      </c>
      <c r="B4201" s="2" t="s">
        <v>5237</v>
      </c>
      <c r="D4201" s="2" t="s">
        <v>4800</v>
      </c>
      <c r="G4201" s="2" t="s">
        <v>4801</v>
      </c>
    </row>
    <row r="4202">
      <c r="A4202" s="2" t="s">
        <v>4807</v>
      </c>
      <c r="B4202" s="2" t="s">
        <v>5238</v>
      </c>
      <c r="D4202" s="2" t="s">
        <v>4800</v>
      </c>
      <c r="G4202" s="2" t="s">
        <v>4801</v>
      </c>
    </row>
    <row r="4203">
      <c r="A4203" s="2" t="s">
        <v>4807</v>
      </c>
      <c r="B4203" s="2" t="s">
        <v>5239</v>
      </c>
      <c r="D4203" s="2" t="s">
        <v>4800</v>
      </c>
      <c r="G4203" s="2" t="s">
        <v>4801</v>
      </c>
    </row>
    <row r="4204">
      <c r="A4204" s="2" t="s">
        <v>4807</v>
      </c>
      <c r="B4204" s="2" t="s">
        <v>5240</v>
      </c>
      <c r="D4204" s="2" t="s">
        <v>4800</v>
      </c>
      <c r="G4204" s="2" t="s">
        <v>4801</v>
      </c>
    </row>
    <row r="4205">
      <c r="A4205" s="2" t="s">
        <v>4807</v>
      </c>
      <c r="B4205" s="2" t="s">
        <v>5239</v>
      </c>
      <c r="D4205" s="2" t="s">
        <v>4800</v>
      </c>
      <c r="G4205" s="2" t="s">
        <v>4801</v>
      </c>
    </row>
    <row r="4206">
      <c r="A4206" s="2" t="s">
        <v>4807</v>
      </c>
      <c r="B4206" s="2" t="s">
        <v>5130</v>
      </c>
      <c r="D4206" s="2" t="s">
        <v>4800</v>
      </c>
      <c r="G4206" s="2" t="s">
        <v>4801</v>
      </c>
    </row>
    <row r="4207">
      <c r="A4207" s="2" t="s">
        <v>4807</v>
      </c>
      <c r="B4207" s="2" t="s">
        <v>5239</v>
      </c>
      <c r="D4207" s="2" t="s">
        <v>4800</v>
      </c>
      <c r="G4207" s="2" t="s">
        <v>4801</v>
      </c>
    </row>
    <row r="4208">
      <c r="A4208" s="2" t="s">
        <v>4807</v>
      </c>
      <c r="B4208" s="2" t="s">
        <v>4880</v>
      </c>
      <c r="D4208" s="2" t="s">
        <v>4800</v>
      </c>
      <c r="G4208" s="2" t="s">
        <v>4801</v>
      </c>
    </row>
    <row r="4209">
      <c r="A4209" s="2" t="s">
        <v>4807</v>
      </c>
      <c r="B4209" s="2" t="s">
        <v>5239</v>
      </c>
      <c r="D4209" s="2" t="s">
        <v>4800</v>
      </c>
      <c r="G4209" s="2" t="s">
        <v>4801</v>
      </c>
    </row>
    <row r="4210">
      <c r="A4210" s="2" t="s">
        <v>4807</v>
      </c>
      <c r="B4210" s="2" t="s">
        <v>4840</v>
      </c>
      <c r="D4210" s="2" t="s">
        <v>4800</v>
      </c>
      <c r="G4210" s="2" t="s">
        <v>4801</v>
      </c>
    </row>
    <row r="4211">
      <c r="A4211" s="2" t="s">
        <v>4807</v>
      </c>
      <c r="B4211" s="2" t="s">
        <v>5239</v>
      </c>
      <c r="D4211" s="2" t="s">
        <v>4800</v>
      </c>
      <c r="G4211" s="2" t="s">
        <v>4801</v>
      </c>
    </row>
    <row r="4212">
      <c r="A4212" s="2" t="s">
        <v>4807</v>
      </c>
      <c r="B4212" s="2" t="s">
        <v>5241</v>
      </c>
      <c r="D4212" s="2" t="s">
        <v>4800</v>
      </c>
      <c r="G4212" s="2" t="s">
        <v>4801</v>
      </c>
    </row>
    <row r="4213">
      <c r="A4213" s="2" t="s">
        <v>4807</v>
      </c>
      <c r="B4213" s="2" t="s">
        <v>5239</v>
      </c>
      <c r="D4213" s="2" t="s">
        <v>4800</v>
      </c>
      <c r="G4213" s="2" t="s">
        <v>4801</v>
      </c>
    </row>
    <row r="4214">
      <c r="A4214" s="2" t="s">
        <v>4807</v>
      </c>
      <c r="B4214" s="2" t="s">
        <v>5242</v>
      </c>
      <c r="D4214" s="2" t="s">
        <v>4800</v>
      </c>
      <c r="G4214" s="2" t="s">
        <v>4801</v>
      </c>
    </row>
    <row r="4215">
      <c r="A4215" s="2" t="s">
        <v>4807</v>
      </c>
      <c r="B4215" s="2" t="s">
        <v>5239</v>
      </c>
      <c r="D4215" s="2" t="s">
        <v>4800</v>
      </c>
      <c r="G4215" s="2" t="s">
        <v>4801</v>
      </c>
    </row>
    <row r="4216">
      <c r="A4216" s="2" t="s">
        <v>4807</v>
      </c>
      <c r="B4216" s="2" t="s">
        <v>5243</v>
      </c>
      <c r="D4216" s="2" t="s">
        <v>4800</v>
      </c>
      <c r="G4216" s="2" t="s">
        <v>4801</v>
      </c>
    </row>
    <row r="4217">
      <c r="A4217" s="2" t="s">
        <v>4807</v>
      </c>
      <c r="B4217" s="2" t="s">
        <v>5244</v>
      </c>
      <c r="D4217" s="2" t="s">
        <v>4800</v>
      </c>
      <c r="G4217" s="2" t="s">
        <v>4801</v>
      </c>
    </row>
    <row r="4218">
      <c r="A4218" s="2" t="s">
        <v>4807</v>
      </c>
      <c r="B4218" s="2" t="s">
        <v>5245</v>
      </c>
      <c r="D4218" s="2" t="s">
        <v>4800</v>
      </c>
      <c r="G4218" s="2" t="s">
        <v>4801</v>
      </c>
    </row>
    <row r="4219">
      <c r="A4219" s="2" t="s">
        <v>4807</v>
      </c>
      <c r="B4219" s="2" t="s">
        <v>5246</v>
      </c>
      <c r="D4219" s="2" t="s">
        <v>4800</v>
      </c>
      <c r="G4219" s="2" t="s">
        <v>4801</v>
      </c>
    </row>
    <row r="4220">
      <c r="A4220" s="2" t="s">
        <v>4807</v>
      </c>
      <c r="B4220" s="2" t="s">
        <v>5247</v>
      </c>
      <c r="D4220" s="2" t="s">
        <v>4800</v>
      </c>
      <c r="G4220" s="2" t="s">
        <v>4801</v>
      </c>
    </row>
    <row r="4221">
      <c r="A4221" s="2" t="s">
        <v>4807</v>
      </c>
      <c r="B4221" s="2" t="s">
        <v>5248</v>
      </c>
      <c r="D4221" s="2" t="s">
        <v>4800</v>
      </c>
      <c r="G4221" s="2" t="s">
        <v>4801</v>
      </c>
    </row>
    <row r="4222">
      <c r="A4222" s="2" t="s">
        <v>4807</v>
      </c>
      <c r="B4222" s="2" t="s">
        <v>5249</v>
      </c>
      <c r="D4222" s="2" t="s">
        <v>4800</v>
      </c>
      <c r="G4222" s="2" t="s">
        <v>4801</v>
      </c>
    </row>
    <row r="4223">
      <c r="A4223" s="2" t="s">
        <v>4807</v>
      </c>
      <c r="B4223" s="2" t="s">
        <v>5240</v>
      </c>
      <c r="D4223" s="2" t="s">
        <v>4800</v>
      </c>
      <c r="G4223" s="2" t="s">
        <v>4801</v>
      </c>
    </row>
    <row r="4224">
      <c r="A4224" s="2" t="s">
        <v>4807</v>
      </c>
      <c r="B4224" s="2" t="s">
        <v>5250</v>
      </c>
      <c r="D4224" s="2" t="s">
        <v>4800</v>
      </c>
      <c r="G4224" s="2" t="s">
        <v>4801</v>
      </c>
    </row>
    <row r="4225">
      <c r="A4225" s="2" t="s">
        <v>4807</v>
      </c>
      <c r="B4225" s="2" t="s">
        <v>5251</v>
      </c>
      <c r="D4225" s="2" t="s">
        <v>4800</v>
      </c>
      <c r="G4225" s="2" t="s">
        <v>4801</v>
      </c>
    </row>
    <row r="4226">
      <c r="A4226" s="2" t="s">
        <v>4807</v>
      </c>
      <c r="B4226" s="2" t="s">
        <v>5252</v>
      </c>
      <c r="D4226" s="2" t="s">
        <v>4800</v>
      </c>
      <c r="G4226" s="2" t="s">
        <v>4801</v>
      </c>
    </row>
    <row r="4227">
      <c r="A4227" s="2" t="s">
        <v>4807</v>
      </c>
      <c r="B4227" s="2" t="s">
        <v>5253</v>
      </c>
      <c r="D4227" s="2" t="s">
        <v>4800</v>
      </c>
      <c r="G4227" s="2" t="s">
        <v>4801</v>
      </c>
    </row>
    <row r="4228">
      <c r="A4228" s="2" t="s">
        <v>4807</v>
      </c>
      <c r="B4228" s="2" t="s">
        <v>5254</v>
      </c>
      <c r="D4228" s="2" t="s">
        <v>4800</v>
      </c>
      <c r="G4228" s="2" t="s">
        <v>4801</v>
      </c>
    </row>
    <row r="4229">
      <c r="A4229" s="2" t="s">
        <v>4807</v>
      </c>
      <c r="B4229" s="2" t="s">
        <v>5255</v>
      </c>
      <c r="D4229" s="2" t="s">
        <v>4800</v>
      </c>
      <c r="G4229" s="2" t="s">
        <v>4801</v>
      </c>
    </row>
    <row r="4230">
      <c r="A4230" s="2" t="s">
        <v>4807</v>
      </c>
      <c r="B4230" s="2" t="s">
        <v>5256</v>
      </c>
      <c r="D4230" s="2" t="s">
        <v>4800</v>
      </c>
      <c r="G4230" s="2" t="s">
        <v>4801</v>
      </c>
    </row>
    <row r="4231">
      <c r="A4231" s="2" t="s">
        <v>4807</v>
      </c>
      <c r="B4231" s="2" t="s">
        <v>5257</v>
      </c>
      <c r="D4231" s="2" t="s">
        <v>4800</v>
      </c>
      <c r="G4231" s="2" t="s">
        <v>4801</v>
      </c>
    </row>
    <row r="4232">
      <c r="A4232" s="2" t="s">
        <v>4807</v>
      </c>
      <c r="B4232" s="2" t="s">
        <v>5258</v>
      </c>
      <c r="D4232" s="2" t="s">
        <v>4800</v>
      </c>
      <c r="G4232" s="2" t="s">
        <v>4801</v>
      </c>
    </row>
    <row r="4233">
      <c r="A4233" s="2" t="s">
        <v>4807</v>
      </c>
      <c r="B4233" s="2" t="s">
        <v>5259</v>
      </c>
      <c r="D4233" s="2" t="s">
        <v>4800</v>
      </c>
      <c r="G4233" s="2" t="s">
        <v>4801</v>
      </c>
    </row>
    <row r="4234">
      <c r="A4234" s="2" t="s">
        <v>4807</v>
      </c>
      <c r="B4234" s="2" t="s">
        <v>5260</v>
      </c>
      <c r="D4234" s="2" t="s">
        <v>4800</v>
      </c>
      <c r="G4234" s="2" t="s">
        <v>4801</v>
      </c>
    </row>
    <row r="4235">
      <c r="A4235" s="2" t="s">
        <v>4807</v>
      </c>
      <c r="B4235" s="2" t="s">
        <v>5261</v>
      </c>
      <c r="D4235" s="2" t="s">
        <v>4800</v>
      </c>
      <c r="G4235" s="2" t="s">
        <v>4801</v>
      </c>
    </row>
    <row r="4236">
      <c r="A4236" s="2" t="s">
        <v>4807</v>
      </c>
      <c r="B4236" s="2" t="s">
        <v>5262</v>
      </c>
      <c r="D4236" s="2" t="s">
        <v>4800</v>
      </c>
      <c r="G4236" s="2" t="s">
        <v>4801</v>
      </c>
    </row>
    <row r="4237">
      <c r="A4237" s="2" t="s">
        <v>4807</v>
      </c>
      <c r="B4237" s="2" t="s">
        <v>5263</v>
      </c>
      <c r="D4237" s="2" t="s">
        <v>4800</v>
      </c>
      <c r="G4237" s="2" t="s">
        <v>4801</v>
      </c>
    </row>
    <row r="4238">
      <c r="A4238" s="2" t="s">
        <v>4807</v>
      </c>
      <c r="B4238" s="2" t="s">
        <v>5264</v>
      </c>
      <c r="D4238" s="2" t="s">
        <v>4800</v>
      </c>
      <c r="G4238" s="2" t="s">
        <v>4801</v>
      </c>
    </row>
    <row r="4239">
      <c r="A4239" s="2" t="s">
        <v>4807</v>
      </c>
      <c r="B4239" s="2" t="s">
        <v>5265</v>
      </c>
      <c r="D4239" s="2" t="s">
        <v>4800</v>
      </c>
      <c r="G4239" s="2" t="s">
        <v>4801</v>
      </c>
    </row>
    <row r="4240">
      <c r="A4240" s="2" t="s">
        <v>4807</v>
      </c>
      <c r="B4240" s="2" t="s">
        <v>5266</v>
      </c>
      <c r="D4240" s="2" t="s">
        <v>4800</v>
      </c>
      <c r="G4240" s="2" t="s">
        <v>4801</v>
      </c>
    </row>
    <row r="4241">
      <c r="A4241" s="2" t="s">
        <v>4807</v>
      </c>
      <c r="B4241" s="2" t="s">
        <v>5267</v>
      </c>
      <c r="D4241" s="2" t="s">
        <v>4800</v>
      </c>
      <c r="G4241" s="2" t="s">
        <v>4801</v>
      </c>
    </row>
    <row r="4242">
      <c r="A4242" s="2" t="s">
        <v>4807</v>
      </c>
      <c r="B4242" s="2" t="s">
        <v>5268</v>
      </c>
      <c r="D4242" s="2" t="s">
        <v>4800</v>
      </c>
      <c r="G4242" s="2" t="s">
        <v>4801</v>
      </c>
    </row>
    <row r="4243">
      <c r="A4243" s="2" t="s">
        <v>4807</v>
      </c>
      <c r="B4243" s="2" t="s">
        <v>5269</v>
      </c>
      <c r="D4243" s="2" t="s">
        <v>4800</v>
      </c>
      <c r="G4243" s="2" t="s">
        <v>4801</v>
      </c>
    </row>
    <row r="4244">
      <c r="A4244" s="2" t="s">
        <v>4807</v>
      </c>
      <c r="B4244" s="2" t="s">
        <v>5270</v>
      </c>
      <c r="D4244" s="2" t="s">
        <v>4800</v>
      </c>
      <c r="G4244" s="2" t="s">
        <v>4801</v>
      </c>
    </row>
    <row r="4245">
      <c r="A4245" s="2" t="s">
        <v>4807</v>
      </c>
      <c r="B4245" s="2" t="s">
        <v>5271</v>
      </c>
      <c r="D4245" s="2" t="s">
        <v>4800</v>
      </c>
      <c r="G4245" s="2" t="s">
        <v>4801</v>
      </c>
    </row>
    <row r="4246">
      <c r="A4246" s="2" t="s">
        <v>4807</v>
      </c>
      <c r="B4246" s="2" t="s">
        <v>5272</v>
      </c>
      <c r="D4246" s="2" t="s">
        <v>4800</v>
      </c>
      <c r="G4246" s="2" t="s">
        <v>4801</v>
      </c>
    </row>
    <row r="4247">
      <c r="A4247" s="2" t="s">
        <v>4807</v>
      </c>
      <c r="B4247" s="2" t="s">
        <v>5273</v>
      </c>
      <c r="D4247" s="2" t="s">
        <v>4800</v>
      </c>
      <c r="G4247" s="2" t="s">
        <v>4801</v>
      </c>
    </row>
    <row r="4248">
      <c r="A4248" s="2" t="s">
        <v>4807</v>
      </c>
      <c r="B4248" s="2" t="s">
        <v>5274</v>
      </c>
      <c r="D4248" s="2" t="s">
        <v>4800</v>
      </c>
      <c r="G4248" s="2" t="s">
        <v>4801</v>
      </c>
    </row>
    <row r="4249">
      <c r="A4249" s="2" t="s">
        <v>4807</v>
      </c>
      <c r="B4249" s="2" t="s">
        <v>5275</v>
      </c>
      <c r="D4249" s="2" t="s">
        <v>4800</v>
      </c>
      <c r="G4249" s="2" t="s">
        <v>4801</v>
      </c>
    </row>
    <row r="4250">
      <c r="A4250" s="2" t="s">
        <v>4807</v>
      </c>
      <c r="B4250" s="2" t="s">
        <v>5276</v>
      </c>
      <c r="D4250" s="2" t="s">
        <v>4800</v>
      </c>
      <c r="G4250" s="2" t="s">
        <v>4801</v>
      </c>
    </row>
    <row r="4251">
      <c r="A4251" s="2" t="s">
        <v>4807</v>
      </c>
      <c r="B4251" s="2" t="s">
        <v>5277</v>
      </c>
      <c r="D4251" s="2" t="s">
        <v>4800</v>
      </c>
      <c r="G4251" s="2" t="s">
        <v>4801</v>
      </c>
    </row>
    <row r="4252">
      <c r="A4252" s="2" t="s">
        <v>4807</v>
      </c>
      <c r="B4252" s="2" t="s">
        <v>5278</v>
      </c>
      <c r="D4252" s="2" t="s">
        <v>4800</v>
      </c>
      <c r="G4252" s="2" t="s">
        <v>4801</v>
      </c>
    </row>
    <row r="4253">
      <c r="A4253" s="2" t="s">
        <v>4807</v>
      </c>
      <c r="B4253" s="2" t="s">
        <v>5279</v>
      </c>
      <c r="D4253" s="2" t="s">
        <v>4800</v>
      </c>
      <c r="G4253" s="2" t="s">
        <v>4801</v>
      </c>
    </row>
    <row r="4254">
      <c r="A4254" s="2" t="s">
        <v>4807</v>
      </c>
      <c r="B4254" s="2" t="s">
        <v>5280</v>
      </c>
      <c r="D4254" s="2" t="s">
        <v>4800</v>
      </c>
      <c r="G4254" s="2" t="s">
        <v>4801</v>
      </c>
    </row>
    <row r="4255">
      <c r="A4255" s="2" t="s">
        <v>4807</v>
      </c>
      <c r="B4255" s="2" t="s">
        <v>5281</v>
      </c>
      <c r="D4255" s="2" t="s">
        <v>4800</v>
      </c>
      <c r="G4255" s="2" t="s">
        <v>4801</v>
      </c>
    </row>
    <row r="4256">
      <c r="A4256" s="2" t="s">
        <v>4807</v>
      </c>
      <c r="B4256" s="2" t="s">
        <v>5282</v>
      </c>
      <c r="D4256" s="2" t="s">
        <v>4800</v>
      </c>
      <c r="G4256" s="2" t="s">
        <v>4801</v>
      </c>
    </row>
    <row r="4257">
      <c r="A4257" s="2" t="s">
        <v>4807</v>
      </c>
      <c r="B4257" s="2" t="s">
        <v>5283</v>
      </c>
      <c r="D4257" s="2" t="s">
        <v>4800</v>
      </c>
      <c r="G4257" s="2" t="s">
        <v>4801</v>
      </c>
    </row>
    <row r="4258">
      <c r="A4258" s="2" t="s">
        <v>4807</v>
      </c>
      <c r="B4258" s="2" t="s">
        <v>5284</v>
      </c>
      <c r="D4258" s="2" t="s">
        <v>4800</v>
      </c>
      <c r="G4258" s="2" t="s">
        <v>4801</v>
      </c>
    </row>
    <row r="4259">
      <c r="A4259" s="2" t="s">
        <v>4807</v>
      </c>
      <c r="B4259" s="2" t="s">
        <v>5285</v>
      </c>
      <c r="D4259" s="2" t="s">
        <v>4800</v>
      </c>
      <c r="G4259" s="2" t="s">
        <v>4801</v>
      </c>
    </row>
    <row r="4260">
      <c r="A4260" s="2" t="s">
        <v>4807</v>
      </c>
      <c r="B4260" s="2" t="s">
        <v>5286</v>
      </c>
      <c r="D4260" s="2" t="s">
        <v>4800</v>
      </c>
      <c r="G4260" s="2" t="s">
        <v>4801</v>
      </c>
    </row>
    <row r="4261">
      <c r="A4261" s="2" t="s">
        <v>4807</v>
      </c>
      <c r="B4261" s="2" t="s">
        <v>5287</v>
      </c>
      <c r="D4261" s="2" t="s">
        <v>4800</v>
      </c>
      <c r="G4261" s="2" t="s">
        <v>4801</v>
      </c>
    </row>
    <row r="4262">
      <c r="A4262" s="2" t="s">
        <v>4807</v>
      </c>
      <c r="B4262" s="2" t="s">
        <v>5288</v>
      </c>
      <c r="D4262" s="2" t="s">
        <v>4800</v>
      </c>
      <c r="G4262" s="2" t="s">
        <v>4801</v>
      </c>
    </row>
    <row r="4263">
      <c r="A4263" s="2" t="s">
        <v>4807</v>
      </c>
      <c r="B4263" s="2" t="s">
        <v>5289</v>
      </c>
      <c r="D4263" s="2" t="s">
        <v>4800</v>
      </c>
      <c r="G4263" s="2" t="s">
        <v>4801</v>
      </c>
    </row>
    <row r="4264">
      <c r="A4264" s="2" t="s">
        <v>4807</v>
      </c>
      <c r="B4264" s="2" t="s">
        <v>5290</v>
      </c>
      <c r="D4264" s="2" t="s">
        <v>4800</v>
      </c>
      <c r="G4264" s="2" t="s">
        <v>4801</v>
      </c>
    </row>
    <row r="4265">
      <c r="A4265" s="2" t="s">
        <v>4807</v>
      </c>
      <c r="B4265" s="2" t="s">
        <v>5291</v>
      </c>
      <c r="D4265" s="2" t="s">
        <v>4800</v>
      </c>
      <c r="G4265" s="2" t="s">
        <v>4801</v>
      </c>
    </row>
    <row r="4266">
      <c r="A4266" s="2" t="s">
        <v>4807</v>
      </c>
      <c r="B4266" s="2" t="s">
        <v>5292</v>
      </c>
      <c r="D4266" s="2" t="s">
        <v>4800</v>
      </c>
      <c r="G4266" s="2" t="s">
        <v>4801</v>
      </c>
    </row>
    <row r="4267">
      <c r="A4267" s="2" t="s">
        <v>4807</v>
      </c>
      <c r="B4267" s="2" t="s">
        <v>5293</v>
      </c>
      <c r="D4267" s="2" t="s">
        <v>4800</v>
      </c>
      <c r="G4267" s="2" t="s">
        <v>4801</v>
      </c>
    </row>
    <row r="4268">
      <c r="A4268" s="2" t="s">
        <v>4807</v>
      </c>
      <c r="B4268" s="2" t="s">
        <v>5294</v>
      </c>
      <c r="D4268" s="2" t="s">
        <v>4800</v>
      </c>
      <c r="G4268" s="2" t="s">
        <v>4801</v>
      </c>
    </row>
    <row r="4269">
      <c r="A4269" s="2" t="s">
        <v>4807</v>
      </c>
      <c r="B4269" s="2" t="s">
        <v>5295</v>
      </c>
      <c r="D4269" s="2" t="s">
        <v>4800</v>
      </c>
      <c r="G4269" s="2" t="s">
        <v>4801</v>
      </c>
    </row>
    <row r="4270">
      <c r="A4270" s="2" t="s">
        <v>4807</v>
      </c>
      <c r="B4270" s="2" t="s">
        <v>5296</v>
      </c>
      <c r="D4270" s="2" t="s">
        <v>4800</v>
      </c>
      <c r="G4270" s="2" t="s">
        <v>4801</v>
      </c>
    </row>
    <row r="4271">
      <c r="A4271" s="2" t="s">
        <v>4807</v>
      </c>
      <c r="B4271" s="2" t="s">
        <v>5297</v>
      </c>
      <c r="D4271" s="2" t="s">
        <v>4800</v>
      </c>
      <c r="G4271" s="2" t="s">
        <v>4801</v>
      </c>
    </row>
    <row r="4272">
      <c r="A4272" s="2" t="s">
        <v>4807</v>
      </c>
      <c r="B4272" s="2" t="s">
        <v>5298</v>
      </c>
      <c r="D4272" s="2" t="s">
        <v>4800</v>
      </c>
      <c r="G4272" s="2" t="s">
        <v>4801</v>
      </c>
    </row>
    <row r="4273">
      <c r="A4273" s="2" t="s">
        <v>4807</v>
      </c>
      <c r="B4273" s="2" t="s">
        <v>5299</v>
      </c>
      <c r="D4273" s="2" t="s">
        <v>4800</v>
      </c>
      <c r="G4273" s="2" t="s">
        <v>4801</v>
      </c>
    </row>
    <row r="4274">
      <c r="A4274" s="2" t="s">
        <v>4807</v>
      </c>
      <c r="B4274" s="2" t="s">
        <v>5300</v>
      </c>
      <c r="D4274" s="2" t="s">
        <v>4800</v>
      </c>
      <c r="G4274" s="2" t="s">
        <v>4801</v>
      </c>
    </row>
    <row r="4275">
      <c r="A4275" s="2" t="s">
        <v>4807</v>
      </c>
      <c r="B4275" s="2" t="s">
        <v>5301</v>
      </c>
      <c r="D4275" s="2" t="s">
        <v>4800</v>
      </c>
      <c r="G4275" s="2" t="s">
        <v>4801</v>
      </c>
    </row>
    <row r="4276">
      <c r="A4276" s="2" t="s">
        <v>4807</v>
      </c>
      <c r="B4276" s="2" t="s">
        <v>5302</v>
      </c>
      <c r="D4276" s="2" t="s">
        <v>4800</v>
      </c>
      <c r="G4276" s="2" t="s">
        <v>4801</v>
      </c>
    </row>
    <row r="4277">
      <c r="A4277" s="2" t="s">
        <v>4807</v>
      </c>
      <c r="B4277" s="2" t="s">
        <v>5303</v>
      </c>
      <c r="D4277" s="2" t="s">
        <v>4800</v>
      </c>
      <c r="G4277" s="2" t="s">
        <v>4801</v>
      </c>
    </row>
    <row r="4278">
      <c r="A4278" s="2" t="s">
        <v>4807</v>
      </c>
      <c r="B4278" s="2" t="s">
        <v>5304</v>
      </c>
      <c r="D4278" s="2" t="s">
        <v>4800</v>
      </c>
      <c r="G4278" s="2" t="s">
        <v>4801</v>
      </c>
    </row>
    <row r="4279">
      <c r="A4279" s="2" t="s">
        <v>4807</v>
      </c>
      <c r="B4279" s="2" t="s">
        <v>5305</v>
      </c>
      <c r="D4279" s="2" t="s">
        <v>4800</v>
      </c>
      <c r="G4279" s="2" t="s">
        <v>4801</v>
      </c>
    </row>
    <row r="4280">
      <c r="A4280" s="2" t="s">
        <v>4807</v>
      </c>
      <c r="B4280" s="2" t="s">
        <v>5306</v>
      </c>
      <c r="D4280" s="2" t="s">
        <v>4800</v>
      </c>
      <c r="G4280" s="2" t="s">
        <v>4801</v>
      </c>
    </row>
    <row r="4281">
      <c r="A4281" s="2" t="s">
        <v>4807</v>
      </c>
      <c r="B4281" s="2" t="s">
        <v>5307</v>
      </c>
      <c r="D4281" s="2" t="s">
        <v>4800</v>
      </c>
      <c r="G4281" s="2" t="s">
        <v>4801</v>
      </c>
    </row>
    <row r="4282">
      <c r="A4282" s="2" t="s">
        <v>4807</v>
      </c>
      <c r="B4282" s="2" t="s">
        <v>5308</v>
      </c>
      <c r="D4282" s="2" t="s">
        <v>4800</v>
      </c>
      <c r="G4282" s="2" t="s">
        <v>4801</v>
      </c>
    </row>
    <row r="4283">
      <c r="A4283" s="2" t="s">
        <v>4807</v>
      </c>
      <c r="B4283" s="2" t="s">
        <v>5309</v>
      </c>
      <c r="D4283" s="2" t="s">
        <v>4800</v>
      </c>
      <c r="G4283" s="2" t="s">
        <v>4801</v>
      </c>
    </row>
    <row r="4284">
      <c r="A4284" s="2" t="s">
        <v>4807</v>
      </c>
      <c r="B4284" s="2" t="s">
        <v>5310</v>
      </c>
      <c r="D4284" s="2" t="s">
        <v>4800</v>
      </c>
      <c r="G4284" s="2" t="s">
        <v>4801</v>
      </c>
    </row>
    <row r="4285">
      <c r="A4285" s="2" t="s">
        <v>4807</v>
      </c>
      <c r="B4285" s="2" t="s">
        <v>5311</v>
      </c>
      <c r="D4285" s="2" t="s">
        <v>4800</v>
      </c>
      <c r="G4285" s="2" t="s">
        <v>4801</v>
      </c>
    </row>
    <row r="4286">
      <c r="A4286" s="2" t="s">
        <v>4807</v>
      </c>
      <c r="B4286" s="2" t="s">
        <v>5312</v>
      </c>
      <c r="D4286" s="2" t="s">
        <v>4800</v>
      </c>
      <c r="G4286" s="2" t="s">
        <v>4801</v>
      </c>
    </row>
    <row r="4287">
      <c r="A4287" s="2" t="s">
        <v>4807</v>
      </c>
      <c r="B4287" s="2" t="s">
        <v>5313</v>
      </c>
      <c r="D4287" s="2" t="s">
        <v>4800</v>
      </c>
      <c r="G4287" s="2" t="s">
        <v>4801</v>
      </c>
    </row>
    <row r="4288">
      <c r="A4288" s="2" t="s">
        <v>4807</v>
      </c>
      <c r="B4288" s="2" t="s">
        <v>5314</v>
      </c>
      <c r="D4288" s="2" t="s">
        <v>4800</v>
      </c>
      <c r="G4288" s="2" t="s">
        <v>4801</v>
      </c>
    </row>
    <row r="4289">
      <c r="A4289" s="2" t="s">
        <v>4807</v>
      </c>
      <c r="B4289" s="2" t="s">
        <v>5315</v>
      </c>
      <c r="D4289" s="2" t="s">
        <v>4800</v>
      </c>
      <c r="G4289" s="2" t="s">
        <v>4801</v>
      </c>
    </row>
    <row r="4290">
      <c r="A4290" s="2" t="s">
        <v>4807</v>
      </c>
      <c r="B4290" s="2" t="s">
        <v>5316</v>
      </c>
      <c r="D4290" s="2" t="s">
        <v>4800</v>
      </c>
      <c r="G4290" s="2" t="s">
        <v>4801</v>
      </c>
    </row>
    <row r="4291">
      <c r="A4291" s="2" t="s">
        <v>4807</v>
      </c>
      <c r="B4291" s="2" t="s">
        <v>5317</v>
      </c>
      <c r="D4291" s="2" t="s">
        <v>4800</v>
      </c>
      <c r="G4291" s="2" t="s">
        <v>4801</v>
      </c>
    </row>
    <row r="4292">
      <c r="A4292" s="2" t="s">
        <v>4807</v>
      </c>
      <c r="B4292" s="2" t="s">
        <v>5318</v>
      </c>
      <c r="D4292" s="2" t="s">
        <v>4800</v>
      </c>
      <c r="G4292" s="2" t="s">
        <v>4801</v>
      </c>
    </row>
    <row r="4293">
      <c r="A4293" s="2" t="s">
        <v>4807</v>
      </c>
      <c r="B4293" s="2" t="s">
        <v>5319</v>
      </c>
      <c r="D4293" s="2" t="s">
        <v>4800</v>
      </c>
      <c r="G4293" s="2" t="s">
        <v>4801</v>
      </c>
    </row>
    <row r="4294">
      <c r="A4294" s="2" t="s">
        <v>4807</v>
      </c>
      <c r="B4294" s="2" t="s">
        <v>5320</v>
      </c>
      <c r="D4294" s="2" t="s">
        <v>4800</v>
      </c>
      <c r="G4294" s="2" t="s">
        <v>4801</v>
      </c>
    </row>
    <row r="4295">
      <c r="A4295" s="2" t="s">
        <v>4807</v>
      </c>
      <c r="B4295" s="2" t="s">
        <v>4880</v>
      </c>
      <c r="D4295" s="2" t="s">
        <v>4800</v>
      </c>
      <c r="G4295" s="2" t="s">
        <v>4801</v>
      </c>
    </row>
    <row r="4296">
      <c r="A4296" s="2" t="s">
        <v>4807</v>
      </c>
      <c r="B4296" s="2" t="s">
        <v>5321</v>
      </c>
      <c r="D4296" s="2" t="s">
        <v>4800</v>
      </c>
      <c r="G4296" s="2" t="s">
        <v>4801</v>
      </c>
    </row>
    <row r="4297">
      <c r="A4297" s="2" t="s">
        <v>4807</v>
      </c>
      <c r="B4297" s="2" t="s">
        <v>5322</v>
      </c>
      <c r="D4297" s="2" t="s">
        <v>4800</v>
      </c>
      <c r="G4297" s="2" t="s">
        <v>4801</v>
      </c>
    </row>
    <row r="4298">
      <c r="A4298" s="2" t="s">
        <v>4807</v>
      </c>
      <c r="B4298" s="2" t="s">
        <v>5323</v>
      </c>
      <c r="D4298" s="2" t="s">
        <v>4800</v>
      </c>
      <c r="G4298" s="2" t="s">
        <v>4801</v>
      </c>
    </row>
    <row r="4299">
      <c r="A4299" s="2" t="s">
        <v>4807</v>
      </c>
      <c r="B4299" s="2" t="s">
        <v>5324</v>
      </c>
      <c r="D4299" s="2" t="s">
        <v>4800</v>
      </c>
      <c r="G4299" s="2" t="s">
        <v>4801</v>
      </c>
    </row>
    <row r="4300">
      <c r="A4300" s="2" t="s">
        <v>4807</v>
      </c>
      <c r="B4300" s="2" t="s">
        <v>5325</v>
      </c>
      <c r="D4300" s="2" t="s">
        <v>4800</v>
      </c>
      <c r="G4300" s="2" t="s">
        <v>4801</v>
      </c>
    </row>
    <row r="4301">
      <c r="A4301" s="2" t="s">
        <v>4807</v>
      </c>
      <c r="B4301" s="2" t="s">
        <v>5326</v>
      </c>
      <c r="D4301" s="2" t="s">
        <v>4800</v>
      </c>
      <c r="G4301" s="2" t="s">
        <v>4801</v>
      </c>
    </row>
    <row r="4302">
      <c r="A4302" s="2" t="s">
        <v>4807</v>
      </c>
      <c r="B4302" s="2" t="s">
        <v>5327</v>
      </c>
      <c r="D4302" s="2" t="s">
        <v>4800</v>
      </c>
      <c r="G4302" s="2" t="s">
        <v>4801</v>
      </c>
    </row>
    <row r="4303">
      <c r="A4303" s="2" t="s">
        <v>4807</v>
      </c>
      <c r="B4303" s="2" t="s">
        <v>5328</v>
      </c>
      <c r="D4303" s="2" t="s">
        <v>4800</v>
      </c>
      <c r="G4303" s="2" t="s">
        <v>4801</v>
      </c>
    </row>
    <row r="4304">
      <c r="A4304" s="2" t="s">
        <v>4807</v>
      </c>
      <c r="B4304" s="2" t="s">
        <v>5329</v>
      </c>
      <c r="D4304" s="2" t="s">
        <v>4800</v>
      </c>
      <c r="G4304" s="2" t="s">
        <v>4801</v>
      </c>
    </row>
    <row r="4305">
      <c r="A4305" s="2" t="s">
        <v>4807</v>
      </c>
      <c r="B4305" s="2" t="s">
        <v>5330</v>
      </c>
      <c r="D4305" s="2" t="s">
        <v>4800</v>
      </c>
      <c r="G4305" s="2" t="s">
        <v>4801</v>
      </c>
    </row>
    <row r="4306">
      <c r="A4306" s="2" t="s">
        <v>4807</v>
      </c>
      <c r="B4306" s="2" t="s">
        <v>5331</v>
      </c>
      <c r="D4306" s="2" t="s">
        <v>4800</v>
      </c>
      <c r="G4306" s="2" t="s">
        <v>4801</v>
      </c>
    </row>
    <row r="4307">
      <c r="A4307" s="2" t="s">
        <v>4807</v>
      </c>
      <c r="B4307" s="2" t="s">
        <v>5332</v>
      </c>
      <c r="D4307" s="2" t="s">
        <v>4800</v>
      </c>
      <c r="G4307" s="2" t="s">
        <v>4801</v>
      </c>
    </row>
    <row r="4308">
      <c r="A4308" s="2" t="s">
        <v>4807</v>
      </c>
      <c r="B4308" s="2" t="s">
        <v>5333</v>
      </c>
      <c r="D4308" s="2" t="s">
        <v>4800</v>
      </c>
      <c r="G4308" s="2" t="s">
        <v>4801</v>
      </c>
    </row>
    <row r="4309">
      <c r="A4309" s="2" t="s">
        <v>4807</v>
      </c>
      <c r="B4309" s="2" t="s">
        <v>5334</v>
      </c>
      <c r="D4309" s="2" t="s">
        <v>4800</v>
      </c>
      <c r="G4309" s="2" t="s">
        <v>4801</v>
      </c>
    </row>
    <row r="4310">
      <c r="A4310" s="2" t="s">
        <v>4807</v>
      </c>
      <c r="B4310" s="2" t="s">
        <v>5335</v>
      </c>
      <c r="D4310" s="2" t="s">
        <v>4800</v>
      </c>
      <c r="G4310" s="2" t="s">
        <v>4801</v>
      </c>
    </row>
    <row r="4311">
      <c r="A4311" s="2" t="s">
        <v>4807</v>
      </c>
      <c r="B4311" s="2" t="s">
        <v>5336</v>
      </c>
      <c r="D4311" s="2" t="s">
        <v>4800</v>
      </c>
      <c r="G4311" s="2" t="s">
        <v>4801</v>
      </c>
    </row>
    <row r="4312">
      <c r="A4312" s="2" t="s">
        <v>4807</v>
      </c>
      <c r="B4312" s="2" t="s">
        <v>5337</v>
      </c>
      <c r="D4312" s="2" t="s">
        <v>4800</v>
      </c>
      <c r="G4312" s="2" t="s">
        <v>4801</v>
      </c>
    </row>
    <row r="4313">
      <c r="A4313" s="2" t="s">
        <v>4807</v>
      </c>
      <c r="B4313" s="2" t="s">
        <v>5338</v>
      </c>
      <c r="D4313" s="2" t="s">
        <v>4800</v>
      </c>
      <c r="G4313" s="2" t="s">
        <v>4801</v>
      </c>
    </row>
    <row r="4314">
      <c r="A4314" s="2" t="s">
        <v>4807</v>
      </c>
      <c r="B4314" s="2" t="s">
        <v>5339</v>
      </c>
      <c r="D4314" s="2" t="s">
        <v>4800</v>
      </c>
      <c r="G4314" s="2" t="s">
        <v>4801</v>
      </c>
    </row>
    <row r="4315">
      <c r="A4315" s="2" t="s">
        <v>4807</v>
      </c>
      <c r="B4315" s="2" t="s">
        <v>5340</v>
      </c>
      <c r="D4315" s="2" t="s">
        <v>4800</v>
      </c>
      <c r="G4315" s="2" t="s">
        <v>4801</v>
      </c>
    </row>
    <row r="4316">
      <c r="A4316" s="2" t="s">
        <v>4807</v>
      </c>
      <c r="B4316" s="2" t="s">
        <v>5341</v>
      </c>
      <c r="D4316" s="2" t="s">
        <v>4800</v>
      </c>
      <c r="G4316" s="2" t="s">
        <v>4801</v>
      </c>
    </row>
    <row r="4317">
      <c r="A4317" s="2" t="s">
        <v>4807</v>
      </c>
      <c r="B4317" s="2" t="s">
        <v>5342</v>
      </c>
      <c r="D4317" s="2" t="s">
        <v>4800</v>
      </c>
      <c r="G4317" s="2" t="s">
        <v>4801</v>
      </c>
    </row>
    <row r="4318">
      <c r="A4318" s="2" t="s">
        <v>4807</v>
      </c>
      <c r="B4318" s="2" t="s">
        <v>5343</v>
      </c>
      <c r="D4318" s="2" t="s">
        <v>4800</v>
      </c>
      <c r="G4318" s="2" t="s">
        <v>4801</v>
      </c>
    </row>
    <row r="4319">
      <c r="A4319" s="2" t="s">
        <v>4807</v>
      </c>
      <c r="B4319" s="2" t="s">
        <v>5344</v>
      </c>
      <c r="D4319" s="2" t="s">
        <v>4800</v>
      </c>
      <c r="G4319" s="2" t="s">
        <v>4801</v>
      </c>
    </row>
    <row r="4320">
      <c r="A4320" s="2" t="s">
        <v>4807</v>
      </c>
      <c r="B4320" s="2" t="s">
        <v>5345</v>
      </c>
      <c r="D4320" s="2" t="s">
        <v>4800</v>
      </c>
      <c r="G4320" s="2" t="s">
        <v>4801</v>
      </c>
    </row>
    <row r="4321">
      <c r="A4321" s="2" t="s">
        <v>4807</v>
      </c>
      <c r="B4321" s="2" t="s">
        <v>5346</v>
      </c>
      <c r="D4321" s="2" t="s">
        <v>4800</v>
      </c>
      <c r="G4321" s="2" t="s">
        <v>4801</v>
      </c>
    </row>
    <row r="4322">
      <c r="A4322" s="2" t="s">
        <v>4807</v>
      </c>
      <c r="B4322" s="2" t="s">
        <v>5347</v>
      </c>
      <c r="D4322" s="2" t="s">
        <v>4800</v>
      </c>
      <c r="G4322" s="2" t="s">
        <v>4801</v>
      </c>
    </row>
    <row r="4323">
      <c r="A4323" s="2" t="s">
        <v>4807</v>
      </c>
      <c r="B4323" s="2" t="s">
        <v>5348</v>
      </c>
      <c r="D4323" s="2" t="s">
        <v>4800</v>
      </c>
      <c r="G4323" s="2" t="s">
        <v>4801</v>
      </c>
    </row>
    <row r="4324">
      <c r="A4324" s="2" t="s">
        <v>4807</v>
      </c>
      <c r="B4324" s="2" t="s">
        <v>5349</v>
      </c>
      <c r="D4324" s="2" t="s">
        <v>4800</v>
      </c>
      <c r="G4324" s="2" t="s">
        <v>4801</v>
      </c>
    </row>
    <row r="4325">
      <c r="A4325" s="2" t="s">
        <v>4807</v>
      </c>
      <c r="B4325" s="2" t="s">
        <v>5350</v>
      </c>
      <c r="D4325" s="2" t="s">
        <v>4800</v>
      </c>
      <c r="G4325" s="2" t="s">
        <v>4801</v>
      </c>
    </row>
    <row r="4326">
      <c r="A4326" s="2" t="s">
        <v>4807</v>
      </c>
      <c r="B4326" s="2" t="s">
        <v>5351</v>
      </c>
      <c r="D4326" s="2" t="s">
        <v>4800</v>
      </c>
      <c r="G4326" s="2" t="s">
        <v>4801</v>
      </c>
    </row>
    <row r="4327">
      <c r="A4327" s="2" t="s">
        <v>4807</v>
      </c>
      <c r="B4327" s="2" t="s">
        <v>5352</v>
      </c>
      <c r="D4327" s="2" t="s">
        <v>4800</v>
      </c>
      <c r="G4327" s="2" t="s">
        <v>4801</v>
      </c>
    </row>
    <row r="4328">
      <c r="A4328" s="2" t="s">
        <v>4807</v>
      </c>
      <c r="B4328" s="2" t="s">
        <v>5353</v>
      </c>
      <c r="D4328" s="2" t="s">
        <v>4800</v>
      </c>
      <c r="G4328" s="2" t="s">
        <v>4801</v>
      </c>
    </row>
    <row r="4329">
      <c r="A4329" s="2" t="s">
        <v>4807</v>
      </c>
      <c r="B4329" s="2" t="s">
        <v>5354</v>
      </c>
      <c r="D4329" s="2" t="s">
        <v>4800</v>
      </c>
      <c r="G4329" s="2" t="s">
        <v>4801</v>
      </c>
    </row>
    <row r="4330">
      <c r="A4330" s="2" t="s">
        <v>4807</v>
      </c>
      <c r="B4330" s="2" t="s">
        <v>5355</v>
      </c>
      <c r="D4330" s="2" t="s">
        <v>4800</v>
      </c>
      <c r="G4330" s="2" t="s">
        <v>4801</v>
      </c>
    </row>
    <row r="4331">
      <c r="A4331" s="2" t="s">
        <v>4807</v>
      </c>
      <c r="B4331" s="2" t="s">
        <v>5356</v>
      </c>
      <c r="D4331" s="2" t="s">
        <v>4800</v>
      </c>
      <c r="G4331" s="2" t="s">
        <v>4801</v>
      </c>
    </row>
    <row r="4332">
      <c r="A4332" s="2" t="s">
        <v>4807</v>
      </c>
      <c r="B4332" s="2" t="s">
        <v>5357</v>
      </c>
      <c r="D4332" s="2" t="s">
        <v>4800</v>
      </c>
      <c r="G4332" s="2" t="s">
        <v>4801</v>
      </c>
    </row>
    <row r="4333">
      <c r="A4333" s="2" t="s">
        <v>4807</v>
      </c>
      <c r="B4333" s="2" t="s">
        <v>5358</v>
      </c>
      <c r="D4333" s="2" t="s">
        <v>4800</v>
      </c>
      <c r="G4333" s="2" t="s">
        <v>4801</v>
      </c>
    </row>
    <row r="4334">
      <c r="A4334" s="2" t="s">
        <v>4807</v>
      </c>
      <c r="B4334" s="2" t="s">
        <v>5359</v>
      </c>
      <c r="D4334" s="2" t="s">
        <v>4800</v>
      </c>
      <c r="G4334" s="2" t="s">
        <v>4801</v>
      </c>
    </row>
    <row r="4335">
      <c r="A4335" s="2" t="s">
        <v>4807</v>
      </c>
      <c r="B4335" s="2" t="s">
        <v>5360</v>
      </c>
      <c r="D4335" s="2" t="s">
        <v>4800</v>
      </c>
      <c r="G4335" s="2" t="s">
        <v>4801</v>
      </c>
    </row>
    <row r="4336">
      <c r="A4336" s="2" t="s">
        <v>4807</v>
      </c>
      <c r="B4336" s="2" t="s">
        <v>5361</v>
      </c>
      <c r="D4336" s="2" t="s">
        <v>4800</v>
      </c>
      <c r="G4336" s="2" t="s">
        <v>4801</v>
      </c>
    </row>
    <row r="4337">
      <c r="A4337" s="2" t="s">
        <v>4807</v>
      </c>
      <c r="B4337" s="2" t="s">
        <v>5362</v>
      </c>
      <c r="D4337" s="2" t="s">
        <v>4800</v>
      </c>
      <c r="G4337" s="2" t="s">
        <v>4801</v>
      </c>
    </row>
    <row r="4338">
      <c r="A4338" s="2" t="s">
        <v>4807</v>
      </c>
      <c r="B4338" s="2" t="s">
        <v>5363</v>
      </c>
      <c r="D4338" s="2" t="s">
        <v>4800</v>
      </c>
      <c r="G4338" s="2" t="s">
        <v>4801</v>
      </c>
    </row>
    <row r="4339">
      <c r="A4339" s="2" t="s">
        <v>4807</v>
      </c>
      <c r="B4339" s="2" t="s">
        <v>5364</v>
      </c>
      <c r="D4339" s="2" t="s">
        <v>4800</v>
      </c>
      <c r="G4339" s="2" t="s">
        <v>4801</v>
      </c>
    </row>
    <row r="4340">
      <c r="A4340" s="2" t="s">
        <v>4807</v>
      </c>
      <c r="B4340" s="2" t="s">
        <v>5365</v>
      </c>
      <c r="D4340" s="2" t="s">
        <v>4800</v>
      </c>
      <c r="G4340" s="2" t="s">
        <v>4801</v>
      </c>
    </row>
    <row r="4341">
      <c r="A4341" s="2" t="s">
        <v>4807</v>
      </c>
      <c r="B4341" s="2" t="s">
        <v>5366</v>
      </c>
      <c r="D4341" s="2" t="s">
        <v>4800</v>
      </c>
      <c r="G4341" s="2" t="s">
        <v>4801</v>
      </c>
    </row>
    <row r="4342">
      <c r="A4342" s="2" t="s">
        <v>4807</v>
      </c>
      <c r="B4342" s="2" t="s">
        <v>5367</v>
      </c>
      <c r="D4342" s="2" t="s">
        <v>4800</v>
      </c>
      <c r="G4342" s="2" t="s">
        <v>4801</v>
      </c>
    </row>
    <row r="4343">
      <c r="A4343" s="2" t="s">
        <v>4807</v>
      </c>
      <c r="B4343" s="2" t="s">
        <v>5368</v>
      </c>
      <c r="D4343" s="2" t="s">
        <v>4800</v>
      </c>
      <c r="G4343" s="2" t="s">
        <v>4801</v>
      </c>
    </row>
    <row r="4344">
      <c r="A4344" s="2" t="s">
        <v>4807</v>
      </c>
      <c r="B4344" s="2" t="s">
        <v>5369</v>
      </c>
      <c r="D4344" s="2" t="s">
        <v>4800</v>
      </c>
      <c r="G4344" s="2" t="s">
        <v>4801</v>
      </c>
    </row>
    <row r="4345">
      <c r="A4345" s="2" t="s">
        <v>4807</v>
      </c>
      <c r="B4345" s="2" t="s">
        <v>5370</v>
      </c>
      <c r="D4345" s="2" t="s">
        <v>4800</v>
      </c>
      <c r="G4345" s="2" t="s">
        <v>4801</v>
      </c>
    </row>
    <row r="4346">
      <c r="A4346" s="2" t="s">
        <v>4807</v>
      </c>
      <c r="B4346" s="2" t="s">
        <v>5371</v>
      </c>
      <c r="D4346" s="2" t="s">
        <v>4800</v>
      </c>
      <c r="G4346" s="2" t="s">
        <v>4801</v>
      </c>
    </row>
    <row r="4347">
      <c r="A4347" s="2" t="s">
        <v>4807</v>
      </c>
      <c r="B4347" s="2" t="s">
        <v>5372</v>
      </c>
      <c r="D4347" s="2" t="s">
        <v>4800</v>
      </c>
      <c r="G4347" s="2" t="s">
        <v>4801</v>
      </c>
    </row>
    <row r="4348">
      <c r="A4348" s="2" t="s">
        <v>4807</v>
      </c>
      <c r="B4348" s="2" t="s">
        <v>5373</v>
      </c>
      <c r="D4348" s="2" t="s">
        <v>4800</v>
      </c>
      <c r="G4348" s="2" t="s">
        <v>4801</v>
      </c>
    </row>
    <row r="4349">
      <c r="A4349" s="2" t="s">
        <v>4807</v>
      </c>
      <c r="B4349" s="2" t="s">
        <v>5374</v>
      </c>
      <c r="D4349" s="2" t="s">
        <v>4800</v>
      </c>
      <c r="G4349" s="2" t="s">
        <v>4801</v>
      </c>
    </row>
    <row r="4350">
      <c r="A4350" s="2" t="s">
        <v>4807</v>
      </c>
      <c r="B4350" s="2" t="s">
        <v>5375</v>
      </c>
      <c r="D4350" s="2" t="s">
        <v>4800</v>
      </c>
      <c r="G4350" s="2" t="s">
        <v>4801</v>
      </c>
    </row>
    <row r="4351">
      <c r="A4351" s="2" t="s">
        <v>4807</v>
      </c>
      <c r="B4351" s="2" t="s">
        <v>5376</v>
      </c>
      <c r="D4351" s="2" t="s">
        <v>4800</v>
      </c>
      <c r="G4351" s="2" t="s">
        <v>4801</v>
      </c>
    </row>
    <row r="4352">
      <c r="A4352" s="2" t="s">
        <v>4807</v>
      </c>
      <c r="B4352" s="2" t="s">
        <v>5377</v>
      </c>
      <c r="D4352" s="2" t="s">
        <v>4800</v>
      </c>
      <c r="G4352" s="2" t="s">
        <v>4801</v>
      </c>
    </row>
    <row r="4353">
      <c r="A4353" s="2" t="s">
        <v>4807</v>
      </c>
      <c r="B4353" s="2" t="s">
        <v>5378</v>
      </c>
      <c r="D4353" s="2" t="s">
        <v>4800</v>
      </c>
      <c r="G4353" s="2" t="s">
        <v>4801</v>
      </c>
    </row>
    <row r="4354">
      <c r="A4354" s="2" t="s">
        <v>4807</v>
      </c>
      <c r="B4354" s="2" t="s">
        <v>5379</v>
      </c>
      <c r="D4354" s="2" t="s">
        <v>4800</v>
      </c>
      <c r="G4354" s="2" t="s">
        <v>4801</v>
      </c>
    </row>
    <row r="4355">
      <c r="A4355" s="2" t="s">
        <v>4807</v>
      </c>
      <c r="B4355" s="2" t="s">
        <v>5380</v>
      </c>
      <c r="D4355" s="2" t="s">
        <v>4800</v>
      </c>
      <c r="G4355" s="2" t="s">
        <v>4801</v>
      </c>
    </row>
    <row r="4356">
      <c r="A4356" s="2" t="s">
        <v>4807</v>
      </c>
      <c r="B4356" s="2" t="s">
        <v>5381</v>
      </c>
      <c r="D4356" s="2" t="s">
        <v>4800</v>
      </c>
      <c r="G4356" s="2" t="s">
        <v>4801</v>
      </c>
    </row>
    <row r="4357">
      <c r="A4357" s="2" t="s">
        <v>4807</v>
      </c>
      <c r="B4357" s="2" t="s">
        <v>5382</v>
      </c>
      <c r="D4357" s="2" t="s">
        <v>4800</v>
      </c>
      <c r="G4357" s="2" t="s">
        <v>4801</v>
      </c>
    </row>
    <row r="4358">
      <c r="A4358" s="2" t="s">
        <v>4807</v>
      </c>
      <c r="B4358" s="2" t="s">
        <v>5383</v>
      </c>
      <c r="D4358" s="2" t="s">
        <v>4800</v>
      </c>
      <c r="G4358" s="2" t="s">
        <v>4801</v>
      </c>
    </row>
    <row r="4359">
      <c r="A4359" s="2" t="s">
        <v>4807</v>
      </c>
      <c r="B4359" s="2" t="s">
        <v>5384</v>
      </c>
      <c r="D4359" s="2" t="s">
        <v>4800</v>
      </c>
      <c r="G4359" s="2" t="s">
        <v>4801</v>
      </c>
    </row>
    <row r="4360">
      <c r="A4360" s="2" t="s">
        <v>4807</v>
      </c>
      <c r="B4360" s="2" t="s">
        <v>5385</v>
      </c>
      <c r="D4360" s="2" t="s">
        <v>4800</v>
      </c>
      <c r="G4360" s="2" t="s">
        <v>4801</v>
      </c>
    </row>
    <row r="4361">
      <c r="A4361" s="2" t="s">
        <v>4807</v>
      </c>
      <c r="B4361" s="2" t="s">
        <v>5386</v>
      </c>
      <c r="D4361" s="2" t="s">
        <v>4800</v>
      </c>
      <c r="G4361" s="2" t="s">
        <v>4801</v>
      </c>
    </row>
    <row r="4362">
      <c r="A4362" s="2" t="s">
        <v>4807</v>
      </c>
      <c r="B4362" s="2" t="s">
        <v>5387</v>
      </c>
      <c r="D4362" s="2" t="s">
        <v>4800</v>
      </c>
      <c r="G4362" s="2" t="s">
        <v>4801</v>
      </c>
    </row>
    <row r="4363">
      <c r="A4363" s="2" t="s">
        <v>4807</v>
      </c>
      <c r="B4363" s="2" t="s">
        <v>5388</v>
      </c>
      <c r="D4363" s="2" t="s">
        <v>4800</v>
      </c>
      <c r="G4363" s="2" t="s">
        <v>4801</v>
      </c>
    </row>
    <row r="4364">
      <c r="A4364" s="2" t="s">
        <v>4807</v>
      </c>
      <c r="B4364" s="2" t="s">
        <v>5389</v>
      </c>
      <c r="D4364" s="2" t="s">
        <v>4800</v>
      </c>
      <c r="G4364" s="2" t="s">
        <v>4801</v>
      </c>
    </row>
    <row r="4365">
      <c r="A4365" s="2" t="s">
        <v>4807</v>
      </c>
      <c r="B4365" s="2" t="s">
        <v>5390</v>
      </c>
      <c r="D4365" s="2" t="s">
        <v>4800</v>
      </c>
      <c r="G4365" s="2" t="s">
        <v>4801</v>
      </c>
    </row>
    <row r="4366">
      <c r="A4366" s="2" t="s">
        <v>4807</v>
      </c>
      <c r="B4366" s="2" t="s">
        <v>5391</v>
      </c>
      <c r="D4366" s="2" t="s">
        <v>4800</v>
      </c>
      <c r="G4366" s="2" t="s">
        <v>4801</v>
      </c>
    </row>
    <row r="4367">
      <c r="A4367" s="2" t="s">
        <v>4807</v>
      </c>
      <c r="B4367" s="2" t="s">
        <v>5392</v>
      </c>
      <c r="D4367" s="2" t="s">
        <v>4800</v>
      </c>
      <c r="G4367" s="2" t="s">
        <v>4801</v>
      </c>
    </row>
    <row r="4368">
      <c r="A4368" s="2" t="s">
        <v>4807</v>
      </c>
      <c r="B4368" s="2" t="s">
        <v>5393</v>
      </c>
      <c r="D4368" s="2" t="s">
        <v>4800</v>
      </c>
      <c r="G4368" s="2" t="s">
        <v>4801</v>
      </c>
    </row>
    <row r="4369">
      <c r="A4369" s="2" t="s">
        <v>4807</v>
      </c>
      <c r="B4369" s="2" t="s">
        <v>5394</v>
      </c>
      <c r="D4369" s="2" t="s">
        <v>4800</v>
      </c>
      <c r="G4369" s="2" t="s">
        <v>4801</v>
      </c>
    </row>
    <row r="4370">
      <c r="A4370" s="2" t="s">
        <v>4807</v>
      </c>
      <c r="B4370" s="2" t="s">
        <v>5395</v>
      </c>
      <c r="D4370" s="2" t="s">
        <v>4800</v>
      </c>
      <c r="G4370" s="2" t="s">
        <v>4801</v>
      </c>
    </row>
    <row r="4371">
      <c r="A4371" s="2" t="s">
        <v>4807</v>
      </c>
      <c r="B4371" s="2" t="s">
        <v>5396</v>
      </c>
      <c r="D4371" s="2" t="s">
        <v>4800</v>
      </c>
      <c r="G4371" s="2" t="s">
        <v>4801</v>
      </c>
    </row>
    <row r="4372">
      <c r="A4372" s="2" t="s">
        <v>4807</v>
      </c>
      <c r="B4372" s="2" t="s">
        <v>5397</v>
      </c>
      <c r="D4372" s="2" t="s">
        <v>4800</v>
      </c>
      <c r="G4372" s="2" t="s">
        <v>4801</v>
      </c>
    </row>
    <row r="4373">
      <c r="A4373" s="2" t="s">
        <v>4807</v>
      </c>
      <c r="B4373" s="2" t="s">
        <v>5398</v>
      </c>
      <c r="D4373" s="2" t="s">
        <v>4800</v>
      </c>
      <c r="G4373" s="2" t="s">
        <v>4801</v>
      </c>
    </row>
    <row r="4374">
      <c r="A4374" s="2" t="s">
        <v>4807</v>
      </c>
      <c r="B4374" s="2" t="s">
        <v>5399</v>
      </c>
      <c r="D4374" s="2" t="s">
        <v>4800</v>
      </c>
      <c r="G4374" s="2" t="s">
        <v>4801</v>
      </c>
    </row>
    <row r="4375">
      <c r="A4375" s="2" t="s">
        <v>4807</v>
      </c>
      <c r="B4375" s="2" t="s">
        <v>5400</v>
      </c>
      <c r="D4375" s="2" t="s">
        <v>4800</v>
      </c>
      <c r="G4375" s="2" t="s">
        <v>4801</v>
      </c>
    </row>
    <row r="4376">
      <c r="A4376" s="2" t="s">
        <v>4807</v>
      </c>
      <c r="B4376" s="2" t="s">
        <v>5401</v>
      </c>
      <c r="D4376" s="2" t="s">
        <v>4800</v>
      </c>
      <c r="G4376" s="2" t="s">
        <v>4801</v>
      </c>
    </row>
    <row r="4377">
      <c r="A4377" s="2" t="s">
        <v>4807</v>
      </c>
      <c r="B4377" s="2" t="s">
        <v>5402</v>
      </c>
      <c r="D4377" s="2" t="s">
        <v>4800</v>
      </c>
      <c r="G4377" s="2" t="s">
        <v>4801</v>
      </c>
    </row>
    <row r="4378">
      <c r="A4378" s="2" t="s">
        <v>4807</v>
      </c>
      <c r="B4378" s="2" t="s">
        <v>5403</v>
      </c>
      <c r="D4378" s="2" t="s">
        <v>4800</v>
      </c>
      <c r="G4378" s="2" t="s">
        <v>4801</v>
      </c>
    </row>
    <row r="4379">
      <c r="A4379" s="2" t="s">
        <v>4807</v>
      </c>
      <c r="B4379" s="2" t="s">
        <v>5404</v>
      </c>
      <c r="D4379" s="2" t="s">
        <v>4800</v>
      </c>
      <c r="G4379" s="2" t="s">
        <v>4801</v>
      </c>
    </row>
    <row r="4380">
      <c r="A4380" s="2" t="s">
        <v>4807</v>
      </c>
      <c r="B4380" s="2" t="s">
        <v>5405</v>
      </c>
      <c r="D4380" s="2" t="s">
        <v>4800</v>
      </c>
      <c r="G4380" s="2" t="s">
        <v>4801</v>
      </c>
    </row>
    <row r="4381">
      <c r="A4381" s="2" t="s">
        <v>4807</v>
      </c>
      <c r="B4381" s="2" t="s">
        <v>5406</v>
      </c>
      <c r="D4381" s="2" t="s">
        <v>4800</v>
      </c>
      <c r="G4381" s="2" t="s">
        <v>4801</v>
      </c>
    </row>
    <row r="4382">
      <c r="A4382" s="2" t="s">
        <v>4807</v>
      </c>
      <c r="B4382" s="2" t="s">
        <v>5407</v>
      </c>
      <c r="D4382" s="2" t="s">
        <v>4800</v>
      </c>
      <c r="G4382" s="2" t="s">
        <v>4801</v>
      </c>
    </row>
    <row r="4383">
      <c r="A4383" s="2" t="s">
        <v>4807</v>
      </c>
      <c r="B4383" s="2" t="s">
        <v>5408</v>
      </c>
      <c r="D4383" s="2" t="s">
        <v>4800</v>
      </c>
      <c r="G4383" s="2" t="s">
        <v>4801</v>
      </c>
    </row>
    <row r="4384">
      <c r="A4384" s="2" t="s">
        <v>4807</v>
      </c>
      <c r="B4384" s="2" t="s">
        <v>5409</v>
      </c>
      <c r="D4384" s="2" t="s">
        <v>4800</v>
      </c>
      <c r="G4384" s="2" t="s">
        <v>4801</v>
      </c>
    </row>
    <row r="4385">
      <c r="A4385" s="2" t="s">
        <v>4807</v>
      </c>
      <c r="B4385" s="2" t="s">
        <v>5410</v>
      </c>
      <c r="D4385" s="2" t="s">
        <v>4800</v>
      </c>
      <c r="G4385" s="2" t="s">
        <v>4801</v>
      </c>
    </row>
    <row r="4386">
      <c r="A4386" s="2" t="s">
        <v>4807</v>
      </c>
      <c r="B4386" s="2" t="s">
        <v>5411</v>
      </c>
      <c r="D4386" s="2" t="s">
        <v>4800</v>
      </c>
      <c r="G4386" s="2" t="s">
        <v>4801</v>
      </c>
    </row>
    <row r="4387">
      <c r="A4387" s="2" t="s">
        <v>4807</v>
      </c>
      <c r="B4387" s="2" t="s">
        <v>5412</v>
      </c>
      <c r="D4387" s="2" t="s">
        <v>4800</v>
      </c>
      <c r="G4387" s="2" t="s">
        <v>4801</v>
      </c>
    </row>
    <row r="4388">
      <c r="A4388" s="2" t="s">
        <v>4807</v>
      </c>
      <c r="B4388" s="2" t="s">
        <v>5413</v>
      </c>
      <c r="D4388" s="2" t="s">
        <v>4800</v>
      </c>
      <c r="G4388" s="2" t="s">
        <v>4801</v>
      </c>
    </row>
    <row r="4389">
      <c r="A4389" s="2" t="s">
        <v>4807</v>
      </c>
      <c r="B4389" s="2" t="s">
        <v>5414</v>
      </c>
      <c r="D4389" s="2" t="s">
        <v>4800</v>
      </c>
      <c r="G4389" s="2" t="s">
        <v>4801</v>
      </c>
    </row>
    <row r="4390">
      <c r="A4390" s="2" t="s">
        <v>4807</v>
      </c>
      <c r="B4390" s="2" t="s">
        <v>5415</v>
      </c>
      <c r="D4390" s="2" t="s">
        <v>4800</v>
      </c>
      <c r="G4390" s="2" t="s">
        <v>4801</v>
      </c>
    </row>
    <row r="4391">
      <c r="A4391" s="2" t="s">
        <v>4807</v>
      </c>
      <c r="B4391" s="2" t="s">
        <v>5416</v>
      </c>
      <c r="D4391" s="2" t="s">
        <v>4800</v>
      </c>
      <c r="G4391" s="2" t="s">
        <v>4801</v>
      </c>
    </row>
    <row r="4392">
      <c r="A4392" s="2" t="s">
        <v>4807</v>
      </c>
      <c r="B4392" s="2" t="s">
        <v>5417</v>
      </c>
      <c r="D4392" s="2" t="s">
        <v>4800</v>
      </c>
      <c r="G4392" s="2" t="s">
        <v>4801</v>
      </c>
    </row>
    <row r="4393">
      <c r="A4393" s="2" t="s">
        <v>4807</v>
      </c>
      <c r="B4393" s="2" t="s">
        <v>5418</v>
      </c>
      <c r="D4393" s="2" t="s">
        <v>4800</v>
      </c>
      <c r="G4393" s="2" t="s">
        <v>4801</v>
      </c>
    </row>
    <row r="4394">
      <c r="A4394" s="2" t="s">
        <v>4807</v>
      </c>
      <c r="B4394" s="2" t="s">
        <v>5419</v>
      </c>
      <c r="D4394" s="2" t="s">
        <v>4800</v>
      </c>
      <c r="G4394" s="2" t="s">
        <v>4801</v>
      </c>
    </row>
    <row r="4395">
      <c r="A4395" s="2" t="s">
        <v>4807</v>
      </c>
      <c r="B4395" s="2" t="s">
        <v>5420</v>
      </c>
      <c r="D4395" s="2" t="s">
        <v>4800</v>
      </c>
      <c r="G4395" s="2" t="s">
        <v>4801</v>
      </c>
    </row>
    <row r="4396">
      <c r="A4396" s="2" t="s">
        <v>4807</v>
      </c>
      <c r="B4396" s="2" t="s">
        <v>5130</v>
      </c>
      <c r="D4396" s="2" t="s">
        <v>4800</v>
      </c>
      <c r="G4396" s="2" t="s">
        <v>4801</v>
      </c>
    </row>
    <row r="4397">
      <c r="A4397" s="2" t="s">
        <v>4807</v>
      </c>
      <c r="B4397" s="2" t="s">
        <v>5420</v>
      </c>
      <c r="D4397" s="2" t="s">
        <v>4800</v>
      </c>
      <c r="G4397" s="2" t="s">
        <v>4801</v>
      </c>
    </row>
    <row r="4398">
      <c r="A4398" s="2" t="s">
        <v>4807</v>
      </c>
      <c r="B4398" s="2" t="s">
        <v>4839</v>
      </c>
      <c r="D4398" s="2" t="s">
        <v>4800</v>
      </c>
      <c r="G4398" s="2" t="s">
        <v>4801</v>
      </c>
    </row>
    <row r="4399">
      <c r="A4399" s="2" t="s">
        <v>4807</v>
      </c>
      <c r="B4399" s="2" t="s">
        <v>5421</v>
      </c>
      <c r="D4399" s="2" t="s">
        <v>4800</v>
      </c>
      <c r="G4399" s="2" t="s">
        <v>4801</v>
      </c>
    </row>
    <row r="4400">
      <c r="A4400" s="2" t="s">
        <v>4807</v>
      </c>
      <c r="B4400" s="2" t="s">
        <v>4880</v>
      </c>
      <c r="D4400" s="2" t="s">
        <v>4800</v>
      </c>
      <c r="G4400" s="2" t="s">
        <v>4801</v>
      </c>
    </row>
    <row r="4401">
      <c r="A4401" s="2" t="s">
        <v>4807</v>
      </c>
      <c r="B4401" s="2" t="s">
        <v>5421</v>
      </c>
      <c r="D4401" s="2" t="s">
        <v>4800</v>
      </c>
      <c r="G4401" s="2" t="s">
        <v>4801</v>
      </c>
    </row>
    <row r="4402">
      <c r="A4402" s="2" t="s">
        <v>4807</v>
      </c>
      <c r="B4402" s="2" t="s">
        <v>4837</v>
      </c>
      <c r="D4402" s="2" t="s">
        <v>4800</v>
      </c>
      <c r="G4402" s="2" t="s">
        <v>4801</v>
      </c>
    </row>
    <row r="4403">
      <c r="A4403" s="2" t="s">
        <v>4807</v>
      </c>
      <c r="B4403" s="2" t="s">
        <v>5421</v>
      </c>
      <c r="D4403" s="2" t="s">
        <v>4800</v>
      </c>
      <c r="G4403" s="2" t="s">
        <v>4801</v>
      </c>
    </row>
    <row r="4404">
      <c r="A4404" s="2" t="s">
        <v>4807</v>
      </c>
      <c r="B4404" s="2" t="s">
        <v>5241</v>
      </c>
      <c r="D4404" s="2" t="s">
        <v>4800</v>
      </c>
      <c r="G4404" s="2" t="s">
        <v>4801</v>
      </c>
    </row>
    <row r="4405">
      <c r="A4405" s="2" t="s">
        <v>4807</v>
      </c>
      <c r="B4405" s="2" t="s">
        <v>5421</v>
      </c>
      <c r="D4405" s="2" t="s">
        <v>4800</v>
      </c>
      <c r="G4405" s="2" t="s">
        <v>4801</v>
      </c>
    </row>
    <row r="4406">
      <c r="A4406" s="2" t="s">
        <v>4807</v>
      </c>
      <c r="B4406" s="2" t="s">
        <v>5422</v>
      </c>
      <c r="D4406" s="2" t="s">
        <v>4800</v>
      </c>
      <c r="G4406" s="2" t="s">
        <v>4801</v>
      </c>
    </row>
    <row r="4407">
      <c r="A4407" s="2" t="s">
        <v>4807</v>
      </c>
      <c r="B4407" s="2" t="s">
        <v>5421</v>
      </c>
      <c r="D4407" s="2" t="s">
        <v>4800</v>
      </c>
      <c r="G4407" s="2" t="s">
        <v>4801</v>
      </c>
    </row>
    <row r="4408">
      <c r="A4408" s="2" t="s">
        <v>4807</v>
      </c>
      <c r="B4408" s="2" t="s">
        <v>4842</v>
      </c>
      <c r="D4408" s="2" t="s">
        <v>4800</v>
      </c>
      <c r="G4408" s="2" t="s">
        <v>4801</v>
      </c>
    </row>
    <row r="4409">
      <c r="A4409" s="2" t="s">
        <v>4807</v>
      </c>
      <c r="B4409" s="2" t="s">
        <v>5423</v>
      </c>
      <c r="D4409" s="2" t="s">
        <v>4800</v>
      </c>
      <c r="G4409" s="2" t="s">
        <v>4801</v>
      </c>
    </row>
    <row r="4410">
      <c r="A4410" s="2" t="s">
        <v>4807</v>
      </c>
      <c r="B4410" s="2" t="s">
        <v>5424</v>
      </c>
      <c r="D4410" s="2" t="s">
        <v>4800</v>
      </c>
      <c r="G4410" s="2" t="s">
        <v>4801</v>
      </c>
    </row>
    <row r="4411">
      <c r="A4411" s="2" t="s">
        <v>4807</v>
      </c>
      <c r="B4411" s="2" t="s">
        <v>5425</v>
      </c>
      <c r="D4411" s="2" t="s">
        <v>4800</v>
      </c>
      <c r="G4411" s="2" t="s">
        <v>4801</v>
      </c>
    </row>
    <row r="4412">
      <c r="A4412" s="2" t="s">
        <v>4807</v>
      </c>
      <c r="B4412" s="2" t="s">
        <v>5426</v>
      </c>
      <c r="D4412" s="2" t="s">
        <v>4800</v>
      </c>
      <c r="G4412" s="2" t="s">
        <v>4801</v>
      </c>
    </row>
    <row r="4413">
      <c r="A4413" s="2" t="s">
        <v>4807</v>
      </c>
      <c r="B4413" s="2" t="s">
        <v>5427</v>
      </c>
      <c r="D4413" s="2" t="s">
        <v>4800</v>
      </c>
      <c r="G4413" s="2" t="s">
        <v>4801</v>
      </c>
    </row>
    <row r="4414">
      <c r="A4414" s="2" t="s">
        <v>4807</v>
      </c>
      <c r="B4414" s="2" t="s">
        <v>5428</v>
      </c>
      <c r="D4414" s="2" t="s">
        <v>4800</v>
      </c>
      <c r="G4414" s="2" t="s">
        <v>4801</v>
      </c>
    </row>
    <row r="4415">
      <c r="A4415" s="2" t="s">
        <v>4807</v>
      </c>
      <c r="B4415" s="2" t="s">
        <v>5429</v>
      </c>
      <c r="D4415" s="2" t="s">
        <v>4800</v>
      </c>
      <c r="G4415" s="2" t="s">
        <v>4801</v>
      </c>
    </row>
    <row r="4416">
      <c r="A4416" s="2" t="s">
        <v>4807</v>
      </c>
      <c r="B4416" s="2" t="s">
        <v>5430</v>
      </c>
      <c r="D4416" s="2" t="s">
        <v>4800</v>
      </c>
      <c r="G4416" s="2" t="s">
        <v>4801</v>
      </c>
    </row>
    <row r="4417">
      <c r="A4417" s="2" t="s">
        <v>4807</v>
      </c>
      <c r="B4417" s="2" t="s">
        <v>5431</v>
      </c>
      <c r="D4417" s="2" t="s">
        <v>4800</v>
      </c>
      <c r="G4417" s="2" t="s">
        <v>4801</v>
      </c>
    </row>
    <row r="4418">
      <c r="A4418" s="2" t="s">
        <v>4807</v>
      </c>
      <c r="B4418" s="2" t="s">
        <v>5432</v>
      </c>
      <c r="D4418" s="2" t="s">
        <v>4800</v>
      </c>
      <c r="G4418" s="2" t="s">
        <v>4801</v>
      </c>
    </row>
    <row r="4419">
      <c r="A4419" s="2" t="s">
        <v>4807</v>
      </c>
      <c r="B4419" s="2" t="s">
        <v>5433</v>
      </c>
      <c r="D4419" s="2" t="s">
        <v>4800</v>
      </c>
      <c r="G4419" s="2" t="s">
        <v>4801</v>
      </c>
    </row>
    <row r="4420">
      <c r="A4420" s="2" t="s">
        <v>4807</v>
      </c>
      <c r="B4420" s="2" t="s">
        <v>5434</v>
      </c>
      <c r="D4420" s="2" t="s">
        <v>4800</v>
      </c>
      <c r="G4420" s="2" t="s">
        <v>4801</v>
      </c>
    </row>
    <row r="4421">
      <c r="A4421" s="2" t="s">
        <v>4807</v>
      </c>
      <c r="B4421" s="2" t="s">
        <v>5435</v>
      </c>
      <c r="D4421" s="2" t="s">
        <v>4800</v>
      </c>
      <c r="G4421" s="2" t="s">
        <v>4801</v>
      </c>
    </row>
    <row r="4422">
      <c r="A4422" s="2" t="s">
        <v>4807</v>
      </c>
      <c r="B4422" s="2" t="s">
        <v>5436</v>
      </c>
      <c r="D4422" s="2" t="s">
        <v>4800</v>
      </c>
      <c r="G4422" s="2" t="s">
        <v>4801</v>
      </c>
    </row>
    <row r="4423">
      <c r="A4423" s="2" t="s">
        <v>4807</v>
      </c>
      <c r="B4423" s="2" t="s">
        <v>5437</v>
      </c>
      <c r="D4423" s="2" t="s">
        <v>4800</v>
      </c>
      <c r="G4423" s="2" t="s">
        <v>4801</v>
      </c>
    </row>
    <row r="4424">
      <c r="A4424" s="2" t="s">
        <v>4807</v>
      </c>
      <c r="B4424" s="2" t="s">
        <v>5438</v>
      </c>
      <c r="D4424" s="2" t="s">
        <v>4800</v>
      </c>
      <c r="G4424" s="2" t="s">
        <v>4801</v>
      </c>
    </row>
    <row r="4425">
      <c r="A4425" s="2" t="s">
        <v>4807</v>
      </c>
      <c r="B4425" s="2" t="s">
        <v>5439</v>
      </c>
      <c r="D4425" s="2" t="s">
        <v>4800</v>
      </c>
      <c r="G4425" s="2" t="s">
        <v>4801</v>
      </c>
    </row>
    <row r="4426">
      <c r="A4426" s="2" t="s">
        <v>4807</v>
      </c>
      <c r="B4426" s="2" t="s">
        <v>5440</v>
      </c>
      <c r="D4426" s="2" t="s">
        <v>4800</v>
      </c>
      <c r="G4426" s="2" t="s">
        <v>4801</v>
      </c>
    </row>
    <row r="4427">
      <c r="A4427" s="2" t="s">
        <v>4807</v>
      </c>
      <c r="B4427" s="2" t="s">
        <v>5441</v>
      </c>
      <c r="D4427" s="2" t="s">
        <v>4800</v>
      </c>
      <c r="G4427" s="2" t="s">
        <v>4801</v>
      </c>
    </row>
    <row r="4428">
      <c r="A4428" s="2" t="s">
        <v>4807</v>
      </c>
      <c r="B4428" s="2" t="s">
        <v>5442</v>
      </c>
      <c r="D4428" s="2" t="s">
        <v>4800</v>
      </c>
      <c r="G4428" s="2" t="s">
        <v>4801</v>
      </c>
    </row>
    <row r="4429">
      <c r="A4429" s="2" t="s">
        <v>4807</v>
      </c>
      <c r="B4429" s="2" t="s">
        <v>5443</v>
      </c>
      <c r="D4429" s="2" t="s">
        <v>4800</v>
      </c>
      <c r="G4429" s="2" t="s">
        <v>4801</v>
      </c>
    </row>
    <row r="4430">
      <c r="A4430" s="2" t="s">
        <v>4807</v>
      </c>
      <c r="B4430" s="2" t="s">
        <v>5444</v>
      </c>
      <c r="D4430" s="2" t="s">
        <v>4800</v>
      </c>
      <c r="G4430" s="2" t="s">
        <v>4801</v>
      </c>
    </row>
    <row r="4431">
      <c r="A4431" s="2" t="s">
        <v>4807</v>
      </c>
      <c r="B4431" s="2" t="s">
        <v>5445</v>
      </c>
      <c r="D4431" s="2" t="s">
        <v>4800</v>
      </c>
      <c r="G4431" s="2" t="s">
        <v>4801</v>
      </c>
    </row>
    <row r="4432">
      <c r="A4432" s="2" t="s">
        <v>4807</v>
      </c>
      <c r="B4432" s="2" t="s">
        <v>5446</v>
      </c>
      <c r="D4432" s="2" t="s">
        <v>4800</v>
      </c>
      <c r="G4432" s="2" t="s">
        <v>4801</v>
      </c>
    </row>
    <row r="4433">
      <c r="A4433" s="2" t="s">
        <v>4807</v>
      </c>
      <c r="B4433" s="2" t="s">
        <v>5448</v>
      </c>
      <c r="D4433" s="2" t="s">
        <v>4800</v>
      </c>
      <c r="G4433" s="2" t="s">
        <v>4801</v>
      </c>
    </row>
    <row r="4434">
      <c r="A4434" s="2" t="s">
        <v>4807</v>
      </c>
      <c r="B4434" s="2" t="s">
        <v>5449</v>
      </c>
      <c r="D4434" s="2" t="s">
        <v>4800</v>
      </c>
      <c r="G4434" s="2" t="s">
        <v>4801</v>
      </c>
    </row>
    <row r="4435">
      <c r="A4435" s="2" t="s">
        <v>4807</v>
      </c>
      <c r="B4435" s="2" t="s">
        <v>5450</v>
      </c>
      <c r="D4435" s="2" t="s">
        <v>4800</v>
      </c>
      <c r="G4435" s="2" t="s">
        <v>4801</v>
      </c>
    </row>
    <row r="4436">
      <c r="A4436" s="2" t="s">
        <v>4807</v>
      </c>
      <c r="B4436" s="2" t="s">
        <v>5451</v>
      </c>
      <c r="D4436" s="2" t="s">
        <v>4800</v>
      </c>
      <c r="G4436" s="2" t="s">
        <v>4801</v>
      </c>
    </row>
    <row r="4437">
      <c r="A4437" s="2" t="s">
        <v>4807</v>
      </c>
      <c r="B4437" s="2" t="s">
        <v>5452</v>
      </c>
      <c r="D4437" s="2" t="s">
        <v>4800</v>
      </c>
      <c r="G4437" s="2" t="s">
        <v>4801</v>
      </c>
    </row>
    <row r="4438">
      <c r="A4438" s="2" t="s">
        <v>4807</v>
      </c>
      <c r="B4438" s="2" t="s">
        <v>5453</v>
      </c>
      <c r="D4438" s="2" t="s">
        <v>4800</v>
      </c>
      <c r="G4438" s="2" t="s">
        <v>4801</v>
      </c>
    </row>
    <row r="4439">
      <c r="A4439" s="2" t="s">
        <v>4807</v>
      </c>
      <c r="B4439" s="2" t="s">
        <v>5454</v>
      </c>
      <c r="D4439" s="2" t="s">
        <v>4800</v>
      </c>
      <c r="G4439" s="2" t="s">
        <v>4801</v>
      </c>
    </row>
    <row r="4440">
      <c r="A4440" s="2" t="s">
        <v>4807</v>
      </c>
      <c r="B4440" s="2" t="s">
        <v>5455</v>
      </c>
      <c r="D4440" s="2" t="s">
        <v>4800</v>
      </c>
      <c r="G4440" s="2" t="s">
        <v>4801</v>
      </c>
    </row>
    <row r="4441">
      <c r="A4441" s="2" t="s">
        <v>4807</v>
      </c>
      <c r="B4441" s="2" t="s">
        <v>5456</v>
      </c>
      <c r="D4441" s="2" t="s">
        <v>4800</v>
      </c>
      <c r="G4441" s="2" t="s">
        <v>4801</v>
      </c>
    </row>
    <row r="4442">
      <c r="A4442" s="2" t="s">
        <v>4807</v>
      </c>
      <c r="B4442" s="2" t="s">
        <v>5457</v>
      </c>
      <c r="D4442" s="2" t="s">
        <v>4800</v>
      </c>
      <c r="G4442" s="2" t="s">
        <v>4801</v>
      </c>
    </row>
    <row r="4443">
      <c r="A4443" s="2" t="s">
        <v>4807</v>
      </c>
      <c r="B4443" s="2" t="s">
        <v>5458</v>
      </c>
      <c r="D4443" s="2" t="s">
        <v>4800</v>
      </c>
      <c r="G4443" s="2" t="s">
        <v>4801</v>
      </c>
    </row>
    <row r="4444">
      <c r="A4444" s="2" t="s">
        <v>4807</v>
      </c>
      <c r="B4444" s="2" t="s">
        <v>5459</v>
      </c>
      <c r="D4444" s="2" t="s">
        <v>4800</v>
      </c>
      <c r="G4444" s="2" t="s">
        <v>4801</v>
      </c>
    </row>
    <row r="4445">
      <c r="A4445" s="2" t="s">
        <v>4807</v>
      </c>
      <c r="B4445" s="2" t="s">
        <v>5460</v>
      </c>
      <c r="D4445" s="2" t="s">
        <v>4800</v>
      </c>
      <c r="G4445" s="2" t="s">
        <v>4801</v>
      </c>
    </row>
    <row r="4446">
      <c r="A4446" s="2" t="s">
        <v>4807</v>
      </c>
      <c r="B4446" s="2" t="s">
        <v>5461</v>
      </c>
      <c r="D4446" s="2" t="s">
        <v>4800</v>
      </c>
      <c r="G4446" s="2" t="s">
        <v>4801</v>
      </c>
    </row>
    <row r="4447">
      <c r="A4447" s="2" t="s">
        <v>4807</v>
      </c>
      <c r="B4447" s="2" t="s">
        <v>5462</v>
      </c>
      <c r="D4447" s="2" t="s">
        <v>4800</v>
      </c>
      <c r="G4447" s="2" t="s">
        <v>4801</v>
      </c>
    </row>
    <row r="4448">
      <c r="A4448" s="2" t="s">
        <v>4807</v>
      </c>
      <c r="B4448" s="2" t="s">
        <v>5463</v>
      </c>
      <c r="D4448" s="2" t="s">
        <v>4800</v>
      </c>
      <c r="G4448" s="2" t="s">
        <v>4801</v>
      </c>
    </row>
    <row r="4449">
      <c r="A4449" s="2" t="s">
        <v>4807</v>
      </c>
      <c r="B4449" s="2" t="s">
        <v>5464</v>
      </c>
      <c r="D4449" s="2" t="s">
        <v>4800</v>
      </c>
      <c r="G4449" s="2" t="s">
        <v>4801</v>
      </c>
    </row>
    <row r="4450">
      <c r="A4450" s="2" t="s">
        <v>4807</v>
      </c>
      <c r="B4450" s="2" t="s">
        <v>5465</v>
      </c>
      <c r="D4450" s="2" t="s">
        <v>4800</v>
      </c>
      <c r="G4450" s="2" t="s">
        <v>4801</v>
      </c>
    </row>
    <row r="4451">
      <c r="A4451" s="2" t="s">
        <v>4807</v>
      </c>
      <c r="B4451" s="2" t="s">
        <v>5466</v>
      </c>
      <c r="D4451" s="2" t="s">
        <v>4800</v>
      </c>
      <c r="G4451" s="2" t="s">
        <v>4801</v>
      </c>
    </row>
    <row r="4452">
      <c r="A4452" s="2" t="s">
        <v>4807</v>
      </c>
      <c r="B4452" s="2" t="s">
        <v>5467</v>
      </c>
      <c r="D4452" s="2" t="s">
        <v>4800</v>
      </c>
      <c r="G4452" s="2" t="s">
        <v>4801</v>
      </c>
    </row>
    <row r="4453">
      <c r="A4453" s="2" t="s">
        <v>4807</v>
      </c>
      <c r="B4453" s="2" t="s">
        <v>5468</v>
      </c>
      <c r="D4453" s="2" t="s">
        <v>4800</v>
      </c>
      <c r="G4453" s="2" t="s">
        <v>4801</v>
      </c>
    </row>
    <row r="4454">
      <c r="A4454" s="2" t="s">
        <v>4807</v>
      </c>
      <c r="B4454" s="2" t="s">
        <v>5469</v>
      </c>
      <c r="D4454" s="2" t="s">
        <v>4800</v>
      </c>
      <c r="G4454" s="2" t="s">
        <v>4801</v>
      </c>
    </row>
    <row r="4455">
      <c r="A4455" s="2" t="s">
        <v>4807</v>
      </c>
      <c r="B4455" s="2" t="s">
        <v>5470</v>
      </c>
      <c r="D4455" s="2" t="s">
        <v>4800</v>
      </c>
      <c r="G4455" s="2" t="s">
        <v>4801</v>
      </c>
    </row>
    <row r="4456">
      <c r="A4456" s="2" t="s">
        <v>4807</v>
      </c>
      <c r="B4456" s="2" t="s">
        <v>5471</v>
      </c>
      <c r="D4456" s="2" t="s">
        <v>4800</v>
      </c>
      <c r="G4456" s="2" t="s">
        <v>4801</v>
      </c>
    </row>
    <row r="4457">
      <c r="A4457" s="2" t="s">
        <v>4807</v>
      </c>
      <c r="B4457" s="2" t="s">
        <v>5472</v>
      </c>
      <c r="D4457" s="2" t="s">
        <v>4800</v>
      </c>
      <c r="G4457" s="2" t="s">
        <v>4801</v>
      </c>
    </row>
    <row r="4458">
      <c r="A4458" s="2" t="s">
        <v>4807</v>
      </c>
      <c r="B4458" s="2" t="s">
        <v>5473</v>
      </c>
      <c r="D4458" s="2" t="s">
        <v>4800</v>
      </c>
      <c r="G4458" s="2" t="s">
        <v>4801</v>
      </c>
    </row>
    <row r="4459">
      <c r="A4459" s="2" t="s">
        <v>4807</v>
      </c>
      <c r="B4459" s="2" t="s">
        <v>5474</v>
      </c>
      <c r="D4459" s="2" t="s">
        <v>4800</v>
      </c>
      <c r="G4459" s="2" t="s">
        <v>4801</v>
      </c>
    </row>
    <row r="4460">
      <c r="A4460" s="2" t="s">
        <v>4807</v>
      </c>
      <c r="B4460" s="2" t="s">
        <v>5475</v>
      </c>
      <c r="D4460" s="2" t="s">
        <v>4800</v>
      </c>
      <c r="G4460" s="2" t="s">
        <v>4801</v>
      </c>
    </row>
    <row r="4461">
      <c r="A4461" s="2" t="s">
        <v>4807</v>
      </c>
      <c r="B4461" s="2" t="s">
        <v>5476</v>
      </c>
      <c r="D4461" s="2" t="s">
        <v>4800</v>
      </c>
      <c r="G4461" s="2" t="s">
        <v>4801</v>
      </c>
    </row>
    <row r="4462">
      <c r="A4462" s="2" t="s">
        <v>4807</v>
      </c>
      <c r="B4462" s="2" t="s">
        <v>5477</v>
      </c>
      <c r="D4462" s="2" t="s">
        <v>4800</v>
      </c>
      <c r="G4462" s="2" t="s">
        <v>4801</v>
      </c>
    </row>
    <row r="4463">
      <c r="A4463" s="2" t="s">
        <v>4807</v>
      </c>
      <c r="B4463" s="2" t="s">
        <v>5478</v>
      </c>
      <c r="D4463" s="2" t="s">
        <v>4800</v>
      </c>
      <c r="G4463" s="2" t="s">
        <v>4801</v>
      </c>
    </row>
    <row r="4464">
      <c r="A4464" s="2" t="s">
        <v>4807</v>
      </c>
      <c r="B4464" s="2" t="s">
        <v>5479</v>
      </c>
      <c r="D4464" s="2" t="s">
        <v>4800</v>
      </c>
      <c r="G4464" s="2" t="s">
        <v>4801</v>
      </c>
    </row>
    <row r="4465">
      <c r="A4465" s="2" t="s">
        <v>4807</v>
      </c>
      <c r="B4465" s="2" t="s">
        <v>5480</v>
      </c>
      <c r="D4465" s="2" t="s">
        <v>4800</v>
      </c>
      <c r="G4465" s="2" t="s">
        <v>4801</v>
      </c>
    </row>
    <row r="4466">
      <c r="A4466" s="2" t="s">
        <v>4807</v>
      </c>
      <c r="B4466" s="2" t="s">
        <v>5481</v>
      </c>
      <c r="D4466" s="2" t="s">
        <v>4800</v>
      </c>
      <c r="G4466" s="2" t="s">
        <v>4801</v>
      </c>
    </row>
    <row r="4467">
      <c r="A4467" s="2" t="s">
        <v>4807</v>
      </c>
      <c r="B4467" s="2" t="s">
        <v>5482</v>
      </c>
      <c r="D4467" s="2" t="s">
        <v>4800</v>
      </c>
      <c r="G4467" s="2" t="s">
        <v>4801</v>
      </c>
    </row>
    <row r="4468">
      <c r="A4468" s="2" t="s">
        <v>4807</v>
      </c>
      <c r="B4468" s="2" t="s">
        <v>5483</v>
      </c>
      <c r="D4468" s="2" t="s">
        <v>4800</v>
      </c>
      <c r="G4468" s="2" t="s">
        <v>4801</v>
      </c>
    </row>
    <row r="4469">
      <c r="A4469" s="2" t="s">
        <v>4807</v>
      </c>
      <c r="B4469" s="2" t="s">
        <v>5484</v>
      </c>
      <c r="D4469" s="2" t="s">
        <v>4800</v>
      </c>
      <c r="G4469" s="2" t="s">
        <v>4801</v>
      </c>
    </row>
    <row r="4470">
      <c r="A4470" s="2" t="s">
        <v>4807</v>
      </c>
      <c r="B4470" s="2" t="s">
        <v>5485</v>
      </c>
      <c r="D4470" s="2" t="s">
        <v>4800</v>
      </c>
      <c r="G4470" s="2" t="s">
        <v>4801</v>
      </c>
    </row>
    <row r="4471">
      <c r="A4471" s="2" t="s">
        <v>4807</v>
      </c>
      <c r="B4471" s="2" t="s">
        <v>5486</v>
      </c>
      <c r="D4471" s="2" t="s">
        <v>4800</v>
      </c>
      <c r="G4471" s="2" t="s">
        <v>4801</v>
      </c>
    </row>
    <row r="4472">
      <c r="A4472" s="2" t="s">
        <v>4807</v>
      </c>
      <c r="B4472" s="2" t="s">
        <v>5487</v>
      </c>
      <c r="D4472" s="2" t="s">
        <v>4800</v>
      </c>
      <c r="G4472" s="2" t="s">
        <v>4801</v>
      </c>
    </row>
    <row r="4473">
      <c r="A4473" s="2" t="s">
        <v>4807</v>
      </c>
      <c r="B4473" s="2" t="s">
        <v>5488</v>
      </c>
      <c r="D4473" s="2" t="s">
        <v>4800</v>
      </c>
      <c r="G4473" s="2" t="s">
        <v>4801</v>
      </c>
    </row>
    <row r="4474">
      <c r="A4474" s="2" t="s">
        <v>4807</v>
      </c>
      <c r="B4474" s="2" t="s">
        <v>5489</v>
      </c>
      <c r="D4474" s="2" t="s">
        <v>4800</v>
      </c>
      <c r="G4474" s="2" t="s">
        <v>4801</v>
      </c>
    </row>
    <row r="4475">
      <c r="A4475" s="2" t="s">
        <v>4807</v>
      </c>
      <c r="B4475" s="2" t="s">
        <v>5488</v>
      </c>
      <c r="D4475" s="2" t="s">
        <v>4800</v>
      </c>
      <c r="G4475" s="2" t="s">
        <v>4801</v>
      </c>
    </row>
    <row r="4476">
      <c r="A4476" s="2" t="s">
        <v>4807</v>
      </c>
      <c r="B4476" s="2" t="s">
        <v>5240</v>
      </c>
      <c r="D4476" s="2" t="s">
        <v>4800</v>
      </c>
      <c r="G4476" s="2" t="s">
        <v>4801</v>
      </c>
    </row>
    <row r="4477">
      <c r="A4477" s="2" t="s">
        <v>4807</v>
      </c>
      <c r="B4477" s="2" t="s">
        <v>5488</v>
      </c>
      <c r="D4477" s="2" t="s">
        <v>4800</v>
      </c>
      <c r="G4477" s="2" t="s">
        <v>4801</v>
      </c>
    </row>
    <row r="4478">
      <c r="A4478" s="2" t="s">
        <v>4807</v>
      </c>
      <c r="B4478" s="2" t="s">
        <v>5242</v>
      </c>
      <c r="D4478" s="2" t="s">
        <v>4800</v>
      </c>
      <c r="G4478" s="2" t="s">
        <v>4801</v>
      </c>
    </row>
    <row r="4479">
      <c r="A4479" s="2" t="s">
        <v>4807</v>
      </c>
      <c r="B4479" s="2" t="s">
        <v>5490</v>
      </c>
      <c r="D4479" s="2" t="s">
        <v>4800</v>
      </c>
      <c r="G4479" s="2" t="s">
        <v>4801</v>
      </c>
    </row>
    <row r="4480">
      <c r="A4480" s="2" t="s">
        <v>4807</v>
      </c>
      <c r="B4480" s="2" t="s">
        <v>5491</v>
      </c>
      <c r="D4480" s="2" t="s">
        <v>4800</v>
      </c>
      <c r="G4480" s="2" t="s">
        <v>4801</v>
      </c>
    </row>
    <row r="4481">
      <c r="A4481" s="2" t="s">
        <v>4807</v>
      </c>
      <c r="B4481" s="2" t="s">
        <v>5492</v>
      </c>
      <c r="D4481" s="2" t="s">
        <v>4800</v>
      </c>
      <c r="G4481" s="2" t="s">
        <v>4801</v>
      </c>
    </row>
    <row r="4482">
      <c r="A4482" s="2" t="s">
        <v>4807</v>
      </c>
      <c r="B4482" s="2" t="s">
        <v>5493</v>
      </c>
      <c r="D4482" s="2" t="s">
        <v>4800</v>
      </c>
      <c r="G4482" s="2" t="s">
        <v>4801</v>
      </c>
    </row>
    <row r="4483">
      <c r="A4483" s="2" t="s">
        <v>4807</v>
      </c>
      <c r="B4483" s="2" t="s">
        <v>5494</v>
      </c>
      <c r="D4483" s="2" t="s">
        <v>4800</v>
      </c>
      <c r="G4483" s="2" t="s">
        <v>4801</v>
      </c>
    </row>
    <row r="4484">
      <c r="A4484" s="2" t="s">
        <v>4807</v>
      </c>
      <c r="B4484" s="2" t="s">
        <v>5495</v>
      </c>
      <c r="D4484" s="2" t="s">
        <v>4800</v>
      </c>
      <c r="G4484" s="2" t="s">
        <v>4801</v>
      </c>
    </row>
    <row r="4485">
      <c r="A4485" s="2" t="s">
        <v>4807</v>
      </c>
      <c r="B4485" s="2" t="s">
        <v>5496</v>
      </c>
      <c r="D4485" s="2" t="s">
        <v>4800</v>
      </c>
      <c r="G4485" s="2" t="s">
        <v>4801</v>
      </c>
    </row>
    <row r="4486">
      <c r="A4486" s="2" t="s">
        <v>4807</v>
      </c>
      <c r="B4486" s="2" t="s">
        <v>5497</v>
      </c>
      <c r="D4486" s="2" t="s">
        <v>4800</v>
      </c>
      <c r="G4486" s="2" t="s">
        <v>4801</v>
      </c>
    </row>
    <row r="4487">
      <c r="A4487" s="2" t="s">
        <v>4807</v>
      </c>
      <c r="B4487" s="2" t="s">
        <v>5498</v>
      </c>
      <c r="D4487" s="2" t="s">
        <v>4800</v>
      </c>
      <c r="G4487" s="2" t="s">
        <v>4801</v>
      </c>
    </row>
    <row r="4488">
      <c r="A4488" s="2" t="s">
        <v>4807</v>
      </c>
      <c r="B4488" s="2" t="s">
        <v>5499</v>
      </c>
      <c r="D4488" s="2" t="s">
        <v>4800</v>
      </c>
      <c r="G4488" s="2" t="s">
        <v>4801</v>
      </c>
    </row>
    <row r="4489">
      <c r="A4489" s="2" t="s">
        <v>4807</v>
      </c>
      <c r="B4489" s="2" t="s">
        <v>5500</v>
      </c>
      <c r="D4489" s="2" t="s">
        <v>4800</v>
      </c>
      <c r="G4489" s="2" t="s">
        <v>4801</v>
      </c>
    </row>
    <row r="4490">
      <c r="A4490" s="2" t="s">
        <v>4807</v>
      </c>
      <c r="B4490" s="2" t="s">
        <v>5501</v>
      </c>
      <c r="D4490" s="2" t="s">
        <v>4800</v>
      </c>
      <c r="G4490" s="2" t="s">
        <v>4801</v>
      </c>
    </row>
    <row r="4491">
      <c r="A4491" s="2" t="s">
        <v>4807</v>
      </c>
      <c r="B4491" s="2" t="s">
        <v>5502</v>
      </c>
      <c r="D4491" s="2" t="s">
        <v>4800</v>
      </c>
      <c r="G4491" s="2" t="s">
        <v>4801</v>
      </c>
    </row>
    <row r="4492">
      <c r="A4492" s="2" t="s">
        <v>4807</v>
      </c>
      <c r="B4492" s="2" t="s">
        <v>5503</v>
      </c>
      <c r="D4492" s="2" t="s">
        <v>4800</v>
      </c>
      <c r="G4492" s="2" t="s">
        <v>4801</v>
      </c>
    </row>
    <row r="4493">
      <c r="A4493" s="2" t="s">
        <v>4807</v>
      </c>
      <c r="B4493" s="2" t="s">
        <v>5504</v>
      </c>
      <c r="D4493" s="2" t="s">
        <v>4800</v>
      </c>
      <c r="G4493" s="2" t="s">
        <v>4801</v>
      </c>
    </row>
    <row r="4494">
      <c r="A4494" s="2" t="s">
        <v>4807</v>
      </c>
      <c r="B4494" s="2" t="s">
        <v>5505</v>
      </c>
      <c r="D4494" s="2" t="s">
        <v>4800</v>
      </c>
      <c r="G4494" s="2" t="s">
        <v>4801</v>
      </c>
    </row>
    <row r="4495">
      <c r="A4495" s="2" t="s">
        <v>4807</v>
      </c>
      <c r="B4495" s="2" t="s">
        <v>5506</v>
      </c>
      <c r="D4495" s="2" t="s">
        <v>4800</v>
      </c>
      <c r="G4495" s="2" t="s">
        <v>4801</v>
      </c>
    </row>
    <row r="4496">
      <c r="A4496" s="2" t="s">
        <v>4807</v>
      </c>
      <c r="B4496" s="2" t="s">
        <v>5507</v>
      </c>
      <c r="D4496" s="2" t="s">
        <v>4800</v>
      </c>
      <c r="G4496" s="2" t="s">
        <v>4801</v>
      </c>
    </row>
    <row r="4497">
      <c r="A4497" s="2" t="s">
        <v>4807</v>
      </c>
      <c r="B4497" s="2" t="s">
        <v>5508</v>
      </c>
      <c r="D4497" s="2" t="s">
        <v>4800</v>
      </c>
      <c r="G4497" s="2" t="s">
        <v>4801</v>
      </c>
    </row>
    <row r="4498">
      <c r="A4498" s="2" t="s">
        <v>4807</v>
      </c>
      <c r="B4498" s="2" t="s">
        <v>5509</v>
      </c>
      <c r="D4498" s="2" t="s">
        <v>4800</v>
      </c>
      <c r="G4498" s="2" t="s">
        <v>4801</v>
      </c>
    </row>
    <row r="4499">
      <c r="A4499" s="2" t="s">
        <v>4807</v>
      </c>
      <c r="B4499" s="2" t="s">
        <v>5510</v>
      </c>
      <c r="D4499" s="2" t="s">
        <v>4800</v>
      </c>
      <c r="G4499" s="2" t="s">
        <v>4801</v>
      </c>
    </row>
    <row r="4500">
      <c r="A4500" s="2" t="s">
        <v>4807</v>
      </c>
      <c r="B4500" s="2" t="s">
        <v>5511</v>
      </c>
      <c r="D4500" s="2" t="s">
        <v>4800</v>
      </c>
      <c r="G4500" s="2" t="s">
        <v>4801</v>
      </c>
    </row>
    <row r="4501">
      <c r="A4501" s="2" t="s">
        <v>4807</v>
      </c>
      <c r="B4501" s="2" t="s">
        <v>5512</v>
      </c>
      <c r="D4501" s="2" t="s">
        <v>4800</v>
      </c>
      <c r="G4501" s="2" t="s">
        <v>4801</v>
      </c>
    </row>
    <row r="4502">
      <c r="A4502" s="2" t="s">
        <v>4807</v>
      </c>
      <c r="B4502" s="2" t="s">
        <v>5513</v>
      </c>
      <c r="D4502" s="2" t="s">
        <v>4800</v>
      </c>
      <c r="G4502" s="2" t="s">
        <v>4801</v>
      </c>
    </row>
    <row r="4503">
      <c r="A4503" s="2" t="s">
        <v>4807</v>
      </c>
      <c r="B4503" s="2" t="s">
        <v>5514</v>
      </c>
      <c r="D4503" s="2" t="s">
        <v>4800</v>
      </c>
      <c r="G4503" s="2" t="s">
        <v>4801</v>
      </c>
    </row>
    <row r="4504">
      <c r="A4504" s="2" t="s">
        <v>4807</v>
      </c>
      <c r="B4504" s="2" t="s">
        <v>5515</v>
      </c>
      <c r="D4504" s="2" t="s">
        <v>4800</v>
      </c>
      <c r="G4504" s="2" t="s">
        <v>4801</v>
      </c>
    </row>
    <row r="4505">
      <c r="A4505" s="2" t="s">
        <v>4807</v>
      </c>
      <c r="B4505" s="2" t="s">
        <v>5516</v>
      </c>
      <c r="D4505" s="2" t="s">
        <v>4800</v>
      </c>
      <c r="G4505" s="2" t="s">
        <v>4801</v>
      </c>
    </row>
    <row r="4506">
      <c r="A4506" s="2" t="s">
        <v>4807</v>
      </c>
      <c r="B4506" s="2" t="s">
        <v>5517</v>
      </c>
      <c r="D4506" s="2" t="s">
        <v>4800</v>
      </c>
      <c r="G4506" s="2" t="s">
        <v>4801</v>
      </c>
    </row>
    <row r="4507">
      <c r="A4507" s="2" t="s">
        <v>4807</v>
      </c>
      <c r="B4507" s="2" t="s">
        <v>5518</v>
      </c>
      <c r="D4507" s="2" t="s">
        <v>4800</v>
      </c>
      <c r="G4507" s="2" t="s">
        <v>4801</v>
      </c>
    </row>
    <row r="4508">
      <c r="A4508" s="2" t="s">
        <v>4807</v>
      </c>
      <c r="B4508" s="2" t="s">
        <v>5519</v>
      </c>
      <c r="D4508" s="2" t="s">
        <v>4800</v>
      </c>
      <c r="G4508" s="2" t="s">
        <v>4801</v>
      </c>
    </row>
    <row r="4509">
      <c r="A4509" s="2" t="s">
        <v>4807</v>
      </c>
      <c r="B4509" s="2" t="s">
        <v>5520</v>
      </c>
      <c r="D4509" s="2" t="s">
        <v>4800</v>
      </c>
      <c r="G4509" s="2" t="s">
        <v>4801</v>
      </c>
    </row>
    <row r="4510">
      <c r="A4510" s="2" t="s">
        <v>4807</v>
      </c>
      <c r="B4510" s="2" t="s">
        <v>5521</v>
      </c>
      <c r="D4510" s="2" t="s">
        <v>4800</v>
      </c>
      <c r="G4510" s="2" t="s">
        <v>4801</v>
      </c>
    </row>
    <row r="4511">
      <c r="A4511" s="2" t="s">
        <v>4807</v>
      </c>
      <c r="B4511" s="2" t="s">
        <v>5522</v>
      </c>
      <c r="D4511" s="2" t="s">
        <v>4800</v>
      </c>
      <c r="G4511" s="2" t="s">
        <v>4801</v>
      </c>
    </row>
    <row r="4512">
      <c r="A4512" s="2" t="s">
        <v>4807</v>
      </c>
      <c r="B4512" s="2" t="s">
        <v>5523</v>
      </c>
      <c r="D4512" s="2" t="s">
        <v>4800</v>
      </c>
      <c r="G4512" s="2" t="s">
        <v>4801</v>
      </c>
    </row>
    <row r="4513">
      <c r="A4513" s="2" t="s">
        <v>4807</v>
      </c>
      <c r="B4513" s="2" t="s">
        <v>5524</v>
      </c>
      <c r="D4513" s="2" t="s">
        <v>4800</v>
      </c>
      <c r="G4513" s="2" t="s">
        <v>4801</v>
      </c>
    </row>
    <row r="4514">
      <c r="A4514" s="2" t="s">
        <v>4807</v>
      </c>
      <c r="B4514" s="2" t="s">
        <v>5525</v>
      </c>
      <c r="D4514" s="2" t="s">
        <v>4800</v>
      </c>
      <c r="G4514" s="2" t="s">
        <v>4801</v>
      </c>
    </row>
    <row r="4515">
      <c r="A4515" s="2" t="s">
        <v>4807</v>
      </c>
      <c r="B4515" s="2" t="s">
        <v>5526</v>
      </c>
      <c r="D4515" s="2" t="s">
        <v>4800</v>
      </c>
      <c r="G4515" s="2" t="s">
        <v>4801</v>
      </c>
    </row>
    <row r="4516">
      <c r="A4516" s="2" t="s">
        <v>4807</v>
      </c>
      <c r="B4516" s="2" t="s">
        <v>5527</v>
      </c>
      <c r="D4516" s="2" t="s">
        <v>4800</v>
      </c>
      <c r="G4516" s="2" t="s">
        <v>4801</v>
      </c>
    </row>
    <row r="4517">
      <c r="A4517" s="2" t="s">
        <v>4807</v>
      </c>
      <c r="B4517" s="2" t="s">
        <v>5528</v>
      </c>
      <c r="D4517" s="2" t="s">
        <v>4800</v>
      </c>
      <c r="G4517" s="2" t="s">
        <v>4801</v>
      </c>
    </row>
    <row r="4518">
      <c r="A4518" s="2" t="s">
        <v>4807</v>
      </c>
      <c r="B4518" s="2" t="s">
        <v>5529</v>
      </c>
      <c r="D4518" s="2" t="s">
        <v>4800</v>
      </c>
      <c r="G4518" s="2" t="s">
        <v>4801</v>
      </c>
    </row>
    <row r="4519">
      <c r="A4519" s="2" t="s">
        <v>4807</v>
      </c>
      <c r="B4519" s="2" t="s">
        <v>5530</v>
      </c>
      <c r="D4519" s="2" t="s">
        <v>4800</v>
      </c>
      <c r="G4519" s="2" t="s">
        <v>4801</v>
      </c>
    </row>
    <row r="4520">
      <c r="A4520" s="2" t="s">
        <v>4807</v>
      </c>
      <c r="B4520" s="2" t="s">
        <v>5531</v>
      </c>
      <c r="D4520" s="2" t="s">
        <v>4800</v>
      </c>
      <c r="G4520" s="2" t="s">
        <v>4801</v>
      </c>
    </row>
    <row r="4521">
      <c r="A4521" s="2" t="s">
        <v>4807</v>
      </c>
      <c r="B4521" s="2" t="s">
        <v>5532</v>
      </c>
      <c r="D4521" s="2" t="s">
        <v>4800</v>
      </c>
      <c r="G4521" s="2" t="s">
        <v>4801</v>
      </c>
    </row>
    <row r="4522">
      <c r="A4522" s="2" t="s">
        <v>4807</v>
      </c>
      <c r="B4522" s="2" t="s">
        <v>5533</v>
      </c>
      <c r="D4522" s="2" t="s">
        <v>4800</v>
      </c>
      <c r="G4522" s="2" t="s">
        <v>4801</v>
      </c>
    </row>
    <row r="4523">
      <c r="A4523" s="2" t="s">
        <v>4807</v>
      </c>
      <c r="B4523" s="2" t="s">
        <v>5534</v>
      </c>
      <c r="D4523" s="2" t="s">
        <v>4800</v>
      </c>
      <c r="G4523" s="2" t="s">
        <v>4801</v>
      </c>
    </row>
    <row r="4524">
      <c r="A4524" s="2" t="s">
        <v>4807</v>
      </c>
      <c r="B4524" s="2" t="s">
        <v>5535</v>
      </c>
      <c r="D4524" s="2" t="s">
        <v>4800</v>
      </c>
      <c r="G4524" s="2" t="s">
        <v>4801</v>
      </c>
    </row>
    <row r="4525">
      <c r="A4525" s="2" t="s">
        <v>4807</v>
      </c>
      <c r="B4525" s="2" t="s">
        <v>5536</v>
      </c>
      <c r="D4525" s="2" t="s">
        <v>4800</v>
      </c>
      <c r="G4525" s="2" t="s">
        <v>4801</v>
      </c>
    </row>
    <row r="4526">
      <c r="A4526" s="2" t="s">
        <v>4807</v>
      </c>
      <c r="B4526" s="2" t="s">
        <v>5537</v>
      </c>
      <c r="D4526" s="2" t="s">
        <v>4800</v>
      </c>
      <c r="G4526" s="2" t="s">
        <v>4801</v>
      </c>
    </row>
    <row r="4527">
      <c r="A4527" s="2" t="s">
        <v>4807</v>
      </c>
      <c r="B4527" s="2" t="s">
        <v>5538</v>
      </c>
      <c r="D4527" s="2" t="s">
        <v>4800</v>
      </c>
      <c r="G4527" s="2" t="s">
        <v>4801</v>
      </c>
    </row>
    <row r="4528">
      <c r="A4528" s="2" t="s">
        <v>4807</v>
      </c>
      <c r="B4528" s="2" t="s">
        <v>5539</v>
      </c>
      <c r="D4528" s="2" t="s">
        <v>4800</v>
      </c>
      <c r="G4528" s="2" t="s">
        <v>4801</v>
      </c>
    </row>
    <row r="4529">
      <c r="A4529" s="2" t="s">
        <v>4807</v>
      </c>
      <c r="B4529" s="2" t="s">
        <v>5540</v>
      </c>
      <c r="D4529" s="2" t="s">
        <v>4800</v>
      </c>
      <c r="G4529" s="2" t="s">
        <v>4801</v>
      </c>
    </row>
    <row r="4530">
      <c r="A4530" s="2" t="s">
        <v>4807</v>
      </c>
      <c r="B4530" s="2" t="s">
        <v>5541</v>
      </c>
      <c r="D4530" s="2" t="s">
        <v>4800</v>
      </c>
      <c r="G4530" s="2" t="s">
        <v>4801</v>
      </c>
    </row>
    <row r="4531">
      <c r="A4531" s="2" t="s">
        <v>4807</v>
      </c>
      <c r="B4531" s="2" t="s">
        <v>5542</v>
      </c>
      <c r="D4531" s="2" t="s">
        <v>4800</v>
      </c>
      <c r="G4531" s="2" t="s">
        <v>4801</v>
      </c>
    </row>
    <row r="4532">
      <c r="A4532" s="2" t="s">
        <v>4807</v>
      </c>
      <c r="B4532" s="2" t="s">
        <v>5543</v>
      </c>
      <c r="D4532" s="2" t="s">
        <v>4800</v>
      </c>
      <c r="G4532" s="2" t="s">
        <v>4801</v>
      </c>
    </row>
    <row r="4533">
      <c r="A4533" s="2" t="s">
        <v>4807</v>
      </c>
      <c r="B4533" s="2" t="s">
        <v>5544</v>
      </c>
      <c r="D4533" s="2" t="s">
        <v>4800</v>
      </c>
      <c r="G4533" s="2" t="s">
        <v>4801</v>
      </c>
    </row>
    <row r="4534">
      <c r="A4534" s="2" t="s">
        <v>4807</v>
      </c>
      <c r="B4534" s="2" t="s">
        <v>5545</v>
      </c>
      <c r="D4534" s="2" t="s">
        <v>4800</v>
      </c>
      <c r="G4534" s="2" t="s">
        <v>4801</v>
      </c>
    </row>
    <row r="4535">
      <c r="A4535" s="2" t="s">
        <v>4807</v>
      </c>
      <c r="B4535" s="2" t="s">
        <v>5547</v>
      </c>
      <c r="D4535" s="2" t="s">
        <v>4800</v>
      </c>
      <c r="G4535" s="2" t="s">
        <v>4801</v>
      </c>
    </row>
    <row r="4536">
      <c r="A4536" s="2" t="s">
        <v>4807</v>
      </c>
      <c r="B4536" s="2" t="s">
        <v>5548</v>
      </c>
      <c r="D4536" s="2" t="s">
        <v>4800</v>
      </c>
      <c r="G4536" s="2" t="s">
        <v>4801</v>
      </c>
    </row>
    <row r="4537">
      <c r="A4537" s="2" t="s">
        <v>4807</v>
      </c>
      <c r="B4537" s="2" t="s">
        <v>5549</v>
      </c>
      <c r="D4537" s="2" t="s">
        <v>4800</v>
      </c>
      <c r="G4537" s="2" t="s">
        <v>4801</v>
      </c>
    </row>
    <row r="4538">
      <c r="A4538" s="2" t="s">
        <v>4807</v>
      </c>
      <c r="B4538" s="2" t="s">
        <v>5550</v>
      </c>
      <c r="D4538" s="2" t="s">
        <v>4800</v>
      </c>
      <c r="G4538" s="2" t="s">
        <v>4801</v>
      </c>
    </row>
    <row r="4539">
      <c r="A4539" s="2" t="s">
        <v>4807</v>
      </c>
      <c r="B4539" s="2" t="s">
        <v>5551</v>
      </c>
      <c r="D4539" s="2" t="s">
        <v>4800</v>
      </c>
      <c r="G4539" s="2" t="s">
        <v>4801</v>
      </c>
    </row>
    <row r="4540">
      <c r="A4540" s="2" t="s">
        <v>4807</v>
      </c>
      <c r="B4540" s="2" t="s">
        <v>5552</v>
      </c>
      <c r="D4540" s="2" t="s">
        <v>4800</v>
      </c>
      <c r="G4540" s="2" t="s">
        <v>4801</v>
      </c>
    </row>
    <row r="4541">
      <c r="A4541" s="2" t="s">
        <v>4807</v>
      </c>
      <c r="B4541" s="2" t="s">
        <v>5553</v>
      </c>
      <c r="D4541" s="2" t="s">
        <v>4800</v>
      </c>
      <c r="G4541" s="2" t="s">
        <v>4801</v>
      </c>
    </row>
    <row r="4542">
      <c r="A4542" s="2" t="s">
        <v>4807</v>
      </c>
      <c r="B4542" s="2" t="s">
        <v>5554</v>
      </c>
      <c r="D4542" s="2" t="s">
        <v>4800</v>
      </c>
      <c r="G4542" s="2" t="s">
        <v>4801</v>
      </c>
    </row>
    <row r="4543">
      <c r="A4543" s="2" t="s">
        <v>4807</v>
      </c>
      <c r="B4543" s="2" t="s">
        <v>5555</v>
      </c>
      <c r="D4543" s="2" t="s">
        <v>4800</v>
      </c>
      <c r="G4543" s="2" t="s">
        <v>4801</v>
      </c>
    </row>
    <row r="4544">
      <c r="A4544" s="2" t="s">
        <v>4807</v>
      </c>
      <c r="B4544" s="2" t="s">
        <v>5556</v>
      </c>
      <c r="D4544" s="2" t="s">
        <v>4800</v>
      </c>
      <c r="G4544" s="2" t="s">
        <v>4801</v>
      </c>
    </row>
    <row r="4545">
      <c r="A4545" s="2" t="s">
        <v>4807</v>
      </c>
      <c r="B4545" s="2" t="s">
        <v>5558</v>
      </c>
      <c r="D4545" s="2" t="s">
        <v>4800</v>
      </c>
      <c r="G4545" s="2" t="s">
        <v>4801</v>
      </c>
    </row>
    <row r="4546">
      <c r="A4546" s="2" t="s">
        <v>4807</v>
      </c>
      <c r="B4546" s="2" t="s">
        <v>5560</v>
      </c>
      <c r="D4546" s="2" t="s">
        <v>4800</v>
      </c>
      <c r="G4546" s="2" t="s">
        <v>4801</v>
      </c>
    </row>
    <row r="4547">
      <c r="A4547" s="2" t="s">
        <v>4807</v>
      </c>
      <c r="B4547" s="2" t="s">
        <v>5561</v>
      </c>
      <c r="D4547" s="2" t="s">
        <v>4800</v>
      </c>
      <c r="G4547" s="2" t="s">
        <v>4801</v>
      </c>
    </row>
    <row r="4548">
      <c r="A4548" s="2" t="s">
        <v>4807</v>
      </c>
      <c r="B4548" s="2" t="s">
        <v>5562</v>
      </c>
      <c r="D4548" s="2" t="s">
        <v>4800</v>
      </c>
      <c r="G4548" s="2" t="s">
        <v>4801</v>
      </c>
    </row>
    <row r="4549">
      <c r="A4549" s="2" t="s">
        <v>4807</v>
      </c>
      <c r="B4549" s="2" t="s">
        <v>5563</v>
      </c>
      <c r="D4549" s="2" t="s">
        <v>4800</v>
      </c>
      <c r="G4549" s="2" t="s">
        <v>4801</v>
      </c>
    </row>
    <row r="4550">
      <c r="A4550" s="2" t="s">
        <v>4807</v>
      </c>
      <c r="B4550" s="2" t="s">
        <v>5564</v>
      </c>
      <c r="D4550" s="2" t="s">
        <v>4800</v>
      </c>
      <c r="G4550" s="2" t="s">
        <v>4801</v>
      </c>
    </row>
    <row r="4551">
      <c r="A4551" s="2" t="s">
        <v>4807</v>
      </c>
      <c r="B4551" s="2" t="s">
        <v>5565</v>
      </c>
      <c r="D4551" s="2" t="s">
        <v>4800</v>
      </c>
      <c r="G4551" s="2" t="s">
        <v>4801</v>
      </c>
    </row>
    <row r="4552">
      <c r="A4552" s="2" t="s">
        <v>4807</v>
      </c>
      <c r="B4552" s="2" t="s">
        <v>5566</v>
      </c>
      <c r="D4552" s="2" t="s">
        <v>4800</v>
      </c>
      <c r="G4552" s="2" t="s">
        <v>4801</v>
      </c>
    </row>
    <row r="4553">
      <c r="A4553" s="2" t="s">
        <v>4807</v>
      </c>
      <c r="B4553" s="2" t="s">
        <v>5567</v>
      </c>
      <c r="D4553" s="2" t="s">
        <v>4800</v>
      </c>
      <c r="G4553" s="2" t="s">
        <v>4801</v>
      </c>
    </row>
    <row r="4554">
      <c r="A4554" s="2" t="s">
        <v>4807</v>
      </c>
      <c r="B4554" s="2" t="s">
        <v>5568</v>
      </c>
      <c r="D4554" s="2" t="s">
        <v>4800</v>
      </c>
      <c r="G4554" s="2" t="s">
        <v>4801</v>
      </c>
    </row>
    <row r="4555">
      <c r="A4555" s="2" t="s">
        <v>4807</v>
      </c>
      <c r="B4555" s="2" t="s">
        <v>5569</v>
      </c>
      <c r="D4555" s="2" t="s">
        <v>4800</v>
      </c>
      <c r="G4555" s="2" t="s">
        <v>4801</v>
      </c>
    </row>
    <row r="4556">
      <c r="A4556" s="2" t="s">
        <v>4807</v>
      </c>
      <c r="B4556" s="2" t="s">
        <v>5570</v>
      </c>
      <c r="D4556" s="2" t="s">
        <v>4800</v>
      </c>
      <c r="G4556" s="2" t="s">
        <v>4801</v>
      </c>
    </row>
    <row r="4557">
      <c r="A4557" s="2" t="s">
        <v>4807</v>
      </c>
      <c r="B4557" s="2" t="s">
        <v>5571</v>
      </c>
      <c r="D4557" s="2" t="s">
        <v>4800</v>
      </c>
      <c r="G4557" s="2" t="s">
        <v>4801</v>
      </c>
    </row>
    <row r="4558">
      <c r="A4558" s="2" t="s">
        <v>4807</v>
      </c>
      <c r="B4558" s="2" t="s">
        <v>5572</v>
      </c>
      <c r="D4558" s="2" t="s">
        <v>4800</v>
      </c>
      <c r="G4558" s="2" t="s">
        <v>4801</v>
      </c>
    </row>
    <row r="4559">
      <c r="A4559" s="2" t="s">
        <v>4807</v>
      </c>
      <c r="B4559" s="2" t="s">
        <v>5573</v>
      </c>
      <c r="D4559" s="2" t="s">
        <v>4800</v>
      </c>
      <c r="G4559" s="2" t="s">
        <v>4801</v>
      </c>
    </row>
    <row r="4560">
      <c r="A4560" s="2" t="s">
        <v>4807</v>
      </c>
      <c r="B4560" s="2" t="s">
        <v>5574</v>
      </c>
      <c r="D4560" s="2" t="s">
        <v>4800</v>
      </c>
      <c r="G4560" s="2" t="s">
        <v>4801</v>
      </c>
    </row>
    <row r="4561">
      <c r="A4561" s="2" t="s">
        <v>4807</v>
      </c>
      <c r="B4561" s="2" t="s">
        <v>5575</v>
      </c>
      <c r="D4561" s="2" t="s">
        <v>4800</v>
      </c>
      <c r="G4561" s="2" t="s">
        <v>4801</v>
      </c>
    </row>
    <row r="4562">
      <c r="A4562" s="2" t="s">
        <v>4807</v>
      </c>
      <c r="B4562" s="2" t="s">
        <v>5576</v>
      </c>
      <c r="D4562" s="2" t="s">
        <v>4800</v>
      </c>
      <c r="G4562" s="2" t="s">
        <v>4801</v>
      </c>
    </row>
    <row r="4563">
      <c r="A4563" s="2" t="s">
        <v>4807</v>
      </c>
      <c r="B4563" s="2" t="s">
        <v>5577</v>
      </c>
      <c r="D4563" s="2" t="s">
        <v>4800</v>
      </c>
      <c r="G4563" s="2" t="s">
        <v>4801</v>
      </c>
    </row>
    <row r="4564">
      <c r="A4564" s="2" t="s">
        <v>4807</v>
      </c>
      <c r="B4564" s="2" t="s">
        <v>5578</v>
      </c>
      <c r="D4564" s="2" t="s">
        <v>4800</v>
      </c>
      <c r="G4564" s="2" t="s">
        <v>4801</v>
      </c>
    </row>
    <row r="4565">
      <c r="A4565" s="2" t="s">
        <v>4807</v>
      </c>
      <c r="B4565" s="2" t="s">
        <v>5579</v>
      </c>
      <c r="D4565" s="2" t="s">
        <v>4800</v>
      </c>
      <c r="G4565" s="2" t="s">
        <v>4801</v>
      </c>
    </row>
    <row r="4566">
      <c r="A4566" s="2" t="s">
        <v>4807</v>
      </c>
      <c r="B4566" s="2" t="s">
        <v>5580</v>
      </c>
      <c r="D4566" s="2" t="s">
        <v>4800</v>
      </c>
      <c r="G4566" s="2" t="s">
        <v>4801</v>
      </c>
    </row>
    <row r="4567">
      <c r="A4567" s="2" t="s">
        <v>4807</v>
      </c>
      <c r="B4567" s="2" t="s">
        <v>5581</v>
      </c>
      <c r="D4567" s="2" t="s">
        <v>4800</v>
      </c>
      <c r="G4567" s="2" t="s">
        <v>4801</v>
      </c>
    </row>
    <row r="4568">
      <c r="A4568" s="2" t="s">
        <v>4807</v>
      </c>
      <c r="B4568" s="2" t="s">
        <v>5582</v>
      </c>
      <c r="D4568" s="2" t="s">
        <v>4800</v>
      </c>
      <c r="G4568" s="2" t="s">
        <v>4801</v>
      </c>
    </row>
    <row r="4569">
      <c r="A4569" s="2" t="s">
        <v>4807</v>
      </c>
      <c r="B4569" s="2" t="s">
        <v>5583</v>
      </c>
      <c r="D4569" s="2" t="s">
        <v>4800</v>
      </c>
      <c r="G4569" s="2" t="s">
        <v>4801</v>
      </c>
    </row>
    <row r="4570">
      <c r="A4570" s="2" t="s">
        <v>4807</v>
      </c>
      <c r="B4570" s="2" t="s">
        <v>5584</v>
      </c>
      <c r="D4570" s="2" t="s">
        <v>4800</v>
      </c>
      <c r="G4570" s="2" t="s">
        <v>4801</v>
      </c>
    </row>
    <row r="4571">
      <c r="A4571" s="2" t="s">
        <v>4807</v>
      </c>
      <c r="B4571" s="2" t="s">
        <v>5585</v>
      </c>
      <c r="D4571" s="2" t="s">
        <v>4800</v>
      </c>
      <c r="G4571" s="2" t="s">
        <v>4801</v>
      </c>
    </row>
    <row r="4572">
      <c r="A4572" s="2" t="s">
        <v>4807</v>
      </c>
      <c r="B4572" s="2" t="s">
        <v>5586</v>
      </c>
      <c r="D4572" s="2" t="s">
        <v>4800</v>
      </c>
      <c r="G4572" s="2" t="s">
        <v>4801</v>
      </c>
    </row>
    <row r="4573">
      <c r="A4573" s="2" t="s">
        <v>4807</v>
      </c>
      <c r="B4573" s="2" t="s">
        <v>5587</v>
      </c>
      <c r="D4573" s="2" t="s">
        <v>4800</v>
      </c>
      <c r="G4573" s="2" t="s">
        <v>4801</v>
      </c>
    </row>
    <row r="4574">
      <c r="A4574" s="2" t="s">
        <v>4807</v>
      </c>
      <c r="B4574" s="2" t="s">
        <v>5588</v>
      </c>
      <c r="D4574" s="2" t="s">
        <v>4800</v>
      </c>
      <c r="G4574" s="2" t="s">
        <v>4801</v>
      </c>
    </row>
    <row r="4575">
      <c r="A4575" s="2" t="s">
        <v>4807</v>
      </c>
      <c r="B4575" s="2" t="s">
        <v>5589</v>
      </c>
      <c r="D4575" s="2" t="s">
        <v>4800</v>
      </c>
      <c r="G4575" s="2" t="s">
        <v>4801</v>
      </c>
    </row>
    <row r="4576">
      <c r="A4576" s="2" t="s">
        <v>4807</v>
      </c>
      <c r="B4576" s="2" t="s">
        <v>5590</v>
      </c>
      <c r="D4576" s="2" t="s">
        <v>4800</v>
      </c>
      <c r="G4576" s="2" t="s">
        <v>4801</v>
      </c>
    </row>
    <row r="4577">
      <c r="A4577" s="2" t="s">
        <v>4807</v>
      </c>
      <c r="B4577" s="2" t="s">
        <v>5591</v>
      </c>
      <c r="D4577" s="2" t="s">
        <v>4800</v>
      </c>
      <c r="G4577" s="2" t="s">
        <v>4801</v>
      </c>
    </row>
    <row r="4578">
      <c r="A4578" s="2" t="s">
        <v>4807</v>
      </c>
      <c r="B4578" s="2" t="s">
        <v>5593</v>
      </c>
      <c r="D4578" s="2" t="s">
        <v>4800</v>
      </c>
      <c r="G4578" s="2" t="s">
        <v>4801</v>
      </c>
    </row>
    <row r="4579">
      <c r="A4579" s="2" t="s">
        <v>4807</v>
      </c>
      <c r="B4579" s="2" t="s">
        <v>5594</v>
      </c>
      <c r="D4579" s="2" t="s">
        <v>4800</v>
      </c>
      <c r="G4579" s="2" t="s">
        <v>4801</v>
      </c>
    </row>
    <row r="4580">
      <c r="A4580" s="2" t="s">
        <v>4807</v>
      </c>
      <c r="B4580" s="2" t="s">
        <v>5595</v>
      </c>
      <c r="D4580" s="2" t="s">
        <v>4800</v>
      </c>
      <c r="G4580" s="2" t="s">
        <v>4801</v>
      </c>
    </row>
    <row r="4581">
      <c r="A4581" s="2" t="s">
        <v>4807</v>
      </c>
      <c r="B4581" s="2" t="s">
        <v>5596</v>
      </c>
      <c r="D4581" s="2" t="s">
        <v>4800</v>
      </c>
      <c r="G4581" s="2" t="s">
        <v>4801</v>
      </c>
    </row>
    <row r="4582">
      <c r="A4582" s="2" t="s">
        <v>4807</v>
      </c>
      <c r="B4582" s="2" t="s">
        <v>4834</v>
      </c>
      <c r="D4582" s="2" t="s">
        <v>4800</v>
      </c>
      <c r="G4582" s="2" t="s">
        <v>4801</v>
      </c>
    </row>
    <row r="4583">
      <c r="A4583" s="2" t="s">
        <v>4807</v>
      </c>
      <c r="B4583" s="2" t="s">
        <v>5597</v>
      </c>
      <c r="D4583" s="2" t="s">
        <v>4800</v>
      </c>
      <c r="G4583" s="2" t="s">
        <v>4801</v>
      </c>
    </row>
    <row r="4584">
      <c r="A4584" s="2" t="s">
        <v>4807</v>
      </c>
      <c r="B4584" s="2" t="s">
        <v>4837</v>
      </c>
      <c r="D4584" s="2" t="s">
        <v>4800</v>
      </c>
      <c r="G4584" s="2" t="s">
        <v>4801</v>
      </c>
    </row>
    <row r="4585">
      <c r="A4585" s="2" t="s">
        <v>4807</v>
      </c>
      <c r="B4585" s="2" t="s">
        <v>5597</v>
      </c>
      <c r="D4585" s="2" t="s">
        <v>4800</v>
      </c>
      <c r="G4585" s="2" t="s">
        <v>4801</v>
      </c>
    </row>
    <row r="4586">
      <c r="A4586" s="2" t="s">
        <v>4807</v>
      </c>
      <c r="B4586" s="2" t="s">
        <v>5598</v>
      </c>
      <c r="D4586" s="2" t="s">
        <v>4800</v>
      </c>
      <c r="G4586" s="2" t="s">
        <v>4801</v>
      </c>
    </row>
    <row r="4587">
      <c r="A4587" s="2" t="s">
        <v>4807</v>
      </c>
      <c r="B4587" s="2" t="s">
        <v>5597</v>
      </c>
      <c r="D4587" s="2" t="s">
        <v>4800</v>
      </c>
      <c r="G4587" s="2" t="s">
        <v>4801</v>
      </c>
    </row>
    <row r="4588">
      <c r="A4588" s="2" t="s">
        <v>4807</v>
      </c>
      <c r="B4588" s="2" t="s">
        <v>5599</v>
      </c>
      <c r="D4588" s="2" t="s">
        <v>4800</v>
      </c>
      <c r="G4588" s="2" t="s">
        <v>4801</v>
      </c>
    </row>
    <row r="4589">
      <c r="A4589" s="2" t="s">
        <v>4807</v>
      </c>
      <c r="B4589" s="2" t="s">
        <v>5597</v>
      </c>
      <c r="D4589" s="2" t="s">
        <v>4800</v>
      </c>
      <c r="G4589" s="2" t="s">
        <v>4801</v>
      </c>
    </row>
    <row r="4590">
      <c r="A4590" s="2" t="s">
        <v>4807</v>
      </c>
      <c r="B4590" s="2" t="s">
        <v>5243</v>
      </c>
      <c r="D4590" s="2" t="s">
        <v>4800</v>
      </c>
      <c r="G4590" s="2" t="s">
        <v>4801</v>
      </c>
    </row>
    <row r="4591">
      <c r="A4591" s="2" t="s">
        <v>4807</v>
      </c>
      <c r="B4591" s="2" t="s">
        <v>5600</v>
      </c>
      <c r="D4591" s="2" t="s">
        <v>4800</v>
      </c>
      <c r="G4591" s="2" t="s">
        <v>4801</v>
      </c>
    </row>
    <row r="4592">
      <c r="A4592" s="2" t="s">
        <v>4807</v>
      </c>
      <c r="B4592" s="2" t="s">
        <v>5601</v>
      </c>
      <c r="D4592" s="2" t="s">
        <v>4800</v>
      </c>
      <c r="G4592" s="2" t="s">
        <v>4801</v>
      </c>
    </row>
    <row r="4593">
      <c r="A4593" s="2" t="s">
        <v>4807</v>
      </c>
      <c r="B4593" s="2" t="s">
        <v>5602</v>
      </c>
      <c r="D4593" s="2" t="s">
        <v>4800</v>
      </c>
      <c r="G4593" s="2" t="s">
        <v>4801</v>
      </c>
    </row>
    <row r="4594">
      <c r="A4594" s="2" t="s">
        <v>4807</v>
      </c>
      <c r="B4594" s="2" t="s">
        <v>5603</v>
      </c>
      <c r="D4594" s="2" t="s">
        <v>4800</v>
      </c>
      <c r="G4594" s="2" t="s">
        <v>4801</v>
      </c>
    </row>
    <row r="4595">
      <c r="A4595" s="2" t="s">
        <v>5604</v>
      </c>
      <c r="B4595" s="2" t="s">
        <v>5605</v>
      </c>
      <c r="D4595" s="2" t="s">
        <v>5606</v>
      </c>
    </row>
    <row r="4596">
      <c r="A4596" s="2" t="s">
        <v>5607</v>
      </c>
      <c r="B4596" s="2" t="s">
        <v>5608</v>
      </c>
      <c r="D4596" s="2" t="s">
        <v>5606</v>
      </c>
    </row>
    <row r="4597">
      <c r="A4597" s="2" t="s">
        <v>5609</v>
      </c>
      <c r="B4597" s="2" t="s">
        <v>5610</v>
      </c>
      <c r="D4597" s="2" t="s">
        <v>5606</v>
      </c>
    </row>
    <row r="4598">
      <c r="A4598" s="2" t="s">
        <v>5604</v>
      </c>
      <c r="B4598" s="2" t="s">
        <v>5611</v>
      </c>
      <c r="D4598" s="2"/>
      <c r="G4598" s="2" t="s">
        <v>5612</v>
      </c>
    </row>
    <row r="4599">
      <c r="A4599" s="2" t="s">
        <v>5613</v>
      </c>
      <c r="B4599" s="2" t="s">
        <v>5614</v>
      </c>
      <c r="D4599" s="2"/>
      <c r="G4599" s="2" t="s">
        <v>5615</v>
      </c>
    </row>
    <row r="4600">
      <c r="A4600" s="2" t="s">
        <v>5613</v>
      </c>
      <c r="B4600" s="2" t="s">
        <v>5616</v>
      </c>
      <c r="D4600" s="2"/>
      <c r="G4600" s="2" t="s">
        <v>5615</v>
      </c>
    </row>
    <row r="4601">
      <c r="A4601" s="2" t="s">
        <v>5613</v>
      </c>
      <c r="B4601" s="2" t="s">
        <v>5618</v>
      </c>
      <c r="D4601" s="2"/>
      <c r="G4601" s="2" t="s">
        <v>5615</v>
      </c>
    </row>
    <row r="4602">
      <c r="A4602" s="2" t="s">
        <v>5619</v>
      </c>
      <c r="B4602" s="2" t="s">
        <v>5620</v>
      </c>
      <c r="D4602" s="2"/>
      <c r="G4602" s="2" t="s">
        <v>5615</v>
      </c>
    </row>
    <row r="4603">
      <c r="A4603" s="2" t="s">
        <v>5621</v>
      </c>
      <c r="B4603" s="2" t="s">
        <v>5622</v>
      </c>
      <c r="D4603" s="2"/>
      <c r="G4603" s="2" t="s">
        <v>5615</v>
      </c>
    </row>
    <row r="4604">
      <c r="A4604" s="2" t="s">
        <v>5621</v>
      </c>
      <c r="B4604" s="2" t="s">
        <v>5623</v>
      </c>
      <c r="D4604" s="2"/>
      <c r="G4604" s="2" t="s">
        <v>5615</v>
      </c>
    </row>
    <row r="4605">
      <c r="A4605" s="2" t="s">
        <v>5624</v>
      </c>
      <c r="B4605" s="2" t="s">
        <v>5625</v>
      </c>
      <c r="D4605" s="2" t="s">
        <v>5626</v>
      </c>
      <c r="G4605" s="2" t="s">
        <v>5626</v>
      </c>
    </row>
    <row r="4606">
      <c r="A4606" s="2" t="s">
        <v>5624</v>
      </c>
      <c r="B4606" s="2" t="s">
        <v>5627</v>
      </c>
      <c r="D4606" s="2"/>
      <c r="G4606" s="2" t="s">
        <v>3883</v>
      </c>
    </row>
    <row r="4607">
      <c r="A4607" s="2" t="s">
        <v>5624</v>
      </c>
      <c r="B4607" s="2" t="s">
        <v>5628</v>
      </c>
      <c r="D4607" s="2"/>
      <c r="G4607" s="2" t="s">
        <v>3332</v>
      </c>
    </row>
    <row r="4608">
      <c r="A4608" s="2" t="s">
        <v>5629</v>
      </c>
      <c r="B4608" s="2" t="s">
        <v>5630</v>
      </c>
      <c r="D4608" s="2" t="s">
        <v>5631</v>
      </c>
    </row>
    <row r="4609">
      <c r="A4609" s="2" t="s">
        <v>5629</v>
      </c>
      <c r="B4609" s="2" t="s">
        <v>5632</v>
      </c>
      <c r="D4609" s="2" t="s">
        <v>5631</v>
      </c>
      <c r="G4609" s="2"/>
    </row>
    <row r="4610">
      <c r="A4610" s="2" t="s">
        <v>5629</v>
      </c>
      <c r="B4610" s="2" t="s">
        <v>5633</v>
      </c>
      <c r="D4610" s="2" t="s">
        <v>5631</v>
      </c>
      <c r="G4610" s="2"/>
    </row>
    <row r="4611">
      <c r="A4611" s="2" t="s">
        <v>5629</v>
      </c>
      <c r="B4611" s="2" t="s">
        <v>5634</v>
      </c>
      <c r="D4611" s="2" t="s">
        <v>5631</v>
      </c>
      <c r="G4611" s="2"/>
    </row>
    <row r="4612">
      <c r="A4612" s="2" t="s">
        <v>5629</v>
      </c>
      <c r="B4612" s="2" t="s">
        <v>5635</v>
      </c>
      <c r="D4612" s="2" t="s">
        <v>5631</v>
      </c>
      <c r="G4612" s="2"/>
    </row>
    <row r="4613">
      <c r="A4613" s="2" t="s">
        <v>5629</v>
      </c>
      <c r="B4613" s="2" t="s">
        <v>5636</v>
      </c>
      <c r="D4613" s="2" t="s">
        <v>5631</v>
      </c>
      <c r="G4613" s="2"/>
    </row>
    <row r="4614">
      <c r="A4614" s="2" t="s">
        <v>5629</v>
      </c>
      <c r="B4614" s="2" t="s">
        <v>5637</v>
      </c>
      <c r="D4614" s="2" t="s">
        <v>5631</v>
      </c>
      <c r="G4614" s="2"/>
    </row>
    <row r="4615">
      <c r="A4615" s="2" t="s">
        <v>5629</v>
      </c>
      <c r="B4615" s="2" t="s">
        <v>5638</v>
      </c>
      <c r="D4615" s="2" t="s">
        <v>5631</v>
      </c>
      <c r="G4615" s="2"/>
    </row>
    <row r="4616">
      <c r="A4616" s="2" t="s">
        <v>5629</v>
      </c>
      <c r="B4616" s="2" t="s">
        <v>5639</v>
      </c>
      <c r="D4616" s="2" t="s">
        <v>5631</v>
      </c>
      <c r="G4616" s="2"/>
    </row>
    <row r="4617">
      <c r="A4617" s="2" t="s">
        <v>5629</v>
      </c>
      <c r="B4617" s="2" t="s">
        <v>5640</v>
      </c>
      <c r="D4617" s="2" t="s">
        <v>5631</v>
      </c>
      <c r="G4617" s="2"/>
    </row>
    <row r="4618">
      <c r="A4618" s="2" t="s">
        <v>5629</v>
      </c>
      <c r="B4618" s="2" t="s">
        <v>5641</v>
      </c>
      <c r="D4618" s="2" t="s">
        <v>5631</v>
      </c>
      <c r="G4618" s="2"/>
    </row>
    <row r="4619">
      <c r="A4619" s="2" t="s">
        <v>5629</v>
      </c>
      <c r="B4619" s="2" t="s">
        <v>5642</v>
      </c>
      <c r="D4619" s="2" t="s">
        <v>5631</v>
      </c>
      <c r="G4619" s="2"/>
    </row>
    <row r="4620">
      <c r="A4620" s="2" t="s">
        <v>5629</v>
      </c>
      <c r="B4620" s="2" t="s">
        <v>5643</v>
      </c>
      <c r="D4620" s="2" t="s">
        <v>5631</v>
      </c>
      <c r="G4620" s="2"/>
    </row>
    <row r="4621">
      <c r="A4621" s="2" t="s">
        <v>5629</v>
      </c>
      <c r="B4621" s="2" t="s">
        <v>5644</v>
      </c>
      <c r="D4621" s="2" t="s">
        <v>5631</v>
      </c>
      <c r="G4621" s="2"/>
    </row>
    <row r="4622">
      <c r="A4622" s="2" t="s">
        <v>5629</v>
      </c>
      <c r="B4622" s="2" t="s">
        <v>5645</v>
      </c>
      <c r="D4622" s="2" t="s">
        <v>5631</v>
      </c>
      <c r="G4622" s="2"/>
    </row>
    <row r="4623">
      <c r="A4623" s="2" t="s">
        <v>5629</v>
      </c>
      <c r="B4623" s="2" t="s">
        <v>5646</v>
      </c>
      <c r="D4623" s="2" t="s">
        <v>5631</v>
      </c>
      <c r="G4623" s="2"/>
    </row>
    <row r="4624">
      <c r="A4624" s="2" t="s">
        <v>5629</v>
      </c>
      <c r="B4624" s="2" t="s">
        <v>5647</v>
      </c>
      <c r="D4624" s="2" t="s">
        <v>5631</v>
      </c>
      <c r="G4624" s="2"/>
    </row>
    <row r="4625">
      <c r="A4625" s="2" t="s">
        <v>5629</v>
      </c>
      <c r="B4625" s="2" t="s">
        <v>5648</v>
      </c>
      <c r="D4625" s="2" t="s">
        <v>5631</v>
      </c>
      <c r="G4625" s="2"/>
    </row>
    <row r="4626">
      <c r="A4626" s="2" t="s">
        <v>5629</v>
      </c>
      <c r="B4626" s="2" t="s">
        <v>5649</v>
      </c>
      <c r="D4626" s="2" t="s">
        <v>5631</v>
      </c>
      <c r="G4626" s="2"/>
    </row>
    <row r="4627">
      <c r="A4627" s="2" t="s">
        <v>5629</v>
      </c>
      <c r="B4627" s="2" t="s">
        <v>5650</v>
      </c>
      <c r="D4627" s="2" t="s">
        <v>5631</v>
      </c>
      <c r="G4627" s="2"/>
    </row>
    <row r="4628">
      <c r="A4628" s="2" t="s">
        <v>5651</v>
      </c>
      <c r="B4628" s="2" t="s">
        <v>5652</v>
      </c>
      <c r="D4628" s="2"/>
      <c r="G4628" s="2" t="s">
        <v>5653</v>
      </c>
    </row>
    <row r="4629">
      <c r="A4629" s="2" t="s">
        <v>5651</v>
      </c>
      <c r="B4629" s="2" t="s">
        <v>5654</v>
      </c>
      <c r="D4629" s="2"/>
      <c r="G4629" s="2" t="s">
        <v>5653</v>
      </c>
    </row>
    <row r="4630">
      <c r="A4630" s="2" t="s">
        <v>5651</v>
      </c>
      <c r="B4630" s="2" t="s">
        <v>5655</v>
      </c>
      <c r="D4630" s="2"/>
      <c r="G4630" s="2" t="s">
        <v>5653</v>
      </c>
    </row>
    <row r="4631">
      <c r="A4631" s="2" t="s">
        <v>5651</v>
      </c>
      <c r="B4631" s="2" t="s">
        <v>5656</v>
      </c>
      <c r="D4631" s="2"/>
      <c r="G4631" s="2" t="s">
        <v>5653</v>
      </c>
    </row>
    <row r="4632">
      <c r="A4632" s="2" t="s">
        <v>5651</v>
      </c>
      <c r="B4632" s="2" t="s">
        <v>5657</v>
      </c>
      <c r="D4632" s="2"/>
      <c r="G4632" s="2" t="s">
        <v>5653</v>
      </c>
    </row>
    <row r="4633">
      <c r="A4633" s="2" t="s">
        <v>5651</v>
      </c>
      <c r="B4633" s="2" t="s">
        <v>5658</v>
      </c>
      <c r="D4633" s="2"/>
      <c r="G4633" s="2" t="s">
        <v>5653</v>
      </c>
    </row>
    <row r="4634">
      <c r="A4634" s="2" t="s">
        <v>5651</v>
      </c>
      <c r="B4634" s="2" t="s">
        <v>5659</v>
      </c>
      <c r="D4634" s="2"/>
      <c r="G4634" s="2" t="s">
        <v>5653</v>
      </c>
    </row>
    <row r="4635">
      <c r="A4635" s="2" t="s">
        <v>5651</v>
      </c>
      <c r="B4635" s="2" t="s">
        <v>5660</v>
      </c>
      <c r="D4635" s="2"/>
      <c r="G4635" s="2" t="s">
        <v>5653</v>
      </c>
    </row>
    <row r="4636">
      <c r="A4636" s="2" t="s">
        <v>5651</v>
      </c>
      <c r="B4636" s="2" t="s">
        <v>5661</v>
      </c>
      <c r="D4636" s="2"/>
      <c r="G4636" s="2" t="s">
        <v>5653</v>
      </c>
    </row>
    <row r="4637">
      <c r="A4637" s="2" t="s">
        <v>5651</v>
      </c>
      <c r="B4637" s="2" t="s">
        <v>5662</v>
      </c>
      <c r="D4637" s="2"/>
      <c r="G4637" s="2" t="s">
        <v>5653</v>
      </c>
    </row>
    <row r="4638">
      <c r="A4638" s="2" t="s">
        <v>5651</v>
      </c>
      <c r="B4638" s="2" t="s">
        <v>5663</v>
      </c>
      <c r="D4638" s="2"/>
      <c r="G4638" s="2" t="s">
        <v>5653</v>
      </c>
    </row>
    <row r="4639">
      <c r="A4639" s="2" t="s">
        <v>5651</v>
      </c>
      <c r="B4639" s="2" t="s">
        <v>5664</v>
      </c>
      <c r="D4639" s="2"/>
      <c r="G4639" s="2" t="s">
        <v>5653</v>
      </c>
    </row>
    <row r="4640">
      <c r="A4640" s="2" t="s">
        <v>5651</v>
      </c>
      <c r="B4640" s="2" t="s">
        <v>5665</v>
      </c>
      <c r="D4640" s="2"/>
      <c r="G4640" s="2" t="s">
        <v>5653</v>
      </c>
    </row>
    <row r="4641">
      <c r="A4641" s="2" t="s">
        <v>5651</v>
      </c>
      <c r="B4641" s="2" t="s">
        <v>5666</v>
      </c>
      <c r="D4641" s="2"/>
      <c r="G4641" s="2" t="s">
        <v>5653</v>
      </c>
    </row>
    <row r="4642">
      <c r="A4642" s="2" t="s">
        <v>5651</v>
      </c>
      <c r="B4642" s="2" t="s">
        <v>5667</v>
      </c>
      <c r="D4642" s="2"/>
      <c r="G4642" s="2" t="s">
        <v>5653</v>
      </c>
    </row>
    <row r="4643">
      <c r="A4643" s="2" t="s">
        <v>5651</v>
      </c>
      <c r="B4643" s="2" t="s">
        <v>5668</v>
      </c>
      <c r="D4643" s="2"/>
      <c r="G4643" s="2" t="s">
        <v>5653</v>
      </c>
    </row>
    <row r="4644">
      <c r="A4644" s="2" t="s">
        <v>5651</v>
      </c>
      <c r="B4644" s="2" t="s">
        <v>5669</v>
      </c>
      <c r="D4644" s="2"/>
      <c r="G4644" s="2" t="s">
        <v>5653</v>
      </c>
    </row>
    <row r="4645">
      <c r="A4645" s="2" t="s">
        <v>5651</v>
      </c>
      <c r="B4645" s="2" t="s">
        <v>5670</v>
      </c>
      <c r="D4645" s="2"/>
      <c r="G4645" s="2" t="s">
        <v>5653</v>
      </c>
    </row>
    <row r="4646">
      <c r="A4646" s="2" t="s">
        <v>5651</v>
      </c>
      <c r="B4646" s="2" t="s">
        <v>5671</v>
      </c>
      <c r="D4646" s="2"/>
      <c r="G4646" s="2" t="s">
        <v>5653</v>
      </c>
    </row>
    <row r="4647">
      <c r="A4647" s="2" t="s">
        <v>5651</v>
      </c>
      <c r="B4647" s="2" t="s">
        <v>5672</v>
      </c>
      <c r="D4647" s="2"/>
      <c r="G4647" s="2" t="s">
        <v>5653</v>
      </c>
    </row>
    <row r="4648">
      <c r="A4648" s="2" t="s">
        <v>5651</v>
      </c>
      <c r="B4648" s="2" t="s">
        <v>5673</v>
      </c>
      <c r="D4648" s="2"/>
      <c r="G4648" s="2" t="s">
        <v>5653</v>
      </c>
    </row>
    <row r="4649">
      <c r="A4649" s="2" t="s">
        <v>5651</v>
      </c>
      <c r="B4649" s="2" t="s">
        <v>5674</v>
      </c>
      <c r="D4649" s="2"/>
      <c r="G4649" s="2" t="s">
        <v>5653</v>
      </c>
    </row>
    <row r="4650">
      <c r="A4650" s="2" t="s">
        <v>5651</v>
      </c>
      <c r="B4650" s="2" t="s">
        <v>5675</v>
      </c>
      <c r="D4650" s="2"/>
      <c r="G4650" s="2" t="s">
        <v>5653</v>
      </c>
    </row>
    <row r="4651">
      <c r="A4651" s="2" t="s">
        <v>5651</v>
      </c>
      <c r="B4651" s="2" t="s">
        <v>5676</v>
      </c>
      <c r="D4651" s="2"/>
      <c r="G4651" s="2" t="s">
        <v>5653</v>
      </c>
    </row>
    <row r="4652">
      <c r="A4652" s="2" t="s">
        <v>5651</v>
      </c>
      <c r="B4652" s="2" t="s">
        <v>5677</v>
      </c>
      <c r="D4652" s="2"/>
      <c r="G4652" s="2" t="s">
        <v>5653</v>
      </c>
    </row>
    <row r="4653">
      <c r="A4653" s="2" t="s">
        <v>5651</v>
      </c>
      <c r="B4653" s="2" t="s">
        <v>5678</v>
      </c>
      <c r="D4653" s="2"/>
      <c r="G4653" s="2" t="s">
        <v>5653</v>
      </c>
    </row>
    <row r="4654">
      <c r="A4654" s="2" t="s">
        <v>5651</v>
      </c>
      <c r="B4654" s="2" t="s">
        <v>5679</v>
      </c>
      <c r="D4654" s="2"/>
      <c r="G4654" s="2" t="s">
        <v>5653</v>
      </c>
    </row>
    <row r="4655">
      <c r="A4655" s="2" t="s">
        <v>5651</v>
      </c>
      <c r="B4655" s="2" t="s">
        <v>5680</v>
      </c>
      <c r="D4655" s="2"/>
      <c r="G4655" s="2" t="s">
        <v>5653</v>
      </c>
    </row>
    <row r="4656">
      <c r="A4656" s="2" t="s">
        <v>5651</v>
      </c>
      <c r="B4656" s="2" t="s">
        <v>5681</v>
      </c>
      <c r="D4656" s="2"/>
      <c r="G4656" s="2" t="s">
        <v>5653</v>
      </c>
    </row>
    <row r="4657">
      <c r="A4657" s="2" t="s">
        <v>5651</v>
      </c>
      <c r="B4657" s="2" t="s">
        <v>5682</v>
      </c>
      <c r="D4657" s="2"/>
      <c r="G4657" s="2" t="s">
        <v>5653</v>
      </c>
    </row>
    <row r="4658">
      <c r="A4658" s="2" t="s">
        <v>5651</v>
      </c>
      <c r="B4658" s="2" t="s">
        <v>5683</v>
      </c>
      <c r="D4658" s="2"/>
      <c r="G4658" s="2" t="s">
        <v>5653</v>
      </c>
    </row>
    <row r="4659">
      <c r="A4659" s="2" t="s">
        <v>5651</v>
      </c>
      <c r="B4659" s="2" t="s">
        <v>5684</v>
      </c>
      <c r="D4659" s="2"/>
      <c r="G4659" s="2" t="s">
        <v>5653</v>
      </c>
    </row>
    <row r="4660">
      <c r="A4660" s="2" t="s">
        <v>5651</v>
      </c>
      <c r="B4660" s="2" t="s">
        <v>5685</v>
      </c>
      <c r="D4660" s="2"/>
      <c r="G4660" s="2" t="s">
        <v>5653</v>
      </c>
    </row>
    <row r="4661">
      <c r="A4661" s="2" t="s">
        <v>5651</v>
      </c>
      <c r="B4661" s="2" t="s">
        <v>5686</v>
      </c>
      <c r="D4661" s="2"/>
      <c r="G4661" s="2" t="s">
        <v>5653</v>
      </c>
    </row>
    <row r="4662">
      <c r="A4662" s="2" t="s">
        <v>5651</v>
      </c>
      <c r="B4662" s="2" t="s">
        <v>5687</v>
      </c>
      <c r="D4662" s="2"/>
      <c r="G4662" s="2" t="s">
        <v>5653</v>
      </c>
    </row>
    <row r="4663">
      <c r="A4663" s="2" t="s">
        <v>5651</v>
      </c>
      <c r="B4663" s="2" t="s">
        <v>5688</v>
      </c>
      <c r="D4663" s="2"/>
      <c r="G4663" s="2" t="s">
        <v>5653</v>
      </c>
    </row>
    <row r="4664">
      <c r="A4664" s="2" t="s">
        <v>5651</v>
      </c>
      <c r="B4664" s="2" t="s">
        <v>5689</v>
      </c>
      <c r="D4664" s="2"/>
      <c r="G4664" s="2" t="s">
        <v>5653</v>
      </c>
    </row>
    <row r="4665">
      <c r="A4665" s="2" t="s">
        <v>5651</v>
      </c>
      <c r="B4665" s="2" t="s">
        <v>5690</v>
      </c>
      <c r="D4665" s="2"/>
      <c r="G4665" s="2" t="s">
        <v>5653</v>
      </c>
    </row>
    <row r="4666">
      <c r="A4666" s="2" t="s">
        <v>5651</v>
      </c>
      <c r="B4666" s="2" t="s">
        <v>5691</v>
      </c>
      <c r="D4666" s="2"/>
      <c r="G4666" s="2" t="s">
        <v>5653</v>
      </c>
    </row>
    <row r="4667">
      <c r="A4667" s="2" t="s">
        <v>5651</v>
      </c>
      <c r="B4667" s="2" t="s">
        <v>5692</v>
      </c>
      <c r="D4667" s="2"/>
      <c r="G4667" s="2" t="s">
        <v>5653</v>
      </c>
    </row>
    <row r="4668">
      <c r="A4668" s="2" t="s">
        <v>5651</v>
      </c>
      <c r="B4668" s="2" t="s">
        <v>5693</v>
      </c>
      <c r="D4668" s="2"/>
      <c r="G4668" s="2" t="s">
        <v>5653</v>
      </c>
    </row>
    <row r="4669">
      <c r="A4669" s="2" t="s">
        <v>5651</v>
      </c>
      <c r="B4669" s="2" t="s">
        <v>5694</v>
      </c>
      <c r="D4669" s="2"/>
      <c r="G4669" s="2" t="s">
        <v>5653</v>
      </c>
    </row>
    <row r="4670">
      <c r="A4670" s="2" t="s">
        <v>5651</v>
      </c>
      <c r="B4670" s="2" t="s">
        <v>5695</v>
      </c>
      <c r="D4670" s="2"/>
      <c r="G4670" s="2" t="s">
        <v>5653</v>
      </c>
    </row>
    <row r="4671">
      <c r="A4671" s="2" t="s">
        <v>5651</v>
      </c>
      <c r="B4671" s="2" t="s">
        <v>5696</v>
      </c>
      <c r="D4671" s="2"/>
      <c r="G4671" s="2" t="s">
        <v>5653</v>
      </c>
    </row>
    <row r="4672">
      <c r="A4672" s="2" t="s">
        <v>5651</v>
      </c>
      <c r="B4672" s="2" t="s">
        <v>5697</v>
      </c>
      <c r="D4672" s="2"/>
      <c r="G4672" s="2" t="s">
        <v>5653</v>
      </c>
    </row>
    <row r="4673">
      <c r="A4673" s="2" t="s">
        <v>5651</v>
      </c>
      <c r="B4673" s="2" t="s">
        <v>5698</v>
      </c>
      <c r="D4673" s="2"/>
      <c r="G4673" s="2" t="s">
        <v>5653</v>
      </c>
    </row>
    <row r="4674">
      <c r="A4674" s="2" t="s">
        <v>5651</v>
      </c>
      <c r="B4674" s="2" t="s">
        <v>5699</v>
      </c>
      <c r="D4674" s="2"/>
      <c r="G4674" s="2" t="s">
        <v>5653</v>
      </c>
    </row>
    <row r="4675">
      <c r="A4675" s="2" t="s">
        <v>5651</v>
      </c>
      <c r="B4675" s="2" t="s">
        <v>5700</v>
      </c>
      <c r="D4675" s="2"/>
      <c r="G4675" s="2" t="s">
        <v>5653</v>
      </c>
    </row>
    <row r="4676">
      <c r="A4676" s="2" t="s">
        <v>5651</v>
      </c>
      <c r="B4676" s="2" t="s">
        <v>5701</v>
      </c>
      <c r="D4676" s="2"/>
      <c r="G4676" s="2" t="s">
        <v>5653</v>
      </c>
    </row>
    <row r="4677">
      <c r="A4677" s="2" t="s">
        <v>5651</v>
      </c>
      <c r="B4677" s="2" t="s">
        <v>5702</v>
      </c>
      <c r="D4677" s="2"/>
      <c r="G4677" s="2" t="s">
        <v>5653</v>
      </c>
    </row>
    <row r="4678">
      <c r="A4678" s="2" t="s">
        <v>5651</v>
      </c>
      <c r="B4678" s="2" t="s">
        <v>5703</v>
      </c>
      <c r="D4678" s="2"/>
      <c r="G4678" s="2" t="s">
        <v>5653</v>
      </c>
    </row>
    <row r="4679">
      <c r="A4679" s="2" t="s">
        <v>5651</v>
      </c>
      <c r="B4679" s="2" t="s">
        <v>5704</v>
      </c>
      <c r="D4679" s="2"/>
      <c r="G4679" s="2" t="s">
        <v>5653</v>
      </c>
    </row>
    <row r="4680">
      <c r="A4680" s="2" t="s">
        <v>5651</v>
      </c>
      <c r="B4680" s="2" t="s">
        <v>5705</v>
      </c>
      <c r="D4680" s="2"/>
      <c r="G4680" s="2" t="s">
        <v>5653</v>
      </c>
    </row>
    <row r="4681">
      <c r="A4681" s="2" t="s">
        <v>5651</v>
      </c>
      <c r="B4681" s="2" t="s">
        <v>5706</v>
      </c>
      <c r="D4681" s="2"/>
      <c r="G4681" s="2" t="s">
        <v>5653</v>
      </c>
    </row>
    <row r="4682">
      <c r="A4682" s="2" t="s">
        <v>5651</v>
      </c>
      <c r="B4682" s="2" t="s">
        <v>5707</v>
      </c>
      <c r="D4682" s="2"/>
      <c r="G4682" s="2" t="s">
        <v>5653</v>
      </c>
    </row>
    <row r="4683">
      <c r="A4683" s="2" t="s">
        <v>5651</v>
      </c>
      <c r="B4683" s="2" t="s">
        <v>5708</v>
      </c>
      <c r="D4683" s="2"/>
      <c r="G4683" s="2" t="s">
        <v>5653</v>
      </c>
    </row>
    <row r="4684">
      <c r="A4684" s="2" t="s">
        <v>5651</v>
      </c>
      <c r="B4684" s="2" t="s">
        <v>5709</v>
      </c>
      <c r="D4684" s="2"/>
      <c r="G4684" s="2" t="s">
        <v>5653</v>
      </c>
    </row>
    <row r="4685">
      <c r="A4685" s="2" t="s">
        <v>5651</v>
      </c>
      <c r="B4685" s="2" t="s">
        <v>5710</v>
      </c>
      <c r="D4685" s="2"/>
      <c r="G4685" s="2" t="s">
        <v>5653</v>
      </c>
    </row>
    <row r="4686">
      <c r="A4686" s="2" t="s">
        <v>5651</v>
      </c>
      <c r="B4686" s="2" t="s">
        <v>5711</v>
      </c>
      <c r="D4686" s="2"/>
      <c r="G4686" s="2" t="s">
        <v>5653</v>
      </c>
    </row>
    <row r="4687">
      <c r="A4687" s="2" t="s">
        <v>5651</v>
      </c>
      <c r="B4687" s="2" t="s">
        <v>5712</v>
      </c>
      <c r="D4687" s="2"/>
      <c r="G4687" s="2" t="s">
        <v>5653</v>
      </c>
    </row>
    <row r="4688">
      <c r="A4688" s="2" t="s">
        <v>5651</v>
      </c>
      <c r="B4688" s="2" t="s">
        <v>5713</v>
      </c>
      <c r="D4688" s="2"/>
      <c r="G4688" s="2" t="s">
        <v>5653</v>
      </c>
    </row>
    <row r="4689">
      <c r="A4689" s="2" t="s">
        <v>5651</v>
      </c>
      <c r="B4689" s="2" t="s">
        <v>5714</v>
      </c>
      <c r="D4689" s="2"/>
      <c r="G4689" s="2" t="s">
        <v>5653</v>
      </c>
    </row>
    <row r="4690">
      <c r="A4690" s="2" t="s">
        <v>5651</v>
      </c>
      <c r="B4690" s="2" t="s">
        <v>5715</v>
      </c>
      <c r="D4690" s="2"/>
      <c r="G4690" s="2" t="s">
        <v>5653</v>
      </c>
    </row>
    <row r="4691">
      <c r="A4691" s="2" t="s">
        <v>5651</v>
      </c>
      <c r="B4691" s="2" t="s">
        <v>5716</v>
      </c>
      <c r="D4691" s="2"/>
      <c r="G4691" s="2" t="s">
        <v>5653</v>
      </c>
    </row>
    <row r="4692">
      <c r="A4692" s="2" t="s">
        <v>5651</v>
      </c>
      <c r="B4692" s="2" t="s">
        <v>5717</v>
      </c>
      <c r="D4692" s="2"/>
      <c r="G4692" s="2" t="s">
        <v>5653</v>
      </c>
    </row>
    <row r="4693">
      <c r="A4693" s="2" t="s">
        <v>5651</v>
      </c>
      <c r="B4693" s="2" t="s">
        <v>5718</v>
      </c>
      <c r="D4693" s="2"/>
      <c r="G4693" s="2" t="s">
        <v>5653</v>
      </c>
    </row>
    <row r="4694">
      <c r="A4694" s="2" t="s">
        <v>5651</v>
      </c>
      <c r="B4694" s="2" t="s">
        <v>5719</v>
      </c>
      <c r="D4694" s="2"/>
      <c r="G4694" s="2" t="s">
        <v>5653</v>
      </c>
    </row>
    <row r="4695">
      <c r="A4695" s="2" t="s">
        <v>5651</v>
      </c>
      <c r="B4695" s="2" t="s">
        <v>5720</v>
      </c>
      <c r="D4695" s="2"/>
      <c r="G4695" s="2" t="s">
        <v>5653</v>
      </c>
    </row>
    <row r="4696">
      <c r="A4696" s="2" t="s">
        <v>5651</v>
      </c>
      <c r="B4696" s="2" t="s">
        <v>5721</v>
      </c>
      <c r="D4696" s="2"/>
      <c r="G4696" s="2" t="s">
        <v>5653</v>
      </c>
    </row>
    <row r="4697">
      <c r="A4697" s="2" t="s">
        <v>5651</v>
      </c>
      <c r="B4697" s="2" t="s">
        <v>5722</v>
      </c>
      <c r="D4697" s="2"/>
      <c r="G4697" s="2" t="s">
        <v>5653</v>
      </c>
    </row>
    <row r="4698">
      <c r="A4698" s="2" t="s">
        <v>5651</v>
      </c>
      <c r="B4698" s="2" t="s">
        <v>5723</v>
      </c>
      <c r="D4698" s="2"/>
      <c r="G4698" s="2" t="s">
        <v>5653</v>
      </c>
    </row>
    <row r="4699">
      <c r="A4699" s="2" t="s">
        <v>5651</v>
      </c>
      <c r="B4699" s="2" t="s">
        <v>5724</v>
      </c>
      <c r="D4699" s="2"/>
      <c r="G4699" s="2" t="s">
        <v>5653</v>
      </c>
    </row>
    <row r="4700">
      <c r="A4700" s="2" t="s">
        <v>5651</v>
      </c>
      <c r="B4700" s="2" t="s">
        <v>5725</v>
      </c>
      <c r="D4700" s="2"/>
      <c r="G4700" s="2" t="s">
        <v>5653</v>
      </c>
    </row>
    <row r="4701">
      <c r="A4701" s="2" t="s">
        <v>5651</v>
      </c>
      <c r="B4701" s="2" t="s">
        <v>5726</v>
      </c>
      <c r="D4701" s="2"/>
      <c r="G4701" s="2" t="s">
        <v>5653</v>
      </c>
    </row>
    <row r="4702">
      <c r="A4702" s="2" t="s">
        <v>5651</v>
      </c>
      <c r="B4702" s="2" t="s">
        <v>5727</v>
      </c>
      <c r="D4702" s="2"/>
      <c r="G4702" s="2" t="s">
        <v>5653</v>
      </c>
    </row>
    <row r="4703">
      <c r="A4703" s="2" t="s">
        <v>5651</v>
      </c>
      <c r="B4703" s="2" t="s">
        <v>5728</v>
      </c>
      <c r="D4703" s="2"/>
      <c r="G4703" s="2" t="s">
        <v>5653</v>
      </c>
    </row>
    <row r="4704">
      <c r="A4704" s="2" t="s">
        <v>5651</v>
      </c>
      <c r="B4704" s="2" t="s">
        <v>5729</v>
      </c>
      <c r="D4704" s="2"/>
      <c r="G4704" s="2" t="s">
        <v>5653</v>
      </c>
    </row>
    <row r="4705">
      <c r="A4705" s="2" t="s">
        <v>5651</v>
      </c>
      <c r="B4705" s="2" t="s">
        <v>5730</v>
      </c>
      <c r="D4705" s="2"/>
      <c r="G4705" s="2" t="s">
        <v>5653</v>
      </c>
    </row>
    <row r="4706">
      <c r="A4706" s="2" t="s">
        <v>5651</v>
      </c>
      <c r="B4706" s="2" t="s">
        <v>5731</v>
      </c>
      <c r="D4706" s="2"/>
      <c r="G4706" s="2" t="s">
        <v>5653</v>
      </c>
    </row>
    <row r="4707">
      <c r="A4707" s="2" t="s">
        <v>5651</v>
      </c>
      <c r="B4707" s="2" t="s">
        <v>5732</v>
      </c>
      <c r="D4707" s="2"/>
      <c r="G4707" s="2" t="s">
        <v>5653</v>
      </c>
    </row>
    <row r="4708">
      <c r="A4708" s="2" t="s">
        <v>5651</v>
      </c>
      <c r="B4708" s="2" t="s">
        <v>5733</v>
      </c>
      <c r="D4708" s="2"/>
      <c r="G4708" s="2" t="s">
        <v>5653</v>
      </c>
    </row>
    <row r="4709">
      <c r="A4709" s="2" t="s">
        <v>5651</v>
      </c>
      <c r="B4709" s="2" t="s">
        <v>5734</v>
      </c>
      <c r="D4709" s="2"/>
      <c r="G4709" s="2" t="s">
        <v>5653</v>
      </c>
    </row>
    <row r="4710">
      <c r="A4710" s="2" t="s">
        <v>5651</v>
      </c>
      <c r="B4710" s="2" t="s">
        <v>5735</v>
      </c>
      <c r="D4710" s="2"/>
      <c r="G4710" s="2" t="s">
        <v>5653</v>
      </c>
    </row>
    <row r="4711">
      <c r="A4711" s="2" t="s">
        <v>5651</v>
      </c>
      <c r="B4711" s="2" t="s">
        <v>5736</v>
      </c>
      <c r="D4711" s="2"/>
      <c r="G4711" s="2" t="s">
        <v>5653</v>
      </c>
    </row>
    <row r="4712">
      <c r="A4712" s="2" t="s">
        <v>5651</v>
      </c>
      <c r="B4712" s="2" t="s">
        <v>5737</v>
      </c>
      <c r="D4712" s="2"/>
      <c r="G4712" s="2" t="s">
        <v>5653</v>
      </c>
    </row>
    <row r="4713">
      <c r="A4713" s="2" t="s">
        <v>5651</v>
      </c>
      <c r="B4713" s="2" t="s">
        <v>5738</v>
      </c>
      <c r="D4713" s="2"/>
      <c r="G4713" s="2" t="s">
        <v>5653</v>
      </c>
    </row>
    <row r="4714">
      <c r="A4714" s="2" t="s">
        <v>5651</v>
      </c>
      <c r="B4714" s="2" t="s">
        <v>5739</v>
      </c>
      <c r="D4714" s="2"/>
      <c r="G4714" s="2" t="s">
        <v>5653</v>
      </c>
    </row>
    <row r="4715">
      <c r="A4715" s="2" t="s">
        <v>5651</v>
      </c>
      <c r="B4715" s="2" t="s">
        <v>5740</v>
      </c>
      <c r="D4715" s="2"/>
      <c r="G4715" s="2" t="s">
        <v>5653</v>
      </c>
    </row>
    <row r="4716">
      <c r="A4716" s="2" t="s">
        <v>5651</v>
      </c>
      <c r="B4716" s="2" t="s">
        <v>5741</v>
      </c>
      <c r="D4716" s="2"/>
      <c r="G4716" s="2" t="s">
        <v>5653</v>
      </c>
    </row>
    <row r="4717">
      <c r="A4717" s="2" t="s">
        <v>5651</v>
      </c>
      <c r="B4717" s="2" t="s">
        <v>5742</v>
      </c>
      <c r="D4717" s="2"/>
      <c r="G4717" s="2" t="s">
        <v>5653</v>
      </c>
    </row>
    <row r="4718">
      <c r="A4718" s="2" t="s">
        <v>5651</v>
      </c>
      <c r="B4718" s="2" t="s">
        <v>5743</v>
      </c>
      <c r="D4718" s="2"/>
      <c r="G4718" s="2" t="s">
        <v>5653</v>
      </c>
    </row>
    <row r="4719">
      <c r="A4719" s="2" t="s">
        <v>5651</v>
      </c>
      <c r="B4719" s="2" t="s">
        <v>5744</v>
      </c>
      <c r="D4719" s="2"/>
      <c r="G4719" s="2" t="s">
        <v>5653</v>
      </c>
    </row>
    <row r="4720">
      <c r="A4720" s="2" t="s">
        <v>5651</v>
      </c>
      <c r="B4720" s="2" t="s">
        <v>5745</v>
      </c>
      <c r="D4720" s="2"/>
      <c r="G4720" s="2" t="s">
        <v>5653</v>
      </c>
    </row>
    <row r="4721">
      <c r="A4721" s="2" t="s">
        <v>5651</v>
      </c>
      <c r="B4721" s="2" t="s">
        <v>5746</v>
      </c>
      <c r="D4721" s="2"/>
      <c r="G4721" s="2" t="s">
        <v>5653</v>
      </c>
    </row>
    <row r="4722">
      <c r="A4722" s="2" t="s">
        <v>5651</v>
      </c>
      <c r="B4722" s="2" t="s">
        <v>5747</v>
      </c>
      <c r="D4722" s="2"/>
      <c r="G4722" s="2" t="s">
        <v>5653</v>
      </c>
    </row>
    <row r="4723">
      <c r="A4723" s="2" t="s">
        <v>5651</v>
      </c>
      <c r="B4723" s="2" t="s">
        <v>5748</v>
      </c>
      <c r="D4723" s="2"/>
      <c r="G4723" s="2" t="s">
        <v>5653</v>
      </c>
    </row>
    <row r="4724">
      <c r="A4724" s="2" t="s">
        <v>5651</v>
      </c>
      <c r="B4724" s="2" t="s">
        <v>5749</v>
      </c>
      <c r="D4724" s="2"/>
      <c r="G4724" s="2" t="s">
        <v>5653</v>
      </c>
    </row>
    <row r="4725">
      <c r="A4725" s="2" t="s">
        <v>5651</v>
      </c>
      <c r="B4725" s="2" t="s">
        <v>5750</v>
      </c>
      <c r="D4725" s="2"/>
      <c r="G4725" s="2" t="s">
        <v>5653</v>
      </c>
    </row>
    <row r="4726">
      <c r="A4726" s="2" t="s">
        <v>5651</v>
      </c>
      <c r="B4726" s="2" t="s">
        <v>5751</v>
      </c>
      <c r="D4726" s="2"/>
      <c r="G4726" s="2" t="s">
        <v>5653</v>
      </c>
    </row>
    <row r="4727">
      <c r="A4727" s="2" t="s">
        <v>5651</v>
      </c>
      <c r="B4727" s="2" t="s">
        <v>5752</v>
      </c>
      <c r="D4727" s="2"/>
      <c r="G4727" s="2" t="s">
        <v>5653</v>
      </c>
    </row>
    <row r="4728">
      <c r="A4728" s="2" t="s">
        <v>5651</v>
      </c>
      <c r="B4728" s="2" t="s">
        <v>5753</v>
      </c>
      <c r="D4728" s="2"/>
      <c r="G4728" s="2" t="s">
        <v>5653</v>
      </c>
    </row>
    <row r="4729">
      <c r="A4729" s="2" t="s">
        <v>5651</v>
      </c>
      <c r="B4729" s="2" t="s">
        <v>5754</v>
      </c>
      <c r="D4729" s="2"/>
      <c r="G4729" s="2" t="s">
        <v>5653</v>
      </c>
    </row>
    <row r="4730">
      <c r="A4730" s="2" t="s">
        <v>5651</v>
      </c>
      <c r="B4730" s="2" t="s">
        <v>5755</v>
      </c>
      <c r="D4730" s="2"/>
      <c r="G4730" s="2" t="s">
        <v>5653</v>
      </c>
    </row>
    <row r="4731">
      <c r="A4731" s="2" t="s">
        <v>5651</v>
      </c>
      <c r="B4731" s="2" t="s">
        <v>5756</v>
      </c>
      <c r="D4731" s="2"/>
      <c r="G4731" s="2" t="s">
        <v>5653</v>
      </c>
    </row>
    <row r="4732">
      <c r="A4732" s="2" t="s">
        <v>5651</v>
      </c>
      <c r="B4732" s="2" t="s">
        <v>5757</v>
      </c>
      <c r="D4732" s="2"/>
      <c r="G4732" s="2" t="s">
        <v>5653</v>
      </c>
    </row>
    <row r="4733">
      <c r="A4733" s="2" t="s">
        <v>5651</v>
      </c>
      <c r="B4733" s="2" t="s">
        <v>5758</v>
      </c>
      <c r="D4733" s="2"/>
      <c r="G4733" s="2" t="s">
        <v>5653</v>
      </c>
    </row>
    <row r="4734">
      <c r="A4734" s="2" t="s">
        <v>5651</v>
      </c>
      <c r="B4734" s="2" t="s">
        <v>5759</v>
      </c>
      <c r="D4734" s="2"/>
      <c r="G4734" s="2" t="s">
        <v>5653</v>
      </c>
    </row>
    <row r="4735">
      <c r="A4735" s="2" t="s">
        <v>5651</v>
      </c>
      <c r="B4735" s="2" t="s">
        <v>5760</v>
      </c>
      <c r="D4735" s="2"/>
      <c r="G4735" s="2" t="s">
        <v>5653</v>
      </c>
    </row>
    <row r="4736">
      <c r="A4736" s="2" t="s">
        <v>5651</v>
      </c>
      <c r="B4736" s="2" t="s">
        <v>5761</v>
      </c>
      <c r="D4736" s="2"/>
      <c r="G4736" s="2" t="s">
        <v>5653</v>
      </c>
    </row>
    <row r="4737">
      <c r="A4737" s="2" t="s">
        <v>5651</v>
      </c>
      <c r="B4737" s="2" t="s">
        <v>5762</v>
      </c>
      <c r="D4737" s="2"/>
      <c r="G4737" s="2" t="s">
        <v>5653</v>
      </c>
    </row>
    <row r="4738">
      <c r="A4738" s="2" t="s">
        <v>5651</v>
      </c>
      <c r="B4738" s="2" t="s">
        <v>5763</v>
      </c>
      <c r="D4738" s="2"/>
      <c r="G4738" s="2" t="s">
        <v>5653</v>
      </c>
    </row>
    <row r="4739">
      <c r="A4739" s="2" t="s">
        <v>5651</v>
      </c>
      <c r="B4739" s="2" t="s">
        <v>5764</v>
      </c>
      <c r="D4739" s="2"/>
      <c r="G4739" s="2" t="s">
        <v>5653</v>
      </c>
    </row>
    <row r="4740">
      <c r="A4740" s="2" t="s">
        <v>5651</v>
      </c>
      <c r="B4740" s="2" t="s">
        <v>5765</v>
      </c>
      <c r="D4740" s="2"/>
      <c r="G4740" s="2" t="s">
        <v>5653</v>
      </c>
    </row>
    <row r="4741">
      <c r="A4741" s="2" t="s">
        <v>5651</v>
      </c>
      <c r="B4741" s="2" t="s">
        <v>5766</v>
      </c>
      <c r="D4741" s="2"/>
      <c r="G4741" s="2" t="s">
        <v>5653</v>
      </c>
    </row>
    <row r="4742">
      <c r="A4742" s="2" t="s">
        <v>5651</v>
      </c>
      <c r="B4742" s="2" t="s">
        <v>5767</v>
      </c>
      <c r="D4742" s="2"/>
      <c r="G4742" s="2" t="s">
        <v>5653</v>
      </c>
    </row>
    <row r="4743">
      <c r="A4743" s="2" t="s">
        <v>5651</v>
      </c>
      <c r="B4743" s="2" t="s">
        <v>5768</v>
      </c>
      <c r="D4743" s="2"/>
      <c r="G4743" s="2" t="s">
        <v>5653</v>
      </c>
    </row>
    <row r="4744">
      <c r="A4744" s="2" t="s">
        <v>5651</v>
      </c>
      <c r="B4744" s="2" t="s">
        <v>5769</v>
      </c>
      <c r="D4744" s="2"/>
      <c r="G4744" s="2" t="s">
        <v>5653</v>
      </c>
    </row>
    <row r="4745">
      <c r="A4745" s="2" t="s">
        <v>5651</v>
      </c>
      <c r="B4745" s="2" t="s">
        <v>5770</v>
      </c>
      <c r="D4745" s="2"/>
      <c r="G4745" s="2" t="s">
        <v>5653</v>
      </c>
    </row>
    <row r="4746">
      <c r="A4746" s="2" t="s">
        <v>5651</v>
      </c>
      <c r="B4746" s="2" t="s">
        <v>5771</v>
      </c>
      <c r="D4746" s="2"/>
      <c r="G4746" s="2" t="s">
        <v>5653</v>
      </c>
    </row>
    <row r="4747">
      <c r="A4747" s="2" t="s">
        <v>5651</v>
      </c>
      <c r="B4747" s="2" t="s">
        <v>5772</v>
      </c>
      <c r="D4747" s="2"/>
      <c r="G4747" s="2" t="s">
        <v>5653</v>
      </c>
    </row>
    <row r="4748">
      <c r="A4748" s="2" t="s">
        <v>5651</v>
      </c>
      <c r="B4748" s="2" t="s">
        <v>5773</v>
      </c>
      <c r="D4748" s="2"/>
      <c r="G4748" s="2" t="s">
        <v>5653</v>
      </c>
    </row>
    <row r="4749">
      <c r="A4749" s="2" t="s">
        <v>5651</v>
      </c>
      <c r="B4749" s="2" t="s">
        <v>5774</v>
      </c>
      <c r="D4749" s="2"/>
      <c r="G4749" s="2" t="s">
        <v>5653</v>
      </c>
    </row>
    <row r="4750">
      <c r="A4750" s="2" t="s">
        <v>5651</v>
      </c>
      <c r="B4750" s="2" t="s">
        <v>5775</v>
      </c>
      <c r="D4750" s="2"/>
      <c r="G4750" s="2" t="s">
        <v>5653</v>
      </c>
    </row>
    <row r="4751">
      <c r="A4751" s="2" t="s">
        <v>5651</v>
      </c>
      <c r="B4751" s="2" t="s">
        <v>5776</v>
      </c>
      <c r="D4751" s="2"/>
      <c r="G4751" s="2" t="s">
        <v>5653</v>
      </c>
    </row>
    <row r="4752">
      <c r="A4752" s="2" t="s">
        <v>5651</v>
      </c>
      <c r="B4752" s="2" t="s">
        <v>5777</v>
      </c>
      <c r="D4752" s="2"/>
      <c r="G4752" s="2" t="s">
        <v>5653</v>
      </c>
    </row>
    <row r="4753">
      <c r="A4753" s="2" t="s">
        <v>5651</v>
      </c>
      <c r="B4753" s="2" t="s">
        <v>5778</v>
      </c>
      <c r="D4753" s="2"/>
      <c r="G4753" s="2" t="s">
        <v>5653</v>
      </c>
    </row>
    <row r="4754">
      <c r="A4754" s="2" t="s">
        <v>5651</v>
      </c>
      <c r="B4754" s="2" t="s">
        <v>5779</v>
      </c>
      <c r="D4754" s="2"/>
      <c r="G4754" s="2" t="s">
        <v>5653</v>
      </c>
    </row>
    <row r="4755">
      <c r="A4755" s="2" t="s">
        <v>5651</v>
      </c>
      <c r="B4755" s="2" t="s">
        <v>5780</v>
      </c>
      <c r="D4755" s="2"/>
      <c r="G4755" s="2" t="s">
        <v>5653</v>
      </c>
    </row>
    <row r="4756">
      <c r="A4756" s="2" t="s">
        <v>5651</v>
      </c>
      <c r="B4756" s="2" t="s">
        <v>5781</v>
      </c>
      <c r="D4756" s="2"/>
      <c r="G4756" s="2" t="s">
        <v>5653</v>
      </c>
    </row>
    <row r="4757">
      <c r="A4757" s="2" t="s">
        <v>5651</v>
      </c>
      <c r="B4757" s="2" t="s">
        <v>5782</v>
      </c>
      <c r="D4757" s="2"/>
      <c r="G4757" s="2" t="s">
        <v>5653</v>
      </c>
    </row>
    <row r="4758">
      <c r="A4758" s="2" t="s">
        <v>5651</v>
      </c>
      <c r="B4758" s="2" t="s">
        <v>5783</v>
      </c>
      <c r="D4758" s="2"/>
      <c r="G4758" s="2" t="s">
        <v>5653</v>
      </c>
    </row>
    <row r="4759">
      <c r="A4759" s="2" t="s">
        <v>5651</v>
      </c>
      <c r="B4759" s="2" t="s">
        <v>5784</v>
      </c>
      <c r="D4759" s="2"/>
      <c r="G4759" s="2" t="s">
        <v>5653</v>
      </c>
    </row>
    <row r="4760">
      <c r="A4760" s="2" t="s">
        <v>5651</v>
      </c>
      <c r="B4760" s="2" t="s">
        <v>5785</v>
      </c>
      <c r="D4760" s="2"/>
      <c r="G4760" s="2" t="s">
        <v>5653</v>
      </c>
    </row>
    <row r="4761">
      <c r="A4761" s="2" t="s">
        <v>5651</v>
      </c>
      <c r="B4761" s="2" t="s">
        <v>5786</v>
      </c>
      <c r="D4761" s="2"/>
      <c r="G4761" s="2" t="s">
        <v>5653</v>
      </c>
    </row>
    <row r="4762">
      <c r="A4762" s="2" t="s">
        <v>5651</v>
      </c>
      <c r="B4762" s="2" t="s">
        <v>5787</v>
      </c>
      <c r="D4762" s="2"/>
      <c r="G4762" s="2" t="s">
        <v>5653</v>
      </c>
    </row>
    <row r="4763">
      <c r="A4763" s="2" t="s">
        <v>5651</v>
      </c>
      <c r="B4763" s="2" t="s">
        <v>5788</v>
      </c>
      <c r="D4763" s="2"/>
      <c r="G4763" s="2" t="s">
        <v>5653</v>
      </c>
    </row>
    <row r="4764">
      <c r="A4764" s="2" t="s">
        <v>5651</v>
      </c>
      <c r="B4764" s="2" t="s">
        <v>5789</v>
      </c>
      <c r="D4764" s="2"/>
      <c r="G4764" s="2" t="s">
        <v>5653</v>
      </c>
    </row>
    <row r="4765">
      <c r="A4765" s="2" t="s">
        <v>5651</v>
      </c>
      <c r="B4765" s="2" t="s">
        <v>5790</v>
      </c>
      <c r="D4765" s="2"/>
      <c r="G4765" s="2" t="s">
        <v>5653</v>
      </c>
    </row>
    <row r="4766">
      <c r="A4766" s="2" t="s">
        <v>5651</v>
      </c>
      <c r="B4766" s="2" t="s">
        <v>5791</v>
      </c>
      <c r="D4766" s="2"/>
      <c r="G4766" s="2" t="s">
        <v>5653</v>
      </c>
    </row>
    <row r="4767">
      <c r="A4767" s="2" t="s">
        <v>5651</v>
      </c>
      <c r="B4767" s="2" t="s">
        <v>5792</v>
      </c>
      <c r="D4767" s="2"/>
      <c r="G4767" s="2" t="s">
        <v>5653</v>
      </c>
    </row>
    <row r="4768">
      <c r="A4768" s="2" t="s">
        <v>5651</v>
      </c>
      <c r="B4768" s="2" t="s">
        <v>5793</v>
      </c>
      <c r="D4768" s="2"/>
      <c r="G4768" s="2" t="s">
        <v>5653</v>
      </c>
    </row>
    <row r="4769">
      <c r="A4769" s="2" t="s">
        <v>5651</v>
      </c>
      <c r="B4769" s="2" t="s">
        <v>5794</v>
      </c>
      <c r="D4769" s="2"/>
      <c r="G4769" s="2" t="s">
        <v>5653</v>
      </c>
    </row>
    <row r="4770">
      <c r="A4770" s="2" t="s">
        <v>5651</v>
      </c>
      <c r="B4770" s="2" t="s">
        <v>5795</v>
      </c>
      <c r="D4770" s="2"/>
      <c r="G4770" s="2" t="s">
        <v>5653</v>
      </c>
    </row>
    <row r="4771">
      <c r="A4771" s="2" t="s">
        <v>5651</v>
      </c>
      <c r="B4771" s="2" t="s">
        <v>5796</v>
      </c>
      <c r="D4771" s="2"/>
      <c r="G4771" s="2" t="s">
        <v>5653</v>
      </c>
    </row>
    <row r="4772">
      <c r="A4772" s="2" t="s">
        <v>5651</v>
      </c>
      <c r="B4772" s="2" t="s">
        <v>5797</v>
      </c>
      <c r="D4772" s="2"/>
      <c r="G4772" s="2" t="s">
        <v>5653</v>
      </c>
    </row>
    <row r="4773">
      <c r="A4773" s="2" t="s">
        <v>5651</v>
      </c>
      <c r="B4773" s="2" t="s">
        <v>5798</v>
      </c>
      <c r="D4773" s="2"/>
      <c r="G4773" s="2" t="s">
        <v>5653</v>
      </c>
    </row>
    <row r="4774">
      <c r="A4774" s="2" t="s">
        <v>5651</v>
      </c>
      <c r="B4774" s="2" t="s">
        <v>5799</v>
      </c>
      <c r="D4774" s="2"/>
      <c r="G4774" s="2" t="s">
        <v>5653</v>
      </c>
    </row>
    <row r="4775">
      <c r="A4775" s="2" t="s">
        <v>5651</v>
      </c>
      <c r="B4775" s="2" t="s">
        <v>5800</v>
      </c>
      <c r="D4775" s="2"/>
      <c r="G4775" s="2" t="s">
        <v>5653</v>
      </c>
    </row>
    <row r="4776">
      <c r="A4776" s="2" t="s">
        <v>5651</v>
      </c>
      <c r="B4776" s="2" t="s">
        <v>5801</v>
      </c>
      <c r="D4776" s="2"/>
      <c r="G4776" s="2" t="s">
        <v>5653</v>
      </c>
    </row>
    <row r="4777">
      <c r="A4777" s="2" t="s">
        <v>5651</v>
      </c>
      <c r="B4777" s="2" t="s">
        <v>5802</v>
      </c>
      <c r="D4777" s="2"/>
      <c r="G4777" s="2" t="s">
        <v>5653</v>
      </c>
    </row>
    <row r="4778">
      <c r="A4778" s="2" t="s">
        <v>5651</v>
      </c>
      <c r="B4778" s="2" t="s">
        <v>5803</v>
      </c>
      <c r="D4778" s="2"/>
      <c r="G4778" s="2" t="s">
        <v>5653</v>
      </c>
    </row>
    <row r="4779">
      <c r="A4779" s="2" t="s">
        <v>5651</v>
      </c>
      <c r="B4779" s="2" t="s">
        <v>5804</v>
      </c>
      <c r="D4779" s="2"/>
      <c r="G4779" s="2" t="s">
        <v>5653</v>
      </c>
    </row>
    <row r="4780">
      <c r="A4780" s="2" t="s">
        <v>5651</v>
      </c>
      <c r="B4780" s="2" t="s">
        <v>5805</v>
      </c>
      <c r="D4780" s="2"/>
      <c r="G4780" s="2" t="s">
        <v>5653</v>
      </c>
    </row>
    <row r="4781">
      <c r="A4781" s="2" t="s">
        <v>5651</v>
      </c>
      <c r="B4781" s="2" t="s">
        <v>5806</v>
      </c>
      <c r="D4781" s="2"/>
      <c r="G4781" s="2" t="s">
        <v>5653</v>
      </c>
    </row>
    <row r="4782">
      <c r="A4782" s="2" t="s">
        <v>5651</v>
      </c>
      <c r="B4782" s="2" t="s">
        <v>5807</v>
      </c>
      <c r="D4782" s="2"/>
      <c r="G4782" s="2" t="s">
        <v>5653</v>
      </c>
    </row>
    <row r="4783">
      <c r="A4783" s="2" t="s">
        <v>5651</v>
      </c>
      <c r="B4783" s="2" t="s">
        <v>5808</v>
      </c>
      <c r="D4783" s="2"/>
      <c r="G4783" s="2" t="s">
        <v>5653</v>
      </c>
    </row>
    <row r="4784">
      <c r="A4784" s="2" t="s">
        <v>5651</v>
      </c>
      <c r="B4784" s="2" t="s">
        <v>5809</v>
      </c>
      <c r="D4784" s="2"/>
      <c r="G4784" s="2" t="s">
        <v>5653</v>
      </c>
    </row>
    <row r="4785">
      <c r="A4785" s="2" t="s">
        <v>5651</v>
      </c>
      <c r="B4785" s="2" t="s">
        <v>5810</v>
      </c>
      <c r="D4785" s="2"/>
      <c r="G4785" s="2" t="s">
        <v>5653</v>
      </c>
    </row>
    <row r="4786">
      <c r="A4786" s="2" t="s">
        <v>5651</v>
      </c>
      <c r="B4786" s="2" t="s">
        <v>5811</v>
      </c>
      <c r="D4786" s="2"/>
      <c r="G4786" s="2" t="s">
        <v>5653</v>
      </c>
    </row>
    <row r="4787">
      <c r="A4787" s="2" t="s">
        <v>5651</v>
      </c>
      <c r="B4787" s="2" t="s">
        <v>5812</v>
      </c>
      <c r="D4787" s="2"/>
      <c r="G4787" s="2" t="s">
        <v>5653</v>
      </c>
    </row>
    <row r="4788">
      <c r="A4788" s="2" t="s">
        <v>5651</v>
      </c>
      <c r="B4788" s="2" t="s">
        <v>5813</v>
      </c>
      <c r="D4788" s="2"/>
      <c r="G4788" s="2" t="s">
        <v>5653</v>
      </c>
    </row>
    <row r="4789">
      <c r="A4789" s="2" t="s">
        <v>5651</v>
      </c>
      <c r="B4789" s="2" t="s">
        <v>5814</v>
      </c>
      <c r="D4789" s="2"/>
      <c r="G4789" s="2" t="s">
        <v>5653</v>
      </c>
    </row>
    <row r="4790">
      <c r="A4790" s="2" t="s">
        <v>5651</v>
      </c>
      <c r="B4790" s="2" t="s">
        <v>5815</v>
      </c>
      <c r="D4790" s="2"/>
      <c r="G4790" s="2" t="s">
        <v>5653</v>
      </c>
    </row>
    <row r="4791">
      <c r="A4791" s="2" t="s">
        <v>5651</v>
      </c>
      <c r="B4791" s="2" t="s">
        <v>5816</v>
      </c>
      <c r="D4791" s="2"/>
      <c r="G4791" s="2" t="s">
        <v>5653</v>
      </c>
    </row>
    <row r="4792">
      <c r="A4792" s="2" t="s">
        <v>5651</v>
      </c>
      <c r="B4792" s="2" t="s">
        <v>5817</v>
      </c>
      <c r="D4792" s="2"/>
      <c r="G4792" s="2" t="s">
        <v>5653</v>
      </c>
    </row>
    <row r="4793">
      <c r="A4793" s="2" t="s">
        <v>5651</v>
      </c>
      <c r="B4793" s="2" t="s">
        <v>5818</v>
      </c>
      <c r="D4793" s="2"/>
      <c r="G4793" s="2" t="s">
        <v>5653</v>
      </c>
    </row>
    <row r="4794">
      <c r="A4794" s="2" t="s">
        <v>5651</v>
      </c>
      <c r="B4794" s="2" t="s">
        <v>5819</v>
      </c>
      <c r="D4794" s="2"/>
      <c r="G4794" s="2" t="s">
        <v>5653</v>
      </c>
    </row>
    <row r="4795">
      <c r="A4795" s="2" t="s">
        <v>5651</v>
      </c>
      <c r="B4795" s="2" t="s">
        <v>5820</v>
      </c>
      <c r="D4795" s="2"/>
      <c r="G4795" s="2" t="s">
        <v>5653</v>
      </c>
    </row>
    <row r="4796">
      <c r="A4796" s="2" t="s">
        <v>5651</v>
      </c>
      <c r="B4796" s="2" t="s">
        <v>5821</v>
      </c>
      <c r="D4796" s="2"/>
      <c r="G4796" s="2" t="s">
        <v>5653</v>
      </c>
    </row>
    <row r="4797">
      <c r="A4797" s="2" t="s">
        <v>5651</v>
      </c>
      <c r="B4797" s="2" t="s">
        <v>5822</v>
      </c>
      <c r="D4797" s="2"/>
      <c r="G4797" s="2" t="s">
        <v>5653</v>
      </c>
    </row>
    <row r="4798">
      <c r="A4798" s="2" t="s">
        <v>5651</v>
      </c>
      <c r="B4798" s="2" t="s">
        <v>5823</v>
      </c>
      <c r="D4798" s="2"/>
      <c r="G4798" s="2" t="s">
        <v>5653</v>
      </c>
    </row>
    <row r="4799">
      <c r="A4799" s="2" t="s">
        <v>5651</v>
      </c>
      <c r="B4799" s="2" t="s">
        <v>5824</v>
      </c>
      <c r="D4799" s="2"/>
      <c r="G4799" s="2" t="s">
        <v>5653</v>
      </c>
    </row>
    <row r="4800">
      <c r="A4800" s="2" t="s">
        <v>5651</v>
      </c>
      <c r="B4800" s="2" t="s">
        <v>5825</v>
      </c>
      <c r="D4800" s="2"/>
      <c r="G4800" s="2" t="s">
        <v>5653</v>
      </c>
    </row>
    <row r="4801">
      <c r="A4801" s="2" t="s">
        <v>5651</v>
      </c>
      <c r="B4801" s="2" t="s">
        <v>5826</v>
      </c>
      <c r="D4801" s="2"/>
      <c r="G4801" s="2" t="s">
        <v>5653</v>
      </c>
    </row>
    <row r="4802">
      <c r="A4802" s="2" t="s">
        <v>5651</v>
      </c>
      <c r="B4802" s="2" t="s">
        <v>5827</v>
      </c>
      <c r="D4802" s="2"/>
      <c r="G4802" s="2" t="s">
        <v>5653</v>
      </c>
    </row>
    <row r="4803">
      <c r="A4803" s="2" t="s">
        <v>5651</v>
      </c>
      <c r="B4803" s="2" t="s">
        <v>5828</v>
      </c>
      <c r="D4803" s="2"/>
      <c r="G4803" s="2" t="s">
        <v>5653</v>
      </c>
    </row>
    <row r="4804">
      <c r="A4804" s="2" t="s">
        <v>5651</v>
      </c>
      <c r="B4804" s="2" t="s">
        <v>5829</v>
      </c>
      <c r="D4804" s="2"/>
      <c r="G4804" s="2" t="s">
        <v>5653</v>
      </c>
    </row>
    <row r="4805">
      <c r="A4805" s="2" t="s">
        <v>5651</v>
      </c>
      <c r="B4805" s="2" t="s">
        <v>5830</v>
      </c>
      <c r="D4805" s="2"/>
      <c r="G4805" s="2" t="s">
        <v>5653</v>
      </c>
    </row>
    <row r="4806">
      <c r="A4806" s="2" t="s">
        <v>5651</v>
      </c>
      <c r="B4806" s="2" t="s">
        <v>5831</v>
      </c>
      <c r="D4806" s="2"/>
      <c r="G4806" s="2" t="s">
        <v>5653</v>
      </c>
    </row>
    <row r="4807">
      <c r="A4807" s="2" t="s">
        <v>5651</v>
      </c>
      <c r="B4807" s="2" t="s">
        <v>5832</v>
      </c>
      <c r="D4807" s="2"/>
      <c r="G4807" s="2" t="s">
        <v>5653</v>
      </c>
    </row>
    <row r="4808">
      <c r="A4808" s="2" t="s">
        <v>5651</v>
      </c>
      <c r="B4808" s="2" t="s">
        <v>5833</v>
      </c>
      <c r="D4808" s="2"/>
      <c r="G4808" s="2" t="s">
        <v>5653</v>
      </c>
    </row>
    <row r="4809">
      <c r="A4809" s="2" t="s">
        <v>5651</v>
      </c>
      <c r="B4809" s="2" t="s">
        <v>5834</v>
      </c>
      <c r="D4809" s="2"/>
      <c r="G4809" s="2" t="s">
        <v>5653</v>
      </c>
    </row>
    <row r="4810">
      <c r="A4810" s="2" t="s">
        <v>5651</v>
      </c>
      <c r="B4810" s="2" t="s">
        <v>5835</v>
      </c>
      <c r="D4810" s="2"/>
      <c r="G4810" s="2" t="s">
        <v>5653</v>
      </c>
    </row>
    <row r="4811">
      <c r="A4811" s="2" t="s">
        <v>5651</v>
      </c>
      <c r="B4811" s="2" t="s">
        <v>5836</v>
      </c>
      <c r="D4811" s="2"/>
      <c r="G4811" s="2" t="s">
        <v>5653</v>
      </c>
    </row>
    <row r="4812">
      <c r="A4812" s="2" t="s">
        <v>5651</v>
      </c>
      <c r="B4812" s="2" t="s">
        <v>5837</v>
      </c>
      <c r="D4812" s="2"/>
      <c r="G4812" s="2" t="s">
        <v>5653</v>
      </c>
    </row>
    <row r="4813">
      <c r="A4813" s="2" t="s">
        <v>5651</v>
      </c>
      <c r="B4813" s="2" t="s">
        <v>5838</v>
      </c>
      <c r="D4813" s="2"/>
      <c r="G4813" s="2" t="s">
        <v>5653</v>
      </c>
    </row>
    <row r="4814">
      <c r="A4814" s="2" t="s">
        <v>5651</v>
      </c>
      <c r="B4814" s="2" t="s">
        <v>5839</v>
      </c>
      <c r="D4814" s="2"/>
      <c r="G4814" s="2" t="s">
        <v>5653</v>
      </c>
    </row>
    <row r="4815">
      <c r="A4815" s="2" t="s">
        <v>5651</v>
      </c>
      <c r="B4815" s="2" t="s">
        <v>5840</v>
      </c>
      <c r="D4815" s="2"/>
      <c r="G4815" s="2" t="s">
        <v>5653</v>
      </c>
    </row>
    <row r="4816">
      <c r="A4816" s="2" t="s">
        <v>5651</v>
      </c>
      <c r="B4816" s="2" t="s">
        <v>5841</v>
      </c>
      <c r="D4816" s="2"/>
      <c r="G4816" s="2" t="s">
        <v>5653</v>
      </c>
    </row>
    <row r="4817">
      <c r="A4817" s="2" t="s">
        <v>5651</v>
      </c>
      <c r="B4817" s="2" t="s">
        <v>5842</v>
      </c>
      <c r="D4817" s="2"/>
      <c r="G4817" s="2" t="s">
        <v>5653</v>
      </c>
    </row>
    <row r="4818">
      <c r="A4818" s="2" t="s">
        <v>5651</v>
      </c>
      <c r="B4818" s="2" t="s">
        <v>5843</v>
      </c>
      <c r="D4818" s="2"/>
      <c r="G4818" s="2" t="s">
        <v>5653</v>
      </c>
    </row>
    <row r="4819">
      <c r="A4819" s="2" t="s">
        <v>5651</v>
      </c>
      <c r="B4819" s="2" t="s">
        <v>5844</v>
      </c>
      <c r="D4819" s="2"/>
      <c r="G4819" s="2" t="s">
        <v>5653</v>
      </c>
    </row>
    <row r="4820">
      <c r="A4820" s="2" t="s">
        <v>5651</v>
      </c>
      <c r="B4820" s="2" t="s">
        <v>5845</v>
      </c>
      <c r="D4820" s="2"/>
      <c r="G4820" s="2" t="s">
        <v>5653</v>
      </c>
    </row>
    <row r="4821">
      <c r="A4821" s="2" t="s">
        <v>5651</v>
      </c>
      <c r="B4821" s="2" t="s">
        <v>5846</v>
      </c>
      <c r="D4821" s="2"/>
      <c r="G4821" s="2" t="s">
        <v>5653</v>
      </c>
    </row>
    <row r="4822">
      <c r="A4822" s="2" t="s">
        <v>5651</v>
      </c>
      <c r="B4822" s="2" t="s">
        <v>5847</v>
      </c>
      <c r="D4822" s="2"/>
      <c r="G4822" s="2" t="s">
        <v>5653</v>
      </c>
    </row>
    <row r="4823">
      <c r="A4823" s="2" t="s">
        <v>5651</v>
      </c>
      <c r="B4823" s="2" t="s">
        <v>5848</v>
      </c>
      <c r="D4823" s="2"/>
      <c r="G4823" s="2" t="s">
        <v>5653</v>
      </c>
    </row>
    <row r="4824">
      <c r="A4824" s="2" t="s">
        <v>5651</v>
      </c>
      <c r="B4824" s="2" t="s">
        <v>5849</v>
      </c>
      <c r="D4824" s="2"/>
      <c r="G4824" s="2" t="s">
        <v>5653</v>
      </c>
    </row>
    <row r="4825">
      <c r="A4825" s="2" t="s">
        <v>5651</v>
      </c>
      <c r="B4825" s="2" t="s">
        <v>5850</v>
      </c>
      <c r="D4825" s="2"/>
      <c r="G4825" s="2" t="s">
        <v>5653</v>
      </c>
    </row>
    <row r="4826">
      <c r="A4826" s="2" t="s">
        <v>5651</v>
      </c>
      <c r="B4826" s="2" t="s">
        <v>5851</v>
      </c>
      <c r="D4826" s="2"/>
      <c r="G4826" s="2" t="s">
        <v>5653</v>
      </c>
    </row>
    <row r="4827">
      <c r="A4827" s="2" t="s">
        <v>5651</v>
      </c>
      <c r="B4827" s="2" t="s">
        <v>5852</v>
      </c>
      <c r="D4827" s="2"/>
      <c r="G4827" s="2" t="s">
        <v>5653</v>
      </c>
    </row>
    <row r="4828">
      <c r="A4828" s="2" t="s">
        <v>5651</v>
      </c>
      <c r="B4828" s="2" t="s">
        <v>5853</v>
      </c>
      <c r="D4828" s="2"/>
      <c r="G4828" s="2" t="s">
        <v>5653</v>
      </c>
    </row>
    <row r="4829">
      <c r="A4829" s="2" t="s">
        <v>5651</v>
      </c>
      <c r="B4829" s="2" t="s">
        <v>5854</v>
      </c>
      <c r="D4829" s="2"/>
      <c r="G4829" s="2" t="s">
        <v>5653</v>
      </c>
    </row>
    <row r="4830">
      <c r="A4830" s="2" t="s">
        <v>5651</v>
      </c>
      <c r="B4830" s="2" t="s">
        <v>5855</v>
      </c>
      <c r="D4830" s="2"/>
      <c r="G4830" s="2" t="s">
        <v>5653</v>
      </c>
    </row>
    <row r="4831">
      <c r="A4831" s="2" t="s">
        <v>5651</v>
      </c>
      <c r="B4831" s="2" t="s">
        <v>5856</v>
      </c>
      <c r="D4831" s="2"/>
      <c r="G4831" s="2" t="s">
        <v>5653</v>
      </c>
    </row>
    <row r="4832">
      <c r="A4832" s="2" t="s">
        <v>5651</v>
      </c>
      <c r="B4832" s="2" t="s">
        <v>5857</v>
      </c>
      <c r="D4832" s="2"/>
      <c r="G4832" s="2" t="s">
        <v>5653</v>
      </c>
    </row>
    <row r="4833">
      <c r="A4833" s="2" t="s">
        <v>5651</v>
      </c>
      <c r="B4833" s="2" t="s">
        <v>5858</v>
      </c>
      <c r="D4833" s="2"/>
      <c r="G4833" s="2" t="s">
        <v>5653</v>
      </c>
    </row>
    <row r="4834">
      <c r="A4834" s="2" t="s">
        <v>5651</v>
      </c>
      <c r="B4834" s="2" t="s">
        <v>5859</v>
      </c>
      <c r="D4834" s="2"/>
      <c r="G4834" s="2" t="s">
        <v>5653</v>
      </c>
    </row>
    <row r="4835">
      <c r="A4835" s="2" t="s">
        <v>5651</v>
      </c>
      <c r="B4835" s="2" t="s">
        <v>5860</v>
      </c>
      <c r="D4835" s="2"/>
      <c r="G4835" s="2" t="s">
        <v>5653</v>
      </c>
    </row>
    <row r="4836">
      <c r="A4836" s="2" t="s">
        <v>5651</v>
      </c>
      <c r="B4836" s="2" t="s">
        <v>5861</v>
      </c>
      <c r="D4836" s="2"/>
      <c r="G4836" s="2" t="s">
        <v>5653</v>
      </c>
    </row>
    <row r="4837">
      <c r="A4837" s="2" t="s">
        <v>5651</v>
      </c>
      <c r="B4837" s="2" t="s">
        <v>5862</v>
      </c>
      <c r="D4837" s="2"/>
      <c r="G4837" s="2" t="s">
        <v>5653</v>
      </c>
    </row>
    <row r="4838">
      <c r="A4838" s="2" t="s">
        <v>5651</v>
      </c>
      <c r="B4838" s="2" t="s">
        <v>5863</v>
      </c>
      <c r="D4838" s="2"/>
      <c r="G4838" s="2" t="s">
        <v>5653</v>
      </c>
    </row>
    <row r="4839">
      <c r="A4839" s="2" t="s">
        <v>5651</v>
      </c>
      <c r="B4839" s="2" t="s">
        <v>5864</v>
      </c>
      <c r="D4839" s="2"/>
      <c r="G4839" s="2" t="s">
        <v>5653</v>
      </c>
    </row>
    <row r="4840">
      <c r="A4840" s="2" t="s">
        <v>5651</v>
      </c>
      <c r="B4840" s="2" t="s">
        <v>5865</v>
      </c>
      <c r="D4840" s="2"/>
      <c r="G4840" s="2" t="s">
        <v>5653</v>
      </c>
    </row>
    <row r="4841">
      <c r="A4841" s="2" t="s">
        <v>5651</v>
      </c>
      <c r="B4841" s="2" t="s">
        <v>5866</v>
      </c>
      <c r="D4841" s="2"/>
      <c r="G4841" s="2" t="s">
        <v>5653</v>
      </c>
    </row>
    <row r="4842">
      <c r="A4842" s="2" t="s">
        <v>5651</v>
      </c>
      <c r="B4842" s="2" t="s">
        <v>5867</v>
      </c>
      <c r="D4842" s="2"/>
      <c r="G4842" s="2" t="s">
        <v>5653</v>
      </c>
    </row>
    <row r="4843">
      <c r="A4843" s="2" t="s">
        <v>5651</v>
      </c>
      <c r="B4843" s="2" t="s">
        <v>5868</v>
      </c>
      <c r="D4843" s="2"/>
      <c r="G4843" s="2" t="s">
        <v>5653</v>
      </c>
    </row>
    <row r="4844">
      <c r="A4844" s="2" t="s">
        <v>5651</v>
      </c>
      <c r="B4844" s="2" t="s">
        <v>5869</v>
      </c>
      <c r="D4844" s="2"/>
      <c r="G4844" s="2" t="s">
        <v>5653</v>
      </c>
    </row>
    <row r="4845">
      <c r="A4845" s="2" t="s">
        <v>5651</v>
      </c>
      <c r="B4845" s="2" t="s">
        <v>5870</v>
      </c>
      <c r="D4845" s="2"/>
      <c r="G4845" s="2" t="s">
        <v>5653</v>
      </c>
    </row>
    <row r="4846">
      <c r="A4846" s="2" t="s">
        <v>5651</v>
      </c>
      <c r="B4846" s="2" t="s">
        <v>5871</v>
      </c>
      <c r="D4846" s="2"/>
      <c r="G4846" s="2" t="s">
        <v>5653</v>
      </c>
    </row>
    <row r="4847">
      <c r="A4847" s="2" t="s">
        <v>5651</v>
      </c>
      <c r="B4847" s="2" t="s">
        <v>5872</v>
      </c>
      <c r="D4847" s="2"/>
      <c r="G4847" s="2" t="s">
        <v>5653</v>
      </c>
    </row>
    <row r="4848">
      <c r="A4848" s="2" t="s">
        <v>5651</v>
      </c>
      <c r="B4848" s="2" t="s">
        <v>5873</v>
      </c>
      <c r="D4848" s="2"/>
      <c r="G4848" s="2" t="s">
        <v>5653</v>
      </c>
    </row>
    <row r="4849">
      <c r="A4849" s="2" t="s">
        <v>5651</v>
      </c>
      <c r="B4849" s="2" t="s">
        <v>5874</v>
      </c>
      <c r="D4849" s="2"/>
      <c r="G4849" s="2" t="s">
        <v>5653</v>
      </c>
    </row>
    <row r="4850">
      <c r="A4850" s="2" t="s">
        <v>5651</v>
      </c>
      <c r="B4850" s="2" t="s">
        <v>5875</v>
      </c>
      <c r="D4850" s="2"/>
      <c r="G4850" s="2" t="s">
        <v>5653</v>
      </c>
    </row>
    <row r="4851">
      <c r="A4851" s="2" t="s">
        <v>5651</v>
      </c>
      <c r="B4851" s="2" t="s">
        <v>5876</v>
      </c>
      <c r="D4851" s="2"/>
      <c r="G4851" s="2" t="s">
        <v>5653</v>
      </c>
    </row>
    <row r="4852">
      <c r="A4852" s="2" t="s">
        <v>5651</v>
      </c>
      <c r="B4852" s="2" t="s">
        <v>5877</v>
      </c>
      <c r="D4852" s="2"/>
      <c r="G4852" s="2" t="s">
        <v>5653</v>
      </c>
    </row>
    <row r="4853">
      <c r="A4853" s="2" t="s">
        <v>5651</v>
      </c>
      <c r="B4853" s="2" t="s">
        <v>5878</v>
      </c>
      <c r="D4853" s="2"/>
      <c r="G4853" s="2" t="s">
        <v>5653</v>
      </c>
    </row>
    <row r="4854">
      <c r="A4854" s="2" t="s">
        <v>5651</v>
      </c>
      <c r="B4854" s="2" t="s">
        <v>5879</v>
      </c>
      <c r="D4854" s="2"/>
      <c r="G4854" s="2" t="s">
        <v>5653</v>
      </c>
    </row>
    <row r="4855">
      <c r="A4855" s="2" t="s">
        <v>5651</v>
      </c>
      <c r="B4855" s="2" t="s">
        <v>5880</v>
      </c>
      <c r="D4855" s="2"/>
      <c r="G4855" s="2" t="s">
        <v>5653</v>
      </c>
    </row>
    <row r="4856">
      <c r="A4856" s="2" t="s">
        <v>5651</v>
      </c>
      <c r="B4856" s="2" t="s">
        <v>5881</v>
      </c>
      <c r="D4856" s="2"/>
      <c r="G4856" s="2" t="s">
        <v>5653</v>
      </c>
    </row>
    <row r="4857">
      <c r="A4857" s="2" t="s">
        <v>5651</v>
      </c>
      <c r="B4857" s="2" t="s">
        <v>5882</v>
      </c>
      <c r="D4857" s="2"/>
      <c r="G4857" s="2" t="s">
        <v>5653</v>
      </c>
    </row>
    <row r="4858">
      <c r="A4858" s="2" t="s">
        <v>5651</v>
      </c>
      <c r="B4858" s="2" t="s">
        <v>5883</v>
      </c>
      <c r="D4858" s="2"/>
      <c r="G4858" s="2" t="s">
        <v>5653</v>
      </c>
    </row>
    <row r="4859">
      <c r="A4859" s="2" t="s">
        <v>5651</v>
      </c>
      <c r="B4859" s="2" t="s">
        <v>5884</v>
      </c>
      <c r="D4859" s="2"/>
      <c r="G4859" s="2" t="s">
        <v>5653</v>
      </c>
    </row>
    <row r="4860">
      <c r="A4860" s="2" t="s">
        <v>5651</v>
      </c>
      <c r="B4860" s="2" t="s">
        <v>5885</v>
      </c>
      <c r="D4860" s="2"/>
      <c r="G4860" s="2" t="s">
        <v>5653</v>
      </c>
    </row>
    <row r="4861">
      <c r="A4861" s="2" t="s">
        <v>5651</v>
      </c>
      <c r="B4861" s="2" t="s">
        <v>5886</v>
      </c>
      <c r="D4861" s="2"/>
      <c r="G4861" s="2" t="s">
        <v>5653</v>
      </c>
    </row>
    <row r="4862">
      <c r="A4862" s="2" t="s">
        <v>5651</v>
      </c>
      <c r="B4862" s="2" t="s">
        <v>5887</v>
      </c>
      <c r="D4862" s="2"/>
      <c r="G4862" s="2" t="s">
        <v>5653</v>
      </c>
    </row>
    <row r="4863">
      <c r="A4863" s="2" t="s">
        <v>5651</v>
      </c>
      <c r="B4863" s="2" t="s">
        <v>5888</v>
      </c>
      <c r="D4863" s="2"/>
      <c r="G4863" s="2" t="s">
        <v>5653</v>
      </c>
    </row>
    <row r="4864">
      <c r="A4864" s="2" t="s">
        <v>5651</v>
      </c>
      <c r="B4864" s="2" t="s">
        <v>5889</v>
      </c>
      <c r="D4864" s="2"/>
      <c r="G4864" s="2" t="s">
        <v>5653</v>
      </c>
    </row>
    <row r="4865">
      <c r="A4865" s="2" t="s">
        <v>5651</v>
      </c>
      <c r="B4865" s="2" t="s">
        <v>5890</v>
      </c>
      <c r="D4865" s="2"/>
      <c r="G4865" s="2" t="s">
        <v>5653</v>
      </c>
    </row>
    <row r="4866">
      <c r="A4866" s="2" t="s">
        <v>5651</v>
      </c>
      <c r="B4866" s="2" t="s">
        <v>5891</v>
      </c>
      <c r="D4866" s="2"/>
      <c r="G4866" s="2" t="s">
        <v>5653</v>
      </c>
    </row>
    <row r="4867">
      <c r="A4867" s="2" t="s">
        <v>5651</v>
      </c>
      <c r="B4867" s="2" t="s">
        <v>5892</v>
      </c>
      <c r="D4867" s="2"/>
      <c r="G4867" s="2" t="s">
        <v>5653</v>
      </c>
    </row>
    <row r="4868">
      <c r="A4868" s="2" t="s">
        <v>5651</v>
      </c>
      <c r="B4868" s="2" t="s">
        <v>5893</v>
      </c>
      <c r="D4868" s="2"/>
      <c r="G4868" s="2" t="s">
        <v>5653</v>
      </c>
    </row>
    <row r="4869">
      <c r="A4869" s="2" t="s">
        <v>5651</v>
      </c>
      <c r="B4869" s="2" t="s">
        <v>5894</v>
      </c>
      <c r="D4869" s="2"/>
      <c r="G4869" s="2" t="s">
        <v>5653</v>
      </c>
    </row>
    <row r="4870">
      <c r="A4870" s="2" t="s">
        <v>5651</v>
      </c>
      <c r="B4870" s="2" t="s">
        <v>5895</v>
      </c>
      <c r="D4870" s="2"/>
      <c r="G4870" s="2" t="s">
        <v>5653</v>
      </c>
    </row>
    <row r="4871">
      <c r="A4871" s="2" t="s">
        <v>5651</v>
      </c>
      <c r="B4871" s="2" t="s">
        <v>5896</v>
      </c>
      <c r="D4871" s="2"/>
      <c r="G4871" s="2" t="s">
        <v>5653</v>
      </c>
    </row>
    <row r="4872">
      <c r="A4872" s="2" t="s">
        <v>5651</v>
      </c>
      <c r="B4872" s="2" t="s">
        <v>5897</v>
      </c>
      <c r="D4872" s="2"/>
      <c r="G4872" s="2" t="s">
        <v>5653</v>
      </c>
    </row>
    <row r="4873">
      <c r="A4873" s="2" t="s">
        <v>5651</v>
      </c>
      <c r="B4873" s="2" t="s">
        <v>5898</v>
      </c>
      <c r="D4873" s="2"/>
      <c r="G4873" s="2" t="s">
        <v>5653</v>
      </c>
    </row>
    <row r="4874">
      <c r="A4874" s="2" t="s">
        <v>5651</v>
      </c>
      <c r="B4874" s="2" t="s">
        <v>5899</v>
      </c>
      <c r="D4874" s="2"/>
      <c r="G4874" s="2" t="s">
        <v>5653</v>
      </c>
    </row>
    <row r="4875">
      <c r="A4875" s="2" t="s">
        <v>5651</v>
      </c>
      <c r="B4875" s="2" t="s">
        <v>5900</v>
      </c>
      <c r="D4875" s="2"/>
      <c r="G4875" s="2" t="s">
        <v>5653</v>
      </c>
    </row>
    <row r="4876">
      <c r="A4876" s="2" t="s">
        <v>5651</v>
      </c>
      <c r="B4876" s="2" t="s">
        <v>5901</v>
      </c>
      <c r="D4876" s="2"/>
      <c r="G4876" s="2" t="s">
        <v>5653</v>
      </c>
    </row>
    <row r="4877">
      <c r="A4877" s="2" t="s">
        <v>5651</v>
      </c>
      <c r="B4877" s="2" t="s">
        <v>5902</v>
      </c>
      <c r="D4877" s="2"/>
      <c r="G4877" s="2" t="s">
        <v>5653</v>
      </c>
    </row>
    <row r="4878">
      <c r="A4878" s="2" t="s">
        <v>5651</v>
      </c>
      <c r="B4878" s="2" t="s">
        <v>5903</v>
      </c>
      <c r="D4878" s="2"/>
      <c r="G4878" s="2" t="s">
        <v>5653</v>
      </c>
    </row>
    <row r="4879">
      <c r="A4879" s="2" t="s">
        <v>5651</v>
      </c>
      <c r="B4879" s="2" t="s">
        <v>5904</v>
      </c>
      <c r="D4879" s="2"/>
      <c r="G4879" s="2" t="s">
        <v>5653</v>
      </c>
    </row>
    <row r="4880">
      <c r="A4880" s="2" t="s">
        <v>5651</v>
      </c>
      <c r="B4880" s="2" t="s">
        <v>5905</v>
      </c>
      <c r="D4880" s="2"/>
      <c r="G4880" s="2" t="s">
        <v>5653</v>
      </c>
    </row>
    <row r="4881">
      <c r="A4881" s="2" t="s">
        <v>5651</v>
      </c>
      <c r="B4881" s="2" t="s">
        <v>5906</v>
      </c>
      <c r="D4881" s="2"/>
      <c r="G4881" s="2" t="s">
        <v>5653</v>
      </c>
    </row>
    <row r="4882">
      <c r="A4882" s="2" t="s">
        <v>5651</v>
      </c>
      <c r="B4882" s="2" t="s">
        <v>5907</v>
      </c>
      <c r="D4882" s="2"/>
      <c r="G4882" s="2" t="s">
        <v>5653</v>
      </c>
    </row>
    <row r="4883">
      <c r="A4883" s="2" t="s">
        <v>5651</v>
      </c>
      <c r="B4883" s="2" t="s">
        <v>5908</v>
      </c>
      <c r="D4883" s="2"/>
      <c r="G4883" s="2" t="s">
        <v>5653</v>
      </c>
    </row>
    <row r="4884">
      <c r="A4884" s="2" t="s">
        <v>5651</v>
      </c>
      <c r="B4884" s="2" t="s">
        <v>5909</v>
      </c>
      <c r="D4884" s="2"/>
      <c r="G4884" s="2" t="s">
        <v>5653</v>
      </c>
    </row>
    <row r="4885">
      <c r="A4885" s="2" t="s">
        <v>5651</v>
      </c>
      <c r="B4885" s="2" t="s">
        <v>5910</v>
      </c>
      <c r="D4885" s="2"/>
      <c r="G4885" s="2" t="s">
        <v>5653</v>
      </c>
    </row>
    <row r="4886">
      <c r="A4886" s="2" t="s">
        <v>5651</v>
      </c>
      <c r="B4886" s="2" t="s">
        <v>5911</v>
      </c>
      <c r="D4886" s="2"/>
      <c r="G4886" s="2" t="s">
        <v>5653</v>
      </c>
    </row>
    <row r="4887">
      <c r="A4887" s="2" t="s">
        <v>5651</v>
      </c>
      <c r="B4887" s="2" t="s">
        <v>5912</v>
      </c>
      <c r="D4887" s="2"/>
      <c r="G4887" s="2" t="s">
        <v>5653</v>
      </c>
    </row>
    <row r="4888">
      <c r="A4888" s="2" t="s">
        <v>5651</v>
      </c>
      <c r="B4888" s="2" t="s">
        <v>5913</v>
      </c>
      <c r="D4888" s="2"/>
      <c r="G4888" s="2" t="s">
        <v>5653</v>
      </c>
    </row>
    <row r="4889">
      <c r="A4889" s="2" t="s">
        <v>5651</v>
      </c>
      <c r="B4889" s="2" t="s">
        <v>5914</v>
      </c>
      <c r="D4889" s="2"/>
      <c r="G4889" s="2" t="s">
        <v>5653</v>
      </c>
    </row>
    <row r="4890">
      <c r="A4890" s="2" t="s">
        <v>5651</v>
      </c>
      <c r="B4890" s="2" t="s">
        <v>5915</v>
      </c>
      <c r="D4890" s="2"/>
      <c r="G4890" s="2" t="s">
        <v>5653</v>
      </c>
    </row>
    <row r="4891">
      <c r="A4891" s="2" t="s">
        <v>5651</v>
      </c>
      <c r="B4891" s="2" t="s">
        <v>5916</v>
      </c>
      <c r="D4891" s="2"/>
      <c r="G4891" s="2" t="s">
        <v>5653</v>
      </c>
    </row>
    <row r="4892">
      <c r="A4892" s="2" t="s">
        <v>5651</v>
      </c>
      <c r="B4892" s="2" t="s">
        <v>5917</v>
      </c>
      <c r="D4892" s="2"/>
      <c r="G4892" s="2" t="s">
        <v>5653</v>
      </c>
    </row>
    <row r="4893">
      <c r="A4893" s="2" t="s">
        <v>5651</v>
      </c>
      <c r="B4893" s="2" t="s">
        <v>5918</v>
      </c>
      <c r="D4893" s="2"/>
      <c r="G4893" s="2" t="s">
        <v>5653</v>
      </c>
    </row>
    <row r="4894">
      <c r="A4894" s="2" t="s">
        <v>5651</v>
      </c>
      <c r="B4894" s="2" t="s">
        <v>5919</v>
      </c>
      <c r="D4894" s="2"/>
      <c r="G4894" s="2" t="s">
        <v>5653</v>
      </c>
    </row>
    <row r="4895">
      <c r="A4895" s="2" t="s">
        <v>5651</v>
      </c>
      <c r="B4895" s="2" t="s">
        <v>5920</v>
      </c>
      <c r="D4895" s="2"/>
      <c r="G4895" s="2" t="s">
        <v>5653</v>
      </c>
    </row>
    <row r="4896">
      <c r="A4896" s="2" t="s">
        <v>5651</v>
      </c>
      <c r="B4896" s="2" t="s">
        <v>5921</v>
      </c>
      <c r="D4896" s="2"/>
      <c r="G4896" s="2" t="s">
        <v>5653</v>
      </c>
    </row>
    <row r="4897">
      <c r="A4897" s="2" t="s">
        <v>5651</v>
      </c>
      <c r="B4897" s="2" t="s">
        <v>5922</v>
      </c>
      <c r="D4897" s="2"/>
      <c r="G4897" s="2" t="s">
        <v>5653</v>
      </c>
    </row>
    <row r="4898">
      <c r="A4898" s="2" t="s">
        <v>5651</v>
      </c>
      <c r="B4898" s="2" t="s">
        <v>5923</v>
      </c>
      <c r="D4898" s="2"/>
      <c r="G4898" s="2" t="s">
        <v>5653</v>
      </c>
    </row>
    <row r="4899">
      <c r="A4899" s="2" t="s">
        <v>5651</v>
      </c>
      <c r="B4899" s="2" t="s">
        <v>5924</v>
      </c>
      <c r="D4899" s="2"/>
      <c r="G4899" s="2" t="s">
        <v>5653</v>
      </c>
    </row>
    <row r="4900">
      <c r="A4900" s="2" t="s">
        <v>5651</v>
      </c>
      <c r="B4900" s="2" t="s">
        <v>5925</v>
      </c>
      <c r="D4900" s="2"/>
      <c r="G4900" s="2" t="s">
        <v>5653</v>
      </c>
    </row>
    <row r="4901">
      <c r="A4901" s="2" t="s">
        <v>5651</v>
      </c>
      <c r="B4901" s="2" t="s">
        <v>5926</v>
      </c>
      <c r="D4901" s="2"/>
      <c r="G4901" s="2" t="s">
        <v>5653</v>
      </c>
    </row>
    <row r="4902">
      <c r="A4902" s="2" t="s">
        <v>5651</v>
      </c>
      <c r="B4902" s="2" t="s">
        <v>5927</v>
      </c>
      <c r="D4902" s="2"/>
      <c r="G4902" s="2" t="s">
        <v>5653</v>
      </c>
    </row>
    <row r="4903">
      <c r="A4903" s="2" t="s">
        <v>5651</v>
      </c>
      <c r="B4903" s="2" t="s">
        <v>5928</v>
      </c>
      <c r="D4903" s="2"/>
      <c r="G4903" s="2" t="s">
        <v>5653</v>
      </c>
    </row>
    <row r="4904">
      <c r="A4904" s="2" t="s">
        <v>5651</v>
      </c>
      <c r="B4904" s="2" t="s">
        <v>5929</v>
      </c>
      <c r="D4904" s="2"/>
      <c r="G4904" s="2" t="s">
        <v>5653</v>
      </c>
    </row>
    <row r="4905">
      <c r="A4905" s="2" t="s">
        <v>5651</v>
      </c>
      <c r="B4905" s="2" t="s">
        <v>5930</v>
      </c>
      <c r="D4905" s="2"/>
      <c r="G4905" s="2" t="s">
        <v>5653</v>
      </c>
    </row>
    <row r="4906">
      <c r="A4906" s="2" t="s">
        <v>5651</v>
      </c>
      <c r="B4906" s="2" t="s">
        <v>5931</v>
      </c>
      <c r="D4906" s="2"/>
      <c r="G4906" s="2" t="s">
        <v>5653</v>
      </c>
    </row>
    <row r="4907">
      <c r="A4907" s="2" t="s">
        <v>5651</v>
      </c>
      <c r="B4907" s="2" t="s">
        <v>5932</v>
      </c>
      <c r="D4907" s="2"/>
      <c r="G4907" s="2" t="s">
        <v>5653</v>
      </c>
    </row>
    <row r="4908">
      <c r="A4908" s="2" t="s">
        <v>5651</v>
      </c>
      <c r="B4908" s="2" t="s">
        <v>5933</v>
      </c>
      <c r="D4908" s="2"/>
      <c r="G4908" s="2" t="s">
        <v>5653</v>
      </c>
    </row>
    <row r="4909">
      <c r="A4909" s="2" t="s">
        <v>5651</v>
      </c>
      <c r="B4909" s="2" t="s">
        <v>5934</v>
      </c>
      <c r="D4909" s="2"/>
      <c r="G4909" s="2" t="s">
        <v>5653</v>
      </c>
    </row>
    <row r="4910">
      <c r="A4910" s="2" t="s">
        <v>5651</v>
      </c>
      <c r="B4910" s="2" t="s">
        <v>5935</v>
      </c>
      <c r="D4910" s="2"/>
      <c r="G4910" s="2" t="s">
        <v>5653</v>
      </c>
    </row>
    <row r="4911">
      <c r="A4911" s="2" t="s">
        <v>5651</v>
      </c>
      <c r="B4911" s="2" t="s">
        <v>5936</v>
      </c>
      <c r="D4911" s="2"/>
      <c r="G4911" s="2" t="s">
        <v>5653</v>
      </c>
    </row>
    <row r="4912">
      <c r="A4912" s="2" t="s">
        <v>5651</v>
      </c>
      <c r="B4912" s="2" t="s">
        <v>5937</v>
      </c>
      <c r="D4912" s="2"/>
      <c r="G4912" s="2" t="s">
        <v>5653</v>
      </c>
    </row>
    <row r="4913">
      <c r="A4913" s="2" t="s">
        <v>5651</v>
      </c>
      <c r="B4913" s="2" t="s">
        <v>5938</v>
      </c>
      <c r="D4913" s="2"/>
      <c r="G4913" s="2" t="s">
        <v>5653</v>
      </c>
    </row>
    <row r="4914">
      <c r="A4914" s="2" t="s">
        <v>5651</v>
      </c>
      <c r="B4914" s="2" t="s">
        <v>5939</v>
      </c>
      <c r="D4914" s="2"/>
      <c r="G4914" s="2" t="s">
        <v>5653</v>
      </c>
    </row>
    <row r="4915">
      <c r="A4915" s="2" t="s">
        <v>5651</v>
      </c>
      <c r="B4915" s="2" t="s">
        <v>5940</v>
      </c>
      <c r="D4915" s="2"/>
      <c r="G4915" s="2" t="s">
        <v>5653</v>
      </c>
    </row>
    <row r="4916">
      <c r="A4916" s="2" t="s">
        <v>5651</v>
      </c>
      <c r="B4916" s="2" t="s">
        <v>5941</v>
      </c>
      <c r="D4916" s="2"/>
      <c r="G4916" s="2" t="s">
        <v>5653</v>
      </c>
    </row>
    <row r="4917">
      <c r="A4917" s="2" t="s">
        <v>5651</v>
      </c>
      <c r="B4917" s="2" t="s">
        <v>5942</v>
      </c>
      <c r="D4917" s="2"/>
      <c r="G4917" s="2" t="s">
        <v>5653</v>
      </c>
    </row>
    <row r="4918">
      <c r="A4918" s="2" t="s">
        <v>5651</v>
      </c>
      <c r="B4918" s="2" t="s">
        <v>5943</v>
      </c>
      <c r="D4918" s="2"/>
      <c r="G4918" s="2" t="s">
        <v>5653</v>
      </c>
    </row>
    <row r="4919">
      <c r="A4919" s="2" t="s">
        <v>5651</v>
      </c>
      <c r="B4919" s="2" t="s">
        <v>5944</v>
      </c>
      <c r="D4919" s="2"/>
      <c r="G4919" s="2" t="s">
        <v>5653</v>
      </c>
    </row>
    <row r="4920">
      <c r="A4920" s="2" t="s">
        <v>5651</v>
      </c>
      <c r="B4920" s="2" t="s">
        <v>5945</v>
      </c>
      <c r="D4920" s="2"/>
      <c r="G4920" s="2" t="s">
        <v>5653</v>
      </c>
    </row>
    <row r="4921">
      <c r="A4921" s="2" t="s">
        <v>5651</v>
      </c>
      <c r="B4921" s="2" t="s">
        <v>5946</v>
      </c>
      <c r="D4921" s="2"/>
      <c r="G4921" s="2" t="s">
        <v>5653</v>
      </c>
    </row>
    <row r="4922">
      <c r="A4922" s="2" t="s">
        <v>5651</v>
      </c>
      <c r="B4922" s="2" t="s">
        <v>5947</v>
      </c>
      <c r="D4922" s="2"/>
      <c r="G4922" s="2" t="s">
        <v>5653</v>
      </c>
    </row>
    <row r="4923">
      <c r="A4923" s="2" t="s">
        <v>5651</v>
      </c>
      <c r="B4923" s="2" t="s">
        <v>5948</v>
      </c>
      <c r="D4923" s="2"/>
      <c r="G4923" s="2" t="s">
        <v>5653</v>
      </c>
    </row>
    <row r="4924">
      <c r="A4924" s="2" t="s">
        <v>5651</v>
      </c>
      <c r="B4924" s="2" t="s">
        <v>5949</v>
      </c>
      <c r="D4924" s="2"/>
      <c r="G4924" s="2" t="s">
        <v>5653</v>
      </c>
    </row>
    <row r="4925">
      <c r="A4925" s="2" t="s">
        <v>5651</v>
      </c>
      <c r="B4925" s="2" t="s">
        <v>5950</v>
      </c>
      <c r="D4925" s="2"/>
      <c r="G4925" s="2" t="s">
        <v>5653</v>
      </c>
    </row>
    <row r="4926">
      <c r="A4926" s="2" t="s">
        <v>5651</v>
      </c>
      <c r="B4926" s="2" t="s">
        <v>5951</v>
      </c>
      <c r="D4926" s="2"/>
      <c r="G4926" s="2" t="s">
        <v>5653</v>
      </c>
    </row>
    <row r="4927">
      <c r="A4927" s="2" t="s">
        <v>5651</v>
      </c>
      <c r="B4927" s="2" t="s">
        <v>5952</v>
      </c>
      <c r="D4927" s="2"/>
      <c r="G4927" s="2" t="s">
        <v>5653</v>
      </c>
    </row>
    <row r="4928">
      <c r="A4928" s="2" t="s">
        <v>5651</v>
      </c>
      <c r="B4928" s="2" t="s">
        <v>5953</v>
      </c>
      <c r="D4928" s="2"/>
      <c r="G4928" s="2" t="s">
        <v>5653</v>
      </c>
    </row>
    <row r="4929">
      <c r="A4929" s="2" t="s">
        <v>5651</v>
      </c>
      <c r="B4929" s="2" t="s">
        <v>5954</v>
      </c>
      <c r="D4929" s="2"/>
      <c r="G4929" s="2" t="s">
        <v>5653</v>
      </c>
    </row>
    <row r="4930">
      <c r="A4930" s="2" t="s">
        <v>5651</v>
      </c>
      <c r="B4930" s="2" t="s">
        <v>5955</v>
      </c>
      <c r="D4930" s="2"/>
      <c r="G4930" s="2" t="s">
        <v>5653</v>
      </c>
    </row>
    <row r="4931">
      <c r="A4931" s="2" t="s">
        <v>5651</v>
      </c>
      <c r="B4931" s="2" t="s">
        <v>5956</v>
      </c>
      <c r="D4931" s="2"/>
      <c r="G4931" s="2" t="s">
        <v>5653</v>
      </c>
    </row>
    <row r="4932">
      <c r="A4932" s="2" t="s">
        <v>5651</v>
      </c>
      <c r="B4932" s="2" t="s">
        <v>5957</v>
      </c>
      <c r="D4932" s="2"/>
      <c r="G4932" s="2" t="s">
        <v>5653</v>
      </c>
    </row>
    <row r="4933">
      <c r="A4933" s="2" t="s">
        <v>5651</v>
      </c>
      <c r="B4933" s="2" t="s">
        <v>5958</v>
      </c>
      <c r="D4933" s="2"/>
      <c r="G4933" s="2" t="s">
        <v>5653</v>
      </c>
    </row>
    <row r="4934">
      <c r="A4934" s="2" t="s">
        <v>5651</v>
      </c>
      <c r="B4934" s="2" t="s">
        <v>5959</v>
      </c>
      <c r="D4934" s="2"/>
      <c r="G4934" s="2" t="s">
        <v>5653</v>
      </c>
    </row>
    <row r="4935">
      <c r="A4935" s="2" t="s">
        <v>5651</v>
      </c>
      <c r="B4935" s="2" t="s">
        <v>5960</v>
      </c>
      <c r="D4935" s="2"/>
      <c r="G4935" s="2" t="s">
        <v>5653</v>
      </c>
    </row>
    <row r="4936">
      <c r="A4936" s="2" t="s">
        <v>5651</v>
      </c>
      <c r="B4936" s="2" t="s">
        <v>5961</v>
      </c>
      <c r="D4936" s="2"/>
      <c r="G4936" s="2" t="s">
        <v>5653</v>
      </c>
    </row>
    <row r="4937">
      <c r="A4937" s="2" t="s">
        <v>5651</v>
      </c>
      <c r="B4937" s="2" t="s">
        <v>5962</v>
      </c>
      <c r="D4937" s="2"/>
      <c r="G4937" s="2" t="s">
        <v>5653</v>
      </c>
    </row>
    <row r="4938">
      <c r="A4938" s="2" t="s">
        <v>5651</v>
      </c>
      <c r="B4938" s="2" t="s">
        <v>5963</v>
      </c>
      <c r="D4938" s="2"/>
      <c r="G4938" s="2" t="s">
        <v>5653</v>
      </c>
    </row>
    <row r="4939">
      <c r="A4939" s="2" t="s">
        <v>5651</v>
      </c>
      <c r="B4939" s="2" t="s">
        <v>5964</v>
      </c>
      <c r="D4939" s="2"/>
      <c r="G4939" s="2" t="s">
        <v>5653</v>
      </c>
    </row>
    <row r="4940">
      <c r="A4940" s="2" t="s">
        <v>5651</v>
      </c>
      <c r="B4940" s="2" t="s">
        <v>5965</v>
      </c>
      <c r="D4940" s="2"/>
      <c r="G4940" s="2" t="s">
        <v>5653</v>
      </c>
    </row>
    <row r="4941">
      <c r="A4941" s="2" t="s">
        <v>5651</v>
      </c>
      <c r="B4941" s="2" t="s">
        <v>5966</v>
      </c>
      <c r="D4941" s="2"/>
      <c r="G4941" s="2" t="s">
        <v>5653</v>
      </c>
    </row>
    <row r="4942">
      <c r="A4942" s="2" t="s">
        <v>5651</v>
      </c>
      <c r="B4942" s="2" t="s">
        <v>5967</v>
      </c>
      <c r="D4942" s="2"/>
      <c r="G4942" s="2" t="s">
        <v>5653</v>
      </c>
    </row>
    <row r="4943">
      <c r="A4943" s="2" t="s">
        <v>5651</v>
      </c>
      <c r="B4943" s="2" t="s">
        <v>5968</v>
      </c>
      <c r="D4943" s="2"/>
      <c r="G4943" s="2" t="s">
        <v>5653</v>
      </c>
    </row>
    <row r="4944">
      <c r="A4944" s="2" t="s">
        <v>5651</v>
      </c>
      <c r="B4944" s="2" t="s">
        <v>5969</v>
      </c>
      <c r="D4944" s="2"/>
      <c r="G4944" s="2" t="s">
        <v>5653</v>
      </c>
    </row>
    <row r="4945">
      <c r="A4945" s="2" t="s">
        <v>5651</v>
      </c>
      <c r="B4945" s="2" t="s">
        <v>5970</v>
      </c>
      <c r="D4945" s="2"/>
      <c r="G4945" s="2" t="s">
        <v>5653</v>
      </c>
    </row>
    <row r="4946">
      <c r="A4946" s="2" t="s">
        <v>5651</v>
      </c>
      <c r="B4946" s="2" t="s">
        <v>5971</v>
      </c>
      <c r="D4946" s="2"/>
      <c r="G4946" s="2" t="s">
        <v>5653</v>
      </c>
    </row>
    <row r="4947">
      <c r="A4947" s="2" t="s">
        <v>5651</v>
      </c>
      <c r="B4947" s="2" t="s">
        <v>5972</v>
      </c>
      <c r="D4947" s="2"/>
      <c r="G4947" s="2" t="s">
        <v>5653</v>
      </c>
    </row>
    <row r="4948">
      <c r="A4948" s="2" t="s">
        <v>5651</v>
      </c>
      <c r="B4948" s="2" t="s">
        <v>5973</v>
      </c>
      <c r="D4948" s="2"/>
      <c r="G4948" s="2" t="s">
        <v>5653</v>
      </c>
    </row>
    <row r="4949">
      <c r="A4949" s="2" t="s">
        <v>5651</v>
      </c>
      <c r="B4949" s="2" t="s">
        <v>5974</v>
      </c>
      <c r="D4949" s="2"/>
      <c r="G4949" s="2" t="s">
        <v>5653</v>
      </c>
    </row>
    <row r="4950">
      <c r="A4950" s="2" t="s">
        <v>5651</v>
      </c>
      <c r="B4950" s="2" t="s">
        <v>5975</v>
      </c>
      <c r="D4950" s="2"/>
      <c r="G4950" s="2" t="s">
        <v>5653</v>
      </c>
    </row>
    <row r="4951">
      <c r="A4951" s="2" t="s">
        <v>5651</v>
      </c>
      <c r="B4951" s="2" t="s">
        <v>5976</v>
      </c>
      <c r="D4951" s="2"/>
      <c r="G4951" s="2" t="s">
        <v>5653</v>
      </c>
    </row>
    <row r="4952">
      <c r="A4952" s="2" t="s">
        <v>5651</v>
      </c>
      <c r="B4952" s="2" t="s">
        <v>5977</v>
      </c>
      <c r="D4952" s="2"/>
      <c r="G4952" s="2" t="s">
        <v>5653</v>
      </c>
    </row>
    <row r="4953">
      <c r="A4953" s="2" t="s">
        <v>5651</v>
      </c>
      <c r="B4953" s="2" t="s">
        <v>5978</v>
      </c>
      <c r="D4953" s="2"/>
      <c r="G4953" s="2" t="s">
        <v>5653</v>
      </c>
    </row>
    <row r="4954">
      <c r="A4954" s="2" t="s">
        <v>5651</v>
      </c>
      <c r="B4954" s="2" t="s">
        <v>5979</v>
      </c>
      <c r="D4954" s="2"/>
      <c r="G4954" s="2" t="s">
        <v>5653</v>
      </c>
    </row>
    <row r="4955">
      <c r="A4955" s="2" t="s">
        <v>5651</v>
      </c>
      <c r="B4955" s="2" t="s">
        <v>5980</v>
      </c>
      <c r="D4955" s="2"/>
      <c r="G4955" s="2" t="s">
        <v>5653</v>
      </c>
    </row>
    <row r="4956">
      <c r="A4956" s="2" t="s">
        <v>5651</v>
      </c>
      <c r="B4956" s="2" t="s">
        <v>5981</v>
      </c>
      <c r="D4956" s="2"/>
      <c r="G4956" s="2" t="s">
        <v>5653</v>
      </c>
    </row>
    <row r="4957">
      <c r="A4957" s="2" t="s">
        <v>5651</v>
      </c>
      <c r="B4957" s="2" t="s">
        <v>5982</v>
      </c>
      <c r="D4957" s="2"/>
      <c r="G4957" s="2" t="s">
        <v>5653</v>
      </c>
    </row>
    <row r="4958">
      <c r="A4958" s="2" t="s">
        <v>5651</v>
      </c>
      <c r="B4958" s="2" t="s">
        <v>5983</v>
      </c>
      <c r="D4958" s="2"/>
      <c r="G4958" s="2" t="s">
        <v>5653</v>
      </c>
    </row>
    <row r="4959">
      <c r="A4959" s="2" t="s">
        <v>5651</v>
      </c>
      <c r="B4959" s="2" t="s">
        <v>5984</v>
      </c>
      <c r="D4959" s="2"/>
      <c r="G4959" s="2" t="s">
        <v>5653</v>
      </c>
    </row>
    <row r="4960">
      <c r="A4960" s="2" t="s">
        <v>5651</v>
      </c>
      <c r="B4960" s="2" t="s">
        <v>5985</v>
      </c>
      <c r="D4960" s="2"/>
      <c r="G4960" s="2" t="s">
        <v>5653</v>
      </c>
    </row>
    <row r="4961">
      <c r="A4961" s="2" t="s">
        <v>5651</v>
      </c>
      <c r="B4961" s="2" t="s">
        <v>5986</v>
      </c>
      <c r="D4961" s="2"/>
      <c r="G4961" s="2" t="s">
        <v>5653</v>
      </c>
    </row>
    <row r="4962">
      <c r="A4962" s="2" t="s">
        <v>5651</v>
      </c>
      <c r="B4962" s="2" t="s">
        <v>5987</v>
      </c>
      <c r="D4962" s="2"/>
      <c r="G4962" s="2" t="s">
        <v>5653</v>
      </c>
    </row>
    <row r="4963">
      <c r="A4963" s="2" t="s">
        <v>5651</v>
      </c>
      <c r="B4963" s="2" t="s">
        <v>5988</v>
      </c>
      <c r="D4963" s="2"/>
      <c r="G4963" s="2" t="s">
        <v>5653</v>
      </c>
    </row>
    <row r="4964">
      <c r="A4964" s="2" t="s">
        <v>5651</v>
      </c>
      <c r="B4964" s="2" t="s">
        <v>5989</v>
      </c>
      <c r="D4964" s="2"/>
      <c r="G4964" s="2" t="s">
        <v>5653</v>
      </c>
    </row>
    <row r="4965">
      <c r="A4965" s="2" t="s">
        <v>5651</v>
      </c>
      <c r="B4965" s="2" t="s">
        <v>5990</v>
      </c>
      <c r="D4965" s="2"/>
      <c r="G4965" s="2" t="s">
        <v>5653</v>
      </c>
    </row>
    <row r="4966">
      <c r="A4966" s="2" t="s">
        <v>5651</v>
      </c>
      <c r="B4966" s="2" t="s">
        <v>5991</v>
      </c>
      <c r="D4966" s="2"/>
      <c r="G4966" s="2" t="s">
        <v>5653</v>
      </c>
    </row>
    <row r="4967">
      <c r="A4967" s="2" t="s">
        <v>5651</v>
      </c>
      <c r="B4967" s="2" t="s">
        <v>5992</v>
      </c>
      <c r="D4967" s="2"/>
      <c r="G4967" s="2" t="s">
        <v>5653</v>
      </c>
    </row>
    <row r="4968">
      <c r="A4968" s="2" t="s">
        <v>5651</v>
      </c>
      <c r="B4968" s="2" t="s">
        <v>5993</v>
      </c>
      <c r="D4968" s="2"/>
      <c r="G4968" s="2" t="s">
        <v>5653</v>
      </c>
    </row>
    <row r="4969">
      <c r="A4969" s="2" t="s">
        <v>5651</v>
      </c>
      <c r="B4969" s="2" t="s">
        <v>5994</v>
      </c>
      <c r="D4969" s="2"/>
      <c r="G4969" s="2" t="s">
        <v>5653</v>
      </c>
    </row>
    <row r="4970">
      <c r="A4970" s="2" t="s">
        <v>5651</v>
      </c>
      <c r="B4970" s="2" t="s">
        <v>5995</v>
      </c>
      <c r="D4970" s="2"/>
      <c r="G4970" s="2" t="s">
        <v>5653</v>
      </c>
    </row>
    <row r="4971">
      <c r="A4971" s="2" t="s">
        <v>5651</v>
      </c>
      <c r="B4971" s="2" t="s">
        <v>5996</v>
      </c>
      <c r="D4971" s="2"/>
      <c r="G4971" s="2" t="s">
        <v>5653</v>
      </c>
    </row>
    <row r="4972">
      <c r="A4972" s="2" t="s">
        <v>5651</v>
      </c>
      <c r="B4972" s="2" t="s">
        <v>5997</v>
      </c>
      <c r="D4972" s="2"/>
      <c r="G4972" s="2" t="s">
        <v>5653</v>
      </c>
    </row>
    <row r="4973">
      <c r="A4973" s="2" t="s">
        <v>5651</v>
      </c>
      <c r="B4973" s="2" t="s">
        <v>5998</v>
      </c>
      <c r="D4973" s="2"/>
      <c r="G4973" s="2" t="s">
        <v>5653</v>
      </c>
    </row>
    <row r="4974">
      <c r="A4974" s="2" t="s">
        <v>5651</v>
      </c>
      <c r="B4974" s="2" t="s">
        <v>5999</v>
      </c>
      <c r="D4974" s="2"/>
      <c r="G4974" s="2" t="s">
        <v>5653</v>
      </c>
    </row>
    <row r="4975">
      <c r="A4975" s="2" t="s">
        <v>5651</v>
      </c>
      <c r="B4975" s="2" t="s">
        <v>6000</v>
      </c>
      <c r="D4975" s="2"/>
      <c r="G4975" s="2" t="s">
        <v>5653</v>
      </c>
    </row>
    <row r="4976">
      <c r="A4976" s="2" t="s">
        <v>5651</v>
      </c>
      <c r="B4976" s="2" t="s">
        <v>6001</v>
      </c>
      <c r="D4976" s="2"/>
      <c r="G4976" s="2" t="s">
        <v>5653</v>
      </c>
    </row>
    <row r="4977">
      <c r="A4977" s="2" t="s">
        <v>5651</v>
      </c>
      <c r="B4977" s="2" t="s">
        <v>6002</v>
      </c>
      <c r="D4977" s="2"/>
      <c r="G4977" s="2" t="s">
        <v>5653</v>
      </c>
    </row>
    <row r="4978">
      <c r="A4978" s="2" t="s">
        <v>5651</v>
      </c>
      <c r="B4978" s="2" t="s">
        <v>6003</v>
      </c>
      <c r="D4978" s="2"/>
      <c r="G4978" s="2" t="s">
        <v>5653</v>
      </c>
    </row>
    <row r="4979">
      <c r="A4979" s="2" t="s">
        <v>5651</v>
      </c>
      <c r="B4979" s="2" t="s">
        <v>6004</v>
      </c>
      <c r="D4979" s="2"/>
      <c r="G4979" s="2" t="s">
        <v>5653</v>
      </c>
    </row>
    <row r="4980">
      <c r="A4980" s="2" t="s">
        <v>5651</v>
      </c>
      <c r="B4980" s="2" t="s">
        <v>6005</v>
      </c>
      <c r="D4980" s="2"/>
      <c r="G4980" s="2" t="s">
        <v>5653</v>
      </c>
    </row>
    <row r="4981">
      <c r="A4981" s="2" t="s">
        <v>5651</v>
      </c>
      <c r="B4981" s="2" t="s">
        <v>6006</v>
      </c>
      <c r="D4981" s="2"/>
      <c r="G4981" s="2" t="s">
        <v>5653</v>
      </c>
    </row>
    <row r="4982">
      <c r="A4982" s="2" t="s">
        <v>5651</v>
      </c>
      <c r="B4982" s="2" t="s">
        <v>6007</v>
      </c>
      <c r="D4982" s="2"/>
      <c r="G4982" s="2" t="s">
        <v>5653</v>
      </c>
    </row>
    <row r="4983">
      <c r="A4983" s="2" t="s">
        <v>5651</v>
      </c>
      <c r="B4983" s="2" t="s">
        <v>6008</v>
      </c>
      <c r="D4983" s="2"/>
      <c r="G4983" s="2" t="s">
        <v>5653</v>
      </c>
    </row>
    <row r="4984">
      <c r="A4984" s="2" t="s">
        <v>5651</v>
      </c>
      <c r="B4984" s="2" t="s">
        <v>6009</v>
      </c>
      <c r="D4984" s="2"/>
      <c r="G4984" s="2" t="s">
        <v>5653</v>
      </c>
    </row>
    <row r="4985">
      <c r="A4985" s="2" t="s">
        <v>5651</v>
      </c>
      <c r="B4985" s="2" t="s">
        <v>6010</v>
      </c>
      <c r="D4985" s="2"/>
      <c r="G4985" s="2" t="s">
        <v>5653</v>
      </c>
    </row>
    <row r="4986">
      <c r="A4986" s="2" t="s">
        <v>5651</v>
      </c>
      <c r="B4986" s="2" t="s">
        <v>6011</v>
      </c>
      <c r="D4986" s="2"/>
      <c r="G4986" s="2" t="s">
        <v>5653</v>
      </c>
    </row>
    <row r="4987">
      <c r="A4987" s="2" t="s">
        <v>5651</v>
      </c>
      <c r="B4987" s="2" t="s">
        <v>6012</v>
      </c>
      <c r="D4987" s="2"/>
      <c r="G4987" s="2" t="s">
        <v>5653</v>
      </c>
    </row>
    <row r="4988">
      <c r="A4988" s="2" t="s">
        <v>5651</v>
      </c>
      <c r="B4988" s="2" t="s">
        <v>6013</v>
      </c>
      <c r="D4988" s="2"/>
      <c r="G4988" s="2" t="s">
        <v>5653</v>
      </c>
    </row>
    <row r="4989">
      <c r="A4989" s="2" t="s">
        <v>5651</v>
      </c>
      <c r="B4989" s="2" t="s">
        <v>6014</v>
      </c>
      <c r="D4989" s="2"/>
      <c r="G4989" s="2" t="s">
        <v>5653</v>
      </c>
    </row>
    <row r="4990">
      <c r="A4990" s="2" t="s">
        <v>5651</v>
      </c>
      <c r="B4990" s="2" t="s">
        <v>6015</v>
      </c>
      <c r="D4990" s="2"/>
      <c r="G4990" s="2" t="s">
        <v>5653</v>
      </c>
    </row>
    <row r="4991">
      <c r="A4991" s="2" t="s">
        <v>5651</v>
      </c>
      <c r="B4991" s="2" t="s">
        <v>6016</v>
      </c>
      <c r="D4991" s="2"/>
      <c r="G4991" s="2" t="s">
        <v>5653</v>
      </c>
    </row>
    <row r="4992">
      <c r="A4992" s="2" t="s">
        <v>5651</v>
      </c>
      <c r="B4992" s="2" t="s">
        <v>6017</v>
      </c>
      <c r="D4992" s="2"/>
      <c r="G4992" s="2" t="s">
        <v>5653</v>
      </c>
    </row>
    <row r="4993">
      <c r="A4993" s="2" t="s">
        <v>5651</v>
      </c>
      <c r="B4993" s="2" t="s">
        <v>6018</v>
      </c>
      <c r="D4993" s="2"/>
      <c r="G4993" s="2" t="s">
        <v>5653</v>
      </c>
    </row>
    <row r="4994">
      <c r="A4994" s="2" t="s">
        <v>5651</v>
      </c>
      <c r="B4994" s="2" t="s">
        <v>6019</v>
      </c>
      <c r="D4994" s="2"/>
      <c r="G4994" s="2" t="s">
        <v>5653</v>
      </c>
    </row>
    <row r="4995">
      <c r="A4995" s="2" t="s">
        <v>5651</v>
      </c>
      <c r="B4995" s="2" t="s">
        <v>6020</v>
      </c>
      <c r="D4995" s="2"/>
      <c r="G4995" s="2" t="s">
        <v>5653</v>
      </c>
    </row>
    <row r="4996">
      <c r="A4996" s="2" t="s">
        <v>5651</v>
      </c>
      <c r="B4996" s="2" t="s">
        <v>6021</v>
      </c>
      <c r="D4996" s="2"/>
      <c r="G4996" s="2" t="s">
        <v>5653</v>
      </c>
    </row>
    <row r="4997">
      <c r="A4997" s="2" t="s">
        <v>5651</v>
      </c>
      <c r="B4997" s="2" t="s">
        <v>6022</v>
      </c>
      <c r="D4997" s="2"/>
      <c r="G4997" s="2" t="s">
        <v>5653</v>
      </c>
    </row>
    <row r="4998">
      <c r="A4998" s="2" t="s">
        <v>5651</v>
      </c>
      <c r="B4998" s="2" t="s">
        <v>6023</v>
      </c>
      <c r="D4998" s="2"/>
      <c r="G4998" s="2" t="s">
        <v>5653</v>
      </c>
    </row>
    <row r="4999">
      <c r="A4999" s="2" t="s">
        <v>5651</v>
      </c>
      <c r="B4999" s="2" t="s">
        <v>6024</v>
      </c>
      <c r="D4999" s="2"/>
      <c r="G4999" s="2" t="s">
        <v>5653</v>
      </c>
    </row>
    <row r="5000">
      <c r="A5000" s="2" t="s">
        <v>5651</v>
      </c>
      <c r="B5000" s="2" t="s">
        <v>6025</v>
      </c>
      <c r="D5000" s="2"/>
      <c r="G5000" s="2" t="s">
        <v>5653</v>
      </c>
    </row>
    <row r="5001">
      <c r="A5001" s="2" t="s">
        <v>5651</v>
      </c>
      <c r="B5001" s="2" t="s">
        <v>6026</v>
      </c>
      <c r="D5001" s="2"/>
      <c r="G5001" s="2" t="s">
        <v>5653</v>
      </c>
    </row>
    <row r="5002">
      <c r="A5002" s="2" t="s">
        <v>5651</v>
      </c>
      <c r="B5002" s="2" t="s">
        <v>6027</v>
      </c>
      <c r="D5002" s="2"/>
      <c r="G5002" s="2" t="s">
        <v>5653</v>
      </c>
    </row>
    <row r="5003">
      <c r="A5003" s="2" t="s">
        <v>5651</v>
      </c>
      <c r="B5003" s="2" t="s">
        <v>6028</v>
      </c>
      <c r="D5003" s="2"/>
      <c r="G5003" s="2" t="s">
        <v>5653</v>
      </c>
    </row>
    <row r="5004">
      <c r="A5004" s="2" t="s">
        <v>5651</v>
      </c>
      <c r="B5004" s="2" t="s">
        <v>6029</v>
      </c>
      <c r="D5004" s="2"/>
      <c r="G5004" s="2" t="s">
        <v>5653</v>
      </c>
    </row>
    <row r="5005">
      <c r="A5005" s="2" t="s">
        <v>5651</v>
      </c>
      <c r="B5005" s="2" t="s">
        <v>6030</v>
      </c>
      <c r="D5005" s="2"/>
      <c r="G5005" s="2" t="s">
        <v>5653</v>
      </c>
    </row>
    <row r="5006">
      <c r="A5006" s="2" t="s">
        <v>5651</v>
      </c>
      <c r="B5006" s="2" t="s">
        <v>6031</v>
      </c>
      <c r="D5006" s="2"/>
      <c r="G5006" s="2" t="s">
        <v>5653</v>
      </c>
    </row>
    <row r="5007">
      <c r="A5007" s="2" t="s">
        <v>5651</v>
      </c>
      <c r="B5007" s="2" t="s">
        <v>6032</v>
      </c>
      <c r="D5007" s="2"/>
      <c r="G5007" s="2" t="s">
        <v>5653</v>
      </c>
    </row>
    <row r="5008">
      <c r="A5008" s="2" t="s">
        <v>5651</v>
      </c>
      <c r="B5008" s="2" t="s">
        <v>6033</v>
      </c>
      <c r="D5008" s="2"/>
      <c r="G5008" s="2" t="s">
        <v>5653</v>
      </c>
    </row>
    <row r="5009">
      <c r="A5009" s="2" t="s">
        <v>5651</v>
      </c>
      <c r="B5009" s="2" t="s">
        <v>6034</v>
      </c>
      <c r="D5009" s="2"/>
      <c r="G5009" s="2" t="s">
        <v>5653</v>
      </c>
    </row>
    <row r="5010">
      <c r="A5010" s="2" t="s">
        <v>5651</v>
      </c>
      <c r="B5010" s="2" t="s">
        <v>6035</v>
      </c>
      <c r="D5010" s="2"/>
      <c r="G5010" s="2" t="s">
        <v>5653</v>
      </c>
    </row>
    <row r="5011">
      <c r="A5011" s="2" t="s">
        <v>5651</v>
      </c>
      <c r="B5011" s="2" t="s">
        <v>6036</v>
      </c>
      <c r="D5011" s="2"/>
      <c r="G5011" s="2" t="s">
        <v>5653</v>
      </c>
    </row>
    <row r="5012">
      <c r="A5012" s="2" t="s">
        <v>5651</v>
      </c>
      <c r="B5012" s="2" t="s">
        <v>6037</v>
      </c>
      <c r="D5012" s="2"/>
      <c r="G5012" s="2" t="s">
        <v>5653</v>
      </c>
    </row>
    <row r="5013">
      <c r="A5013" s="2" t="s">
        <v>5651</v>
      </c>
      <c r="B5013" s="2" t="s">
        <v>6038</v>
      </c>
      <c r="D5013" s="2"/>
      <c r="G5013" s="2" t="s">
        <v>5653</v>
      </c>
    </row>
    <row r="5014">
      <c r="A5014" s="2" t="s">
        <v>5651</v>
      </c>
      <c r="B5014" s="2" t="s">
        <v>6039</v>
      </c>
      <c r="D5014" s="2"/>
      <c r="G5014" s="2" t="s">
        <v>5653</v>
      </c>
    </row>
    <row r="5015">
      <c r="A5015" s="2" t="s">
        <v>5651</v>
      </c>
      <c r="B5015" s="2" t="s">
        <v>6040</v>
      </c>
      <c r="D5015" s="2"/>
      <c r="G5015" s="2" t="s">
        <v>5653</v>
      </c>
    </row>
    <row r="5016">
      <c r="A5016" s="2" t="s">
        <v>5651</v>
      </c>
      <c r="B5016" s="2" t="s">
        <v>6041</v>
      </c>
      <c r="D5016" s="2"/>
      <c r="G5016" s="2" t="s">
        <v>5653</v>
      </c>
    </row>
    <row r="5017">
      <c r="A5017" s="2" t="s">
        <v>5651</v>
      </c>
      <c r="B5017" s="2" t="s">
        <v>6042</v>
      </c>
      <c r="D5017" s="2"/>
      <c r="G5017" s="2" t="s">
        <v>5653</v>
      </c>
    </row>
    <row r="5018">
      <c r="A5018" s="2" t="s">
        <v>5651</v>
      </c>
      <c r="B5018" s="2" t="s">
        <v>6043</v>
      </c>
      <c r="D5018" s="2"/>
      <c r="G5018" s="2" t="s">
        <v>5653</v>
      </c>
    </row>
    <row r="5019">
      <c r="A5019" s="2" t="s">
        <v>5651</v>
      </c>
      <c r="B5019" s="2" t="s">
        <v>6044</v>
      </c>
      <c r="D5019" s="2"/>
      <c r="G5019" s="2" t="s">
        <v>5653</v>
      </c>
    </row>
    <row r="5020">
      <c r="A5020" s="2" t="s">
        <v>5651</v>
      </c>
      <c r="B5020" s="2" t="s">
        <v>6045</v>
      </c>
      <c r="D5020" s="2"/>
      <c r="G5020" s="2" t="s">
        <v>5653</v>
      </c>
    </row>
    <row r="5021">
      <c r="A5021" s="2" t="s">
        <v>5651</v>
      </c>
      <c r="B5021" s="2" t="s">
        <v>6046</v>
      </c>
      <c r="D5021" s="2"/>
      <c r="G5021" s="2" t="s">
        <v>5653</v>
      </c>
    </row>
    <row r="5022">
      <c r="A5022" s="2" t="s">
        <v>5651</v>
      </c>
      <c r="B5022" s="2" t="s">
        <v>6047</v>
      </c>
      <c r="D5022" s="2"/>
      <c r="G5022" s="2" t="s">
        <v>5653</v>
      </c>
    </row>
    <row r="5023">
      <c r="A5023" s="2" t="s">
        <v>5651</v>
      </c>
      <c r="B5023" s="2" t="s">
        <v>6048</v>
      </c>
      <c r="D5023" s="2"/>
      <c r="G5023" s="2" t="s">
        <v>5653</v>
      </c>
    </row>
    <row r="5024">
      <c r="A5024" s="2" t="s">
        <v>5651</v>
      </c>
      <c r="B5024" s="2" t="s">
        <v>6049</v>
      </c>
      <c r="D5024" s="2"/>
      <c r="G5024" s="2" t="s">
        <v>5653</v>
      </c>
    </row>
    <row r="5025">
      <c r="A5025" s="2" t="s">
        <v>5651</v>
      </c>
      <c r="B5025" s="2" t="s">
        <v>6050</v>
      </c>
      <c r="D5025" s="2"/>
      <c r="G5025" s="2" t="s">
        <v>5653</v>
      </c>
    </row>
    <row r="5026">
      <c r="A5026" s="2" t="s">
        <v>5651</v>
      </c>
      <c r="B5026" s="2" t="s">
        <v>6051</v>
      </c>
      <c r="D5026" s="2"/>
      <c r="G5026" s="2" t="s">
        <v>5653</v>
      </c>
    </row>
    <row r="5027">
      <c r="A5027" s="2" t="s">
        <v>5651</v>
      </c>
      <c r="B5027" s="2" t="s">
        <v>6052</v>
      </c>
      <c r="D5027" s="2"/>
      <c r="G5027" s="2" t="s">
        <v>5653</v>
      </c>
    </row>
    <row r="5028">
      <c r="A5028" s="2" t="s">
        <v>5651</v>
      </c>
      <c r="B5028" s="2" t="s">
        <v>6053</v>
      </c>
      <c r="D5028" s="2"/>
      <c r="G5028" s="2" t="s">
        <v>5653</v>
      </c>
    </row>
    <row r="5029">
      <c r="A5029" s="2" t="s">
        <v>5651</v>
      </c>
      <c r="B5029" s="2" t="s">
        <v>6054</v>
      </c>
      <c r="D5029" s="2"/>
      <c r="G5029" s="2" t="s">
        <v>5653</v>
      </c>
    </row>
    <row r="5030">
      <c r="A5030" s="2" t="s">
        <v>5651</v>
      </c>
      <c r="B5030" s="2" t="s">
        <v>6055</v>
      </c>
      <c r="D5030" s="2"/>
      <c r="G5030" s="2" t="s">
        <v>5653</v>
      </c>
    </row>
    <row r="5031">
      <c r="A5031" s="2" t="s">
        <v>5651</v>
      </c>
      <c r="B5031" s="2" t="s">
        <v>6056</v>
      </c>
      <c r="D5031" s="2"/>
      <c r="G5031" s="2" t="s">
        <v>5653</v>
      </c>
    </row>
    <row r="5032">
      <c r="A5032" s="2" t="s">
        <v>5651</v>
      </c>
      <c r="B5032" s="2" t="s">
        <v>6057</v>
      </c>
      <c r="D5032" s="2"/>
      <c r="G5032" s="2" t="s">
        <v>5653</v>
      </c>
    </row>
    <row r="5033">
      <c r="A5033" s="2" t="s">
        <v>5651</v>
      </c>
      <c r="B5033" s="2" t="s">
        <v>6058</v>
      </c>
      <c r="D5033" s="2"/>
      <c r="G5033" s="2" t="s">
        <v>5653</v>
      </c>
    </row>
    <row r="5034">
      <c r="A5034" s="2" t="s">
        <v>5651</v>
      </c>
      <c r="B5034" s="2" t="s">
        <v>6059</v>
      </c>
      <c r="D5034" s="2"/>
      <c r="G5034" s="2" t="s">
        <v>5653</v>
      </c>
    </row>
    <row r="5035">
      <c r="A5035" s="2" t="s">
        <v>5651</v>
      </c>
      <c r="B5035" s="2" t="s">
        <v>6060</v>
      </c>
      <c r="D5035" s="2"/>
      <c r="G5035" s="2" t="s">
        <v>5653</v>
      </c>
    </row>
    <row r="5036">
      <c r="A5036" s="2" t="s">
        <v>5651</v>
      </c>
      <c r="B5036" s="2" t="s">
        <v>6061</v>
      </c>
      <c r="D5036" s="2"/>
      <c r="G5036" s="2" t="s">
        <v>5653</v>
      </c>
    </row>
    <row r="5037">
      <c r="A5037" s="2" t="s">
        <v>5651</v>
      </c>
      <c r="B5037" s="2" t="s">
        <v>6062</v>
      </c>
      <c r="D5037" s="2"/>
      <c r="G5037" s="2" t="s">
        <v>5653</v>
      </c>
    </row>
    <row r="5038">
      <c r="A5038" s="2" t="s">
        <v>5651</v>
      </c>
      <c r="B5038" s="2" t="s">
        <v>6063</v>
      </c>
      <c r="D5038" s="2"/>
      <c r="G5038" s="2" t="s">
        <v>5653</v>
      </c>
    </row>
    <row r="5039">
      <c r="A5039" s="2" t="s">
        <v>5651</v>
      </c>
      <c r="B5039" s="2" t="s">
        <v>6064</v>
      </c>
      <c r="D5039" s="2"/>
      <c r="G5039" s="2" t="s">
        <v>5653</v>
      </c>
    </row>
    <row r="5040">
      <c r="A5040" s="2" t="s">
        <v>5651</v>
      </c>
      <c r="B5040" s="2" t="s">
        <v>6065</v>
      </c>
      <c r="D5040" s="2"/>
      <c r="G5040" s="2" t="s">
        <v>5653</v>
      </c>
    </row>
    <row r="5041">
      <c r="A5041" s="2" t="s">
        <v>5651</v>
      </c>
      <c r="B5041" s="2" t="s">
        <v>6066</v>
      </c>
      <c r="D5041" s="2"/>
      <c r="G5041" s="2" t="s">
        <v>5653</v>
      </c>
    </row>
    <row r="5042">
      <c r="A5042" s="2" t="s">
        <v>5651</v>
      </c>
      <c r="B5042" s="2" t="s">
        <v>6067</v>
      </c>
      <c r="D5042" s="2"/>
      <c r="G5042" s="2" t="s">
        <v>5653</v>
      </c>
    </row>
    <row r="5043">
      <c r="A5043" s="2" t="s">
        <v>5651</v>
      </c>
      <c r="B5043" s="2" t="s">
        <v>6068</v>
      </c>
      <c r="D5043" s="2"/>
      <c r="G5043" s="2" t="s">
        <v>5653</v>
      </c>
    </row>
    <row r="5044">
      <c r="A5044" s="2" t="s">
        <v>5651</v>
      </c>
      <c r="B5044" s="2" t="s">
        <v>6069</v>
      </c>
      <c r="D5044" s="2"/>
      <c r="G5044" s="2" t="s">
        <v>5653</v>
      </c>
    </row>
    <row r="5045">
      <c r="A5045" s="2" t="s">
        <v>5629</v>
      </c>
      <c r="B5045" s="2" t="s">
        <v>6070</v>
      </c>
      <c r="D5045" s="2"/>
      <c r="G5045" s="2" t="s">
        <v>5653</v>
      </c>
    </row>
    <row r="5046">
      <c r="A5046" s="2" t="s">
        <v>5629</v>
      </c>
      <c r="B5046" s="2" t="s">
        <v>6071</v>
      </c>
      <c r="D5046" s="2"/>
      <c r="G5046" s="2" t="s">
        <v>5653</v>
      </c>
    </row>
    <row r="5047">
      <c r="A5047" s="2" t="s">
        <v>5629</v>
      </c>
      <c r="B5047" s="2" t="s">
        <v>6072</v>
      </c>
      <c r="D5047" s="2"/>
      <c r="G5047" s="2" t="s">
        <v>5653</v>
      </c>
    </row>
    <row r="5048">
      <c r="A5048" s="2" t="s">
        <v>5629</v>
      </c>
      <c r="B5048" s="2" t="s">
        <v>6073</v>
      </c>
      <c r="D5048" s="2"/>
      <c r="G5048" s="2" t="s">
        <v>5653</v>
      </c>
    </row>
    <row r="5049">
      <c r="A5049" s="2" t="s">
        <v>5629</v>
      </c>
      <c r="B5049" s="2" t="s">
        <v>6074</v>
      </c>
      <c r="D5049" s="2"/>
      <c r="G5049" s="2" t="s">
        <v>5653</v>
      </c>
    </row>
    <row r="5050">
      <c r="A5050" s="2" t="s">
        <v>5629</v>
      </c>
      <c r="B5050" s="2" t="s">
        <v>6075</v>
      </c>
      <c r="D5050" s="2"/>
      <c r="G5050" s="2" t="s">
        <v>5653</v>
      </c>
    </row>
    <row r="5051">
      <c r="A5051" s="2" t="s">
        <v>5629</v>
      </c>
      <c r="B5051" s="2" t="s">
        <v>6076</v>
      </c>
      <c r="D5051" s="2"/>
      <c r="G5051" s="2" t="s">
        <v>5653</v>
      </c>
    </row>
    <row r="5052">
      <c r="A5052" s="2" t="s">
        <v>5629</v>
      </c>
      <c r="B5052" s="2" t="s">
        <v>6077</v>
      </c>
      <c r="D5052" s="2"/>
      <c r="G5052" s="2" t="s">
        <v>5653</v>
      </c>
    </row>
    <row r="5053">
      <c r="A5053" s="2" t="s">
        <v>5629</v>
      </c>
      <c r="B5053" s="2" t="s">
        <v>6078</v>
      </c>
      <c r="D5053" s="2"/>
      <c r="G5053" s="2" t="s">
        <v>5653</v>
      </c>
    </row>
    <row r="5054">
      <c r="A5054" s="2" t="s">
        <v>5629</v>
      </c>
      <c r="B5054" s="2" t="s">
        <v>6079</v>
      </c>
      <c r="D5054" s="2"/>
      <c r="G5054" s="2" t="s">
        <v>5653</v>
      </c>
    </row>
    <row r="5055">
      <c r="A5055" s="2" t="s">
        <v>5629</v>
      </c>
      <c r="B5055" s="2" t="s">
        <v>6080</v>
      </c>
      <c r="D5055" s="2"/>
      <c r="G5055" s="2" t="s">
        <v>5653</v>
      </c>
    </row>
    <row r="5056">
      <c r="A5056" s="2" t="s">
        <v>5629</v>
      </c>
      <c r="B5056" s="2" t="s">
        <v>6081</v>
      </c>
      <c r="D5056" s="2"/>
      <c r="G5056" s="2" t="s">
        <v>5653</v>
      </c>
    </row>
    <row r="5057">
      <c r="A5057" s="2" t="s">
        <v>5629</v>
      </c>
      <c r="B5057" s="2" t="s">
        <v>6082</v>
      </c>
      <c r="D5057" s="2"/>
      <c r="G5057" s="2" t="s">
        <v>5653</v>
      </c>
    </row>
    <row r="5058">
      <c r="A5058" s="2" t="s">
        <v>5629</v>
      </c>
      <c r="B5058" s="2" t="s">
        <v>6083</v>
      </c>
      <c r="D5058" s="2"/>
      <c r="G5058" s="2" t="s">
        <v>5653</v>
      </c>
    </row>
    <row r="5059">
      <c r="A5059" s="2" t="s">
        <v>5629</v>
      </c>
      <c r="B5059" s="2" t="s">
        <v>6084</v>
      </c>
      <c r="D5059" s="2"/>
      <c r="G5059" s="2" t="s">
        <v>5653</v>
      </c>
    </row>
    <row r="5060">
      <c r="A5060" s="2" t="s">
        <v>5629</v>
      </c>
      <c r="B5060" s="2" t="s">
        <v>6085</v>
      </c>
      <c r="D5060" s="2"/>
      <c r="G5060" s="2" t="s">
        <v>5653</v>
      </c>
    </row>
    <row r="5061">
      <c r="A5061" s="2" t="s">
        <v>5629</v>
      </c>
      <c r="B5061" s="2" t="s">
        <v>6086</v>
      </c>
      <c r="D5061" s="2"/>
      <c r="G5061" s="2" t="s">
        <v>5653</v>
      </c>
    </row>
    <row r="5062">
      <c r="A5062" s="2" t="s">
        <v>5629</v>
      </c>
      <c r="B5062" s="2" t="s">
        <v>6087</v>
      </c>
      <c r="D5062" s="2"/>
      <c r="G5062" s="2" t="s">
        <v>5653</v>
      </c>
    </row>
    <row r="5063">
      <c r="A5063" s="2" t="s">
        <v>5629</v>
      </c>
      <c r="B5063" s="2" t="s">
        <v>6088</v>
      </c>
      <c r="D5063" s="2"/>
      <c r="G5063" s="2" t="s">
        <v>5653</v>
      </c>
    </row>
    <row r="5064">
      <c r="A5064" s="2" t="s">
        <v>5629</v>
      </c>
      <c r="B5064" s="2" t="s">
        <v>6089</v>
      </c>
      <c r="D5064" s="2"/>
      <c r="G5064" s="2" t="s">
        <v>5653</v>
      </c>
    </row>
    <row r="5065">
      <c r="A5065" s="2" t="s">
        <v>5651</v>
      </c>
      <c r="B5065" s="2" t="s">
        <v>6090</v>
      </c>
      <c r="D5065" s="2" t="s">
        <v>5631</v>
      </c>
      <c r="G5065" s="2"/>
    </row>
    <row r="5066">
      <c r="A5066" s="2" t="s">
        <v>5651</v>
      </c>
      <c r="B5066" s="2" t="s">
        <v>6091</v>
      </c>
      <c r="D5066" s="2" t="s">
        <v>5631</v>
      </c>
      <c r="G5066" s="2"/>
    </row>
    <row r="5067">
      <c r="A5067" s="2" t="s">
        <v>5651</v>
      </c>
      <c r="B5067" s="2" t="s">
        <v>6092</v>
      </c>
      <c r="D5067" s="2" t="s">
        <v>5631</v>
      </c>
      <c r="G5067" s="2"/>
    </row>
    <row r="5068">
      <c r="A5068" s="2" t="s">
        <v>5651</v>
      </c>
      <c r="B5068" s="2" t="s">
        <v>6093</v>
      </c>
      <c r="D5068" s="2" t="s">
        <v>5631</v>
      </c>
      <c r="G5068" s="2"/>
    </row>
    <row r="5069">
      <c r="A5069" s="2" t="s">
        <v>5651</v>
      </c>
      <c r="B5069" s="2" t="s">
        <v>6094</v>
      </c>
      <c r="D5069" s="2" t="s">
        <v>5631</v>
      </c>
      <c r="G5069" s="2"/>
    </row>
    <row r="5070">
      <c r="A5070" s="2" t="s">
        <v>5651</v>
      </c>
      <c r="B5070" s="2" t="s">
        <v>6095</v>
      </c>
      <c r="D5070" s="2" t="s">
        <v>5631</v>
      </c>
      <c r="G5070" s="2"/>
    </row>
    <row r="5071">
      <c r="A5071" s="2" t="s">
        <v>5651</v>
      </c>
      <c r="B5071" s="2" t="s">
        <v>6096</v>
      </c>
      <c r="D5071" s="2" t="s">
        <v>5631</v>
      </c>
      <c r="G5071" s="2"/>
    </row>
    <row r="5072">
      <c r="A5072" s="2" t="s">
        <v>5651</v>
      </c>
      <c r="B5072" s="2" t="s">
        <v>6097</v>
      </c>
      <c r="D5072" s="2" t="s">
        <v>5631</v>
      </c>
      <c r="G5072" s="2"/>
    </row>
    <row r="5073">
      <c r="A5073" s="2" t="s">
        <v>5651</v>
      </c>
      <c r="B5073" s="2" t="s">
        <v>6098</v>
      </c>
      <c r="D5073" s="2" t="s">
        <v>5631</v>
      </c>
      <c r="G5073" s="2"/>
    </row>
    <row r="5074">
      <c r="A5074" s="2" t="s">
        <v>5651</v>
      </c>
      <c r="B5074" s="2" t="s">
        <v>6099</v>
      </c>
      <c r="D5074" s="2" t="s">
        <v>5631</v>
      </c>
      <c r="G5074" s="2"/>
    </row>
    <row r="5075">
      <c r="A5075" s="2" t="s">
        <v>5651</v>
      </c>
      <c r="B5075" s="2" t="s">
        <v>6100</v>
      </c>
      <c r="D5075" s="2" t="s">
        <v>5631</v>
      </c>
      <c r="G5075" s="2"/>
    </row>
    <row r="5076">
      <c r="A5076" s="2" t="s">
        <v>5651</v>
      </c>
      <c r="B5076" s="2" t="s">
        <v>6101</v>
      </c>
      <c r="D5076" s="2" t="s">
        <v>5631</v>
      </c>
      <c r="G5076" s="2"/>
    </row>
    <row r="5077">
      <c r="A5077" s="2" t="s">
        <v>5651</v>
      </c>
      <c r="B5077" s="2" t="s">
        <v>6102</v>
      </c>
      <c r="D5077" s="2" t="s">
        <v>5631</v>
      </c>
      <c r="G5077" s="2"/>
    </row>
    <row r="5078">
      <c r="A5078" s="2" t="s">
        <v>5651</v>
      </c>
      <c r="B5078" s="2" t="s">
        <v>6103</v>
      </c>
      <c r="D5078" s="2" t="s">
        <v>5631</v>
      </c>
      <c r="G5078" s="2"/>
    </row>
    <row r="5079">
      <c r="A5079" s="2" t="s">
        <v>5651</v>
      </c>
      <c r="B5079" s="2" t="s">
        <v>6104</v>
      </c>
      <c r="D5079" s="2" t="s">
        <v>5631</v>
      </c>
      <c r="G5079" s="2"/>
    </row>
    <row r="5080">
      <c r="A5080" s="2" t="s">
        <v>5651</v>
      </c>
      <c r="B5080" s="2" t="s">
        <v>6105</v>
      </c>
      <c r="D5080" s="2" t="s">
        <v>5631</v>
      </c>
      <c r="G5080" s="2"/>
    </row>
    <row r="5081">
      <c r="A5081" s="2" t="s">
        <v>5651</v>
      </c>
      <c r="B5081" s="2" t="s">
        <v>6106</v>
      </c>
      <c r="D5081" s="2" t="s">
        <v>5631</v>
      </c>
      <c r="G5081" s="2"/>
    </row>
    <row r="5082">
      <c r="A5082" s="2" t="s">
        <v>5651</v>
      </c>
      <c r="B5082" s="2" t="s">
        <v>6107</v>
      </c>
      <c r="D5082" s="2" t="s">
        <v>5631</v>
      </c>
      <c r="G5082" s="2"/>
    </row>
    <row r="5083">
      <c r="A5083" s="2" t="s">
        <v>5651</v>
      </c>
      <c r="B5083" s="2" t="s">
        <v>6108</v>
      </c>
      <c r="D5083" s="2" t="s">
        <v>5631</v>
      </c>
      <c r="G5083" s="2"/>
    </row>
    <row r="5084">
      <c r="A5084" s="2" t="s">
        <v>5651</v>
      </c>
      <c r="B5084" s="2" t="s">
        <v>6109</v>
      </c>
      <c r="D5084" s="2" t="s">
        <v>5631</v>
      </c>
      <c r="G5084" s="2"/>
    </row>
    <row r="5085">
      <c r="A5085" s="2" t="s">
        <v>5651</v>
      </c>
      <c r="B5085" s="2" t="s">
        <v>6110</v>
      </c>
      <c r="D5085" s="2" t="s">
        <v>5631</v>
      </c>
      <c r="G5085" s="2"/>
    </row>
    <row r="5086">
      <c r="A5086" s="2" t="s">
        <v>5651</v>
      </c>
      <c r="B5086" s="2" t="s">
        <v>6111</v>
      </c>
      <c r="D5086" s="2" t="s">
        <v>5631</v>
      </c>
      <c r="G5086" s="2"/>
    </row>
    <row r="5087">
      <c r="A5087" s="2" t="s">
        <v>5651</v>
      </c>
      <c r="B5087" s="2" t="s">
        <v>6112</v>
      </c>
      <c r="D5087" s="2" t="s">
        <v>5631</v>
      </c>
      <c r="G5087" s="2"/>
    </row>
    <row r="5088">
      <c r="A5088" s="2" t="s">
        <v>5651</v>
      </c>
      <c r="B5088" s="2" t="s">
        <v>6113</v>
      </c>
      <c r="D5088" s="2" t="s">
        <v>5631</v>
      </c>
      <c r="G5088" s="2"/>
    </row>
    <row r="5089">
      <c r="A5089" s="2" t="s">
        <v>5651</v>
      </c>
      <c r="B5089" s="2" t="s">
        <v>6114</v>
      </c>
      <c r="D5089" s="2" t="s">
        <v>5631</v>
      </c>
      <c r="G5089" s="2"/>
    </row>
    <row r="5090">
      <c r="A5090" s="2" t="s">
        <v>5651</v>
      </c>
      <c r="B5090" s="2" t="s">
        <v>6115</v>
      </c>
      <c r="D5090" s="2" t="s">
        <v>5631</v>
      </c>
      <c r="G5090" s="2"/>
    </row>
    <row r="5091">
      <c r="A5091" s="2" t="s">
        <v>5651</v>
      </c>
      <c r="B5091" s="2" t="s">
        <v>6116</v>
      </c>
      <c r="D5091" s="2" t="s">
        <v>5631</v>
      </c>
      <c r="G5091" s="2"/>
    </row>
    <row r="5092">
      <c r="A5092" s="2" t="s">
        <v>5651</v>
      </c>
      <c r="B5092" s="2" t="s">
        <v>6117</v>
      </c>
      <c r="D5092" s="2" t="s">
        <v>5631</v>
      </c>
      <c r="G5092" s="2"/>
    </row>
    <row r="5093">
      <c r="A5093" s="2" t="s">
        <v>5651</v>
      </c>
      <c r="B5093" s="2" t="s">
        <v>6118</v>
      </c>
      <c r="D5093" s="2" t="s">
        <v>5631</v>
      </c>
      <c r="G5093" s="2"/>
    </row>
    <row r="5094">
      <c r="A5094" s="2" t="s">
        <v>5651</v>
      </c>
      <c r="B5094" s="2" t="s">
        <v>6119</v>
      </c>
      <c r="D5094" s="2" t="s">
        <v>5631</v>
      </c>
      <c r="G5094" s="2"/>
    </row>
    <row r="5095">
      <c r="A5095" s="2" t="s">
        <v>5651</v>
      </c>
      <c r="B5095" s="2" t="s">
        <v>6120</v>
      </c>
      <c r="D5095" s="2" t="s">
        <v>5631</v>
      </c>
      <c r="G5095" s="2"/>
    </row>
    <row r="5096">
      <c r="A5096" s="2" t="s">
        <v>5651</v>
      </c>
      <c r="B5096" s="2" t="s">
        <v>6121</v>
      </c>
      <c r="D5096" s="2" t="s">
        <v>5631</v>
      </c>
      <c r="G5096" s="2"/>
    </row>
    <row r="5097">
      <c r="A5097" s="2" t="s">
        <v>5651</v>
      </c>
      <c r="B5097" s="2" t="s">
        <v>6122</v>
      </c>
      <c r="D5097" s="2" t="s">
        <v>5631</v>
      </c>
      <c r="G5097" s="2"/>
    </row>
    <row r="5098">
      <c r="A5098" s="2" t="s">
        <v>5651</v>
      </c>
      <c r="B5098" s="2" t="s">
        <v>6123</v>
      </c>
      <c r="D5098" s="2" t="s">
        <v>5631</v>
      </c>
      <c r="G5098" s="2"/>
    </row>
    <row r="5099">
      <c r="A5099" s="2" t="s">
        <v>5651</v>
      </c>
      <c r="B5099" s="2" t="s">
        <v>6124</v>
      </c>
      <c r="D5099" s="2" t="s">
        <v>5631</v>
      </c>
      <c r="G5099" s="2"/>
    </row>
    <row r="5100">
      <c r="A5100" s="2" t="s">
        <v>5651</v>
      </c>
      <c r="B5100" s="2" t="s">
        <v>6125</v>
      </c>
      <c r="D5100" s="2" t="s">
        <v>5631</v>
      </c>
      <c r="G5100" s="2"/>
    </row>
    <row r="5101">
      <c r="A5101" s="2" t="s">
        <v>5651</v>
      </c>
      <c r="B5101" s="2" t="s">
        <v>6126</v>
      </c>
      <c r="D5101" s="2" t="s">
        <v>5631</v>
      </c>
      <c r="G5101" s="2"/>
    </row>
    <row r="5102">
      <c r="A5102" s="2" t="s">
        <v>5651</v>
      </c>
      <c r="B5102" s="2" t="s">
        <v>6127</v>
      </c>
      <c r="D5102" s="2" t="s">
        <v>5631</v>
      </c>
      <c r="G5102" s="2"/>
    </row>
    <row r="5103">
      <c r="A5103" s="2" t="s">
        <v>5651</v>
      </c>
      <c r="B5103" s="2" t="s">
        <v>6128</v>
      </c>
      <c r="D5103" s="2" t="s">
        <v>5631</v>
      </c>
      <c r="G5103" s="2"/>
    </row>
    <row r="5104">
      <c r="A5104" s="2" t="s">
        <v>5651</v>
      </c>
      <c r="B5104" s="2" t="s">
        <v>6129</v>
      </c>
      <c r="D5104" s="2" t="s">
        <v>5631</v>
      </c>
      <c r="G5104" s="2"/>
    </row>
    <row r="5105">
      <c r="A5105" s="2" t="s">
        <v>5651</v>
      </c>
      <c r="B5105" s="2" t="s">
        <v>6130</v>
      </c>
      <c r="D5105" s="2" t="s">
        <v>5631</v>
      </c>
      <c r="G5105" s="2"/>
    </row>
    <row r="5106">
      <c r="A5106" s="2" t="s">
        <v>5651</v>
      </c>
      <c r="B5106" s="2" t="s">
        <v>6131</v>
      </c>
      <c r="D5106" s="2" t="s">
        <v>5631</v>
      </c>
      <c r="G5106" s="2"/>
    </row>
    <row r="5107">
      <c r="A5107" s="2" t="s">
        <v>5651</v>
      </c>
      <c r="B5107" s="2" t="s">
        <v>6132</v>
      </c>
      <c r="D5107" s="2" t="s">
        <v>5631</v>
      </c>
      <c r="G5107" s="2"/>
    </row>
    <row r="5108">
      <c r="A5108" s="2" t="s">
        <v>5651</v>
      </c>
      <c r="B5108" s="2" t="s">
        <v>6133</v>
      </c>
      <c r="D5108" s="2" t="s">
        <v>5631</v>
      </c>
      <c r="G5108" s="2"/>
    </row>
    <row r="5109">
      <c r="A5109" s="2" t="s">
        <v>5651</v>
      </c>
      <c r="B5109" s="2" t="s">
        <v>6134</v>
      </c>
      <c r="D5109" s="2" t="s">
        <v>5631</v>
      </c>
      <c r="G5109" s="2"/>
    </row>
    <row r="5110">
      <c r="A5110" s="2" t="s">
        <v>5651</v>
      </c>
      <c r="B5110" s="2" t="s">
        <v>6135</v>
      </c>
      <c r="D5110" s="2" t="s">
        <v>5631</v>
      </c>
      <c r="G5110" s="2"/>
    </row>
    <row r="5111">
      <c r="A5111" s="2" t="s">
        <v>5651</v>
      </c>
      <c r="B5111" s="2" t="s">
        <v>6136</v>
      </c>
      <c r="D5111" s="2" t="s">
        <v>5631</v>
      </c>
      <c r="G5111" s="2"/>
    </row>
    <row r="5112">
      <c r="A5112" s="2" t="s">
        <v>5651</v>
      </c>
      <c r="B5112" s="2" t="s">
        <v>6137</v>
      </c>
      <c r="D5112" s="2" t="s">
        <v>5631</v>
      </c>
      <c r="G5112" s="2"/>
    </row>
    <row r="5113">
      <c r="A5113" s="2" t="s">
        <v>5651</v>
      </c>
      <c r="B5113" s="2" t="s">
        <v>6138</v>
      </c>
      <c r="D5113" s="2" t="s">
        <v>5631</v>
      </c>
      <c r="G5113" s="2"/>
    </row>
    <row r="5114">
      <c r="A5114" s="2" t="s">
        <v>5651</v>
      </c>
      <c r="B5114" s="2" t="s">
        <v>6139</v>
      </c>
      <c r="D5114" s="2" t="s">
        <v>5631</v>
      </c>
      <c r="G5114" s="2"/>
    </row>
    <row r="5115">
      <c r="A5115" s="2" t="s">
        <v>5651</v>
      </c>
      <c r="B5115" s="2" t="s">
        <v>6140</v>
      </c>
      <c r="D5115" s="2" t="s">
        <v>5631</v>
      </c>
      <c r="G5115" s="2"/>
    </row>
    <row r="5116">
      <c r="A5116" s="2" t="s">
        <v>5651</v>
      </c>
      <c r="B5116" s="2" t="s">
        <v>6141</v>
      </c>
      <c r="D5116" s="2" t="s">
        <v>5631</v>
      </c>
      <c r="G5116" s="2"/>
    </row>
    <row r="5117">
      <c r="A5117" s="2" t="s">
        <v>5651</v>
      </c>
      <c r="B5117" s="2" t="s">
        <v>6142</v>
      </c>
      <c r="D5117" s="2" t="s">
        <v>5631</v>
      </c>
      <c r="G5117" s="2"/>
    </row>
    <row r="5118">
      <c r="A5118" s="2" t="s">
        <v>5651</v>
      </c>
      <c r="B5118" s="2" t="s">
        <v>6143</v>
      </c>
      <c r="D5118" s="2" t="s">
        <v>5631</v>
      </c>
      <c r="G5118" s="2"/>
    </row>
    <row r="5119">
      <c r="A5119" s="2" t="s">
        <v>5651</v>
      </c>
      <c r="B5119" s="2" t="s">
        <v>6144</v>
      </c>
      <c r="D5119" s="2" t="s">
        <v>5631</v>
      </c>
      <c r="G5119" s="2"/>
    </row>
    <row r="5120">
      <c r="A5120" s="2" t="s">
        <v>5651</v>
      </c>
      <c r="B5120" s="2" t="s">
        <v>6145</v>
      </c>
      <c r="D5120" s="2" t="s">
        <v>5631</v>
      </c>
      <c r="G5120" s="2"/>
    </row>
    <row r="5121">
      <c r="A5121" s="2" t="s">
        <v>5651</v>
      </c>
      <c r="B5121" s="2" t="s">
        <v>6146</v>
      </c>
      <c r="D5121" s="2" t="s">
        <v>5631</v>
      </c>
      <c r="G5121" s="2"/>
    </row>
    <row r="5122">
      <c r="A5122" s="2" t="s">
        <v>5651</v>
      </c>
      <c r="B5122" s="2" t="s">
        <v>6147</v>
      </c>
      <c r="D5122" s="2" t="s">
        <v>5631</v>
      </c>
      <c r="G5122" s="2"/>
    </row>
    <row r="5123">
      <c r="A5123" s="2" t="s">
        <v>5651</v>
      </c>
      <c r="B5123" s="2" t="s">
        <v>6148</v>
      </c>
      <c r="D5123" s="2" t="s">
        <v>5631</v>
      </c>
      <c r="G5123" s="2"/>
    </row>
    <row r="5124">
      <c r="A5124" s="2" t="s">
        <v>5651</v>
      </c>
      <c r="B5124" s="2" t="s">
        <v>6149</v>
      </c>
      <c r="D5124" s="2" t="s">
        <v>5631</v>
      </c>
      <c r="G5124" s="2"/>
    </row>
    <row r="5125">
      <c r="A5125" s="2" t="s">
        <v>5651</v>
      </c>
      <c r="B5125" s="2" t="s">
        <v>6150</v>
      </c>
      <c r="D5125" s="2" t="s">
        <v>5631</v>
      </c>
      <c r="G5125" s="2"/>
    </row>
    <row r="5126">
      <c r="A5126" s="2" t="s">
        <v>5651</v>
      </c>
      <c r="B5126" s="2" t="s">
        <v>6151</v>
      </c>
      <c r="D5126" s="2" t="s">
        <v>5631</v>
      </c>
      <c r="G5126" s="2"/>
    </row>
    <row r="5127">
      <c r="A5127" s="2" t="s">
        <v>5651</v>
      </c>
      <c r="B5127" s="2" t="s">
        <v>6152</v>
      </c>
      <c r="D5127" s="2" t="s">
        <v>5631</v>
      </c>
      <c r="G5127" s="2"/>
    </row>
    <row r="5128">
      <c r="A5128" s="2" t="s">
        <v>5651</v>
      </c>
      <c r="B5128" s="2" t="s">
        <v>6153</v>
      </c>
      <c r="D5128" s="2" t="s">
        <v>5631</v>
      </c>
      <c r="G5128" s="2"/>
    </row>
    <row r="5129">
      <c r="A5129" s="2" t="s">
        <v>5651</v>
      </c>
      <c r="B5129" s="2" t="s">
        <v>6154</v>
      </c>
      <c r="D5129" s="2" t="s">
        <v>5631</v>
      </c>
      <c r="G5129" s="2"/>
    </row>
    <row r="5130">
      <c r="A5130" s="2" t="s">
        <v>5651</v>
      </c>
      <c r="B5130" s="2" t="s">
        <v>6155</v>
      </c>
      <c r="D5130" s="2" t="s">
        <v>5631</v>
      </c>
      <c r="G5130" s="2"/>
    </row>
    <row r="5131">
      <c r="A5131" s="2" t="s">
        <v>5651</v>
      </c>
      <c r="B5131" s="2" t="s">
        <v>6156</v>
      </c>
      <c r="D5131" s="2" t="s">
        <v>5631</v>
      </c>
      <c r="G5131" s="2"/>
    </row>
    <row r="5132">
      <c r="A5132" s="2" t="s">
        <v>5651</v>
      </c>
      <c r="B5132" s="2" t="s">
        <v>6157</v>
      </c>
      <c r="D5132" s="2" t="s">
        <v>5631</v>
      </c>
      <c r="G5132" s="2"/>
    </row>
    <row r="5133">
      <c r="A5133" s="2" t="s">
        <v>5651</v>
      </c>
      <c r="B5133" s="2" t="s">
        <v>6158</v>
      </c>
      <c r="D5133" s="2" t="s">
        <v>5631</v>
      </c>
      <c r="G5133" s="2"/>
    </row>
    <row r="5134">
      <c r="A5134" s="2" t="s">
        <v>5651</v>
      </c>
      <c r="B5134" s="2" t="s">
        <v>6159</v>
      </c>
      <c r="D5134" s="2" t="s">
        <v>5631</v>
      </c>
      <c r="G5134" s="2"/>
    </row>
    <row r="5135">
      <c r="A5135" s="2" t="s">
        <v>5651</v>
      </c>
      <c r="B5135" s="2" t="s">
        <v>6160</v>
      </c>
      <c r="D5135" s="2" t="s">
        <v>5631</v>
      </c>
      <c r="G5135" s="2"/>
    </row>
    <row r="5136">
      <c r="A5136" s="2" t="s">
        <v>5651</v>
      </c>
      <c r="B5136" s="2" t="s">
        <v>6161</v>
      </c>
      <c r="D5136" s="2" t="s">
        <v>5631</v>
      </c>
      <c r="G5136" s="2"/>
    </row>
    <row r="5137">
      <c r="A5137" s="2" t="s">
        <v>5651</v>
      </c>
      <c r="B5137" s="2" t="s">
        <v>6162</v>
      </c>
      <c r="D5137" s="2" t="s">
        <v>5631</v>
      </c>
      <c r="G5137" s="2"/>
    </row>
    <row r="5138">
      <c r="A5138" s="2" t="s">
        <v>5651</v>
      </c>
      <c r="B5138" s="2" t="s">
        <v>6163</v>
      </c>
      <c r="D5138" s="2" t="s">
        <v>5631</v>
      </c>
      <c r="G5138" s="2"/>
    </row>
    <row r="5139">
      <c r="A5139" s="2" t="s">
        <v>5651</v>
      </c>
      <c r="B5139" s="2" t="s">
        <v>6164</v>
      </c>
      <c r="D5139" s="2" t="s">
        <v>5631</v>
      </c>
      <c r="G5139" s="2"/>
    </row>
    <row r="5140">
      <c r="A5140" s="2" t="s">
        <v>5651</v>
      </c>
      <c r="B5140" s="2" t="s">
        <v>6165</v>
      </c>
      <c r="D5140" s="2" t="s">
        <v>5631</v>
      </c>
      <c r="G5140" s="2"/>
    </row>
    <row r="5141">
      <c r="A5141" s="2" t="s">
        <v>5651</v>
      </c>
      <c r="B5141" s="2" t="s">
        <v>6166</v>
      </c>
      <c r="D5141" s="2" t="s">
        <v>5631</v>
      </c>
      <c r="G5141" s="2"/>
    </row>
    <row r="5142">
      <c r="A5142" s="2" t="s">
        <v>5651</v>
      </c>
      <c r="B5142" s="2" t="s">
        <v>6167</v>
      </c>
      <c r="D5142" s="2" t="s">
        <v>5631</v>
      </c>
      <c r="G5142" s="2"/>
    </row>
    <row r="5143">
      <c r="A5143" s="2" t="s">
        <v>5651</v>
      </c>
      <c r="B5143" s="2" t="s">
        <v>6168</v>
      </c>
      <c r="D5143" s="2" t="s">
        <v>5631</v>
      </c>
      <c r="G5143" s="2"/>
    </row>
    <row r="5144">
      <c r="A5144" s="2" t="s">
        <v>5651</v>
      </c>
      <c r="B5144" s="2" t="s">
        <v>6169</v>
      </c>
      <c r="D5144" s="2" t="s">
        <v>5631</v>
      </c>
      <c r="G5144" s="2"/>
    </row>
    <row r="5145">
      <c r="A5145" s="2" t="s">
        <v>5651</v>
      </c>
      <c r="B5145" s="2" t="s">
        <v>6170</v>
      </c>
      <c r="D5145" s="2" t="s">
        <v>5631</v>
      </c>
      <c r="G5145" s="2"/>
    </row>
    <row r="5146">
      <c r="A5146" s="2" t="s">
        <v>5651</v>
      </c>
      <c r="B5146" s="2" t="s">
        <v>6171</v>
      </c>
      <c r="D5146" s="2" t="s">
        <v>5631</v>
      </c>
      <c r="G5146" s="2"/>
    </row>
    <row r="5147">
      <c r="A5147" s="2" t="s">
        <v>5651</v>
      </c>
      <c r="B5147" s="2" t="s">
        <v>6172</v>
      </c>
      <c r="D5147" s="2" t="s">
        <v>5631</v>
      </c>
      <c r="G5147" s="2"/>
    </row>
    <row r="5148">
      <c r="A5148" s="2" t="s">
        <v>5651</v>
      </c>
      <c r="B5148" s="2" t="s">
        <v>6173</v>
      </c>
      <c r="D5148" s="2" t="s">
        <v>5631</v>
      </c>
      <c r="G5148" s="2"/>
    </row>
    <row r="5149">
      <c r="A5149" s="2" t="s">
        <v>5651</v>
      </c>
      <c r="B5149" s="2" t="s">
        <v>6174</v>
      </c>
      <c r="D5149" s="2" t="s">
        <v>5631</v>
      </c>
      <c r="G5149" s="2"/>
    </row>
    <row r="5150">
      <c r="A5150" s="2" t="s">
        <v>5651</v>
      </c>
      <c r="B5150" s="2" t="s">
        <v>6175</v>
      </c>
      <c r="D5150" s="2" t="s">
        <v>5631</v>
      </c>
      <c r="G5150" s="2"/>
    </row>
    <row r="5151">
      <c r="A5151" s="2" t="s">
        <v>5651</v>
      </c>
      <c r="B5151" s="2" t="s">
        <v>6176</v>
      </c>
      <c r="D5151" s="2" t="s">
        <v>5631</v>
      </c>
      <c r="G5151" s="2"/>
    </row>
    <row r="5152">
      <c r="A5152" s="2" t="s">
        <v>5651</v>
      </c>
      <c r="B5152" s="2" t="s">
        <v>6177</v>
      </c>
      <c r="D5152" s="2" t="s">
        <v>5631</v>
      </c>
      <c r="G5152" s="2"/>
    </row>
    <row r="5153">
      <c r="A5153" s="2" t="s">
        <v>5651</v>
      </c>
      <c r="B5153" s="2" t="s">
        <v>6178</v>
      </c>
      <c r="D5153" s="2" t="s">
        <v>5631</v>
      </c>
      <c r="G5153" s="2"/>
    </row>
    <row r="5154">
      <c r="A5154" s="2" t="s">
        <v>5651</v>
      </c>
      <c r="B5154" s="2" t="s">
        <v>6179</v>
      </c>
      <c r="D5154" s="2" t="s">
        <v>5631</v>
      </c>
      <c r="G5154" s="2"/>
    </row>
    <row r="5155">
      <c r="A5155" s="2" t="s">
        <v>5651</v>
      </c>
      <c r="B5155" s="2" t="s">
        <v>6180</v>
      </c>
      <c r="D5155" s="2" t="s">
        <v>5631</v>
      </c>
      <c r="G5155" s="2"/>
    </row>
    <row r="5156">
      <c r="A5156" s="2" t="s">
        <v>5651</v>
      </c>
      <c r="B5156" s="2" t="s">
        <v>6181</v>
      </c>
      <c r="D5156" s="2" t="s">
        <v>5631</v>
      </c>
      <c r="G5156" s="2"/>
    </row>
    <row r="5157">
      <c r="A5157" s="2" t="s">
        <v>5651</v>
      </c>
      <c r="B5157" s="2" t="s">
        <v>6182</v>
      </c>
      <c r="D5157" s="2" t="s">
        <v>5631</v>
      </c>
      <c r="G5157" s="2"/>
    </row>
    <row r="5158">
      <c r="A5158" s="2" t="s">
        <v>5651</v>
      </c>
      <c r="B5158" s="2" t="s">
        <v>6183</v>
      </c>
      <c r="D5158" s="2" t="s">
        <v>5631</v>
      </c>
      <c r="G5158" s="2"/>
    </row>
    <row r="5159">
      <c r="A5159" s="2" t="s">
        <v>5651</v>
      </c>
      <c r="B5159" s="2" t="s">
        <v>6184</v>
      </c>
      <c r="D5159" s="2" t="s">
        <v>5631</v>
      </c>
      <c r="G5159" s="2"/>
    </row>
    <row r="5160">
      <c r="A5160" s="2" t="s">
        <v>5651</v>
      </c>
      <c r="B5160" s="2" t="s">
        <v>6185</v>
      </c>
      <c r="D5160" s="2" t="s">
        <v>5631</v>
      </c>
      <c r="G5160" s="2"/>
    </row>
    <row r="5161">
      <c r="A5161" s="2" t="s">
        <v>5651</v>
      </c>
      <c r="B5161" s="2" t="s">
        <v>6186</v>
      </c>
      <c r="D5161" s="2" t="s">
        <v>5631</v>
      </c>
      <c r="G5161" s="2"/>
    </row>
    <row r="5162">
      <c r="A5162" s="2" t="s">
        <v>5651</v>
      </c>
      <c r="B5162" s="2" t="s">
        <v>6187</v>
      </c>
      <c r="D5162" s="2" t="s">
        <v>5631</v>
      </c>
      <c r="G5162" s="2"/>
    </row>
    <row r="5163">
      <c r="A5163" s="2" t="s">
        <v>5651</v>
      </c>
      <c r="B5163" s="2" t="s">
        <v>6188</v>
      </c>
      <c r="D5163" s="2" t="s">
        <v>5631</v>
      </c>
      <c r="G5163" s="2"/>
    </row>
    <row r="5164">
      <c r="A5164" s="2" t="s">
        <v>5651</v>
      </c>
      <c r="B5164" s="2" t="s">
        <v>6189</v>
      </c>
      <c r="D5164" s="2" t="s">
        <v>5631</v>
      </c>
      <c r="G5164" s="2"/>
    </row>
    <row r="5165">
      <c r="A5165" s="2" t="s">
        <v>5651</v>
      </c>
      <c r="B5165" s="2" t="s">
        <v>6190</v>
      </c>
      <c r="D5165" s="2" t="s">
        <v>5631</v>
      </c>
      <c r="G5165" s="2"/>
    </row>
    <row r="5166">
      <c r="A5166" s="2" t="s">
        <v>5651</v>
      </c>
      <c r="B5166" s="2" t="s">
        <v>6191</v>
      </c>
      <c r="D5166" s="2" t="s">
        <v>5631</v>
      </c>
      <c r="G5166" s="2"/>
    </row>
    <row r="5167">
      <c r="A5167" s="2" t="s">
        <v>5651</v>
      </c>
      <c r="B5167" s="2" t="s">
        <v>6192</v>
      </c>
      <c r="D5167" s="2" t="s">
        <v>5631</v>
      </c>
      <c r="G5167" s="2"/>
    </row>
    <row r="5168">
      <c r="A5168" s="2" t="s">
        <v>5651</v>
      </c>
      <c r="B5168" s="2" t="s">
        <v>6193</v>
      </c>
      <c r="D5168" s="2" t="s">
        <v>5631</v>
      </c>
      <c r="G5168" s="2"/>
    </row>
    <row r="5169">
      <c r="A5169" s="2" t="s">
        <v>5651</v>
      </c>
      <c r="B5169" s="2" t="s">
        <v>6194</v>
      </c>
      <c r="D5169" s="2" t="s">
        <v>5631</v>
      </c>
      <c r="G5169" s="2"/>
    </row>
    <row r="5170">
      <c r="A5170" s="2" t="s">
        <v>5651</v>
      </c>
      <c r="B5170" s="2" t="s">
        <v>6195</v>
      </c>
      <c r="D5170" s="2" t="s">
        <v>5631</v>
      </c>
      <c r="G5170" s="2"/>
    </row>
    <row r="5171">
      <c r="A5171" s="2" t="s">
        <v>5651</v>
      </c>
      <c r="B5171" s="2" t="s">
        <v>6196</v>
      </c>
      <c r="D5171" s="2" t="s">
        <v>5631</v>
      </c>
      <c r="G5171" s="2"/>
    </row>
    <row r="5172">
      <c r="A5172" s="2" t="s">
        <v>5651</v>
      </c>
      <c r="B5172" s="2" t="s">
        <v>6197</v>
      </c>
      <c r="D5172" s="2" t="s">
        <v>5631</v>
      </c>
      <c r="G5172" s="2"/>
    </row>
    <row r="5173">
      <c r="A5173" s="2" t="s">
        <v>5651</v>
      </c>
      <c r="B5173" s="2" t="s">
        <v>6198</v>
      </c>
      <c r="D5173" s="2" t="s">
        <v>5631</v>
      </c>
      <c r="G5173" s="2"/>
    </row>
    <row r="5174">
      <c r="A5174" s="2" t="s">
        <v>5651</v>
      </c>
      <c r="B5174" s="2" t="s">
        <v>6199</v>
      </c>
      <c r="D5174" s="2" t="s">
        <v>5631</v>
      </c>
      <c r="G5174" s="2"/>
    </row>
    <row r="5175">
      <c r="A5175" s="2" t="s">
        <v>5651</v>
      </c>
      <c r="B5175" s="2" t="s">
        <v>6200</v>
      </c>
      <c r="D5175" s="2" t="s">
        <v>5631</v>
      </c>
      <c r="G5175" s="2"/>
    </row>
    <row r="5176">
      <c r="A5176" s="2" t="s">
        <v>5651</v>
      </c>
      <c r="B5176" s="2" t="s">
        <v>6201</v>
      </c>
      <c r="D5176" s="2" t="s">
        <v>5631</v>
      </c>
      <c r="G5176" s="2"/>
    </row>
    <row r="5177">
      <c r="A5177" s="2" t="s">
        <v>5651</v>
      </c>
      <c r="B5177" s="2" t="s">
        <v>6202</v>
      </c>
      <c r="D5177" s="2" t="s">
        <v>5631</v>
      </c>
      <c r="G5177" s="2"/>
    </row>
    <row r="5178">
      <c r="A5178" s="2" t="s">
        <v>5651</v>
      </c>
      <c r="B5178" s="2" t="s">
        <v>6203</v>
      </c>
      <c r="D5178" s="2" t="s">
        <v>5631</v>
      </c>
      <c r="G5178" s="2"/>
    </row>
    <row r="5179">
      <c r="A5179" s="2" t="s">
        <v>5651</v>
      </c>
      <c r="B5179" s="2" t="s">
        <v>6204</v>
      </c>
      <c r="D5179" s="2" t="s">
        <v>5631</v>
      </c>
      <c r="G5179" s="2"/>
    </row>
    <row r="5180">
      <c r="A5180" s="2" t="s">
        <v>5651</v>
      </c>
      <c r="B5180" s="2" t="s">
        <v>6205</v>
      </c>
      <c r="D5180" s="2" t="s">
        <v>5631</v>
      </c>
      <c r="G5180" s="2"/>
    </row>
    <row r="5181">
      <c r="A5181" s="2" t="s">
        <v>5651</v>
      </c>
      <c r="B5181" s="2" t="s">
        <v>6206</v>
      </c>
      <c r="D5181" s="2" t="s">
        <v>5631</v>
      </c>
      <c r="G5181" s="2"/>
    </row>
    <row r="5182">
      <c r="A5182" s="2" t="s">
        <v>5651</v>
      </c>
      <c r="B5182" s="2" t="s">
        <v>6207</v>
      </c>
      <c r="D5182" s="2" t="s">
        <v>5631</v>
      </c>
      <c r="G5182" s="2"/>
    </row>
    <row r="5183">
      <c r="A5183" s="2" t="s">
        <v>5651</v>
      </c>
      <c r="B5183" s="2" t="s">
        <v>6208</v>
      </c>
      <c r="D5183" s="2" t="s">
        <v>5631</v>
      </c>
      <c r="G5183" s="2"/>
    </row>
    <row r="5184">
      <c r="A5184" s="2" t="s">
        <v>5651</v>
      </c>
      <c r="B5184" s="2" t="s">
        <v>6209</v>
      </c>
      <c r="D5184" s="2" t="s">
        <v>5631</v>
      </c>
      <c r="G5184" s="2"/>
    </row>
    <row r="5185">
      <c r="A5185" s="2" t="s">
        <v>5651</v>
      </c>
      <c r="B5185" s="2" t="s">
        <v>6210</v>
      </c>
      <c r="D5185" s="2" t="s">
        <v>5631</v>
      </c>
      <c r="G5185" s="2"/>
    </row>
    <row r="5186">
      <c r="A5186" s="2" t="s">
        <v>5651</v>
      </c>
      <c r="B5186" s="2" t="s">
        <v>6211</v>
      </c>
      <c r="D5186" s="2" t="s">
        <v>5631</v>
      </c>
      <c r="G5186" s="2"/>
    </row>
    <row r="5187">
      <c r="A5187" s="2" t="s">
        <v>5651</v>
      </c>
      <c r="B5187" s="2" t="s">
        <v>6212</v>
      </c>
      <c r="D5187" s="2" t="s">
        <v>5631</v>
      </c>
      <c r="G5187" s="2"/>
    </row>
    <row r="5188">
      <c r="A5188" s="2" t="s">
        <v>5651</v>
      </c>
      <c r="B5188" s="2" t="s">
        <v>6213</v>
      </c>
      <c r="D5188" s="2" t="s">
        <v>5631</v>
      </c>
      <c r="G5188" s="2"/>
    </row>
    <row r="5189">
      <c r="A5189" s="2" t="s">
        <v>5651</v>
      </c>
      <c r="B5189" s="2" t="s">
        <v>6214</v>
      </c>
      <c r="D5189" s="2" t="s">
        <v>5631</v>
      </c>
      <c r="G5189" s="2"/>
    </row>
    <row r="5190">
      <c r="A5190" s="2" t="s">
        <v>5651</v>
      </c>
      <c r="B5190" s="2" t="s">
        <v>6215</v>
      </c>
      <c r="D5190" s="2" t="s">
        <v>5631</v>
      </c>
      <c r="G5190" s="2"/>
    </row>
    <row r="5191">
      <c r="A5191" s="2" t="s">
        <v>5651</v>
      </c>
      <c r="B5191" s="2" t="s">
        <v>6216</v>
      </c>
      <c r="D5191" s="2" t="s">
        <v>5631</v>
      </c>
      <c r="G5191" s="2"/>
    </row>
    <row r="5192">
      <c r="A5192" s="2" t="s">
        <v>5651</v>
      </c>
      <c r="B5192" s="2" t="s">
        <v>6217</v>
      </c>
      <c r="D5192" s="2" t="s">
        <v>5631</v>
      </c>
      <c r="G5192" s="2"/>
    </row>
    <row r="5193">
      <c r="A5193" s="2" t="s">
        <v>5651</v>
      </c>
      <c r="B5193" s="2" t="s">
        <v>6218</v>
      </c>
      <c r="D5193" s="2" t="s">
        <v>5631</v>
      </c>
      <c r="G5193" s="2"/>
    </row>
    <row r="5194">
      <c r="A5194" s="2" t="s">
        <v>5651</v>
      </c>
      <c r="B5194" s="2" t="s">
        <v>6219</v>
      </c>
      <c r="D5194" s="2" t="s">
        <v>5631</v>
      </c>
      <c r="G5194" s="2"/>
    </row>
    <row r="5195">
      <c r="A5195" s="2" t="s">
        <v>5651</v>
      </c>
      <c r="B5195" s="2" t="s">
        <v>6220</v>
      </c>
      <c r="D5195" s="2" t="s">
        <v>5631</v>
      </c>
      <c r="G5195" s="2"/>
    </row>
    <row r="5196">
      <c r="A5196" s="2" t="s">
        <v>5651</v>
      </c>
      <c r="B5196" s="2" t="s">
        <v>6221</v>
      </c>
      <c r="D5196" s="2" t="s">
        <v>5631</v>
      </c>
      <c r="G5196" s="2"/>
    </row>
    <row r="5197">
      <c r="A5197" s="2" t="s">
        <v>5651</v>
      </c>
      <c r="B5197" s="2" t="s">
        <v>6222</v>
      </c>
      <c r="D5197" s="2" t="s">
        <v>5631</v>
      </c>
      <c r="G5197" s="2"/>
    </row>
    <row r="5198">
      <c r="A5198" s="2" t="s">
        <v>5651</v>
      </c>
      <c r="B5198" s="2" t="s">
        <v>6223</v>
      </c>
      <c r="D5198" s="2" t="s">
        <v>5631</v>
      </c>
      <c r="G5198" s="2"/>
    </row>
    <row r="5199">
      <c r="A5199" s="2" t="s">
        <v>5651</v>
      </c>
      <c r="B5199" s="2" t="s">
        <v>6224</v>
      </c>
      <c r="D5199" s="2" t="s">
        <v>5631</v>
      </c>
      <c r="G5199" s="2"/>
    </row>
    <row r="5200">
      <c r="A5200" s="2" t="s">
        <v>5651</v>
      </c>
      <c r="B5200" s="2" t="s">
        <v>6225</v>
      </c>
      <c r="D5200" s="2" t="s">
        <v>5631</v>
      </c>
      <c r="G5200" s="2"/>
    </row>
    <row r="5201">
      <c r="A5201" s="2" t="s">
        <v>5651</v>
      </c>
      <c r="B5201" s="2" t="s">
        <v>6226</v>
      </c>
      <c r="D5201" s="2" t="s">
        <v>5631</v>
      </c>
      <c r="G5201" s="2"/>
    </row>
    <row r="5202">
      <c r="A5202" s="2" t="s">
        <v>5651</v>
      </c>
      <c r="B5202" s="2" t="s">
        <v>6227</v>
      </c>
      <c r="D5202" s="2" t="s">
        <v>5631</v>
      </c>
      <c r="G5202" s="2"/>
    </row>
    <row r="5203">
      <c r="A5203" s="2" t="s">
        <v>5651</v>
      </c>
      <c r="B5203" s="2" t="s">
        <v>6228</v>
      </c>
      <c r="D5203" s="2" t="s">
        <v>5631</v>
      </c>
      <c r="G5203" s="2"/>
    </row>
    <row r="5204">
      <c r="A5204" s="2" t="s">
        <v>5651</v>
      </c>
      <c r="B5204" s="2" t="s">
        <v>6229</v>
      </c>
      <c r="D5204" s="2" t="s">
        <v>5631</v>
      </c>
      <c r="G5204" s="2"/>
    </row>
    <row r="5205">
      <c r="A5205" s="2" t="s">
        <v>5651</v>
      </c>
      <c r="B5205" s="2" t="s">
        <v>6230</v>
      </c>
      <c r="D5205" s="2" t="s">
        <v>5631</v>
      </c>
      <c r="G5205" s="2"/>
    </row>
    <row r="5206">
      <c r="A5206" s="2" t="s">
        <v>5651</v>
      </c>
      <c r="B5206" s="2" t="s">
        <v>6231</v>
      </c>
      <c r="D5206" s="2" t="s">
        <v>5631</v>
      </c>
      <c r="G5206" s="2"/>
    </row>
    <row r="5207">
      <c r="A5207" s="2" t="s">
        <v>5651</v>
      </c>
      <c r="B5207" s="2" t="s">
        <v>6232</v>
      </c>
      <c r="D5207" s="2" t="s">
        <v>5631</v>
      </c>
      <c r="G5207" s="2"/>
    </row>
    <row r="5208">
      <c r="A5208" s="2" t="s">
        <v>5651</v>
      </c>
      <c r="B5208" s="2" t="s">
        <v>6233</v>
      </c>
      <c r="D5208" s="2" t="s">
        <v>5631</v>
      </c>
      <c r="G5208" s="2"/>
    </row>
    <row r="5209">
      <c r="A5209" s="2" t="s">
        <v>5651</v>
      </c>
      <c r="B5209" s="2" t="s">
        <v>6234</v>
      </c>
      <c r="D5209" s="2" t="s">
        <v>5631</v>
      </c>
      <c r="G5209" s="2"/>
    </row>
    <row r="5210">
      <c r="A5210" s="2" t="s">
        <v>5651</v>
      </c>
      <c r="B5210" s="2" t="s">
        <v>6235</v>
      </c>
      <c r="D5210" s="2" t="s">
        <v>5631</v>
      </c>
      <c r="G5210" s="2"/>
    </row>
    <row r="5211">
      <c r="A5211" s="2" t="s">
        <v>5651</v>
      </c>
      <c r="B5211" s="2" t="s">
        <v>6236</v>
      </c>
      <c r="D5211" s="2" t="s">
        <v>5631</v>
      </c>
      <c r="G5211" s="2"/>
    </row>
    <row r="5212">
      <c r="A5212" s="2" t="s">
        <v>5651</v>
      </c>
      <c r="B5212" s="2" t="s">
        <v>6237</v>
      </c>
      <c r="D5212" s="2" t="s">
        <v>5631</v>
      </c>
      <c r="G5212" s="2"/>
    </row>
    <row r="5213">
      <c r="A5213" s="2" t="s">
        <v>5651</v>
      </c>
      <c r="B5213" s="2" t="s">
        <v>6238</v>
      </c>
      <c r="D5213" s="2" t="s">
        <v>5631</v>
      </c>
      <c r="G5213" s="2"/>
    </row>
    <row r="5214">
      <c r="A5214" s="2" t="s">
        <v>5651</v>
      </c>
      <c r="B5214" s="2" t="s">
        <v>6239</v>
      </c>
      <c r="D5214" s="2" t="s">
        <v>5631</v>
      </c>
      <c r="G5214" s="2"/>
    </row>
    <row r="5215">
      <c r="A5215" s="2" t="s">
        <v>5651</v>
      </c>
      <c r="B5215" s="2" t="s">
        <v>6240</v>
      </c>
      <c r="D5215" s="2" t="s">
        <v>5631</v>
      </c>
      <c r="G5215" s="2"/>
    </row>
    <row r="5216">
      <c r="A5216" s="2" t="s">
        <v>5651</v>
      </c>
      <c r="B5216" s="2" t="s">
        <v>6241</v>
      </c>
      <c r="D5216" s="2" t="s">
        <v>5631</v>
      </c>
      <c r="G5216" s="2"/>
    </row>
    <row r="5217">
      <c r="A5217" s="2" t="s">
        <v>5651</v>
      </c>
      <c r="B5217" s="2" t="s">
        <v>6242</v>
      </c>
      <c r="D5217" s="2" t="s">
        <v>5631</v>
      </c>
      <c r="G5217" s="2"/>
    </row>
    <row r="5218">
      <c r="A5218" s="2" t="s">
        <v>5651</v>
      </c>
      <c r="B5218" s="2" t="s">
        <v>6243</v>
      </c>
      <c r="D5218" s="2" t="s">
        <v>5631</v>
      </c>
      <c r="G5218" s="2"/>
    </row>
    <row r="5219">
      <c r="A5219" s="2" t="s">
        <v>5651</v>
      </c>
      <c r="B5219" s="2" t="s">
        <v>6244</v>
      </c>
      <c r="D5219" s="2" t="s">
        <v>5631</v>
      </c>
      <c r="G5219" s="2"/>
    </row>
    <row r="5220">
      <c r="A5220" s="2" t="s">
        <v>5651</v>
      </c>
      <c r="B5220" s="2" t="s">
        <v>6245</v>
      </c>
      <c r="D5220" s="2" t="s">
        <v>5631</v>
      </c>
      <c r="G5220" s="2"/>
    </row>
    <row r="5221">
      <c r="A5221" s="2" t="s">
        <v>5651</v>
      </c>
      <c r="B5221" s="2" t="s">
        <v>6246</v>
      </c>
      <c r="D5221" s="2" t="s">
        <v>5631</v>
      </c>
      <c r="G5221" s="2"/>
    </row>
    <row r="5222">
      <c r="A5222" s="2" t="s">
        <v>5651</v>
      </c>
      <c r="B5222" s="2" t="s">
        <v>6247</v>
      </c>
      <c r="D5222" s="2" t="s">
        <v>5631</v>
      </c>
      <c r="G5222" s="2"/>
    </row>
    <row r="5223">
      <c r="A5223" s="2" t="s">
        <v>5651</v>
      </c>
      <c r="B5223" s="2" t="s">
        <v>6248</v>
      </c>
      <c r="D5223" s="2" t="s">
        <v>5631</v>
      </c>
      <c r="G5223" s="2"/>
    </row>
    <row r="5224">
      <c r="A5224" s="2" t="s">
        <v>5651</v>
      </c>
      <c r="B5224" s="2" t="s">
        <v>6249</v>
      </c>
      <c r="D5224" s="2" t="s">
        <v>5631</v>
      </c>
      <c r="G5224" s="2"/>
    </row>
    <row r="5225">
      <c r="A5225" s="2" t="s">
        <v>5651</v>
      </c>
      <c r="B5225" s="2" t="s">
        <v>6250</v>
      </c>
      <c r="D5225" s="2" t="s">
        <v>5631</v>
      </c>
      <c r="G5225" s="2"/>
    </row>
    <row r="5226">
      <c r="A5226" s="2" t="s">
        <v>5651</v>
      </c>
      <c r="B5226" s="2" t="s">
        <v>6251</v>
      </c>
      <c r="D5226" s="2" t="s">
        <v>5631</v>
      </c>
      <c r="G5226" s="2"/>
    </row>
    <row r="5227">
      <c r="A5227" s="2" t="s">
        <v>5651</v>
      </c>
      <c r="B5227" s="2" t="s">
        <v>6252</v>
      </c>
      <c r="D5227" s="2" t="s">
        <v>5631</v>
      </c>
      <c r="G5227" s="2"/>
    </row>
    <row r="5228">
      <c r="A5228" s="2" t="s">
        <v>5651</v>
      </c>
      <c r="B5228" s="2" t="s">
        <v>6253</v>
      </c>
      <c r="D5228" s="2" t="s">
        <v>5631</v>
      </c>
      <c r="G5228" s="2"/>
    </row>
    <row r="5229">
      <c r="A5229" s="2" t="s">
        <v>5651</v>
      </c>
      <c r="B5229" s="2" t="s">
        <v>6254</v>
      </c>
      <c r="D5229" s="2" t="s">
        <v>5631</v>
      </c>
      <c r="G5229" s="2"/>
    </row>
    <row r="5230">
      <c r="A5230" s="2" t="s">
        <v>5651</v>
      </c>
      <c r="B5230" s="2" t="s">
        <v>6255</v>
      </c>
      <c r="D5230" s="2" t="s">
        <v>5631</v>
      </c>
      <c r="G5230" s="2"/>
    </row>
    <row r="5231">
      <c r="A5231" s="2" t="s">
        <v>5651</v>
      </c>
      <c r="B5231" s="2" t="s">
        <v>6256</v>
      </c>
      <c r="D5231" s="2" t="s">
        <v>5631</v>
      </c>
      <c r="G5231" s="2"/>
    </row>
    <row r="5232">
      <c r="A5232" s="2" t="s">
        <v>5651</v>
      </c>
      <c r="B5232" s="2" t="s">
        <v>6257</v>
      </c>
      <c r="D5232" s="2" t="s">
        <v>5631</v>
      </c>
      <c r="G5232" s="2"/>
    </row>
    <row r="5233">
      <c r="A5233" s="2" t="s">
        <v>5651</v>
      </c>
      <c r="B5233" s="2" t="s">
        <v>6258</v>
      </c>
      <c r="D5233" s="2" t="s">
        <v>5631</v>
      </c>
      <c r="G5233" s="2"/>
    </row>
    <row r="5234">
      <c r="A5234" s="2" t="s">
        <v>5651</v>
      </c>
      <c r="B5234" s="2" t="s">
        <v>6259</v>
      </c>
      <c r="D5234" s="2" t="s">
        <v>5631</v>
      </c>
      <c r="G5234" s="2"/>
    </row>
    <row r="5235">
      <c r="A5235" s="2" t="s">
        <v>5651</v>
      </c>
      <c r="B5235" s="2" t="s">
        <v>6260</v>
      </c>
      <c r="D5235" s="2" t="s">
        <v>5631</v>
      </c>
      <c r="G5235" s="2"/>
    </row>
    <row r="5236">
      <c r="A5236" s="2" t="s">
        <v>5651</v>
      </c>
      <c r="B5236" s="2" t="s">
        <v>6261</v>
      </c>
      <c r="D5236" s="2" t="s">
        <v>5631</v>
      </c>
      <c r="G5236" s="2"/>
    </row>
    <row r="5237">
      <c r="A5237" s="2" t="s">
        <v>5651</v>
      </c>
      <c r="B5237" s="2" t="s">
        <v>6262</v>
      </c>
      <c r="D5237" s="2" t="s">
        <v>5631</v>
      </c>
      <c r="G5237" s="2"/>
    </row>
    <row r="5238">
      <c r="A5238" s="2" t="s">
        <v>5651</v>
      </c>
      <c r="B5238" s="2" t="s">
        <v>6263</v>
      </c>
      <c r="D5238" s="2" t="s">
        <v>5631</v>
      </c>
      <c r="G5238" s="2"/>
    </row>
    <row r="5239">
      <c r="A5239" s="2" t="s">
        <v>5651</v>
      </c>
      <c r="B5239" s="2" t="s">
        <v>6264</v>
      </c>
      <c r="D5239" s="2" t="s">
        <v>5631</v>
      </c>
      <c r="G5239" s="2"/>
    </row>
    <row r="5240">
      <c r="A5240" s="2" t="s">
        <v>5651</v>
      </c>
      <c r="B5240" s="2" t="s">
        <v>6265</v>
      </c>
      <c r="D5240" s="2" t="s">
        <v>5631</v>
      </c>
      <c r="G5240" s="2"/>
    </row>
    <row r="5241">
      <c r="A5241" s="2" t="s">
        <v>5651</v>
      </c>
      <c r="B5241" s="2" t="s">
        <v>6266</v>
      </c>
      <c r="D5241" s="2" t="s">
        <v>5631</v>
      </c>
      <c r="G5241" s="2"/>
    </row>
    <row r="5242">
      <c r="A5242" s="2" t="s">
        <v>5651</v>
      </c>
      <c r="B5242" s="2" t="s">
        <v>6267</v>
      </c>
      <c r="D5242" s="2" t="s">
        <v>5631</v>
      </c>
      <c r="G5242" s="2"/>
    </row>
    <row r="5243">
      <c r="A5243" s="2" t="s">
        <v>5651</v>
      </c>
      <c r="B5243" s="2" t="s">
        <v>6268</v>
      </c>
      <c r="D5243" s="2" t="s">
        <v>5631</v>
      </c>
      <c r="G5243" s="2"/>
    </row>
    <row r="5244">
      <c r="A5244" s="2" t="s">
        <v>5651</v>
      </c>
      <c r="B5244" s="2" t="s">
        <v>6269</v>
      </c>
      <c r="D5244" s="2" t="s">
        <v>5631</v>
      </c>
      <c r="G5244" s="2"/>
    </row>
    <row r="5245">
      <c r="A5245" s="2" t="s">
        <v>5651</v>
      </c>
      <c r="B5245" s="2" t="s">
        <v>6270</v>
      </c>
      <c r="D5245" s="2" t="s">
        <v>5631</v>
      </c>
      <c r="G5245" s="2"/>
    </row>
    <row r="5246">
      <c r="A5246" s="2" t="s">
        <v>5651</v>
      </c>
      <c r="B5246" s="2" t="s">
        <v>6271</v>
      </c>
      <c r="D5246" s="2" t="s">
        <v>5631</v>
      </c>
      <c r="G5246" s="2"/>
    </row>
    <row r="5247">
      <c r="A5247" s="2" t="s">
        <v>5651</v>
      </c>
      <c r="B5247" s="2" t="s">
        <v>6272</v>
      </c>
      <c r="D5247" s="2" t="s">
        <v>5631</v>
      </c>
      <c r="G5247" s="2"/>
    </row>
    <row r="5248">
      <c r="A5248" s="2" t="s">
        <v>5651</v>
      </c>
      <c r="B5248" s="2" t="s">
        <v>6273</v>
      </c>
      <c r="D5248" s="2" t="s">
        <v>5631</v>
      </c>
      <c r="G5248" s="2"/>
    </row>
    <row r="5249">
      <c r="A5249" s="2" t="s">
        <v>5651</v>
      </c>
      <c r="B5249" s="2" t="s">
        <v>6274</v>
      </c>
      <c r="D5249" s="2" t="s">
        <v>5631</v>
      </c>
      <c r="G5249" s="2"/>
    </row>
    <row r="5250">
      <c r="A5250" s="2" t="s">
        <v>5651</v>
      </c>
      <c r="B5250" s="2" t="s">
        <v>6275</v>
      </c>
      <c r="D5250" s="2" t="s">
        <v>5631</v>
      </c>
      <c r="G5250" s="2"/>
    </row>
    <row r="5251">
      <c r="A5251" s="2" t="s">
        <v>5651</v>
      </c>
      <c r="B5251" s="2" t="s">
        <v>6276</v>
      </c>
      <c r="D5251" s="2" t="s">
        <v>5631</v>
      </c>
      <c r="G5251" s="2"/>
    </row>
    <row r="5252">
      <c r="A5252" s="2" t="s">
        <v>5651</v>
      </c>
      <c r="B5252" s="2" t="s">
        <v>6277</v>
      </c>
      <c r="D5252" s="2" t="s">
        <v>5631</v>
      </c>
      <c r="G5252" s="2"/>
    </row>
    <row r="5253">
      <c r="A5253" s="2" t="s">
        <v>5651</v>
      </c>
      <c r="B5253" s="2" t="s">
        <v>6278</v>
      </c>
      <c r="D5253" s="2" t="s">
        <v>5631</v>
      </c>
      <c r="G5253" s="2"/>
    </row>
    <row r="5254">
      <c r="A5254" s="2" t="s">
        <v>5651</v>
      </c>
      <c r="B5254" s="2" t="s">
        <v>6279</v>
      </c>
      <c r="D5254" s="2" t="s">
        <v>5631</v>
      </c>
      <c r="G5254" s="2"/>
    </row>
    <row r="5255">
      <c r="A5255" s="2" t="s">
        <v>5651</v>
      </c>
      <c r="B5255" s="2" t="s">
        <v>6280</v>
      </c>
      <c r="D5255" s="2" t="s">
        <v>5631</v>
      </c>
      <c r="G5255" s="2"/>
    </row>
    <row r="5256">
      <c r="A5256" s="2" t="s">
        <v>5651</v>
      </c>
      <c r="B5256" s="2" t="s">
        <v>6281</v>
      </c>
      <c r="D5256" s="2" t="s">
        <v>5631</v>
      </c>
      <c r="G5256" s="2"/>
    </row>
    <row r="5257">
      <c r="A5257" s="2" t="s">
        <v>5651</v>
      </c>
      <c r="B5257" s="2" t="s">
        <v>6282</v>
      </c>
      <c r="D5257" s="2" t="s">
        <v>5631</v>
      </c>
      <c r="G5257" s="2"/>
    </row>
    <row r="5258">
      <c r="A5258" s="2" t="s">
        <v>5651</v>
      </c>
      <c r="B5258" s="2" t="s">
        <v>6283</v>
      </c>
      <c r="D5258" s="2" t="s">
        <v>5631</v>
      </c>
      <c r="G5258" s="2"/>
    </row>
    <row r="5259">
      <c r="A5259" s="2" t="s">
        <v>5651</v>
      </c>
      <c r="B5259" s="2" t="s">
        <v>6284</v>
      </c>
      <c r="D5259" s="2" t="s">
        <v>5631</v>
      </c>
      <c r="G5259" s="2"/>
    </row>
    <row r="5260">
      <c r="A5260" s="2" t="s">
        <v>5651</v>
      </c>
      <c r="B5260" s="2" t="s">
        <v>6285</v>
      </c>
      <c r="D5260" s="2" t="s">
        <v>5631</v>
      </c>
      <c r="G5260" s="2"/>
    </row>
    <row r="5261">
      <c r="A5261" s="2" t="s">
        <v>5651</v>
      </c>
      <c r="B5261" s="2" t="s">
        <v>6286</v>
      </c>
      <c r="D5261" s="2" t="s">
        <v>5631</v>
      </c>
      <c r="G5261" s="2"/>
    </row>
    <row r="5262">
      <c r="A5262" s="2" t="s">
        <v>5651</v>
      </c>
      <c r="B5262" s="2" t="s">
        <v>6287</v>
      </c>
      <c r="D5262" s="2" t="s">
        <v>5631</v>
      </c>
      <c r="G5262" s="2"/>
    </row>
    <row r="5263">
      <c r="A5263" s="2" t="s">
        <v>5651</v>
      </c>
      <c r="B5263" s="2" t="s">
        <v>6288</v>
      </c>
      <c r="D5263" s="2" t="s">
        <v>5631</v>
      </c>
      <c r="G5263" s="2"/>
    </row>
    <row r="5264">
      <c r="A5264" s="2" t="s">
        <v>5651</v>
      </c>
      <c r="B5264" s="2" t="s">
        <v>6289</v>
      </c>
      <c r="D5264" s="2" t="s">
        <v>5631</v>
      </c>
      <c r="G5264" s="2"/>
    </row>
    <row r="5265">
      <c r="A5265" s="2" t="s">
        <v>5651</v>
      </c>
      <c r="B5265" s="2" t="s">
        <v>6290</v>
      </c>
      <c r="D5265" s="2" t="s">
        <v>5631</v>
      </c>
      <c r="G5265" s="2"/>
    </row>
    <row r="5266">
      <c r="A5266" s="2" t="s">
        <v>5651</v>
      </c>
      <c r="B5266" s="2" t="s">
        <v>6291</v>
      </c>
      <c r="D5266" s="2" t="s">
        <v>5631</v>
      </c>
      <c r="G5266" s="2"/>
    </row>
    <row r="5267">
      <c r="A5267" s="2" t="s">
        <v>5651</v>
      </c>
      <c r="B5267" s="2" t="s">
        <v>6292</v>
      </c>
      <c r="D5267" s="2" t="s">
        <v>5631</v>
      </c>
      <c r="G5267" s="2"/>
    </row>
    <row r="5268">
      <c r="A5268" s="2" t="s">
        <v>5651</v>
      </c>
      <c r="B5268" s="2" t="s">
        <v>6293</v>
      </c>
      <c r="D5268" s="2" t="s">
        <v>5631</v>
      </c>
      <c r="G5268" s="2"/>
    </row>
    <row r="5269">
      <c r="A5269" s="2" t="s">
        <v>5651</v>
      </c>
      <c r="B5269" s="2" t="s">
        <v>6294</v>
      </c>
      <c r="D5269" s="2" t="s">
        <v>5631</v>
      </c>
      <c r="G5269" s="2"/>
    </row>
    <row r="5270">
      <c r="A5270" s="2" t="s">
        <v>5651</v>
      </c>
      <c r="B5270" s="2" t="s">
        <v>6295</v>
      </c>
      <c r="D5270" s="2" t="s">
        <v>5631</v>
      </c>
      <c r="G5270" s="2"/>
    </row>
    <row r="5271">
      <c r="A5271" s="2" t="s">
        <v>5651</v>
      </c>
      <c r="B5271" s="2" t="s">
        <v>6296</v>
      </c>
      <c r="D5271" s="2" t="s">
        <v>5631</v>
      </c>
      <c r="G5271" s="2"/>
    </row>
    <row r="5272">
      <c r="A5272" s="2" t="s">
        <v>5651</v>
      </c>
      <c r="B5272" s="2" t="s">
        <v>6297</v>
      </c>
      <c r="D5272" s="2" t="s">
        <v>5631</v>
      </c>
      <c r="G5272" s="2"/>
    </row>
    <row r="5273">
      <c r="A5273" s="2" t="s">
        <v>5651</v>
      </c>
      <c r="B5273" s="2" t="s">
        <v>6298</v>
      </c>
      <c r="D5273" s="2" t="s">
        <v>5631</v>
      </c>
      <c r="G5273" s="2"/>
    </row>
    <row r="5274">
      <c r="A5274" s="2" t="s">
        <v>5651</v>
      </c>
      <c r="B5274" s="2" t="s">
        <v>6299</v>
      </c>
      <c r="D5274" s="2" t="s">
        <v>5631</v>
      </c>
      <c r="G5274" s="2"/>
    </row>
    <row r="5275">
      <c r="A5275" s="2" t="s">
        <v>5651</v>
      </c>
      <c r="B5275" s="2" t="s">
        <v>6300</v>
      </c>
      <c r="D5275" s="2" t="s">
        <v>5631</v>
      </c>
      <c r="G5275" s="2"/>
    </row>
    <row r="5276">
      <c r="A5276" s="2" t="s">
        <v>5651</v>
      </c>
      <c r="B5276" s="2" t="s">
        <v>6301</v>
      </c>
      <c r="D5276" s="2" t="s">
        <v>5631</v>
      </c>
      <c r="G5276" s="2"/>
    </row>
    <row r="5277">
      <c r="A5277" s="2" t="s">
        <v>5651</v>
      </c>
      <c r="B5277" s="2" t="s">
        <v>6302</v>
      </c>
      <c r="D5277" s="2" t="s">
        <v>5631</v>
      </c>
      <c r="G5277" s="2"/>
    </row>
    <row r="5278">
      <c r="A5278" s="2" t="s">
        <v>5651</v>
      </c>
      <c r="B5278" s="2" t="s">
        <v>6303</v>
      </c>
      <c r="D5278" s="2" t="s">
        <v>5631</v>
      </c>
      <c r="G5278" s="2"/>
    </row>
    <row r="5279">
      <c r="A5279" s="2" t="s">
        <v>5651</v>
      </c>
      <c r="B5279" s="2" t="s">
        <v>6304</v>
      </c>
      <c r="D5279" s="2" t="s">
        <v>5631</v>
      </c>
      <c r="G5279" s="2"/>
    </row>
    <row r="5280">
      <c r="A5280" s="2" t="s">
        <v>5651</v>
      </c>
      <c r="B5280" s="2" t="s">
        <v>6305</v>
      </c>
      <c r="D5280" s="2" t="s">
        <v>5631</v>
      </c>
      <c r="G5280" s="2"/>
    </row>
    <row r="5281">
      <c r="A5281" s="2" t="s">
        <v>5651</v>
      </c>
      <c r="B5281" s="2" t="s">
        <v>6306</v>
      </c>
      <c r="D5281" s="2" t="s">
        <v>5631</v>
      </c>
      <c r="G5281" s="2"/>
    </row>
    <row r="5282">
      <c r="A5282" s="2" t="s">
        <v>5651</v>
      </c>
      <c r="B5282" s="2" t="s">
        <v>6307</v>
      </c>
      <c r="D5282" s="2" t="s">
        <v>5631</v>
      </c>
      <c r="G5282" s="2"/>
    </row>
    <row r="5283">
      <c r="A5283" s="2" t="s">
        <v>5651</v>
      </c>
      <c r="B5283" s="2" t="s">
        <v>6308</v>
      </c>
      <c r="D5283" s="2" t="s">
        <v>5631</v>
      </c>
      <c r="G5283" s="2"/>
    </row>
    <row r="5284">
      <c r="A5284" s="2" t="s">
        <v>5651</v>
      </c>
      <c r="B5284" s="2" t="s">
        <v>6309</v>
      </c>
      <c r="D5284" s="2" t="s">
        <v>5631</v>
      </c>
      <c r="G5284" s="2"/>
    </row>
    <row r="5285">
      <c r="A5285" s="2" t="s">
        <v>5651</v>
      </c>
      <c r="B5285" s="2" t="s">
        <v>6310</v>
      </c>
      <c r="D5285" s="2" t="s">
        <v>5631</v>
      </c>
      <c r="G5285" s="2"/>
    </row>
    <row r="5286">
      <c r="A5286" s="2" t="s">
        <v>5651</v>
      </c>
      <c r="B5286" s="2" t="s">
        <v>6311</v>
      </c>
      <c r="D5286" s="2" t="s">
        <v>5631</v>
      </c>
      <c r="G5286" s="2"/>
    </row>
    <row r="5287">
      <c r="A5287" s="2" t="s">
        <v>5651</v>
      </c>
      <c r="B5287" s="2" t="s">
        <v>6312</v>
      </c>
      <c r="D5287" s="2" t="s">
        <v>5631</v>
      </c>
      <c r="G5287" s="2"/>
    </row>
    <row r="5288">
      <c r="A5288" s="2" t="s">
        <v>5651</v>
      </c>
      <c r="B5288" s="2" t="s">
        <v>6313</v>
      </c>
      <c r="D5288" s="2" t="s">
        <v>5631</v>
      </c>
      <c r="G5288" s="2"/>
    </row>
    <row r="5289">
      <c r="A5289" s="2" t="s">
        <v>5651</v>
      </c>
      <c r="B5289" s="2" t="s">
        <v>6314</v>
      </c>
      <c r="D5289" s="2" t="s">
        <v>5631</v>
      </c>
      <c r="G5289" s="2"/>
    </row>
    <row r="5290">
      <c r="A5290" s="2" t="s">
        <v>5651</v>
      </c>
      <c r="B5290" s="2" t="s">
        <v>6315</v>
      </c>
      <c r="D5290" s="2" t="s">
        <v>5631</v>
      </c>
      <c r="G5290" s="2"/>
    </row>
    <row r="5291">
      <c r="A5291" s="2" t="s">
        <v>5651</v>
      </c>
      <c r="B5291" s="2" t="s">
        <v>6316</v>
      </c>
      <c r="D5291" s="2" t="s">
        <v>5631</v>
      </c>
      <c r="G5291" s="2"/>
    </row>
    <row r="5292">
      <c r="A5292" s="2" t="s">
        <v>5651</v>
      </c>
      <c r="B5292" s="2" t="s">
        <v>6317</v>
      </c>
      <c r="D5292" s="2" t="s">
        <v>5631</v>
      </c>
      <c r="G5292" s="2"/>
    </row>
    <row r="5293">
      <c r="A5293" s="2" t="s">
        <v>5651</v>
      </c>
      <c r="B5293" s="2" t="s">
        <v>6318</v>
      </c>
      <c r="D5293" s="2" t="s">
        <v>5631</v>
      </c>
      <c r="G5293" s="2"/>
    </row>
    <row r="5294">
      <c r="A5294" s="2" t="s">
        <v>5651</v>
      </c>
      <c r="B5294" s="2" t="s">
        <v>6319</v>
      </c>
      <c r="D5294" s="2" t="s">
        <v>5631</v>
      </c>
      <c r="G5294" s="2"/>
    </row>
    <row r="5295">
      <c r="A5295" s="2" t="s">
        <v>5651</v>
      </c>
      <c r="B5295" s="2" t="s">
        <v>6320</v>
      </c>
      <c r="D5295" s="2" t="s">
        <v>5631</v>
      </c>
      <c r="G5295" s="2"/>
    </row>
    <row r="5296">
      <c r="A5296" s="2" t="s">
        <v>5651</v>
      </c>
      <c r="B5296" s="2" t="s">
        <v>6321</v>
      </c>
      <c r="D5296" s="2" t="s">
        <v>5631</v>
      </c>
      <c r="G5296" s="2"/>
    </row>
    <row r="5297">
      <c r="A5297" s="2" t="s">
        <v>5651</v>
      </c>
      <c r="B5297" s="2" t="s">
        <v>6322</v>
      </c>
      <c r="D5297" s="2" t="s">
        <v>5631</v>
      </c>
      <c r="G5297" s="2"/>
    </row>
    <row r="5298">
      <c r="A5298" s="2" t="s">
        <v>5651</v>
      </c>
      <c r="B5298" s="2" t="s">
        <v>6323</v>
      </c>
      <c r="D5298" s="2" t="s">
        <v>5631</v>
      </c>
      <c r="G5298" s="2"/>
    </row>
    <row r="5299">
      <c r="A5299" s="2" t="s">
        <v>5651</v>
      </c>
      <c r="B5299" s="2" t="s">
        <v>6324</v>
      </c>
      <c r="D5299" s="2" t="s">
        <v>5631</v>
      </c>
      <c r="G5299" s="2"/>
    </row>
    <row r="5300">
      <c r="A5300" s="2" t="s">
        <v>5651</v>
      </c>
      <c r="B5300" s="2" t="s">
        <v>6325</v>
      </c>
      <c r="D5300" s="2" t="s">
        <v>5631</v>
      </c>
      <c r="G5300" s="2"/>
    </row>
    <row r="5301">
      <c r="A5301" s="2" t="s">
        <v>5651</v>
      </c>
      <c r="B5301" s="2" t="s">
        <v>6326</v>
      </c>
      <c r="D5301" s="2" t="s">
        <v>5631</v>
      </c>
      <c r="G5301" s="2"/>
    </row>
    <row r="5302">
      <c r="A5302" s="2" t="s">
        <v>5651</v>
      </c>
      <c r="B5302" s="2" t="s">
        <v>6327</v>
      </c>
      <c r="D5302" s="2" t="s">
        <v>5631</v>
      </c>
      <c r="G5302" s="2"/>
    </row>
    <row r="5303">
      <c r="A5303" s="2" t="s">
        <v>5651</v>
      </c>
      <c r="B5303" s="2" t="s">
        <v>6328</v>
      </c>
      <c r="D5303" s="2" t="s">
        <v>5631</v>
      </c>
      <c r="G5303" s="2"/>
    </row>
    <row r="5304">
      <c r="A5304" s="2" t="s">
        <v>5651</v>
      </c>
      <c r="B5304" s="2" t="s">
        <v>6329</v>
      </c>
      <c r="D5304" s="2" t="s">
        <v>5631</v>
      </c>
      <c r="G5304" s="2"/>
    </row>
    <row r="5305">
      <c r="A5305" s="2" t="s">
        <v>5651</v>
      </c>
      <c r="B5305" s="2" t="s">
        <v>6330</v>
      </c>
      <c r="D5305" s="2" t="s">
        <v>5631</v>
      </c>
      <c r="G5305" s="2"/>
    </row>
    <row r="5306">
      <c r="A5306" s="2" t="s">
        <v>5651</v>
      </c>
      <c r="B5306" s="2" t="s">
        <v>6331</v>
      </c>
      <c r="D5306" s="2" t="s">
        <v>5631</v>
      </c>
      <c r="G5306" s="2"/>
    </row>
    <row r="5307">
      <c r="A5307" s="2" t="s">
        <v>5651</v>
      </c>
      <c r="B5307" s="2" t="s">
        <v>6332</v>
      </c>
      <c r="D5307" s="2" t="s">
        <v>5631</v>
      </c>
      <c r="G5307" s="2"/>
    </row>
    <row r="5308">
      <c r="A5308" s="2" t="s">
        <v>5651</v>
      </c>
      <c r="B5308" s="2" t="s">
        <v>6333</v>
      </c>
      <c r="D5308" s="2" t="s">
        <v>5631</v>
      </c>
      <c r="G5308" s="2"/>
    </row>
    <row r="5309">
      <c r="A5309" s="2" t="s">
        <v>5651</v>
      </c>
      <c r="B5309" s="2" t="s">
        <v>6334</v>
      </c>
      <c r="D5309" s="2" t="s">
        <v>5631</v>
      </c>
      <c r="G5309" s="2"/>
    </row>
    <row r="5310">
      <c r="A5310" s="2" t="s">
        <v>5651</v>
      </c>
      <c r="B5310" s="2" t="s">
        <v>6335</v>
      </c>
      <c r="D5310" s="2" t="s">
        <v>5631</v>
      </c>
      <c r="G5310" s="2"/>
    </row>
    <row r="5311">
      <c r="A5311" s="2" t="s">
        <v>5651</v>
      </c>
      <c r="B5311" s="2" t="s">
        <v>6336</v>
      </c>
      <c r="D5311" s="2" t="s">
        <v>5631</v>
      </c>
      <c r="G5311" s="2"/>
    </row>
    <row r="5312">
      <c r="A5312" s="2" t="s">
        <v>5651</v>
      </c>
      <c r="B5312" s="2" t="s">
        <v>6337</v>
      </c>
      <c r="D5312" s="2" t="s">
        <v>5631</v>
      </c>
      <c r="G5312" s="2"/>
    </row>
    <row r="5313">
      <c r="A5313" s="2" t="s">
        <v>5651</v>
      </c>
      <c r="B5313" s="2" t="s">
        <v>6338</v>
      </c>
      <c r="D5313" s="2" t="s">
        <v>5631</v>
      </c>
      <c r="G5313" s="2"/>
    </row>
    <row r="5314">
      <c r="A5314" s="2" t="s">
        <v>5651</v>
      </c>
      <c r="B5314" s="2" t="s">
        <v>6339</v>
      </c>
      <c r="D5314" s="2" t="s">
        <v>5631</v>
      </c>
      <c r="G5314" s="2"/>
    </row>
    <row r="5315">
      <c r="A5315" s="2" t="s">
        <v>5651</v>
      </c>
      <c r="B5315" s="2" t="s">
        <v>6340</v>
      </c>
      <c r="D5315" s="2" t="s">
        <v>5631</v>
      </c>
      <c r="G5315" s="2"/>
    </row>
    <row r="5316">
      <c r="A5316" s="2" t="s">
        <v>5651</v>
      </c>
      <c r="B5316" s="2" t="s">
        <v>6341</v>
      </c>
      <c r="D5316" s="2" t="s">
        <v>5631</v>
      </c>
      <c r="G5316" s="2"/>
    </row>
    <row r="5317">
      <c r="A5317" s="2" t="s">
        <v>5651</v>
      </c>
      <c r="B5317" s="2" t="s">
        <v>6342</v>
      </c>
      <c r="D5317" s="2" t="s">
        <v>5631</v>
      </c>
      <c r="G5317" s="2"/>
    </row>
    <row r="5318">
      <c r="A5318" s="2" t="s">
        <v>5651</v>
      </c>
      <c r="B5318" s="2" t="s">
        <v>6343</v>
      </c>
      <c r="D5318" s="2" t="s">
        <v>5631</v>
      </c>
      <c r="G5318" s="2"/>
    </row>
    <row r="5319">
      <c r="A5319" s="2" t="s">
        <v>5651</v>
      </c>
      <c r="B5319" s="2" t="s">
        <v>6344</v>
      </c>
      <c r="D5319" s="2" t="s">
        <v>5631</v>
      </c>
      <c r="G5319" s="2"/>
    </row>
    <row r="5320">
      <c r="A5320" s="2" t="s">
        <v>5651</v>
      </c>
      <c r="B5320" s="2" t="s">
        <v>6345</v>
      </c>
      <c r="D5320" s="2" t="s">
        <v>5631</v>
      </c>
      <c r="G5320" s="2"/>
    </row>
    <row r="5321">
      <c r="A5321" s="2" t="s">
        <v>5651</v>
      </c>
      <c r="B5321" s="2" t="s">
        <v>6346</v>
      </c>
      <c r="D5321" s="2" t="s">
        <v>5631</v>
      </c>
      <c r="G5321" s="2"/>
    </row>
    <row r="5322">
      <c r="A5322" s="2" t="s">
        <v>5651</v>
      </c>
      <c r="B5322" s="2" t="s">
        <v>6347</v>
      </c>
      <c r="D5322" s="2" t="s">
        <v>5631</v>
      </c>
      <c r="G5322" s="2"/>
    </row>
    <row r="5323">
      <c r="A5323" s="2" t="s">
        <v>5651</v>
      </c>
      <c r="B5323" s="2" t="s">
        <v>6348</v>
      </c>
      <c r="D5323" s="2" t="s">
        <v>5631</v>
      </c>
      <c r="G5323" s="2"/>
    </row>
    <row r="5324">
      <c r="A5324" s="2" t="s">
        <v>5651</v>
      </c>
      <c r="B5324" s="2" t="s">
        <v>6349</v>
      </c>
      <c r="D5324" s="2" t="s">
        <v>5631</v>
      </c>
      <c r="G5324" s="2"/>
    </row>
    <row r="5325">
      <c r="A5325" s="2" t="s">
        <v>5651</v>
      </c>
      <c r="B5325" s="2" t="s">
        <v>6350</v>
      </c>
      <c r="D5325" s="2" t="s">
        <v>5631</v>
      </c>
      <c r="G5325" s="2"/>
    </row>
    <row r="5326">
      <c r="A5326" s="2" t="s">
        <v>5651</v>
      </c>
      <c r="B5326" s="2" t="s">
        <v>6351</v>
      </c>
      <c r="D5326" s="2" t="s">
        <v>5631</v>
      </c>
      <c r="G5326" s="2"/>
    </row>
    <row r="5327">
      <c r="A5327" s="2" t="s">
        <v>5651</v>
      </c>
      <c r="B5327" s="2" t="s">
        <v>6352</v>
      </c>
      <c r="D5327" s="2" t="s">
        <v>5631</v>
      </c>
      <c r="G5327" s="2"/>
    </row>
    <row r="5328">
      <c r="A5328" s="2" t="s">
        <v>5651</v>
      </c>
      <c r="B5328" s="2" t="s">
        <v>6353</v>
      </c>
      <c r="D5328" s="2" t="s">
        <v>5631</v>
      </c>
      <c r="G5328" s="2"/>
    </row>
    <row r="5329">
      <c r="A5329" s="2" t="s">
        <v>5651</v>
      </c>
      <c r="B5329" s="2" t="s">
        <v>6354</v>
      </c>
      <c r="D5329" s="2" t="s">
        <v>5631</v>
      </c>
      <c r="G5329" s="2"/>
    </row>
    <row r="5330">
      <c r="A5330" s="2" t="s">
        <v>5651</v>
      </c>
      <c r="B5330" s="2" t="s">
        <v>6355</v>
      </c>
      <c r="D5330" s="2" t="s">
        <v>5631</v>
      </c>
      <c r="G5330" s="2"/>
    </row>
    <row r="5331">
      <c r="A5331" s="2" t="s">
        <v>5651</v>
      </c>
      <c r="B5331" s="2" t="s">
        <v>6356</v>
      </c>
      <c r="D5331" s="2" t="s">
        <v>5631</v>
      </c>
      <c r="G5331" s="2"/>
    </row>
    <row r="5332">
      <c r="A5332" s="2" t="s">
        <v>5651</v>
      </c>
      <c r="B5332" s="2" t="s">
        <v>6357</v>
      </c>
      <c r="D5332" s="2" t="s">
        <v>5631</v>
      </c>
      <c r="G5332" s="2"/>
    </row>
    <row r="5333">
      <c r="A5333" s="2" t="s">
        <v>5651</v>
      </c>
      <c r="B5333" s="2" t="s">
        <v>6358</v>
      </c>
      <c r="D5333" s="2" t="s">
        <v>5631</v>
      </c>
      <c r="G5333" s="2"/>
    </row>
    <row r="5334">
      <c r="A5334" s="2" t="s">
        <v>5651</v>
      </c>
      <c r="B5334" s="2" t="s">
        <v>6359</v>
      </c>
      <c r="D5334" s="2" t="s">
        <v>5631</v>
      </c>
      <c r="G5334" s="2"/>
    </row>
    <row r="5335">
      <c r="A5335" s="2" t="s">
        <v>5651</v>
      </c>
      <c r="B5335" s="2" t="s">
        <v>6360</v>
      </c>
      <c r="D5335" s="2" t="s">
        <v>5631</v>
      </c>
      <c r="G5335" s="2"/>
    </row>
    <row r="5336">
      <c r="A5336" s="2" t="s">
        <v>5651</v>
      </c>
      <c r="B5336" s="2" t="s">
        <v>6361</v>
      </c>
      <c r="D5336" s="2" t="s">
        <v>5631</v>
      </c>
      <c r="G5336" s="2"/>
    </row>
    <row r="5337">
      <c r="A5337" s="2" t="s">
        <v>5651</v>
      </c>
      <c r="B5337" s="2" t="s">
        <v>6362</v>
      </c>
      <c r="D5337" s="2" t="s">
        <v>5631</v>
      </c>
      <c r="G5337" s="2"/>
    </row>
    <row r="5338">
      <c r="A5338" s="2" t="s">
        <v>5651</v>
      </c>
      <c r="B5338" s="2" t="s">
        <v>6363</v>
      </c>
      <c r="D5338" s="2" t="s">
        <v>5631</v>
      </c>
      <c r="G5338" s="2"/>
    </row>
    <row r="5339">
      <c r="A5339" s="2" t="s">
        <v>5651</v>
      </c>
      <c r="B5339" s="2" t="s">
        <v>6364</v>
      </c>
      <c r="D5339" s="2" t="s">
        <v>5631</v>
      </c>
      <c r="G5339" s="2"/>
    </row>
    <row r="5340">
      <c r="A5340" s="2" t="s">
        <v>5651</v>
      </c>
      <c r="B5340" s="2" t="s">
        <v>6365</v>
      </c>
      <c r="D5340" s="2" t="s">
        <v>5631</v>
      </c>
      <c r="G5340" s="2"/>
    </row>
    <row r="5341">
      <c r="A5341" s="2" t="s">
        <v>5651</v>
      </c>
      <c r="B5341" s="2" t="s">
        <v>6366</v>
      </c>
      <c r="D5341" s="2" t="s">
        <v>5631</v>
      </c>
      <c r="G5341" s="2"/>
    </row>
    <row r="5342">
      <c r="A5342" s="2" t="s">
        <v>5651</v>
      </c>
      <c r="B5342" s="2" t="s">
        <v>6367</v>
      </c>
      <c r="D5342" s="2" t="s">
        <v>5631</v>
      </c>
      <c r="G5342" s="2"/>
    </row>
    <row r="5343">
      <c r="A5343" s="2" t="s">
        <v>5651</v>
      </c>
      <c r="B5343" s="2" t="s">
        <v>6368</v>
      </c>
      <c r="D5343" s="2" t="s">
        <v>5631</v>
      </c>
      <c r="G5343" s="2"/>
    </row>
    <row r="5344">
      <c r="A5344" s="2" t="s">
        <v>5651</v>
      </c>
      <c r="B5344" s="2" t="s">
        <v>6369</v>
      </c>
      <c r="D5344" s="2" t="s">
        <v>5631</v>
      </c>
      <c r="G5344" s="2"/>
    </row>
    <row r="5345">
      <c r="A5345" s="2" t="s">
        <v>5651</v>
      </c>
      <c r="B5345" s="2" t="s">
        <v>6370</v>
      </c>
      <c r="D5345" s="2" t="s">
        <v>5631</v>
      </c>
      <c r="G5345" s="2"/>
    </row>
    <row r="5346">
      <c r="A5346" s="2" t="s">
        <v>5651</v>
      </c>
      <c r="B5346" s="2" t="s">
        <v>6371</v>
      </c>
      <c r="D5346" s="2" t="s">
        <v>5631</v>
      </c>
      <c r="G5346" s="2"/>
    </row>
    <row r="5347">
      <c r="A5347" s="2" t="s">
        <v>5651</v>
      </c>
      <c r="B5347" s="2" t="s">
        <v>6372</v>
      </c>
      <c r="D5347" s="2" t="s">
        <v>5631</v>
      </c>
      <c r="G5347" s="2"/>
    </row>
    <row r="5348">
      <c r="A5348" s="2" t="s">
        <v>5651</v>
      </c>
      <c r="B5348" s="2" t="s">
        <v>6373</v>
      </c>
      <c r="D5348" s="2" t="s">
        <v>5631</v>
      </c>
      <c r="G5348" s="2"/>
    </row>
    <row r="5349">
      <c r="A5349" s="2" t="s">
        <v>5651</v>
      </c>
      <c r="B5349" s="2" t="s">
        <v>6374</v>
      </c>
      <c r="D5349" s="2" t="s">
        <v>5631</v>
      </c>
      <c r="G5349" s="2"/>
    </row>
    <row r="5350">
      <c r="A5350" s="2" t="s">
        <v>5651</v>
      </c>
      <c r="B5350" s="2" t="s">
        <v>6375</v>
      </c>
      <c r="D5350" s="2" t="s">
        <v>5631</v>
      </c>
      <c r="G5350" s="2"/>
    </row>
    <row r="5351">
      <c r="A5351" s="2" t="s">
        <v>5651</v>
      </c>
      <c r="B5351" s="2" t="s">
        <v>6376</v>
      </c>
      <c r="D5351" s="2" t="s">
        <v>5631</v>
      </c>
      <c r="G5351" s="2"/>
    </row>
    <row r="5352">
      <c r="A5352" s="2" t="s">
        <v>5651</v>
      </c>
      <c r="B5352" s="2" t="s">
        <v>6377</v>
      </c>
      <c r="D5352" s="2" t="s">
        <v>5631</v>
      </c>
      <c r="G5352" s="2"/>
    </row>
    <row r="5353">
      <c r="A5353" s="2" t="s">
        <v>5651</v>
      </c>
      <c r="B5353" s="2" t="s">
        <v>6378</v>
      </c>
      <c r="D5353" s="2" t="s">
        <v>5631</v>
      </c>
      <c r="G5353" s="2"/>
    </row>
    <row r="5354">
      <c r="A5354" s="2" t="s">
        <v>5651</v>
      </c>
      <c r="B5354" s="2" t="s">
        <v>6379</v>
      </c>
      <c r="D5354" s="2" t="s">
        <v>5631</v>
      </c>
      <c r="G5354" s="2"/>
    </row>
    <row r="5355">
      <c r="A5355" s="2" t="s">
        <v>5651</v>
      </c>
      <c r="B5355" s="2" t="s">
        <v>6380</v>
      </c>
      <c r="D5355" s="2" t="s">
        <v>5631</v>
      </c>
      <c r="G5355" s="2"/>
    </row>
    <row r="5356">
      <c r="A5356" s="2" t="s">
        <v>5651</v>
      </c>
      <c r="B5356" s="2" t="s">
        <v>6381</v>
      </c>
      <c r="D5356" s="2" t="s">
        <v>5631</v>
      </c>
      <c r="G5356" s="2"/>
    </row>
    <row r="5357">
      <c r="A5357" s="2" t="s">
        <v>5651</v>
      </c>
      <c r="B5357" s="2" t="s">
        <v>6382</v>
      </c>
      <c r="D5357" s="2" t="s">
        <v>5631</v>
      </c>
      <c r="G5357" s="2"/>
    </row>
    <row r="5358">
      <c r="A5358" s="2" t="s">
        <v>5651</v>
      </c>
      <c r="B5358" s="2" t="s">
        <v>6383</v>
      </c>
      <c r="D5358" s="2" t="s">
        <v>5631</v>
      </c>
      <c r="G5358" s="2"/>
    </row>
    <row r="5359">
      <c r="A5359" s="2" t="s">
        <v>5651</v>
      </c>
      <c r="B5359" s="2" t="s">
        <v>6384</v>
      </c>
      <c r="D5359" s="2" t="s">
        <v>5631</v>
      </c>
      <c r="G5359" s="2"/>
    </row>
    <row r="5360">
      <c r="A5360" s="2" t="s">
        <v>5651</v>
      </c>
      <c r="B5360" s="2" t="s">
        <v>6385</v>
      </c>
      <c r="D5360" s="2" t="s">
        <v>5631</v>
      </c>
      <c r="G5360" s="2"/>
    </row>
    <row r="5361">
      <c r="A5361" s="2" t="s">
        <v>5651</v>
      </c>
      <c r="B5361" s="2" t="s">
        <v>6386</v>
      </c>
      <c r="D5361" s="2" t="s">
        <v>5631</v>
      </c>
      <c r="G5361" s="2"/>
    </row>
    <row r="5362">
      <c r="A5362" s="2" t="s">
        <v>5651</v>
      </c>
      <c r="B5362" s="2" t="s">
        <v>6387</v>
      </c>
      <c r="D5362" s="2" t="s">
        <v>5631</v>
      </c>
      <c r="G5362" s="2"/>
    </row>
    <row r="5363">
      <c r="A5363" s="2" t="s">
        <v>5651</v>
      </c>
      <c r="B5363" s="2" t="s">
        <v>6388</v>
      </c>
      <c r="D5363" s="2" t="s">
        <v>5631</v>
      </c>
      <c r="G5363" s="2"/>
    </row>
    <row r="5364">
      <c r="A5364" s="2" t="s">
        <v>5651</v>
      </c>
      <c r="B5364" s="2" t="s">
        <v>6389</v>
      </c>
      <c r="D5364" s="2" t="s">
        <v>5631</v>
      </c>
      <c r="G5364" s="2"/>
    </row>
    <row r="5365">
      <c r="A5365" s="2" t="s">
        <v>5651</v>
      </c>
      <c r="B5365" s="2" t="s">
        <v>6390</v>
      </c>
      <c r="D5365" s="2" t="s">
        <v>5631</v>
      </c>
      <c r="G5365" s="2"/>
    </row>
    <row r="5366">
      <c r="A5366" s="2" t="s">
        <v>5651</v>
      </c>
      <c r="B5366" s="2" t="s">
        <v>6391</v>
      </c>
      <c r="D5366" s="2" t="s">
        <v>5631</v>
      </c>
      <c r="G5366" s="2"/>
    </row>
    <row r="5367">
      <c r="A5367" s="2" t="s">
        <v>5651</v>
      </c>
      <c r="B5367" s="2" t="s">
        <v>6392</v>
      </c>
      <c r="D5367" s="2" t="s">
        <v>5631</v>
      </c>
      <c r="G5367" s="2"/>
    </row>
    <row r="5368">
      <c r="A5368" s="2" t="s">
        <v>5651</v>
      </c>
      <c r="B5368" s="2" t="s">
        <v>6393</v>
      </c>
      <c r="D5368" s="2" t="s">
        <v>5631</v>
      </c>
      <c r="G5368" s="2"/>
    </row>
    <row r="5369">
      <c r="A5369" s="2" t="s">
        <v>5651</v>
      </c>
      <c r="B5369" s="2" t="s">
        <v>6394</v>
      </c>
      <c r="D5369" s="2" t="s">
        <v>5631</v>
      </c>
      <c r="G5369" s="2"/>
    </row>
    <row r="5370">
      <c r="A5370" s="2" t="s">
        <v>5651</v>
      </c>
      <c r="B5370" s="2" t="s">
        <v>6395</v>
      </c>
      <c r="D5370" s="2" t="s">
        <v>5631</v>
      </c>
      <c r="G5370" s="2"/>
    </row>
    <row r="5371">
      <c r="A5371" s="2" t="s">
        <v>5651</v>
      </c>
      <c r="B5371" s="2" t="s">
        <v>6396</v>
      </c>
      <c r="D5371" s="2" t="s">
        <v>5631</v>
      </c>
      <c r="G5371" s="2"/>
    </row>
    <row r="5372">
      <c r="A5372" s="2" t="s">
        <v>5651</v>
      </c>
      <c r="B5372" s="2" t="s">
        <v>6397</v>
      </c>
      <c r="D5372" s="2" t="s">
        <v>5631</v>
      </c>
      <c r="G5372" s="2"/>
    </row>
    <row r="5373">
      <c r="A5373" s="2" t="s">
        <v>5651</v>
      </c>
      <c r="B5373" s="2" t="s">
        <v>6398</v>
      </c>
      <c r="D5373" s="2" t="s">
        <v>5631</v>
      </c>
      <c r="G5373" s="2"/>
    </row>
    <row r="5374">
      <c r="A5374" s="2" t="s">
        <v>5651</v>
      </c>
      <c r="B5374" s="2" t="s">
        <v>6399</v>
      </c>
      <c r="D5374" s="2" t="s">
        <v>5631</v>
      </c>
      <c r="G5374" s="2"/>
    </row>
    <row r="5375">
      <c r="A5375" s="2" t="s">
        <v>5651</v>
      </c>
      <c r="B5375" s="2" t="s">
        <v>6400</v>
      </c>
      <c r="D5375" s="2" t="s">
        <v>5631</v>
      </c>
      <c r="G5375" s="2"/>
    </row>
    <row r="5376">
      <c r="A5376" s="2" t="s">
        <v>5651</v>
      </c>
      <c r="B5376" s="2" t="s">
        <v>6401</v>
      </c>
      <c r="D5376" s="2" t="s">
        <v>5631</v>
      </c>
      <c r="G5376" s="2"/>
    </row>
    <row r="5377">
      <c r="A5377" s="2" t="s">
        <v>5651</v>
      </c>
      <c r="B5377" s="2" t="s">
        <v>6402</v>
      </c>
      <c r="D5377" s="2" t="s">
        <v>5631</v>
      </c>
      <c r="G5377" s="2"/>
    </row>
    <row r="5378">
      <c r="A5378" s="2" t="s">
        <v>5651</v>
      </c>
      <c r="B5378" s="2" t="s">
        <v>6403</v>
      </c>
      <c r="D5378" s="2" t="s">
        <v>5631</v>
      </c>
      <c r="G5378" s="2"/>
    </row>
    <row r="5379">
      <c r="A5379" s="2" t="s">
        <v>5651</v>
      </c>
      <c r="B5379" s="2" t="s">
        <v>6404</v>
      </c>
      <c r="D5379" s="2" t="s">
        <v>5631</v>
      </c>
      <c r="G5379" s="2"/>
    </row>
    <row r="5380">
      <c r="A5380" s="2" t="s">
        <v>5651</v>
      </c>
      <c r="B5380" s="2" t="s">
        <v>6405</v>
      </c>
      <c r="D5380" s="2" t="s">
        <v>5631</v>
      </c>
      <c r="G5380" s="2"/>
    </row>
    <row r="5381">
      <c r="A5381" s="2" t="s">
        <v>5651</v>
      </c>
      <c r="B5381" s="2" t="s">
        <v>6406</v>
      </c>
      <c r="D5381" s="2" t="s">
        <v>5631</v>
      </c>
      <c r="G5381" s="2"/>
    </row>
    <row r="5382">
      <c r="A5382" s="2" t="s">
        <v>5651</v>
      </c>
      <c r="B5382" s="2" t="s">
        <v>6407</v>
      </c>
      <c r="D5382" s="2" t="s">
        <v>5631</v>
      </c>
      <c r="G5382" s="2"/>
    </row>
    <row r="5383">
      <c r="A5383" s="2" t="s">
        <v>5651</v>
      </c>
      <c r="B5383" s="2" t="s">
        <v>6408</v>
      </c>
      <c r="D5383" s="2" t="s">
        <v>5631</v>
      </c>
      <c r="G5383" s="2"/>
    </row>
    <row r="5384">
      <c r="A5384" s="2" t="s">
        <v>5651</v>
      </c>
      <c r="B5384" s="2" t="s">
        <v>6409</v>
      </c>
      <c r="D5384" s="2" t="s">
        <v>5631</v>
      </c>
      <c r="G5384" s="2"/>
    </row>
    <row r="5385">
      <c r="A5385" s="2" t="s">
        <v>5651</v>
      </c>
      <c r="B5385" s="2" t="s">
        <v>6410</v>
      </c>
      <c r="D5385" s="2" t="s">
        <v>5631</v>
      </c>
      <c r="G5385" s="2"/>
    </row>
    <row r="5386">
      <c r="A5386" s="2" t="s">
        <v>5651</v>
      </c>
      <c r="B5386" s="2" t="s">
        <v>6411</v>
      </c>
      <c r="D5386" s="2" t="s">
        <v>5631</v>
      </c>
      <c r="G5386" s="2"/>
    </row>
    <row r="5387">
      <c r="A5387" s="2" t="s">
        <v>5651</v>
      </c>
      <c r="B5387" s="2" t="s">
        <v>6412</v>
      </c>
      <c r="D5387" s="2" t="s">
        <v>5631</v>
      </c>
      <c r="G5387" s="2"/>
    </row>
    <row r="5388">
      <c r="A5388" s="2" t="s">
        <v>5651</v>
      </c>
      <c r="B5388" s="2" t="s">
        <v>6413</v>
      </c>
      <c r="D5388" s="2" t="s">
        <v>5631</v>
      </c>
      <c r="G5388" s="2"/>
    </row>
    <row r="5389">
      <c r="A5389" s="2" t="s">
        <v>5651</v>
      </c>
      <c r="B5389" s="2" t="s">
        <v>6414</v>
      </c>
      <c r="D5389" s="2" t="s">
        <v>5631</v>
      </c>
      <c r="G5389" s="2"/>
    </row>
    <row r="5390">
      <c r="A5390" s="2" t="s">
        <v>5651</v>
      </c>
      <c r="B5390" s="2" t="s">
        <v>6415</v>
      </c>
      <c r="D5390" s="2" t="s">
        <v>5631</v>
      </c>
      <c r="G5390" s="2"/>
    </row>
    <row r="5391">
      <c r="A5391" s="2" t="s">
        <v>5651</v>
      </c>
      <c r="B5391" s="2" t="s">
        <v>6416</v>
      </c>
      <c r="D5391" s="2" t="s">
        <v>5631</v>
      </c>
      <c r="G5391" s="2"/>
    </row>
    <row r="5392">
      <c r="A5392" s="2" t="s">
        <v>5651</v>
      </c>
      <c r="B5392" s="2" t="s">
        <v>6417</v>
      </c>
      <c r="D5392" s="2" t="s">
        <v>5631</v>
      </c>
      <c r="G5392" s="2"/>
    </row>
    <row r="5393">
      <c r="A5393" s="2" t="s">
        <v>5651</v>
      </c>
      <c r="B5393" s="2" t="s">
        <v>6418</v>
      </c>
      <c r="D5393" s="2" t="s">
        <v>5631</v>
      </c>
      <c r="G5393" s="2"/>
    </row>
    <row r="5394">
      <c r="A5394" s="2" t="s">
        <v>5651</v>
      </c>
      <c r="B5394" s="2" t="s">
        <v>6419</v>
      </c>
      <c r="D5394" s="2" t="s">
        <v>5631</v>
      </c>
      <c r="G5394" s="2"/>
    </row>
    <row r="5395">
      <c r="A5395" s="2" t="s">
        <v>5651</v>
      </c>
      <c r="B5395" s="2" t="s">
        <v>6420</v>
      </c>
      <c r="D5395" s="2" t="s">
        <v>5631</v>
      </c>
      <c r="G5395" s="2"/>
    </row>
    <row r="5396">
      <c r="A5396" s="2" t="s">
        <v>5651</v>
      </c>
      <c r="B5396" s="2" t="s">
        <v>6421</v>
      </c>
      <c r="D5396" s="2" t="s">
        <v>5631</v>
      </c>
      <c r="G5396" s="2"/>
    </row>
    <row r="5397">
      <c r="A5397" s="2" t="s">
        <v>5651</v>
      </c>
      <c r="B5397" s="2" t="s">
        <v>6422</v>
      </c>
      <c r="D5397" s="2" t="s">
        <v>5631</v>
      </c>
      <c r="G5397" s="2"/>
    </row>
    <row r="5398">
      <c r="A5398" s="2" t="s">
        <v>5651</v>
      </c>
      <c r="B5398" s="2" t="s">
        <v>6423</v>
      </c>
      <c r="D5398" s="2" t="s">
        <v>5631</v>
      </c>
      <c r="G5398" s="2"/>
    </row>
    <row r="5399">
      <c r="A5399" s="2" t="s">
        <v>5651</v>
      </c>
      <c r="B5399" s="2" t="s">
        <v>6424</v>
      </c>
      <c r="D5399" s="2" t="s">
        <v>5631</v>
      </c>
      <c r="G5399" s="2"/>
    </row>
    <row r="5400">
      <c r="A5400" s="2" t="s">
        <v>5651</v>
      </c>
      <c r="B5400" s="2" t="s">
        <v>6425</v>
      </c>
      <c r="D5400" s="2" t="s">
        <v>5631</v>
      </c>
      <c r="G5400" s="2"/>
    </row>
    <row r="5401">
      <c r="A5401" s="2" t="s">
        <v>5651</v>
      </c>
      <c r="B5401" s="2" t="s">
        <v>6426</v>
      </c>
      <c r="D5401" s="2" t="s">
        <v>5631</v>
      </c>
      <c r="G5401" s="2"/>
    </row>
    <row r="5402">
      <c r="A5402" s="2" t="s">
        <v>5651</v>
      </c>
      <c r="B5402" s="2" t="s">
        <v>6427</v>
      </c>
      <c r="D5402" s="2" t="s">
        <v>5631</v>
      </c>
      <c r="G5402" s="2"/>
    </row>
    <row r="5403">
      <c r="A5403" s="2" t="s">
        <v>5651</v>
      </c>
      <c r="B5403" s="2" t="s">
        <v>6428</v>
      </c>
      <c r="D5403" s="2" t="s">
        <v>5631</v>
      </c>
      <c r="G5403" s="2"/>
    </row>
    <row r="5404">
      <c r="A5404" s="2" t="s">
        <v>5651</v>
      </c>
      <c r="B5404" s="2" t="s">
        <v>6429</v>
      </c>
      <c r="D5404" s="2" t="s">
        <v>5631</v>
      </c>
      <c r="G5404" s="2"/>
    </row>
    <row r="5405">
      <c r="A5405" s="2" t="s">
        <v>5651</v>
      </c>
      <c r="B5405" s="2" t="s">
        <v>6430</v>
      </c>
      <c r="D5405" s="2" t="s">
        <v>5631</v>
      </c>
      <c r="G5405" s="2"/>
    </row>
    <row r="5406">
      <c r="A5406" s="2" t="s">
        <v>5651</v>
      </c>
      <c r="B5406" s="2" t="s">
        <v>6431</v>
      </c>
      <c r="D5406" s="2" t="s">
        <v>5631</v>
      </c>
      <c r="G5406" s="2"/>
    </row>
    <row r="5407">
      <c r="A5407" s="2" t="s">
        <v>5651</v>
      </c>
      <c r="B5407" s="2" t="s">
        <v>6432</v>
      </c>
      <c r="D5407" s="2" t="s">
        <v>5631</v>
      </c>
      <c r="G5407" s="2"/>
    </row>
    <row r="5408">
      <c r="A5408" s="2" t="s">
        <v>5651</v>
      </c>
      <c r="B5408" s="2" t="s">
        <v>6433</v>
      </c>
      <c r="D5408" s="2" t="s">
        <v>5631</v>
      </c>
      <c r="G5408" s="2"/>
    </row>
    <row r="5409">
      <c r="A5409" s="2" t="s">
        <v>5651</v>
      </c>
      <c r="B5409" s="2" t="s">
        <v>6434</v>
      </c>
      <c r="D5409" s="2" t="s">
        <v>5631</v>
      </c>
      <c r="G5409" s="2"/>
    </row>
    <row r="5410">
      <c r="A5410" s="2" t="s">
        <v>5651</v>
      </c>
      <c r="B5410" s="2" t="s">
        <v>6435</v>
      </c>
      <c r="D5410" s="2" t="s">
        <v>5631</v>
      </c>
      <c r="G5410" s="2"/>
    </row>
    <row r="5411">
      <c r="A5411" s="2" t="s">
        <v>5651</v>
      </c>
      <c r="B5411" s="2" t="s">
        <v>6436</v>
      </c>
      <c r="D5411" s="2" t="s">
        <v>5631</v>
      </c>
      <c r="G5411" s="2"/>
    </row>
    <row r="5412">
      <c r="A5412" s="2" t="s">
        <v>5651</v>
      </c>
      <c r="B5412" s="2" t="s">
        <v>6437</v>
      </c>
      <c r="D5412" s="2" t="s">
        <v>5631</v>
      </c>
      <c r="G5412" s="2"/>
    </row>
    <row r="5413">
      <c r="A5413" s="2" t="s">
        <v>5651</v>
      </c>
      <c r="B5413" s="2" t="s">
        <v>6438</v>
      </c>
      <c r="D5413" s="2" t="s">
        <v>5631</v>
      </c>
      <c r="G5413" s="2"/>
    </row>
    <row r="5414">
      <c r="A5414" s="2" t="s">
        <v>5651</v>
      </c>
      <c r="B5414" s="2" t="s">
        <v>6439</v>
      </c>
      <c r="D5414" s="2" t="s">
        <v>5631</v>
      </c>
      <c r="G5414" s="2"/>
    </row>
    <row r="5415">
      <c r="A5415" s="2" t="s">
        <v>5651</v>
      </c>
      <c r="B5415" s="2" t="s">
        <v>6440</v>
      </c>
      <c r="D5415" s="2" t="s">
        <v>5631</v>
      </c>
      <c r="G5415" s="2"/>
    </row>
    <row r="5416">
      <c r="A5416" s="2" t="s">
        <v>5651</v>
      </c>
      <c r="B5416" s="2" t="s">
        <v>6441</v>
      </c>
      <c r="D5416" s="2" t="s">
        <v>5631</v>
      </c>
      <c r="G5416" s="2"/>
    </row>
    <row r="5417">
      <c r="A5417" s="2" t="s">
        <v>5651</v>
      </c>
      <c r="B5417" s="2" t="s">
        <v>6442</v>
      </c>
      <c r="D5417" s="2" t="s">
        <v>5631</v>
      </c>
      <c r="G5417" s="2"/>
    </row>
    <row r="5418">
      <c r="A5418" s="2" t="s">
        <v>5651</v>
      </c>
      <c r="B5418" s="2" t="s">
        <v>6443</v>
      </c>
      <c r="D5418" s="2" t="s">
        <v>5631</v>
      </c>
      <c r="G5418" s="2"/>
    </row>
    <row r="5419">
      <c r="A5419" s="2" t="s">
        <v>5651</v>
      </c>
      <c r="B5419" s="2" t="s">
        <v>6444</v>
      </c>
      <c r="D5419" s="2" t="s">
        <v>5631</v>
      </c>
      <c r="G5419" s="2"/>
    </row>
    <row r="5420">
      <c r="A5420" s="2" t="s">
        <v>5651</v>
      </c>
      <c r="B5420" s="2" t="s">
        <v>6445</v>
      </c>
      <c r="D5420" s="2" t="s">
        <v>5631</v>
      </c>
      <c r="G5420" s="2"/>
    </row>
    <row r="5421">
      <c r="A5421" s="2" t="s">
        <v>5651</v>
      </c>
      <c r="B5421" s="2" t="s">
        <v>6446</v>
      </c>
      <c r="D5421" s="2" t="s">
        <v>5631</v>
      </c>
      <c r="G5421" s="2"/>
    </row>
    <row r="5422">
      <c r="A5422" s="2" t="s">
        <v>5651</v>
      </c>
      <c r="B5422" s="2" t="s">
        <v>6447</v>
      </c>
      <c r="D5422" s="2" t="s">
        <v>5631</v>
      </c>
      <c r="G5422" s="2"/>
    </row>
    <row r="5423">
      <c r="A5423" s="2" t="s">
        <v>5651</v>
      </c>
      <c r="B5423" s="2" t="s">
        <v>6448</v>
      </c>
      <c r="D5423" s="2" t="s">
        <v>5631</v>
      </c>
      <c r="G5423" s="2"/>
    </row>
    <row r="5424">
      <c r="A5424" s="2" t="s">
        <v>5651</v>
      </c>
      <c r="B5424" s="2" t="s">
        <v>6449</v>
      </c>
      <c r="D5424" s="2" t="s">
        <v>5631</v>
      </c>
      <c r="G5424" s="2"/>
    </row>
    <row r="5425">
      <c r="A5425" s="2" t="s">
        <v>5651</v>
      </c>
      <c r="B5425" s="2" t="s">
        <v>6450</v>
      </c>
      <c r="D5425" s="2" t="s">
        <v>5631</v>
      </c>
      <c r="G5425" s="2"/>
    </row>
    <row r="5426">
      <c r="A5426" s="2" t="s">
        <v>5651</v>
      </c>
      <c r="B5426" s="2" t="s">
        <v>6451</v>
      </c>
      <c r="D5426" s="2" t="s">
        <v>5631</v>
      </c>
      <c r="G5426" s="2"/>
    </row>
    <row r="5427">
      <c r="A5427" s="2" t="s">
        <v>5651</v>
      </c>
      <c r="B5427" s="2" t="s">
        <v>6452</v>
      </c>
      <c r="D5427" s="2" t="s">
        <v>5631</v>
      </c>
      <c r="G5427" s="2"/>
    </row>
    <row r="5428">
      <c r="A5428" s="2" t="s">
        <v>5651</v>
      </c>
      <c r="B5428" s="2" t="s">
        <v>6453</v>
      </c>
      <c r="D5428" s="2" t="s">
        <v>5631</v>
      </c>
      <c r="G5428" s="2"/>
    </row>
    <row r="5429">
      <c r="A5429" s="2" t="s">
        <v>5651</v>
      </c>
      <c r="B5429" s="2" t="s">
        <v>6454</v>
      </c>
      <c r="D5429" s="2" t="s">
        <v>5631</v>
      </c>
      <c r="G5429" s="2"/>
    </row>
    <row r="5430">
      <c r="A5430" s="2" t="s">
        <v>5651</v>
      </c>
      <c r="B5430" s="2" t="s">
        <v>6455</v>
      </c>
      <c r="D5430" s="2" t="s">
        <v>5631</v>
      </c>
      <c r="G5430" s="2"/>
    </row>
    <row r="5431">
      <c r="A5431" s="2" t="s">
        <v>5651</v>
      </c>
      <c r="B5431" s="2" t="s">
        <v>6456</v>
      </c>
      <c r="D5431" s="2" t="s">
        <v>5631</v>
      </c>
      <c r="G5431" s="2"/>
    </row>
    <row r="5432">
      <c r="A5432" s="2" t="s">
        <v>5651</v>
      </c>
      <c r="B5432" s="2" t="s">
        <v>6457</v>
      </c>
      <c r="D5432" s="2" t="s">
        <v>5631</v>
      </c>
      <c r="G5432" s="2"/>
    </row>
    <row r="5433">
      <c r="A5433" s="2" t="s">
        <v>5651</v>
      </c>
      <c r="B5433" s="2" t="s">
        <v>6458</v>
      </c>
      <c r="D5433" s="2" t="s">
        <v>5631</v>
      </c>
      <c r="G5433" s="2"/>
    </row>
    <row r="5434">
      <c r="A5434" s="2" t="s">
        <v>5651</v>
      </c>
      <c r="B5434" s="2" t="s">
        <v>6459</v>
      </c>
      <c r="D5434" s="2" t="s">
        <v>5631</v>
      </c>
      <c r="G5434" s="2"/>
    </row>
    <row r="5435">
      <c r="A5435" s="2" t="s">
        <v>5651</v>
      </c>
      <c r="B5435" s="2" t="s">
        <v>6460</v>
      </c>
      <c r="D5435" s="2" t="s">
        <v>5631</v>
      </c>
      <c r="G5435" s="2"/>
    </row>
    <row r="5436">
      <c r="A5436" s="2" t="s">
        <v>5651</v>
      </c>
      <c r="B5436" s="2" t="s">
        <v>6461</v>
      </c>
      <c r="D5436" s="2" t="s">
        <v>5631</v>
      </c>
      <c r="G5436" s="2"/>
    </row>
    <row r="5437">
      <c r="A5437" s="2" t="s">
        <v>5651</v>
      </c>
      <c r="B5437" s="2" t="s">
        <v>6462</v>
      </c>
      <c r="D5437" s="2" t="s">
        <v>5631</v>
      </c>
      <c r="G5437" s="2"/>
    </row>
    <row r="5438">
      <c r="A5438" s="2" t="s">
        <v>5651</v>
      </c>
      <c r="B5438" s="2" t="s">
        <v>6463</v>
      </c>
      <c r="D5438" s="2" t="s">
        <v>5631</v>
      </c>
      <c r="G5438" s="2"/>
    </row>
    <row r="5439">
      <c r="A5439" s="2" t="s">
        <v>5651</v>
      </c>
      <c r="B5439" s="2" t="s">
        <v>6464</v>
      </c>
      <c r="D5439" s="2" t="s">
        <v>5631</v>
      </c>
      <c r="G5439" s="2"/>
    </row>
    <row r="5440">
      <c r="A5440" s="2" t="s">
        <v>5651</v>
      </c>
      <c r="B5440" s="2" t="s">
        <v>6465</v>
      </c>
      <c r="D5440" s="2" t="s">
        <v>5631</v>
      </c>
      <c r="G5440" s="2"/>
    </row>
    <row r="5441">
      <c r="A5441" s="2" t="s">
        <v>5651</v>
      </c>
      <c r="B5441" s="2" t="s">
        <v>6466</v>
      </c>
      <c r="D5441" s="2" t="s">
        <v>5631</v>
      </c>
      <c r="G5441" s="2"/>
    </row>
    <row r="5442">
      <c r="A5442" s="2" t="s">
        <v>5651</v>
      </c>
      <c r="B5442" s="2" t="s">
        <v>6467</v>
      </c>
      <c r="D5442" s="2" t="s">
        <v>5631</v>
      </c>
      <c r="G5442" s="2"/>
    </row>
    <row r="5443">
      <c r="A5443" s="2" t="s">
        <v>5651</v>
      </c>
      <c r="B5443" s="2" t="s">
        <v>6469</v>
      </c>
      <c r="D5443" s="2" t="s">
        <v>5631</v>
      </c>
      <c r="G5443" s="2"/>
    </row>
    <row r="5444">
      <c r="A5444" s="2" t="s">
        <v>5651</v>
      </c>
      <c r="B5444" s="2" t="s">
        <v>6470</v>
      </c>
      <c r="D5444" s="2" t="s">
        <v>5631</v>
      </c>
      <c r="G5444" s="2"/>
    </row>
    <row r="5445">
      <c r="A5445" s="2" t="s">
        <v>5651</v>
      </c>
      <c r="B5445" s="2" t="s">
        <v>6471</v>
      </c>
      <c r="D5445" s="2" t="s">
        <v>5631</v>
      </c>
      <c r="G5445" s="2"/>
    </row>
    <row r="5446">
      <c r="A5446" s="2" t="s">
        <v>5651</v>
      </c>
      <c r="B5446" s="2" t="s">
        <v>6472</v>
      </c>
      <c r="D5446" s="2" t="s">
        <v>5631</v>
      </c>
      <c r="G5446" s="2"/>
    </row>
    <row r="5447">
      <c r="A5447" s="2" t="s">
        <v>5651</v>
      </c>
      <c r="B5447" s="2" t="s">
        <v>6473</v>
      </c>
      <c r="D5447" s="2" t="s">
        <v>5631</v>
      </c>
      <c r="G5447" s="2"/>
    </row>
    <row r="5448">
      <c r="A5448" s="2" t="s">
        <v>5651</v>
      </c>
      <c r="B5448" s="2" t="s">
        <v>6474</v>
      </c>
      <c r="D5448" s="2" t="s">
        <v>5631</v>
      </c>
      <c r="G5448" s="2"/>
    </row>
    <row r="5449">
      <c r="A5449" s="2" t="s">
        <v>5651</v>
      </c>
      <c r="B5449" s="2" t="s">
        <v>6475</v>
      </c>
      <c r="D5449" s="2" t="s">
        <v>5631</v>
      </c>
      <c r="G5449" s="2"/>
    </row>
    <row r="5450">
      <c r="A5450" s="2" t="s">
        <v>5651</v>
      </c>
      <c r="B5450" s="2" t="s">
        <v>6476</v>
      </c>
      <c r="D5450" s="2" t="s">
        <v>5631</v>
      </c>
      <c r="G5450" s="2"/>
    </row>
    <row r="5451">
      <c r="A5451" s="2" t="s">
        <v>5651</v>
      </c>
      <c r="B5451" s="2" t="s">
        <v>6477</v>
      </c>
      <c r="D5451" s="2" t="s">
        <v>5631</v>
      </c>
      <c r="G5451" s="2"/>
    </row>
    <row r="5452">
      <c r="A5452" s="2" t="s">
        <v>5651</v>
      </c>
      <c r="B5452" s="2" t="s">
        <v>6478</v>
      </c>
      <c r="D5452" s="2" t="s">
        <v>5631</v>
      </c>
      <c r="G5452" s="2"/>
    </row>
    <row r="5453">
      <c r="A5453" s="2" t="s">
        <v>5651</v>
      </c>
      <c r="B5453" s="2" t="s">
        <v>6479</v>
      </c>
      <c r="D5453" s="2" t="s">
        <v>5631</v>
      </c>
      <c r="G5453" s="2"/>
    </row>
    <row r="5454">
      <c r="A5454" s="2" t="s">
        <v>5651</v>
      </c>
      <c r="B5454" s="2" t="s">
        <v>6480</v>
      </c>
      <c r="D5454" s="2" t="s">
        <v>5631</v>
      </c>
      <c r="G5454" s="2"/>
    </row>
    <row r="5455">
      <c r="A5455" s="2" t="s">
        <v>5651</v>
      </c>
      <c r="B5455" s="2" t="s">
        <v>6481</v>
      </c>
      <c r="D5455" s="2" t="s">
        <v>5631</v>
      </c>
      <c r="G5455" s="2"/>
    </row>
    <row r="5456">
      <c r="A5456" s="2" t="s">
        <v>5651</v>
      </c>
      <c r="B5456" s="2" t="s">
        <v>6482</v>
      </c>
      <c r="D5456" s="2" t="s">
        <v>5631</v>
      </c>
      <c r="G5456" s="2"/>
    </row>
    <row r="5457">
      <c r="A5457" s="2" t="s">
        <v>5651</v>
      </c>
      <c r="B5457" s="2" t="s">
        <v>6483</v>
      </c>
      <c r="D5457" s="2" t="s">
        <v>5631</v>
      </c>
      <c r="G5457" s="2"/>
    </row>
    <row r="5458">
      <c r="A5458" s="2" t="s">
        <v>5651</v>
      </c>
      <c r="B5458" s="2" t="s">
        <v>6484</v>
      </c>
      <c r="D5458" s="2" t="s">
        <v>5631</v>
      </c>
      <c r="G5458" s="2"/>
    </row>
    <row r="5459">
      <c r="A5459" s="2" t="s">
        <v>5651</v>
      </c>
      <c r="B5459" s="2" t="s">
        <v>6485</v>
      </c>
      <c r="D5459" s="2" t="s">
        <v>5631</v>
      </c>
      <c r="G5459" s="2"/>
    </row>
    <row r="5460">
      <c r="A5460" s="2" t="s">
        <v>5651</v>
      </c>
      <c r="B5460" s="2" t="s">
        <v>6486</v>
      </c>
      <c r="D5460" s="2" t="s">
        <v>5631</v>
      </c>
      <c r="G5460" s="2"/>
    </row>
    <row r="5461">
      <c r="A5461" s="2" t="s">
        <v>5651</v>
      </c>
      <c r="B5461" s="2" t="s">
        <v>6487</v>
      </c>
      <c r="D5461" s="2" t="s">
        <v>5631</v>
      </c>
      <c r="G5461" s="2"/>
    </row>
    <row r="5462">
      <c r="A5462" s="2" t="s">
        <v>5651</v>
      </c>
      <c r="B5462" s="2" t="s">
        <v>6489</v>
      </c>
      <c r="D5462" s="2" t="s">
        <v>5631</v>
      </c>
      <c r="G5462" s="2"/>
    </row>
    <row r="5463">
      <c r="A5463" s="2" t="s">
        <v>5651</v>
      </c>
      <c r="B5463" s="2" t="s">
        <v>6490</v>
      </c>
      <c r="D5463" s="2" t="s">
        <v>5631</v>
      </c>
      <c r="G5463" s="2"/>
    </row>
    <row r="5464">
      <c r="A5464" s="2" t="s">
        <v>5651</v>
      </c>
      <c r="B5464" s="2" t="s">
        <v>6491</v>
      </c>
      <c r="D5464" s="2" t="s">
        <v>5631</v>
      </c>
      <c r="G5464" s="2"/>
    </row>
    <row r="5465">
      <c r="A5465" s="2" t="s">
        <v>5651</v>
      </c>
      <c r="B5465" s="2" t="s">
        <v>6492</v>
      </c>
      <c r="D5465" s="2" t="s">
        <v>5631</v>
      </c>
      <c r="G5465" s="2"/>
    </row>
    <row r="5466">
      <c r="A5466" s="2" t="s">
        <v>5651</v>
      </c>
      <c r="B5466" s="2" t="s">
        <v>6493</v>
      </c>
      <c r="D5466" s="2" t="s">
        <v>5631</v>
      </c>
      <c r="G5466" s="2"/>
    </row>
    <row r="5467">
      <c r="A5467" s="2" t="s">
        <v>5651</v>
      </c>
      <c r="B5467" s="2" t="s">
        <v>6494</v>
      </c>
      <c r="D5467" s="2" t="s">
        <v>5631</v>
      </c>
      <c r="G5467" s="2"/>
    </row>
    <row r="5468">
      <c r="A5468" s="2" t="s">
        <v>5651</v>
      </c>
      <c r="B5468" s="2" t="s">
        <v>6495</v>
      </c>
      <c r="D5468" s="2" t="s">
        <v>5631</v>
      </c>
      <c r="G5468" s="2"/>
    </row>
    <row r="5469">
      <c r="A5469" s="2" t="s">
        <v>5651</v>
      </c>
      <c r="B5469" s="2" t="s">
        <v>6496</v>
      </c>
      <c r="D5469" s="2" t="s">
        <v>5631</v>
      </c>
      <c r="G5469" s="2"/>
    </row>
    <row r="5470">
      <c r="A5470" s="2" t="s">
        <v>5651</v>
      </c>
      <c r="B5470" s="2" t="s">
        <v>6498</v>
      </c>
      <c r="D5470" s="2" t="s">
        <v>5631</v>
      </c>
      <c r="G5470" s="2"/>
    </row>
    <row r="5471">
      <c r="A5471" s="2" t="s">
        <v>5651</v>
      </c>
      <c r="B5471" s="2" t="s">
        <v>6499</v>
      </c>
      <c r="D5471" s="2" t="s">
        <v>5631</v>
      </c>
      <c r="G5471" s="2"/>
    </row>
    <row r="5472">
      <c r="A5472" s="2" t="s">
        <v>5651</v>
      </c>
      <c r="B5472" s="2" t="s">
        <v>6500</v>
      </c>
      <c r="D5472" s="2" t="s">
        <v>5631</v>
      </c>
      <c r="G5472" s="2"/>
    </row>
    <row r="5473">
      <c r="A5473" s="2" t="s">
        <v>5651</v>
      </c>
      <c r="B5473" s="2" t="s">
        <v>6501</v>
      </c>
      <c r="D5473" s="2" t="s">
        <v>5631</v>
      </c>
      <c r="G5473" s="2"/>
    </row>
    <row r="5474">
      <c r="A5474" s="2" t="s">
        <v>5651</v>
      </c>
      <c r="B5474" s="2" t="s">
        <v>6502</v>
      </c>
      <c r="D5474" s="2" t="s">
        <v>5631</v>
      </c>
      <c r="G5474" s="2"/>
    </row>
    <row r="5475">
      <c r="A5475" s="2" t="s">
        <v>5651</v>
      </c>
      <c r="B5475" s="2" t="s">
        <v>6503</v>
      </c>
      <c r="D5475" s="2" t="s">
        <v>5631</v>
      </c>
      <c r="G5475" s="2"/>
    </row>
    <row r="5476">
      <c r="A5476" s="2" t="s">
        <v>5651</v>
      </c>
      <c r="B5476" s="2" t="s">
        <v>6504</v>
      </c>
      <c r="D5476" s="2" t="s">
        <v>5631</v>
      </c>
      <c r="G5476" s="2"/>
    </row>
    <row r="5477">
      <c r="A5477" s="2" t="s">
        <v>5651</v>
      </c>
      <c r="B5477" s="2" t="s">
        <v>6505</v>
      </c>
      <c r="D5477" s="2" t="s">
        <v>5631</v>
      </c>
      <c r="G5477" s="2"/>
    </row>
    <row r="5478">
      <c r="A5478" s="2" t="s">
        <v>5651</v>
      </c>
      <c r="B5478" s="2" t="s">
        <v>6506</v>
      </c>
      <c r="D5478" s="2" t="s">
        <v>5631</v>
      </c>
      <c r="G5478" s="2"/>
    </row>
    <row r="5479">
      <c r="A5479" s="2" t="s">
        <v>5651</v>
      </c>
      <c r="B5479" s="2" t="s">
        <v>6507</v>
      </c>
      <c r="D5479" s="2" t="s">
        <v>5631</v>
      </c>
      <c r="G5479" s="2"/>
    </row>
    <row r="5480">
      <c r="A5480" s="2" t="s">
        <v>5651</v>
      </c>
      <c r="B5480" s="2" t="s">
        <v>6509</v>
      </c>
      <c r="D5480" s="2" t="s">
        <v>5631</v>
      </c>
      <c r="G5480" s="2"/>
    </row>
    <row r="5481">
      <c r="A5481" s="2" t="s">
        <v>5651</v>
      </c>
      <c r="B5481" s="2" t="s">
        <v>6510</v>
      </c>
      <c r="D5481" s="2" t="s">
        <v>5631</v>
      </c>
      <c r="G5481" s="2"/>
    </row>
    <row r="5482">
      <c r="A5482" s="2" t="s">
        <v>5651</v>
      </c>
      <c r="B5482" s="2" t="s">
        <v>6511</v>
      </c>
      <c r="D5482" s="2" t="s">
        <v>5631</v>
      </c>
      <c r="G5482" s="2"/>
    </row>
    <row r="5483">
      <c r="A5483" s="2" t="s">
        <v>5651</v>
      </c>
      <c r="B5483" s="2" t="s">
        <v>6512</v>
      </c>
      <c r="D5483" s="2" t="s">
        <v>5631</v>
      </c>
      <c r="G5483" s="2"/>
    </row>
    <row r="5484">
      <c r="A5484" s="2" t="s">
        <v>5651</v>
      </c>
      <c r="B5484" s="2" t="s">
        <v>6513</v>
      </c>
      <c r="D5484" s="2" t="s">
        <v>5631</v>
      </c>
      <c r="G5484" s="2"/>
    </row>
    <row r="5485">
      <c r="A5485" s="2" t="s">
        <v>5651</v>
      </c>
      <c r="B5485" s="2" t="s">
        <v>6514</v>
      </c>
      <c r="D5485" s="2" t="s">
        <v>5631</v>
      </c>
      <c r="G5485" s="2"/>
    </row>
    <row r="5486">
      <c r="A5486" s="2" t="s">
        <v>5651</v>
      </c>
      <c r="B5486" s="2" t="s">
        <v>6515</v>
      </c>
      <c r="D5486" s="2" t="s">
        <v>5631</v>
      </c>
      <c r="G5486" s="2"/>
    </row>
    <row r="5487">
      <c r="A5487" s="2" t="s">
        <v>5651</v>
      </c>
      <c r="B5487" s="2" t="s">
        <v>6516</v>
      </c>
      <c r="D5487" s="2" t="s">
        <v>5631</v>
      </c>
      <c r="G5487" s="2"/>
    </row>
    <row r="5488">
      <c r="A5488" s="2" t="s">
        <v>5651</v>
      </c>
      <c r="B5488" s="2" t="s">
        <v>6517</v>
      </c>
      <c r="D5488" s="2" t="s">
        <v>5631</v>
      </c>
      <c r="G5488" s="2"/>
    </row>
    <row r="5489">
      <c r="A5489" s="2" t="s">
        <v>5651</v>
      </c>
      <c r="B5489" s="2" t="s">
        <v>6518</v>
      </c>
      <c r="D5489" s="2" t="s">
        <v>5631</v>
      </c>
      <c r="G5489" s="2"/>
    </row>
    <row r="5490">
      <c r="A5490" s="2" t="s">
        <v>5651</v>
      </c>
      <c r="B5490" s="2" t="s">
        <v>6519</v>
      </c>
      <c r="D5490" s="2" t="s">
        <v>5631</v>
      </c>
      <c r="G5490" s="2"/>
    </row>
    <row r="5491">
      <c r="A5491" s="2" t="s">
        <v>5651</v>
      </c>
      <c r="B5491" s="2" t="s">
        <v>6520</v>
      </c>
      <c r="D5491" s="2" t="s">
        <v>5631</v>
      </c>
      <c r="G5491" s="2"/>
    </row>
    <row r="5492">
      <c r="A5492" s="2" t="s">
        <v>5651</v>
      </c>
      <c r="B5492" s="2" t="s">
        <v>6521</v>
      </c>
      <c r="D5492" s="2" t="s">
        <v>5631</v>
      </c>
      <c r="G5492" s="2"/>
    </row>
    <row r="5493">
      <c r="A5493" s="2" t="s">
        <v>5651</v>
      </c>
      <c r="B5493" s="2" t="s">
        <v>6522</v>
      </c>
      <c r="D5493" s="2" t="s">
        <v>5631</v>
      </c>
      <c r="G5493" s="2"/>
    </row>
    <row r="5494">
      <c r="A5494" s="2" t="s">
        <v>5651</v>
      </c>
      <c r="B5494" s="2" t="s">
        <v>6524</v>
      </c>
      <c r="D5494" s="2" t="s">
        <v>5631</v>
      </c>
      <c r="G5494" s="2"/>
    </row>
    <row r="5495">
      <c r="A5495" s="2" t="s">
        <v>5651</v>
      </c>
      <c r="B5495" s="2" t="s">
        <v>6525</v>
      </c>
      <c r="D5495" s="2" t="s">
        <v>5631</v>
      </c>
      <c r="G5495" s="2"/>
    </row>
    <row r="5496">
      <c r="A5496" s="2" t="s">
        <v>5651</v>
      </c>
      <c r="B5496" s="2" t="s">
        <v>6526</v>
      </c>
      <c r="D5496" s="2" t="s">
        <v>5631</v>
      </c>
      <c r="G5496" s="2"/>
    </row>
    <row r="5497">
      <c r="A5497" s="2" t="s">
        <v>5651</v>
      </c>
      <c r="B5497" s="2" t="s">
        <v>6527</v>
      </c>
      <c r="D5497" s="2" t="s">
        <v>5631</v>
      </c>
      <c r="G5497" s="2"/>
    </row>
    <row r="5498">
      <c r="A5498" s="2" t="s">
        <v>5651</v>
      </c>
      <c r="B5498" s="2" t="s">
        <v>6528</v>
      </c>
      <c r="D5498" s="2" t="s">
        <v>5631</v>
      </c>
      <c r="G5498" s="2"/>
    </row>
    <row r="5499">
      <c r="A5499" s="2" t="s">
        <v>5651</v>
      </c>
      <c r="B5499" s="2" t="s">
        <v>6529</v>
      </c>
      <c r="D5499" s="2" t="s">
        <v>5631</v>
      </c>
      <c r="G5499" s="2"/>
    </row>
    <row r="5500">
      <c r="A5500" s="2" t="s">
        <v>5651</v>
      </c>
      <c r="B5500" s="2" t="s">
        <v>6530</v>
      </c>
      <c r="D5500" s="2" t="s">
        <v>5631</v>
      </c>
      <c r="G5500" s="2"/>
    </row>
    <row r="5501">
      <c r="A5501" s="2" t="s">
        <v>5651</v>
      </c>
      <c r="B5501" s="2" t="s">
        <v>6531</v>
      </c>
      <c r="D5501" s="2" t="s">
        <v>5631</v>
      </c>
      <c r="G5501" s="2"/>
    </row>
    <row r="5502">
      <c r="A5502" s="2" t="s">
        <v>5651</v>
      </c>
      <c r="B5502" s="2" t="s">
        <v>6532</v>
      </c>
      <c r="D5502" s="2" t="s">
        <v>5631</v>
      </c>
      <c r="G5502" s="2"/>
    </row>
    <row r="5503">
      <c r="A5503" s="2" t="s">
        <v>5651</v>
      </c>
      <c r="B5503" s="2" t="s">
        <v>6533</v>
      </c>
      <c r="D5503" s="2" t="s">
        <v>5631</v>
      </c>
      <c r="G5503" s="2"/>
    </row>
    <row r="5504">
      <c r="A5504" s="2" t="s">
        <v>5651</v>
      </c>
      <c r="B5504" s="2" t="s">
        <v>6534</v>
      </c>
      <c r="D5504" s="2" t="s">
        <v>5631</v>
      </c>
      <c r="G5504" s="2"/>
    </row>
    <row r="5505">
      <c r="A5505" s="2" t="s">
        <v>5651</v>
      </c>
      <c r="B5505" s="2" t="s">
        <v>6535</v>
      </c>
      <c r="D5505" s="2" t="s">
        <v>5631</v>
      </c>
      <c r="G5505" s="2"/>
    </row>
    <row r="5506">
      <c r="A5506" s="2" t="s">
        <v>5651</v>
      </c>
      <c r="B5506" s="2" t="s">
        <v>6536</v>
      </c>
      <c r="D5506" s="2" t="s">
        <v>5631</v>
      </c>
      <c r="G5506" s="2"/>
    </row>
    <row r="5507">
      <c r="A5507" s="2" t="s">
        <v>5651</v>
      </c>
      <c r="B5507" s="2" t="s">
        <v>6537</v>
      </c>
      <c r="D5507" s="2" t="s">
        <v>5631</v>
      </c>
      <c r="G5507" s="2"/>
    </row>
    <row r="5508">
      <c r="A5508" s="2" t="s">
        <v>5651</v>
      </c>
      <c r="B5508" s="2" t="s">
        <v>6538</v>
      </c>
      <c r="D5508" s="2" t="s">
        <v>5631</v>
      </c>
      <c r="G5508" s="2"/>
    </row>
    <row r="5509">
      <c r="A5509" s="2" t="s">
        <v>5651</v>
      </c>
      <c r="B5509" s="2" t="s">
        <v>6539</v>
      </c>
      <c r="D5509" s="2" t="s">
        <v>5631</v>
      </c>
      <c r="G5509" s="2"/>
    </row>
    <row r="5510">
      <c r="A5510" s="2" t="s">
        <v>5651</v>
      </c>
      <c r="B5510" s="2" t="s">
        <v>6540</v>
      </c>
      <c r="D5510" s="2" t="s">
        <v>5631</v>
      </c>
      <c r="G5510" s="2"/>
    </row>
    <row r="5511">
      <c r="A5511" s="2" t="s">
        <v>5651</v>
      </c>
      <c r="B5511" s="2" t="s">
        <v>6542</v>
      </c>
      <c r="D5511" s="2" t="s">
        <v>5631</v>
      </c>
      <c r="G5511" s="2"/>
    </row>
    <row r="5512">
      <c r="A5512" s="2" t="s">
        <v>5651</v>
      </c>
      <c r="B5512" s="2" t="s">
        <v>6543</v>
      </c>
      <c r="D5512" s="2" t="s">
        <v>5631</v>
      </c>
      <c r="G5512" s="2"/>
    </row>
    <row r="5513">
      <c r="A5513" s="2" t="s">
        <v>5651</v>
      </c>
      <c r="B5513" s="2" t="s">
        <v>6544</v>
      </c>
      <c r="D5513" s="2" t="s">
        <v>5631</v>
      </c>
      <c r="G5513" s="2"/>
    </row>
    <row r="5514">
      <c r="A5514" s="2" t="s">
        <v>5651</v>
      </c>
      <c r="B5514" s="2" t="s">
        <v>6545</v>
      </c>
      <c r="D5514" s="2" t="s">
        <v>5631</v>
      </c>
      <c r="G5514" s="2"/>
    </row>
    <row r="5515">
      <c r="A5515" s="2" t="s">
        <v>5651</v>
      </c>
      <c r="B5515" s="2" t="s">
        <v>6546</v>
      </c>
      <c r="D5515" s="2" t="s">
        <v>5631</v>
      </c>
      <c r="G5515" s="2"/>
    </row>
    <row r="5516">
      <c r="A5516" s="2" t="s">
        <v>5651</v>
      </c>
      <c r="B5516" s="2" t="s">
        <v>6547</v>
      </c>
      <c r="D5516" s="2" t="s">
        <v>5631</v>
      </c>
      <c r="G5516" s="2"/>
    </row>
    <row r="5517">
      <c r="A5517" s="2" t="s">
        <v>5651</v>
      </c>
      <c r="B5517" s="2" t="s">
        <v>6548</v>
      </c>
      <c r="D5517" s="2" t="s">
        <v>5631</v>
      </c>
      <c r="G5517" s="2"/>
    </row>
    <row r="5518">
      <c r="A5518" s="2" t="s">
        <v>5651</v>
      </c>
      <c r="B5518" s="2" t="s">
        <v>6549</v>
      </c>
      <c r="D5518" s="2" t="s">
        <v>5631</v>
      </c>
      <c r="G5518" s="2"/>
    </row>
    <row r="5519">
      <c r="A5519" s="2" t="s">
        <v>5651</v>
      </c>
      <c r="B5519" s="2" t="s">
        <v>6550</v>
      </c>
      <c r="D5519" s="2" t="s">
        <v>5631</v>
      </c>
      <c r="G5519" s="2"/>
    </row>
    <row r="5520">
      <c r="A5520" s="2" t="s">
        <v>5651</v>
      </c>
      <c r="B5520" s="2" t="s">
        <v>6551</v>
      </c>
      <c r="D5520" s="2" t="s">
        <v>5631</v>
      </c>
      <c r="G5520" s="2"/>
    </row>
    <row r="5521">
      <c r="A5521" s="2" t="s">
        <v>5651</v>
      </c>
      <c r="B5521" s="2" t="s">
        <v>6552</v>
      </c>
      <c r="D5521" s="2" t="s">
        <v>5631</v>
      </c>
      <c r="G5521" s="2"/>
    </row>
    <row r="5522">
      <c r="A5522" s="2" t="s">
        <v>5651</v>
      </c>
      <c r="B5522" s="2" t="s">
        <v>6553</v>
      </c>
      <c r="D5522" s="2" t="s">
        <v>5631</v>
      </c>
      <c r="G5522" s="2"/>
    </row>
    <row r="5523">
      <c r="A5523" s="2" t="s">
        <v>5651</v>
      </c>
      <c r="B5523" s="2" t="s">
        <v>6554</v>
      </c>
      <c r="D5523" s="2" t="s">
        <v>5631</v>
      </c>
      <c r="G5523" s="2"/>
    </row>
    <row r="5524">
      <c r="A5524" s="2" t="s">
        <v>5651</v>
      </c>
      <c r="B5524" s="2" t="s">
        <v>6555</v>
      </c>
      <c r="D5524" s="2" t="s">
        <v>5631</v>
      </c>
      <c r="G5524" s="2"/>
    </row>
    <row r="5525">
      <c r="A5525" s="2" t="s">
        <v>5651</v>
      </c>
      <c r="B5525" s="2" t="s">
        <v>6556</v>
      </c>
      <c r="D5525" s="2" t="s">
        <v>5631</v>
      </c>
      <c r="G5525" s="2"/>
    </row>
    <row r="5526">
      <c r="A5526" s="2" t="s">
        <v>5651</v>
      </c>
      <c r="B5526" s="2" t="s">
        <v>6557</v>
      </c>
      <c r="D5526" s="2" t="s">
        <v>5631</v>
      </c>
      <c r="G5526" s="2"/>
    </row>
    <row r="5527">
      <c r="A5527" s="2" t="s">
        <v>5651</v>
      </c>
      <c r="B5527" s="2" t="s">
        <v>6558</v>
      </c>
      <c r="D5527" s="2" t="s">
        <v>5631</v>
      </c>
      <c r="G5527" s="2"/>
    </row>
    <row r="5528">
      <c r="A5528" s="2" t="s">
        <v>5651</v>
      </c>
      <c r="B5528" s="2" t="s">
        <v>6559</v>
      </c>
      <c r="D5528" s="2" t="s">
        <v>5631</v>
      </c>
      <c r="G5528" s="2"/>
    </row>
    <row r="5529">
      <c r="A5529" s="2" t="s">
        <v>5651</v>
      </c>
      <c r="B5529" s="2" t="s">
        <v>6560</v>
      </c>
      <c r="D5529" s="2" t="s">
        <v>5631</v>
      </c>
      <c r="G5529" s="2"/>
    </row>
    <row r="5530">
      <c r="A5530" s="2" t="s">
        <v>5651</v>
      </c>
      <c r="B5530" s="2" t="s">
        <v>6562</v>
      </c>
      <c r="D5530" s="2" t="s">
        <v>5631</v>
      </c>
      <c r="G5530" s="2"/>
    </row>
    <row r="5531">
      <c r="A5531" s="2" t="s">
        <v>5651</v>
      </c>
      <c r="B5531" s="2" t="s">
        <v>6563</v>
      </c>
      <c r="D5531" s="2" t="s">
        <v>5631</v>
      </c>
      <c r="G5531" s="2"/>
    </row>
    <row r="5532">
      <c r="A5532" s="2" t="s">
        <v>5651</v>
      </c>
      <c r="B5532" s="2" t="s">
        <v>6564</v>
      </c>
      <c r="D5532" s="2" t="s">
        <v>5631</v>
      </c>
      <c r="G5532" s="2"/>
    </row>
    <row r="5533">
      <c r="A5533" s="2" t="s">
        <v>5651</v>
      </c>
      <c r="B5533" s="2" t="s">
        <v>6565</v>
      </c>
      <c r="D5533" s="2" t="s">
        <v>5631</v>
      </c>
      <c r="G5533" s="2"/>
    </row>
    <row r="5534">
      <c r="A5534" s="2" t="s">
        <v>5651</v>
      </c>
      <c r="B5534" s="2" t="s">
        <v>6566</v>
      </c>
      <c r="D5534" s="2" t="s">
        <v>5631</v>
      </c>
      <c r="G5534" s="2"/>
    </row>
    <row r="5535">
      <c r="A5535" s="2" t="s">
        <v>5651</v>
      </c>
      <c r="B5535" s="2" t="s">
        <v>6567</v>
      </c>
      <c r="D5535" s="2" t="s">
        <v>5631</v>
      </c>
      <c r="G5535" s="2"/>
    </row>
    <row r="5536">
      <c r="A5536" s="2" t="s">
        <v>5651</v>
      </c>
      <c r="B5536" s="2" t="s">
        <v>6568</v>
      </c>
      <c r="D5536" s="2" t="s">
        <v>5631</v>
      </c>
      <c r="G5536" s="2"/>
    </row>
    <row r="5537">
      <c r="A5537" s="2" t="s">
        <v>5651</v>
      </c>
      <c r="B5537" s="2" t="s">
        <v>6569</v>
      </c>
      <c r="D5537" s="2" t="s">
        <v>5631</v>
      </c>
      <c r="G5537" s="2"/>
    </row>
    <row r="5538">
      <c r="A5538" s="2" t="s">
        <v>5651</v>
      </c>
      <c r="B5538" s="2" t="s">
        <v>6570</v>
      </c>
      <c r="D5538" s="2" t="s">
        <v>5631</v>
      </c>
      <c r="G5538" s="2"/>
    </row>
    <row r="5539">
      <c r="A5539" s="2" t="s">
        <v>5651</v>
      </c>
      <c r="B5539" s="2" t="s">
        <v>6571</v>
      </c>
      <c r="D5539" s="2" t="s">
        <v>5631</v>
      </c>
      <c r="G5539" s="2"/>
    </row>
    <row r="5540">
      <c r="A5540" s="2" t="s">
        <v>5651</v>
      </c>
      <c r="B5540" s="2" t="s">
        <v>6572</v>
      </c>
      <c r="D5540" s="2" t="s">
        <v>5631</v>
      </c>
      <c r="G5540" s="2"/>
    </row>
    <row r="5541">
      <c r="A5541" s="2" t="s">
        <v>5651</v>
      </c>
      <c r="B5541" s="2" t="s">
        <v>6573</v>
      </c>
      <c r="D5541" s="2" t="s">
        <v>5631</v>
      </c>
      <c r="G5541" s="2"/>
    </row>
    <row r="5542">
      <c r="A5542" s="2" t="s">
        <v>5651</v>
      </c>
      <c r="B5542" s="2" t="s">
        <v>6574</v>
      </c>
      <c r="D5542" s="2" t="s">
        <v>5631</v>
      </c>
      <c r="G5542" s="2"/>
    </row>
    <row r="5543">
      <c r="A5543" s="2" t="s">
        <v>5651</v>
      </c>
      <c r="B5543" s="2" t="s">
        <v>6575</v>
      </c>
      <c r="D5543" s="2" t="s">
        <v>5631</v>
      </c>
      <c r="G5543" s="2"/>
    </row>
    <row r="5544">
      <c r="A5544" s="2" t="s">
        <v>5651</v>
      </c>
      <c r="B5544" s="2" t="s">
        <v>6576</v>
      </c>
      <c r="D5544" s="2" t="s">
        <v>5631</v>
      </c>
      <c r="G5544" s="2"/>
    </row>
    <row r="5545">
      <c r="A5545" s="2" t="s">
        <v>5651</v>
      </c>
      <c r="B5545" s="2" t="s">
        <v>6577</v>
      </c>
      <c r="D5545" s="2" t="s">
        <v>5631</v>
      </c>
      <c r="G5545" s="2"/>
    </row>
    <row r="5546">
      <c r="A5546" s="2" t="s">
        <v>5651</v>
      </c>
      <c r="B5546" s="2" t="s">
        <v>6578</v>
      </c>
      <c r="D5546" s="2" t="s">
        <v>5631</v>
      </c>
      <c r="G5546" s="2"/>
    </row>
    <row r="5547">
      <c r="A5547" s="2" t="s">
        <v>5651</v>
      </c>
      <c r="B5547" s="2" t="s">
        <v>6579</v>
      </c>
      <c r="D5547" s="2" t="s">
        <v>5631</v>
      </c>
      <c r="G5547" s="2"/>
    </row>
    <row r="5548">
      <c r="A5548" s="2" t="s">
        <v>5651</v>
      </c>
      <c r="B5548" s="2" t="s">
        <v>6580</v>
      </c>
      <c r="D5548" s="2" t="s">
        <v>5631</v>
      </c>
      <c r="G5548" s="2"/>
    </row>
    <row r="5549">
      <c r="A5549" s="2" t="s">
        <v>5651</v>
      </c>
      <c r="B5549" s="2" t="s">
        <v>6581</v>
      </c>
      <c r="D5549" s="2" t="s">
        <v>5631</v>
      </c>
      <c r="G5549" s="2"/>
    </row>
    <row r="5550">
      <c r="A5550" s="2" t="s">
        <v>5651</v>
      </c>
      <c r="B5550" s="2" t="s">
        <v>6582</v>
      </c>
      <c r="D5550" s="2" t="s">
        <v>5631</v>
      </c>
      <c r="G5550" s="2"/>
    </row>
    <row r="5551">
      <c r="A5551" s="2" t="s">
        <v>5651</v>
      </c>
      <c r="B5551" s="2" t="s">
        <v>6583</v>
      </c>
      <c r="D5551" s="2" t="s">
        <v>5631</v>
      </c>
      <c r="G5551" s="2"/>
    </row>
    <row r="5552">
      <c r="A5552" s="2" t="s">
        <v>5651</v>
      </c>
      <c r="B5552" s="2" t="s">
        <v>6584</v>
      </c>
      <c r="D5552" s="2" t="s">
        <v>5631</v>
      </c>
      <c r="G5552" s="2"/>
    </row>
    <row r="5553">
      <c r="A5553" s="2" t="s">
        <v>5651</v>
      </c>
      <c r="B5553" s="2" t="s">
        <v>6585</v>
      </c>
      <c r="D5553" s="2" t="s">
        <v>5631</v>
      </c>
      <c r="G5553" s="2"/>
    </row>
    <row r="5554">
      <c r="A5554" s="2" t="s">
        <v>5651</v>
      </c>
      <c r="B5554" s="2" t="s">
        <v>6586</v>
      </c>
      <c r="D5554" s="2" t="s">
        <v>5631</v>
      </c>
      <c r="G5554" s="2"/>
    </row>
    <row r="5555">
      <c r="A5555" s="2" t="s">
        <v>5651</v>
      </c>
      <c r="B5555" s="2" t="s">
        <v>6587</v>
      </c>
      <c r="D5555" s="2" t="s">
        <v>5631</v>
      </c>
      <c r="G5555" s="2"/>
    </row>
    <row r="5556">
      <c r="A5556" s="2" t="s">
        <v>5651</v>
      </c>
      <c r="B5556" s="2" t="s">
        <v>6588</v>
      </c>
      <c r="D5556" s="2" t="s">
        <v>5631</v>
      </c>
      <c r="G5556" s="2"/>
    </row>
    <row r="5557">
      <c r="A5557" s="2" t="s">
        <v>5651</v>
      </c>
      <c r="B5557" s="2" t="s">
        <v>6589</v>
      </c>
      <c r="D5557" s="2" t="s">
        <v>5631</v>
      </c>
      <c r="G5557" s="2"/>
    </row>
    <row r="5558">
      <c r="A5558" s="2" t="s">
        <v>5651</v>
      </c>
      <c r="B5558" s="2" t="s">
        <v>6590</v>
      </c>
      <c r="D5558" s="2" t="s">
        <v>5631</v>
      </c>
      <c r="G5558" s="2"/>
    </row>
    <row r="5559">
      <c r="A5559" s="2" t="s">
        <v>5651</v>
      </c>
      <c r="B5559" s="2" t="s">
        <v>6591</v>
      </c>
      <c r="D5559" s="2" t="s">
        <v>5631</v>
      </c>
      <c r="G5559" s="2"/>
    </row>
    <row r="5560">
      <c r="A5560" s="2" t="s">
        <v>5651</v>
      </c>
      <c r="B5560" s="2" t="s">
        <v>6592</v>
      </c>
      <c r="D5560" s="2" t="s">
        <v>5631</v>
      </c>
      <c r="G5560" s="2"/>
    </row>
    <row r="5561">
      <c r="A5561" s="2" t="s">
        <v>5651</v>
      </c>
      <c r="B5561" s="2" t="s">
        <v>6593</v>
      </c>
      <c r="D5561" s="2" t="s">
        <v>5631</v>
      </c>
      <c r="G5561" s="2"/>
    </row>
    <row r="5562">
      <c r="A5562" s="2" t="s">
        <v>5651</v>
      </c>
      <c r="B5562" s="2" t="s">
        <v>6594</v>
      </c>
      <c r="D5562" s="2" t="s">
        <v>5631</v>
      </c>
      <c r="G5562" s="2"/>
    </row>
    <row r="5563">
      <c r="A5563" s="2" t="s">
        <v>5651</v>
      </c>
      <c r="B5563" s="2" t="s">
        <v>6595</v>
      </c>
      <c r="D5563" s="2" t="s">
        <v>5631</v>
      </c>
      <c r="G5563" s="2"/>
    </row>
    <row r="5564">
      <c r="A5564" s="2" t="s">
        <v>5651</v>
      </c>
      <c r="B5564" s="2" t="s">
        <v>6596</v>
      </c>
      <c r="D5564" s="2" t="s">
        <v>5631</v>
      </c>
      <c r="G5564" s="2"/>
    </row>
    <row r="5565">
      <c r="A5565" s="2" t="s">
        <v>5651</v>
      </c>
      <c r="B5565" s="2" t="s">
        <v>6597</v>
      </c>
      <c r="D5565" s="2" t="s">
        <v>5631</v>
      </c>
      <c r="G5565" s="2"/>
    </row>
    <row r="5566">
      <c r="A5566" s="2" t="s">
        <v>5651</v>
      </c>
      <c r="B5566" s="2" t="s">
        <v>6598</v>
      </c>
      <c r="D5566" s="2"/>
      <c r="G5566" s="2" t="s">
        <v>5653</v>
      </c>
    </row>
    <row r="5567">
      <c r="A5567" s="2" t="s">
        <v>5651</v>
      </c>
      <c r="B5567" s="2" t="s">
        <v>6599</v>
      </c>
      <c r="D5567" s="2"/>
      <c r="G5567" s="2" t="s">
        <v>5653</v>
      </c>
    </row>
    <row r="5568">
      <c r="A5568" s="2" t="s">
        <v>5651</v>
      </c>
      <c r="B5568" s="2" t="s">
        <v>6600</v>
      </c>
      <c r="D5568" s="2"/>
      <c r="G5568" s="2" t="s">
        <v>5653</v>
      </c>
    </row>
    <row r="5569">
      <c r="A5569" s="2" t="s">
        <v>5651</v>
      </c>
      <c r="B5569" s="2" t="s">
        <v>6601</v>
      </c>
      <c r="D5569" s="2"/>
      <c r="G5569" s="2" t="s">
        <v>5653</v>
      </c>
    </row>
    <row r="5570">
      <c r="A5570" s="2" t="s">
        <v>5651</v>
      </c>
      <c r="B5570" s="2" t="s">
        <v>6602</v>
      </c>
      <c r="D5570" s="2"/>
      <c r="G5570" s="2" t="s">
        <v>5653</v>
      </c>
    </row>
    <row r="5571">
      <c r="A5571" s="2" t="s">
        <v>5651</v>
      </c>
      <c r="B5571" s="2" t="s">
        <v>6603</v>
      </c>
      <c r="D5571" s="2"/>
      <c r="G5571" s="2" t="s">
        <v>5653</v>
      </c>
    </row>
    <row r="5572">
      <c r="A5572" s="2" t="s">
        <v>5651</v>
      </c>
      <c r="B5572" s="2" t="s">
        <v>6604</v>
      </c>
      <c r="D5572" s="2"/>
      <c r="G5572" s="2" t="s">
        <v>5653</v>
      </c>
    </row>
    <row r="5573">
      <c r="A5573" s="2" t="s">
        <v>5651</v>
      </c>
      <c r="B5573" s="2" t="s">
        <v>6605</v>
      </c>
      <c r="D5573" s="2"/>
      <c r="G5573" s="2" t="s">
        <v>5653</v>
      </c>
    </row>
    <row r="5574">
      <c r="A5574" s="2" t="s">
        <v>5651</v>
      </c>
      <c r="B5574" s="2" t="s">
        <v>6606</v>
      </c>
      <c r="D5574" s="2"/>
      <c r="G5574" s="2" t="s">
        <v>5653</v>
      </c>
    </row>
    <row r="5575">
      <c r="A5575" s="2" t="s">
        <v>5651</v>
      </c>
      <c r="B5575" s="2" t="s">
        <v>6607</v>
      </c>
      <c r="D5575" s="2"/>
      <c r="G5575" s="2" t="s">
        <v>5653</v>
      </c>
    </row>
    <row r="5576">
      <c r="A5576" s="2" t="s">
        <v>5651</v>
      </c>
      <c r="B5576" s="2" t="s">
        <v>6608</v>
      </c>
      <c r="D5576" s="2"/>
      <c r="G5576" s="2" t="s">
        <v>5653</v>
      </c>
    </row>
    <row r="5577">
      <c r="A5577" s="2" t="s">
        <v>5651</v>
      </c>
      <c r="B5577" s="2" t="s">
        <v>6609</v>
      </c>
      <c r="D5577" s="2"/>
      <c r="G5577" s="2" t="s">
        <v>5653</v>
      </c>
    </row>
    <row r="5578">
      <c r="A5578" s="2" t="s">
        <v>5651</v>
      </c>
      <c r="B5578" s="2" t="s">
        <v>6610</v>
      </c>
      <c r="D5578" s="2"/>
      <c r="G5578" s="2" t="s">
        <v>5653</v>
      </c>
    </row>
    <row r="5579">
      <c r="A5579" s="2" t="s">
        <v>5651</v>
      </c>
      <c r="B5579" s="2" t="s">
        <v>6611</v>
      </c>
      <c r="D5579" s="2"/>
      <c r="G5579" s="2" t="s">
        <v>5653</v>
      </c>
    </row>
    <row r="5580">
      <c r="A5580" s="2" t="s">
        <v>5651</v>
      </c>
      <c r="B5580" s="2" t="s">
        <v>6612</v>
      </c>
      <c r="D5580" s="2"/>
      <c r="G5580" s="2" t="s">
        <v>5653</v>
      </c>
    </row>
    <row r="5581">
      <c r="A5581" s="2" t="s">
        <v>5651</v>
      </c>
      <c r="B5581" s="2" t="s">
        <v>6613</v>
      </c>
      <c r="D5581" s="2"/>
      <c r="G5581" s="2" t="s">
        <v>5653</v>
      </c>
    </row>
    <row r="5582">
      <c r="A5582" s="2" t="s">
        <v>5651</v>
      </c>
      <c r="B5582" s="2" t="s">
        <v>6614</v>
      </c>
      <c r="D5582" s="2"/>
      <c r="G5582" s="2" t="s">
        <v>5653</v>
      </c>
    </row>
    <row r="5583">
      <c r="A5583" s="2" t="s">
        <v>5651</v>
      </c>
      <c r="B5583" s="2" t="s">
        <v>6615</v>
      </c>
      <c r="D5583" s="2"/>
      <c r="G5583" s="2" t="s">
        <v>5653</v>
      </c>
    </row>
    <row r="5584">
      <c r="A5584" s="2" t="s">
        <v>5651</v>
      </c>
      <c r="B5584" s="2" t="s">
        <v>6616</v>
      </c>
      <c r="D5584" s="2"/>
      <c r="G5584" s="2" t="s">
        <v>5653</v>
      </c>
    </row>
    <row r="5585">
      <c r="A5585" s="2" t="s">
        <v>5651</v>
      </c>
      <c r="B5585" s="2" t="s">
        <v>6617</v>
      </c>
      <c r="D5585" s="2"/>
      <c r="G5585" s="2" t="s">
        <v>5653</v>
      </c>
    </row>
    <row r="5586">
      <c r="A5586" s="2" t="s">
        <v>5651</v>
      </c>
      <c r="B5586" s="2" t="s">
        <v>6618</v>
      </c>
      <c r="D5586" s="2"/>
      <c r="G5586" s="2" t="s">
        <v>5653</v>
      </c>
    </row>
    <row r="5587">
      <c r="A5587" s="2" t="s">
        <v>5651</v>
      </c>
      <c r="B5587" s="2" t="s">
        <v>6619</v>
      </c>
      <c r="D5587" s="2"/>
      <c r="G5587" s="2" t="s">
        <v>5653</v>
      </c>
    </row>
    <row r="5588">
      <c r="A5588" s="2" t="s">
        <v>5651</v>
      </c>
      <c r="B5588" s="2" t="s">
        <v>6620</v>
      </c>
      <c r="D5588" s="2"/>
      <c r="G5588" s="2" t="s">
        <v>5653</v>
      </c>
    </row>
    <row r="5589">
      <c r="A5589" s="2" t="s">
        <v>5651</v>
      </c>
      <c r="B5589" s="2" t="s">
        <v>6615</v>
      </c>
      <c r="D5589" s="2"/>
      <c r="G5589" s="2" t="s">
        <v>5653</v>
      </c>
    </row>
    <row r="5590">
      <c r="A5590" s="2" t="s">
        <v>5651</v>
      </c>
      <c r="B5590" s="2" t="s">
        <v>6621</v>
      </c>
      <c r="D5590" s="2"/>
      <c r="G5590" s="2" t="s">
        <v>5653</v>
      </c>
    </row>
    <row r="5591">
      <c r="A5591" s="2" t="s">
        <v>5651</v>
      </c>
      <c r="B5591" s="2" t="s">
        <v>6622</v>
      </c>
      <c r="D5591" s="2"/>
      <c r="G5591" s="2" t="s">
        <v>5653</v>
      </c>
    </row>
    <row r="5592">
      <c r="A5592" s="2" t="s">
        <v>5651</v>
      </c>
      <c r="B5592" s="2" t="s">
        <v>6623</v>
      </c>
      <c r="D5592" s="2"/>
      <c r="G5592" s="2" t="s">
        <v>5653</v>
      </c>
    </row>
    <row r="5593">
      <c r="A5593" s="2" t="s">
        <v>5651</v>
      </c>
      <c r="B5593" s="2" t="s">
        <v>6625</v>
      </c>
      <c r="D5593" s="2"/>
      <c r="G5593" s="2" t="s">
        <v>5653</v>
      </c>
    </row>
    <row r="5594">
      <c r="A5594" s="2" t="s">
        <v>5651</v>
      </c>
      <c r="B5594" s="2" t="s">
        <v>6626</v>
      </c>
      <c r="D5594" s="2"/>
      <c r="G5594" s="2" t="s">
        <v>5653</v>
      </c>
    </row>
    <row r="5595">
      <c r="A5595" s="2" t="s">
        <v>5651</v>
      </c>
      <c r="B5595" s="2" t="s">
        <v>6627</v>
      </c>
      <c r="D5595" s="2"/>
      <c r="G5595" s="2" t="s">
        <v>5653</v>
      </c>
    </row>
    <row r="5596">
      <c r="A5596" s="2" t="s">
        <v>5651</v>
      </c>
      <c r="B5596" s="2" t="s">
        <v>6628</v>
      </c>
      <c r="D5596" s="2"/>
      <c r="G5596" s="2" t="s">
        <v>5653</v>
      </c>
    </row>
    <row r="5597">
      <c r="A5597" s="2" t="s">
        <v>5651</v>
      </c>
      <c r="B5597" s="2" t="s">
        <v>6629</v>
      </c>
      <c r="D5597" s="2"/>
      <c r="G5597" s="2" t="s">
        <v>5653</v>
      </c>
    </row>
    <row r="5598">
      <c r="A5598" s="2" t="s">
        <v>5651</v>
      </c>
      <c r="B5598" s="2" t="s">
        <v>6630</v>
      </c>
      <c r="D5598" s="2"/>
      <c r="G5598" s="2" t="s">
        <v>5653</v>
      </c>
    </row>
    <row r="5599">
      <c r="A5599" s="2" t="s">
        <v>5651</v>
      </c>
      <c r="B5599" s="2" t="s">
        <v>6631</v>
      </c>
      <c r="D5599" s="2"/>
      <c r="G5599" s="2" t="s">
        <v>5653</v>
      </c>
    </row>
    <row r="5600">
      <c r="A5600" s="2" t="s">
        <v>5651</v>
      </c>
      <c r="B5600" s="2" t="s">
        <v>6632</v>
      </c>
      <c r="D5600" s="2"/>
      <c r="G5600" s="2" t="s">
        <v>5653</v>
      </c>
    </row>
    <row r="5601">
      <c r="A5601" s="2" t="s">
        <v>5651</v>
      </c>
      <c r="B5601" s="2" t="s">
        <v>6633</v>
      </c>
      <c r="D5601" s="2"/>
      <c r="G5601" s="2" t="s">
        <v>5653</v>
      </c>
    </row>
    <row r="5602">
      <c r="A5602" s="2" t="s">
        <v>5651</v>
      </c>
      <c r="B5602" s="2" t="s">
        <v>6634</v>
      </c>
      <c r="D5602" s="2"/>
      <c r="G5602" s="2" t="s">
        <v>5653</v>
      </c>
    </row>
    <row r="5603">
      <c r="A5603" s="2" t="s">
        <v>5651</v>
      </c>
      <c r="B5603" s="2" t="s">
        <v>6635</v>
      </c>
      <c r="D5603" s="2"/>
      <c r="G5603" s="2" t="s">
        <v>5653</v>
      </c>
    </row>
    <row r="5604">
      <c r="A5604" s="2" t="s">
        <v>5651</v>
      </c>
      <c r="B5604" s="2" t="s">
        <v>6637</v>
      </c>
      <c r="D5604" s="2"/>
      <c r="G5604" s="2" t="s">
        <v>5653</v>
      </c>
    </row>
    <row r="5605">
      <c r="A5605" s="2" t="s">
        <v>5651</v>
      </c>
      <c r="B5605" s="2" t="s">
        <v>6638</v>
      </c>
      <c r="D5605" s="2"/>
      <c r="G5605" s="2" t="s">
        <v>5653</v>
      </c>
    </row>
    <row r="5606">
      <c r="A5606" s="2" t="s">
        <v>5651</v>
      </c>
      <c r="B5606" s="2" t="s">
        <v>6639</v>
      </c>
      <c r="D5606" s="2"/>
      <c r="G5606" s="2" t="s">
        <v>5653</v>
      </c>
    </row>
    <row r="5607">
      <c r="A5607" s="2" t="s">
        <v>5651</v>
      </c>
      <c r="B5607" s="2" t="s">
        <v>6640</v>
      </c>
      <c r="D5607" s="2"/>
      <c r="G5607" s="2" t="s">
        <v>5653</v>
      </c>
    </row>
    <row r="5608">
      <c r="A5608" s="2" t="s">
        <v>5651</v>
      </c>
      <c r="B5608" s="2" t="s">
        <v>6641</v>
      </c>
      <c r="D5608" s="2"/>
      <c r="G5608" s="2" t="s">
        <v>5653</v>
      </c>
    </row>
    <row r="5609">
      <c r="A5609" s="2" t="s">
        <v>5651</v>
      </c>
      <c r="B5609" s="2" t="s">
        <v>6642</v>
      </c>
      <c r="D5609" s="2"/>
      <c r="G5609" s="2" t="s">
        <v>5653</v>
      </c>
    </row>
    <row r="5610">
      <c r="A5610" s="2" t="s">
        <v>5651</v>
      </c>
      <c r="B5610" s="2" t="s">
        <v>6643</v>
      </c>
      <c r="D5610" s="2"/>
      <c r="G5610" s="2" t="s">
        <v>5653</v>
      </c>
    </row>
    <row r="5611">
      <c r="A5611" s="2" t="s">
        <v>5651</v>
      </c>
      <c r="B5611" s="2" t="s">
        <v>6644</v>
      </c>
      <c r="D5611" s="2"/>
      <c r="G5611" s="2" t="s">
        <v>5653</v>
      </c>
    </row>
    <row r="5612">
      <c r="A5612" s="2" t="s">
        <v>5651</v>
      </c>
      <c r="B5612" s="2" t="s">
        <v>6645</v>
      </c>
      <c r="D5612" s="2"/>
      <c r="G5612" s="2" t="s">
        <v>5653</v>
      </c>
    </row>
    <row r="5613">
      <c r="A5613" s="2" t="s">
        <v>5651</v>
      </c>
      <c r="B5613" s="2" t="s">
        <v>6646</v>
      </c>
      <c r="D5613" s="2"/>
      <c r="G5613" s="2" t="s">
        <v>5653</v>
      </c>
    </row>
    <row r="5614">
      <c r="A5614" s="2" t="s">
        <v>5651</v>
      </c>
      <c r="B5614" s="2" t="s">
        <v>6647</v>
      </c>
      <c r="D5614" s="2"/>
      <c r="G5614" s="2" t="s">
        <v>5653</v>
      </c>
    </row>
    <row r="5615">
      <c r="A5615" s="2" t="s">
        <v>5651</v>
      </c>
      <c r="B5615" s="2" t="s">
        <v>6648</v>
      </c>
      <c r="D5615" s="2"/>
      <c r="G5615" s="2" t="s">
        <v>5653</v>
      </c>
    </row>
    <row r="5616">
      <c r="A5616" s="2" t="s">
        <v>5651</v>
      </c>
      <c r="B5616" s="2" t="s">
        <v>6650</v>
      </c>
      <c r="D5616" s="2"/>
      <c r="G5616" s="2" t="s">
        <v>5653</v>
      </c>
    </row>
    <row r="5617">
      <c r="A5617" s="2" t="s">
        <v>5651</v>
      </c>
      <c r="B5617" s="2" t="s">
        <v>6651</v>
      </c>
      <c r="D5617" s="2"/>
      <c r="G5617" s="2" t="s">
        <v>5653</v>
      </c>
    </row>
    <row r="5618">
      <c r="A5618" s="2" t="s">
        <v>5651</v>
      </c>
      <c r="B5618" s="2" t="s">
        <v>6652</v>
      </c>
      <c r="D5618" s="2"/>
      <c r="G5618" s="2" t="s">
        <v>5653</v>
      </c>
    </row>
    <row r="5619">
      <c r="A5619" s="2" t="s">
        <v>5651</v>
      </c>
      <c r="B5619" s="2" t="s">
        <v>6653</v>
      </c>
      <c r="D5619" s="2"/>
      <c r="G5619" s="2" t="s">
        <v>5653</v>
      </c>
    </row>
    <row r="5620">
      <c r="A5620" s="2" t="s">
        <v>6654</v>
      </c>
      <c r="B5620" s="2" t="s">
        <v>6655</v>
      </c>
      <c r="D5620" s="2" t="s">
        <v>6656</v>
      </c>
      <c r="G5620" s="2"/>
      <c r="H5620" s="2" t="s">
        <v>729</v>
      </c>
    </row>
    <row r="5621">
      <c r="A5621" s="2" t="s">
        <v>6657</v>
      </c>
      <c r="B5621" s="2" t="s">
        <v>6658</v>
      </c>
      <c r="D5621" s="2"/>
      <c r="G5621" s="2" t="s">
        <v>6659</v>
      </c>
    </row>
    <row r="5622">
      <c r="A5622" s="2" t="s">
        <v>6657</v>
      </c>
      <c r="B5622" s="2" t="s">
        <v>6660</v>
      </c>
      <c r="D5622" s="2"/>
      <c r="G5622" s="2" t="s">
        <v>6659</v>
      </c>
    </row>
    <row r="5623">
      <c r="A5623" s="2" t="s">
        <v>6662</v>
      </c>
      <c r="B5623" s="2" t="s">
        <v>6664</v>
      </c>
      <c r="D5623" s="2"/>
      <c r="G5623" s="2" t="s">
        <v>6659</v>
      </c>
    </row>
    <row r="5624">
      <c r="A5624" s="64" t="s">
        <v>6665</v>
      </c>
      <c r="B5624" s="2" t="s">
        <v>6666</v>
      </c>
      <c r="D5624" s="2" t="s">
        <v>6667</v>
      </c>
      <c r="G5624" s="2"/>
    </row>
    <row r="5625">
      <c r="A5625" s="64" t="s">
        <v>6665</v>
      </c>
      <c r="B5625" s="2" t="s">
        <v>6668</v>
      </c>
      <c r="D5625" s="2" t="s">
        <v>6667</v>
      </c>
      <c r="G5625" s="2"/>
    </row>
    <row r="5626">
      <c r="A5626" s="64" t="s">
        <v>6665</v>
      </c>
      <c r="B5626" s="2" t="s">
        <v>6669</v>
      </c>
      <c r="D5626" s="2" t="s">
        <v>6667</v>
      </c>
      <c r="G5626" s="2"/>
    </row>
    <row r="5627">
      <c r="A5627" s="64" t="s">
        <v>6665</v>
      </c>
      <c r="B5627" s="2" t="s">
        <v>6670</v>
      </c>
      <c r="D5627" s="2" t="s">
        <v>6667</v>
      </c>
      <c r="G5627" s="2"/>
    </row>
    <row r="5628">
      <c r="A5628" s="64" t="s">
        <v>6665</v>
      </c>
      <c r="B5628" s="2" t="s">
        <v>6671</v>
      </c>
      <c r="D5628" s="2" t="s">
        <v>6667</v>
      </c>
      <c r="G5628" s="2"/>
    </row>
    <row r="5629">
      <c r="A5629" s="2" t="s">
        <v>6672</v>
      </c>
      <c r="B5629" s="2" t="s">
        <v>6673</v>
      </c>
      <c r="D5629" s="2" t="s">
        <v>6667</v>
      </c>
      <c r="G5629" s="2"/>
    </row>
    <row r="5630">
      <c r="A5630" s="2" t="s">
        <v>6672</v>
      </c>
      <c r="B5630" s="2" t="s">
        <v>6674</v>
      </c>
      <c r="D5630" s="2" t="s">
        <v>6667</v>
      </c>
      <c r="G5630" s="2"/>
    </row>
    <row r="5631">
      <c r="A5631" s="2" t="s">
        <v>6672</v>
      </c>
      <c r="B5631" s="2" t="s">
        <v>6675</v>
      </c>
      <c r="D5631" s="2" t="s">
        <v>6667</v>
      </c>
      <c r="G5631" s="2"/>
    </row>
    <row r="5632">
      <c r="A5632" s="2" t="s">
        <v>6672</v>
      </c>
      <c r="B5632" s="2" t="s">
        <v>6676</v>
      </c>
      <c r="D5632" s="2" t="s">
        <v>6667</v>
      </c>
      <c r="G5632" s="2"/>
    </row>
    <row r="5633">
      <c r="A5633" s="2" t="s">
        <v>6672</v>
      </c>
      <c r="B5633" s="2" t="s">
        <v>6677</v>
      </c>
      <c r="D5633" s="2" t="s">
        <v>6667</v>
      </c>
      <c r="G5633" s="2"/>
    </row>
    <row r="5634">
      <c r="A5634" s="2" t="s">
        <v>6672</v>
      </c>
      <c r="B5634" s="2" t="s">
        <v>6678</v>
      </c>
      <c r="D5634" s="2" t="s">
        <v>6667</v>
      </c>
      <c r="G5634" s="2"/>
    </row>
    <row r="5635">
      <c r="A5635" s="2" t="s">
        <v>6679</v>
      </c>
      <c r="B5635" s="2" t="s">
        <v>6680</v>
      </c>
      <c r="D5635" s="2" t="s">
        <v>6681</v>
      </c>
      <c r="G5635" s="2"/>
    </row>
    <row r="5636">
      <c r="A5636" s="2" t="s">
        <v>6679</v>
      </c>
      <c r="B5636" s="2" t="s">
        <v>6682</v>
      </c>
      <c r="D5636" s="2" t="s">
        <v>6681</v>
      </c>
      <c r="G5636" s="2"/>
    </row>
    <row r="5637">
      <c r="A5637" s="2" t="s">
        <v>6683</v>
      </c>
      <c r="B5637" s="2" t="s">
        <v>6680</v>
      </c>
      <c r="D5637" s="2" t="s">
        <v>6681</v>
      </c>
      <c r="G5637" s="2"/>
    </row>
    <row r="5638">
      <c r="A5638" s="2" t="s">
        <v>6683</v>
      </c>
      <c r="B5638" s="2" t="s">
        <v>6682</v>
      </c>
      <c r="D5638" s="2" t="s">
        <v>6681</v>
      </c>
      <c r="G5638" s="2"/>
    </row>
    <row r="5639">
      <c r="A5639" s="64" t="s">
        <v>6685</v>
      </c>
      <c r="B5639" s="2" t="s">
        <v>6686</v>
      </c>
      <c r="D5639" s="2"/>
      <c r="G5639" s="2" t="s">
        <v>6687</v>
      </c>
    </row>
    <row r="5640">
      <c r="A5640" s="2" t="s">
        <v>6685</v>
      </c>
      <c r="B5640" s="2" t="s">
        <v>6688</v>
      </c>
      <c r="D5640" s="2"/>
      <c r="G5640" s="2" t="s">
        <v>6687</v>
      </c>
    </row>
    <row r="5641">
      <c r="A5641" s="2" t="s">
        <v>6685</v>
      </c>
      <c r="B5641" s="2" t="s">
        <v>6689</v>
      </c>
      <c r="D5641" s="2"/>
      <c r="G5641" s="2" t="s">
        <v>6687</v>
      </c>
    </row>
    <row r="5642">
      <c r="A5642" s="2" t="s">
        <v>6685</v>
      </c>
      <c r="B5642" s="2" t="s">
        <v>6690</v>
      </c>
      <c r="D5642" s="2"/>
      <c r="G5642" s="2" t="s">
        <v>6687</v>
      </c>
    </row>
    <row r="5643">
      <c r="A5643" s="2" t="s">
        <v>6685</v>
      </c>
      <c r="B5643" s="2" t="s">
        <v>6691</v>
      </c>
      <c r="D5643" s="2"/>
      <c r="G5643" s="2" t="s">
        <v>6687</v>
      </c>
    </row>
    <row r="5644">
      <c r="A5644" s="2" t="s">
        <v>6685</v>
      </c>
      <c r="B5644" s="2" t="s">
        <v>6693</v>
      </c>
      <c r="D5644" s="2"/>
      <c r="G5644" s="2" t="s">
        <v>6687</v>
      </c>
    </row>
    <row r="5645">
      <c r="A5645" s="2" t="s">
        <v>6685</v>
      </c>
      <c r="B5645" s="2" t="s">
        <v>6694</v>
      </c>
      <c r="D5645" s="2"/>
      <c r="G5645" s="2" t="s">
        <v>6687</v>
      </c>
    </row>
    <row r="5646">
      <c r="A5646" s="2" t="s">
        <v>6685</v>
      </c>
      <c r="B5646" s="2" t="s">
        <v>6695</v>
      </c>
      <c r="D5646" s="2"/>
      <c r="G5646" s="2" t="s">
        <v>6687</v>
      </c>
    </row>
    <row r="5647">
      <c r="A5647" s="2" t="s">
        <v>6685</v>
      </c>
      <c r="B5647" s="2" t="s">
        <v>6696</v>
      </c>
      <c r="D5647" s="2"/>
      <c r="G5647" s="2" t="s">
        <v>6687</v>
      </c>
    </row>
    <row r="5648">
      <c r="A5648" s="2" t="s">
        <v>6685</v>
      </c>
      <c r="B5648" s="2" t="s">
        <v>6698</v>
      </c>
      <c r="D5648" s="2"/>
      <c r="G5648" s="2" t="s">
        <v>6687</v>
      </c>
    </row>
    <row r="5649">
      <c r="A5649" s="2" t="s">
        <v>6685</v>
      </c>
      <c r="B5649" s="2" t="s">
        <v>6699</v>
      </c>
      <c r="D5649" s="2"/>
      <c r="G5649" s="2" t="s">
        <v>6687</v>
      </c>
    </row>
    <row r="5650">
      <c r="A5650" s="2" t="s">
        <v>6685</v>
      </c>
      <c r="B5650" s="2" t="s">
        <v>6700</v>
      </c>
      <c r="D5650" s="2"/>
      <c r="G5650" s="2" t="s">
        <v>6687</v>
      </c>
    </row>
    <row r="5651">
      <c r="A5651" s="2" t="s">
        <v>6685</v>
      </c>
      <c r="B5651" s="2" t="s">
        <v>6701</v>
      </c>
      <c r="D5651" s="2"/>
      <c r="G5651" s="2" t="s">
        <v>6687</v>
      </c>
    </row>
    <row r="5652">
      <c r="A5652" s="2" t="s">
        <v>6685</v>
      </c>
      <c r="B5652" s="2" t="s">
        <v>6702</v>
      </c>
      <c r="D5652" s="2"/>
      <c r="G5652" s="2" t="s">
        <v>6687</v>
      </c>
    </row>
    <row r="5653">
      <c r="A5653" s="2" t="s">
        <v>6685</v>
      </c>
      <c r="B5653" s="2" t="s">
        <v>6703</v>
      </c>
      <c r="D5653" s="2"/>
      <c r="G5653" s="2" t="s">
        <v>6687</v>
      </c>
    </row>
    <row r="5654">
      <c r="A5654" s="2" t="s">
        <v>6685</v>
      </c>
      <c r="B5654" s="2" t="s">
        <v>6704</v>
      </c>
      <c r="D5654" s="2"/>
      <c r="G5654" s="2" t="s">
        <v>6687</v>
      </c>
    </row>
    <row r="5655">
      <c r="A5655" s="2" t="s">
        <v>6685</v>
      </c>
      <c r="B5655" s="2" t="s">
        <v>6705</v>
      </c>
      <c r="D5655" s="2"/>
      <c r="G5655" s="2" t="s">
        <v>6687</v>
      </c>
    </row>
    <row r="5656">
      <c r="A5656" s="2" t="s">
        <v>6685</v>
      </c>
      <c r="B5656" s="2" t="s">
        <v>6706</v>
      </c>
      <c r="D5656" s="2"/>
      <c r="G5656" s="2" t="s">
        <v>6687</v>
      </c>
    </row>
    <row r="5657">
      <c r="A5657" s="2" t="s">
        <v>6685</v>
      </c>
      <c r="B5657" s="2" t="s">
        <v>6707</v>
      </c>
      <c r="D5657" s="2"/>
      <c r="G5657" s="2" t="s">
        <v>6687</v>
      </c>
    </row>
    <row r="5658">
      <c r="A5658" s="2" t="s">
        <v>6685</v>
      </c>
      <c r="B5658" s="2" t="s">
        <v>6708</v>
      </c>
      <c r="D5658" s="2"/>
      <c r="G5658" s="2" t="s">
        <v>6687</v>
      </c>
    </row>
    <row r="5659">
      <c r="A5659" s="2" t="s">
        <v>6685</v>
      </c>
      <c r="B5659" s="2" t="s">
        <v>6709</v>
      </c>
      <c r="D5659" s="2"/>
      <c r="G5659" s="2" t="s">
        <v>6687</v>
      </c>
    </row>
    <row r="5660">
      <c r="A5660" s="2" t="s">
        <v>6685</v>
      </c>
      <c r="B5660" s="2" t="s">
        <v>6711</v>
      </c>
      <c r="D5660" s="2"/>
      <c r="G5660" s="2" t="s">
        <v>6687</v>
      </c>
    </row>
    <row r="5661">
      <c r="A5661" s="2" t="s">
        <v>6685</v>
      </c>
      <c r="B5661" s="2" t="s">
        <v>6712</v>
      </c>
      <c r="D5661" s="2"/>
      <c r="G5661" s="2" t="s">
        <v>6687</v>
      </c>
    </row>
    <row r="5662">
      <c r="A5662" s="2" t="s">
        <v>6685</v>
      </c>
      <c r="B5662" s="2" t="s">
        <v>6713</v>
      </c>
      <c r="D5662" s="2"/>
      <c r="G5662" s="2" t="s">
        <v>6687</v>
      </c>
    </row>
    <row r="5663">
      <c r="A5663" s="2" t="s">
        <v>6685</v>
      </c>
      <c r="B5663" s="2" t="s">
        <v>6714</v>
      </c>
      <c r="D5663" s="2"/>
      <c r="G5663" s="2" t="s">
        <v>6687</v>
      </c>
    </row>
    <row r="5664">
      <c r="A5664" s="2" t="s">
        <v>6685</v>
      </c>
      <c r="B5664" s="2" t="s">
        <v>6715</v>
      </c>
      <c r="D5664" s="2"/>
      <c r="G5664" s="2" t="s">
        <v>6687</v>
      </c>
    </row>
    <row r="5665">
      <c r="A5665" s="2" t="s">
        <v>6685</v>
      </c>
      <c r="B5665" s="2" t="s">
        <v>6716</v>
      </c>
      <c r="D5665" s="2"/>
      <c r="G5665" s="2" t="s">
        <v>6687</v>
      </c>
    </row>
    <row r="5666">
      <c r="A5666" s="2" t="s">
        <v>6685</v>
      </c>
      <c r="B5666" s="2" t="s">
        <v>6717</v>
      </c>
      <c r="D5666" s="2"/>
      <c r="G5666" s="2" t="s">
        <v>6687</v>
      </c>
    </row>
    <row r="5667">
      <c r="A5667" s="2" t="s">
        <v>6685</v>
      </c>
      <c r="B5667" s="2" t="s">
        <v>6719</v>
      </c>
      <c r="D5667" s="2"/>
      <c r="G5667" s="2" t="s">
        <v>6687</v>
      </c>
    </row>
    <row r="5668">
      <c r="A5668" s="2" t="s">
        <v>6685</v>
      </c>
      <c r="B5668" s="2" t="s">
        <v>6720</v>
      </c>
      <c r="D5668" s="2"/>
      <c r="G5668" s="2" t="s">
        <v>6687</v>
      </c>
    </row>
    <row r="5669">
      <c r="A5669" s="2" t="s">
        <v>6685</v>
      </c>
      <c r="B5669" s="2" t="s">
        <v>6721</v>
      </c>
      <c r="D5669" s="2"/>
      <c r="G5669" s="2" t="s">
        <v>6687</v>
      </c>
    </row>
    <row r="5670">
      <c r="A5670" s="2" t="s">
        <v>6685</v>
      </c>
      <c r="B5670" s="2" t="s">
        <v>6722</v>
      </c>
      <c r="D5670" s="2"/>
      <c r="G5670" s="2" t="s">
        <v>6687</v>
      </c>
    </row>
    <row r="5671">
      <c r="A5671" s="2" t="s">
        <v>6685</v>
      </c>
      <c r="B5671" s="2" t="s">
        <v>6723</v>
      </c>
      <c r="D5671" s="2"/>
      <c r="G5671" s="2" t="s">
        <v>6687</v>
      </c>
    </row>
    <row r="5672">
      <c r="A5672" s="2" t="s">
        <v>6685</v>
      </c>
      <c r="B5672" s="2" t="s">
        <v>6724</v>
      </c>
      <c r="D5672" s="2"/>
      <c r="G5672" s="2" t="s">
        <v>6687</v>
      </c>
    </row>
    <row r="5673">
      <c r="A5673" s="2" t="s">
        <v>6685</v>
      </c>
      <c r="B5673" s="2" t="s">
        <v>6725</v>
      </c>
      <c r="D5673" s="2"/>
      <c r="G5673" s="2" t="s">
        <v>6687</v>
      </c>
    </row>
    <row r="5674">
      <c r="A5674" s="2" t="s">
        <v>6685</v>
      </c>
      <c r="B5674" s="2" t="s">
        <v>6726</v>
      </c>
      <c r="D5674" s="2"/>
      <c r="G5674" s="2" t="s">
        <v>6687</v>
      </c>
    </row>
    <row r="5675">
      <c r="A5675" s="2" t="s">
        <v>6685</v>
      </c>
      <c r="B5675" s="2" t="s">
        <v>6727</v>
      </c>
      <c r="D5675" s="2"/>
      <c r="G5675" s="2" t="s">
        <v>6687</v>
      </c>
    </row>
    <row r="5676">
      <c r="A5676" s="2" t="s">
        <v>6685</v>
      </c>
      <c r="B5676" s="2" t="s">
        <v>6728</v>
      </c>
      <c r="D5676" s="2"/>
      <c r="G5676" s="2" t="s">
        <v>6687</v>
      </c>
    </row>
    <row r="5677">
      <c r="A5677" s="2" t="s">
        <v>6685</v>
      </c>
      <c r="B5677" s="2" t="s">
        <v>6729</v>
      </c>
      <c r="D5677" s="2"/>
      <c r="G5677" s="2" t="s">
        <v>6687</v>
      </c>
    </row>
    <row r="5678">
      <c r="A5678" s="2" t="s">
        <v>6685</v>
      </c>
      <c r="B5678" s="2" t="s">
        <v>6730</v>
      </c>
      <c r="D5678" s="2"/>
      <c r="G5678" s="2" t="s">
        <v>6687</v>
      </c>
    </row>
    <row r="5679">
      <c r="A5679" s="2" t="s">
        <v>6685</v>
      </c>
      <c r="B5679" s="2" t="s">
        <v>6731</v>
      </c>
      <c r="D5679" s="2"/>
      <c r="G5679" s="2" t="s">
        <v>6687</v>
      </c>
    </row>
    <row r="5680">
      <c r="A5680" s="2" t="s">
        <v>6685</v>
      </c>
      <c r="B5680" s="2" t="s">
        <v>6732</v>
      </c>
      <c r="D5680" s="2"/>
      <c r="G5680" s="2" t="s">
        <v>6687</v>
      </c>
    </row>
    <row r="5681">
      <c r="A5681" s="2" t="s">
        <v>6685</v>
      </c>
      <c r="B5681" s="2" t="s">
        <v>6734</v>
      </c>
      <c r="D5681" s="2"/>
      <c r="G5681" s="2" t="s">
        <v>6687</v>
      </c>
    </row>
    <row r="5682">
      <c r="A5682" s="2" t="s">
        <v>6685</v>
      </c>
      <c r="B5682" s="2" t="s">
        <v>6735</v>
      </c>
      <c r="D5682" s="2"/>
      <c r="G5682" s="2" t="s">
        <v>6687</v>
      </c>
    </row>
    <row r="5683">
      <c r="A5683" s="2" t="s">
        <v>6685</v>
      </c>
      <c r="B5683" s="2" t="s">
        <v>6736</v>
      </c>
      <c r="D5683" s="2"/>
      <c r="G5683" s="2" t="s">
        <v>6687</v>
      </c>
    </row>
    <row r="5684">
      <c r="A5684" s="2" t="s">
        <v>6685</v>
      </c>
      <c r="B5684" s="2" t="s">
        <v>6737</v>
      </c>
      <c r="D5684" s="2"/>
      <c r="G5684" s="2" t="s">
        <v>6687</v>
      </c>
    </row>
    <row r="5685">
      <c r="A5685" s="2" t="s">
        <v>6685</v>
      </c>
      <c r="B5685" s="2" t="s">
        <v>6738</v>
      </c>
      <c r="D5685" s="2"/>
      <c r="G5685" s="2" t="s">
        <v>6687</v>
      </c>
    </row>
    <row r="5686">
      <c r="A5686" s="2" t="s">
        <v>6685</v>
      </c>
      <c r="B5686" s="2" t="s">
        <v>6739</v>
      </c>
      <c r="D5686" s="2"/>
      <c r="G5686" s="2" t="s">
        <v>6687</v>
      </c>
    </row>
    <row r="5687">
      <c r="A5687" s="2" t="s">
        <v>6685</v>
      </c>
      <c r="B5687" s="2" t="s">
        <v>6741</v>
      </c>
      <c r="D5687" s="2"/>
      <c r="G5687" s="2" t="s">
        <v>6687</v>
      </c>
    </row>
    <row r="5688">
      <c r="A5688" s="2" t="s">
        <v>6685</v>
      </c>
      <c r="B5688" s="2" t="s">
        <v>6742</v>
      </c>
      <c r="D5688" s="2"/>
      <c r="G5688" s="2" t="s">
        <v>6687</v>
      </c>
    </row>
    <row r="5689">
      <c r="A5689" s="2" t="s">
        <v>6685</v>
      </c>
      <c r="B5689" s="2" t="s">
        <v>6743</v>
      </c>
      <c r="D5689" s="2"/>
      <c r="G5689" s="2" t="s">
        <v>6687</v>
      </c>
    </row>
    <row r="5690">
      <c r="A5690" s="2" t="s">
        <v>6685</v>
      </c>
      <c r="B5690" s="2" t="s">
        <v>6744</v>
      </c>
      <c r="D5690" s="2"/>
      <c r="G5690" s="2" t="s">
        <v>6687</v>
      </c>
    </row>
    <row r="5691">
      <c r="A5691" s="2" t="s">
        <v>6685</v>
      </c>
      <c r="B5691" s="2" t="s">
        <v>6745</v>
      </c>
      <c r="D5691" s="2"/>
      <c r="G5691" s="2" t="s">
        <v>6687</v>
      </c>
    </row>
    <row r="5692">
      <c r="A5692" s="2" t="s">
        <v>6685</v>
      </c>
      <c r="B5692" s="2" t="s">
        <v>6746</v>
      </c>
      <c r="D5692" s="2"/>
      <c r="G5692" s="2" t="s">
        <v>6687</v>
      </c>
    </row>
    <row r="5693">
      <c r="A5693" s="2" t="s">
        <v>6685</v>
      </c>
      <c r="B5693" s="2" t="s">
        <v>6747</v>
      </c>
      <c r="D5693" s="2"/>
      <c r="G5693" s="2" t="s">
        <v>6687</v>
      </c>
    </row>
    <row r="5694">
      <c r="A5694" s="2" t="s">
        <v>6685</v>
      </c>
      <c r="B5694" s="2" t="s">
        <v>6748</v>
      </c>
      <c r="D5694" s="2"/>
      <c r="G5694" s="2" t="s">
        <v>6687</v>
      </c>
    </row>
    <row r="5695">
      <c r="A5695" s="2" t="s">
        <v>6685</v>
      </c>
      <c r="B5695" s="2" t="s">
        <v>6749</v>
      </c>
      <c r="D5695" s="2"/>
      <c r="G5695" s="2" t="s">
        <v>6687</v>
      </c>
    </row>
    <row r="5696">
      <c r="A5696" s="2" t="s">
        <v>6750</v>
      </c>
      <c r="B5696" s="2" t="s">
        <v>6720</v>
      </c>
      <c r="D5696" s="2"/>
      <c r="G5696" s="2" t="s">
        <v>6687</v>
      </c>
    </row>
    <row r="5697">
      <c r="A5697" s="2" t="s">
        <v>6750</v>
      </c>
      <c r="B5697" s="163" t="s">
        <v>6731</v>
      </c>
      <c r="D5697" s="2"/>
      <c r="G5697" s="2" t="s">
        <v>6687</v>
      </c>
    </row>
    <row r="5698">
      <c r="A5698" s="2" t="s">
        <v>6751</v>
      </c>
      <c r="B5698" s="2" t="s">
        <v>6734</v>
      </c>
      <c r="D5698" s="2"/>
      <c r="G5698" s="2" t="s">
        <v>6687</v>
      </c>
    </row>
    <row r="5699">
      <c r="A5699" s="2" t="s">
        <v>6751</v>
      </c>
      <c r="B5699" s="163" t="s">
        <v>6752</v>
      </c>
      <c r="D5699" s="2"/>
      <c r="G5699" s="2" t="s">
        <v>6687</v>
      </c>
    </row>
    <row r="5700">
      <c r="A5700" s="2" t="s">
        <v>6753</v>
      </c>
      <c r="B5700" s="2" t="s">
        <v>6754</v>
      </c>
      <c r="D5700" s="2"/>
      <c r="G5700" s="2"/>
    </row>
    <row r="5701">
      <c r="A5701" s="2" t="s">
        <v>6753</v>
      </c>
      <c r="B5701" s="2" t="s">
        <v>6756</v>
      </c>
      <c r="D5701" s="2"/>
      <c r="G5701" s="2"/>
    </row>
    <row r="5702">
      <c r="A5702" s="2" t="s">
        <v>6753</v>
      </c>
      <c r="B5702" s="2" t="s">
        <v>6757</v>
      </c>
      <c r="D5702" s="2"/>
      <c r="G5702" s="2"/>
    </row>
    <row r="5703">
      <c r="A5703" s="2" t="s">
        <v>6753</v>
      </c>
      <c r="B5703" s="2" t="s">
        <v>6758</v>
      </c>
      <c r="D5703" s="2"/>
      <c r="G5703" s="2"/>
    </row>
    <row r="5704">
      <c r="A5704" s="2" t="s">
        <v>6759</v>
      </c>
      <c r="B5704" s="2" t="s">
        <v>6760</v>
      </c>
      <c r="D5704" s="2"/>
      <c r="G5704" s="2"/>
    </row>
    <row r="5705">
      <c r="A5705" s="2" t="s">
        <v>6759</v>
      </c>
      <c r="B5705" s="2" t="s">
        <v>6761</v>
      </c>
      <c r="D5705" s="2"/>
      <c r="G5705" s="2"/>
    </row>
    <row r="5706">
      <c r="A5706" s="2" t="s">
        <v>6759</v>
      </c>
      <c r="B5706" s="2" t="s">
        <v>6762</v>
      </c>
      <c r="D5706" s="2"/>
      <c r="G5706" s="2"/>
    </row>
    <row r="5707">
      <c r="A5707" s="2" t="s">
        <v>6759</v>
      </c>
      <c r="B5707" s="2" t="s">
        <v>6763</v>
      </c>
      <c r="D5707" s="2"/>
      <c r="G5707" s="2"/>
    </row>
    <row r="5708">
      <c r="A5708" s="64" t="s">
        <v>6765</v>
      </c>
      <c r="B5708" s="2" t="s">
        <v>6766</v>
      </c>
      <c r="D5708" s="2"/>
      <c r="G5708" s="2" t="s">
        <v>6767</v>
      </c>
    </row>
    <row r="5709">
      <c r="A5709" s="64" t="s">
        <v>6765</v>
      </c>
      <c r="B5709" s="2" t="s">
        <v>6768</v>
      </c>
      <c r="D5709" s="2"/>
      <c r="G5709" s="2" t="s">
        <v>6767</v>
      </c>
    </row>
    <row r="5710">
      <c r="A5710" s="64" t="s">
        <v>6765</v>
      </c>
      <c r="B5710" s="2" t="s">
        <v>6769</v>
      </c>
      <c r="D5710" s="2"/>
      <c r="G5710" s="2" t="s">
        <v>6767</v>
      </c>
    </row>
    <row r="5711">
      <c r="A5711" s="64" t="s">
        <v>6765</v>
      </c>
      <c r="B5711" s="2" t="s">
        <v>6771</v>
      </c>
      <c r="D5711" s="2"/>
      <c r="G5711" s="2" t="s">
        <v>6767</v>
      </c>
    </row>
    <row r="5712">
      <c r="A5712" s="64" t="s">
        <v>6765</v>
      </c>
      <c r="B5712" s="2" t="s">
        <v>6772</v>
      </c>
      <c r="D5712" s="2"/>
      <c r="G5712" s="2" t="s">
        <v>6767</v>
      </c>
    </row>
    <row r="5713">
      <c r="A5713" s="2" t="s">
        <v>6773</v>
      </c>
      <c r="B5713" s="2" t="s">
        <v>6774</v>
      </c>
      <c r="D5713" s="2"/>
      <c r="G5713" s="2" t="s">
        <v>6767</v>
      </c>
    </row>
    <row r="5714">
      <c r="A5714" s="2" t="s">
        <v>6775</v>
      </c>
      <c r="B5714" s="2" t="s">
        <v>6776</v>
      </c>
      <c r="D5714" s="2"/>
      <c r="G5714" s="2" t="s">
        <v>6767</v>
      </c>
    </row>
    <row r="5715">
      <c r="A5715" s="2" t="s">
        <v>6775</v>
      </c>
      <c r="B5715" s="2" t="s">
        <v>6777</v>
      </c>
      <c r="D5715" s="2"/>
      <c r="G5715" s="2" t="s">
        <v>6767</v>
      </c>
    </row>
    <row r="5716">
      <c r="A5716" s="2" t="s">
        <v>6775</v>
      </c>
      <c r="B5716" s="2" t="s">
        <v>6778</v>
      </c>
      <c r="D5716" s="2"/>
      <c r="G5716" s="2" t="s">
        <v>6767</v>
      </c>
    </row>
    <row r="5717">
      <c r="A5717" s="2" t="s">
        <v>6775</v>
      </c>
      <c r="B5717" s="2" t="s">
        <v>6779</v>
      </c>
      <c r="D5717" s="2"/>
      <c r="G5717" s="2" t="s">
        <v>6767</v>
      </c>
    </row>
    <row r="5718">
      <c r="A5718" s="2" t="s">
        <v>6775</v>
      </c>
      <c r="B5718" s="2" t="s">
        <v>6780</v>
      </c>
      <c r="D5718" s="2"/>
      <c r="G5718" s="2" t="s">
        <v>6767</v>
      </c>
    </row>
    <row r="5719">
      <c r="A5719" s="2" t="s">
        <v>6775</v>
      </c>
      <c r="B5719" s="2" t="s">
        <v>6781</v>
      </c>
      <c r="D5719" s="2"/>
      <c r="G5719" s="2" t="s">
        <v>6767</v>
      </c>
    </row>
    <row r="5720">
      <c r="A5720" s="2" t="s">
        <v>6775</v>
      </c>
      <c r="B5720" s="2" t="s">
        <v>6783</v>
      </c>
      <c r="D5720" s="2"/>
      <c r="G5720" s="2" t="s">
        <v>6767</v>
      </c>
    </row>
    <row r="5721">
      <c r="A5721" s="2" t="s">
        <v>6775</v>
      </c>
      <c r="B5721" s="2" t="s">
        <v>6784</v>
      </c>
      <c r="D5721" s="2"/>
      <c r="G5721" s="2" t="s">
        <v>6767</v>
      </c>
    </row>
    <row r="5722">
      <c r="A5722" s="2" t="s">
        <v>6775</v>
      </c>
      <c r="B5722" s="2" t="s">
        <v>6785</v>
      </c>
      <c r="D5722" s="2"/>
      <c r="G5722" s="2" t="s">
        <v>6767</v>
      </c>
    </row>
    <row r="5723">
      <c r="A5723" s="2" t="s">
        <v>6775</v>
      </c>
      <c r="B5723" s="2" t="s">
        <v>6786</v>
      </c>
      <c r="D5723" s="2"/>
      <c r="G5723" s="2" t="s">
        <v>6767</v>
      </c>
    </row>
    <row r="5724">
      <c r="A5724" s="2" t="s">
        <v>6775</v>
      </c>
      <c r="B5724" s="2" t="s">
        <v>6788</v>
      </c>
      <c r="D5724" s="2"/>
      <c r="G5724" s="2" t="s">
        <v>6767</v>
      </c>
    </row>
    <row r="5725">
      <c r="A5725" s="2" t="s">
        <v>6775</v>
      </c>
      <c r="B5725" s="2" t="s">
        <v>6789</v>
      </c>
      <c r="D5725" s="2"/>
      <c r="G5725" s="2" t="s">
        <v>6767</v>
      </c>
    </row>
    <row r="5726">
      <c r="A5726" s="2" t="s">
        <v>6775</v>
      </c>
      <c r="B5726" s="2" t="s">
        <v>6790</v>
      </c>
      <c r="D5726" s="2"/>
      <c r="G5726" s="2" t="s">
        <v>6767</v>
      </c>
    </row>
    <row r="5727">
      <c r="A5727" s="2" t="s">
        <v>6775</v>
      </c>
      <c r="B5727" s="2" t="s">
        <v>6791</v>
      </c>
      <c r="D5727" s="2"/>
      <c r="G5727" s="2" t="s">
        <v>6767</v>
      </c>
    </row>
    <row r="5728">
      <c r="A5728" s="2" t="s">
        <v>6775</v>
      </c>
      <c r="B5728" s="2" t="s">
        <v>6792</v>
      </c>
      <c r="D5728" s="2"/>
      <c r="G5728" s="2" t="s">
        <v>6767</v>
      </c>
    </row>
    <row r="5729">
      <c r="A5729" s="2" t="s">
        <v>6775</v>
      </c>
      <c r="B5729" s="2" t="s">
        <v>6793</v>
      </c>
      <c r="D5729" s="2"/>
      <c r="G5729" s="2" t="s">
        <v>6767</v>
      </c>
    </row>
    <row r="5730">
      <c r="A5730" s="2" t="s">
        <v>6775</v>
      </c>
      <c r="B5730" s="2" t="s">
        <v>6794</v>
      </c>
      <c r="D5730" s="2"/>
      <c r="G5730" s="2" t="s">
        <v>6767</v>
      </c>
    </row>
    <row r="5731">
      <c r="A5731" s="64" t="s">
        <v>6765</v>
      </c>
      <c r="B5731" s="2" t="s">
        <v>6795</v>
      </c>
      <c r="D5731" s="2" t="s">
        <v>6796</v>
      </c>
      <c r="G5731" s="2"/>
    </row>
    <row r="5732">
      <c r="A5732" s="2" t="s">
        <v>6775</v>
      </c>
      <c r="B5732" s="2" t="s">
        <v>6798</v>
      </c>
      <c r="D5732" s="2" t="s">
        <v>6796</v>
      </c>
      <c r="G5732" s="2"/>
    </row>
    <row r="5733">
      <c r="A5733" s="2" t="s">
        <v>6775</v>
      </c>
      <c r="B5733" s="2" t="s">
        <v>6799</v>
      </c>
      <c r="D5733" s="2" t="s">
        <v>6796</v>
      </c>
      <c r="G5733" s="2"/>
    </row>
    <row r="5734">
      <c r="A5734" s="2" t="s">
        <v>6775</v>
      </c>
      <c r="B5734" s="2" t="s">
        <v>6800</v>
      </c>
      <c r="D5734" s="2" t="s">
        <v>6796</v>
      </c>
      <c r="G5734" s="2"/>
    </row>
    <row r="5735">
      <c r="A5735" s="2" t="s">
        <v>6775</v>
      </c>
      <c r="B5735" s="2" t="s">
        <v>6801</v>
      </c>
      <c r="D5735" s="2" t="s">
        <v>6796</v>
      </c>
      <c r="G5735" s="2"/>
    </row>
    <row r="5736">
      <c r="A5736" s="2" t="s">
        <v>6775</v>
      </c>
      <c r="B5736" s="2" t="s">
        <v>6802</v>
      </c>
      <c r="D5736" s="2" t="s">
        <v>6796</v>
      </c>
      <c r="G5736" s="2"/>
    </row>
    <row r="5737">
      <c r="A5737" s="2" t="s">
        <v>6804</v>
      </c>
      <c r="B5737" s="2" t="s">
        <v>6805</v>
      </c>
      <c r="D5737" s="2" t="s">
        <v>6806</v>
      </c>
      <c r="G5737" s="2"/>
    </row>
    <row r="5738">
      <c r="A5738" s="2" t="s">
        <v>6804</v>
      </c>
      <c r="B5738" s="2" t="s">
        <v>6807</v>
      </c>
      <c r="D5738" s="2" t="s">
        <v>6806</v>
      </c>
      <c r="G5738" s="2"/>
    </row>
    <row r="5739">
      <c r="A5739" s="2" t="s">
        <v>6804</v>
      </c>
      <c r="B5739" s="2" t="s">
        <v>6808</v>
      </c>
      <c r="D5739" s="2" t="s">
        <v>6806</v>
      </c>
      <c r="G5739" s="2"/>
    </row>
    <row r="5740">
      <c r="A5740" s="2" t="s">
        <v>6804</v>
      </c>
      <c r="B5740" s="2" t="s">
        <v>6809</v>
      </c>
      <c r="D5740" s="2" t="s">
        <v>6806</v>
      </c>
      <c r="G5740" s="2"/>
    </row>
    <row r="5741">
      <c r="A5741" s="2" t="s">
        <v>6804</v>
      </c>
      <c r="B5741" s="2" t="s">
        <v>6810</v>
      </c>
      <c r="D5741" s="2" t="s">
        <v>6806</v>
      </c>
      <c r="G5741" s="2"/>
    </row>
    <row r="5742">
      <c r="A5742" s="2" t="s">
        <v>6804</v>
      </c>
      <c r="B5742" s="2" t="s">
        <v>6811</v>
      </c>
      <c r="D5742" s="2" t="s">
        <v>6806</v>
      </c>
      <c r="G5742" s="2"/>
    </row>
    <row r="5743">
      <c r="A5743" s="2" t="s">
        <v>6812</v>
      </c>
      <c r="B5743" s="2" t="s">
        <v>6813</v>
      </c>
      <c r="D5743" s="2" t="s">
        <v>6806</v>
      </c>
      <c r="G5743" s="2"/>
    </row>
    <row r="5744">
      <c r="A5744" s="2" t="s">
        <v>6812</v>
      </c>
      <c r="B5744" s="2" t="s">
        <v>6814</v>
      </c>
      <c r="D5744" s="2" t="s">
        <v>6806</v>
      </c>
      <c r="G5744" s="2"/>
    </row>
    <row r="5745">
      <c r="A5745" s="2" t="s">
        <v>6812</v>
      </c>
      <c r="B5745" s="2" t="s">
        <v>6815</v>
      </c>
      <c r="D5745" s="2" t="s">
        <v>6806</v>
      </c>
      <c r="G5745" s="2"/>
    </row>
    <row r="5746">
      <c r="A5746" s="2" t="s">
        <v>6812</v>
      </c>
      <c r="B5746" s="2" t="s">
        <v>6816</v>
      </c>
      <c r="D5746" s="2" t="s">
        <v>6806</v>
      </c>
      <c r="G5746" s="2"/>
    </row>
    <row r="5747">
      <c r="A5747" s="2" t="s">
        <v>6812</v>
      </c>
      <c r="B5747" s="2" t="s">
        <v>6817</v>
      </c>
      <c r="D5747" s="2" t="s">
        <v>6806</v>
      </c>
      <c r="G5747" s="2"/>
    </row>
    <row r="5748">
      <c r="A5748" s="2" t="s">
        <v>6812</v>
      </c>
      <c r="B5748" s="2" t="s">
        <v>6818</v>
      </c>
      <c r="D5748" s="2" t="s">
        <v>6806</v>
      </c>
      <c r="G5748" s="2"/>
    </row>
    <row r="5749">
      <c r="A5749" s="2" t="s">
        <v>6812</v>
      </c>
      <c r="B5749" s="2" t="s">
        <v>6819</v>
      </c>
      <c r="D5749" s="2" t="s">
        <v>6806</v>
      </c>
      <c r="G5749" s="2"/>
    </row>
    <row r="5750">
      <c r="A5750" s="2" t="s">
        <v>6812</v>
      </c>
      <c r="B5750" s="2" t="s">
        <v>6820</v>
      </c>
      <c r="D5750" s="2" t="s">
        <v>6806</v>
      </c>
      <c r="G5750" s="2"/>
    </row>
    <row r="5751">
      <c r="A5751" s="2" t="s">
        <v>6812</v>
      </c>
      <c r="B5751" s="2" t="s">
        <v>6821</v>
      </c>
      <c r="D5751" s="2" t="s">
        <v>6806</v>
      </c>
      <c r="G5751" s="2"/>
    </row>
    <row r="5752">
      <c r="A5752" s="2" t="s">
        <v>6812</v>
      </c>
      <c r="B5752" s="2" t="s">
        <v>6823</v>
      </c>
      <c r="D5752" s="2" t="s">
        <v>6806</v>
      </c>
      <c r="G5752" s="2"/>
    </row>
    <row r="5753">
      <c r="A5753" s="2" t="s">
        <v>6812</v>
      </c>
      <c r="B5753" s="2" t="s">
        <v>6824</v>
      </c>
      <c r="D5753" s="2" t="s">
        <v>6806</v>
      </c>
      <c r="G5753" s="2"/>
    </row>
    <row r="5754">
      <c r="A5754" s="2" t="s">
        <v>6812</v>
      </c>
      <c r="B5754" s="2" t="s">
        <v>6825</v>
      </c>
      <c r="D5754" s="2" t="s">
        <v>6806</v>
      </c>
      <c r="G5754" s="2"/>
    </row>
    <row r="5755">
      <c r="A5755" s="2" t="s">
        <v>6812</v>
      </c>
      <c r="B5755" s="2" t="s">
        <v>6826</v>
      </c>
      <c r="D5755" s="2" t="s">
        <v>6806</v>
      </c>
      <c r="G5755" s="2"/>
    </row>
    <row r="5756">
      <c r="A5756" s="2" t="s">
        <v>6812</v>
      </c>
      <c r="B5756" s="2" t="s">
        <v>6827</v>
      </c>
      <c r="D5756" s="2" t="s">
        <v>6806</v>
      </c>
      <c r="G5756" s="2"/>
    </row>
    <row r="5757">
      <c r="A5757" s="2" t="s">
        <v>6812</v>
      </c>
      <c r="B5757" s="2" t="s">
        <v>6828</v>
      </c>
      <c r="D5757" s="2" t="s">
        <v>6806</v>
      </c>
      <c r="G5757" s="2"/>
    </row>
    <row r="5758">
      <c r="A5758" s="2" t="s">
        <v>6812</v>
      </c>
      <c r="B5758" s="2" t="s">
        <v>6829</v>
      </c>
      <c r="D5758" s="2" t="s">
        <v>6806</v>
      </c>
      <c r="G5758" s="2"/>
    </row>
    <row r="5759">
      <c r="A5759" s="2" t="s">
        <v>6812</v>
      </c>
      <c r="B5759" s="2" t="s">
        <v>6830</v>
      </c>
      <c r="D5759" s="2" t="s">
        <v>6806</v>
      </c>
      <c r="G5759" s="2"/>
    </row>
    <row r="5760">
      <c r="A5760" s="2" t="s">
        <v>6812</v>
      </c>
      <c r="B5760" s="2" t="s">
        <v>6831</v>
      </c>
      <c r="D5760" s="2" t="s">
        <v>6806</v>
      </c>
      <c r="G5760" s="2"/>
    </row>
    <row r="5761">
      <c r="A5761" s="2" t="s">
        <v>6812</v>
      </c>
      <c r="B5761" s="2" t="s">
        <v>6832</v>
      </c>
      <c r="D5761" s="2" t="s">
        <v>6806</v>
      </c>
      <c r="G5761" s="2"/>
    </row>
    <row r="5762">
      <c r="A5762" s="2" t="s">
        <v>6812</v>
      </c>
      <c r="B5762" s="2" t="s">
        <v>6833</v>
      </c>
      <c r="D5762" s="2" t="s">
        <v>6806</v>
      </c>
      <c r="G5762" s="2"/>
    </row>
    <row r="5763">
      <c r="A5763" s="2" t="s">
        <v>6812</v>
      </c>
      <c r="B5763" s="2" t="s">
        <v>6834</v>
      </c>
      <c r="D5763" s="2" t="s">
        <v>6806</v>
      </c>
      <c r="G5763" s="2"/>
    </row>
    <row r="5764">
      <c r="A5764" s="2" t="s">
        <v>6812</v>
      </c>
      <c r="B5764" s="2" t="s">
        <v>6835</v>
      </c>
      <c r="D5764" s="2" t="s">
        <v>6806</v>
      </c>
      <c r="G5764" s="2"/>
    </row>
    <row r="5765">
      <c r="A5765" s="2" t="s">
        <v>6812</v>
      </c>
      <c r="B5765" s="2" t="s">
        <v>6836</v>
      </c>
      <c r="D5765" s="2" t="s">
        <v>6806</v>
      </c>
      <c r="G5765" s="2"/>
    </row>
    <row r="5766">
      <c r="A5766" s="2" t="s">
        <v>6812</v>
      </c>
      <c r="B5766" s="2" t="s">
        <v>6838</v>
      </c>
      <c r="D5766" s="2" t="s">
        <v>6806</v>
      </c>
      <c r="G5766" s="2"/>
    </row>
    <row r="5767">
      <c r="A5767" s="2" t="s">
        <v>6812</v>
      </c>
      <c r="B5767" s="2" t="s">
        <v>6839</v>
      </c>
      <c r="D5767" s="2" t="s">
        <v>6806</v>
      </c>
      <c r="G5767" s="2"/>
    </row>
    <row r="5768">
      <c r="A5768" s="2" t="s">
        <v>6840</v>
      </c>
      <c r="B5768" s="2" t="s">
        <v>6841</v>
      </c>
      <c r="D5768" s="2"/>
      <c r="G5768" s="2" t="s">
        <v>6842</v>
      </c>
    </row>
    <row r="5769">
      <c r="A5769" s="2" t="s">
        <v>6840</v>
      </c>
      <c r="B5769" s="2" t="s">
        <v>6843</v>
      </c>
      <c r="D5769" s="2"/>
      <c r="G5769" s="2" t="s">
        <v>6842</v>
      </c>
    </row>
    <row r="5770">
      <c r="A5770" s="2" t="s">
        <v>6840</v>
      </c>
      <c r="B5770" s="2" t="s">
        <v>6844</v>
      </c>
      <c r="D5770" s="2"/>
      <c r="G5770" s="2" t="s">
        <v>6842</v>
      </c>
    </row>
    <row r="5771">
      <c r="A5771" s="2" t="s">
        <v>6840</v>
      </c>
      <c r="B5771" s="2" t="s">
        <v>6845</v>
      </c>
      <c r="D5771" s="2"/>
      <c r="G5771" s="2" t="s">
        <v>6842</v>
      </c>
    </row>
    <row r="5772">
      <c r="A5772" s="2" t="s">
        <v>6846</v>
      </c>
      <c r="B5772" s="2" t="s">
        <v>6847</v>
      </c>
      <c r="D5772" s="2"/>
      <c r="G5772" s="2" t="s">
        <v>6842</v>
      </c>
    </row>
    <row r="5773">
      <c r="A5773" s="2" t="s">
        <v>6846</v>
      </c>
      <c r="B5773" s="2" t="s">
        <v>6849</v>
      </c>
      <c r="D5773" s="2"/>
      <c r="G5773" s="2" t="s">
        <v>6842</v>
      </c>
    </row>
    <row r="5774">
      <c r="A5774" s="2" t="s">
        <v>6846</v>
      </c>
      <c r="B5774" s="2" t="s">
        <v>6850</v>
      </c>
      <c r="D5774" s="2"/>
      <c r="G5774" s="2" t="s">
        <v>6842</v>
      </c>
    </row>
    <row r="5775">
      <c r="A5775" s="2" t="s">
        <v>6846</v>
      </c>
      <c r="B5775" s="2" t="s">
        <v>6851</v>
      </c>
      <c r="D5775" s="2"/>
      <c r="G5775" s="2" t="s">
        <v>6842</v>
      </c>
    </row>
    <row r="5776">
      <c r="A5776" s="2" t="s">
        <v>6846</v>
      </c>
      <c r="B5776" s="2" t="s">
        <v>6852</v>
      </c>
      <c r="D5776" s="2"/>
      <c r="G5776" s="2" t="s">
        <v>6842</v>
      </c>
    </row>
    <row r="5777">
      <c r="A5777" s="2" t="s">
        <v>6853</v>
      </c>
      <c r="B5777" s="187" t="s">
        <v>6854</v>
      </c>
      <c r="D5777" s="2"/>
      <c r="G5777" s="186" t="s">
        <v>6855</v>
      </c>
    </row>
    <row r="5778">
      <c r="A5778" s="2" t="s">
        <v>6853</v>
      </c>
      <c r="B5778" s="187" t="s">
        <v>6856</v>
      </c>
      <c r="D5778" s="2"/>
      <c r="G5778" s="186" t="s">
        <v>6855</v>
      </c>
    </row>
    <row r="5779">
      <c r="A5779" s="2" t="s">
        <v>6857</v>
      </c>
      <c r="B5779" s="2" t="s">
        <v>6858</v>
      </c>
      <c r="D5779" s="2"/>
      <c r="G5779" s="186" t="s">
        <v>6855</v>
      </c>
    </row>
    <row r="5780">
      <c r="A5780" s="2" t="s">
        <v>6857</v>
      </c>
      <c r="B5780" s="2" t="s">
        <v>6859</v>
      </c>
      <c r="D5780" s="2"/>
      <c r="G5780" s="186" t="s">
        <v>6855</v>
      </c>
    </row>
    <row r="5781">
      <c r="A5781" s="2" t="s">
        <v>6857</v>
      </c>
      <c r="B5781" s="2" t="s">
        <v>6860</v>
      </c>
      <c r="D5781" s="2"/>
      <c r="G5781" s="186" t="s">
        <v>6855</v>
      </c>
    </row>
    <row r="5782">
      <c r="A5782" s="2" t="s">
        <v>6857</v>
      </c>
      <c r="B5782" s="2" t="s">
        <v>6861</v>
      </c>
      <c r="D5782" s="2"/>
      <c r="G5782" s="186" t="s">
        <v>6855</v>
      </c>
    </row>
    <row r="5783">
      <c r="A5783" s="2" t="s">
        <v>6862</v>
      </c>
      <c r="B5783" s="2" t="s">
        <v>6863</v>
      </c>
      <c r="D5783" s="2"/>
      <c r="G5783" s="186" t="s">
        <v>6855</v>
      </c>
    </row>
    <row r="5784">
      <c r="A5784" s="2" t="s">
        <v>6862</v>
      </c>
      <c r="B5784" s="2" t="s">
        <v>6864</v>
      </c>
      <c r="D5784" s="2"/>
      <c r="G5784" s="186"/>
    </row>
    <row r="5785">
      <c r="A5785" s="2" t="s">
        <v>6865</v>
      </c>
      <c r="B5785" s="2" t="s">
        <v>6866</v>
      </c>
      <c r="D5785" s="2" t="s">
        <v>6867</v>
      </c>
      <c r="G5785" s="2"/>
    </row>
    <row r="5786">
      <c r="A5786" s="2" t="s">
        <v>6865</v>
      </c>
      <c r="B5786" s="2" t="s">
        <v>6868</v>
      </c>
      <c r="D5786" s="2" t="s">
        <v>6867</v>
      </c>
      <c r="G5786" s="2"/>
    </row>
    <row r="5787">
      <c r="A5787" s="2" t="s">
        <v>6865</v>
      </c>
      <c r="B5787" s="2" t="s">
        <v>6869</v>
      </c>
      <c r="D5787" s="2" t="s">
        <v>6867</v>
      </c>
      <c r="G5787" s="2"/>
    </row>
    <row r="5788">
      <c r="A5788" s="2" t="s">
        <v>6865</v>
      </c>
      <c r="B5788" s="2" t="s">
        <v>6870</v>
      </c>
      <c r="D5788" s="2" t="s">
        <v>6867</v>
      </c>
      <c r="G5788" s="2"/>
    </row>
    <row r="5789">
      <c r="A5789" s="2" t="s">
        <v>6865</v>
      </c>
      <c r="B5789" s="2" t="s">
        <v>6871</v>
      </c>
      <c r="D5789" s="2" t="s">
        <v>6867</v>
      </c>
      <c r="G5789" s="2"/>
    </row>
    <row r="5790">
      <c r="A5790" s="2" t="s">
        <v>6865</v>
      </c>
      <c r="B5790" s="2" t="s">
        <v>6872</v>
      </c>
      <c r="D5790" s="2" t="s">
        <v>6867</v>
      </c>
      <c r="G5790" s="2"/>
    </row>
    <row r="5791">
      <c r="A5791" s="2" t="s">
        <v>6873</v>
      </c>
      <c r="B5791" s="2" t="s">
        <v>6874</v>
      </c>
      <c r="D5791" s="2" t="s">
        <v>6867</v>
      </c>
      <c r="G5791" s="2"/>
    </row>
    <row r="5792">
      <c r="A5792" s="2" t="s">
        <v>6873</v>
      </c>
      <c r="B5792" s="163" t="s">
        <v>6875</v>
      </c>
      <c r="D5792" s="2" t="s">
        <v>6867</v>
      </c>
      <c r="G5792" s="2"/>
    </row>
    <row r="5793">
      <c r="A5793" s="64" t="s">
        <v>6876</v>
      </c>
      <c r="B5793" s="2" t="s">
        <v>6877</v>
      </c>
      <c r="D5793" s="2" t="s">
        <v>6867</v>
      </c>
      <c r="G5793" s="2"/>
    </row>
    <row r="5794">
      <c r="A5794" s="64" t="s">
        <v>6876</v>
      </c>
      <c r="B5794" s="2" t="s">
        <v>6879</v>
      </c>
      <c r="D5794" s="2" t="s">
        <v>6867</v>
      </c>
      <c r="G5794" s="2"/>
    </row>
    <row r="5795">
      <c r="A5795" s="64" t="s">
        <v>6876</v>
      </c>
      <c r="B5795" s="2" t="s">
        <v>6880</v>
      </c>
      <c r="D5795" s="2" t="s">
        <v>6867</v>
      </c>
      <c r="G5795" s="2"/>
    </row>
    <row r="5796">
      <c r="A5796" s="64" t="s">
        <v>6876</v>
      </c>
      <c r="B5796" s="2" t="s">
        <v>6881</v>
      </c>
      <c r="D5796" s="2" t="s">
        <v>6867</v>
      </c>
      <c r="G5796" s="2"/>
    </row>
    <row r="5797">
      <c r="A5797" s="64" t="s">
        <v>6876</v>
      </c>
      <c r="B5797" s="2" t="s">
        <v>6882</v>
      </c>
      <c r="D5797" s="2" t="s">
        <v>6867</v>
      </c>
      <c r="G5797" s="2"/>
    </row>
    <row r="5798">
      <c r="A5798" s="64" t="s">
        <v>6876</v>
      </c>
      <c r="B5798" s="2" t="s">
        <v>6883</v>
      </c>
      <c r="D5798" s="2" t="s">
        <v>6867</v>
      </c>
      <c r="G5798" s="2"/>
    </row>
    <row r="5799">
      <c r="A5799" s="64" t="s">
        <v>6876</v>
      </c>
      <c r="B5799" s="2" t="s">
        <v>6884</v>
      </c>
      <c r="D5799" s="2" t="s">
        <v>6867</v>
      </c>
      <c r="G5799" s="2"/>
    </row>
    <row r="5800">
      <c r="A5800" s="64" t="s">
        <v>6876</v>
      </c>
      <c r="B5800" s="2" t="s">
        <v>6885</v>
      </c>
      <c r="D5800" s="2" t="s">
        <v>6867</v>
      </c>
      <c r="G5800" s="2"/>
    </row>
    <row r="5801">
      <c r="A5801" s="64" t="s">
        <v>6876</v>
      </c>
      <c r="B5801" s="2" t="s">
        <v>6886</v>
      </c>
      <c r="D5801" s="2" t="s">
        <v>6867</v>
      </c>
      <c r="G5801" s="2"/>
    </row>
    <row r="5802">
      <c r="A5802" s="64" t="s">
        <v>6876</v>
      </c>
      <c r="B5802" s="2" t="s">
        <v>6887</v>
      </c>
      <c r="D5802" s="2" t="s">
        <v>6867</v>
      </c>
      <c r="G5802" s="2"/>
    </row>
    <row r="5803">
      <c r="A5803" s="64" t="s">
        <v>6876</v>
      </c>
      <c r="B5803" s="2" t="s">
        <v>6888</v>
      </c>
      <c r="D5803" s="2" t="s">
        <v>6867</v>
      </c>
      <c r="G5803" s="2"/>
    </row>
    <row r="5804">
      <c r="A5804" s="64" t="s">
        <v>6876</v>
      </c>
      <c r="B5804" s="2" t="s">
        <v>6889</v>
      </c>
      <c r="D5804" s="2" t="s">
        <v>6867</v>
      </c>
      <c r="G5804" s="2"/>
    </row>
    <row r="5805">
      <c r="A5805" s="64" t="s">
        <v>6876</v>
      </c>
      <c r="B5805" s="2" t="s">
        <v>6890</v>
      </c>
      <c r="D5805" s="2" t="s">
        <v>6867</v>
      </c>
      <c r="G5805" s="2"/>
    </row>
    <row r="5806">
      <c r="A5806" s="64" t="s">
        <v>6876</v>
      </c>
      <c r="B5806" s="2" t="s">
        <v>6891</v>
      </c>
      <c r="D5806" s="2" t="s">
        <v>6867</v>
      </c>
      <c r="G5806" s="2"/>
    </row>
    <row r="5807">
      <c r="A5807" s="64" t="s">
        <v>6876</v>
      </c>
      <c r="B5807" s="2" t="s">
        <v>6892</v>
      </c>
      <c r="D5807" s="2" t="s">
        <v>6867</v>
      </c>
      <c r="G5807" s="2"/>
    </row>
    <row r="5808">
      <c r="A5808" s="64" t="s">
        <v>6876</v>
      </c>
      <c r="B5808" s="2" t="s">
        <v>6893</v>
      </c>
      <c r="D5808" s="2" t="s">
        <v>6867</v>
      </c>
      <c r="G5808" s="2"/>
    </row>
    <row r="5809">
      <c r="A5809" s="64" t="s">
        <v>6876</v>
      </c>
      <c r="B5809" s="2" t="s">
        <v>6894</v>
      </c>
      <c r="D5809" s="2" t="s">
        <v>6867</v>
      </c>
      <c r="G5809" s="2"/>
    </row>
    <row r="5810">
      <c r="A5810" s="64" t="s">
        <v>6876</v>
      </c>
      <c r="B5810" s="2" t="s">
        <v>6895</v>
      </c>
      <c r="D5810" s="2" t="s">
        <v>6867</v>
      </c>
      <c r="G5810" s="2"/>
    </row>
    <row r="5811">
      <c r="A5811" s="64" t="s">
        <v>6876</v>
      </c>
      <c r="B5811" s="2" t="s">
        <v>6897</v>
      </c>
      <c r="D5811" s="2" t="s">
        <v>6867</v>
      </c>
      <c r="G5811" s="2"/>
    </row>
    <row r="5812">
      <c r="A5812" s="64" t="s">
        <v>6876</v>
      </c>
      <c r="B5812" s="2" t="s">
        <v>6898</v>
      </c>
      <c r="D5812" s="2" t="s">
        <v>6867</v>
      </c>
      <c r="G5812" s="2"/>
    </row>
    <row r="5813">
      <c r="A5813" s="64" t="s">
        <v>6876</v>
      </c>
      <c r="B5813" s="2" t="s">
        <v>6899</v>
      </c>
      <c r="D5813" s="2" t="s">
        <v>6867</v>
      </c>
      <c r="G5813" s="2"/>
    </row>
    <row r="5814">
      <c r="A5814" s="64" t="s">
        <v>6876</v>
      </c>
      <c r="B5814" s="2" t="s">
        <v>6900</v>
      </c>
      <c r="D5814" s="2" t="s">
        <v>6867</v>
      </c>
      <c r="G5814" s="2"/>
    </row>
    <row r="5815">
      <c r="A5815" s="64" t="s">
        <v>6876</v>
      </c>
      <c r="B5815" s="2" t="s">
        <v>6901</v>
      </c>
      <c r="D5815" s="2" t="s">
        <v>6867</v>
      </c>
      <c r="G5815" s="2"/>
    </row>
    <row r="5816">
      <c r="A5816" s="64" t="s">
        <v>6876</v>
      </c>
      <c r="B5816" s="2" t="s">
        <v>6902</v>
      </c>
      <c r="D5816" s="2" t="s">
        <v>6867</v>
      </c>
      <c r="G5816" s="2"/>
    </row>
    <row r="5817">
      <c r="A5817" s="64" t="s">
        <v>6876</v>
      </c>
      <c r="B5817" s="2" t="s">
        <v>6903</v>
      </c>
      <c r="D5817" s="2" t="s">
        <v>6867</v>
      </c>
      <c r="G5817" s="2"/>
    </row>
    <row r="5818">
      <c r="A5818" s="64" t="s">
        <v>6876</v>
      </c>
      <c r="B5818" s="2" t="s">
        <v>6905</v>
      </c>
      <c r="D5818" s="2" t="s">
        <v>6867</v>
      </c>
      <c r="G5818" s="2"/>
    </row>
    <row r="5819">
      <c r="A5819" s="64" t="s">
        <v>6876</v>
      </c>
      <c r="B5819" s="2" t="s">
        <v>6875</v>
      </c>
      <c r="D5819" s="2" t="s">
        <v>6867</v>
      </c>
      <c r="G5819" s="2"/>
    </row>
    <row r="5820">
      <c r="A5820" s="64" t="s">
        <v>6876</v>
      </c>
      <c r="B5820" s="2" t="s">
        <v>6906</v>
      </c>
      <c r="D5820" s="2" t="s">
        <v>6867</v>
      </c>
      <c r="G5820" s="2"/>
    </row>
    <row r="5821">
      <c r="A5821" s="64" t="s">
        <v>6876</v>
      </c>
      <c r="B5821" s="2" t="s">
        <v>6907</v>
      </c>
      <c r="D5821" s="2" t="s">
        <v>6867</v>
      </c>
      <c r="G5821" s="2"/>
    </row>
    <row r="5822">
      <c r="A5822" s="64" t="s">
        <v>6876</v>
      </c>
      <c r="B5822" s="2" t="s">
        <v>6908</v>
      </c>
      <c r="D5822" s="2" t="s">
        <v>6867</v>
      </c>
      <c r="G5822" s="2"/>
    </row>
    <row r="5823">
      <c r="A5823" s="64" t="s">
        <v>6876</v>
      </c>
      <c r="B5823" s="2" t="s">
        <v>6909</v>
      </c>
      <c r="D5823" s="2" t="s">
        <v>6867</v>
      </c>
      <c r="G5823" s="2"/>
    </row>
    <row r="5824">
      <c r="A5824" s="64" t="s">
        <v>6876</v>
      </c>
      <c r="B5824" s="2" t="s">
        <v>6910</v>
      </c>
      <c r="D5824" s="2" t="s">
        <v>6867</v>
      </c>
      <c r="G5824" s="2"/>
    </row>
    <row r="5825">
      <c r="A5825" s="64" t="s">
        <v>6876</v>
      </c>
      <c r="B5825" s="2" t="s">
        <v>6868</v>
      </c>
      <c r="D5825" s="2" t="s">
        <v>6867</v>
      </c>
      <c r="G5825" s="2"/>
    </row>
    <row r="5826">
      <c r="A5826" s="64" t="s">
        <v>6876</v>
      </c>
      <c r="B5826" s="2" t="s">
        <v>6911</v>
      </c>
      <c r="D5826" s="2" t="s">
        <v>6867</v>
      </c>
      <c r="G5826" s="2"/>
    </row>
    <row r="5827">
      <c r="A5827" s="64" t="s">
        <v>6876</v>
      </c>
      <c r="B5827" s="2" t="s">
        <v>6912</v>
      </c>
      <c r="D5827" s="2" t="s">
        <v>6867</v>
      </c>
      <c r="G5827" s="2"/>
    </row>
    <row r="5828">
      <c r="A5828" s="64" t="s">
        <v>6876</v>
      </c>
      <c r="B5828" s="2" t="s">
        <v>6913</v>
      </c>
      <c r="D5828" s="2" t="s">
        <v>6867</v>
      </c>
      <c r="G5828" s="2"/>
    </row>
    <row r="5829">
      <c r="A5829" s="64" t="s">
        <v>6876</v>
      </c>
      <c r="B5829" s="2" t="s">
        <v>6914</v>
      </c>
      <c r="D5829" s="2" t="s">
        <v>6867</v>
      </c>
      <c r="G5829" s="2"/>
    </row>
    <row r="5830">
      <c r="A5830" s="64" t="s">
        <v>6876</v>
      </c>
      <c r="B5830" s="2" t="s">
        <v>6915</v>
      </c>
      <c r="D5830" s="2" t="s">
        <v>6867</v>
      </c>
      <c r="G5830" s="2"/>
    </row>
    <row r="5831">
      <c r="A5831" s="64" t="s">
        <v>6876</v>
      </c>
      <c r="B5831" s="2" t="s">
        <v>6916</v>
      </c>
      <c r="D5831" s="2" t="s">
        <v>6867</v>
      </c>
      <c r="G5831" s="2"/>
    </row>
    <row r="5832">
      <c r="A5832" s="64" t="s">
        <v>6876</v>
      </c>
      <c r="B5832" s="2" t="s">
        <v>6917</v>
      </c>
      <c r="D5832" s="2" t="s">
        <v>6867</v>
      </c>
      <c r="G5832" s="2"/>
    </row>
    <row r="5833">
      <c r="A5833" s="64" t="s">
        <v>6876</v>
      </c>
      <c r="B5833" s="2" t="s">
        <v>6918</v>
      </c>
      <c r="D5833" s="2" t="s">
        <v>6867</v>
      </c>
      <c r="G5833" s="2"/>
    </row>
    <row r="5834">
      <c r="A5834" s="64" t="s">
        <v>6876</v>
      </c>
      <c r="B5834" s="2" t="s">
        <v>6920</v>
      </c>
      <c r="D5834" s="2" t="s">
        <v>6867</v>
      </c>
      <c r="G5834" s="2"/>
    </row>
    <row r="5835">
      <c r="A5835" s="64" t="s">
        <v>6876</v>
      </c>
      <c r="B5835" s="2" t="s">
        <v>6921</v>
      </c>
      <c r="D5835" s="2" t="s">
        <v>6867</v>
      </c>
      <c r="G5835" s="2"/>
    </row>
    <row r="5836">
      <c r="A5836" s="64" t="s">
        <v>6876</v>
      </c>
      <c r="B5836" s="2" t="s">
        <v>6922</v>
      </c>
      <c r="D5836" s="2" t="s">
        <v>6867</v>
      </c>
      <c r="G5836" s="2"/>
    </row>
    <row r="5837">
      <c r="A5837" s="64" t="s">
        <v>6876</v>
      </c>
      <c r="B5837" s="2" t="s">
        <v>6923</v>
      </c>
      <c r="D5837" s="2" t="s">
        <v>6867</v>
      </c>
      <c r="G5837" s="2"/>
    </row>
    <row r="5838">
      <c r="A5838" s="64" t="s">
        <v>6876</v>
      </c>
      <c r="B5838" s="2" t="s">
        <v>6924</v>
      </c>
      <c r="D5838" s="2" t="s">
        <v>6867</v>
      </c>
      <c r="G5838" s="2"/>
    </row>
    <row r="5839">
      <c r="A5839" s="64" t="s">
        <v>6876</v>
      </c>
      <c r="B5839" s="2" t="s">
        <v>6926</v>
      </c>
      <c r="D5839" s="2" t="s">
        <v>6867</v>
      </c>
      <c r="G5839" s="2"/>
    </row>
    <row r="5840">
      <c r="A5840" s="64" t="s">
        <v>6876</v>
      </c>
      <c r="B5840" s="2" t="s">
        <v>6928</v>
      </c>
      <c r="D5840" s="2" t="s">
        <v>6867</v>
      </c>
      <c r="G5840" s="2"/>
    </row>
    <row r="5841">
      <c r="A5841" s="64" t="s">
        <v>6876</v>
      </c>
      <c r="B5841" s="2" t="s">
        <v>6929</v>
      </c>
      <c r="D5841" s="2" t="s">
        <v>6867</v>
      </c>
      <c r="G5841" s="2"/>
    </row>
    <row r="5842">
      <c r="A5842" s="64" t="s">
        <v>6876</v>
      </c>
      <c r="B5842" s="2" t="s">
        <v>6930</v>
      </c>
      <c r="D5842" s="2" t="s">
        <v>6867</v>
      </c>
      <c r="G5842" s="2"/>
    </row>
    <row r="5843">
      <c r="A5843" s="64" t="s">
        <v>6876</v>
      </c>
      <c r="B5843" s="2" t="s">
        <v>6931</v>
      </c>
      <c r="D5843" s="2" t="s">
        <v>6867</v>
      </c>
      <c r="G5843" s="2"/>
    </row>
    <row r="5844">
      <c r="A5844" s="64" t="s">
        <v>6876</v>
      </c>
      <c r="B5844" s="2" t="s">
        <v>6932</v>
      </c>
      <c r="D5844" s="2" t="s">
        <v>6867</v>
      </c>
      <c r="G5844" s="2"/>
    </row>
    <row r="5845">
      <c r="A5845" s="64" t="s">
        <v>6876</v>
      </c>
      <c r="B5845" s="2" t="s">
        <v>6933</v>
      </c>
      <c r="D5845" s="2" t="s">
        <v>6867</v>
      </c>
      <c r="G5845" s="2"/>
    </row>
    <row r="5846">
      <c r="A5846" s="64" t="s">
        <v>6876</v>
      </c>
      <c r="B5846" s="2" t="s">
        <v>6934</v>
      </c>
      <c r="D5846" s="2" t="s">
        <v>6867</v>
      </c>
      <c r="G5846" s="2"/>
    </row>
    <row r="5847">
      <c r="A5847" s="64" t="s">
        <v>6876</v>
      </c>
      <c r="B5847" s="2" t="s">
        <v>6935</v>
      </c>
      <c r="D5847" s="2" t="s">
        <v>6867</v>
      </c>
      <c r="G5847" s="2"/>
    </row>
    <row r="5848">
      <c r="A5848" s="64" t="s">
        <v>6876</v>
      </c>
      <c r="B5848" s="2" t="s">
        <v>6936</v>
      </c>
      <c r="D5848" s="2" t="s">
        <v>6867</v>
      </c>
      <c r="G5848" s="2"/>
    </row>
    <row r="5849">
      <c r="A5849" s="64" t="s">
        <v>6876</v>
      </c>
      <c r="B5849" s="2" t="s">
        <v>6937</v>
      </c>
      <c r="D5849" s="2" t="s">
        <v>6867</v>
      </c>
      <c r="G5849" s="2"/>
    </row>
    <row r="5850">
      <c r="A5850" s="64" t="s">
        <v>6876</v>
      </c>
      <c r="B5850" s="2" t="s">
        <v>6938</v>
      </c>
      <c r="D5850" s="2" t="s">
        <v>6867</v>
      </c>
      <c r="G5850" s="2"/>
    </row>
    <row r="5851">
      <c r="A5851" s="64" t="s">
        <v>6876</v>
      </c>
      <c r="B5851" s="2" t="s">
        <v>6939</v>
      </c>
      <c r="D5851" s="2" t="s">
        <v>6867</v>
      </c>
      <c r="G5851" s="2"/>
    </row>
    <row r="5852">
      <c r="A5852" s="64" t="s">
        <v>6876</v>
      </c>
      <c r="B5852" s="2" t="s">
        <v>6869</v>
      </c>
      <c r="D5852" s="2" t="s">
        <v>6867</v>
      </c>
      <c r="G5852" s="2"/>
    </row>
    <row r="5853">
      <c r="A5853" s="64" t="s">
        <v>6876</v>
      </c>
      <c r="B5853" s="2" t="s">
        <v>6940</v>
      </c>
      <c r="D5853" s="2" t="s">
        <v>6867</v>
      </c>
      <c r="G5853" s="2"/>
    </row>
    <row r="5854">
      <c r="A5854" s="64" t="s">
        <v>6876</v>
      </c>
      <c r="B5854" s="2" t="s">
        <v>6942</v>
      </c>
      <c r="D5854" s="2" t="s">
        <v>6867</v>
      </c>
      <c r="G5854" s="2"/>
    </row>
    <row r="5855">
      <c r="A5855" s="64" t="s">
        <v>6876</v>
      </c>
      <c r="B5855" s="2" t="s">
        <v>6943</v>
      </c>
      <c r="D5855" s="2" t="s">
        <v>6867</v>
      </c>
      <c r="G5855" s="2"/>
    </row>
    <row r="5856">
      <c r="A5856" s="64" t="s">
        <v>6876</v>
      </c>
      <c r="B5856" s="2" t="s">
        <v>6944</v>
      </c>
      <c r="D5856" s="2" t="s">
        <v>6867</v>
      </c>
      <c r="G5856" s="2"/>
    </row>
    <row r="5857">
      <c r="A5857" s="64" t="s">
        <v>6876</v>
      </c>
      <c r="B5857" s="2" t="s">
        <v>6945</v>
      </c>
      <c r="D5857" s="2" t="s">
        <v>6867</v>
      </c>
      <c r="G5857" s="2"/>
    </row>
    <row r="5858">
      <c r="A5858" s="64" t="s">
        <v>6876</v>
      </c>
      <c r="B5858" s="2" t="s">
        <v>6947</v>
      </c>
      <c r="D5858" s="2" t="s">
        <v>6867</v>
      </c>
      <c r="G5858" s="2"/>
    </row>
    <row r="5859">
      <c r="A5859" s="64" t="s">
        <v>6876</v>
      </c>
      <c r="B5859" s="2" t="s">
        <v>6949</v>
      </c>
      <c r="D5859" s="2" t="s">
        <v>6867</v>
      </c>
      <c r="G5859" s="2"/>
    </row>
    <row r="5860">
      <c r="A5860" s="64" t="s">
        <v>6876</v>
      </c>
      <c r="B5860" s="2" t="s">
        <v>6950</v>
      </c>
      <c r="D5860" s="2" t="s">
        <v>6867</v>
      </c>
      <c r="G5860" s="2"/>
    </row>
    <row r="5861">
      <c r="A5861" s="64" t="s">
        <v>6876</v>
      </c>
      <c r="B5861" s="2" t="s">
        <v>6951</v>
      </c>
      <c r="D5861" s="2" t="s">
        <v>6867</v>
      </c>
      <c r="G5861" s="2"/>
    </row>
    <row r="5862">
      <c r="A5862" s="64" t="s">
        <v>6876</v>
      </c>
      <c r="B5862" s="2" t="s">
        <v>6957</v>
      </c>
      <c r="D5862" s="2" t="s">
        <v>6867</v>
      </c>
      <c r="G5862" s="2"/>
    </row>
    <row r="5863">
      <c r="A5863" s="64" t="s">
        <v>6876</v>
      </c>
      <c r="B5863" s="2" t="s">
        <v>6958</v>
      </c>
      <c r="D5863" s="2" t="s">
        <v>6867</v>
      </c>
      <c r="G5863" s="2"/>
    </row>
    <row r="5864">
      <c r="A5864" s="64" t="s">
        <v>6876</v>
      </c>
      <c r="B5864" s="2" t="s">
        <v>6959</v>
      </c>
      <c r="D5864" s="2" t="s">
        <v>6867</v>
      </c>
      <c r="G5864" s="2"/>
    </row>
    <row r="5865">
      <c r="A5865" s="64" t="s">
        <v>6876</v>
      </c>
      <c r="B5865" s="2" t="s">
        <v>6960</v>
      </c>
      <c r="D5865" s="2" t="s">
        <v>6867</v>
      </c>
      <c r="G5865" s="2"/>
    </row>
    <row r="5866">
      <c r="A5866" s="64" t="s">
        <v>6876</v>
      </c>
      <c r="B5866" s="2" t="s">
        <v>6961</v>
      </c>
      <c r="D5866" s="2" t="s">
        <v>6867</v>
      </c>
      <c r="G5866" s="2"/>
    </row>
    <row r="5867">
      <c r="A5867" s="64" t="s">
        <v>6876</v>
      </c>
      <c r="B5867" s="2" t="s">
        <v>6962</v>
      </c>
      <c r="D5867" s="2" t="s">
        <v>6867</v>
      </c>
      <c r="G5867" s="2"/>
    </row>
    <row r="5868">
      <c r="A5868" s="64" t="s">
        <v>6876</v>
      </c>
      <c r="B5868" s="2" t="s">
        <v>6963</v>
      </c>
      <c r="D5868" s="2" t="s">
        <v>6867</v>
      </c>
      <c r="G5868" s="2"/>
    </row>
    <row r="5869">
      <c r="A5869" s="64" t="s">
        <v>6876</v>
      </c>
      <c r="B5869" s="2" t="s">
        <v>6964</v>
      </c>
      <c r="D5869" s="2" t="s">
        <v>6867</v>
      </c>
      <c r="G5869" s="2"/>
    </row>
    <row r="5870">
      <c r="A5870" s="64" t="s">
        <v>6876</v>
      </c>
      <c r="B5870" s="2" t="s">
        <v>6965</v>
      </c>
      <c r="D5870" s="2" t="s">
        <v>6867</v>
      </c>
      <c r="G5870" s="2"/>
    </row>
    <row r="5871">
      <c r="A5871" s="64" t="s">
        <v>6876</v>
      </c>
      <c r="B5871" s="2" t="s">
        <v>6966</v>
      </c>
      <c r="D5871" s="2" t="s">
        <v>6867</v>
      </c>
      <c r="G5871" s="2"/>
    </row>
    <row r="5872">
      <c r="A5872" s="64" t="s">
        <v>6876</v>
      </c>
      <c r="B5872" s="2" t="s">
        <v>6967</v>
      </c>
      <c r="D5872" s="2" t="s">
        <v>6867</v>
      </c>
      <c r="G5872" s="2"/>
    </row>
    <row r="5873">
      <c r="A5873" s="64" t="s">
        <v>6876</v>
      </c>
      <c r="B5873" s="2" t="s">
        <v>6968</v>
      </c>
      <c r="D5873" s="2" t="s">
        <v>6867</v>
      </c>
      <c r="G5873" s="2"/>
    </row>
    <row r="5874">
      <c r="A5874" s="64" t="s">
        <v>6876</v>
      </c>
      <c r="B5874" s="2" t="s">
        <v>6969</v>
      </c>
      <c r="D5874" s="2" t="s">
        <v>6867</v>
      </c>
      <c r="G5874" s="2"/>
    </row>
    <row r="5875">
      <c r="A5875" s="64" t="s">
        <v>6876</v>
      </c>
      <c r="B5875" s="2" t="s">
        <v>6970</v>
      </c>
      <c r="D5875" s="2" t="s">
        <v>6867</v>
      </c>
      <c r="G5875" s="2"/>
    </row>
    <row r="5876">
      <c r="A5876" s="64" t="s">
        <v>6876</v>
      </c>
      <c r="B5876" s="2" t="s">
        <v>6971</v>
      </c>
      <c r="D5876" s="2" t="s">
        <v>6867</v>
      </c>
      <c r="G5876" s="2"/>
    </row>
    <row r="5877">
      <c r="A5877" s="64" t="s">
        <v>6876</v>
      </c>
      <c r="B5877" s="2" t="s">
        <v>6972</v>
      </c>
      <c r="D5877" s="2" t="s">
        <v>6867</v>
      </c>
      <c r="G5877" s="2"/>
    </row>
    <row r="5878">
      <c r="A5878" s="64" t="s">
        <v>6876</v>
      </c>
      <c r="B5878" s="2" t="s">
        <v>6974</v>
      </c>
      <c r="D5878" s="2" t="s">
        <v>6867</v>
      </c>
      <c r="G5878" s="2"/>
    </row>
    <row r="5879">
      <c r="A5879" s="64" t="s">
        <v>6876</v>
      </c>
      <c r="B5879" s="2" t="s">
        <v>6975</v>
      </c>
      <c r="D5879" s="2" t="s">
        <v>6867</v>
      </c>
      <c r="G5879" s="2"/>
    </row>
    <row r="5880">
      <c r="A5880" s="64" t="s">
        <v>6876</v>
      </c>
      <c r="B5880" s="2" t="s">
        <v>6976</v>
      </c>
      <c r="D5880" s="2" t="s">
        <v>6867</v>
      </c>
      <c r="G5880" s="2"/>
    </row>
    <row r="5881">
      <c r="A5881" s="64" t="s">
        <v>6876</v>
      </c>
      <c r="B5881" s="2" t="s">
        <v>6977</v>
      </c>
      <c r="D5881" s="2" t="s">
        <v>6867</v>
      </c>
      <c r="G5881" s="2"/>
    </row>
    <row r="5882">
      <c r="A5882" s="64" t="s">
        <v>6876</v>
      </c>
      <c r="B5882" s="2" t="s">
        <v>6978</v>
      </c>
      <c r="D5882" s="2" t="s">
        <v>6867</v>
      </c>
      <c r="G5882" s="2"/>
    </row>
    <row r="5883">
      <c r="A5883" s="64" t="s">
        <v>6876</v>
      </c>
      <c r="B5883" s="2" t="s">
        <v>6980</v>
      </c>
      <c r="D5883" s="2" t="s">
        <v>6867</v>
      </c>
      <c r="G5883" s="2"/>
    </row>
    <row r="5884">
      <c r="A5884" s="64" t="s">
        <v>6876</v>
      </c>
      <c r="B5884" s="2" t="s">
        <v>6982</v>
      </c>
      <c r="D5884" s="2" t="s">
        <v>6867</v>
      </c>
      <c r="G5884" s="2"/>
    </row>
    <row r="5885">
      <c r="A5885" s="64" t="s">
        <v>6876</v>
      </c>
      <c r="B5885" s="2" t="s">
        <v>6983</v>
      </c>
      <c r="D5885" s="2" t="s">
        <v>6867</v>
      </c>
      <c r="G5885" s="2"/>
    </row>
    <row r="5886">
      <c r="A5886" s="64" t="s">
        <v>6876</v>
      </c>
      <c r="B5886" s="2" t="s">
        <v>6866</v>
      </c>
      <c r="D5886" s="2" t="s">
        <v>6867</v>
      </c>
      <c r="G5886" s="2"/>
    </row>
    <row r="5887">
      <c r="A5887" s="64" t="s">
        <v>6876</v>
      </c>
      <c r="B5887" s="2" t="s">
        <v>6984</v>
      </c>
      <c r="D5887" s="2" t="s">
        <v>6867</v>
      </c>
      <c r="G5887" s="2"/>
    </row>
    <row r="5888">
      <c r="A5888" s="64" t="s">
        <v>6876</v>
      </c>
      <c r="B5888" s="2" t="s">
        <v>6985</v>
      </c>
      <c r="D5888" s="2" t="s">
        <v>6867</v>
      </c>
      <c r="G5888" s="2"/>
    </row>
    <row r="5889">
      <c r="A5889" s="64" t="s">
        <v>6876</v>
      </c>
      <c r="B5889" s="2" t="s">
        <v>6986</v>
      </c>
      <c r="D5889" s="2" t="s">
        <v>6867</v>
      </c>
      <c r="G5889" s="2"/>
    </row>
    <row r="5890">
      <c r="A5890" s="64" t="s">
        <v>6876</v>
      </c>
      <c r="B5890" s="2" t="s">
        <v>6987</v>
      </c>
      <c r="D5890" s="2" t="s">
        <v>6867</v>
      </c>
      <c r="G5890" s="2"/>
    </row>
    <row r="5891">
      <c r="A5891" s="64" t="s">
        <v>6876</v>
      </c>
      <c r="B5891" s="2" t="s">
        <v>6988</v>
      </c>
      <c r="D5891" s="2" t="s">
        <v>6867</v>
      </c>
      <c r="G5891" s="2"/>
    </row>
    <row r="5892">
      <c r="A5892" s="64" t="s">
        <v>6876</v>
      </c>
      <c r="B5892" s="2" t="s">
        <v>6989</v>
      </c>
      <c r="D5892" s="2" t="s">
        <v>6867</v>
      </c>
      <c r="G5892" s="2"/>
    </row>
    <row r="5893">
      <c r="A5893" s="64" t="s">
        <v>6876</v>
      </c>
      <c r="B5893" s="2" t="s">
        <v>6990</v>
      </c>
      <c r="D5893" s="2" t="s">
        <v>6867</v>
      </c>
      <c r="G5893" s="2"/>
    </row>
    <row r="5894">
      <c r="A5894" s="64" t="s">
        <v>6876</v>
      </c>
      <c r="B5894" s="2" t="s">
        <v>6991</v>
      </c>
      <c r="D5894" s="2" t="s">
        <v>6867</v>
      </c>
      <c r="G5894" s="2"/>
    </row>
    <row r="5895">
      <c r="A5895" s="64" t="s">
        <v>6876</v>
      </c>
      <c r="B5895" s="2" t="s">
        <v>6992</v>
      </c>
      <c r="D5895" s="2" t="s">
        <v>6867</v>
      </c>
      <c r="G5895" s="2"/>
    </row>
    <row r="5896">
      <c r="A5896" s="64" t="s">
        <v>6876</v>
      </c>
      <c r="B5896" s="2" t="s">
        <v>6993</v>
      </c>
      <c r="D5896" s="2" t="s">
        <v>6867</v>
      </c>
      <c r="G5896" s="2"/>
    </row>
    <row r="5897">
      <c r="A5897" s="64" t="s">
        <v>6876</v>
      </c>
      <c r="B5897" s="2" t="s">
        <v>6994</v>
      </c>
      <c r="D5897" s="2" t="s">
        <v>6867</v>
      </c>
      <c r="G5897" s="2"/>
    </row>
    <row r="5898">
      <c r="A5898" s="64" t="s">
        <v>6876</v>
      </c>
      <c r="B5898" s="2" t="s">
        <v>6996</v>
      </c>
      <c r="D5898" s="2" t="s">
        <v>6867</v>
      </c>
      <c r="G5898" s="2"/>
    </row>
    <row r="5899">
      <c r="A5899" s="64" t="s">
        <v>6876</v>
      </c>
      <c r="B5899" s="2" t="s">
        <v>6997</v>
      </c>
      <c r="D5899" s="2" t="s">
        <v>6867</v>
      </c>
      <c r="G5899" s="2"/>
    </row>
    <row r="5900">
      <c r="A5900" s="64" t="s">
        <v>6876</v>
      </c>
      <c r="B5900" s="2" t="s">
        <v>6998</v>
      </c>
      <c r="D5900" s="2" t="s">
        <v>6867</v>
      </c>
      <c r="G5900" s="2"/>
    </row>
    <row r="5901">
      <c r="A5901" s="64" t="s">
        <v>6876</v>
      </c>
      <c r="B5901" s="2" t="s">
        <v>6999</v>
      </c>
      <c r="D5901" s="2" t="s">
        <v>6867</v>
      </c>
      <c r="G5901" s="2"/>
    </row>
    <row r="5902">
      <c r="A5902" s="64" t="s">
        <v>6876</v>
      </c>
      <c r="B5902" s="2" t="s">
        <v>7000</v>
      </c>
      <c r="D5902" s="2" t="s">
        <v>6867</v>
      </c>
      <c r="G5902" s="2"/>
    </row>
    <row r="5903">
      <c r="A5903" s="64" t="s">
        <v>6876</v>
      </c>
      <c r="B5903" s="2" t="s">
        <v>7001</v>
      </c>
      <c r="D5903" s="2" t="s">
        <v>6867</v>
      </c>
      <c r="G5903" s="2"/>
    </row>
    <row r="5904">
      <c r="A5904" s="64" t="s">
        <v>6876</v>
      </c>
      <c r="B5904" s="2" t="s">
        <v>7003</v>
      </c>
      <c r="D5904" s="2" t="s">
        <v>6867</v>
      </c>
      <c r="G5904" s="2"/>
    </row>
    <row r="5905">
      <c r="A5905" s="64" t="s">
        <v>6876</v>
      </c>
      <c r="B5905" s="2" t="s">
        <v>7004</v>
      </c>
      <c r="D5905" s="2" t="s">
        <v>6867</v>
      </c>
      <c r="G5905" s="2"/>
    </row>
    <row r="5906">
      <c r="A5906" s="64" t="s">
        <v>6876</v>
      </c>
      <c r="B5906" s="2" t="s">
        <v>7005</v>
      </c>
      <c r="D5906" s="2" t="s">
        <v>6867</v>
      </c>
      <c r="G5906" s="2"/>
    </row>
    <row r="5907">
      <c r="A5907" s="64" t="s">
        <v>6876</v>
      </c>
      <c r="B5907" s="2" t="s">
        <v>7006</v>
      </c>
      <c r="D5907" s="2" t="s">
        <v>6867</v>
      </c>
      <c r="G5907" s="2"/>
    </row>
    <row r="5908">
      <c r="A5908" s="64" t="s">
        <v>6876</v>
      </c>
      <c r="B5908" s="2" t="s">
        <v>7007</v>
      </c>
      <c r="D5908" s="2" t="s">
        <v>6867</v>
      </c>
      <c r="G5908" s="2"/>
    </row>
    <row r="5909">
      <c r="A5909" s="64" t="s">
        <v>6876</v>
      </c>
      <c r="B5909" s="2" t="s">
        <v>7008</v>
      </c>
      <c r="D5909" s="2" t="s">
        <v>6867</v>
      </c>
      <c r="G5909" s="2"/>
    </row>
    <row r="5910">
      <c r="A5910" s="64" t="s">
        <v>6876</v>
      </c>
      <c r="B5910" s="2" t="s">
        <v>7009</v>
      </c>
      <c r="D5910" s="2" t="s">
        <v>6867</v>
      </c>
      <c r="G5910" s="2"/>
    </row>
    <row r="5911">
      <c r="A5911" s="64" t="s">
        <v>6876</v>
      </c>
      <c r="B5911" s="2" t="s">
        <v>7010</v>
      </c>
      <c r="D5911" s="2" t="s">
        <v>6867</v>
      </c>
      <c r="G5911" s="2"/>
    </row>
    <row r="5912">
      <c r="A5912" s="64" t="s">
        <v>6876</v>
      </c>
      <c r="B5912" s="2" t="s">
        <v>7011</v>
      </c>
      <c r="D5912" s="2" t="s">
        <v>6867</v>
      </c>
      <c r="G5912" s="2"/>
    </row>
    <row r="5913">
      <c r="A5913" s="64" t="s">
        <v>6876</v>
      </c>
      <c r="B5913" s="2" t="s">
        <v>7012</v>
      </c>
      <c r="D5913" s="2" t="s">
        <v>6867</v>
      </c>
      <c r="G5913" s="2"/>
    </row>
    <row r="5914">
      <c r="A5914" s="64" t="s">
        <v>6876</v>
      </c>
      <c r="B5914" s="2" t="s">
        <v>7013</v>
      </c>
      <c r="D5914" s="2" t="s">
        <v>6867</v>
      </c>
      <c r="G5914" s="2"/>
    </row>
    <row r="5915">
      <c r="A5915" s="64" t="s">
        <v>6876</v>
      </c>
      <c r="B5915" s="2" t="s">
        <v>7014</v>
      </c>
      <c r="D5915" s="2" t="s">
        <v>6867</v>
      </c>
      <c r="G5915" s="2"/>
    </row>
    <row r="5916">
      <c r="A5916" s="2" t="s">
        <v>7015</v>
      </c>
      <c r="B5916" s="2" t="s">
        <v>6686</v>
      </c>
      <c r="D5916" s="2"/>
      <c r="G5916" s="2" t="s">
        <v>6687</v>
      </c>
    </row>
    <row r="5917">
      <c r="A5917" s="2" t="s">
        <v>7015</v>
      </c>
      <c r="B5917" s="2" t="s">
        <v>6688</v>
      </c>
      <c r="D5917" s="2"/>
      <c r="G5917" s="2" t="s">
        <v>6687</v>
      </c>
    </row>
    <row r="5918">
      <c r="A5918" s="2" t="s">
        <v>7015</v>
      </c>
      <c r="B5918" s="2" t="s">
        <v>6689</v>
      </c>
      <c r="D5918" s="2"/>
      <c r="G5918" s="2" t="s">
        <v>6687</v>
      </c>
    </row>
    <row r="5919">
      <c r="A5919" s="2" t="s">
        <v>7015</v>
      </c>
      <c r="B5919" s="2" t="s">
        <v>6690</v>
      </c>
      <c r="D5919" s="2"/>
      <c r="G5919" s="2" t="s">
        <v>6687</v>
      </c>
    </row>
    <row r="5920">
      <c r="A5920" s="2" t="s">
        <v>7015</v>
      </c>
      <c r="B5920" s="2" t="s">
        <v>6691</v>
      </c>
      <c r="D5920" s="2"/>
      <c r="G5920" s="2" t="s">
        <v>6687</v>
      </c>
    </row>
    <row r="5921">
      <c r="A5921" s="2" t="s">
        <v>7015</v>
      </c>
      <c r="B5921" s="2" t="s">
        <v>6693</v>
      </c>
      <c r="D5921" s="2"/>
      <c r="G5921" s="2" t="s">
        <v>6687</v>
      </c>
    </row>
    <row r="5922">
      <c r="A5922" s="2" t="s">
        <v>7015</v>
      </c>
      <c r="B5922" s="2" t="s">
        <v>6694</v>
      </c>
      <c r="D5922" s="2"/>
      <c r="G5922" s="2" t="s">
        <v>6687</v>
      </c>
    </row>
    <row r="5923">
      <c r="A5923" s="2" t="s">
        <v>7015</v>
      </c>
      <c r="B5923" s="2" t="s">
        <v>6695</v>
      </c>
      <c r="D5923" s="2"/>
      <c r="G5923" s="2" t="s">
        <v>6687</v>
      </c>
    </row>
    <row r="5924">
      <c r="A5924" s="2" t="s">
        <v>7015</v>
      </c>
      <c r="B5924" s="2" t="s">
        <v>6696</v>
      </c>
      <c r="D5924" s="2"/>
      <c r="G5924" s="2" t="s">
        <v>6687</v>
      </c>
    </row>
    <row r="5925">
      <c r="A5925" s="2" t="s">
        <v>7015</v>
      </c>
      <c r="B5925" s="2" t="s">
        <v>6698</v>
      </c>
      <c r="D5925" s="2"/>
      <c r="G5925" s="2" t="s">
        <v>6687</v>
      </c>
    </row>
    <row r="5926">
      <c r="A5926" s="2" t="s">
        <v>7015</v>
      </c>
      <c r="B5926" s="2" t="s">
        <v>6699</v>
      </c>
      <c r="D5926" s="2"/>
      <c r="G5926" s="2" t="s">
        <v>6687</v>
      </c>
    </row>
    <row r="5927">
      <c r="A5927" s="2" t="s">
        <v>7015</v>
      </c>
      <c r="B5927" s="2" t="s">
        <v>6701</v>
      </c>
      <c r="D5927" s="2"/>
      <c r="G5927" s="2" t="s">
        <v>6687</v>
      </c>
    </row>
    <row r="5928">
      <c r="A5928" s="2" t="s">
        <v>7015</v>
      </c>
      <c r="B5928" s="2" t="s">
        <v>6702</v>
      </c>
      <c r="D5928" s="2"/>
      <c r="G5928" s="2" t="s">
        <v>6687</v>
      </c>
    </row>
    <row r="5929">
      <c r="A5929" s="2" t="s">
        <v>7015</v>
      </c>
      <c r="B5929" s="2" t="s">
        <v>6703</v>
      </c>
      <c r="D5929" s="2"/>
      <c r="G5929" s="2" t="s">
        <v>6687</v>
      </c>
    </row>
    <row r="5930">
      <c r="A5930" s="2" t="s">
        <v>7015</v>
      </c>
      <c r="B5930" s="2" t="s">
        <v>6704</v>
      </c>
      <c r="D5930" s="2"/>
      <c r="G5930" s="2" t="s">
        <v>6687</v>
      </c>
    </row>
    <row r="5931">
      <c r="A5931" s="2" t="s">
        <v>7015</v>
      </c>
      <c r="B5931" s="2" t="s">
        <v>6705</v>
      </c>
      <c r="D5931" s="2"/>
      <c r="G5931" s="2" t="s">
        <v>6687</v>
      </c>
    </row>
    <row r="5932">
      <c r="A5932" s="2" t="s">
        <v>7015</v>
      </c>
      <c r="B5932" s="2" t="s">
        <v>6706</v>
      </c>
      <c r="D5932" s="2"/>
      <c r="G5932" s="2" t="s">
        <v>6687</v>
      </c>
    </row>
    <row r="5933">
      <c r="A5933" s="2" t="s">
        <v>7015</v>
      </c>
      <c r="B5933" s="2" t="s">
        <v>6707</v>
      </c>
      <c r="D5933" s="2"/>
      <c r="G5933" s="2" t="s">
        <v>6687</v>
      </c>
    </row>
    <row r="5934">
      <c r="A5934" s="2" t="s">
        <v>7015</v>
      </c>
      <c r="B5934" s="2" t="s">
        <v>6708</v>
      </c>
      <c r="D5934" s="2"/>
      <c r="G5934" s="2" t="s">
        <v>6687</v>
      </c>
    </row>
    <row r="5935">
      <c r="A5935" s="2" t="s">
        <v>7015</v>
      </c>
      <c r="B5935" s="2" t="s">
        <v>6709</v>
      </c>
      <c r="D5935" s="2"/>
      <c r="G5935" s="2" t="s">
        <v>6687</v>
      </c>
    </row>
    <row r="5936">
      <c r="A5936" s="2" t="s">
        <v>7015</v>
      </c>
      <c r="B5936" s="2" t="s">
        <v>6711</v>
      </c>
      <c r="D5936" s="2"/>
      <c r="G5936" s="2" t="s">
        <v>6687</v>
      </c>
    </row>
    <row r="5937">
      <c r="A5937" s="2" t="s">
        <v>7015</v>
      </c>
      <c r="B5937" s="2" t="s">
        <v>6712</v>
      </c>
      <c r="D5937" s="2"/>
      <c r="G5937" s="2" t="s">
        <v>6687</v>
      </c>
    </row>
    <row r="5938">
      <c r="A5938" s="2" t="s">
        <v>7015</v>
      </c>
      <c r="B5938" s="2" t="s">
        <v>6713</v>
      </c>
      <c r="D5938" s="2"/>
      <c r="G5938" s="2" t="s">
        <v>6687</v>
      </c>
    </row>
    <row r="5939">
      <c r="A5939" s="2" t="s">
        <v>7015</v>
      </c>
      <c r="B5939" s="2" t="s">
        <v>6714</v>
      </c>
      <c r="D5939" s="2"/>
      <c r="G5939" s="2" t="s">
        <v>6687</v>
      </c>
    </row>
    <row r="5940">
      <c r="A5940" s="2" t="s">
        <v>7015</v>
      </c>
      <c r="B5940" s="2" t="s">
        <v>6715</v>
      </c>
      <c r="D5940" s="2"/>
      <c r="G5940" s="2" t="s">
        <v>6687</v>
      </c>
    </row>
    <row r="5941">
      <c r="A5941" s="2" t="s">
        <v>7015</v>
      </c>
      <c r="B5941" s="2" t="s">
        <v>6716</v>
      </c>
      <c r="D5941" s="2"/>
      <c r="G5941" s="2" t="s">
        <v>6687</v>
      </c>
    </row>
    <row r="5942">
      <c r="A5942" s="2" t="s">
        <v>7015</v>
      </c>
      <c r="B5942" s="2" t="s">
        <v>6717</v>
      </c>
      <c r="D5942" s="2"/>
      <c r="G5942" s="2" t="s">
        <v>6687</v>
      </c>
    </row>
    <row r="5943">
      <c r="A5943" s="2" t="s">
        <v>7015</v>
      </c>
      <c r="B5943" s="2" t="s">
        <v>6719</v>
      </c>
      <c r="D5943" s="2"/>
      <c r="G5943" s="2" t="s">
        <v>6687</v>
      </c>
    </row>
    <row r="5944">
      <c r="A5944" s="2" t="s">
        <v>7015</v>
      </c>
      <c r="B5944" s="2" t="s">
        <v>6720</v>
      </c>
      <c r="D5944" s="2"/>
      <c r="G5944" s="2" t="s">
        <v>6687</v>
      </c>
    </row>
    <row r="5945">
      <c r="A5945" s="2" t="s">
        <v>7015</v>
      </c>
      <c r="B5945" s="2" t="s">
        <v>6721</v>
      </c>
      <c r="D5945" s="2"/>
      <c r="G5945" s="2" t="s">
        <v>6687</v>
      </c>
    </row>
    <row r="5946">
      <c r="A5946" s="2" t="s">
        <v>7015</v>
      </c>
      <c r="B5946" s="2" t="s">
        <v>6722</v>
      </c>
      <c r="D5946" s="2"/>
      <c r="G5946" s="2" t="s">
        <v>6687</v>
      </c>
    </row>
    <row r="5947">
      <c r="A5947" s="2" t="s">
        <v>7015</v>
      </c>
      <c r="B5947" s="2" t="s">
        <v>6723</v>
      </c>
      <c r="D5947" s="2"/>
      <c r="G5947" s="2" t="s">
        <v>6687</v>
      </c>
    </row>
    <row r="5948">
      <c r="A5948" s="2" t="s">
        <v>7015</v>
      </c>
      <c r="B5948" s="2" t="s">
        <v>6724</v>
      </c>
      <c r="D5948" s="2"/>
      <c r="G5948" s="2" t="s">
        <v>6687</v>
      </c>
    </row>
    <row r="5949">
      <c r="A5949" s="2" t="s">
        <v>7015</v>
      </c>
      <c r="B5949" s="2" t="s">
        <v>6725</v>
      </c>
      <c r="D5949" s="2"/>
      <c r="G5949" s="2" t="s">
        <v>6687</v>
      </c>
    </row>
    <row r="5950">
      <c r="A5950" s="2" t="s">
        <v>7015</v>
      </c>
      <c r="B5950" s="2" t="s">
        <v>6726</v>
      </c>
      <c r="D5950" s="2"/>
      <c r="G5950" s="2" t="s">
        <v>6687</v>
      </c>
    </row>
    <row r="5951">
      <c r="A5951" s="2" t="s">
        <v>7015</v>
      </c>
      <c r="B5951" s="2" t="s">
        <v>6727</v>
      </c>
      <c r="D5951" s="2"/>
      <c r="G5951" s="2" t="s">
        <v>6687</v>
      </c>
    </row>
    <row r="5952">
      <c r="A5952" s="2" t="s">
        <v>7015</v>
      </c>
      <c r="B5952" s="2" t="s">
        <v>6728</v>
      </c>
      <c r="D5952" s="2"/>
      <c r="G5952" s="2" t="s">
        <v>6687</v>
      </c>
    </row>
    <row r="5953">
      <c r="A5953" s="2" t="s">
        <v>7015</v>
      </c>
      <c r="B5953" s="2" t="s">
        <v>6729</v>
      </c>
      <c r="D5953" s="2"/>
      <c r="G5953" s="2" t="s">
        <v>6687</v>
      </c>
    </row>
    <row r="5954">
      <c r="A5954" s="2" t="s">
        <v>7015</v>
      </c>
      <c r="B5954" s="2" t="s">
        <v>6730</v>
      </c>
      <c r="D5954" s="2"/>
      <c r="G5954" s="2" t="s">
        <v>6687</v>
      </c>
    </row>
    <row r="5955">
      <c r="A5955" s="2" t="s">
        <v>7015</v>
      </c>
      <c r="B5955" s="2" t="s">
        <v>6731</v>
      </c>
      <c r="D5955" s="2"/>
      <c r="G5955" s="2" t="s">
        <v>6687</v>
      </c>
    </row>
    <row r="5956">
      <c r="A5956" s="2" t="s">
        <v>7015</v>
      </c>
      <c r="B5956" s="2" t="s">
        <v>6732</v>
      </c>
      <c r="D5956" s="2"/>
      <c r="G5956" s="2" t="s">
        <v>6687</v>
      </c>
    </row>
    <row r="5957">
      <c r="A5957" s="2" t="s">
        <v>7015</v>
      </c>
      <c r="B5957" s="2" t="s">
        <v>6734</v>
      </c>
      <c r="D5957" s="2"/>
      <c r="G5957" s="2" t="s">
        <v>6687</v>
      </c>
    </row>
    <row r="5958">
      <c r="A5958" s="2" t="s">
        <v>7015</v>
      </c>
      <c r="B5958" s="2" t="s">
        <v>6735</v>
      </c>
      <c r="D5958" s="2"/>
      <c r="G5958" s="2" t="s">
        <v>6687</v>
      </c>
    </row>
    <row r="5959">
      <c r="A5959" s="2" t="s">
        <v>7015</v>
      </c>
      <c r="B5959" s="2" t="s">
        <v>6736</v>
      </c>
      <c r="D5959" s="2"/>
      <c r="G5959" s="2" t="s">
        <v>6687</v>
      </c>
    </row>
    <row r="5960">
      <c r="A5960" s="2" t="s">
        <v>7015</v>
      </c>
      <c r="B5960" s="2" t="s">
        <v>6737</v>
      </c>
      <c r="D5960" s="2"/>
      <c r="G5960" s="2" t="s">
        <v>6687</v>
      </c>
    </row>
    <row r="5961">
      <c r="A5961" s="2" t="s">
        <v>7015</v>
      </c>
      <c r="B5961" s="2" t="s">
        <v>6738</v>
      </c>
      <c r="D5961" s="2"/>
      <c r="G5961" s="2" t="s">
        <v>6687</v>
      </c>
    </row>
    <row r="5962">
      <c r="A5962" s="2" t="s">
        <v>7015</v>
      </c>
      <c r="B5962" s="2" t="s">
        <v>6739</v>
      </c>
      <c r="D5962" s="2"/>
      <c r="G5962" s="2" t="s">
        <v>6687</v>
      </c>
    </row>
    <row r="5963">
      <c r="A5963" s="2" t="s">
        <v>7015</v>
      </c>
      <c r="B5963" s="2" t="s">
        <v>6741</v>
      </c>
      <c r="D5963" s="2"/>
      <c r="G5963" s="2" t="s">
        <v>6687</v>
      </c>
    </row>
    <row r="5964">
      <c r="A5964" s="2" t="s">
        <v>7015</v>
      </c>
      <c r="B5964" s="2" t="s">
        <v>6742</v>
      </c>
      <c r="D5964" s="2"/>
      <c r="G5964" s="2" t="s">
        <v>6687</v>
      </c>
    </row>
    <row r="5965">
      <c r="A5965" s="2" t="s">
        <v>7015</v>
      </c>
      <c r="B5965" s="2" t="s">
        <v>6743</v>
      </c>
      <c r="D5965" s="2"/>
      <c r="G5965" s="2" t="s">
        <v>6687</v>
      </c>
    </row>
    <row r="5966">
      <c r="A5966" s="2" t="s">
        <v>7015</v>
      </c>
      <c r="B5966" s="2" t="s">
        <v>6744</v>
      </c>
      <c r="D5966" s="2"/>
      <c r="G5966" s="2" t="s">
        <v>6687</v>
      </c>
    </row>
    <row r="5967">
      <c r="A5967" s="2" t="s">
        <v>7015</v>
      </c>
      <c r="B5967" s="2" t="s">
        <v>6745</v>
      </c>
      <c r="D5967" s="2"/>
      <c r="G5967" s="2" t="s">
        <v>6687</v>
      </c>
    </row>
    <row r="5968">
      <c r="A5968" s="2" t="s">
        <v>7015</v>
      </c>
      <c r="B5968" s="2" t="s">
        <v>6746</v>
      </c>
      <c r="D5968" s="2"/>
      <c r="G5968" s="2" t="s">
        <v>6687</v>
      </c>
    </row>
    <row r="5969">
      <c r="A5969" s="2" t="s">
        <v>7015</v>
      </c>
      <c r="B5969" s="2" t="s">
        <v>6747</v>
      </c>
      <c r="D5969" s="2"/>
      <c r="G5969" s="2" t="s">
        <v>6687</v>
      </c>
    </row>
    <row r="5970">
      <c r="A5970" s="2" t="s">
        <v>7015</v>
      </c>
      <c r="B5970" s="2" t="s">
        <v>6748</v>
      </c>
      <c r="D5970" s="2"/>
      <c r="G5970" s="2" t="s">
        <v>6687</v>
      </c>
    </row>
    <row r="5971">
      <c r="A5971" s="2" t="s">
        <v>7015</v>
      </c>
      <c r="B5971" s="2" t="s">
        <v>6749</v>
      </c>
      <c r="D5971" s="2"/>
      <c r="G5971" s="2" t="s">
        <v>6687</v>
      </c>
    </row>
    <row r="5972">
      <c r="A5972" s="2" t="s">
        <v>7025</v>
      </c>
      <c r="B5972" s="2" t="s">
        <v>7026</v>
      </c>
      <c r="D5972" s="2"/>
      <c r="G5972" s="2" t="s">
        <v>6687</v>
      </c>
    </row>
    <row r="5973">
      <c r="A5973" s="2" t="s">
        <v>7025</v>
      </c>
      <c r="B5973" s="163" t="s">
        <v>7028</v>
      </c>
      <c r="D5973" s="2"/>
      <c r="G5973" s="2" t="s">
        <v>6687</v>
      </c>
    </row>
    <row r="5974">
      <c r="A5974" s="64" t="s">
        <v>7030</v>
      </c>
      <c r="B5974" s="2" t="s">
        <v>6720</v>
      </c>
      <c r="D5974" s="2"/>
      <c r="G5974" s="2" t="s">
        <v>6687</v>
      </c>
    </row>
    <row r="5975">
      <c r="A5975" s="64" t="s">
        <v>7030</v>
      </c>
      <c r="B5975" s="163" t="s">
        <v>6731</v>
      </c>
      <c r="D5975" s="2"/>
      <c r="G5975" s="2" t="s">
        <v>6687</v>
      </c>
    </row>
    <row r="5976">
      <c r="A5976" s="2" t="s">
        <v>7031</v>
      </c>
      <c r="B5976" s="2" t="s">
        <v>7032</v>
      </c>
      <c r="D5976" s="2"/>
      <c r="G5976" s="2" t="s">
        <v>7033</v>
      </c>
    </row>
    <row r="5977">
      <c r="A5977" s="2" t="s">
        <v>7031</v>
      </c>
      <c r="B5977" s="163" t="s">
        <v>7034</v>
      </c>
      <c r="D5977" s="2"/>
      <c r="G5977" s="2" t="s">
        <v>7033</v>
      </c>
    </row>
    <row r="5978">
      <c r="A5978" s="64" t="s">
        <v>7035</v>
      </c>
      <c r="B5978" s="2" t="s">
        <v>7034</v>
      </c>
      <c r="D5978" s="2"/>
      <c r="G5978" s="2" t="s">
        <v>7033</v>
      </c>
    </row>
    <row r="5979">
      <c r="A5979" s="64" t="s">
        <v>7035</v>
      </c>
      <c r="B5979" s="2" t="s">
        <v>7036</v>
      </c>
      <c r="D5979" s="2"/>
      <c r="G5979" s="2" t="s">
        <v>7033</v>
      </c>
    </row>
    <row r="5980">
      <c r="A5980" s="64" t="s">
        <v>7035</v>
      </c>
      <c r="B5980" s="2" t="s">
        <v>7037</v>
      </c>
      <c r="D5980" s="2"/>
      <c r="G5980" s="2" t="s">
        <v>7033</v>
      </c>
    </row>
    <row r="5981">
      <c r="A5981" s="64" t="s">
        <v>7035</v>
      </c>
      <c r="B5981" s="2" t="s">
        <v>7038</v>
      </c>
      <c r="D5981" s="2"/>
      <c r="G5981" s="2" t="s">
        <v>7033</v>
      </c>
    </row>
    <row r="5982">
      <c r="A5982" s="2" t="s">
        <v>7039</v>
      </c>
      <c r="B5982" s="2" t="s">
        <v>7040</v>
      </c>
      <c r="D5982" s="2"/>
      <c r="G5982" s="2" t="s">
        <v>7033</v>
      </c>
    </row>
    <row r="5983">
      <c r="A5983" s="2" t="s">
        <v>7039</v>
      </c>
      <c r="B5983" s="2" t="s">
        <v>7041</v>
      </c>
      <c r="D5983" s="2"/>
      <c r="G5983" s="2" t="s">
        <v>7033</v>
      </c>
    </row>
    <row r="5984">
      <c r="A5984" s="2" t="s">
        <v>7039</v>
      </c>
      <c r="B5984" s="2" t="s">
        <v>7040</v>
      </c>
      <c r="D5984" s="2"/>
      <c r="G5984" s="2" t="s">
        <v>7033</v>
      </c>
    </row>
    <row r="5985">
      <c r="A5985" s="2" t="s">
        <v>7039</v>
      </c>
      <c r="B5985" s="2" t="s">
        <v>7042</v>
      </c>
      <c r="D5985" s="2"/>
      <c r="G5985" s="2" t="s">
        <v>7033</v>
      </c>
    </row>
    <row r="5986">
      <c r="A5986" s="2" t="s">
        <v>7039</v>
      </c>
      <c r="B5986" s="2" t="s">
        <v>7043</v>
      </c>
      <c r="D5986" s="2"/>
      <c r="G5986" s="2" t="s">
        <v>7033</v>
      </c>
    </row>
    <row r="5987">
      <c r="A5987" s="2" t="s">
        <v>7039</v>
      </c>
      <c r="B5987" s="2" t="s">
        <v>7044</v>
      </c>
      <c r="D5987" s="2"/>
      <c r="G5987" s="2" t="s">
        <v>7033</v>
      </c>
    </row>
    <row r="5988">
      <c r="A5988" s="2" t="s">
        <v>7039</v>
      </c>
      <c r="B5988" s="2" t="s">
        <v>7046</v>
      </c>
      <c r="D5988" s="2"/>
      <c r="G5988" s="2" t="s">
        <v>7033</v>
      </c>
    </row>
    <row r="5989">
      <c r="A5989" s="2" t="s">
        <v>7039</v>
      </c>
      <c r="B5989" s="2" t="s">
        <v>7032</v>
      </c>
      <c r="D5989" s="2"/>
      <c r="G5989" s="2" t="s">
        <v>7033</v>
      </c>
    </row>
    <row r="5990">
      <c r="A5990" s="2" t="s">
        <v>7039</v>
      </c>
      <c r="B5990" s="2" t="s">
        <v>7047</v>
      </c>
      <c r="D5990" s="2"/>
      <c r="G5990" s="2" t="s">
        <v>7033</v>
      </c>
    </row>
    <row r="5991">
      <c r="A5991" s="2" t="s">
        <v>7039</v>
      </c>
      <c r="B5991" s="2" t="s">
        <v>7048</v>
      </c>
      <c r="D5991" s="2"/>
      <c r="G5991" s="2" t="s">
        <v>7033</v>
      </c>
    </row>
    <row r="5992">
      <c r="A5992" s="2" t="s">
        <v>7039</v>
      </c>
      <c r="B5992" s="2" t="s">
        <v>7049</v>
      </c>
      <c r="D5992" s="2"/>
      <c r="G5992" s="2" t="s">
        <v>7033</v>
      </c>
    </row>
    <row r="5993">
      <c r="A5993" s="2" t="s">
        <v>7039</v>
      </c>
      <c r="B5993" s="2" t="s">
        <v>7040</v>
      </c>
      <c r="D5993" s="2"/>
      <c r="G5993" s="2" t="s">
        <v>7033</v>
      </c>
    </row>
    <row r="5994">
      <c r="A5994" s="2" t="s">
        <v>7039</v>
      </c>
      <c r="B5994" s="2" t="s">
        <v>7051</v>
      </c>
      <c r="D5994" s="2"/>
      <c r="G5994" s="2" t="s">
        <v>7033</v>
      </c>
    </row>
    <row r="5995">
      <c r="A5995" s="2" t="s">
        <v>7039</v>
      </c>
      <c r="B5995" s="2" t="s">
        <v>7041</v>
      </c>
      <c r="D5995" s="2"/>
      <c r="G5995" s="2" t="s">
        <v>7033</v>
      </c>
    </row>
    <row r="5996">
      <c r="A5996" s="2" t="s">
        <v>7039</v>
      </c>
      <c r="B5996" s="2" t="s">
        <v>7053</v>
      </c>
      <c r="D5996" s="2"/>
      <c r="G5996" s="2" t="s">
        <v>7033</v>
      </c>
    </row>
    <row r="5997">
      <c r="A5997" s="2" t="s">
        <v>7039</v>
      </c>
      <c r="B5997" s="2" t="s">
        <v>7036</v>
      </c>
      <c r="D5997" s="2"/>
      <c r="G5997" s="2" t="s">
        <v>7033</v>
      </c>
    </row>
    <row r="5998">
      <c r="A5998" s="2" t="s">
        <v>7039</v>
      </c>
      <c r="B5998" s="2" t="s">
        <v>7040</v>
      </c>
      <c r="D5998" s="2"/>
      <c r="G5998" s="2" t="s">
        <v>7033</v>
      </c>
    </row>
    <row r="5999">
      <c r="A5999" s="2" t="s">
        <v>7039</v>
      </c>
      <c r="B5999" s="2" t="s">
        <v>7040</v>
      </c>
      <c r="D5999" s="2"/>
      <c r="G5999" s="2" t="s">
        <v>7033</v>
      </c>
    </row>
    <row r="6000">
      <c r="A6000" s="2" t="s">
        <v>7039</v>
      </c>
      <c r="B6000" s="2" t="s">
        <v>7054</v>
      </c>
      <c r="D6000" s="2"/>
      <c r="G6000" s="2" t="s">
        <v>7033</v>
      </c>
    </row>
    <row r="6001">
      <c r="A6001" s="2" t="s">
        <v>7039</v>
      </c>
      <c r="B6001" s="2" t="s">
        <v>7055</v>
      </c>
      <c r="D6001" s="2"/>
      <c r="G6001" s="2" t="s">
        <v>7033</v>
      </c>
    </row>
    <row r="6002">
      <c r="A6002" s="2" t="s">
        <v>7039</v>
      </c>
      <c r="B6002" s="2" t="s">
        <v>7032</v>
      </c>
      <c r="D6002" s="2"/>
      <c r="G6002" s="2" t="s">
        <v>7033</v>
      </c>
    </row>
    <row r="6003">
      <c r="A6003" s="2" t="s">
        <v>7039</v>
      </c>
      <c r="B6003" s="2" t="s">
        <v>7056</v>
      </c>
      <c r="D6003" s="2"/>
      <c r="G6003" s="2" t="s">
        <v>7033</v>
      </c>
    </row>
    <row r="6004">
      <c r="A6004" s="2" t="s">
        <v>7039</v>
      </c>
      <c r="B6004" s="2" t="s">
        <v>7057</v>
      </c>
      <c r="D6004" s="2"/>
      <c r="G6004" s="2" t="s">
        <v>7033</v>
      </c>
    </row>
    <row r="6005">
      <c r="A6005" s="2" t="s">
        <v>7039</v>
      </c>
      <c r="B6005" s="2" t="s">
        <v>7057</v>
      </c>
      <c r="D6005" s="2"/>
      <c r="G6005" s="2" t="s">
        <v>7033</v>
      </c>
    </row>
    <row r="6006">
      <c r="A6006" s="2" t="s">
        <v>7039</v>
      </c>
      <c r="B6006" s="2" t="s">
        <v>7058</v>
      </c>
      <c r="D6006" s="2"/>
      <c r="G6006" s="2" t="s">
        <v>7033</v>
      </c>
    </row>
    <row r="6007">
      <c r="A6007" s="2" t="s">
        <v>7039</v>
      </c>
      <c r="B6007" s="2" t="s">
        <v>7059</v>
      </c>
      <c r="D6007" s="2"/>
      <c r="G6007" s="2" t="s">
        <v>7033</v>
      </c>
    </row>
    <row r="6008">
      <c r="A6008" s="2" t="s">
        <v>7039</v>
      </c>
      <c r="B6008" s="2" t="s">
        <v>7041</v>
      </c>
      <c r="D6008" s="2"/>
      <c r="G6008" s="2" t="s">
        <v>7033</v>
      </c>
    </row>
    <row r="6009">
      <c r="A6009" s="2" t="s">
        <v>7039</v>
      </c>
      <c r="B6009" s="2" t="s">
        <v>7041</v>
      </c>
      <c r="D6009" s="2"/>
      <c r="G6009" s="2" t="s">
        <v>7033</v>
      </c>
    </row>
    <row r="6010">
      <c r="A6010" s="2" t="s">
        <v>7039</v>
      </c>
      <c r="B6010" s="2" t="s">
        <v>7040</v>
      </c>
      <c r="D6010" s="2"/>
      <c r="G6010" s="2" t="s">
        <v>7033</v>
      </c>
    </row>
    <row r="6011">
      <c r="A6011" s="2" t="s">
        <v>7039</v>
      </c>
      <c r="B6011" s="2" t="s">
        <v>7040</v>
      </c>
      <c r="D6011" s="2"/>
      <c r="G6011" s="2" t="s">
        <v>7033</v>
      </c>
    </row>
    <row r="6012">
      <c r="A6012" s="2" t="s">
        <v>7039</v>
      </c>
      <c r="B6012" s="2" t="s">
        <v>7040</v>
      </c>
      <c r="D6012" s="2"/>
      <c r="G6012" s="2" t="s">
        <v>7033</v>
      </c>
    </row>
    <row r="6013">
      <c r="A6013" s="2" t="s">
        <v>7039</v>
      </c>
      <c r="B6013" s="2" t="s">
        <v>7058</v>
      </c>
      <c r="D6013" s="2"/>
      <c r="G6013" s="2" t="s">
        <v>7033</v>
      </c>
    </row>
    <row r="6014">
      <c r="A6014" s="2" t="s">
        <v>7039</v>
      </c>
      <c r="B6014" s="2" t="s">
        <v>7040</v>
      </c>
      <c r="D6014" s="2"/>
      <c r="G6014" s="2" t="s">
        <v>7033</v>
      </c>
    </row>
    <row r="6015">
      <c r="A6015" s="2" t="s">
        <v>7039</v>
      </c>
      <c r="B6015" s="2" t="s">
        <v>7061</v>
      </c>
      <c r="D6015" s="2"/>
      <c r="G6015" s="2" t="s">
        <v>7033</v>
      </c>
    </row>
    <row r="6016">
      <c r="A6016" s="2" t="s">
        <v>7039</v>
      </c>
      <c r="B6016" s="2" t="s">
        <v>7062</v>
      </c>
      <c r="D6016" s="2"/>
      <c r="G6016" s="2" t="s">
        <v>7033</v>
      </c>
    </row>
    <row r="6017">
      <c r="A6017" s="2" t="s">
        <v>7039</v>
      </c>
      <c r="B6017" s="2" t="s">
        <v>7063</v>
      </c>
      <c r="D6017" s="2"/>
      <c r="G6017" s="2" t="s">
        <v>7033</v>
      </c>
    </row>
    <row r="6018">
      <c r="A6018" s="2" t="s">
        <v>7039</v>
      </c>
      <c r="B6018" s="2" t="s">
        <v>7065</v>
      </c>
      <c r="D6018" s="2"/>
      <c r="G6018" s="2" t="s">
        <v>7033</v>
      </c>
    </row>
    <row r="6019">
      <c r="A6019" s="2" t="s">
        <v>7039</v>
      </c>
      <c r="B6019" s="2" t="s">
        <v>7067</v>
      </c>
      <c r="D6019" s="2"/>
      <c r="G6019" s="2" t="s">
        <v>7033</v>
      </c>
    </row>
    <row r="6020">
      <c r="A6020" s="2" t="s">
        <v>7039</v>
      </c>
      <c r="B6020" s="2" t="s">
        <v>7038</v>
      </c>
      <c r="D6020" s="2"/>
      <c r="G6020" s="2" t="s">
        <v>7033</v>
      </c>
    </row>
    <row r="6021">
      <c r="A6021" s="2" t="s">
        <v>7039</v>
      </c>
      <c r="B6021" s="2" t="s">
        <v>7068</v>
      </c>
      <c r="D6021" s="2"/>
      <c r="G6021" s="2" t="s">
        <v>7033</v>
      </c>
    </row>
    <row r="6022">
      <c r="A6022" s="2" t="s">
        <v>7039</v>
      </c>
      <c r="B6022" s="2" t="s">
        <v>7069</v>
      </c>
      <c r="D6022" s="2"/>
      <c r="G6022" s="2" t="s">
        <v>7033</v>
      </c>
    </row>
    <row r="6023">
      <c r="A6023" s="2" t="s">
        <v>7039</v>
      </c>
      <c r="B6023" s="2" t="s">
        <v>7057</v>
      </c>
      <c r="D6023" s="2"/>
      <c r="G6023" s="2" t="s">
        <v>7033</v>
      </c>
    </row>
    <row r="6024">
      <c r="A6024" s="2" t="s">
        <v>7039</v>
      </c>
      <c r="B6024" s="2" t="s">
        <v>7070</v>
      </c>
      <c r="D6024" s="2"/>
      <c r="G6024" s="2" t="s">
        <v>7033</v>
      </c>
    </row>
    <row r="6025">
      <c r="A6025" s="2" t="s">
        <v>7039</v>
      </c>
      <c r="B6025" s="2" t="s">
        <v>7032</v>
      </c>
      <c r="D6025" s="2"/>
      <c r="G6025" s="2" t="s">
        <v>7033</v>
      </c>
    </row>
    <row r="6026">
      <c r="A6026" s="2" t="s">
        <v>7039</v>
      </c>
      <c r="B6026" s="2" t="s">
        <v>7071</v>
      </c>
      <c r="D6026" s="2"/>
      <c r="G6026" s="2" t="s">
        <v>7033</v>
      </c>
    </row>
    <row r="6027">
      <c r="A6027" s="2" t="s">
        <v>7039</v>
      </c>
      <c r="B6027" s="2" t="s">
        <v>7038</v>
      </c>
      <c r="D6027" s="2"/>
      <c r="G6027" s="2" t="s">
        <v>7033</v>
      </c>
    </row>
    <row r="6028">
      <c r="A6028" s="2" t="s">
        <v>7039</v>
      </c>
      <c r="B6028" s="2" t="s">
        <v>7072</v>
      </c>
      <c r="D6028" s="2"/>
      <c r="G6028" s="2" t="s">
        <v>7033</v>
      </c>
    </row>
    <row r="6029">
      <c r="A6029" s="2" t="s">
        <v>7039</v>
      </c>
      <c r="B6029" s="2" t="s">
        <v>7058</v>
      </c>
      <c r="D6029" s="2"/>
      <c r="G6029" s="2" t="s">
        <v>7033</v>
      </c>
    </row>
    <row r="6030">
      <c r="A6030" s="2" t="s">
        <v>7039</v>
      </c>
      <c r="B6030" s="2" t="s">
        <v>7073</v>
      </c>
      <c r="D6030" s="2"/>
      <c r="G6030" s="2" t="s">
        <v>7033</v>
      </c>
    </row>
    <row r="6031">
      <c r="A6031" s="2" t="s">
        <v>7039</v>
      </c>
      <c r="B6031" s="2" t="s">
        <v>7074</v>
      </c>
      <c r="D6031" s="2"/>
      <c r="G6031" s="2" t="s">
        <v>7033</v>
      </c>
    </row>
    <row r="6032">
      <c r="A6032" s="2" t="s">
        <v>7039</v>
      </c>
      <c r="B6032" s="2" t="s">
        <v>7075</v>
      </c>
      <c r="D6032" s="2"/>
      <c r="G6032" s="2" t="s">
        <v>7033</v>
      </c>
    </row>
    <row r="6033">
      <c r="A6033" s="2" t="s">
        <v>7039</v>
      </c>
      <c r="B6033" s="2" t="s">
        <v>7077</v>
      </c>
      <c r="D6033" s="2"/>
      <c r="G6033" s="2" t="s">
        <v>7033</v>
      </c>
    </row>
    <row r="6034">
      <c r="A6034" s="2" t="s">
        <v>7039</v>
      </c>
      <c r="B6034" s="2" t="s">
        <v>7040</v>
      </c>
      <c r="D6034" s="2"/>
      <c r="G6034" s="2" t="s">
        <v>7033</v>
      </c>
    </row>
    <row r="6035">
      <c r="A6035" s="2" t="s">
        <v>7039</v>
      </c>
      <c r="B6035" s="2" t="s">
        <v>7040</v>
      </c>
      <c r="D6035" s="2"/>
      <c r="G6035" s="2" t="s">
        <v>7033</v>
      </c>
    </row>
    <row r="6036">
      <c r="A6036" s="2" t="s">
        <v>7039</v>
      </c>
      <c r="B6036" s="2" t="s">
        <v>7038</v>
      </c>
      <c r="D6036" s="2"/>
      <c r="G6036" s="2" t="s">
        <v>7033</v>
      </c>
    </row>
    <row r="6037">
      <c r="A6037" s="2" t="s">
        <v>7039</v>
      </c>
      <c r="B6037" s="2" t="s">
        <v>7058</v>
      </c>
      <c r="D6037" s="2"/>
      <c r="G6037" s="2" t="s">
        <v>7033</v>
      </c>
    </row>
    <row r="6038">
      <c r="A6038" s="2" t="s">
        <v>7039</v>
      </c>
      <c r="B6038" s="2" t="s">
        <v>7062</v>
      </c>
      <c r="D6038" s="2"/>
      <c r="G6038" s="2" t="s">
        <v>7033</v>
      </c>
    </row>
    <row r="6039">
      <c r="A6039" s="2" t="s">
        <v>7039</v>
      </c>
      <c r="B6039" s="2" t="s">
        <v>7080</v>
      </c>
      <c r="D6039" s="2"/>
      <c r="G6039" s="2" t="s">
        <v>7033</v>
      </c>
    </row>
    <row r="6040">
      <c r="A6040" s="2" t="s">
        <v>7039</v>
      </c>
      <c r="B6040" s="2" t="s">
        <v>7040</v>
      </c>
      <c r="D6040" s="2"/>
      <c r="G6040" s="2" t="s">
        <v>7033</v>
      </c>
    </row>
    <row r="6041">
      <c r="A6041" s="2" t="s">
        <v>7039</v>
      </c>
      <c r="B6041" s="2" t="s">
        <v>7062</v>
      </c>
      <c r="D6041" s="2"/>
      <c r="G6041" s="2" t="s">
        <v>7033</v>
      </c>
    </row>
    <row r="6042">
      <c r="A6042" s="2" t="s">
        <v>7039</v>
      </c>
      <c r="B6042" s="2" t="s">
        <v>7061</v>
      </c>
      <c r="D6042" s="2"/>
      <c r="G6042" s="2" t="s">
        <v>7033</v>
      </c>
    </row>
    <row r="6043">
      <c r="A6043" s="2" t="s">
        <v>7039</v>
      </c>
      <c r="B6043" s="2" t="s">
        <v>7071</v>
      </c>
      <c r="D6043" s="2"/>
      <c r="G6043" s="2" t="s">
        <v>7033</v>
      </c>
    </row>
    <row r="6044">
      <c r="A6044" s="2" t="s">
        <v>7039</v>
      </c>
      <c r="B6044" s="2" t="s">
        <v>7062</v>
      </c>
      <c r="D6044" s="2"/>
      <c r="G6044" s="2" t="s">
        <v>7033</v>
      </c>
    </row>
    <row r="6045">
      <c r="A6045" s="2" t="s">
        <v>7039</v>
      </c>
      <c r="B6045" s="2" t="s">
        <v>7081</v>
      </c>
      <c r="D6045" s="2"/>
      <c r="G6045" s="2" t="s">
        <v>7033</v>
      </c>
    </row>
    <row r="6046">
      <c r="A6046" s="2" t="s">
        <v>7039</v>
      </c>
      <c r="B6046" s="2" t="s">
        <v>7082</v>
      </c>
      <c r="D6046" s="2"/>
      <c r="G6046" s="2" t="s">
        <v>7033</v>
      </c>
    </row>
    <row r="6047">
      <c r="A6047" s="2" t="s">
        <v>7039</v>
      </c>
      <c r="B6047" s="2" t="s">
        <v>7041</v>
      </c>
      <c r="D6047" s="2"/>
      <c r="G6047" s="2" t="s">
        <v>7033</v>
      </c>
    </row>
    <row r="6048">
      <c r="A6048" s="2" t="s">
        <v>7039</v>
      </c>
      <c r="B6048" s="2" t="s">
        <v>7083</v>
      </c>
      <c r="D6048" s="2"/>
      <c r="G6048" s="2" t="s">
        <v>7033</v>
      </c>
    </row>
    <row r="6049">
      <c r="A6049" s="2" t="s">
        <v>7039</v>
      </c>
      <c r="B6049" s="2" t="s">
        <v>7042</v>
      </c>
      <c r="D6049" s="2"/>
      <c r="G6049" s="2" t="s">
        <v>7033</v>
      </c>
    </row>
    <row r="6050">
      <c r="A6050" s="2" t="s">
        <v>7039</v>
      </c>
      <c r="B6050" s="2" t="s">
        <v>7037</v>
      </c>
      <c r="D6050" s="2"/>
      <c r="G6050" s="2" t="s">
        <v>7033</v>
      </c>
    </row>
    <row r="6051">
      <c r="A6051" s="2" t="s">
        <v>7039</v>
      </c>
      <c r="B6051" s="2" t="s">
        <v>7084</v>
      </c>
      <c r="D6051" s="2"/>
      <c r="G6051" s="2" t="s">
        <v>7033</v>
      </c>
    </row>
    <row r="6052">
      <c r="A6052" s="2" t="s">
        <v>7039</v>
      </c>
      <c r="B6052" s="2" t="s">
        <v>7082</v>
      </c>
      <c r="D6052" s="2"/>
      <c r="G6052" s="2" t="s">
        <v>7033</v>
      </c>
    </row>
    <row r="6053">
      <c r="A6053" s="2" t="s">
        <v>7039</v>
      </c>
      <c r="B6053" s="2" t="s">
        <v>7085</v>
      </c>
      <c r="D6053" s="2"/>
      <c r="G6053" s="2" t="s">
        <v>7033</v>
      </c>
    </row>
    <row r="6054">
      <c r="A6054" s="2" t="s">
        <v>7039</v>
      </c>
      <c r="B6054" s="2" t="s">
        <v>7086</v>
      </c>
      <c r="D6054" s="2"/>
      <c r="G6054" s="2" t="s">
        <v>7033</v>
      </c>
    </row>
    <row r="6055">
      <c r="A6055" s="2" t="s">
        <v>7039</v>
      </c>
      <c r="B6055" s="2" t="s">
        <v>7077</v>
      </c>
      <c r="D6055" s="2"/>
      <c r="G6055" s="2" t="s">
        <v>7033</v>
      </c>
    </row>
    <row r="6056">
      <c r="A6056" s="2" t="s">
        <v>7039</v>
      </c>
      <c r="B6056" s="2" t="s">
        <v>7075</v>
      </c>
      <c r="D6056" s="2"/>
      <c r="G6056" s="2" t="s">
        <v>7033</v>
      </c>
    </row>
    <row r="6057">
      <c r="A6057" s="2" t="s">
        <v>7039</v>
      </c>
      <c r="B6057" s="2" t="s">
        <v>7051</v>
      </c>
      <c r="D6057" s="2"/>
      <c r="G6057" s="2" t="s">
        <v>7033</v>
      </c>
    </row>
    <row r="6058">
      <c r="A6058" s="2" t="s">
        <v>7039</v>
      </c>
      <c r="B6058" s="2" t="s">
        <v>7049</v>
      </c>
      <c r="D6058" s="2"/>
      <c r="G6058" s="2" t="s">
        <v>7033</v>
      </c>
    </row>
    <row r="6059">
      <c r="A6059" s="2" t="s">
        <v>7039</v>
      </c>
      <c r="B6059" s="2" t="s">
        <v>7088</v>
      </c>
      <c r="D6059" s="2"/>
      <c r="G6059" s="2" t="s">
        <v>7033</v>
      </c>
    </row>
    <row r="6060">
      <c r="A6060" s="2" t="s">
        <v>7039</v>
      </c>
      <c r="B6060" s="2" t="s">
        <v>7089</v>
      </c>
      <c r="D6060" s="2"/>
      <c r="G6060" s="2" t="s">
        <v>7033</v>
      </c>
    </row>
    <row r="6061">
      <c r="A6061" s="2" t="s">
        <v>7039</v>
      </c>
      <c r="B6061" s="2" t="s">
        <v>7090</v>
      </c>
      <c r="D6061" s="2"/>
      <c r="G6061" s="2" t="s">
        <v>7033</v>
      </c>
    </row>
    <row r="6062">
      <c r="A6062" s="2" t="s">
        <v>7039</v>
      </c>
      <c r="B6062" s="2" t="s">
        <v>7070</v>
      </c>
      <c r="D6062" s="2"/>
      <c r="G6062" s="2" t="s">
        <v>7033</v>
      </c>
    </row>
    <row r="6063">
      <c r="A6063" s="2" t="s">
        <v>7039</v>
      </c>
      <c r="B6063" s="2" t="s">
        <v>7032</v>
      </c>
      <c r="D6063" s="2"/>
      <c r="G6063" s="2" t="s">
        <v>7033</v>
      </c>
    </row>
    <row r="6064">
      <c r="A6064" s="2" t="s">
        <v>7039</v>
      </c>
      <c r="B6064" s="2" t="s">
        <v>7090</v>
      </c>
      <c r="D6064" s="2"/>
      <c r="G6064" s="2" t="s">
        <v>7033</v>
      </c>
    </row>
    <row r="6065">
      <c r="A6065" s="2" t="s">
        <v>7039</v>
      </c>
      <c r="B6065" s="2" t="s">
        <v>7091</v>
      </c>
      <c r="D6065" s="2"/>
      <c r="G6065" s="2" t="s">
        <v>7033</v>
      </c>
    </row>
    <row r="6066">
      <c r="A6066" s="2" t="s">
        <v>7039</v>
      </c>
      <c r="B6066" s="2" t="s">
        <v>7081</v>
      </c>
      <c r="D6066" s="2"/>
      <c r="G6066" s="2" t="s">
        <v>7033</v>
      </c>
    </row>
    <row r="6067">
      <c r="A6067" s="2" t="s">
        <v>7039</v>
      </c>
      <c r="B6067" s="2" t="s">
        <v>7071</v>
      </c>
      <c r="D6067" s="2"/>
      <c r="G6067" s="2" t="s">
        <v>7033</v>
      </c>
    </row>
    <row r="6068">
      <c r="A6068" s="2" t="s">
        <v>7039</v>
      </c>
      <c r="B6068" s="2" t="s">
        <v>7038</v>
      </c>
      <c r="D6068" s="2"/>
      <c r="G6068" s="2" t="s">
        <v>7033</v>
      </c>
    </row>
    <row r="6069">
      <c r="A6069" s="2" t="s">
        <v>7039</v>
      </c>
      <c r="B6069" s="2" t="s">
        <v>7089</v>
      </c>
      <c r="D6069" s="2"/>
      <c r="G6069" s="2" t="s">
        <v>7033</v>
      </c>
    </row>
    <row r="6070">
      <c r="A6070" s="2" t="s">
        <v>7039</v>
      </c>
      <c r="B6070" s="2" t="s">
        <v>7081</v>
      </c>
      <c r="D6070" s="2"/>
      <c r="G6070" s="2" t="s">
        <v>7033</v>
      </c>
    </row>
    <row r="6071">
      <c r="A6071" s="2" t="s">
        <v>7039</v>
      </c>
      <c r="B6071" s="2" t="s">
        <v>7062</v>
      </c>
      <c r="D6071" s="2"/>
      <c r="G6071" s="2" t="s">
        <v>7033</v>
      </c>
    </row>
    <row r="6072">
      <c r="A6072" s="2" t="s">
        <v>7039</v>
      </c>
      <c r="B6072" s="2" t="s">
        <v>7093</v>
      </c>
      <c r="D6072" s="2"/>
      <c r="G6072" s="2" t="s">
        <v>7033</v>
      </c>
    </row>
    <row r="6073">
      <c r="A6073" s="2" t="s">
        <v>7039</v>
      </c>
      <c r="B6073" s="2" t="s">
        <v>7081</v>
      </c>
      <c r="D6073" s="2"/>
      <c r="G6073" s="2" t="s">
        <v>7033</v>
      </c>
    </row>
    <row r="6074">
      <c r="A6074" s="2" t="s">
        <v>7039</v>
      </c>
      <c r="B6074" s="2" t="s">
        <v>7067</v>
      </c>
      <c r="D6074" s="2"/>
      <c r="G6074" s="2" t="s">
        <v>7033</v>
      </c>
    </row>
    <row r="6075">
      <c r="A6075" s="2" t="s">
        <v>7039</v>
      </c>
      <c r="B6075" s="2" t="s">
        <v>7063</v>
      </c>
      <c r="D6075" s="2"/>
      <c r="G6075" s="2" t="s">
        <v>7033</v>
      </c>
    </row>
    <row r="6076">
      <c r="A6076" s="2" t="s">
        <v>7039</v>
      </c>
      <c r="B6076" s="2" t="s">
        <v>7057</v>
      </c>
      <c r="D6076" s="2"/>
      <c r="G6076" s="2" t="s">
        <v>7033</v>
      </c>
    </row>
    <row r="6077">
      <c r="A6077" s="2" t="s">
        <v>7039</v>
      </c>
      <c r="B6077" s="2" t="s">
        <v>7065</v>
      </c>
      <c r="D6077" s="2"/>
      <c r="G6077" s="2" t="s">
        <v>7033</v>
      </c>
    </row>
    <row r="6078">
      <c r="A6078" s="2" t="s">
        <v>7039</v>
      </c>
      <c r="B6078" s="2" t="s">
        <v>7094</v>
      </c>
      <c r="D6078" s="2"/>
      <c r="G6078" s="2" t="s">
        <v>7033</v>
      </c>
    </row>
    <row r="6079">
      <c r="A6079" s="2" t="s">
        <v>7039</v>
      </c>
      <c r="B6079" s="2" t="s">
        <v>7082</v>
      </c>
      <c r="D6079" s="2"/>
      <c r="G6079" s="2" t="s">
        <v>7033</v>
      </c>
    </row>
    <row r="6080">
      <c r="A6080" s="2" t="s">
        <v>7039</v>
      </c>
      <c r="B6080" s="2" t="s">
        <v>7040</v>
      </c>
      <c r="D6080" s="2"/>
      <c r="G6080" s="2" t="s">
        <v>7033</v>
      </c>
    </row>
    <row r="6081">
      <c r="A6081" s="2" t="s">
        <v>7039</v>
      </c>
      <c r="B6081" s="2" t="s">
        <v>7081</v>
      </c>
      <c r="D6081" s="2"/>
      <c r="G6081" s="2" t="s">
        <v>7033</v>
      </c>
    </row>
    <row r="6082">
      <c r="A6082" s="2" t="s">
        <v>7039</v>
      </c>
      <c r="B6082" s="2" t="s">
        <v>7042</v>
      </c>
      <c r="D6082" s="2"/>
      <c r="G6082" s="2" t="s">
        <v>7033</v>
      </c>
    </row>
    <row r="6083">
      <c r="A6083" s="2" t="s">
        <v>7039</v>
      </c>
      <c r="B6083" s="2" t="s">
        <v>7071</v>
      </c>
      <c r="D6083" s="2"/>
      <c r="G6083" s="2" t="s">
        <v>7033</v>
      </c>
    </row>
    <row r="6084">
      <c r="A6084" s="2" t="s">
        <v>7039</v>
      </c>
      <c r="B6084" s="2" t="s">
        <v>7061</v>
      </c>
      <c r="D6084" s="2"/>
      <c r="G6084" s="2" t="s">
        <v>7033</v>
      </c>
    </row>
    <row r="6085">
      <c r="A6085" s="2" t="s">
        <v>7096</v>
      </c>
      <c r="B6085" s="2" t="s">
        <v>7097</v>
      </c>
      <c r="D6085" s="2"/>
      <c r="G6085" s="2" t="s">
        <v>7098</v>
      </c>
    </row>
    <row r="6086">
      <c r="A6086" s="2"/>
      <c r="B6086" s="2"/>
      <c r="D6086" s="2"/>
      <c r="G6086" s="2"/>
    </row>
    <row r="6087">
      <c r="A6087" s="2"/>
      <c r="B6087" s="2"/>
      <c r="D6087" s="2"/>
      <c r="G6087" s="2"/>
    </row>
    <row r="6088">
      <c r="A6088" s="2"/>
      <c r="B6088" s="2"/>
      <c r="D6088" s="2"/>
      <c r="G6088" s="2"/>
    </row>
    <row r="6089">
      <c r="A6089" s="2"/>
      <c r="B6089" s="2"/>
      <c r="D6089" s="2"/>
      <c r="G6089" s="2"/>
    </row>
    <row r="6090">
      <c r="A6090" s="2"/>
      <c r="B6090" s="2"/>
      <c r="D6090" s="2"/>
      <c r="G6090" s="2"/>
    </row>
    <row r="6091">
      <c r="A6091" s="2"/>
      <c r="B6091" s="2"/>
      <c r="D6091" s="2"/>
      <c r="G6091" s="2"/>
    </row>
    <row r="6092">
      <c r="A6092" s="2"/>
      <c r="B6092" s="2"/>
      <c r="D6092" s="2"/>
      <c r="G6092" s="2"/>
    </row>
    <row r="6093">
      <c r="A6093" s="2"/>
      <c r="B6093" s="2"/>
      <c r="D6093" s="2"/>
      <c r="G6093" s="2"/>
    </row>
    <row r="6094">
      <c r="A6094" s="2"/>
      <c r="B6094" s="2"/>
      <c r="D6094" s="2"/>
      <c r="G6094" s="2"/>
    </row>
    <row r="6095">
      <c r="A6095" s="2"/>
      <c r="B6095" s="2"/>
      <c r="D6095" s="2"/>
      <c r="G6095" s="2"/>
    </row>
    <row r="6096">
      <c r="A6096" s="2"/>
      <c r="B6096" s="2"/>
      <c r="D6096" s="2"/>
      <c r="G6096" s="2"/>
    </row>
    <row r="6097">
      <c r="A6097" s="2"/>
      <c r="B6097" s="2"/>
      <c r="D6097" s="2"/>
      <c r="G6097" s="2"/>
    </row>
    <row r="6098">
      <c r="A6098" s="2"/>
      <c r="B6098" s="2"/>
      <c r="D6098" s="2"/>
      <c r="G6098" s="2"/>
    </row>
    <row r="6099">
      <c r="A6099" s="2"/>
      <c r="B6099" s="2"/>
      <c r="D6099" s="2"/>
      <c r="G6099" s="2"/>
    </row>
    <row r="6100">
      <c r="A6100" s="2"/>
      <c r="B6100" s="2"/>
      <c r="D6100" s="2"/>
      <c r="G6100" s="2"/>
    </row>
    <row r="6101">
      <c r="A6101" s="2"/>
      <c r="B6101" s="2"/>
      <c r="D6101" s="2"/>
      <c r="G6101" s="2"/>
    </row>
    <row r="6102">
      <c r="A6102" s="2"/>
      <c r="B6102" s="2"/>
      <c r="D6102" s="2"/>
      <c r="G6102" s="2"/>
    </row>
    <row r="6103">
      <c r="A6103" s="2"/>
      <c r="B6103" s="2"/>
      <c r="D6103" s="2"/>
      <c r="G6103" s="2"/>
    </row>
    <row r="6104">
      <c r="A6104" s="2"/>
      <c r="B6104" s="2"/>
      <c r="D6104" s="2"/>
      <c r="G6104" s="2"/>
    </row>
    <row r="6105">
      <c r="A6105" s="2"/>
      <c r="B6105" s="2"/>
      <c r="D6105" s="2"/>
      <c r="G6105" s="2"/>
    </row>
    <row r="6106">
      <c r="A6106" s="2"/>
      <c r="B6106" s="2"/>
      <c r="D6106" s="2"/>
      <c r="G6106" s="2"/>
    </row>
    <row r="6107">
      <c r="A6107" s="2"/>
      <c r="B6107" s="2"/>
      <c r="D6107" s="2"/>
      <c r="G6107" s="2"/>
    </row>
    <row r="6108">
      <c r="A6108" s="2"/>
      <c r="B6108" s="2"/>
      <c r="D6108" s="2"/>
      <c r="G6108" s="2"/>
    </row>
    <row r="6109">
      <c r="A6109" s="2"/>
      <c r="B6109" s="2"/>
      <c r="D6109" s="2"/>
      <c r="G6109" s="2"/>
    </row>
    <row r="6110">
      <c r="A6110" s="2"/>
      <c r="B6110" s="2"/>
      <c r="D6110" s="2"/>
      <c r="G6110" s="2"/>
    </row>
    <row r="6111">
      <c r="A6111" s="2"/>
      <c r="B6111" s="2"/>
      <c r="D6111" s="2"/>
      <c r="G6111" s="2"/>
    </row>
    <row r="6112">
      <c r="A6112" s="2"/>
      <c r="B6112" s="2"/>
      <c r="D6112" s="2"/>
      <c r="G6112" s="2"/>
    </row>
    <row r="6113">
      <c r="A6113" s="2"/>
      <c r="B6113" s="2"/>
      <c r="D6113" s="2"/>
      <c r="G6113" s="2"/>
    </row>
    <row r="6114">
      <c r="A6114" s="2"/>
      <c r="B6114" s="2"/>
      <c r="D6114" s="2"/>
      <c r="G6114" s="2"/>
    </row>
    <row r="6115">
      <c r="A6115" s="2"/>
      <c r="B6115" s="2"/>
      <c r="D6115" s="2"/>
      <c r="G6115" s="2"/>
    </row>
    <row r="6116">
      <c r="A6116" s="2"/>
      <c r="B6116" s="2"/>
      <c r="D6116" s="2"/>
      <c r="G6116" s="2"/>
    </row>
    <row r="6117">
      <c r="A6117" s="2"/>
      <c r="B6117" s="2"/>
      <c r="D6117" s="2"/>
      <c r="G6117" s="2"/>
    </row>
    <row r="6118">
      <c r="A6118" s="2"/>
      <c r="B6118" s="2"/>
      <c r="D6118" s="2"/>
      <c r="G6118" s="2"/>
    </row>
    <row r="6119">
      <c r="A6119" s="2"/>
      <c r="B6119" s="2"/>
      <c r="D6119" s="2"/>
      <c r="G6119" s="2"/>
    </row>
    <row r="6120">
      <c r="A6120" s="2"/>
      <c r="B6120" s="2"/>
      <c r="D6120" s="2"/>
      <c r="G6120" s="2"/>
    </row>
    <row r="6121">
      <c r="A6121" s="2"/>
      <c r="B6121" s="2"/>
      <c r="D6121" s="2"/>
      <c r="G6121" s="2"/>
    </row>
    <row r="6122">
      <c r="A6122" s="2"/>
      <c r="B6122" s="2"/>
      <c r="D6122" s="2"/>
      <c r="G6122" s="2"/>
    </row>
    <row r="6123">
      <c r="A6123" s="2"/>
      <c r="B6123" s="2"/>
      <c r="D6123" s="2"/>
      <c r="G6123" s="2"/>
    </row>
    <row r="6124">
      <c r="A6124" s="2"/>
      <c r="B6124" s="2"/>
      <c r="D6124" s="2"/>
      <c r="G6124" s="2"/>
    </row>
    <row r="6125">
      <c r="A6125" s="2"/>
      <c r="B6125" s="2"/>
      <c r="D6125" s="2"/>
      <c r="G6125" s="2"/>
    </row>
    <row r="6126">
      <c r="A6126" s="2"/>
      <c r="B6126" s="2"/>
      <c r="D6126" s="2"/>
      <c r="G6126" s="2"/>
    </row>
    <row r="6127">
      <c r="A6127" s="2"/>
      <c r="B6127" s="2"/>
      <c r="D6127" s="2"/>
      <c r="G6127" s="2"/>
    </row>
    <row r="6128">
      <c r="A6128" s="2"/>
      <c r="B6128" s="2"/>
      <c r="D6128" s="2"/>
      <c r="G6128" s="2"/>
    </row>
    <row r="6129">
      <c r="A6129" s="2"/>
      <c r="B6129" s="2"/>
      <c r="D6129" s="2"/>
      <c r="G6129" s="2"/>
    </row>
    <row r="6130">
      <c r="A6130" s="2"/>
      <c r="B6130" s="2"/>
      <c r="D6130" s="2"/>
      <c r="G6130" s="2"/>
    </row>
    <row r="6131">
      <c r="A6131" s="2"/>
      <c r="B6131" s="2"/>
      <c r="D6131" s="2"/>
      <c r="G6131" s="2"/>
    </row>
    <row r="6132">
      <c r="A6132" s="2"/>
      <c r="B6132" s="2"/>
      <c r="D6132" s="2"/>
      <c r="G6132" s="2"/>
    </row>
    <row r="6133">
      <c r="A6133" s="2"/>
      <c r="B6133" s="2"/>
      <c r="D6133" s="2"/>
      <c r="G6133" s="2"/>
    </row>
    <row r="6134">
      <c r="A6134" s="2"/>
      <c r="B6134" s="2"/>
      <c r="D6134" s="2"/>
      <c r="G6134" s="2"/>
    </row>
    <row r="6135">
      <c r="A6135" s="2"/>
      <c r="B6135" s="2"/>
      <c r="D6135" s="2"/>
      <c r="G6135" s="2"/>
    </row>
    <row r="6136">
      <c r="A6136" s="2"/>
      <c r="B6136" s="2"/>
      <c r="D6136" s="2"/>
      <c r="G6136" s="2"/>
    </row>
    <row r="6137">
      <c r="A6137" s="2"/>
      <c r="B6137" s="2"/>
      <c r="D6137" s="2"/>
      <c r="G6137" s="2"/>
    </row>
    <row r="6138">
      <c r="A6138" s="2"/>
      <c r="B6138" s="2"/>
      <c r="D6138" s="2"/>
      <c r="G6138" s="2"/>
    </row>
    <row r="6139">
      <c r="A6139" s="2"/>
      <c r="B6139" s="2"/>
      <c r="D6139" s="2"/>
      <c r="G6139" s="2"/>
    </row>
    <row r="6140">
      <c r="A6140" s="2"/>
      <c r="B6140" s="2"/>
      <c r="D6140" s="2"/>
      <c r="G6140" s="2"/>
    </row>
    <row r="6141">
      <c r="A6141" s="2"/>
      <c r="B6141" s="2"/>
      <c r="D6141" s="2"/>
      <c r="G6141" s="2"/>
    </row>
    <row r="6142">
      <c r="A6142" s="2"/>
      <c r="B6142" s="2"/>
      <c r="D6142" s="2"/>
      <c r="G6142" s="2"/>
    </row>
    <row r="6143">
      <c r="A6143" s="2"/>
      <c r="B6143" s="2"/>
      <c r="D6143" s="2"/>
      <c r="G6143" s="2"/>
    </row>
    <row r="6144">
      <c r="A6144" s="2"/>
      <c r="B6144" s="2"/>
      <c r="D6144" s="2"/>
      <c r="G6144" s="2"/>
    </row>
    <row r="6145">
      <c r="A6145" s="2"/>
      <c r="B6145" s="2"/>
      <c r="D6145" s="2"/>
      <c r="G6145" s="2"/>
    </row>
    <row r="6146">
      <c r="A6146" s="2"/>
      <c r="B6146" s="2"/>
      <c r="D6146" s="2"/>
      <c r="G6146" s="2"/>
    </row>
    <row r="6147">
      <c r="A6147" s="2"/>
      <c r="B6147" s="2"/>
      <c r="D6147" s="2"/>
      <c r="G6147" s="2"/>
    </row>
    <row r="6148">
      <c r="A6148" s="2"/>
      <c r="B6148" s="2"/>
      <c r="D6148" s="2"/>
      <c r="G6148" s="2"/>
    </row>
    <row r="6149">
      <c r="A6149" s="2"/>
      <c r="B6149" s="2"/>
      <c r="D6149" s="2"/>
      <c r="G6149" s="2"/>
    </row>
    <row r="6150">
      <c r="A6150" s="2"/>
      <c r="B6150" s="2"/>
      <c r="D6150" s="2"/>
      <c r="G6150" s="2"/>
    </row>
    <row r="6151">
      <c r="A6151" s="2"/>
      <c r="B6151" s="2"/>
      <c r="D6151" s="2"/>
      <c r="G6151" s="2"/>
    </row>
    <row r="6152">
      <c r="A6152" s="2"/>
      <c r="B6152" s="2"/>
      <c r="D6152" s="2"/>
      <c r="G6152" s="2"/>
    </row>
    <row r="6153">
      <c r="A6153" s="2"/>
      <c r="B6153" s="2"/>
      <c r="D6153" s="2"/>
      <c r="G6153" s="2"/>
    </row>
    <row r="6154">
      <c r="A6154" s="2"/>
      <c r="B6154" s="2"/>
      <c r="D6154" s="2"/>
      <c r="G6154" s="2"/>
    </row>
    <row r="6155">
      <c r="A6155" s="2"/>
      <c r="B6155" s="2"/>
      <c r="D6155" s="2"/>
      <c r="G6155" s="2"/>
    </row>
    <row r="6156">
      <c r="A6156" s="2"/>
      <c r="B6156" s="2"/>
      <c r="D6156" s="2"/>
      <c r="G6156" s="2"/>
    </row>
    <row r="6157">
      <c r="A6157" s="2"/>
      <c r="B6157" s="2"/>
      <c r="D6157" s="2"/>
      <c r="G6157" s="2"/>
    </row>
    <row r="6158">
      <c r="A6158" s="2"/>
      <c r="B6158" s="2"/>
      <c r="D6158" s="2"/>
      <c r="G6158" s="2"/>
    </row>
    <row r="6159">
      <c r="A6159" s="2"/>
      <c r="B6159" s="2"/>
      <c r="D6159" s="2"/>
      <c r="G6159" s="2"/>
    </row>
    <row r="6160">
      <c r="A6160" s="2"/>
      <c r="B6160" s="2"/>
      <c r="D6160" s="2"/>
      <c r="G6160" s="2"/>
    </row>
    <row r="6161">
      <c r="A6161" s="2"/>
      <c r="B6161" s="2"/>
      <c r="D6161" s="2"/>
      <c r="G6161" s="2"/>
    </row>
    <row r="6162">
      <c r="A6162" s="2"/>
      <c r="B6162" s="2"/>
      <c r="D6162" s="2"/>
      <c r="G6162" s="2"/>
    </row>
    <row r="6163">
      <c r="A6163" s="2"/>
      <c r="B6163" s="2"/>
      <c r="D6163" s="2"/>
      <c r="G6163" s="2"/>
    </row>
    <row r="6164">
      <c r="A6164" s="2"/>
      <c r="B6164" s="2"/>
      <c r="D6164" s="2"/>
      <c r="G6164" s="2"/>
    </row>
    <row r="6165">
      <c r="A6165" s="2"/>
      <c r="B6165" s="2"/>
      <c r="D6165" s="2"/>
      <c r="G6165" s="2"/>
    </row>
    <row r="6166">
      <c r="A6166" s="2"/>
      <c r="B6166" s="2"/>
      <c r="D6166" s="2"/>
      <c r="G6166" s="2"/>
    </row>
    <row r="6167">
      <c r="A6167" s="2"/>
      <c r="B6167" s="2"/>
      <c r="D6167" s="2"/>
      <c r="G6167" s="2"/>
    </row>
    <row r="6168">
      <c r="A6168" s="2"/>
      <c r="B6168" s="2"/>
      <c r="D6168" s="2"/>
      <c r="G6168" s="2"/>
    </row>
    <row r="6169">
      <c r="A6169" s="2"/>
      <c r="B6169" s="2"/>
      <c r="D6169" s="2"/>
      <c r="G6169" s="2"/>
    </row>
    <row r="6170">
      <c r="A6170" s="2"/>
      <c r="B6170" s="2"/>
      <c r="D6170" s="2"/>
      <c r="G6170" s="2"/>
    </row>
    <row r="6171">
      <c r="A6171" s="2"/>
      <c r="B6171" s="2"/>
      <c r="D6171" s="2"/>
      <c r="G6171" s="2"/>
    </row>
    <row r="6172">
      <c r="A6172" s="2"/>
      <c r="B6172" s="2"/>
      <c r="D6172" s="2"/>
      <c r="G6172" s="2"/>
    </row>
    <row r="6173">
      <c r="A6173" s="2"/>
      <c r="B6173" s="2"/>
      <c r="D6173" s="2"/>
      <c r="G6173" s="2"/>
    </row>
    <row r="6174">
      <c r="A6174" s="2"/>
      <c r="B6174" s="2"/>
      <c r="D6174" s="2"/>
      <c r="G6174" s="2"/>
    </row>
    <row r="6175">
      <c r="A6175" s="2"/>
      <c r="B6175" s="2"/>
      <c r="D6175" s="2"/>
      <c r="G6175" s="2"/>
    </row>
    <row r="6176">
      <c r="A6176" s="2"/>
      <c r="B6176" s="2"/>
      <c r="D6176" s="2"/>
      <c r="G6176" s="2"/>
    </row>
    <row r="6177">
      <c r="A6177" s="2"/>
      <c r="B6177" s="2"/>
      <c r="D6177" s="2"/>
      <c r="G6177" s="2"/>
    </row>
    <row r="6178">
      <c r="A6178" s="2"/>
      <c r="B6178" s="2"/>
      <c r="D6178" s="2"/>
      <c r="G6178" s="2"/>
    </row>
    <row r="6179">
      <c r="A6179" s="2"/>
      <c r="B6179" s="2"/>
      <c r="D6179" s="2"/>
      <c r="G6179" s="2"/>
    </row>
    <row r="6180">
      <c r="A6180" s="2"/>
      <c r="B6180" s="2"/>
      <c r="D6180" s="2"/>
      <c r="G6180" s="2"/>
    </row>
    <row r="6181">
      <c r="A6181" s="2"/>
      <c r="B6181" s="2"/>
      <c r="D6181" s="2"/>
      <c r="G6181" s="2"/>
    </row>
    <row r="6182">
      <c r="A6182" s="2"/>
      <c r="B6182" s="2"/>
      <c r="D6182" s="2"/>
      <c r="G6182" s="2"/>
    </row>
    <row r="6183">
      <c r="A6183" s="2"/>
      <c r="B6183" s="2"/>
      <c r="D6183" s="2"/>
      <c r="G6183" s="2"/>
    </row>
    <row r="6184">
      <c r="A6184" s="2"/>
      <c r="B6184" s="2"/>
      <c r="D6184" s="2"/>
      <c r="G6184" s="2"/>
    </row>
    <row r="6185">
      <c r="A6185" s="2"/>
      <c r="B6185" s="2"/>
      <c r="D6185" s="2"/>
      <c r="G6185" s="2"/>
    </row>
    <row r="6186">
      <c r="A6186" s="2"/>
      <c r="B6186" s="2"/>
      <c r="D6186" s="2"/>
      <c r="G6186" s="2"/>
    </row>
    <row r="6187">
      <c r="A6187" s="2"/>
      <c r="B6187" s="2"/>
      <c r="D6187" s="2"/>
      <c r="G6187" s="2"/>
    </row>
    <row r="6188">
      <c r="A6188" s="2"/>
      <c r="B6188" s="2"/>
      <c r="D6188" s="2"/>
      <c r="G6188" s="2"/>
    </row>
    <row r="6189">
      <c r="A6189" s="2"/>
      <c r="B6189" s="2"/>
      <c r="D6189" s="2"/>
      <c r="G6189" s="2"/>
    </row>
    <row r="6190">
      <c r="A6190" s="2"/>
      <c r="B6190" s="2"/>
      <c r="D6190" s="2"/>
      <c r="G6190" s="2"/>
    </row>
    <row r="6191">
      <c r="A6191" s="2"/>
      <c r="B6191" s="2"/>
      <c r="D6191" s="2"/>
      <c r="G6191" s="2"/>
    </row>
    <row r="6192">
      <c r="A6192" s="2"/>
      <c r="B6192" s="2"/>
      <c r="D6192" s="2"/>
      <c r="G6192" s="2"/>
    </row>
    <row r="6193">
      <c r="A6193" s="2"/>
      <c r="B6193" s="2"/>
      <c r="D6193" s="2"/>
      <c r="G6193" s="2"/>
    </row>
    <row r="6194">
      <c r="A6194" s="2"/>
      <c r="B6194" s="2"/>
      <c r="D6194" s="2"/>
      <c r="G6194" s="2"/>
    </row>
    <row r="6195">
      <c r="A6195" s="2"/>
      <c r="B6195" s="2"/>
      <c r="D6195" s="2"/>
      <c r="G6195" s="2"/>
    </row>
    <row r="6196">
      <c r="A6196" s="2"/>
      <c r="B6196" s="2"/>
      <c r="D6196" s="2"/>
      <c r="G6196" s="2"/>
    </row>
    <row r="6197">
      <c r="A6197" s="2"/>
      <c r="B6197" s="2"/>
      <c r="D6197" s="2"/>
      <c r="G6197" s="2"/>
    </row>
    <row r="6198">
      <c r="A6198" s="2"/>
      <c r="B6198" s="2"/>
      <c r="D6198" s="2"/>
      <c r="G6198" s="2"/>
    </row>
    <row r="6199">
      <c r="A6199" s="2"/>
      <c r="B6199" s="2"/>
      <c r="D6199" s="2"/>
      <c r="G6199" s="2"/>
    </row>
    <row r="6200">
      <c r="A6200" s="2"/>
      <c r="B6200" s="2"/>
      <c r="D6200" s="2"/>
      <c r="G6200" s="2"/>
    </row>
    <row r="6201">
      <c r="A6201" s="2"/>
      <c r="B6201" s="2"/>
      <c r="D6201" s="2"/>
      <c r="G6201" s="2"/>
    </row>
    <row r="6202">
      <c r="A6202" s="2"/>
      <c r="B6202" s="2"/>
      <c r="D6202" s="2"/>
      <c r="G6202" s="2"/>
    </row>
    <row r="6203">
      <c r="A6203" s="2"/>
      <c r="B6203" s="2"/>
      <c r="D6203" s="2"/>
      <c r="G6203" s="2"/>
    </row>
    <row r="6204">
      <c r="A6204" s="2"/>
      <c r="B6204" s="2"/>
      <c r="D6204" s="2"/>
      <c r="G6204" s="2"/>
    </row>
    <row r="6205">
      <c r="A6205" s="2"/>
      <c r="B6205" s="2"/>
      <c r="D6205" s="2"/>
      <c r="G6205" s="2"/>
    </row>
    <row r="6206">
      <c r="A6206" s="2"/>
      <c r="B6206" s="2"/>
      <c r="D6206" s="2"/>
      <c r="G6206" s="2"/>
    </row>
    <row r="6207">
      <c r="A6207" s="2"/>
      <c r="B6207" s="2"/>
      <c r="D6207" s="2"/>
      <c r="G6207" s="2"/>
    </row>
    <row r="6208">
      <c r="A6208" s="2"/>
      <c r="B6208" s="2"/>
      <c r="D6208" s="2"/>
      <c r="G6208" s="2"/>
    </row>
    <row r="6209">
      <c r="A6209" s="2"/>
      <c r="B6209" s="2"/>
      <c r="D6209" s="2"/>
      <c r="G6209" s="2"/>
    </row>
    <row r="6210">
      <c r="A6210" s="2"/>
      <c r="B6210" s="2"/>
      <c r="D6210" s="2"/>
      <c r="G6210" s="2"/>
    </row>
    <row r="6211">
      <c r="A6211" s="2"/>
      <c r="B6211" s="2"/>
      <c r="D6211" s="2"/>
      <c r="G6211" s="2"/>
    </row>
    <row r="6212">
      <c r="A6212" s="2"/>
      <c r="B6212" s="2"/>
      <c r="D6212" s="2"/>
      <c r="G6212" s="2"/>
    </row>
    <row r="6213">
      <c r="A6213" s="2"/>
      <c r="B6213" s="2"/>
      <c r="D6213" s="2"/>
      <c r="G6213" s="2"/>
    </row>
    <row r="6214">
      <c r="A6214" s="2"/>
      <c r="B6214" s="2"/>
      <c r="D6214" s="2"/>
      <c r="G6214" s="2"/>
    </row>
    <row r="6215">
      <c r="A6215" s="2"/>
      <c r="B6215" s="2"/>
      <c r="D6215" s="2"/>
      <c r="G6215" s="2"/>
    </row>
    <row r="6216">
      <c r="A6216" s="2"/>
      <c r="B6216" s="2"/>
      <c r="D6216" s="2"/>
      <c r="G6216" s="2"/>
    </row>
    <row r="6217">
      <c r="A6217" s="2"/>
      <c r="B6217" s="2"/>
      <c r="D6217" s="2"/>
      <c r="G6217" s="2"/>
    </row>
    <row r="6218">
      <c r="A6218" s="2"/>
      <c r="B6218" s="2"/>
      <c r="D6218" s="2"/>
      <c r="G6218" s="2"/>
    </row>
    <row r="6219">
      <c r="A6219" s="2"/>
      <c r="B6219" s="2"/>
      <c r="D6219" s="2"/>
      <c r="G6219" s="2"/>
    </row>
    <row r="6220">
      <c r="A6220" s="2"/>
      <c r="B6220" s="2"/>
      <c r="D6220" s="2"/>
      <c r="G6220" s="2"/>
    </row>
    <row r="6221">
      <c r="A6221" s="2"/>
      <c r="B6221" s="2"/>
      <c r="D6221" s="2"/>
      <c r="G6221" s="2"/>
    </row>
    <row r="6222">
      <c r="A6222" s="2"/>
      <c r="B6222" s="2"/>
      <c r="D6222" s="2"/>
      <c r="G6222" s="2"/>
    </row>
    <row r="6223">
      <c r="A6223" s="2"/>
      <c r="B6223" s="2"/>
      <c r="D6223" s="2"/>
      <c r="G6223" s="2"/>
    </row>
    <row r="6224">
      <c r="A6224" s="2"/>
      <c r="B6224" s="2"/>
      <c r="D6224" s="2"/>
      <c r="G6224" s="2"/>
    </row>
    <row r="6225">
      <c r="A6225" s="2"/>
      <c r="B6225" s="2"/>
      <c r="D6225" s="2"/>
      <c r="G6225" s="2"/>
    </row>
    <row r="6226">
      <c r="A6226" s="2"/>
      <c r="B6226" s="2"/>
      <c r="D6226" s="2"/>
      <c r="G6226" s="2"/>
    </row>
    <row r="6227">
      <c r="A6227" s="2"/>
      <c r="B6227" s="2"/>
      <c r="D6227" s="2"/>
      <c r="G6227" s="2"/>
    </row>
    <row r="6228">
      <c r="A6228" s="2"/>
      <c r="B6228" s="2"/>
      <c r="D6228" s="2"/>
      <c r="G6228" s="2"/>
    </row>
    <row r="6229">
      <c r="A6229" s="2"/>
      <c r="B6229" s="2"/>
      <c r="D6229" s="2"/>
      <c r="G6229" s="2"/>
    </row>
    <row r="6230">
      <c r="A6230" s="2"/>
      <c r="B6230" s="2"/>
      <c r="D6230" s="2"/>
      <c r="G6230" s="2"/>
    </row>
    <row r="6231">
      <c r="A6231" s="2"/>
      <c r="B6231" s="2"/>
      <c r="D6231" s="2"/>
      <c r="G6231" s="2"/>
    </row>
    <row r="6232">
      <c r="A6232" s="2"/>
      <c r="B6232" s="2"/>
      <c r="D6232" s="2"/>
      <c r="G6232" s="2"/>
    </row>
    <row r="6233">
      <c r="A6233" s="2"/>
      <c r="B6233" s="2"/>
      <c r="D6233" s="2"/>
      <c r="G6233" s="2"/>
    </row>
    <row r="6234">
      <c r="A6234" s="2"/>
      <c r="B6234" s="2"/>
      <c r="D6234" s="2"/>
      <c r="G6234" s="2"/>
    </row>
    <row r="6235">
      <c r="A6235" s="2"/>
      <c r="B6235" s="2"/>
      <c r="D6235" s="2"/>
      <c r="G6235" s="2"/>
    </row>
    <row r="6236">
      <c r="A6236" s="2"/>
      <c r="B6236" s="2"/>
      <c r="D6236" s="2"/>
      <c r="G6236" s="2"/>
    </row>
    <row r="6237">
      <c r="A6237" s="2"/>
      <c r="B6237" s="2"/>
      <c r="D6237" s="2"/>
      <c r="G6237" s="2"/>
    </row>
    <row r="6238">
      <c r="A6238" s="2"/>
      <c r="B6238" s="2"/>
      <c r="D6238" s="2"/>
      <c r="G6238" s="2"/>
    </row>
    <row r="6239">
      <c r="A6239" s="2"/>
      <c r="B6239" s="2"/>
      <c r="D6239" s="2"/>
      <c r="G6239" s="2"/>
    </row>
    <row r="6240">
      <c r="A6240" s="2"/>
      <c r="B6240" s="2"/>
      <c r="D6240" s="2"/>
      <c r="G6240" s="2"/>
    </row>
    <row r="6241">
      <c r="A6241" s="2"/>
      <c r="B6241" s="2"/>
      <c r="D6241" s="2"/>
      <c r="G6241" s="2"/>
    </row>
    <row r="6242">
      <c r="A6242" s="2"/>
      <c r="B6242" s="2"/>
      <c r="D6242" s="2"/>
      <c r="G6242" s="2"/>
    </row>
    <row r="6243">
      <c r="A6243" s="2"/>
      <c r="B6243" s="2"/>
      <c r="D6243" s="2"/>
      <c r="G6243" s="2"/>
    </row>
    <row r="6244">
      <c r="A6244" s="2"/>
      <c r="B6244" s="2"/>
      <c r="D6244" s="2"/>
      <c r="G6244" s="2"/>
    </row>
    <row r="6245">
      <c r="A6245" s="2"/>
      <c r="B6245" s="2"/>
      <c r="D6245" s="2"/>
      <c r="G6245" s="2"/>
    </row>
    <row r="6246">
      <c r="A6246" s="2"/>
      <c r="B6246" s="2"/>
      <c r="D6246" s="2"/>
      <c r="G6246" s="2"/>
    </row>
    <row r="6247">
      <c r="A6247" s="2"/>
      <c r="B6247" s="2"/>
      <c r="D6247" s="2"/>
      <c r="G6247" s="2"/>
    </row>
    <row r="6248">
      <c r="A6248" s="2"/>
      <c r="B6248" s="2"/>
      <c r="D6248" s="2"/>
      <c r="G6248" s="2"/>
    </row>
    <row r="6249">
      <c r="A6249" s="2"/>
      <c r="B6249" s="2"/>
      <c r="D6249" s="2"/>
      <c r="G6249" s="2"/>
    </row>
    <row r="6250">
      <c r="A6250" s="2"/>
      <c r="B6250" s="2"/>
      <c r="D6250" s="2"/>
      <c r="G6250" s="2"/>
    </row>
    <row r="6251">
      <c r="A6251" s="2"/>
      <c r="B6251" s="2"/>
      <c r="D6251" s="2"/>
      <c r="G6251" s="2"/>
    </row>
    <row r="6252">
      <c r="A6252" s="2"/>
      <c r="B6252" s="2"/>
      <c r="D6252" s="2"/>
      <c r="G6252" s="2"/>
    </row>
    <row r="6253">
      <c r="A6253" s="2"/>
      <c r="B6253" s="2"/>
      <c r="D6253" s="2"/>
      <c r="G6253" s="2"/>
    </row>
    <row r="6254">
      <c r="A6254" s="2"/>
      <c r="B6254" s="2"/>
      <c r="D6254" s="2"/>
      <c r="G6254" s="2"/>
    </row>
    <row r="6255">
      <c r="A6255" s="2"/>
      <c r="B6255" s="2"/>
      <c r="D6255" s="2"/>
      <c r="G6255" s="2"/>
    </row>
    <row r="6256">
      <c r="A6256" s="2"/>
      <c r="B6256" s="2"/>
      <c r="D6256" s="2"/>
      <c r="G6256" s="2"/>
    </row>
    <row r="6257">
      <c r="A6257" s="2"/>
      <c r="B6257" s="2"/>
      <c r="D6257" s="2"/>
      <c r="G6257" s="2"/>
    </row>
    <row r="6258">
      <c r="A6258" s="2"/>
      <c r="B6258" s="2"/>
      <c r="D6258" s="2"/>
      <c r="G6258" s="2"/>
    </row>
    <row r="6259">
      <c r="A6259" s="2"/>
      <c r="B6259" s="2"/>
      <c r="D6259" s="2"/>
      <c r="G6259" s="2"/>
    </row>
    <row r="6260">
      <c r="A6260" s="2"/>
      <c r="B6260" s="2"/>
      <c r="D6260" s="2"/>
      <c r="G6260" s="2"/>
    </row>
    <row r="6261">
      <c r="A6261" s="2"/>
      <c r="B6261" s="2"/>
      <c r="D6261" s="2"/>
      <c r="G6261" s="2"/>
    </row>
    <row r="6262">
      <c r="A6262" s="2"/>
      <c r="B6262" s="2"/>
      <c r="D6262" s="2"/>
      <c r="G6262" s="2"/>
    </row>
    <row r="6263">
      <c r="A6263" s="2"/>
      <c r="B6263" s="2"/>
      <c r="D6263" s="2"/>
      <c r="G6263" s="2"/>
    </row>
    <row r="6264">
      <c r="A6264" s="2"/>
      <c r="B6264" s="2"/>
      <c r="D6264" s="2"/>
      <c r="G6264" s="2"/>
    </row>
    <row r="6265">
      <c r="A6265" s="2"/>
      <c r="B6265" s="2"/>
      <c r="D6265" s="2"/>
      <c r="G6265" s="2"/>
    </row>
    <row r="6266">
      <c r="A6266" s="2"/>
      <c r="B6266" s="2"/>
      <c r="D6266" s="2"/>
      <c r="G6266" s="2"/>
    </row>
    <row r="6267">
      <c r="A6267" s="2"/>
      <c r="B6267" s="2"/>
      <c r="D6267" s="2"/>
      <c r="G6267" s="2"/>
    </row>
    <row r="6268">
      <c r="A6268" s="2"/>
      <c r="B6268" s="2"/>
      <c r="D6268" s="2"/>
      <c r="G6268" s="2"/>
    </row>
    <row r="6269">
      <c r="A6269" s="2"/>
      <c r="B6269" s="2"/>
      <c r="D6269" s="2"/>
      <c r="G6269" s="2"/>
    </row>
    <row r="6270">
      <c r="A6270" s="2"/>
      <c r="B6270" s="2"/>
      <c r="D6270" s="2"/>
      <c r="G6270" s="2"/>
    </row>
    <row r="6271">
      <c r="A6271" s="2"/>
      <c r="B6271" s="2"/>
      <c r="D6271" s="2"/>
      <c r="G6271" s="2"/>
    </row>
    <row r="6272">
      <c r="A6272" s="2"/>
      <c r="B6272" s="2"/>
      <c r="D6272" s="2"/>
      <c r="G6272" s="2"/>
    </row>
    <row r="6273">
      <c r="A6273" s="2"/>
      <c r="B6273" s="2"/>
      <c r="D6273" s="2"/>
      <c r="G6273" s="2"/>
    </row>
    <row r="6274">
      <c r="A6274" s="2"/>
      <c r="B6274" s="2"/>
      <c r="D6274" s="2"/>
      <c r="G6274" s="2"/>
    </row>
    <row r="6275">
      <c r="A6275" s="2"/>
      <c r="B6275" s="2"/>
      <c r="D6275" s="2"/>
      <c r="G6275" s="2"/>
    </row>
    <row r="6276">
      <c r="A6276" s="2"/>
      <c r="B6276" s="2"/>
      <c r="D6276" s="2"/>
      <c r="G6276" s="2"/>
    </row>
    <row r="6277">
      <c r="A6277" s="2"/>
      <c r="B6277" s="2"/>
      <c r="D6277" s="2"/>
      <c r="G6277" s="2"/>
    </row>
    <row r="6278">
      <c r="A6278" s="2"/>
      <c r="B6278" s="2"/>
      <c r="D6278" s="2"/>
      <c r="G6278" s="2"/>
    </row>
    <row r="6279">
      <c r="A6279" s="2"/>
      <c r="B6279" s="2"/>
      <c r="D6279" s="2"/>
      <c r="G6279" s="2"/>
    </row>
    <row r="6280">
      <c r="A6280" s="2"/>
      <c r="B6280" s="2"/>
      <c r="D6280" s="2"/>
      <c r="G6280" s="2"/>
    </row>
    <row r="6281">
      <c r="A6281" s="2"/>
      <c r="B6281" s="2"/>
      <c r="D6281" s="2"/>
      <c r="G6281" s="2"/>
    </row>
    <row r="6282">
      <c r="A6282" s="2"/>
      <c r="B6282" s="2"/>
      <c r="D6282" s="2"/>
      <c r="G6282" s="2"/>
    </row>
    <row r="6283">
      <c r="A6283" s="2"/>
      <c r="B6283" s="2"/>
      <c r="D6283" s="2"/>
      <c r="G6283" s="2"/>
    </row>
    <row r="6284">
      <c r="A6284" s="2"/>
      <c r="B6284" s="2"/>
      <c r="D6284" s="2"/>
      <c r="G6284" s="2"/>
    </row>
    <row r="6285">
      <c r="A6285" s="2"/>
      <c r="B6285" s="2"/>
      <c r="D6285" s="2"/>
      <c r="G6285" s="2"/>
    </row>
    <row r="6286">
      <c r="A6286" s="2"/>
      <c r="B6286" s="2"/>
      <c r="D6286" s="2"/>
      <c r="G6286" s="2"/>
    </row>
    <row r="6287">
      <c r="A6287" s="2"/>
      <c r="B6287" s="2"/>
      <c r="D6287" s="2"/>
      <c r="G6287" s="2"/>
    </row>
    <row r="6288">
      <c r="A6288" s="2"/>
      <c r="B6288" s="2"/>
      <c r="D6288" s="2"/>
      <c r="G6288" s="2"/>
    </row>
    <row r="6289">
      <c r="A6289" s="2"/>
      <c r="B6289" s="2"/>
      <c r="D6289" s="2"/>
      <c r="G6289" s="2"/>
    </row>
    <row r="6290">
      <c r="A6290" s="2"/>
      <c r="B6290" s="2"/>
      <c r="D6290" s="2"/>
      <c r="G6290" s="2"/>
    </row>
    <row r="6291">
      <c r="A6291" s="2"/>
      <c r="B6291" s="2"/>
      <c r="D6291" s="2"/>
      <c r="G6291" s="2"/>
    </row>
    <row r="6292">
      <c r="A6292" s="2"/>
      <c r="B6292" s="2"/>
      <c r="D6292" s="2"/>
      <c r="G6292" s="2"/>
    </row>
    <row r="6293">
      <c r="A6293" s="2"/>
      <c r="B6293" s="2"/>
      <c r="D6293" s="2"/>
      <c r="G6293" s="2"/>
    </row>
    <row r="6294">
      <c r="A6294" s="2"/>
      <c r="B6294" s="2"/>
      <c r="D6294" s="2"/>
      <c r="G6294" s="2"/>
    </row>
    <row r="6295">
      <c r="A6295" s="2"/>
      <c r="B6295" s="2"/>
      <c r="D6295" s="2"/>
      <c r="G6295" s="2"/>
    </row>
    <row r="6296">
      <c r="A6296" s="2"/>
      <c r="B6296" s="2"/>
      <c r="D6296" s="2"/>
      <c r="G6296" s="2"/>
    </row>
    <row r="6297">
      <c r="A6297" s="2"/>
      <c r="B6297" s="2"/>
      <c r="D6297" s="2"/>
      <c r="G6297" s="2"/>
    </row>
    <row r="6298">
      <c r="A6298" s="2"/>
      <c r="B6298" s="2"/>
      <c r="D6298" s="2"/>
      <c r="G6298" s="2"/>
    </row>
    <row r="6299">
      <c r="A6299" s="2"/>
      <c r="B6299" s="2"/>
      <c r="D6299" s="2"/>
      <c r="G6299" s="2"/>
    </row>
    <row r="6300">
      <c r="A6300" s="2"/>
      <c r="B6300" s="2"/>
      <c r="D6300" s="2"/>
      <c r="G6300" s="2"/>
    </row>
    <row r="6301">
      <c r="A6301" s="2"/>
      <c r="B6301" s="2"/>
      <c r="D6301" s="2"/>
      <c r="G6301" s="2"/>
    </row>
    <row r="6302">
      <c r="A6302" s="2"/>
      <c r="B6302" s="2"/>
      <c r="D6302" s="2"/>
      <c r="G6302" s="2"/>
    </row>
    <row r="6303">
      <c r="A6303" s="2"/>
      <c r="B6303" s="2"/>
      <c r="D6303" s="2"/>
      <c r="G6303" s="2"/>
    </row>
    <row r="6304">
      <c r="A6304" s="2"/>
      <c r="B6304" s="2"/>
      <c r="D6304" s="2"/>
      <c r="G6304" s="2"/>
    </row>
    <row r="6305">
      <c r="A6305" s="2"/>
      <c r="B6305" s="2"/>
      <c r="D6305" s="2"/>
      <c r="G6305" s="2"/>
    </row>
    <row r="6306">
      <c r="A6306" s="2"/>
      <c r="B6306" s="2"/>
      <c r="D6306" s="2"/>
      <c r="G6306" s="2"/>
    </row>
    <row r="6307">
      <c r="A6307" s="2"/>
      <c r="B6307" s="2"/>
      <c r="D6307" s="2"/>
      <c r="G6307" s="2"/>
    </row>
    <row r="6308">
      <c r="A6308" s="2"/>
      <c r="B6308" s="2"/>
      <c r="D6308" s="2"/>
      <c r="G6308" s="2"/>
    </row>
    <row r="6309">
      <c r="A6309" s="2"/>
      <c r="B6309" s="2"/>
      <c r="D6309" s="2"/>
      <c r="G6309" s="2"/>
    </row>
    <row r="6310">
      <c r="A6310" s="2"/>
      <c r="B6310" s="2"/>
      <c r="D6310" s="2"/>
      <c r="G6310" s="2"/>
    </row>
    <row r="6311">
      <c r="A6311" s="2"/>
      <c r="B6311" s="2"/>
      <c r="D6311" s="2"/>
      <c r="G6311" s="2"/>
    </row>
    <row r="6312">
      <c r="A6312" s="2"/>
      <c r="B6312" s="2"/>
      <c r="D6312" s="2"/>
      <c r="G6312" s="2"/>
    </row>
    <row r="6313">
      <c r="A6313" s="2"/>
      <c r="B6313" s="2"/>
      <c r="D6313" s="2"/>
      <c r="G6313" s="2"/>
    </row>
    <row r="6314">
      <c r="A6314" s="2"/>
      <c r="B6314" s="2"/>
      <c r="D6314" s="2"/>
      <c r="G6314" s="2"/>
    </row>
    <row r="6315">
      <c r="A6315" s="2"/>
      <c r="B6315" s="2"/>
      <c r="D6315" s="2"/>
      <c r="G6315" s="2"/>
    </row>
    <row r="6316">
      <c r="A6316" s="2"/>
      <c r="B6316" s="2"/>
      <c r="D6316" s="2"/>
      <c r="G6316" s="2"/>
    </row>
    <row r="6317">
      <c r="A6317" s="2"/>
      <c r="B6317" s="2"/>
      <c r="D6317" s="2"/>
      <c r="G6317" s="2"/>
    </row>
    <row r="6318">
      <c r="A6318" s="2"/>
      <c r="B6318" s="2"/>
      <c r="D6318" s="2"/>
      <c r="G6318" s="2"/>
    </row>
    <row r="6319">
      <c r="A6319" s="2"/>
      <c r="B6319" s="2"/>
      <c r="D6319" s="2"/>
      <c r="G6319" s="2"/>
    </row>
    <row r="6320">
      <c r="A6320" s="2"/>
      <c r="B6320" s="2"/>
      <c r="D6320" s="2"/>
      <c r="G6320" s="2"/>
    </row>
    <row r="6321">
      <c r="A6321" s="2"/>
      <c r="B6321" s="2"/>
      <c r="D6321" s="2"/>
      <c r="G6321" s="2"/>
    </row>
    <row r="6322">
      <c r="A6322" s="2"/>
      <c r="B6322" s="2"/>
      <c r="D6322" s="2"/>
      <c r="G6322" s="2"/>
    </row>
    <row r="6323">
      <c r="A6323" s="2"/>
      <c r="B6323" s="2"/>
      <c r="D6323" s="2"/>
      <c r="G6323" s="2"/>
    </row>
    <row r="6324">
      <c r="A6324" s="2"/>
      <c r="B6324" s="2"/>
      <c r="D6324" s="2"/>
      <c r="G6324" s="2"/>
    </row>
    <row r="6325">
      <c r="A6325" s="2"/>
      <c r="B6325" s="2"/>
      <c r="D6325" s="2"/>
      <c r="G6325" s="2"/>
    </row>
    <row r="6326">
      <c r="A6326" s="2"/>
      <c r="B6326" s="2"/>
      <c r="D6326" s="2"/>
      <c r="G6326" s="2"/>
    </row>
    <row r="6327">
      <c r="A6327" s="2"/>
      <c r="B6327" s="2"/>
      <c r="D6327" s="2"/>
      <c r="G6327" s="2"/>
    </row>
    <row r="6328">
      <c r="A6328" s="2"/>
      <c r="B6328" s="2"/>
      <c r="D6328" s="2"/>
      <c r="G6328" s="2"/>
    </row>
    <row r="6329">
      <c r="A6329" s="2"/>
      <c r="B6329" s="2"/>
      <c r="D6329" s="2"/>
      <c r="G6329" s="2"/>
    </row>
    <row r="6330">
      <c r="A6330" s="2"/>
      <c r="B6330" s="2"/>
      <c r="D6330" s="2"/>
      <c r="G6330" s="2"/>
    </row>
    <row r="6331">
      <c r="A6331" s="2"/>
      <c r="B6331" s="2"/>
      <c r="D6331" s="2"/>
      <c r="G6331" s="2"/>
    </row>
    <row r="6332">
      <c r="A6332" s="2"/>
      <c r="B6332" s="2"/>
      <c r="D6332" s="2"/>
      <c r="G6332" s="2"/>
    </row>
    <row r="6333">
      <c r="A6333" s="2"/>
      <c r="B6333" s="2"/>
      <c r="D6333" s="2"/>
      <c r="G6333" s="2"/>
    </row>
    <row r="6334">
      <c r="A6334" s="2"/>
      <c r="B6334" s="2"/>
      <c r="D6334" s="2"/>
      <c r="G6334" s="2"/>
    </row>
    <row r="6335">
      <c r="A6335" s="2"/>
      <c r="B6335" s="2"/>
      <c r="D6335" s="2"/>
      <c r="G6335" s="2"/>
    </row>
    <row r="6336">
      <c r="A6336" s="2"/>
      <c r="B6336" s="2"/>
      <c r="D6336" s="2"/>
      <c r="G6336" s="2"/>
    </row>
    <row r="6337">
      <c r="A6337" s="2"/>
      <c r="B6337" s="2"/>
      <c r="D6337" s="2"/>
      <c r="G6337" s="2"/>
    </row>
    <row r="6338">
      <c r="A6338" s="2"/>
      <c r="B6338" s="2"/>
      <c r="D6338" s="2"/>
      <c r="G6338" s="2"/>
    </row>
    <row r="6339">
      <c r="A6339" s="2"/>
      <c r="B6339" s="2"/>
      <c r="D6339" s="2"/>
      <c r="G6339" s="2"/>
    </row>
    <row r="6340">
      <c r="A6340" s="2"/>
      <c r="B6340" s="2"/>
      <c r="D6340" s="2"/>
      <c r="G6340" s="2"/>
    </row>
    <row r="6341">
      <c r="A6341" s="2"/>
      <c r="B6341" s="2"/>
      <c r="D6341" s="2"/>
      <c r="G6341" s="2"/>
    </row>
    <row r="6342">
      <c r="A6342" s="2"/>
      <c r="B6342" s="2"/>
      <c r="D6342" s="2"/>
      <c r="G6342" s="2"/>
    </row>
    <row r="6343">
      <c r="A6343" s="2"/>
      <c r="B6343" s="2"/>
      <c r="D6343" s="2"/>
      <c r="G6343" s="2"/>
    </row>
    <row r="6344">
      <c r="A6344" s="2"/>
      <c r="B6344" s="2"/>
      <c r="D6344" s="2"/>
      <c r="G6344" s="2"/>
    </row>
    <row r="6345">
      <c r="A6345" s="2"/>
      <c r="B6345" s="2"/>
      <c r="D6345" s="2"/>
      <c r="G6345" s="2"/>
    </row>
    <row r="6346">
      <c r="A6346" s="2"/>
      <c r="B6346" s="2"/>
      <c r="D6346" s="2"/>
      <c r="G6346" s="2"/>
    </row>
    <row r="6347">
      <c r="A6347" s="2"/>
      <c r="B6347" s="2"/>
      <c r="D6347" s="2"/>
      <c r="G6347" s="2"/>
    </row>
    <row r="6348">
      <c r="A6348" s="2"/>
      <c r="B6348" s="2"/>
      <c r="D6348" s="2"/>
      <c r="G6348" s="2"/>
    </row>
    <row r="6349">
      <c r="A6349" s="2"/>
      <c r="B6349" s="2"/>
      <c r="D6349" s="2"/>
      <c r="G6349" s="2"/>
    </row>
    <row r="6350">
      <c r="A6350" s="2"/>
      <c r="B6350" s="2"/>
      <c r="D6350" s="2"/>
      <c r="G6350" s="2"/>
    </row>
    <row r="6351">
      <c r="A6351" s="2"/>
      <c r="B6351" s="2"/>
      <c r="D6351" s="2"/>
      <c r="G6351" s="2"/>
    </row>
    <row r="6352">
      <c r="A6352" s="2"/>
      <c r="B6352" s="2"/>
      <c r="D6352" s="2"/>
      <c r="G6352" s="2"/>
    </row>
    <row r="6353">
      <c r="A6353" s="2"/>
      <c r="B6353" s="2"/>
      <c r="D6353" s="2"/>
      <c r="G6353" s="2"/>
    </row>
    <row r="6354">
      <c r="A6354" s="2"/>
      <c r="B6354" s="2"/>
      <c r="D6354" s="2"/>
      <c r="G6354" s="2"/>
    </row>
    <row r="6355">
      <c r="A6355" s="2"/>
      <c r="B6355" s="2"/>
      <c r="D6355" s="2"/>
      <c r="G6355" s="2"/>
    </row>
    <row r="6356">
      <c r="A6356" s="2"/>
      <c r="B6356" s="2"/>
      <c r="D6356" s="2"/>
      <c r="G6356" s="2"/>
    </row>
    <row r="6357">
      <c r="A6357" s="2"/>
      <c r="B6357" s="2"/>
      <c r="D6357" s="2"/>
      <c r="G6357" s="2"/>
    </row>
    <row r="6358">
      <c r="A6358" s="2"/>
      <c r="B6358" s="2"/>
      <c r="D6358" s="2"/>
      <c r="G6358" s="2"/>
    </row>
    <row r="6359">
      <c r="A6359" s="2"/>
      <c r="B6359" s="2"/>
      <c r="D6359" s="2"/>
      <c r="G6359" s="2"/>
    </row>
    <row r="6360">
      <c r="A6360" s="2"/>
      <c r="B6360" s="2"/>
      <c r="D6360" s="2"/>
      <c r="G6360" s="2"/>
    </row>
    <row r="6361">
      <c r="A6361" s="2"/>
      <c r="B6361" s="2"/>
      <c r="D6361" s="2"/>
      <c r="G6361" s="2"/>
    </row>
    <row r="6362">
      <c r="A6362" s="2"/>
      <c r="B6362" s="2"/>
      <c r="D6362" s="2"/>
      <c r="G6362" s="2"/>
    </row>
    <row r="6363">
      <c r="A6363" s="2"/>
      <c r="B6363" s="2"/>
      <c r="D6363" s="2"/>
      <c r="G6363" s="2"/>
    </row>
    <row r="6364">
      <c r="A6364" s="2"/>
      <c r="B6364" s="2"/>
      <c r="D6364" s="2"/>
      <c r="G6364" s="2"/>
    </row>
    <row r="6365">
      <c r="A6365" s="2"/>
      <c r="B6365" s="2"/>
      <c r="D6365" s="2"/>
      <c r="G6365" s="2"/>
    </row>
    <row r="6366">
      <c r="A6366" s="2"/>
      <c r="B6366" s="2"/>
      <c r="D6366" s="2"/>
      <c r="G6366" s="2"/>
    </row>
    <row r="6367">
      <c r="A6367" s="2"/>
      <c r="B6367" s="2"/>
      <c r="D6367" s="2"/>
      <c r="G6367" s="2"/>
    </row>
    <row r="6368">
      <c r="A6368" s="2"/>
      <c r="B6368" s="2"/>
      <c r="D6368" s="2"/>
      <c r="G6368" s="2"/>
    </row>
    <row r="6369">
      <c r="A6369" s="2"/>
      <c r="B6369" s="2"/>
      <c r="D6369" s="2"/>
      <c r="G6369" s="2"/>
    </row>
    <row r="6370">
      <c r="A6370" s="2"/>
      <c r="B6370" s="2"/>
      <c r="D6370" s="2"/>
      <c r="G6370" s="2"/>
    </row>
    <row r="6371">
      <c r="A6371" s="2"/>
      <c r="B6371" s="2"/>
      <c r="D6371" s="2"/>
      <c r="G6371" s="2"/>
    </row>
    <row r="6372">
      <c r="A6372" s="2"/>
      <c r="B6372" s="2"/>
      <c r="D6372" s="2"/>
      <c r="G6372" s="2"/>
    </row>
    <row r="6373">
      <c r="A6373" s="2"/>
      <c r="B6373" s="2"/>
      <c r="D6373" s="2"/>
      <c r="G6373" s="2"/>
    </row>
    <row r="6374">
      <c r="A6374" s="2"/>
      <c r="B6374" s="2"/>
      <c r="D6374" s="2"/>
      <c r="G6374" s="2"/>
    </row>
    <row r="6375">
      <c r="A6375" s="2"/>
      <c r="B6375" s="2"/>
      <c r="D6375" s="2"/>
      <c r="G6375" s="2"/>
    </row>
    <row r="6376">
      <c r="A6376" s="2"/>
      <c r="B6376" s="2"/>
      <c r="D6376" s="2"/>
      <c r="G6376" s="2"/>
    </row>
    <row r="6377">
      <c r="A6377" s="2"/>
      <c r="B6377" s="2"/>
      <c r="D6377" s="2"/>
      <c r="G6377" s="2"/>
    </row>
    <row r="6378">
      <c r="A6378" s="2"/>
      <c r="B6378" s="2"/>
      <c r="D6378" s="2"/>
      <c r="G6378" s="2"/>
    </row>
    <row r="6379">
      <c r="A6379" s="2"/>
      <c r="B6379" s="2"/>
      <c r="D6379" s="2"/>
      <c r="G6379" s="2"/>
    </row>
    <row r="6380">
      <c r="A6380" s="2"/>
      <c r="B6380" s="2"/>
      <c r="D6380" s="2"/>
      <c r="G6380" s="2"/>
    </row>
    <row r="6381">
      <c r="A6381" s="2"/>
      <c r="B6381" s="2"/>
      <c r="D6381" s="2"/>
      <c r="G6381" s="2"/>
    </row>
    <row r="6382">
      <c r="A6382" s="2"/>
      <c r="B6382" s="2"/>
      <c r="D6382" s="2"/>
      <c r="G6382" s="2"/>
    </row>
    <row r="6383">
      <c r="A6383" s="2"/>
      <c r="B6383" s="2"/>
      <c r="D6383" s="2"/>
      <c r="G6383" s="2"/>
    </row>
    <row r="6384">
      <c r="A6384" s="2"/>
      <c r="B6384" s="2"/>
      <c r="D6384" s="2"/>
      <c r="G6384" s="2"/>
    </row>
    <row r="6385">
      <c r="A6385" s="2"/>
      <c r="B6385" s="2"/>
      <c r="D6385" s="2"/>
      <c r="G6385" s="2"/>
    </row>
    <row r="6386">
      <c r="A6386" s="2"/>
      <c r="B6386" s="2"/>
      <c r="D6386" s="2"/>
      <c r="G6386" s="2"/>
    </row>
    <row r="6387">
      <c r="A6387" s="2"/>
      <c r="B6387" s="2"/>
      <c r="D6387" s="2"/>
      <c r="G6387" s="2"/>
    </row>
    <row r="6388">
      <c r="A6388" s="2"/>
      <c r="B6388" s="2"/>
      <c r="D6388" s="2"/>
      <c r="G6388" s="2"/>
    </row>
    <row r="6389">
      <c r="A6389" s="2"/>
      <c r="B6389" s="2"/>
      <c r="D6389" s="2"/>
      <c r="G6389" s="2"/>
    </row>
    <row r="6390">
      <c r="A6390" s="2"/>
      <c r="B6390" s="2"/>
      <c r="D6390" s="2"/>
      <c r="G6390" s="2"/>
    </row>
    <row r="6391">
      <c r="A6391" s="2"/>
      <c r="B6391" s="2"/>
      <c r="D6391" s="2"/>
      <c r="G6391" s="2"/>
    </row>
    <row r="6392">
      <c r="A6392" s="2"/>
      <c r="B6392" s="2"/>
      <c r="D6392" s="2"/>
      <c r="G6392" s="2"/>
    </row>
    <row r="6393">
      <c r="A6393" s="2"/>
      <c r="B6393" s="2"/>
      <c r="D6393" s="2"/>
      <c r="G6393" s="2"/>
    </row>
    <row r="6394">
      <c r="A6394" s="2"/>
      <c r="B6394" s="2"/>
      <c r="D6394" s="2"/>
      <c r="G6394" s="2"/>
    </row>
    <row r="6395">
      <c r="A6395" s="2"/>
      <c r="B6395" s="2"/>
      <c r="D6395" s="2"/>
      <c r="G6395" s="2"/>
    </row>
    <row r="6396">
      <c r="A6396" s="2"/>
      <c r="B6396" s="2"/>
      <c r="D6396" s="2"/>
      <c r="G6396" s="2"/>
    </row>
    <row r="6397">
      <c r="A6397" s="2"/>
      <c r="B6397" s="2"/>
      <c r="D6397" s="2"/>
      <c r="G6397" s="2"/>
    </row>
    <row r="6398">
      <c r="A6398" s="2"/>
      <c r="B6398" s="2"/>
      <c r="D6398" s="2"/>
      <c r="G6398" s="2"/>
    </row>
    <row r="6399">
      <c r="A6399" s="2"/>
      <c r="B6399" s="2"/>
      <c r="D6399" s="2"/>
      <c r="G6399" s="2"/>
    </row>
    <row r="6400">
      <c r="A6400" s="2"/>
      <c r="B6400" s="2"/>
      <c r="D6400" s="2"/>
      <c r="G6400" s="2"/>
    </row>
    <row r="6401">
      <c r="A6401" s="2"/>
      <c r="B6401" s="2"/>
      <c r="D6401" s="2"/>
      <c r="G6401" s="2"/>
    </row>
    <row r="6402">
      <c r="A6402" s="2"/>
      <c r="B6402" s="2"/>
      <c r="D6402" s="2"/>
      <c r="G6402" s="2"/>
    </row>
    <row r="6403">
      <c r="A6403" s="2"/>
      <c r="B6403" s="2"/>
      <c r="D6403" s="2"/>
      <c r="G6403" s="2"/>
    </row>
    <row r="6404">
      <c r="A6404" s="2"/>
      <c r="B6404" s="2"/>
      <c r="D6404" s="2"/>
      <c r="G6404" s="2"/>
    </row>
    <row r="6405">
      <c r="A6405" s="2"/>
      <c r="B6405" s="2"/>
      <c r="D6405" s="2"/>
      <c r="G6405" s="2"/>
    </row>
    <row r="6406">
      <c r="A6406" s="2"/>
      <c r="B6406" s="2"/>
      <c r="D6406" s="2"/>
      <c r="G6406" s="2"/>
    </row>
    <row r="6407">
      <c r="A6407" s="2"/>
      <c r="B6407" s="2"/>
      <c r="D6407" s="2"/>
      <c r="G6407" s="2"/>
    </row>
    <row r="6408">
      <c r="A6408" s="2"/>
      <c r="B6408" s="2"/>
      <c r="D6408" s="2"/>
      <c r="G6408" s="2"/>
    </row>
    <row r="6409">
      <c r="A6409" s="2"/>
      <c r="B6409" s="2"/>
      <c r="D6409" s="2"/>
      <c r="G6409" s="2"/>
    </row>
    <row r="6410">
      <c r="A6410" s="2"/>
      <c r="B6410" s="2"/>
      <c r="D6410" s="2"/>
      <c r="G6410" s="2"/>
    </row>
    <row r="6411">
      <c r="A6411" s="2"/>
      <c r="B6411" s="2"/>
      <c r="D6411" s="2"/>
      <c r="G6411" s="2"/>
    </row>
    <row r="6412">
      <c r="A6412" s="2"/>
      <c r="B6412" s="2"/>
      <c r="D6412" s="2"/>
      <c r="G6412" s="2"/>
    </row>
    <row r="6413">
      <c r="A6413" s="2"/>
      <c r="B6413" s="2"/>
      <c r="D6413" s="2"/>
      <c r="G6413" s="2"/>
    </row>
    <row r="6414">
      <c r="A6414" s="2"/>
      <c r="B6414" s="2"/>
      <c r="D6414" s="2"/>
      <c r="G6414" s="2"/>
    </row>
    <row r="6415">
      <c r="A6415" s="2"/>
      <c r="B6415" s="2"/>
      <c r="D6415" s="2"/>
      <c r="G6415" s="2"/>
    </row>
    <row r="6416">
      <c r="A6416" s="2"/>
      <c r="B6416" s="2"/>
      <c r="D6416" s="2"/>
      <c r="G6416" s="2"/>
    </row>
    <row r="6417">
      <c r="A6417" s="2"/>
      <c r="B6417" s="2"/>
      <c r="D6417" s="2"/>
      <c r="G6417" s="2"/>
    </row>
    <row r="6418">
      <c r="A6418" s="2"/>
      <c r="B6418" s="2"/>
      <c r="D6418" s="2"/>
      <c r="G6418" s="2"/>
    </row>
    <row r="6419">
      <c r="A6419" s="2"/>
      <c r="B6419" s="2"/>
      <c r="D6419" s="2"/>
      <c r="G6419" s="2"/>
    </row>
    <row r="6420">
      <c r="A6420" s="2"/>
      <c r="B6420" s="2"/>
      <c r="D6420" s="2"/>
      <c r="G6420" s="2"/>
    </row>
    <row r="6421">
      <c r="A6421" s="2"/>
      <c r="B6421" s="2"/>
      <c r="D6421" s="2"/>
      <c r="G6421" s="2"/>
    </row>
    <row r="6422">
      <c r="A6422" s="2"/>
      <c r="B6422" s="2"/>
      <c r="D6422" s="2"/>
      <c r="G6422" s="2"/>
    </row>
    <row r="6423">
      <c r="A6423" s="2"/>
      <c r="B6423" s="2"/>
      <c r="D6423" s="2"/>
      <c r="G6423" s="2"/>
    </row>
    <row r="6424">
      <c r="A6424" s="2"/>
      <c r="B6424" s="2"/>
      <c r="D6424" s="2"/>
      <c r="G6424" s="2"/>
    </row>
    <row r="6425">
      <c r="A6425" s="2"/>
      <c r="B6425" s="2"/>
      <c r="D6425" s="2"/>
      <c r="G6425" s="2"/>
    </row>
    <row r="6426">
      <c r="A6426" s="2"/>
      <c r="B6426" s="2"/>
      <c r="D6426" s="2"/>
      <c r="G6426" s="2"/>
    </row>
    <row r="6427">
      <c r="A6427" s="2"/>
      <c r="B6427" s="2"/>
      <c r="D6427" s="2"/>
      <c r="G6427" s="2"/>
    </row>
    <row r="6428">
      <c r="A6428" s="2"/>
      <c r="B6428" s="2"/>
      <c r="D6428" s="2"/>
      <c r="G6428" s="2"/>
    </row>
    <row r="6429">
      <c r="A6429" s="2"/>
      <c r="B6429" s="2"/>
      <c r="D6429" s="2"/>
      <c r="G6429" s="2"/>
    </row>
    <row r="6430">
      <c r="A6430" s="2"/>
      <c r="B6430" s="2"/>
      <c r="D6430" s="2"/>
      <c r="G6430" s="2"/>
    </row>
    <row r="6431">
      <c r="A6431" s="2"/>
      <c r="B6431" s="2"/>
      <c r="D6431" s="2"/>
      <c r="G6431" s="2"/>
    </row>
    <row r="6432">
      <c r="A6432" s="2"/>
      <c r="B6432" s="2"/>
      <c r="D6432" s="2"/>
      <c r="G6432" s="2"/>
    </row>
    <row r="6433">
      <c r="A6433" s="2"/>
      <c r="B6433" s="2"/>
      <c r="D6433" s="2"/>
      <c r="G6433" s="2"/>
    </row>
    <row r="6434">
      <c r="A6434" s="2"/>
      <c r="B6434" s="2"/>
      <c r="D6434" s="2"/>
      <c r="G6434" s="2"/>
    </row>
    <row r="6435">
      <c r="A6435" s="2"/>
      <c r="B6435" s="2"/>
      <c r="D6435" s="2"/>
      <c r="G6435" s="2"/>
    </row>
    <row r="6436">
      <c r="A6436" s="2"/>
      <c r="B6436" s="2"/>
      <c r="D6436" s="2"/>
      <c r="G6436" s="2"/>
    </row>
    <row r="6437">
      <c r="A6437" s="2"/>
      <c r="B6437" s="2"/>
      <c r="D6437" s="2"/>
      <c r="G6437" s="2"/>
    </row>
    <row r="6438">
      <c r="A6438" s="2"/>
      <c r="B6438" s="2"/>
      <c r="D6438" s="2"/>
      <c r="G6438" s="2"/>
    </row>
    <row r="6439">
      <c r="A6439" s="2"/>
      <c r="B6439" s="2"/>
      <c r="D6439" s="2"/>
      <c r="G6439" s="2"/>
    </row>
    <row r="6440">
      <c r="A6440" s="2"/>
      <c r="B6440" s="2"/>
      <c r="D6440" s="2"/>
      <c r="G6440" s="2"/>
    </row>
    <row r="6441">
      <c r="A6441" s="2"/>
      <c r="B6441" s="2"/>
      <c r="D6441" s="2"/>
      <c r="G6441" s="2"/>
    </row>
    <row r="6442">
      <c r="A6442" s="2"/>
      <c r="B6442" s="2"/>
      <c r="D6442" s="2"/>
      <c r="G6442" s="2"/>
    </row>
    <row r="6443">
      <c r="A6443" s="2"/>
      <c r="B6443" s="2"/>
      <c r="D6443" s="2"/>
      <c r="G6443" s="2"/>
    </row>
    <row r="6444">
      <c r="A6444" s="2"/>
      <c r="B6444" s="2"/>
      <c r="D6444" s="2"/>
      <c r="G6444" s="2"/>
    </row>
    <row r="6445">
      <c r="A6445" s="2"/>
      <c r="B6445" s="2"/>
      <c r="D6445" s="2"/>
      <c r="G6445" s="2"/>
    </row>
    <row r="6446">
      <c r="A6446" s="2"/>
      <c r="B6446" s="2"/>
      <c r="D6446" s="2"/>
      <c r="G6446" s="2"/>
    </row>
    <row r="6447">
      <c r="A6447" s="2"/>
      <c r="B6447" s="2"/>
      <c r="D6447" s="2"/>
      <c r="G6447" s="2"/>
    </row>
    <row r="6448">
      <c r="A6448" s="2"/>
      <c r="B6448" s="2"/>
      <c r="D6448" s="2"/>
      <c r="G6448" s="2"/>
    </row>
    <row r="6449">
      <c r="A6449" s="2"/>
      <c r="B6449" s="2"/>
      <c r="D6449" s="2"/>
      <c r="G6449" s="2"/>
    </row>
    <row r="6450">
      <c r="A6450" s="2"/>
      <c r="B6450" s="2"/>
      <c r="D6450" s="2"/>
      <c r="G6450" s="2"/>
    </row>
    <row r="6451">
      <c r="A6451" s="2"/>
      <c r="B6451" s="2"/>
      <c r="D6451" s="2"/>
      <c r="G6451" s="2"/>
    </row>
    <row r="6452">
      <c r="A6452" s="2"/>
      <c r="B6452" s="2"/>
      <c r="D6452" s="2"/>
      <c r="G6452" s="2"/>
    </row>
    <row r="6453">
      <c r="A6453" s="2"/>
      <c r="B6453" s="2"/>
      <c r="D6453" s="2"/>
      <c r="G6453" s="2"/>
    </row>
    <row r="6454">
      <c r="A6454" s="2"/>
      <c r="B6454" s="2"/>
      <c r="D6454" s="2"/>
      <c r="G6454" s="2"/>
    </row>
    <row r="6455">
      <c r="A6455" s="2"/>
      <c r="B6455" s="2"/>
      <c r="D6455" s="2"/>
      <c r="G6455" s="2"/>
    </row>
    <row r="6456">
      <c r="A6456" s="2"/>
      <c r="B6456" s="2"/>
      <c r="D6456" s="2"/>
      <c r="G6456" s="2"/>
    </row>
    <row r="6457">
      <c r="A6457" s="2"/>
      <c r="B6457" s="2"/>
      <c r="D6457" s="2"/>
      <c r="G6457" s="2"/>
    </row>
    <row r="6458">
      <c r="A6458" s="2"/>
      <c r="B6458" s="2"/>
      <c r="D6458" s="2"/>
      <c r="G6458" s="2"/>
    </row>
    <row r="6459">
      <c r="A6459" s="2"/>
      <c r="B6459" s="2"/>
      <c r="D6459" s="2"/>
      <c r="G6459" s="2"/>
    </row>
    <row r="6460">
      <c r="A6460" s="2"/>
      <c r="B6460" s="2"/>
      <c r="D6460" s="2"/>
      <c r="G6460" s="2"/>
    </row>
    <row r="6461">
      <c r="A6461" s="2"/>
      <c r="B6461" s="2"/>
      <c r="D6461" s="2"/>
      <c r="G6461" s="2"/>
    </row>
    <row r="6462">
      <c r="A6462" s="2"/>
      <c r="B6462" s="2"/>
      <c r="D6462" s="2"/>
      <c r="G6462" s="2"/>
    </row>
    <row r="6463">
      <c r="A6463" s="2"/>
      <c r="B6463" s="2"/>
      <c r="D6463" s="2"/>
      <c r="G6463" s="2"/>
    </row>
    <row r="6464">
      <c r="A6464" s="2"/>
      <c r="B6464" s="2"/>
      <c r="D6464" s="2"/>
      <c r="G6464" s="2"/>
    </row>
    <row r="6465">
      <c r="A6465" s="2"/>
      <c r="B6465" s="2"/>
      <c r="D6465" s="2"/>
      <c r="G6465" s="2"/>
    </row>
    <row r="6466">
      <c r="A6466" s="2"/>
      <c r="B6466" s="2"/>
      <c r="D6466" s="2"/>
      <c r="G6466" s="2"/>
    </row>
    <row r="6467">
      <c r="A6467" s="2"/>
      <c r="B6467" s="2"/>
      <c r="D6467" s="2"/>
      <c r="G6467" s="2"/>
    </row>
    <row r="6468">
      <c r="A6468" s="2"/>
      <c r="B6468" s="2"/>
      <c r="D6468" s="2"/>
      <c r="G6468" s="2"/>
    </row>
    <row r="6469">
      <c r="A6469" s="2"/>
      <c r="B6469" s="2"/>
      <c r="D6469" s="2"/>
      <c r="G6469" s="2"/>
    </row>
    <row r="6470">
      <c r="A6470" s="2"/>
      <c r="B6470" s="2"/>
      <c r="D6470" s="2"/>
      <c r="G6470" s="2"/>
    </row>
    <row r="6471">
      <c r="A6471" s="2"/>
      <c r="B6471" s="2"/>
      <c r="D6471" s="2"/>
      <c r="G6471" s="2"/>
    </row>
    <row r="6472">
      <c r="A6472" s="2"/>
      <c r="B6472" s="2"/>
      <c r="D6472" s="2"/>
      <c r="G6472" s="2"/>
    </row>
    <row r="6473">
      <c r="A6473" s="2"/>
      <c r="B6473" s="2"/>
      <c r="D6473" s="2"/>
      <c r="G6473" s="2"/>
    </row>
    <row r="6474">
      <c r="A6474" s="2"/>
      <c r="B6474" s="2"/>
      <c r="D6474" s="2"/>
      <c r="G6474" s="2"/>
    </row>
    <row r="6475">
      <c r="A6475" s="2"/>
      <c r="B6475" s="2"/>
      <c r="D6475" s="2"/>
      <c r="G6475" s="2"/>
    </row>
    <row r="6476">
      <c r="A6476" s="2"/>
      <c r="B6476" s="2"/>
      <c r="D6476" s="2"/>
      <c r="G6476" s="2"/>
    </row>
    <row r="6477">
      <c r="A6477" s="2"/>
      <c r="B6477" s="2"/>
      <c r="D6477" s="2"/>
      <c r="G6477" s="2"/>
    </row>
    <row r="6478">
      <c r="A6478" s="2"/>
      <c r="B6478" s="2"/>
      <c r="D6478" s="2"/>
      <c r="G6478" s="2"/>
    </row>
    <row r="6479">
      <c r="A6479" s="2"/>
      <c r="B6479" s="2"/>
      <c r="D6479" s="2"/>
      <c r="G6479" s="2"/>
    </row>
    <row r="6480">
      <c r="A6480" s="2"/>
      <c r="B6480" s="2"/>
      <c r="D6480" s="2"/>
      <c r="G6480" s="2"/>
    </row>
    <row r="6481">
      <c r="A6481" s="2"/>
      <c r="B6481" s="2"/>
      <c r="D6481" s="2"/>
      <c r="G6481" s="2"/>
    </row>
    <row r="6482">
      <c r="A6482" s="2"/>
      <c r="B6482" s="2"/>
      <c r="D6482" s="2"/>
      <c r="G6482" s="2"/>
    </row>
    <row r="6483">
      <c r="A6483" s="2"/>
      <c r="B6483" s="2"/>
      <c r="D6483" s="2"/>
      <c r="G6483" s="2"/>
    </row>
    <row r="6484">
      <c r="A6484" s="2"/>
      <c r="B6484" s="2"/>
      <c r="D6484" s="2"/>
      <c r="G6484" s="2"/>
    </row>
    <row r="6485">
      <c r="A6485" s="2"/>
      <c r="B6485" s="2"/>
      <c r="D6485" s="2"/>
      <c r="G6485" s="2"/>
    </row>
    <row r="6486">
      <c r="A6486" s="2"/>
      <c r="B6486" s="2"/>
      <c r="D6486" s="2"/>
      <c r="G6486" s="2"/>
    </row>
    <row r="6487">
      <c r="A6487" s="2"/>
      <c r="B6487" s="2"/>
      <c r="D6487" s="2"/>
      <c r="G6487" s="2"/>
    </row>
    <row r="6488">
      <c r="A6488" s="2"/>
      <c r="B6488" s="2"/>
      <c r="D6488" s="2"/>
      <c r="G6488" s="2"/>
    </row>
    <row r="6489">
      <c r="A6489" s="2"/>
      <c r="B6489" s="2"/>
      <c r="D6489" s="2"/>
      <c r="G6489" s="2"/>
    </row>
    <row r="6490">
      <c r="A6490" s="2"/>
      <c r="B6490" s="2"/>
      <c r="D6490" s="2"/>
      <c r="G6490" s="2"/>
    </row>
    <row r="6491">
      <c r="A6491" s="2"/>
      <c r="B6491" s="2"/>
      <c r="D6491" s="2"/>
      <c r="G6491" s="2"/>
    </row>
    <row r="6492">
      <c r="A6492" s="2"/>
      <c r="B6492" s="2"/>
      <c r="D6492" s="2"/>
      <c r="G6492" s="2"/>
    </row>
    <row r="6493">
      <c r="A6493" s="2"/>
      <c r="B6493" s="2"/>
      <c r="D6493" s="2"/>
      <c r="G6493" s="2"/>
    </row>
    <row r="6494">
      <c r="A6494" s="2"/>
      <c r="B6494" s="2"/>
      <c r="D6494" s="2"/>
      <c r="G6494" s="2"/>
    </row>
    <row r="6495">
      <c r="A6495" s="2"/>
      <c r="B6495" s="2"/>
      <c r="D6495" s="2"/>
      <c r="G6495" s="2"/>
    </row>
    <row r="6496">
      <c r="A6496" s="2"/>
      <c r="B6496" s="2"/>
      <c r="D6496" s="2"/>
      <c r="G6496" s="2"/>
    </row>
    <row r="6497">
      <c r="A6497" s="2"/>
      <c r="B6497" s="2"/>
      <c r="D6497" s="2"/>
      <c r="G6497" s="2"/>
    </row>
    <row r="6498">
      <c r="A6498" s="2"/>
      <c r="B6498" s="2"/>
      <c r="D6498" s="2"/>
      <c r="G6498" s="2"/>
    </row>
    <row r="6499">
      <c r="A6499" s="2"/>
      <c r="B6499" s="2"/>
      <c r="D6499" s="2"/>
      <c r="G6499" s="2"/>
    </row>
    <row r="6500">
      <c r="A6500" s="2"/>
      <c r="B6500" s="2"/>
      <c r="D6500" s="2"/>
      <c r="G6500" s="2"/>
    </row>
    <row r="6501">
      <c r="A6501" s="2"/>
      <c r="B6501" s="2"/>
      <c r="D6501" s="2"/>
      <c r="G6501" s="2"/>
    </row>
    <row r="6502">
      <c r="A6502" s="2"/>
      <c r="B6502" s="2"/>
      <c r="D6502" s="2"/>
      <c r="G6502" s="2"/>
    </row>
    <row r="6503">
      <c r="A6503" s="2"/>
      <c r="B6503" s="2"/>
      <c r="D6503" s="2"/>
      <c r="G6503" s="2"/>
    </row>
    <row r="6504">
      <c r="A6504" s="2"/>
      <c r="B6504" s="2"/>
      <c r="D6504" s="2"/>
      <c r="G6504" s="2"/>
    </row>
    <row r="6505">
      <c r="A6505" s="2"/>
      <c r="B6505" s="2"/>
      <c r="D6505" s="2"/>
      <c r="G6505" s="2"/>
    </row>
    <row r="6506">
      <c r="A6506" s="2"/>
      <c r="B6506" s="2"/>
      <c r="D6506" s="2"/>
      <c r="G6506" s="2"/>
    </row>
    <row r="6507">
      <c r="A6507" s="2"/>
      <c r="B6507" s="2"/>
      <c r="D6507" s="2"/>
      <c r="G6507" s="2"/>
    </row>
    <row r="6508">
      <c r="A6508" s="2"/>
      <c r="B6508" s="2"/>
      <c r="D6508" s="2"/>
      <c r="G6508" s="2"/>
    </row>
    <row r="6509">
      <c r="A6509" s="2"/>
      <c r="B6509" s="2"/>
      <c r="D6509" s="2"/>
      <c r="G6509" s="2"/>
    </row>
    <row r="6510">
      <c r="A6510" s="2"/>
      <c r="B6510" s="2"/>
      <c r="D6510" s="2"/>
      <c r="G6510" s="2"/>
    </row>
    <row r="6511">
      <c r="A6511" s="2"/>
      <c r="B6511" s="2"/>
      <c r="D6511" s="2"/>
      <c r="G6511" s="2"/>
    </row>
    <row r="6512">
      <c r="A6512" s="2"/>
      <c r="B6512" s="2"/>
      <c r="D6512" s="2"/>
      <c r="G6512" s="2"/>
    </row>
    <row r="6513">
      <c r="A6513" s="2"/>
      <c r="B6513" s="2"/>
      <c r="D6513" s="2"/>
      <c r="G6513" s="2"/>
    </row>
    <row r="6514">
      <c r="A6514" s="2"/>
      <c r="B6514" s="2"/>
      <c r="D6514" s="2"/>
      <c r="G6514" s="2"/>
    </row>
    <row r="6515">
      <c r="A6515" s="2"/>
      <c r="B6515" s="2"/>
      <c r="D6515" s="2"/>
      <c r="G6515" s="2"/>
    </row>
    <row r="6516">
      <c r="A6516" s="2"/>
      <c r="B6516" s="2"/>
      <c r="D6516" s="2"/>
      <c r="G6516" s="2"/>
    </row>
    <row r="6517">
      <c r="A6517" s="2"/>
      <c r="B6517" s="2"/>
      <c r="D6517" s="2"/>
      <c r="G6517" s="2"/>
    </row>
    <row r="6518">
      <c r="A6518" s="2"/>
      <c r="B6518" s="2"/>
      <c r="D6518" s="2"/>
      <c r="G6518" s="2"/>
    </row>
    <row r="6519">
      <c r="A6519" s="2"/>
      <c r="B6519" s="2"/>
      <c r="D6519" s="2"/>
      <c r="G6519" s="2"/>
    </row>
    <row r="6520">
      <c r="A6520" s="2"/>
      <c r="B6520" s="2"/>
      <c r="D6520" s="2"/>
      <c r="G6520" s="2"/>
    </row>
    <row r="6521">
      <c r="A6521" s="2"/>
      <c r="B6521" s="2"/>
      <c r="D6521" s="2"/>
      <c r="G6521" s="2"/>
    </row>
    <row r="6522">
      <c r="A6522" s="2"/>
      <c r="B6522" s="2"/>
      <c r="D6522" s="2"/>
      <c r="G6522" s="2"/>
    </row>
    <row r="6523">
      <c r="A6523" s="2"/>
      <c r="B6523" s="2"/>
      <c r="D6523" s="2"/>
      <c r="G6523" s="2"/>
    </row>
    <row r="6524">
      <c r="A6524" s="2"/>
      <c r="B6524" s="2"/>
      <c r="D6524" s="2"/>
      <c r="G6524" s="2"/>
    </row>
    <row r="6525">
      <c r="A6525" s="2"/>
      <c r="B6525" s="2"/>
      <c r="D6525" s="2"/>
      <c r="G6525" s="2"/>
    </row>
    <row r="6526">
      <c r="A6526" s="2"/>
      <c r="B6526" s="2"/>
      <c r="D6526" s="2"/>
      <c r="G6526" s="2"/>
    </row>
    <row r="6527">
      <c r="A6527" s="2"/>
      <c r="B6527" s="2"/>
      <c r="D6527" s="2"/>
      <c r="G6527" s="2"/>
    </row>
    <row r="6528">
      <c r="A6528" s="2"/>
      <c r="B6528" s="2"/>
      <c r="D6528" s="2"/>
      <c r="G6528" s="2"/>
    </row>
    <row r="6529">
      <c r="A6529" s="2"/>
      <c r="B6529" s="2"/>
      <c r="D6529" s="2"/>
      <c r="G6529" s="2"/>
    </row>
    <row r="6530">
      <c r="A6530" s="2"/>
      <c r="B6530" s="2"/>
      <c r="D6530" s="2"/>
      <c r="G6530" s="2"/>
    </row>
    <row r="6531">
      <c r="A6531" s="2"/>
      <c r="B6531" s="2"/>
      <c r="D6531" s="2"/>
      <c r="G6531" s="2"/>
    </row>
    <row r="6532">
      <c r="A6532" s="2"/>
      <c r="B6532" s="2"/>
      <c r="D6532" s="2"/>
      <c r="G6532" s="2"/>
    </row>
    <row r="6533">
      <c r="A6533" s="2"/>
      <c r="B6533" s="2"/>
      <c r="D6533" s="2"/>
      <c r="G6533" s="2"/>
    </row>
    <row r="6534">
      <c r="A6534" s="2"/>
      <c r="B6534" s="2"/>
      <c r="D6534" s="2"/>
      <c r="G6534" s="2"/>
    </row>
    <row r="6535">
      <c r="A6535" s="2"/>
      <c r="B6535" s="2"/>
      <c r="D6535" s="2"/>
      <c r="G6535" s="2"/>
    </row>
    <row r="6536">
      <c r="A6536" s="2"/>
      <c r="B6536" s="2"/>
      <c r="D6536" s="2"/>
      <c r="G6536" s="2"/>
    </row>
    <row r="6537">
      <c r="A6537" s="2"/>
      <c r="B6537" s="2"/>
      <c r="D6537" s="2"/>
      <c r="G6537" s="2"/>
    </row>
    <row r="6538">
      <c r="A6538" s="2"/>
      <c r="B6538" s="2"/>
      <c r="D6538" s="2"/>
      <c r="G6538" s="2"/>
    </row>
    <row r="6539">
      <c r="A6539" s="2"/>
      <c r="B6539" s="2"/>
      <c r="D6539" s="2"/>
      <c r="G6539" s="2"/>
    </row>
    <row r="6540">
      <c r="A6540" s="2"/>
      <c r="B6540" s="2"/>
      <c r="D6540" s="2"/>
      <c r="G6540" s="2"/>
    </row>
    <row r="6541">
      <c r="A6541" s="2"/>
      <c r="B6541" s="2"/>
      <c r="D6541" s="2"/>
      <c r="G6541" s="2"/>
    </row>
    <row r="6542">
      <c r="A6542" s="2"/>
      <c r="B6542" s="2"/>
      <c r="D6542" s="2"/>
      <c r="G6542" s="2"/>
    </row>
    <row r="6543">
      <c r="A6543" s="2"/>
      <c r="B6543" s="2"/>
      <c r="D6543" s="2"/>
      <c r="G6543" s="2"/>
    </row>
    <row r="6544">
      <c r="A6544" s="2"/>
      <c r="B6544" s="2"/>
      <c r="D6544" s="2"/>
      <c r="G6544" s="2"/>
    </row>
    <row r="6545">
      <c r="A6545" s="2"/>
      <c r="B6545" s="2"/>
      <c r="D6545" s="2"/>
      <c r="G6545" s="2"/>
    </row>
    <row r="6546">
      <c r="A6546" s="2"/>
      <c r="B6546" s="2"/>
      <c r="D6546" s="2"/>
      <c r="G6546" s="2"/>
    </row>
    <row r="6547">
      <c r="A6547" s="2"/>
      <c r="B6547" s="2"/>
      <c r="D6547" s="2"/>
      <c r="G6547" s="2"/>
    </row>
    <row r="6548">
      <c r="A6548" s="2"/>
      <c r="B6548" s="2"/>
      <c r="D6548" s="2"/>
      <c r="G6548" s="2"/>
    </row>
    <row r="6549">
      <c r="A6549" s="2"/>
      <c r="B6549" s="2"/>
      <c r="D6549" s="2"/>
      <c r="G6549" s="2"/>
    </row>
    <row r="6550">
      <c r="A6550" s="2"/>
      <c r="B6550" s="2"/>
      <c r="D6550" s="2"/>
      <c r="G6550" s="2"/>
    </row>
    <row r="6551">
      <c r="A6551" s="2"/>
      <c r="B6551" s="2"/>
      <c r="D6551" s="2"/>
      <c r="G6551" s="2"/>
    </row>
    <row r="6552">
      <c r="A6552" s="2"/>
      <c r="B6552" s="2"/>
      <c r="D6552" s="2"/>
      <c r="G6552" s="2"/>
    </row>
    <row r="6553">
      <c r="A6553" s="2"/>
      <c r="B6553" s="2"/>
      <c r="D6553" s="2"/>
      <c r="G6553" s="2"/>
    </row>
    <row r="6554">
      <c r="A6554" s="2"/>
      <c r="B6554" s="2"/>
      <c r="D6554" s="2"/>
      <c r="G6554" s="2"/>
    </row>
    <row r="6555">
      <c r="A6555" s="2"/>
      <c r="B6555" s="2"/>
      <c r="D6555" s="2"/>
      <c r="G6555" s="2"/>
    </row>
    <row r="6556">
      <c r="A6556" s="2"/>
      <c r="B6556" s="2"/>
      <c r="D6556" s="2"/>
      <c r="G6556" s="2"/>
    </row>
    <row r="6557">
      <c r="A6557" s="2"/>
      <c r="B6557" s="2"/>
      <c r="D6557" s="2"/>
      <c r="G6557" s="2"/>
    </row>
    <row r="6558">
      <c r="A6558" s="2"/>
      <c r="B6558" s="2"/>
      <c r="D6558" s="2"/>
      <c r="G6558" s="2"/>
    </row>
    <row r="6559">
      <c r="A6559" s="2"/>
      <c r="B6559" s="2"/>
      <c r="D6559" s="2"/>
      <c r="G6559" s="2"/>
    </row>
    <row r="6560">
      <c r="A6560" s="2"/>
      <c r="B6560" s="2"/>
      <c r="D6560" s="2"/>
      <c r="G6560" s="2"/>
    </row>
    <row r="6561">
      <c r="A6561" s="2"/>
      <c r="B6561" s="2"/>
      <c r="D6561" s="2"/>
      <c r="G6561" s="2"/>
    </row>
    <row r="6562">
      <c r="A6562" s="2"/>
      <c r="B6562" s="2"/>
      <c r="D6562" s="2"/>
      <c r="G6562" s="2"/>
    </row>
    <row r="6563">
      <c r="A6563" s="2"/>
      <c r="B6563" s="2"/>
      <c r="D6563" s="2"/>
      <c r="G6563" s="2"/>
    </row>
    <row r="6564">
      <c r="A6564" s="2"/>
      <c r="B6564" s="2"/>
      <c r="D6564" s="2"/>
      <c r="G6564" s="2"/>
    </row>
    <row r="6565">
      <c r="A6565" s="2"/>
      <c r="B6565" s="2"/>
      <c r="D6565" s="2"/>
      <c r="G6565" s="2"/>
    </row>
    <row r="6566">
      <c r="A6566" s="2"/>
      <c r="B6566" s="2"/>
      <c r="D6566" s="2"/>
      <c r="G6566" s="2"/>
    </row>
    <row r="6567">
      <c r="A6567" s="2"/>
      <c r="B6567" s="2"/>
      <c r="D6567" s="2"/>
      <c r="G6567" s="2"/>
    </row>
    <row r="6568">
      <c r="A6568" s="2"/>
      <c r="B6568" s="2"/>
      <c r="D6568" s="2"/>
      <c r="G6568" s="2"/>
    </row>
    <row r="6569">
      <c r="A6569" s="2"/>
      <c r="B6569" s="2"/>
      <c r="D6569" s="2"/>
      <c r="G6569" s="2"/>
    </row>
    <row r="6570">
      <c r="A6570" s="2"/>
      <c r="B6570" s="2"/>
      <c r="D6570" s="2"/>
      <c r="G6570" s="2"/>
    </row>
    <row r="6571">
      <c r="A6571" s="2"/>
      <c r="B6571" s="2"/>
      <c r="D6571" s="2"/>
      <c r="G6571" s="2"/>
    </row>
    <row r="6572">
      <c r="A6572" s="2"/>
      <c r="B6572" s="2"/>
      <c r="D6572" s="2"/>
      <c r="G6572" s="2"/>
    </row>
    <row r="6573">
      <c r="A6573" s="2"/>
      <c r="B6573" s="2"/>
      <c r="D6573" s="2"/>
      <c r="G6573" s="2"/>
    </row>
    <row r="6574">
      <c r="A6574" s="2"/>
      <c r="B6574" s="2"/>
      <c r="D6574" s="2"/>
      <c r="G6574" s="2"/>
    </row>
    <row r="6575">
      <c r="A6575" s="2"/>
      <c r="B6575" s="2"/>
      <c r="D6575" s="2"/>
      <c r="G6575" s="2"/>
    </row>
    <row r="6576">
      <c r="A6576" s="2"/>
      <c r="B6576" s="2"/>
      <c r="D6576" s="2"/>
      <c r="G6576" s="2"/>
    </row>
    <row r="6577">
      <c r="A6577" s="2"/>
      <c r="B6577" s="2"/>
      <c r="D6577" s="2"/>
      <c r="G6577" s="2"/>
    </row>
    <row r="6578">
      <c r="A6578" s="2"/>
      <c r="B6578" s="2"/>
      <c r="D6578" s="2"/>
      <c r="G6578" s="2"/>
    </row>
    <row r="6579">
      <c r="A6579" s="2"/>
      <c r="B6579" s="2"/>
      <c r="D6579" s="2"/>
      <c r="G6579" s="2"/>
    </row>
    <row r="6580">
      <c r="A6580" s="2"/>
      <c r="B6580" s="2"/>
      <c r="D6580" s="2"/>
      <c r="G6580" s="2"/>
    </row>
    <row r="6581">
      <c r="A6581" s="2"/>
      <c r="B6581" s="2"/>
      <c r="D6581" s="2"/>
      <c r="G6581" s="2"/>
    </row>
    <row r="6582">
      <c r="A6582" s="2"/>
      <c r="B6582" s="2"/>
      <c r="D6582" s="2"/>
      <c r="G6582" s="2"/>
    </row>
    <row r="6583">
      <c r="A6583" s="2"/>
      <c r="B6583" s="2"/>
      <c r="D6583" s="2"/>
      <c r="G6583" s="2"/>
    </row>
    <row r="6584">
      <c r="A6584" s="2"/>
      <c r="B6584" s="2"/>
      <c r="D6584" s="2"/>
      <c r="G6584" s="2"/>
    </row>
    <row r="6585">
      <c r="A6585" s="2"/>
      <c r="B6585" s="2"/>
      <c r="D6585" s="2"/>
      <c r="G6585" s="2"/>
    </row>
    <row r="6586">
      <c r="A6586" s="2"/>
      <c r="B6586" s="2"/>
      <c r="D6586" s="2"/>
      <c r="G6586" s="2"/>
    </row>
    <row r="6587">
      <c r="A6587" s="2"/>
      <c r="B6587" s="2"/>
      <c r="D6587" s="2"/>
      <c r="G6587" s="2"/>
    </row>
    <row r="6588">
      <c r="A6588" s="2"/>
      <c r="B6588" s="2"/>
      <c r="D6588" s="2"/>
      <c r="G6588" s="2"/>
    </row>
    <row r="6589">
      <c r="A6589" s="2"/>
      <c r="B6589" s="2"/>
      <c r="D6589" s="2"/>
      <c r="G6589" s="2"/>
    </row>
    <row r="6590">
      <c r="A6590" s="2"/>
      <c r="B6590" s="2"/>
      <c r="D6590" s="2"/>
      <c r="G6590" s="2"/>
    </row>
    <row r="6591">
      <c r="A6591" s="2"/>
      <c r="B6591" s="2"/>
      <c r="D6591" s="2"/>
      <c r="G6591" s="2"/>
    </row>
    <row r="6592">
      <c r="A6592" s="2"/>
      <c r="B6592" s="2"/>
      <c r="D6592" s="2"/>
      <c r="G6592" s="2"/>
    </row>
    <row r="6593">
      <c r="A6593" s="2"/>
      <c r="B6593" s="2"/>
      <c r="D6593" s="2"/>
      <c r="G6593" s="2"/>
    </row>
    <row r="6594">
      <c r="A6594" s="2"/>
      <c r="B6594" s="2"/>
      <c r="D6594" s="2"/>
      <c r="G6594" s="2"/>
    </row>
    <row r="6595">
      <c r="A6595" s="2"/>
      <c r="B6595" s="2"/>
      <c r="D6595" s="2"/>
      <c r="G6595" s="2"/>
    </row>
    <row r="6596">
      <c r="A6596" s="2"/>
      <c r="B6596" s="2"/>
      <c r="D6596" s="2"/>
      <c r="G6596" s="2"/>
    </row>
    <row r="6597">
      <c r="A6597" s="2"/>
      <c r="B6597" s="2"/>
      <c r="D6597" s="2"/>
      <c r="G6597" s="2"/>
    </row>
    <row r="6598">
      <c r="A6598" s="2"/>
      <c r="B6598" s="2"/>
      <c r="D6598" s="2"/>
      <c r="G6598" s="2"/>
    </row>
    <row r="6599">
      <c r="A6599" s="2"/>
      <c r="B6599" s="2"/>
      <c r="D6599" s="2"/>
      <c r="G6599" s="2"/>
    </row>
    <row r="6600">
      <c r="A6600" s="2"/>
      <c r="B6600" s="2"/>
      <c r="D6600" s="2"/>
      <c r="G6600" s="2"/>
    </row>
    <row r="6601">
      <c r="A6601" s="2"/>
      <c r="B6601" s="2"/>
      <c r="D6601" s="2"/>
      <c r="G6601" s="2"/>
    </row>
    <row r="6602">
      <c r="A6602" s="2"/>
      <c r="B6602" s="2"/>
      <c r="D6602" s="2"/>
      <c r="G6602" s="2"/>
    </row>
    <row r="6603">
      <c r="A6603" s="2"/>
      <c r="B6603" s="2"/>
      <c r="D6603" s="2"/>
      <c r="G6603" s="2"/>
    </row>
    <row r="6604">
      <c r="A6604" s="2"/>
      <c r="B6604" s="2"/>
      <c r="D6604" s="2"/>
      <c r="G6604" s="2"/>
    </row>
    <row r="6605">
      <c r="A6605" s="2"/>
      <c r="B6605" s="2"/>
      <c r="D6605" s="2"/>
      <c r="G6605" s="2"/>
    </row>
    <row r="6606">
      <c r="A6606" s="2"/>
      <c r="B6606" s="2"/>
      <c r="D6606" s="2"/>
      <c r="G6606" s="2"/>
    </row>
    <row r="6607">
      <c r="A6607" s="2"/>
      <c r="B6607" s="2"/>
      <c r="D6607" s="2"/>
      <c r="G6607" s="2"/>
    </row>
    <row r="6608">
      <c r="A6608" s="2"/>
      <c r="B6608" s="2"/>
      <c r="D6608" s="2"/>
      <c r="G6608" s="2"/>
    </row>
    <row r="6609">
      <c r="A6609" s="2"/>
      <c r="B6609" s="2"/>
      <c r="D6609" s="2"/>
      <c r="G6609" s="2"/>
    </row>
    <row r="6610">
      <c r="A6610" s="2"/>
      <c r="B6610" s="2"/>
      <c r="D6610" s="2"/>
      <c r="G6610" s="2"/>
    </row>
    <row r="6611">
      <c r="A6611" s="2"/>
      <c r="B6611" s="2"/>
      <c r="D6611" s="2"/>
      <c r="G6611" s="2"/>
    </row>
  </sheetData>
  <hyperlinks>
    <hyperlink r:id="rId1" ref="B3017"/>
    <hyperlink r:id="rId2" ref="B3019"/>
    <hyperlink r:id="rId3" ref="B3021"/>
    <hyperlink r:id="rId4" ref="B3024"/>
    <hyperlink r:id="rId5" ref="B3025"/>
    <hyperlink r:id="rId6" ref="B3026"/>
    <hyperlink r:id="rId7" ref="B3027"/>
    <hyperlink r:id="rId8" ref="B3029"/>
    <hyperlink r:id="rId9" ref="B3033"/>
    <hyperlink r:id="rId10" ref="B3038"/>
    <hyperlink r:id="rId11" ref="B3039"/>
    <hyperlink r:id="rId12" ref="B3041"/>
    <hyperlink r:id="rId13" ref="B3042"/>
    <hyperlink r:id="rId14" ref="B3043"/>
    <hyperlink r:id="rId15" ref="B3044"/>
    <hyperlink r:id="rId16" ref="B3048"/>
    <hyperlink r:id="rId17" ref="B3049"/>
    <hyperlink r:id="rId18" ref="B3051"/>
    <hyperlink r:id="rId19" ref="B3053"/>
    <hyperlink r:id="rId20" ref="B3054"/>
    <hyperlink r:id="rId21" ref="B3055"/>
    <hyperlink r:id="rId22" ref="B3056"/>
    <hyperlink r:id="rId23" ref="B3059"/>
    <hyperlink r:id="rId24" ref="B3060"/>
    <hyperlink r:id="rId25" ref="B3061"/>
    <hyperlink r:id="rId26" ref="B3063"/>
    <hyperlink r:id="rId27" ref="B3067"/>
    <hyperlink r:id="rId28" ref="B3070"/>
    <hyperlink r:id="rId29" ref="B3071"/>
    <hyperlink r:id="rId30" ref="B3072"/>
    <hyperlink r:id="rId31" ref="B3074"/>
    <hyperlink r:id="rId32" ref="B3076"/>
    <hyperlink r:id="rId33" ref="B3077"/>
    <hyperlink r:id="rId34" ref="B3082"/>
    <hyperlink r:id="rId35" ref="B3083"/>
    <hyperlink r:id="rId36" ref="B3084"/>
    <hyperlink r:id="rId37" ref="B3085"/>
    <hyperlink r:id="rId38" ref="B3086"/>
    <hyperlink r:id="rId39" ref="B3091"/>
    <hyperlink r:id="rId40" ref="B3093"/>
  </hyperlinks>
  <drawing r:id="rId4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9.38"/>
    <col customWidth="1" min="6" max="6" width="99.88"/>
    <col customWidth="1" min="8" max="8" width="39.25"/>
  </cols>
  <sheetData>
    <row r="1">
      <c r="A1" s="89" t="s">
        <v>1479</v>
      </c>
      <c r="B1" s="2" t="s">
        <v>24</v>
      </c>
      <c r="C1" s="2" t="s">
        <v>1480</v>
      </c>
      <c r="D1" s="2" t="s">
        <v>1044</v>
      </c>
      <c r="E1" s="2" t="s">
        <v>1481</v>
      </c>
      <c r="F1" s="2" t="s">
        <v>1482</v>
      </c>
      <c r="G1" s="2" t="s">
        <v>13</v>
      </c>
      <c r="H1" s="2" t="s">
        <v>1483</v>
      </c>
      <c r="I1" s="2" t="s">
        <v>1486</v>
      </c>
      <c r="J1" s="158" t="s">
        <v>1488</v>
      </c>
      <c r="K1" s="158" t="s">
        <v>1492</v>
      </c>
      <c r="L1" s="158" t="s">
        <v>288</v>
      </c>
      <c r="M1" s="158" t="s">
        <v>291</v>
      </c>
      <c r="N1" s="158" t="s">
        <v>410</v>
      </c>
      <c r="O1" s="158" t="s">
        <v>630</v>
      </c>
      <c r="P1" s="158" t="s">
        <v>270</v>
      </c>
      <c r="Q1" s="158" t="s">
        <v>1495</v>
      </c>
      <c r="R1" s="158" t="s">
        <v>79</v>
      </c>
      <c r="S1" s="158" t="s">
        <v>171</v>
      </c>
      <c r="T1" s="158" t="s">
        <v>183</v>
      </c>
      <c r="U1" s="158" t="s">
        <v>186</v>
      </c>
      <c r="V1" s="158" t="s">
        <v>185</v>
      </c>
      <c r="W1" s="2" t="s">
        <v>129</v>
      </c>
      <c r="X1" s="2" t="s">
        <v>175</v>
      </c>
      <c r="Y1" s="2" t="s">
        <v>202</v>
      </c>
      <c r="Z1" s="2" t="s">
        <v>139</v>
      </c>
      <c r="AA1" s="2" t="s">
        <v>131</v>
      </c>
      <c r="AB1" s="158" t="s">
        <v>144</v>
      </c>
      <c r="AC1" s="158" t="s">
        <v>191</v>
      </c>
      <c r="AD1" s="2" t="s">
        <v>210</v>
      </c>
      <c r="AE1" s="2" t="s">
        <v>1503</v>
      </c>
      <c r="AF1" s="2" t="s">
        <v>1505</v>
      </c>
    </row>
    <row r="2">
      <c r="A2" s="92" t="s">
        <v>342</v>
      </c>
      <c r="B2" s="64">
        <v>1.0</v>
      </c>
      <c r="C2" s="64">
        <v>1.0</v>
      </c>
      <c r="D2" s="64" t="str">
        <f t="shared" ref="D2:D130" si="3">concatenate("CO",E2,B2)</f>
        <v>CO424171</v>
      </c>
      <c r="E2" s="159">
        <v>42417.0</v>
      </c>
      <c r="F2" s="2" t="s">
        <v>1519</v>
      </c>
      <c r="G2" s="2" t="s">
        <v>18</v>
      </c>
      <c r="H2" s="2" t="s">
        <v>1521</v>
      </c>
      <c r="I2" s="2">
        <f t="shared" ref="I2:K2" si="1">If(Iserr(search(I$1,$H2)),0,1)</f>
        <v>0</v>
      </c>
      <c r="J2" s="2">
        <f t="shared" si="1"/>
        <v>0</v>
      </c>
      <c r="K2" s="2">
        <f t="shared" si="1"/>
        <v>0</v>
      </c>
      <c r="L2" s="2">
        <f t="shared" ref="L2:L130" si="5">If(Iserr(search(L$1,$G2)),0,1)</f>
        <v>0</v>
      </c>
      <c r="M2" s="2">
        <f t="shared" ref="M2:AE2" si="2">If(Iserr(search(M$1,$H2)),0,1)</f>
        <v>0</v>
      </c>
      <c r="N2" s="2">
        <f t="shared" si="2"/>
        <v>0</v>
      </c>
      <c r="O2" s="2">
        <f t="shared" si="2"/>
        <v>0</v>
      </c>
      <c r="P2" s="2">
        <f t="shared" si="2"/>
        <v>0</v>
      </c>
      <c r="Q2" s="2">
        <f t="shared" si="2"/>
        <v>0</v>
      </c>
      <c r="R2" s="2">
        <f t="shared" si="2"/>
        <v>0</v>
      </c>
      <c r="S2" s="2">
        <f t="shared" si="2"/>
        <v>0</v>
      </c>
      <c r="T2" s="2">
        <f t="shared" si="2"/>
        <v>0</v>
      </c>
      <c r="U2" s="2">
        <f t="shared" si="2"/>
        <v>0</v>
      </c>
      <c r="V2" s="2">
        <f t="shared" si="2"/>
        <v>0</v>
      </c>
      <c r="W2" s="2">
        <f t="shared" si="2"/>
        <v>1</v>
      </c>
      <c r="X2" s="2">
        <f t="shared" si="2"/>
        <v>1</v>
      </c>
      <c r="Y2" s="2">
        <f t="shared" si="2"/>
        <v>0</v>
      </c>
      <c r="Z2" s="2">
        <f t="shared" si="2"/>
        <v>0</v>
      </c>
      <c r="AA2" s="2">
        <f t="shared" si="2"/>
        <v>0</v>
      </c>
      <c r="AB2" s="2">
        <f t="shared" si="2"/>
        <v>0</v>
      </c>
      <c r="AC2" s="2">
        <f t="shared" si="2"/>
        <v>0</v>
      </c>
      <c r="AD2" s="2">
        <f t="shared" si="2"/>
        <v>0</v>
      </c>
      <c r="AE2" s="2">
        <f t="shared" si="2"/>
        <v>0</v>
      </c>
      <c r="AF2" s="2" t="s">
        <v>1538</v>
      </c>
    </row>
    <row r="3">
      <c r="A3" s="92" t="s">
        <v>346</v>
      </c>
      <c r="B3" s="64">
        <v>2.0</v>
      </c>
      <c r="C3" s="64">
        <v>2.0</v>
      </c>
      <c r="D3" s="64" t="str">
        <f t="shared" si="3"/>
        <v>CO424172</v>
      </c>
      <c r="E3" s="159">
        <v>42417.0</v>
      </c>
      <c r="F3" s="2" t="s">
        <v>1555</v>
      </c>
      <c r="G3" s="2" t="s">
        <v>18</v>
      </c>
      <c r="H3" s="2" t="s">
        <v>129</v>
      </c>
      <c r="I3" s="2">
        <f t="shared" ref="I3:K3" si="4">If(Iserr(search(I$1,$H3)),0,1)</f>
        <v>0</v>
      </c>
      <c r="J3" s="2">
        <f t="shared" si="4"/>
        <v>0</v>
      </c>
      <c r="K3" s="2">
        <f t="shared" si="4"/>
        <v>0</v>
      </c>
      <c r="L3" s="2">
        <f t="shared" si="5"/>
        <v>0</v>
      </c>
      <c r="M3" s="2">
        <f t="shared" ref="M3:AE3" si="6">If(Iserr(search(M$1,$H3)),0,1)</f>
        <v>0</v>
      </c>
      <c r="N3" s="2">
        <f t="shared" si="6"/>
        <v>0</v>
      </c>
      <c r="O3" s="2">
        <f t="shared" si="6"/>
        <v>0</v>
      </c>
      <c r="P3" s="2">
        <f t="shared" si="6"/>
        <v>0</v>
      </c>
      <c r="Q3" s="2">
        <f t="shared" si="6"/>
        <v>0</v>
      </c>
      <c r="R3" s="2">
        <f t="shared" si="6"/>
        <v>0</v>
      </c>
      <c r="S3" s="2">
        <f t="shared" si="6"/>
        <v>0</v>
      </c>
      <c r="T3" s="2">
        <f t="shared" si="6"/>
        <v>0</v>
      </c>
      <c r="U3" s="2">
        <f t="shared" si="6"/>
        <v>0</v>
      </c>
      <c r="V3" s="2">
        <f t="shared" si="6"/>
        <v>0</v>
      </c>
      <c r="W3" s="2">
        <f t="shared" si="6"/>
        <v>1</v>
      </c>
      <c r="X3" s="2">
        <f t="shared" si="6"/>
        <v>0</v>
      </c>
      <c r="Y3" s="2">
        <f t="shared" si="6"/>
        <v>0</v>
      </c>
      <c r="Z3" s="2">
        <f t="shared" si="6"/>
        <v>0</v>
      </c>
      <c r="AA3" s="2">
        <f t="shared" si="6"/>
        <v>0</v>
      </c>
      <c r="AB3" s="2">
        <f t="shared" si="6"/>
        <v>0</v>
      </c>
      <c r="AC3" s="2">
        <f t="shared" si="6"/>
        <v>0</v>
      </c>
      <c r="AD3" s="2">
        <f t="shared" si="6"/>
        <v>0</v>
      </c>
      <c r="AE3" s="2">
        <f t="shared" si="6"/>
        <v>0</v>
      </c>
      <c r="AF3" s="2" t="s">
        <v>1564</v>
      </c>
    </row>
    <row r="4">
      <c r="A4" s="92" t="s">
        <v>350</v>
      </c>
      <c r="B4" s="64">
        <v>3.0</v>
      </c>
      <c r="C4" s="64">
        <v>3.0</v>
      </c>
      <c r="D4" s="64" t="str">
        <f t="shared" si="3"/>
        <v>CO424233</v>
      </c>
      <c r="E4" s="159">
        <v>42423.0</v>
      </c>
      <c r="F4" s="2" t="s">
        <v>1571</v>
      </c>
      <c r="G4" s="2" t="s">
        <v>18</v>
      </c>
      <c r="H4" s="158" t="s">
        <v>1573</v>
      </c>
      <c r="I4" s="2">
        <f t="shared" ref="I4:K4" si="7">If(Iserr(search(I$1,$H4)),0,1)</f>
        <v>0</v>
      </c>
      <c r="J4" s="2">
        <f t="shared" si="7"/>
        <v>0</v>
      </c>
      <c r="K4" s="2">
        <f t="shared" si="7"/>
        <v>0</v>
      </c>
      <c r="L4" s="2">
        <f t="shared" si="5"/>
        <v>0</v>
      </c>
      <c r="M4" s="2">
        <f t="shared" ref="M4:AE4" si="8">If(Iserr(search(M$1,$H4)),0,1)</f>
        <v>0</v>
      </c>
      <c r="N4" s="2">
        <f t="shared" si="8"/>
        <v>0</v>
      </c>
      <c r="O4" s="2">
        <f t="shared" si="8"/>
        <v>0</v>
      </c>
      <c r="P4" s="2">
        <f t="shared" si="8"/>
        <v>0</v>
      </c>
      <c r="Q4" s="2">
        <f t="shared" si="8"/>
        <v>0</v>
      </c>
      <c r="R4" s="2">
        <f t="shared" si="8"/>
        <v>0</v>
      </c>
      <c r="S4" s="2">
        <f t="shared" si="8"/>
        <v>0</v>
      </c>
      <c r="T4" s="2">
        <f t="shared" si="8"/>
        <v>0</v>
      </c>
      <c r="U4" s="2">
        <f t="shared" si="8"/>
        <v>0</v>
      </c>
      <c r="V4" s="2">
        <f t="shared" si="8"/>
        <v>0</v>
      </c>
      <c r="W4" s="2">
        <f t="shared" si="8"/>
        <v>1</v>
      </c>
      <c r="X4" s="2">
        <f t="shared" si="8"/>
        <v>0</v>
      </c>
      <c r="Y4" s="2">
        <f t="shared" si="8"/>
        <v>0</v>
      </c>
      <c r="Z4" s="2">
        <f t="shared" si="8"/>
        <v>0</v>
      </c>
      <c r="AA4" s="2">
        <f t="shared" si="8"/>
        <v>1</v>
      </c>
      <c r="AB4" s="2">
        <f t="shared" si="8"/>
        <v>0</v>
      </c>
      <c r="AC4" s="2">
        <f t="shared" si="8"/>
        <v>0</v>
      </c>
      <c r="AD4" s="2">
        <f t="shared" si="8"/>
        <v>0</v>
      </c>
      <c r="AE4" s="2">
        <f t="shared" si="8"/>
        <v>0</v>
      </c>
      <c r="AF4" s="2" t="s">
        <v>1589</v>
      </c>
    </row>
    <row r="5">
      <c r="A5" s="92" t="s">
        <v>355</v>
      </c>
      <c r="B5" s="64">
        <v>4.0</v>
      </c>
      <c r="C5" s="64">
        <v>4.0</v>
      </c>
      <c r="D5" s="64" t="str">
        <f t="shared" si="3"/>
        <v>CO424244</v>
      </c>
      <c r="E5" s="159">
        <v>42424.0</v>
      </c>
      <c r="F5" s="2" t="s">
        <v>1599</v>
      </c>
      <c r="G5" s="2" t="s">
        <v>18</v>
      </c>
      <c r="H5" s="158" t="s">
        <v>1601</v>
      </c>
      <c r="I5" s="2">
        <f t="shared" ref="I5:K5" si="9">If(Iserr(search(I$1,$H5)),0,1)</f>
        <v>0</v>
      </c>
      <c r="J5" s="2">
        <f t="shared" si="9"/>
        <v>0</v>
      </c>
      <c r="K5" s="2">
        <f t="shared" si="9"/>
        <v>0</v>
      </c>
      <c r="L5" s="2">
        <f t="shared" si="5"/>
        <v>0</v>
      </c>
      <c r="M5" s="2">
        <f t="shared" ref="M5:AE5" si="10">If(Iserr(search(M$1,$H5)),0,1)</f>
        <v>0</v>
      </c>
      <c r="N5" s="2">
        <f t="shared" si="10"/>
        <v>0</v>
      </c>
      <c r="O5" s="2">
        <f t="shared" si="10"/>
        <v>0</v>
      </c>
      <c r="P5" s="2">
        <f t="shared" si="10"/>
        <v>0</v>
      </c>
      <c r="Q5" s="2">
        <f t="shared" si="10"/>
        <v>0</v>
      </c>
      <c r="R5" s="2">
        <f t="shared" si="10"/>
        <v>0</v>
      </c>
      <c r="S5" s="2">
        <f t="shared" si="10"/>
        <v>0</v>
      </c>
      <c r="T5" s="2">
        <f t="shared" si="10"/>
        <v>0</v>
      </c>
      <c r="U5" s="2">
        <f t="shared" si="10"/>
        <v>0</v>
      </c>
      <c r="V5" s="2">
        <f t="shared" si="10"/>
        <v>0</v>
      </c>
      <c r="W5" s="2">
        <f t="shared" si="10"/>
        <v>1</v>
      </c>
      <c r="X5" s="2">
        <f t="shared" si="10"/>
        <v>0</v>
      </c>
      <c r="Y5" s="2">
        <f t="shared" si="10"/>
        <v>1</v>
      </c>
      <c r="Z5" s="2">
        <f t="shared" si="10"/>
        <v>0</v>
      </c>
      <c r="AA5" s="2">
        <f t="shared" si="10"/>
        <v>0</v>
      </c>
      <c r="AB5" s="2">
        <f t="shared" si="10"/>
        <v>0</v>
      </c>
      <c r="AC5" s="2">
        <f t="shared" si="10"/>
        <v>0</v>
      </c>
      <c r="AD5" s="2">
        <f t="shared" si="10"/>
        <v>0</v>
      </c>
      <c r="AE5" s="2">
        <f t="shared" si="10"/>
        <v>0</v>
      </c>
      <c r="AF5" s="2" t="s">
        <v>1621</v>
      </c>
    </row>
    <row r="6">
      <c r="A6" s="92" t="s">
        <v>358</v>
      </c>
      <c r="B6" s="64">
        <f t="shared" ref="B6:B45" si="13">B5+1</f>
        <v>5</v>
      </c>
      <c r="C6" s="64">
        <v>5.0</v>
      </c>
      <c r="D6" s="64" t="str">
        <f t="shared" si="3"/>
        <v>CO424255</v>
      </c>
      <c r="E6" s="159">
        <v>42425.0</v>
      </c>
      <c r="F6" s="2" t="s">
        <v>1625</v>
      </c>
      <c r="G6" s="2" t="s">
        <v>18</v>
      </c>
      <c r="H6" s="158" t="s">
        <v>148</v>
      </c>
      <c r="I6" s="2">
        <f t="shared" ref="I6:K6" si="11">If(Iserr(search(I$1,$H6)),0,1)</f>
        <v>0</v>
      </c>
      <c r="J6" s="2">
        <f t="shared" si="11"/>
        <v>0</v>
      </c>
      <c r="K6" s="2">
        <f t="shared" si="11"/>
        <v>0</v>
      </c>
      <c r="L6" s="2">
        <f t="shared" si="5"/>
        <v>0</v>
      </c>
      <c r="M6" s="2">
        <f t="shared" ref="M6:AE6" si="12">If(Iserr(search(M$1,$H6)),0,1)</f>
        <v>0</v>
      </c>
      <c r="N6" s="2">
        <f t="shared" si="12"/>
        <v>0</v>
      </c>
      <c r="O6" s="2">
        <f t="shared" si="12"/>
        <v>0</v>
      </c>
      <c r="P6" s="2">
        <f t="shared" si="12"/>
        <v>0</v>
      </c>
      <c r="Q6" s="2">
        <f t="shared" si="12"/>
        <v>0</v>
      </c>
      <c r="R6" s="2">
        <f t="shared" si="12"/>
        <v>0</v>
      </c>
      <c r="S6" s="2">
        <f t="shared" si="12"/>
        <v>0</v>
      </c>
      <c r="T6" s="2">
        <f t="shared" si="12"/>
        <v>0</v>
      </c>
      <c r="U6" s="2">
        <f t="shared" si="12"/>
        <v>0</v>
      </c>
      <c r="V6" s="2">
        <f t="shared" si="12"/>
        <v>0</v>
      </c>
      <c r="W6" s="2">
        <f t="shared" si="12"/>
        <v>1</v>
      </c>
      <c r="X6" s="2">
        <f t="shared" si="12"/>
        <v>0</v>
      </c>
      <c r="Y6" s="2">
        <f t="shared" si="12"/>
        <v>0</v>
      </c>
      <c r="Z6" s="2">
        <f t="shared" si="12"/>
        <v>1</v>
      </c>
      <c r="AA6" s="2">
        <f t="shared" si="12"/>
        <v>0</v>
      </c>
      <c r="AB6" s="2">
        <f t="shared" si="12"/>
        <v>0</v>
      </c>
      <c r="AC6" s="2">
        <f t="shared" si="12"/>
        <v>0</v>
      </c>
      <c r="AD6" s="2">
        <f t="shared" si="12"/>
        <v>0</v>
      </c>
      <c r="AE6" s="2">
        <f t="shared" si="12"/>
        <v>0</v>
      </c>
      <c r="AF6" s="2" t="s">
        <v>1641</v>
      </c>
    </row>
    <row r="7">
      <c r="A7" s="92" t="s">
        <v>361</v>
      </c>
      <c r="B7" s="64">
        <f t="shared" si="13"/>
        <v>6</v>
      </c>
      <c r="C7" s="64">
        <v>6.0</v>
      </c>
      <c r="D7" s="64" t="str">
        <f t="shared" si="3"/>
        <v>CO424366</v>
      </c>
      <c r="E7" s="159">
        <v>42436.0</v>
      </c>
      <c r="F7" s="2" t="s">
        <v>1647</v>
      </c>
      <c r="G7" s="2" t="s">
        <v>18</v>
      </c>
      <c r="H7" s="158" t="s">
        <v>160</v>
      </c>
      <c r="I7" s="2">
        <f t="shared" ref="I7:K7" si="14">If(Iserr(search(I$1,$H7)),0,1)</f>
        <v>0</v>
      </c>
      <c r="J7" s="2">
        <f t="shared" si="14"/>
        <v>0</v>
      </c>
      <c r="K7" s="2">
        <f t="shared" si="14"/>
        <v>0</v>
      </c>
      <c r="L7" s="2">
        <f t="shared" si="5"/>
        <v>0</v>
      </c>
      <c r="M7" s="2">
        <f t="shared" ref="M7:AE7" si="15">If(Iserr(search(M$1,$H7)),0,1)</f>
        <v>0</v>
      </c>
      <c r="N7" s="2">
        <f t="shared" si="15"/>
        <v>0</v>
      </c>
      <c r="O7" s="2">
        <f t="shared" si="15"/>
        <v>0</v>
      </c>
      <c r="P7" s="2">
        <f t="shared" si="15"/>
        <v>0</v>
      </c>
      <c r="Q7" s="2">
        <f t="shared" si="15"/>
        <v>0</v>
      </c>
      <c r="R7" s="2">
        <f t="shared" si="15"/>
        <v>0</v>
      </c>
      <c r="S7" s="2">
        <f t="shared" si="15"/>
        <v>0</v>
      </c>
      <c r="T7" s="2">
        <f t="shared" si="15"/>
        <v>0</v>
      </c>
      <c r="U7" s="2">
        <f t="shared" si="15"/>
        <v>0</v>
      </c>
      <c r="V7" s="2">
        <f t="shared" si="15"/>
        <v>0</v>
      </c>
      <c r="W7" s="2">
        <f t="shared" si="15"/>
        <v>0</v>
      </c>
      <c r="X7" s="2">
        <f t="shared" si="15"/>
        <v>1</v>
      </c>
      <c r="Y7" s="2">
        <f t="shared" si="15"/>
        <v>0</v>
      </c>
      <c r="Z7" s="2">
        <f t="shared" si="15"/>
        <v>0</v>
      </c>
      <c r="AA7" s="2">
        <f t="shared" si="15"/>
        <v>1</v>
      </c>
      <c r="AB7" s="2">
        <f t="shared" si="15"/>
        <v>0</v>
      </c>
      <c r="AC7" s="2">
        <f t="shared" si="15"/>
        <v>0</v>
      </c>
      <c r="AD7" s="2">
        <f t="shared" si="15"/>
        <v>0</v>
      </c>
      <c r="AE7" s="2">
        <f t="shared" si="15"/>
        <v>0</v>
      </c>
      <c r="AF7" s="2" t="s">
        <v>1668</v>
      </c>
    </row>
    <row r="8">
      <c r="A8" s="92" t="s">
        <v>366</v>
      </c>
      <c r="B8" s="64">
        <f t="shared" si="13"/>
        <v>7</v>
      </c>
      <c r="C8" s="64">
        <v>7.0</v>
      </c>
      <c r="D8" s="64" t="str">
        <f t="shared" si="3"/>
        <v>CO424387</v>
      </c>
      <c r="E8" s="159">
        <v>42438.0</v>
      </c>
      <c r="F8" s="2" t="s">
        <v>1674</v>
      </c>
      <c r="G8" s="2" t="s">
        <v>18</v>
      </c>
      <c r="H8" s="158" t="s">
        <v>199</v>
      </c>
      <c r="I8" s="2">
        <f t="shared" ref="I8:K8" si="16">If(Iserr(search(I$1,$H8)),0,1)</f>
        <v>0</v>
      </c>
      <c r="J8" s="2">
        <f t="shared" si="16"/>
        <v>0</v>
      </c>
      <c r="K8" s="2">
        <f t="shared" si="16"/>
        <v>0</v>
      </c>
      <c r="L8" s="2">
        <f t="shared" si="5"/>
        <v>0</v>
      </c>
      <c r="M8" s="2">
        <f t="shared" ref="M8:AE8" si="17">If(Iserr(search(M$1,$H8)),0,1)</f>
        <v>0</v>
      </c>
      <c r="N8" s="2">
        <f t="shared" si="17"/>
        <v>0</v>
      </c>
      <c r="O8" s="2">
        <f t="shared" si="17"/>
        <v>0</v>
      </c>
      <c r="P8" s="2">
        <f t="shared" si="17"/>
        <v>0</v>
      </c>
      <c r="Q8" s="2">
        <f t="shared" si="17"/>
        <v>0</v>
      </c>
      <c r="R8" s="2">
        <f t="shared" si="17"/>
        <v>0</v>
      </c>
      <c r="S8" s="2">
        <f t="shared" si="17"/>
        <v>0</v>
      </c>
      <c r="T8" s="2">
        <f t="shared" si="17"/>
        <v>0</v>
      </c>
      <c r="U8" s="2">
        <f t="shared" si="17"/>
        <v>0</v>
      </c>
      <c r="V8" s="2">
        <f t="shared" si="17"/>
        <v>0</v>
      </c>
      <c r="W8" s="2">
        <f t="shared" si="17"/>
        <v>1</v>
      </c>
      <c r="X8" s="2">
        <f t="shared" si="17"/>
        <v>1</v>
      </c>
      <c r="Y8" s="2">
        <f t="shared" si="17"/>
        <v>0</v>
      </c>
      <c r="Z8" s="2">
        <f t="shared" si="17"/>
        <v>1</v>
      </c>
      <c r="AA8" s="2">
        <f t="shared" si="17"/>
        <v>0</v>
      </c>
      <c r="AB8" s="2">
        <f t="shared" si="17"/>
        <v>0</v>
      </c>
      <c r="AC8" s="2">
        <f t="shared" si="17"/>
        <v>0</v>
      </c>
      <c r="AD8" s="2">
        <f t="shared" si="17"/>
        <v>0</v>
      </c>
      <c r="AE8" s="2">
        <f t="shared" si="17"/>
        <v>0</v>
      </c>
      <c r="AF8" s="2" t="s">
        <v>1693</v>
      </c>
    </row>
    <row r="9">
      <c r="A9" s="92" t="s">
        <v>370</v>
      </c>
      <c r="B9" s="64">
        <f t="shared" si="13"/>
        <v>8</v>
      </c>
      <c r="C9" s="64">
        <v>8.0</v>
      </c>
      <c r="D9" s="64" t="str">
        <f t="shared" si="3"/>
        <v>CO424398</v>
      </c>
      <c r="E9" s="159">
        <v>42439.0</v>
      </c>
      <c r="F9" s="2" t="s">
        <v>1701</v>
      </c>
      <c r="G9" s="2" t="s">
        <v>18</v>
      </c>
      <c r="H9" s="158" t="s">
        <v>144</v>
      </c>
      <c r="I9" s="2">
        <f t="shared" ref="I9:K9" si="18">If(Iserr(search(I$1,$H9)),0,1)</f>
        <v>0</v>
      </c>
      <c r="J9" s="2">
        <f t="shared" si="18"/>
        <v>0</v>
      </c>
      <c r="K9" s="2">
        <f t="shared" si="18"/>
        <v>0</v>
      </c>
      <c r="L9" s="2">
        <f t="shared" si="5"/>
        <v>0</v>
      </c>
      <c r="M9" s="2">
        <f t="shared" ref="M9:AE9" si="19">If(Iserr(search(M$1,$H9)),0,1)</f>
        <v>0</v>
      </c>
      <c r="N9" s="2">
        <f t="shared" si="19"/>
        <v>0</v>
      </c>
      <c r="O9" s="2">
        <f t="shared" si="19"/>
        <v>0</v>
      </c>
      <c r="P9" s="2">
        <f t="shared" si="19"/>
        <v>0</v>
      </c>
      <c r="Q9" s="2">
        <f t="shared" si="19"/>
        <v>0</v>
      </c>
      <c r="R9" s="2">
        <f t="shared" si="19"/>
        <v>0</v>
      </c>
      <c r="S9" s="2">
        <f t="shared" si="19"/>
        <v>0</v>
      </c>
      <c r="T9" s="2">
        <f t="shared" si="19"/>
        <v>0</v>
      </c>
      <c r="U9" s="2">
        <f t="shared" si="19"/>
        <v>0</v>
      </c>
      <c r="V9" s="2">
        <f t="shared" si="19"/>
        <v>0</v>
      </c>
      <c r="W9" s="2">
        <f t="shared" si="19"/>
        <v>0</v>
      </c>
      <c r="X9" s="2">
        <f t="shared" si="19"/>
        <v>0</v>
      </c>
      <c r="Y9" s="2">
        <f t="shared" si="19"/>
        <v>0</v>
      </c>
      <c r="Z9" s="2">
        <f t="shared" si="19"/>
        <v>0</v>
      </c>
      <c r="AA9" s="2">
        <f t="shared" si="19"/>
        <v>0</v>
      </c>
      <c r="AB9" s="2">
        <f t="shared" si="19"/>
        <v>1</v>
      </c>
      <c r="AC9" s="2">
        <f t="shared" si="19"/>
        <v>0</v>
      </c>
      <c r="AD9" s="2">
        <f t="shared" si="19"/>
        <v>0</v>
      </c>
      <c r="AE9" s="2">
        <f t="shared" si="19"/>
        <v>0</v>
      </c>
      <c r="AF9" s="2" t="s">
        <v>1715</v>
      </c>
    </row>
    <row r="10">
      <c r="A10" s="92" t="s">
        <v>376</v>
      </c>
      <c r="B10" s="64">
        <f t="shared" si="13"/>
        <v>9</v>
      </c>
      <c r="C10" s="64">
        <v>9.0</v>
      </c>
      <c r="D10" s="64" t="str">
        <f t="shared" si="3"/>
        <v>CO424399</v>
      </c>
      <c r="E10" s="159">
        <v>42439.0</v>
      </c>
      <c r="F10" s="2" t="s">
        <v>1722</v>
      </c>
      <c r="G10" s="2" t="s">
        <v>18</v>
      </c>
      <c r="H10" s="158" t="s">
        <v>139</v>
      </c>
      <c r="I10" s="2">
        <f t="shared" ref="I10:K10" si="20">If(Iserr(search(I$1,$H10)),0,1)</f>
        <v>0</v>
      </c>
      <c r="J10" s="2">
        <f t="shared" si="20"/>
        <v>0</v>
      </c>
      <c r="K10" s="2">
        <f t="shared" si="20"/>
        <v>0</v>
      </c>
      <c r="L10" s="2">
        <f t="shared" si="5"/>
        <v>0</v>
      </c>
      <c r="M10" s="2">
        <f t="shared" ref="M10:AE10" si="21">If(Iserr(search(M$1,$H10)),0,1)</f>
        <v>0</v>
      </c>
      <c r="N10" s="2">
        <f t="shared" si="21"/>
        <v>0</v>
      </c>
      <c r="O10" s="2">
        <f t="shared" si="21"/>
        <v>0</v>
      </c>
      <c r="P10" s="2">
        <f t="shared" si="21"/>
        <v>0</v>
      </c>
      <c r="Q10" s="2">
        <f t="shared" si="21"/>
        <v>0</v>
      </c>
      <c r="R10" s="2">
        <f t="shared" si="21"/>
        <v>0</v>
      </c>
      <c r="S10" s="2">
        <f t="shared" si="21"/>
        <v>0</v>
      </c>
      <c r="T10" s="2">
        <f t="shared" si="21"/>
        <v>0</v>
      </c>
      <c r="U10" s="2">
        <f t="shared" si="21"/>
        <v>0</v>
      </c>
      <c r="V10" s="2">
        <f t="shared" si="21"/>
        <v>0</v>
      </c>
      <c r="W10" s="2">
        <f t="shared" si="21"/>
        <v>0</v>
      </c>
      <c r="X10" s="2">
        <f t="shared" si="21"/>
        <v>0</v>
      </c>
      <c r="Y10" s="2">
        <f t="shared" si="21"/>
        <v>0</v>
      </c>
      <c r="Z10" s="2">
        <f t="shared" si="21"/>
        <v>1</v>
      </c>
      <c r="AA10" s="2">
        <f t="shared" si="21"/>
        <v>0</v>
      </c>
      <c r="AB10" s="2">
        <f t="shared" si="21"/>
        <v>0</v>
      </c>
      <c r="AC10" s="2">
        <f t="shared" si="21"/>
        <v>0</v>
      </c>
      <c r="AD10" s="2">
        <f t="shared" si="21"/>
        <v>0</v>
      </c>
      <c r="AE10" s="2">
        <f t="shared" si="21"/>
        <v>0</v>
      </c>
      <c r="AF10" s="2" t="s">
        <v>1738</v>
      </c>
    </row>
    <row r="11">
      <c r="A11" s="92" t="s">
        <v>381</v>
      </c>
      <c r="B11" s="64">
        <f t="shared" si="13"/>
        <v>10</v>
      </c>
      <c r="C11" s="64">
        <v>10.0</v>
      </c>
      <c r="D11" s="64" t="str">
        <f t="shared" si="3"/>
        <v>CO4244310</v>
      </c>
      <c r="E11" s="159">
        <v>42443.0</v>
      </c>
      <c r="F11" s="2" t="s">
        <v>1747</v>
      </c>
      <c r="G11" s="2" t="s">
        <v>18</v>
      </c>
      <c r="H11" s="158" t="s">
        <v>129</v>
      </c>
      <c r="I11" s="2">
        <f t="shared" ref="I11:K11" si="22">If(Iserr(search(I$1,$H11)),0,1)</f>
        <v>0</v>
      </c>
      <c r="J11" s="2">
        <f t="shared" si="22"/>
        <v>0</v>
      </c>
      <c r="K11" s="2">
        <f t="shared" si="22"/>
        <v>0</v>
      </c>
      <c r="L11" s="2">
        <f t="shared" si="5"/>
        <v>0</v>
      </c>
      <c r="M11" s="2">
        <f t="shared" ref="M11:AE11" si="23">If(Iserr(search(M$1,$H11)),0,1)</f>
        <v>0</v>
      </c>
      <c r="N11" s="2">
        <f t="shared" si="23"/>
        <v>0</v>
      </c>
      <c r="O11" s="2">
        <f t="shared" si="23"/>
        <v>0</v>
      </c>
      <c r="P11" s="2">
        <f t="shared" si="23"/>
        <v>0</v>
      </c>
      <c r="Q11" s="2">
        <f t="shared" si="23"/>
        <v>0</v>
      </c>
      <c r="R11" s="2">
        <f t="shared" si="23"/>
        <v>0</v>
      </c>
      <c r="S11" s="2">
        <f t="shared" si="23"/>
        <v>0</v>
      </c>
      <c r="T11" s="2">
        <f t="shared" si="23"/>
        <v>0</v>
      </c>
      <c r="U11" s="2">
        <f t="shared" si="23"/>
        <v>0</v>
      </c>
      <c r="V11" s="2">
        <f t="shared" si="23"/>
        <v>0</v>
      </c>
      <c r="W11" s="2">
        <f t="shared" si="23"/>
        <v>1</v>
      </c>
      <c r="X11" s="2">
        <f t="shared" si="23"/>
        <v>0</v>
      </c>
      <c r="Y11" s="2">
        <f t="shared" si="23"/>
        <v>0</v>
      </c>
      <c r="Z11" s="2">
        <f t="shared" si="23"/>
        <v>0</v>
      </c>
      <c r="AA11" s="2">
        <f t="shared" si="23"/>
        <v>0</v>
      </c>
      <c r="AB11" s="2">
        <f t="shared" si="23"/>
        <v>0</v>
      </c>
      <c r="AC11" s="2">
        <f t="shared" si="23"/>
        <v>0</v>
      </c>
      <c r="AD11" s="2">
        <f t="shared" si="23"/>
        <v>0</v>
      </c>
      <c r="AE11" s="2">
        <f t="shared" si="23"/>
        <v>0</v>
      </c>
      <c r="AF11" s="2" t="s">
        <v>1763</v>
      </c>
    </row>
    <row r="12">
      <c r="A12" s="92" t="s">
        <v>385</v>
      </c>
      <c r="B12" s="64">
        <f t="shared" si="13"/>
        <v>11</v>
      </c>
      <c r="C12" s="64">
        <v>11.0</v>
      </c>
      <c r="D12" s="64" t="str">
        <f t="shared" si="3"/>
        <v>CO4244311</v>
      </c>
      <c r="E12" s="159">
        <v>42443.0</v>
      </c>
      <c r="F12" s="2" t="s">
        <v>1770</v>
      </c>
      <c r="G12" s="2" t="s">
        <v>18</v>
      </c>
      <c r="H12" s="158" t="s">
        <v>129</v>
      </c>
      <c r="I12" s="2">
        <f t="shared" ref="I12:K12" si="24">If(Iserr(search(I$1,$H12)),0,1)</f>
        <v>0</v>
      </c>
      <c r="J12" s="2">
        <f t="shared" si="24"/>
        <v>0</v>
      </c>
      <c r="K12" s="2">
        <f t="shared" si="24"/>
        <v>0</v>
      </c>
      <c r="L12" s="2">
        <f t="shared" si="5"/>
        <v>0</v>
      </c>
      <c r="M12" s="2">
        <f t="shared" ref="M12:AE12" si="25">If(Iserr(search(M$1,$H12)),0,1)</f>
        <v>0</v>
      </c>
      <c r="N12" s="2">
        <f t="shared" si="25"/>
        <v>0</v>
      </c>
      <c r="O12" s="2">
        <f t="shared" si="25"/>
        <v>0</v>
      </c>
      <c r="P12" s="2">
        <f t="shared" si="25"/>
        <v>0</v>
      </c>
      <c r="Q12" s="2">
        <f t="shared" si="25"/>
        <v>0</v>
      </c>
      <c r="R12" s="2">
        <f t="shared" si="25"/>
        <v>0</v>
      </c>
      <c r="S12" s="2">
        <f t="shared" si="25"/>
        <v>0</v>
      </c>
      <c r="T12" s="2">
        <f t="shared" si="25"/>
        <v>0</v>
      </c>
      <c r="U12" s="2">
        <f t="shared" si="25"/>
        <v>0</v>
      </c>
      <c r="V12" s="2">
        <f t="shared" si="25"/>
        <v>0</v>
      </c>
      <c r="W12" s="2">
        <f t="shared" si="25"/>
        <v>1</v>
      </c>
      <c r="X12" s="2">
        <f t="shared" si="25"/>
        <v>0</v>
      </c>
      <c r="Y12" s="2">
        <f t="shared" si="25"/>
        <v>0</v>
      </c>
      <c r="Z12" s="2">
        <f t="shared" si="25"/>
        <v>0</v>
      </c>
      <c r="AA12" s="2">
        <f t="shared" si="25"/>
        <v>0</v>
      </c>
      <c r="AB12" s="2">
        <f t="shared" si="25"/>
        <v>0</v>
      </c>
      <c r="AC12" s="2">
        <f t="shared" si="25"/>
        <v>0</v>
      </c>
      <c r="AD12" s="2">
        <f t="shared" si="25"/>
        <v>0</v>
      </c>
      <c r="AE12" s="2">
        <f t="shared" si="25"/>
        <v>0</v>
      </c>
      <c r="AF12" s="2" t="s">
        <v>1785</v>
      </c>
    </row>
    <row r="13">
      <c r="A13" s="92" t="s">
        <v>388</v>
      </c>
      <c r="B13" s="64">
        <f t="shared" si="13"/>
        <v>12</v>
      </c>
      <c r="C13" s="64">
        <v>12.0</v>
      </c>
      <c r="D13" s="64" t="str">
        <f t="shared" si="3"/>
        <v>CO4244612</v>
      </c>
      <c r="E13" s="159">
        <v>42446.0</v>
      </c>
      <c r="F13" s="2" t="s">
        <v>1791</v>
      </c>
      <c r="G13" s="2" t="s">
        <v>18</v>
      </c>
      <c r="H13" s="158" t="s">
        <v>175</v>
      </c>
      <c r="I13" s="2">
        <f t="shared" ref="I13:K13" si="26">If(Iserr(search(I$1,$H13)),0,1)</f>
        <v>0</v>
      </c>
      <c r="J13" s="2">
        <f t="shared" si="26"/>
        <v>0</v>
      </c>
      <c r="K13" s="2">
        <f t="shared" si="26"/>
        <v>0</v>
      </c>
      <c r="L13" s="2">
        <f t="shared" si="5"/>
        <v>0</v>
      </c>
      <c r="M13" s="2">
        <f t="shared" ref="M13:AE13" si="27">If(Iserr(search(M$1,$H13)),0,1)</f>
        <v>0</v>
      </c>
      <c r="N13" s="2">
        <f t="shared" si="27"/>
        <v>0</v>
      </c>
      <c r="O13" s="2">
        <f t="shared" si="27"/>
        <v>0</v>
      </c>
      <c r="P13" s="2">
        <f t="shared" si="27"/>
        <v>0</v>
      </c>
      <c r="Q13" s="2">
        <f t="shared" si="27"/>
        <v>0</v>
      </c>
      <c r="R13" s="2">
        <f t="shared" si="27"/>
        <v>0</v>
      </c>
      <c r="S13" s="2">
        <f t="shared" si="27"/>
        <v>0</v>
      </c>
      <c r="T13" s="2">
        <f t="shared" si="27"/>
        <v>0</v>
      </c>
      <c r="U13" s="2">
        <f t="shared" si="27"/>
        <v>0</v>
      </c>
      <c r="V13" s="2">
        <f t="shared" si="27"/>
        <v>0</v>
      </c>
      <c r="W13" s="2">
        <f t="shared" si="27"/>
        <v>0</v>
      </c>
      <c r="X13" s="2">
        <f t="shared" si="27"/>
        <v>1</v>
      </c>
      <c r="Y13" s="2">
        <f t="shared" si="27"/>
        <v>0</v>
      </c>
      <c r="Z13" s="2">
        <f t="shared" si="27"/>
        <v>0</v>
      </c>
      <c r="AA13" s="2">
        <f t="shared" si="27"/>
        <v>0</v>
      </c>
      <c r="AB13" s="2">
        <f t="shared" si="27"/>
        <v>0</v>
      </c>
      <c r="AC13" s="2">
        <f t="shared" si="27"/>
        <v>0</v>
      </c>
      <c r="AD13" s="2">
        <f t="shared" si="27"/>
        <v>0</v>
      </c>
      <c r="AE13" s="2">
        <f t="shared" si="27"/>
        <v>0</v>
      </c>
      <c r="AF13" s="2" t="s">
        <v>1806</v>
      </c>
    </row>
    <row r="14">
      <c r="A14" s="92" t="s">
        <v>392</v>
      </c>
      <c r="B14" s="64">
        <f t="shared" si="13"/>
        <v>13</v>
      </c>
      <c r="C14" s="64">
        <v>13.0</v>
      </c>
      <c r="D14" s="64" t="str">
        <f t="shared" si="3"/>
        <v>CO4245013</v>
      </c>
      <c r="E14" s="159">
        <v>42450.0</v>
      </c>
      <c r="F14" s="2" t="s">
        <v>1814</v>
      </c>
      <c r="G14" s="2" t="s">
        <v>18</v>
      </c>
      <c r="H14" s="158" t="s">
        <v>175</v>
      </c>
      <c r="I14" s="2">
        <f t="shared" ref="I14:K14" si="28">If(Iserr(search(I$1,$H14)),0,1)</f>
        <v>0</v>
      </c>
      <c r="J14" s="2">
        <f t="shared" si="28"/>
        <v>0</v>
      </c>
      <c r="K14" s="2">
        <f t="shared" si="28"/>
        <v>0</v>
      </c>
      <c r="L14" s="2">
        <f t="shared" si="5"/>
        <v>0</v>
      </c>
      <c r="M14" s="2">
        <f t="shared" ref="M14:AE14" si="29">If(Iserr(search(M$1,$H14)),0,1)</f>
        <v>0</v>
      </c>
      <c r="N14" s="2">
        <f t="shared" si="29"/>
        <v>0</v>
      </c>
      <c r="O14" s="2">
        <f t="shared" si="29"/>
        <v>0</v>
      </c>
      <c r="P14" s="2">
        <f t="shared" si="29"/>
        <v>0</v>
      </c>
      <c r="Q14" s="2">
        <f t="shared" si="29"/>
        <v>0</v>
      </c>
      <c r="R14" s="2">
        <f t="shared" si="29"/>
        <v>0</v>
      </c>
      <c r="S14" s="2">
        <f t="shared" si="29"/>
        <v>0</v>
      </c>
      <c r="T14" s="2">
        <f t="shared" si="29"/>
        <v>0</v>
      </c>
      <c r="U14" s="2">
        <f t="shared" si="29"/>
        <v>0</v>
      </c>
      <c r="V14" s="2">
        <f t="shared" si="29"/>
        <v>0</v>
      </c>
      <c r="W14" s="2">
        <f t="shared" si="29"/>
        <v>0</v>
      </c>
      <c r="X14" s="2">
        <f t="shared" si="29"/>
        <v>1</v>
      </c>
      <c r="Y14" s="2">
        <f t="shared" si="29"/>
        <v>0</v>
      </c>
      <c r="Z14" s="2">
        <f t="shared" si="29"/>
        <v>0</v>
      </c>
      <c r="AA14" s="2">
        <f t="shared" si="29"/>
        <v>0</v>
      </c>
      <c r="AB14" s="2">
        <f t="shared" si="29"/>
        <v>0</v>
      </c>
      <c r="AC14" s="2">
        <f t="shared" si="29"/>
        <v>0</v>
      </c>
      <c r="AD14" s="2">
        <f t="shared" si="29"/>
        <v>0</v>
      </c>
      <c r="AE14" s="2">
        <f t="shared" si="29"/>
        <v>0</v>
      </c>
      <c r="AF14" s="2" t="s">
        <v>1831</v>
      </c>
    </row>
    <row r="15">
      <c r="A15" s="92" t="s">
        <v>397</v>
      </c>
      <c r="B15" s="64">
        <f t="shared" si="13"/>
        <v>14</v>
      </c>
      <c r="C15" s="64">
        <v>14.0</v>
      </c>
      <c r="D15" s="64" t="str">
        <f t="shared" si="3"/>
        <v>CO4245214</v>
      </c>
      <c r="E15" s="159">
        <v>42452.0</v>
      </c>
      <c r="F15" s="2" t="s">
        <v>1571</v>
      </c>
      <c r="G15" s="2" t="s">
        <v>18</v>
      </c>
      <c r="H15" s="158" t="s">
        <v>163</v>
      </c>
      <c r="I15" s="2">
        <f t="shared" ref="I15:K15" si="30">If(Iserr(search(I$1,$H15)),0,1)</f>
        <v>0</v>
      </c>
      <c r="J15" s="2">
        <f t="shared" si="30"/>
        <v>0</v>
      </c>
      <c r="K15" s="2">
        <f t="shared" si="30"/>
        <v>0</v>
      </c>
      <c r="L15" s="2">
        <f t="shared" si="5"/>
        <v>0</v>
      </c>
      <c r="M15" s="2">
        <f t="shared" ref="M15:AE15" si="31">If(Iserr(search(M$1,$H15)),0,1)</f>
        <v>0</v>
      </c>
      <c r="N15" s="2">
        <f t="shared" si="31"/>
        <v>0</v>
      </c>
      <c r="O15" s="2">
        <f t="shared" si="31"/>
        <v>0</v>
      </c>
      <c r="P15" s="2">
        <f t="shared" si="31"/>
        <v>0</v>
      </c>
      <c r="Q15" s="2">
        <f t="shared" si="31"/>
        <v>0</v>
      </c>
      <c r="R15" s="2">
        <f t="shared" si="31"/>
        <v>0</v>
      </c>
      <c r="S15" s="2">
        <f t="shared" si="31"/>
        <v>0</v>
      </c>
      <c r="T15" s="2">
        <f t="shared" si="31"/>
        <v>0</v>
      </c>
      <c r="U15" s="2">
        <f t="shared" si="31"/>
        <v>0</v>
      </c>
      <c r="V15" s="2">
        <f t="shared" si="31"/>
        <v>0</v>
      </c>
      <c r="W15" s="2">
        <f t="shared" si="31"/>
        <v>1</v>
      </c>
      <c r="X15" s="2">
        <f t="shared" si="31"/>
        <v>0</v>
      </c>
      <c r="Y15" s="2">
        <f t="shared" si="31"/>
        <v>0</v>
      </c>
      <c r="Z15" s="2">
        <f t="shared" si="31"/>
        <v>0</v>
      </c>
      <c r="AA15" s="2">
        <f t="shared" si="31"/>
        <v>1</v>
      </c>
      <c r="AB15" s="2">
        <f t="shared" si="31"/>
        <v>0</v>
      </c>
      <c r="AC15" s="2">
        <f t="shared" si="31"/>
        <v>0</v>
      </c>
      <c r="AD15" s="2">
        <f t="shared" si="31"/>
        <v>0</v>
      </c>
      <c r="AE15" s="2">
        <f t="shared" si="31"/>
        <v>0</v>
      </c>
      <c r="AF15" s="2" t="s">
        <v>1853</v>
      </c>
    </row>
    <row r="16">
      <c r="A16" s="92" t="s">
        <v>402</v>
      </c>
      <c r="B16" s="64">
        <f t="shared" si="13"/>
        <v>15</v>
      </c>
      <c r="C16" s="64">
        <v>15.0</v>
      </c>
      <c r="D16" s="64" t="str">
        <f t="shared" si="3"/>
        <v>CO4246115</v>
      </c>
      <c r="E16" s="159">
        <v>42461.0</v>
      </c>
      <c r="F16" s="2" t="s">
        <v>1861</v>
      </c>
      <c r="G16" s="2" t="s">
        <v>18</v>
      </c>
      <c r="H16" s="158" t="s">
        <v>139</v>
      </c>
      <c r="I16" s="2">
        <f t="shared" ref="I16:K16" si="32">If(Iserr(search(I$1,$H16)),0,1)</f>
        <v>0</v>
      </c>
      <c r="J16" s="2">
        <f t="shared" si="32"/>
        <v>0</v>
      </c>
      <c r="K16" s="2">
        <f t="shared" si="32"/>
        <v>0</v>
      </c>
      <c r="L16" s="2">
        <f t="shared" si="5"/>
        <v>0</v>
      </c>
      <c r="M16" s="2">
        <f t="shared" ref="M16:AE16" si="33">If(Iserr(search(M$1,$H16)),0,1)</f>
        <v>0</v>
      </c>
      <c r="N16" s="2">
        <f t="shared" si="33"/>
        <v>0</v>
      </c>
      <c r="O16" s="2">
        <f t="shared" si="33"/>
        <v>0</v>
      </c>
      <c r="P16" s="2">
        <f t="shared" si="33"/>
        <v>0</v>
      </c>
      <c r="Q16" s="2">
        <f t="shared" si="33"/>
        <v>0</v>
      </c>
      <c r="R16" s="2">
        <f t="shared" si="33"/>
        <v>0</v>
      </c>
      <c r="S16" s="2">
        <f t="shared" si="33"/>
        <v>0</v>
      </c>
      <c r="T16" s="2">
        <f t="shared" si="33"/>
        <v>0</v>
      </c>
      <c r="U16" s="2">
        <f t="shared" si="33"/>
        <v>0</v>
      </c>
      <c r="V16" s="2">
        <f t="shared" si="33"/>
        <v>0</v>
      </c>
      <c r="W16" s="2">
        <f t="shared" si="33"/>
        <v>0</v>
      </c>
      <c r="X16" s="2">
        <f t="shared" si="33"/>
        <v>0</v>
      </c>
      <c r="Y16" s="2">
        <f t="shared" si="33"/>
        <v>0</v>
      </c>
      <c r="Z16" s="2">
        <f t="shared" si="33"/>
        <v>1</v>
      </c>
      <c r="AA16" s="2">
        <f t="shared" si="33"/>
        <v>0</v>
      </c>
      <c r="AB16" s="2">
        <f t="shared" si="33"/>
        <v>0</v>
      </c>
      <c r="AC16" s="2">
        <f t="shared" si="33"/>
        <v>0</v>
      </c>
      <c r="AD16" s="2">
        <f t="shared" si="33"/>
        <v>0</v>
      </c>
      <c r="AE16" s="2">
        <f t="shared" si="33"/>
        <v>0</v>
      </c>
      <c r="AF16" s="2" t="s">
        <v>1878</v>
      </c>
    </row>
    <row r="17">
      <c r="A17" s="92" t="s">
        <v>406</v>
      </c>
      <c r="B17" s="64">
        <f t="shared" si="13"/>
        <v>16</v>
      </c>
      <c r="C17" s="64">
        <v>16.0</v>
      </c>
      <c r="D17" s="64" t="str">
        <f t="shared" si="3"/>
        <v>CO4246116</v>
      </c>
      <c r="E17" s="159">
        <v>42461.0</v>
      </c>
      <c r="F17" s="2" t="s">
        <v>1884</v>
      </c>
      <c r="G17" s="2" t="s">
        <v>18</v>
      </c>
      <c r="H17" s="158" t="s">
        <v>129</v>
      </c>
      <c r="I17" s="2">
        <f t="shared" ref="I17:K17" si="34">If(Iserr(search(I$1,$H17)),0,1)</f>
        <v>0</v>
      </c>
      <c r="J17" s="2">
        <f t="shared" si="34"/>
        <v>0</v>
      </c>
      <c r="K17" s="2">
        <f t="shared" si="34"/>
        <v>0</v>
      </c>
      <c r="L17" s="2">
        <f t="shared" si="5"/>
        <v>0</v>
      </c>
      <c r="M17" s="2">
        <f t="shared" ref="M17:AE17" si="35">If(Iserr(search(M$1,$H17)),0,1)</f>
        <v>0</v>
      </c>
      <c r="N17" s="2">
        <f t="shared" si="35"/>
        <v>0</v>
      </c>
      <c r="O17" s="2">
        <f t="shared" si="35"/>
        <v>0</v>
      </c>
      <c r="P17" s="2">
        <f t="shared" si="35"/>
        <v>0</v>
      </c>
      <c r="Q17" s="2">
        <f t="shared" si="35"/>
        <v>0</v>
      </c>
      <c r="R17" s="2">
        <f t="shared" si="35"/>
        <v>0</v>
      </c>
      <c r="S17" s="2">
        <f t="shared" si="35"/>
        <v>0</v>
      </c>
      <c r="T17" s="2">
        <f t="shared" si="35"/>
        <v>0</v>
      </c>
      <c r="U17" s="2">
        <f t="shared" si="35"/>
        <v>0</v>
      </c>
      <c r="V17" s="2">
        <f t="shared" si="35"/>
        <v>0</v>
      </c>
      <c r="W17" s="2">
        <f t="shared" si="35"/>
        <v>1</v>
      </c>
      <c r="X17" s="2">
        <f t="shared" si="35"/>
        <v>0</v>
      </c>
      <c r="Y17" s="2">
        <f t="shared" si="35"/>
        <v>0</v>
      </c>
      <c r="Z17" s="2">
        <f t="shared" si="35"/>
        <v>0</v>
      </c>
      <c r="AA17" s="2">
        <f t="shared" si="35"/>
        <v>0</v>
      </c>
      <c r="AB17" s="2">
        <f t="shared" si="35"/>
        <v>0</v>
      </c>
      <c r="AC17" s="2">
        <f t="shared" si="35"/>
        <v>0</v>
      </c>
      <c r="AD17" s="2">
        <f t="shared" si="35"/>
        <v>0</v>
      </c>
      <c r="AE17" s="2">
        <f t="shared" si="35"/>
        <v>0</v>
      </c>
      <c r="AF17" s="2" t="s">
        <v>1897</v>
      </c>
    </row>
    <row r="18">
      <c r="A18" s="92" t="s">
        <v>409</v>
      </c>
      <c r="B18" s="64">
        <f t="shared" si="13"/>
        <v>17</v>
      </c>
      <c r="C18" s="64">
        <v>17.0</v>
      </c>
      <c r="D18" s="64" t="str">
        <f t="shared" si="3"/>
        <v>CO4246517</v>
      </c>
      <c r="E18" s="159">
        <v>42465.0</v>
      </c>
      <c r="F18" s="2" t="s">
        <v>1884</v>
      </c>
      <c r="G18" s="2" t="s">
        <v>18</v>
      </c>
      <c r="H18" s="158" t="s">
        <v>129</v>
      </c>
      <c r="I18" s="2">
        <f t="shared" ref="I18:K18" si="36">If(Iserr(search(I$1,$H18)),0,1)</f>
        <v>0</v>
      </c>
      <c r="J18" s="2">
        <f t="shared" si="36"/>
        <v>0</v>
      </c>
      <c r="K18" s="2">
        <f t="shared" si="36"/>
        <v>0</v>
      </c>
      <c r="L18" s="2">
        <f t="shared" si="5"/>
        <v>0</v>
      </c>
      <c r="M18" s="2">
        <f t="shared" ref="M18:AE18" si="37">If(Iserr(search(M$1,$H18)),0,1)</f>
        <v>0</v>
      </c>
      <c r="N18" s="2">
        <f t="shared" si="37"/>
        <v>0</v>
      </c>
      <c r="O18" s="2">
        <f t="shared" si="37"/>
        <v>0</v>
      </c>
      <c r="P18" s="2">
        <f t="shared" si="37"/>
        <v>0</v>
      </c>
      <c r="Q18" s="2">
        <f t="shared" si="37"/>
        <v>0</v>
      </c>
      <c r="R18" s="2">
        <f t="shared" si="37"/>
        <v>0</v>
      </c>
      <c r="S18" s="2">
        <f t="shared" si="37"/>
        <v>0</v>
      </c>
      <c r="T18" s="2">
        <f t="shared" si="37"/>
        <v>0</v>
      </c>
      <c r="U18" s="2">
        <f t="shared" si="37"/>
        <v>0</v>
      </c>
      <c r="V18" s="2">
        <f t="shared" si="37"/>
        <v>0</v>
      </c>
      <c r="W18" s="2">
        <f t="shared" si="37"/>
        <v>1</v>
      </c>
      <c r="X18" s="2">
        <f t="shared" si="37"/>
        <v>0</v>
      </c>
      <c r="Y18" s="2">
        <f t="shared" si="37"/>
        <v>0</v>
      </c>
      <c r="Z18" s="2">
        <f t="shared" si="37"/>
        <v>0</v>
      </c>
      <c r="AA18" s="2">
        <f t="shared" si="37"/>
        <v>0</v>
      </c>
      <c r="AB18" s="2">
        <f t="shared" si="37"/>
        <v>0</v>
      </c>
      <c r="AC18" s="2">
        <f t="shared" si="37"/>
        <v>0</v>
      </c>
      <c r="AD18" s="2">
        <f t="shared" si="37"/>
        <v>0</v>
      </c>
      <c r="AE18" s="2">
        <f t="shared" si="37"/>
        <v>0</v>
      </c>
      <c r="AF18" s="2" t="s">
        <v>1915</v>
      </c>
    </row>
    <row r="19">
      <c r="A19" s="92" t="s">
        <v>413</v>
      </c>
      <c r="B19" s="64">
        <f t="shared" si="13"/>
        <v>18</v>
      </c>
      <c r="C19" s="64">
        <v>18.0</v>
      </c>
      <c r="D19" s="64" t="str">
        <f t="shared" si="3"/>
        <v>CO4246718</v>
      </c>
      <c r="E19" s="159">
        <v>42467.0</v>
      </c>
      <c r="F19" s="2" t="s">
        <v>1921</v>
      </c>
      <c r="G19" s="2" t="s">
        <v>18</v>
      </c>
      <c r="H19" s="158" t="s">
        <v>134</v>
      </c>
      <c r="I19" s="2">
        <f t="shared" ref="I19:K19" si="38">If(Iserr(search(I$1,$H19)),0,1)</f>
        <v>0</v>
      </c>
      <c r="J19" s="2">
        <f t="shared" si="38"/>
        <v>0</v>
      </c>
      <c r="K19" s="2">
        <f t="shared" si="38"/>
        <v>0</v>
      </c>
      <c r="L19" s="2">
        <f t="shared" si="5"/>
        <v>0</v>
      </c>
      <c r="M19" s="2">
        <f t="shared" ref="M19:AE19" si="39">If(Iserr(search(M$1,$H19)),0,1)</f>
        <v>0</v>
      </c>
      <c r="N19" s="2">
        <f t="shared" si="39"/>
        <v>0</v>
      </c>
      <c r="O19" s="2">
        <f t="shared" si="39"/>
        <v>0</v>
      </c>
      <c r="P19" s="2">
        <f t="shared" si="39"/>
        <v>0</v>
      </c>
      <c r="Q19" s="2">
        <f t="shared" si="39"/>
        <v>0</v>
      </c>
      <c r="R19" s="2">
        <f t="shared" si="39"/>
        <v>0</v>
      </c>
      <c r="S19" s="2">
        <f t="shared" si="39"/>
        <v>0</v>
      </c>
      <c r="T19" s="2">
        <f t="shared" si="39"/>
        <v>0</v>
      </c>
      <c r="U19" s="2">
        <f t="shared" si="39"/>
        <v>0</v>
      </c>
      <c r="V19" s="2">
        <f t="shared" si="39"/>
        <v>0</v>
      </c>
      <c r="W19" s="2">
        <f t="shared" si="39"/>
        <v>0</v>
      </c>
      <c r="X19" s="2">
        <f t="shared" si="39"/>
        <v>1</v>
      </c>
      <c r="Y19" s="2">
        <f t="shared" si="39"/>
        <v>0</v>
      </c>
      <c r="Z19" s="2">
        <f t="shared" si="39"/>
        <v>0</v>
      </c>
      <c r="AA19" s="2">
        <f t="shared" si="39"/>
        <v>0</v>
      </c>
      <c r="AB19" s="2">
        <f t="shared" si="39"/>
        <v>0</v>
      </c>
      <c r="AC19" s="2">
        <f t="shared" si="39"/>
        <v>1</v>
      </c>
      <c r="AD19" s="2">
        <f t="shared" si="39"/>
        <v>0</v>
      </c>
      <c r="AE19" s="2">
        <f t="shared" si="39"/>
        <v>0</v>
      </c>
      <c r="AF19" s="2" t="s">
        <v>1934</v>
      </c>
    </row>
    <row r="20">
      <c r="A20" s="92" t="s">
        <v>417</v>
      </c>
      <c r="B20" s="64">
        <f t="shared" si="13"/>
        <v>19</v>
      </c>
      <c r="C20" s="64">
        <v>19.0</v>
      </c>
      <c r="D20" s="64" t="str">
        <f t="shared" si="3"/>
        <v>CO4246719</v>
      </c>
      <c r="E20" s="159">
        <v>42467.0</v>
      </c>
      <c r="F20" s="2" t="s">
        <v>1939</v>
      </c>
      <c r="G20" s="2" t="s">
        <v>18</v>
      </c>
      <c r="H20" s="158" t="s">
        <v>131</v>
      </c>
      <c r="I20" s="2">
        <f t="shared" ref="I20:K20" si="40">If(Iserr(search(I$1,$H20)),0,1)</f>
        <v>0</v>
      </c>
      <c r="J20" s="2">
        <f t="shared" si="40"/>
        <v>0</v>
      </c>
      <c r="K20" s="2">
        <f t="shared" si="40"/>
        <v>0</v>
      </c>
      <c r="L20" s="2">
        <f t="shared" si="5"/>
        <v>0</v>
      </c>
      <c r="M20" s="2">
        <f t="shared" ref="M20:AE20" si="41">If(Iserr(search(M$1,$H20)),0,1)</f>
        <v>0</v>
      </c>
      <c r="N20" s="2">
        <f t="shared" si="41"/>
        <v>0</v>
      </c>
      <c r="O20" s="2">
        <f t="shared" si="41"/>
        <v>0</v>
      </c>
      <c r="P20" s="2">
        <f t="shared" si="41"/>
        <v>0</v>
      </c>
      <c r="Q20" s="2">
        <f t="shared" si="41"/>
        <v>0</v>
      </c>
      <c r="R20" s="2">
        <f t="shared" si="41"/>
        <v>0</v>
      </c>
      <c r="S20" s="2">
        <f t="shared" si="41"/>
        <v>0</v>
      </c>
      <c r="T20" s="2">
        <f t="shared" si="41"/>
        <v>0</v>
      </c>
      <c r="U20" s="2">
        <f t="shared" si="41"/>
        <v>0</v>
      </c>
      <c r="V20" s="2">
        <f t="shared" si="41"/>
        <v>0</v>
      </c>
      <c r="W20" s="2">
        <f t="shared" si="41"/>
        <v>0</v>
      </c>
      <c r="X20" s="2">
        <f t="shared" si="41"/>
        <v>0</v>
      </c>
      <c r="Y20" s="2">
        <f t="shared" si="41"/>
        <v>0</v>
      </c>
      <c r="Z20" s="2">
        <f t="shared" si="41"/>
        <v>0</v>
      </c>
      <c r="AA20" s="2">
        <f t="shared" si="41"/>
        <v>1</v>
      </c>
      <c r="AB20" s="2">
        <f t="shared" si="41"/>
        <v>0</v>
      </c>
      <c r="AC20" s="2">
        <f t="shared" si="41"/>
        <v>0</v>
      </c>
      <c r="AD20" s="2">
        <f t="shared" si="41"/>
        <v>0</v>
      </c>
      <c r="AE20" s="2">
        <f t="shared" si="41"/>
        <v>0</v>
      </c>
      <c r="AF20" s="2" t="s">
        <v>1951</v>
      </c>
    </row>
    <row r="21">
      <c r="A21" s="92" t="s">
        <v>422</v>
      </c>
      <c r="B21" s="64">
        <f t="shared" si="13"/>
        <v>20</v>
      </c>
      <c r="C21" s="64">
        <v>20.0</v>
      </c>
      <c r="D21" s="64" t="str">
        <f t="shared" si="3"/>
        <v>CO4248120</v>
      </c>
      <c r="E21" s="159">
        <v>42481.0</v>
      </c>
      <c r="F21" s="2" t="s">
        <v>1770</v>
      </c>
      <c r="G21" s="2" t="s">
        <v>18</v>
      </c>
      <c r="H21" s="158" t="s">
        <v>129</v>
      </c>
      <c r="I21" s="2">
        <f t="shared" ref="I21:K21" si="42">If(Iserr(search(I$1,$H21)),0,1)</f>
        <v>0</v>
      </c>
      <c r="J21" s="2">
        <f t="shared" si="42"/>
        <v>0</v>
      </c>
      <c r="K21" s="2">
        <f t="shared" si="42"/>
        <v>0</v>
      </c>
      <c r="L21" s="2">
        <f t="shared" si="5"/>
        <v>0</v>
      </c>
      <c r="M21" s="2">
        <f t="shared" ref="M21:AE21" si="43">If(Iserr(search(M$1,$H21)),0,1)</f>
        <v>0</v>
      </c>
      <c r="N21" s="2">
        <f t="shared" si="43"/>
        <v>0</v>
      </c>
      <c r="O21" s="2">
        <f t="shared" si="43"/>
        <v>0</v>
      </c>
      <c r="P21" s="2">
        <f t="shared" si="43"/>
        <v>0</v>
      </c>
      <c r="Q21" s="2">
        <f t="shared" si="43"/>
        <v>0</v>
      </c>
      <c r="R21" s="2">
        <f t="shared" si="43"/>
        <v>0</v>
      </c>
      <c r="S21" s="2">
        <f t="shared" si="43"/>
        <v>0</v>
      </c>
      <c r="T21" s="2">
        <f t="shared" si="43"/>
        <v>0</v>
      </c>
      <c r="U21" s="2">
        <f t="shared" si="43"/>
        <v>0</v>
      </c>
      <c r="V21" s="2">
        <f t="shared" si="43"/>
        <v>0</v>
      </c>
      <c r="W21" s="2">
        <f t="shared" si="43"/>
        <v>1</v>
      </c>
      <c r="X21" s="2">
        <f t="shared" si="43"/>
        <v>0</v>
      </c>
      <c r="Y21" s="2">
        <f t="shared" si="43"/>
        <v>0</v>
      </c>
      <c r="Z21" s="2">
        <f t="shared" si="43"/>
        <v>0</v>
      </c>
      <c r="AA21" s="2">
        <f t="shared" si="43"/>
        <v>0</v>
      </c>
      <c r="AB21" s="2">
        <f t="shared" si="43"/>
        <v>0</v>
      </c>
      <c r="AC21" s="2">
        <f t="shared" si="43"/>
        <v>0</v>
      </c>
      <c r="AD21" s="2">
        <f t="shared" si="43"/>
        <v>0</v>
      </c>
      <c r="AE21" s="2">
        <f t="shared" si="43"/>
        <v>0</v>
      </c>
      <c r="AF21" s="2" t="s">
        <v>1969</v>
      </c>
    </row>
    <row r="22">
      <c r="A22" s="92" t="s">
        <v>427</v>
      </c>
      <c r="B22" s="64">
        <f t="shared" si="13"/>
        <v>21</v>
      </c>
      <c r="C22" s="64">
        <v>21.0</v>
      </c>
      <c r="D22" s="64" t="str">
        <f t="shared" si="3"/>
        <v>CO4248221</v>
      </c>
      <c r="E22" s="159">
        <v>42482.0</v>
      </c>
      <c r="F22" s="2" t="s">
        <v>1722</v>
      </c>
      <c r="G22" s="2" t="s">
        <v>18</v>
      </c>
      <c r="H22" s="158" t="s">
        <v>139</v>
      </c>
      <c r="I22" s="2">
        <f t="shared" ref="I22:K22" si="44">If(Iserr(search(I$1,$H22)),0,1)</f>
        <v>0</v>
      </c>
      <c r="J22" s="2">
        <f t="shared" si="44"/>
        <v>0</v>
      </c>
      <c r="K22" s="2">
        <f t="shared" si="44"/>
        <v>0</v>
      </c>
      <c r="L22" s="2">
        <f t="shared" si="5"/>
        <v>0</v>
      </c>
      <c r="M22" s="2">
        <f t="shared" ref="M22:AE22" si="45">If(Iserr(search(M$1,$H22)),0,1)</f>
        <v>0</v>
      </c>
      <c r="N22" s="2">
        <f t="shared" si="45"/>
        <v>0</v>
      </c>
      <c r="O22" s="2">
        <f t="shared" si="45"/>
        <v>0</v>
      </c>
      <c r="P22" s="2">
        <f t="shared" si="45"/>
        <v>0</v>
      </c>
      <c r="Q22" s="2">
        <f t="shared" si="45"/>
        <v>0</v>
      </c>
      <c r="R22" s="2">
        <f t="shared" si="45"/>
        <v>0</v>
      </c>
      <c r="S22" s="2">
        <f t="shared" si="45"/>
        <v>0</v>
      </c>
      <c r="T22" s="2">
        <f t="shared" si="45"/>
        <v>0</v>
      </c>
      <c r="U22" s="2">
        <f t="shared" si="45"/>
        <v>0</v>
      </c>
      <c r="V22" s="2">
        <f t="shared" si="45"/>
        <v>0</v>
      </c>
      <c r="W22" s="2">
        <f t="shared" si="45"/>
        <v>0</v>
      </c>
      <c r="X22" s="2">
        <f t="shared" si="45"/>
        <v>0</v>
      </c>
      <c r="Y22" s="2">
        <f t="shared" si="45"/>
        <v>0</v>
      </c>
      <c r="Z22" s="2">
        <f t="shared" si="45"/>
        <v>1</v>
      </c>
      <c r="AA22" s="2">
        <f t="shared" si="45"/>
        <v>0</v>
      </c>
      <c r="AB22" s="2">
        <f t="shared" si="45"/>
        <v>0</v>
      </c>
      <c r="AC22" s="2">
        <f t="shared" si="45"/>
        <v>0</v>
      </c>
      <c r="AD22" s="2">
        <f t="shared" si="45"/>
        <v>0</v>
      </c>
      <c r="AE22" s="2">
        <f t="shared" si="45"/>
        <v>0</v>
      </c>
      <c r="AF22" s="2" t="s">
        <v>1988</v>
      </c>
    </row>
    <row r="23">
      <c r="A23" s="92" t="s">
        <v>431</v>
      </c>
      <c r="B23" s="64">
        <f t="shared" si="13"/>
        <v>22</v>
      </c>
      <c r="C23" s="64">
        <v>22.0</v>
      </c>
      <c r="D23" s="64" t="str">
        <f t="shared" si="3"/>
        <v>CO4248622</v>
      </c>
      <c r="E23" s="159">
        <v>42486.0</v>
      </c>
      <c r="F23" s="2" t="s">
        <v>1993</v>
      </c>
      <c r="G23" s="2" t="s">
        <v>18</v>
      </c>
      <c r="H23" s="158" t="s">
        <v>139</v>
      </c>
      <c r="I23" s="2">
        <f t="shared" ref="I23:K23" si="46">If(Iserr(search(I$1,$H23)),0,1)</f>
        <v>0</v>
      </c>
      <c r="J23" s="2">
        <f t="shared" si="46"/>
        <v>0</v>
      </c>
      <c r="K23" s="2">
        <f t="shared" si="46"/>
        <v>0</v>
      </c>
      <c r="L23" s="2">
        <f t="shared" si="5"/>
        <v>0</v>
      </c>
      <c r="M23" s="2">
        <f t="shared" ref="M23:AE23" si="47">If(Iserr(search(M$1,$H23)),0,1)</f>
        <v>0</v>
      </c>
      <c r="N23" s="2">
        <f t="shared" si="47"/>
        <v>0</v>
      </c>
      <c r="O23" s="2">
        <f t="shared" si="47"/>
        <v>0</v>
      </c>
      <c r="P23" s="2">
        <f t="shared" si="47"/>
        <v>0</v>
      </c>
      <c r="Q23" s="2">
        <f t="shared" si="47"/>
        <v>0</v>
      </c>
      <c r="R23" s="2">
        <f t="shared" si="47"/>
        <v>0</v>
      </c>
      <c r="S23" s="2">
        <f t="shared" si="47"/>
        <v>0</v>
      </c>
      <c r="T23" s="2">
        <f t="shared" si="47"/>
        <v>0</v>
      </c>
      <c r="U23" s="2">
        <f t="shared" si="47"/>
        <v>0</v>
      </c>
      <c r="V23" s="2">
        <f t="shared" si="47"/>
        <v>0</v>
      </c>
      <c r="W23" s="2">
        <f t="shared" si="47"/>
        <v>0</v>
      </c>
      <c r="X23" s="2">
        <f t="shared" si="47"/>
        <v>0</v>
      </c>
      <c r="Y23" s="2">
        <f t="shared" si="47"/>
        <v>0</v>
      </c>
      <c r="Z23" s="2">
        <f t="shared" si="47"/>
        <v>1</v>
      </c>
      <c r="AA23" s="2">
        <f t="shared" si="47"/>
        <v>0</v>
      </c>
      <c r="AB23" s="2">
        <f t="shared" si="47"/>
        <v>0</v>
      </c>
      <c r="AC23" s="2">
        <f t="shared" si="47"/>
        <v>0</v>
      </c>
      <c r="AD23" s="2">
        <f t="shared" si="47"/>
        <v>0</v>
      </c>
      <c r="AE23" s="2">
        <f t="shared" si="47"/>
        <v>0</v>
      </c>
      <c r="AF23" s="2" t="s">
        <v>2005</v>
      </c>
    </row>
    <row r="24">
      <c r="A24" s="98" t="s">
        <v>434</v>
      </c>
      <c r="B24" s="64">
        <f t="shared" si="13"/>
        <v>23</v>
      </c>
      <c r="C24" s="64">
        <v>23.0</v>
      </c>
      <c r="D24" s="64" t="str">
        <f t="shared" si="3"/>
        <v>CO4251323</v>
      </c>
      <c r="E24" s="159">
        <v>42513.0</v>
      </c>
      <c r="F24" s="2" t="s">
        <v>2011</v>
      </c>
      <c r="G24" s="2" t="s">
        <v>18</v>
      </c>
      <c r="H24" s="158" t="s">
        <v>122</v>
      </c>
      <c r="I24" s="2">
        <f t="shared" ref="I24:K24" si="48">If(Iserr(search(I$1,$H24)),0,1)</f>
        <v>0</v>
      </c>
      <c r="J24" s="2">
        <f t="shared" si="48"/>
        <v>0</v>
      </c>
      <c r="K24" s="2">
        <f t="shared" si="48"/>
        <v>0</v>
      </c>
      <c r="L24" s="2">
        <f t="shared" si="5"/>
        <v>0</v>
      </c>
      <c r="M24" s="2">
        <f t="shared" ref="M24:AE24" si="49">If(Iserr(search(M$1,$H24)),0,1)</f>
        <v>0</v>
      </c>
      <c r="N24" s="2">
        <f t="shared" si="49"/>
        <v>0</v>
      </c>
      <c r="O24" s="2">
        <f t="shared" si="49"/>
        <v>0</v>
      </c>
      <c r="P24" s="2">
        <f t="shared" si="49"/>
        <v>0</v>
      </c>
      <c r="Q24" s="2">
        <f t="shared" si="49"/>
        <v>0</v>
      </c>
      <c r="R24" s="2">
        <f t="shared" si="49"/>
        <v>0</v>
      </c>
      <c r="S24" s="2">
        <f t="shared" si="49"/>
        <v>0</v>
      </c>
      <c r="T24" s="2">
        <f t="shared" si="49"/>
        <v>0</v>
      </c>
      <c r="U24" s="2">
        <f t="shared" si="49"/>
        <v>0</v>
      </c>
      <c r="V24" s="2">
        <f t="shared" si="49"/>
        <v>0</v>
      </c>
      <c r="W24" s="2">
        <f t="shared" si="49"/>
        <v>1</v>
      </c>
      <c r="X24" s="2">
        <f t="shared" si="49"/>
        <v>0</v>
      </c>
      <c r="Y24" s="2">
        <f t="shared" si="49"/>
        <v>0</v>
      </c>
      <c r="Z24" s="2">
        <f t="shared" si="49"/>
        <v>0</v>
      </c>
      <c r="AA24" s="2">
        <f t="shared" si="49"/>
        <v>0</v>
      </c>
      <c r="AB24" s="2">
        <f t="shared" si="49"/>
        <v>1</v>
      </c>
      <c r="AC24" s="2">
        <f t="shared" si="49"/>
        <v>0</v>
      </c>
      <c r="AD24" s="2">
        <f t="shared" si="49"/>
        <v>0</v>
      </c>
      <c r="AE24" s="2">
        <f t="shared" si="49"/>
        <v>0</v>
      </c>
      <c r="AF24" s="2" t="s">
        <v>2022</v>
      </c>
    </row>
    <row r="25">
      <c r="A25" s="92" t="s">
        <v>440</v>
      </c>
      <c r="B25" s="64">
        <f t="shared" si="13"/>
        <v>24</v>
      </c>
      <c r="C25" s="64">
        <v>24.0</v>
      </c>
      <c r="D25" s="64" t="str">
        <f t="shared" si="3"/>
        <v>CO4251324</v>
      </c>
      <c r="E25" s="159">
        <v>42513.0</v>
      </c>
      <c r="F25" s="2" t="s">
        <v>2011</v>
      </c>
      <c r="G25" s="2" t="s">
        <v>18</v>
      </c>
      <c r="H25" s="158" t="s">
        <v>122</v>
      </c>
      <c r="I25" s="2">
        <f t="shared" ref="I25:K25" si="50">If(Iserr(search(I$1,$H25)),0,1)</f>
        <v>0</v>
      </c>
      <c r="J25" s="2">
        <f t="shared" si="50"/>
        <v>0</v>
      </c>
      <c r="K25" s="2">
        <f t="shared" si="50"/>
        <v>0</v>
      </c>
      <c r="L25" s="2">
        <f t="shared" si="5"/>
        <v>0</v>
      </c>
      <c r="M25" s="2">
        <f t="shared" ref="M25:AE25" si="51">If(Iserr(search(M$1,$H25)),0,1)</f>
        <v>0</v>
      </c>
      <c r="N25" s="2">
        <f t="shared" si="51"/>
        <v>0</v>
      </c>
      <c r="O25" s="2">
        <f t="shared" si="51"/>
        <v>0</v>
      </c>
      <c r="P25" s="2">
        <f t="shared" si="51"/>
        <v>0</v>
      </c>
      <c r="Q25" s="2">
        <f t="shared" si="51"/>
        <v>0</v>
      </c>
      <c r="R25" s="2">
        <f t="shared" si="51"/>
        <v>0</v>
      </c>
      <c r="S25" s="2">
        <f t="shared" si="51"/>
        <v>0</v>
      </c>
      <c r="T25" s="2">
        <f t="shared" si="51"/>
        <v>0</v>
      </c>
      <c r="U25" s="2">
        <f t="shared" si="51"/>
        <v>0</v>
      </c>
      <c r="V25" s="2">
        <f t="shared" si="51"/>
        <v>0</v>
      </c>
      <c r="W25" s="2">
        <f t="shared" si="51"/>
        <v>1</v>
      </c>
      <c r="X25" s="2">
        <f t="shared" si="51"/>
        <v>0</v>
      </c>
      <c r="Y25" s="2">
        <f t="shared" si="51"/>
        <v>0</v>
      </c>
      <c r="Z25" s="2">
        <f t="shared" si="51"/>
        <v>0</v>
      </c>
      <c r="AA25" s="2">
        <f t="shared" si="51"/>
        <v>0</v>
      </c>
      <c r="AB25" s="2">
        <f t="shared" si="51"/>
        <v>1</v>
      </c>
      <c r="AC25" s="2">
        <f t="shared" si="51"/>
        <v>0</v>
      </c>
      <c r="AD25" s="2">
        <f t="shared" si="51"/>
        <v>0</v>
      </c>
      <c r="AE25" s="2">
        <f t="shared" si="51"/>
        <v>0</v>
      </c>
      <c r="AF25" s="2" t="s">
        <v>2037</v>
      </c>
    </row>
    <row r="26">
      <c r="A26" s="92" t="s">
        <v>445</v>
      </c>
      <c r="B26" s="64">
        <f t="shared" si="13"/>
        <v>25</v>
      </c>
      <c r="C26" s="64">
        <v>25.0</v>
      </c>
      <c r="D26" s="64" t="str">
        <f t="shared" si="3"/>
        <v>CO4262025</v>
      </c>
      <c r="E26" s="159">
        <v>42620.0</v>
      </c>
      <c r="F26" s="2" t="s">
        <v>1884</v>
      </c>
      <c r="G26" s="2" t="s">
        <v>18</v>
      </c>
      <c r="H26" s="158" t="s">
        <v>129</v>
      </c>
      <c r="I26" s="2">
        <f t="shared" ref="I26:K26" si="52">If(Iserr(search(I$1,$H26)),0,1)</f>
        <v>0</v>
      </c>
      <c r="J26" s="2">
        <f t="shared" si="52"/>
        <v>0</v>
      </c>
      <c r="K26" s="2">
        <f t="shared" si="52"/>
        <v>0</v>
      </c>
      <c r="L26" s="2">
        <f t="shared" si="5"/>
        <v>0</v>
      </c>
      <c r="M26" s="2">
        <f t="shared" ref="M26:AE26" si="53">If(Iserr(search(M$1,$H26)),0,1)</f>
        <v>0</v>
      </c>
      <c r="N26" s="2">
        <f t="shared" si="53"/>
        <v>0</v>
      </c>
      <c r="O26" s="2">
        <f t="shared" si="53"/>
        <v>0</v>
      </c>
      <c r="P26" s="2">
        <f t="shared" si="53"/>
        <v>0</v>
      </c>
      <c r="Q26" s="2">
        <f t="shared" si="53"/>
        <v>0</v>
      </c>
      <c r="R26" s="2">
        <f t="shared" si="53"/>
        <v>0</v>
      </c>
      <c r="S26" s="2">
        <f t="shared" si="53"/>
        <v>0</v>
      </c>
      <c r="T26" s="2">
        <f t="shared" si="53"/>
        <v>0</v>
      </c>
      <c r="U26" s="2">
        <f t="shared" si="53"/>
        <v>0</v>
      </c>
      <c r="V26" s="2">
        <f t="shared" si="53"/>
        <v>0</v>
      </c>
      <c r="W26" s="2">
        <f t="shared" si="53"/>
        <v>1</v>
      </c>
      <c r="X26" s="2">
        <f t="shared" si="53"/>
        <v>0</v>
      </c>
      <c r="Y26" s="2">
        <f t="shared" si="53"/>
        <v>0</v>
      </c>
      <c r="Z26" s="2">
        <f t="shared" si="53"/>
        <v>0</v>
      </c>
      <c r="AA26" s="2">
        <f t="shared" si="53"/>
        <v>0</v>
      </c>
      <c r="AB26" s="2">
        <f t="shared" si="53"/>
        <v>0</v>
      </c>
      <c r="AC26" s="2">
        <f t="shared" si="53"/>
        <v>0</v>
      </c>
      <c r="AD26" s="2">
        <f t="shared" si="53"/>
        <v>0</v>
      </c>
      <c r="AE26" s="2">
        <f t="shared" si="53"/>
        <v>0</v>
      </c>
      <c r="AF26" s="2" t="s">
        <v>2051</v>
      </c>
    </row>
    <row r="27">
      <c r="A27" s="92" t="s">
        <v>448</v>
      </c>
      <c r="B27" s="64">
        <f t="shared" si="13"/>
        <v>26</v>
      </c>
      <c r="C27" s="64">
        <v>26.0</v>
      </c>
      <c r="D27" s="64" t="str">
        <f t="shared" si="3"/>
        <v>CO4262026</v>
      </c>
      <c r="E27" s="159">
        <v>42620.0</v>
      </c>
      <c r="F27" s="2" t="s">
        <v>2057</v>
      </c>
      <c r="G27" s="2" t="s">
        <v>18</v>
      </c>
      <c r="H27" s="158" t="s">
        <v>113</v>
      </c>
      <c r="I27" s="2">
        <f t="shared" ref="I27:K27" si="54">If(Iserr(search(I$1,$H27)),0,1)</f>
        <v>0</v>
      </c>
      <c r="J27" s="2">
        <f t="shared" si="54"/>
        <v>0</v>
      </c>
      <c r="K27" s="2">
        <f t="shared" si="54"/>
        <v>0</v>
      </c>
      <c r="L27" s="2">
        <f t="shared" si="5"/>
        <v>0</v>
      </c>
      <c r="M27" s="2">
        <f t="shared" ref="M27:AE27" si="55">If(Iserr(search(M$1,$H27)),0,1)</f>
        <v>0</v>
      </c>
      <c r="N27" s="2">
        <f t="shared" si="55"/>
        <v>0</v>
      </c>
      <c r="O27" s="2">
        <f t="shared" si="55"/>
        <v>0</v>
      </c>
      <c r="P27" s="2">
        <f t="shared" si="55"/>
        <v>0</v>
      </c>
      <c r="Q27" s="2">
        <f t="shared" si="55"/>
        <v>0</v>
      </c>
      <c r="R27" s="2">
        <f t="shared" si="55"/>
        <v>0</v>
      </c>
      <c r="S27" s="2">
        <f t="shared" si="55"/>
        <v>0</v>
      </c>
      <c r="T27" s="2">
        <f t="shared" si="55"/>
        <v>0</v>
      </c>
      <c r="U27" s="2">
        <f t="shared" si="55"/>
        <v>0</v>
      </c>
      <c r="V27" s="2">
        <f t="shared" si="55"/>
        <v>0</v>
      </c>
      <c r="W27" s="2">
        <f t="shared" si="55"/>
        <v>1</v>
      </c>
      <c r="X27" s="2">
        <f t="shared" si="55"/>
        <v>0</v>
      </c>
      <c r="Y27" s="2">
        <f t="shared" si="55"/>
        <v>0</v>
      </c>
      <c r="Z27" s="2">
        <f t="shared" si="55"/>
        <v>0</v>
      </c>
      <c r="AA27" s="2">
        <f t="shared" si="55"/>
        <v>0</v>
      </c>
      <c r="AB27" s="2">
        <f t="shared" si="55"/>
        <v>0</v>
      </c>
      <c r="AC27" s="2">
        <f t="shared" si="55"/>
        <v>0</v>
      </c>
      <c r="AD27" s="2">
        <f t="shared" si="55"/>
        <v>0</v>
      </c>
      <c r="AE27" s="2">
        <f t="shared" si="55"/>
        <v>0</v>
      </c>
      <c r="AF27" s="2" t="s">
        <v>2069</v>
      </c>
    </row>
    <row r="28">
      <c r="A28" s="92" t="s">
        <v>451</v>
      </c>
      <c r="B28" s="64">
        <f t="shared" si="13"/>
        <v>27</v>
      </c>
      <c r="C28" s="64">
        <v>27.0</v>
      </c>
      <c r="D28" s="64" t="str">
        <f t="shared" si="3"/>
        <v>CO4262627</v>
      </c>
      <c r="E28" s="159">
        <v>42626.0</v>
      </c>
      <c r="F28" s="2" t="s">
        <v>2074</v>
      </c>
      <c r="G28" s="2" t="s">
        <v>18</v>
      </c>
      <c r="H28" s="158" t="s">
        <v>108</v>
      </c>
      <c r="I28" s="2">
        <f t="shared" ref="I28:K28" si="56">If(Iserr(search(I$1,$H28)),0,1)</f>
        <v>0</v>
      </c>
      <c r="J28" s="2">
        <f t="shared" si="56"/>
        <v>0</v>
      </c>
      <c r="K28" s="2">
        <f t="shared" si="56"/>
        <v>0</v>
      </c>
      <c r="L28" s="2">
        <f t="shared" si="5"/>
        <v>0</v>
      </c>
      <c r="M28" s="2">
        <f t="shared" ref="M28:AE28" si="57">If(Iserr(search(M$1,$H28)),0,1)</f>
        <v>0</v>
      </c>
      <c r="N28" s="2">
        <f t="shared" si="57"/>
        <v>0</v>
      </c>
      <c r="O28" s="2">
        <f t="shared" si="57"/>
        <v>0</v>
      </c>
      <c r="P28" s="2">
        <f t="shared" si="57"/>
        <v>0</v>
      </c>
      <c r="Q28" s="2">
        <f t="shared" si="57"/>
        <v>0</v>
      </c>
      <c r="R28" s="2">
        <f t="shared" si="57"/>
        <v>0</v>
      </c>
      <c r="S28" s="2">
        <f t="shared" si="57"/>
        <v>0</v>
      </c>
      <c r="T28" s="2">
        <f t="shared" si="57"/>
        <v>0</v>
      </c>
      <c r="U28" s="2">
        <f t="shared" si="57"/>
        <v>0</v>
      </c>
      <c r="V28" s="2">
        <f t="shared" si="57"/>
        <v>0</v>
      </c>
      <c r="W28" s="2">
        <f t="shared" si="57"/>
        <v>1</v>
      </c>
      <c r="X28" s="2">
        <f t="shared" si="57"/>
        <v>1</v>
      </c>
      <c r="Y28" s="2">
        <f t="shared" si="57"/>
        <v>0</v>
      </c>
      <c r="Z28" s="2">
        <f t="shared" si="57"/>
        <v>1</v>
      </c>
      <c r="AA28" s="2">
        <f t="shared" si="57"/>
        <v>0</v>
      </c>
      <c r="AB28" s="2">
        <f t="shared" si="57"/>
        <v>1</v>
      </c>
      <c r="AC28" s="2">
        <f t="shared" si="57"/>
        <v>0</v>
      </c>
      <c r="AD28" s="2">
        <f t="shared" si="57"/>
        <v>0</v>
      </c>
      <c r="AE28" s="2">
        <f t="shared" si="57"/>
        <v>0</v>
      </c>
      <c r="AF28" s="2" t="s">
        <v>2085</v>
      </c>
    </row>
    <row r="29">
      <c r="A29" s="92" t="s">
        <v>456</v>
      </c>
      <c r="B29" s="64">
        <f t="shared" si="13"/>
        <v>28</v>
      </c>
      <c r="C29" s="64">
        <v>28.0</v>
      </c>
      <c r="D29" s="64" t="str">
        <f t="shared" si="3"/>
        <v>CO4262628</v>
      </c>
      <c r="E29" s="159">
        <v>42626.0</v>
      </c>
      <c r="F29" s="2" t="s">
        <v>1884</v>
      </c>
      <c r="G29" s="2" t="s">
        <v>18</v>
      </c>
      <c r="H29" s="158" t="s">
        <v>129</v>
      </c>
      <c r="I29" s="2">
        <f t="shared" ref="I29:K29" si="58">If(Iserr(search(I$1,$H29)),0,1)</f>
        <v>0</v>
      </c>
      <c r="J29" s="2">
        <f t="shared" si="58"/>
        <v>0</v>
      </c>
      <c r="K29" s="2">
        <f t="shared" si="58"/>
        <v>0</v>
      </c>
      <c r="L29" s="2">
        <f t="shared" si="5"/>
        <v>0</v>
      </c>
      <c r="M29" s="2">
        <f t="shared" ref="M29:AE29" si="59">If(Iserr(search(M$1,$H29)),0,1)</f>
        <v>0</v>
      </c>
      <c r="N29" s="2">
        <f t="shared" si="59"/>
        <v>0</v>
      </c>
      <c r="O29" s="2">
        <f t="shared" si="59"/>
        <v>0</v>
      </c>
      <c r="P29" s="2">
        <f t="shared" si="59"/>
        <v>0</v>
      </c>
      <c r="Q29" s="2">
        <f t="shared" si="59"/>
        <v>0</v>
      </c>
      <c r="R29" s="2">
        <f t="shared" si="59"/>
        <v>0</v>
      </c>
      <c r="S29" s="2">
        <f t="shared" si="59"/>
        <v>0</v>
      </c>
      <c r="T29" s="2">
        <f t="shared" si="59"/>
        <v>0</v>
      </c>
      <c r="U29" s="2">
        <f t="shared" si="59"/>
        <v>0</v>
      </c>
      <c r="V29" s="2">
        <f t="shared" si="59"/>
        <v>0</v>
      </c>
      <c r="W29" s="2">
        <f t="shared" si="59"/>
        <v>1</v>
      </c>
      <c r="X29" s="2">
        <f t="shared" si="59"/>
        <v>0</v>
      </c>
      <c r="Y29" s="2">
        <f t="shared" si="59"/>
        <v>0</v>
      </c>
      <c r="Z29" s="2">
        <f t="shared" si="59"/>
        <v>0</v>
      </c>
      <c r="AA29" s="2">
        <f t="shared" si="59"/>
        <v>0</v>
      </c>
      <c r="AB29" s="2">
        <f t="shared" si="59"/>
        <v>0</v>
      </c>
      <c r="AC29" s="2">
        <f t="shared" si="59"/>
        <v>0</v>
      </c>
      <c r="AD29" s="2">
        <f t="shared" si="59"/>
        <v>0</v>
      </c>
      <c r="AE29" s="2">
        <f t="shared" si="59"/>
        <v>0</v>
      </c>
      <c r="AF29" s="2" t="s">
        <v>2101</v>
      </c>
    </row>
    <row r="30">
      <c r="A30" s="92" t="s">
        <v>460</v>
      </c>
      <c r="B30" s="64">
        <f t="shared" si="13"/>
        <v>29</v>
      </c>
      <c r="C30" s="64">
        <v>29.0</v>
      </c>
      <c r="D30" s="64" t="str">
        <f t="shared" si="3"/>
        <v>CO4263629</v>
      </c>
      <c r="E30" s="159">
        <v>42636.0</v>
      </c>
      <c r="F30" s="2" t="s">
        <v>1747</v>
      </c>
      <c r="G30" s="2" t="s">
        <v>18</v>
      </c>
      <c r="H30" s="158" t="s">
        <v>129</v>
      </c>
      <c r="I30" s="2">
        <f t="shared" ref="I30:K30" si="60">If(Iserr(search(I$1,$H30)),0,1)</f>
        <v>0</v>
      </c>
      <c r="J30" s="2">
        <f t="shared" si="60"/>
        <v>0</v>
      </c>
      <c r="K30" s="2">
        <f t="shared" si="60"/>
        <v>0</v>
      </c>
      <c r="L30" s="2">
        <f t="shared" si="5"/>
        <v>0</v>
      </c>
      <c r="M30" s="2">
        <f t="shared" ref="M30:AE30" si="61">If(Iserr(search(M$1,$H30)),0,1)</f>
        <v>0</v>
      </c>
      <c r="N30" s="2">
        <f t="shared" si="61"/>
        <v>0</v>
      </c>
      <c r="O30" s="2">
        <f t="shared" si="61"/>
        <v>0</v>
      </c>
      <c r="P30" s="2">
        <f t="shared" si="61"/>
        <v>0</v>
      </c>
      <c r="Q30" s="2">
        <f t="shared" si="61"/>
        <v>0</v>
      </c>
      <c r="R30" s="2">
        <f t="shared" si="61"/>
        <v>0</v>
      </c>
      <c r="S30" s="2">
        <f t="shared" si="61"/>
        <v>0</v>
      </c>
      <c r="T30" s="2">
        <f t="shared" si="61"/>
        <v>0</v>
      </c>
      <c r="U30" s="2">
        <f t="shared" si="61"/>
        <v>0</v>
      </c>
      <c r="V30" s="2">
        <f t="shared" si="61"/>
        <v>0</v>
      </c>
      <c r="W30" s="2">
        <f t="shared" si="61"/>
        <v>1</v>
      </c>
      <c r="X30" s="2">
        <f t="shared" si="61"/>
        <v>0</v>
      </c>
      <c r="Y30" s="2">
        <f t="shared" si="61"/>
        <v>0</v>
      </c>
      <c r="Z30" s="2">
        <f t="shared" si="61"/>
        <v>0</v>
      </c>
      <c r="AA30" s="2">
        <f t="shared" si="61"/>
        <v>0</v>
      </c>
      <c r="AB30" s="2">
        <f t="shared" si="61"/>
        <v>0</v>
      </c>
      <c r="AC30" s="2">
        <f t="shared" si="61"/>
        <v>0</v>
      </c>
      <c r="AD30" s="2">
        <f t="shared" si="61"/>
        <v>0</v>
      </c>
      <c r="AE30" s="2">
        <f t="shared" si="61"/>
        <v>0</v>
      </c>
      <c r="AF30" s="2" t="s">
        <v>2113</v>
      </c>
    </row>
    <row r="31">
      <c r="A31" s="92" t="s">
        <v>463</v>
      </c>
      <c r="B31" s="64">
        <f t="shared" si="13"/>
        <v>30</v>
      </c>
      <c r="C31" s="64">
        <v>30.0</v>
      </c>
      <c r="D31" s="64" t="str">
        <f t="shared" si="3"/>
        <v>CO4263630</v>
      </c>
      <c r="E31" s="159">
        <v>42636.0</v>
      </c>
      <c r="F31" s="2" t="s">
        <v>1884</v>
      </c>
      <c r="G31" s="2" t="s">
        <v>18</v>
      </c>
      <c r="H31" s="158" t="s">
        <v>129</v>
      </c>
      <c r="I31" s="2">
        <f t="shared" ref="I31:K31" si="62">If(Iserr(search(I$1,$H31)),0,1)</f>
        <v>0</v>
      </c>
      <c r="J31" s="2">
        <f t="shared" si="62"/>
        <v>0</v>
      </c>
      <c r="K31" s="2">
        <f t="shared" si="62"/>
        <v>0</v>
      </c>
      <c r="L31" s="2">
        <f t="shared" si="5"/>
        <v>0</v>
      </c>
      <c r="M31" s="2">
        <f t="shared" ref="M31:AE31" si="63">If(Iserr(search(M$1,$H31)),0,1)</f>
        <v>0</v>
      </c>
      <c r="N31" s="2">
        <f t="shared" si="63"/>
        <v>0</v>
      </c>
      <c r="O31" s="2">
        <f t="shared" si="63"/>
        <v>0</v>
      </c>
      <c r="P31" s="2">
        <f t="shared" si="63"/>
        <v>0</v>
      </c>
      <c r="Q31" s="2">
        <f t="shared" si="63"/>
        <v>0</v>
      </c>
      <c r="R31" s="2">
        <f t="shared" si="63"/>
        <v>0</v>
      </c>
      <c r="S31" s="2">
        <f t="shared" si="63"/>
        <v>0</v>
      </c>
      <c r="T31" s="2">
        <f t="shared" si="63"/>
        <v>0</v>
      </c>
      <c r="U31" s="2">
        <f t="shared" si="63"/>
        <v>0</v>
      </c>
      <c r="V31" s="2">
        <f t="shared" si="63"/>
        <v>0</v>
      </c>
      <c r="W31" s="2">
        <f t="shared" si="63"/>
        <v>1</v>
      </c>
      <c r="X31" s="2">
        <f t="shared" si="63"/>
        <v>0</v>
      </c>
      <c r="Y31" s="2">
        <f t="shared" si="63"/>
        <v>0</v>
      </c>
      <c r="Z31" s="2">
        <f t="shared" si="63"/>
        <v>0</v>
      </c>
      <c r="AA31" s="2">
        <f t="shared" si="63"/>
        <v>0</v>
      </c>
      <c r="AB31" s="2">
        <f t="shared" si="63"/>
        <v>0</v>
      </c>
      <c r="AC31" s="2">
        <f t="shared" si="63"/>
        <v>0</v>
      </c>
      <c r="AD31" s="2">
        <f t="shared" si="63"/>
        <v>0</v>
      </c>
      <c r="AE31" s="2">
        <f t="shared" si="63"/>
        <v>0</v>
      </c>
      <c r="AF31" s="2" t="s">
        <v>2126</v>
      </c>
    </row>
    <row r="32">
      <c r="A32" s="92" t="s">
        <v>468</v>
      </c>
      <c r="B32" s="64">
        <f t="shared" si="13"/>
        <v>31</v>
      </c>
      <c r="C32" s="64">
        <v>31.0</v>
      </c>
      <c r="D32" s="64" t="str">
        <f t="shared" si="3"/>
        <v>CO4266231</v>
      </c>
      <c r="E32" s="159">
        <v>42662.0</v>
      </c>
      <c r="F32" s="2" t="s">
        <v>2134</v>
      </c>
      <c r="G32" s="2" t="s">
        <v>18</v>
      </c>
      <c r="H32" s="158" t="s">
        <v>129</v>
      </c>
      <c r="I32" s="2">
        <f t="shared" ref="I32:K32" si="64">If(Iserr(search(I$1,$H32)),0,1)</f>
        <v>0</v>
      </c>
      <c r="J32" s="2">
        <f t="shared" si="64"/>
        <v>0</v>
      </c>
      <c r="K32" s="2">
        <f t="shared" si="64"/>
        <v>0</v>
      </c>
      <c r="L32" s="2">
        <f t="shared" si="5"/>
        <v>0</v>
      </c>
      <c r="M32" s="2">
        <f t="shared" ref="M32:AE32" si="65">If(Iserr(search(M$1,$H32)),0,1)</f>
        <v>0</v>
      </c>
      <c r="N32" s="2">
        <f t="shared" si="65"/>
        <v>0</v>
      </c>
      <c r="O32" s="2">
        <f t="shared" si="65"/>
        <v>0</v>
      </c>
      <c r="P32" s="2">
        <f t="shared" si="65"/>
        <v>0</v>
      </c>
      <c r="Q32" s="2">
        <f t="shared" si="65"/>
        <v>0</v>
      </c>
      <c r="R32" s="2">
        <f t="shared" si="65"/>
        <v>0</v>
      </c>
      <c r="S32" s="2">
        <f t="shared" si="65"/>
        <v>0</v>
      </c>
      <c r="T32" s="2">
        <f t="shared" si="65"/>
        <v>0</v>
      </c>
      <c r="U32" s="2">
        <f t="shared" si="65"/>
        <v>0</v>
      </c>
      <c r="V32" s="2">
        <f t="shared" si="65"/>
        <v>0</v>
      </c>
      <c r="W32" s="2">
        <f t="shared" si="65"/>
        <v>1</v>
      </c>
      <c r="X32" s="2">
        <f t="shared" si="65"/>
        <v>0</v>
      </c>
      <c r="Y32" s="2">
        <f t="shared" si="65"/>
        <v>0</v>
      </c>
      <c r="Z32" s="2">
        <f t="shared" si="65"/>
        <v>0</v>
      </c>
      <c r="AA32" s="2">
        <f t="shared" si="65"/>
        <v>0</v>
      </c>
      <c r="AB32" s="2">
        <f t="shared" si="65"/>
        <v>0</v>
      </c>
      <c r="AC32" s="2">
        <f t="shared" si="65"/>
        <v>0</v>
      </c>
      <c r="AD32" s="2">
        <f t="shared" si="65"/>
        <v>0</v>
      </c>
      <c r="AE32" s="2">
        <f t="shared" si="65"/>
        <v>0</v>
      </c>
      <c r="AF32" s="2" t="s">
        <v>2145</v>
      </c>
    </row>
    <row r="33">
      <c r="A33" s="92" t="s">
        <v>482</v>
      </c>
      <c r="B33" s="64">
        <f t="shared" si="13"/>
        <v>32</v>
      </c>
      <c r="C33" s="64">
        <v>32.0</v>
      </c>
      <c r="D33" s="64" t="str">
        <f t="shared" si="3"/>
        <v>CO4285132</v>
      </c>
      <c r="E33" s="159">
        <v>42851.0</v>
      </c>
      <c r="F33" s="2" t="s">
        <v>2149</v>
      </c>
      <c r="G33" s="2" t="s">
        <v>18</v>
      </c>
      <c r="H33" s="158" t="s">
        <v>105</v>
      </c>
      <c r="I33" s="2">
        <f t="shared" ref="I33:K33" si="66">If(Iserr(search(I$1,$H33)),0,1)</f>
        <v>0</v>
      </c>
      <c r="J33" s="2">
        <f t="shared" si="66"/>
        <v>0</v>
      </c>
      <c r="K33" s="2">
        <f t="shared" si="66"/>
        <v>0</v>
      </c>
      <c r="L33" s="2">
        <f t="shared" si="5"/>
        <v>0</v>
      </c>
      <c r="M33" s="2">
        <f t="shared" ref="M33:AE33" si="67">If(Iserr(search(M$1,$H33)),0,1)</f>
        <v>0</v>
      </c>
      <c r="N33" s="2">
        <f t="shared" si="67"/>
        <v>0</v>
      </c>
      <c r="O33" s="2">
        <f t="shared" si="67"/>
        <v>0</v>
      </c>
      <c r="P33" s="2">
        <f t="shared" si="67"/>
        <v>0</v>
      </c>
      <c r="Q33" s="2">
        <f t="shared" si="67"/>
        <v>0</v>
      </c>
      <c r="R33" s="2">
        <f t="shared" si="67"/>
        <v>0</v>
      </c>
      <c r="S33" s="2">
        <f t="shared" si="67"/>
        <v>0</v>
      </c>
      <c r="T33" s="2">
        <f t="shared" si="67"/>
        <v>0</v>
      </c>
      <c r="U33" s="2">
        <f t="shared" si="67"/>
        <v>1</v>
      </c>
      <c r="V33" s="2">
        <f t="shared" si="67"/>
        <v>1</v>
      </c>
      <c r="W33" s="2">
        <f t="shared" si="67"/>
        <v>0</v>
      </c>
      <c r="X33" s="2">
        <f t="shared" si="67"/>
        <v>0</v>
      </c>
      <c r="Y33" s="2">
        <f t="shared" si="67"/>
        <v>0</v>
      </c>
      <c r="Z33" s="2">
        <f t="shared" si="67"/>
        <v>0</v>
      </c>
      <c r="AA33" s="2">
        <f t="shared" si="67"/>
        <v>0</v>
      </c>
      <c r="AB33" s="2">
        <f t="shared" si="67"/>
        <v>0</v>
      </c>
      <c r="AC33" s="2">
        <f t="shared" si="67"/>
        <v>0</v>
      </c>
      <c r="AD33" s="2">
        <f t="shared" si="67"/>
        <v>0</v>
      </c>
      <c r="AE33" s="2">
        <f t="shared" si="67"/>
        <v>0</v>
      </c>
      <c r="AF33" s="2" t="s">
        <v>2157</v>
      </c>
    </row>
    <row r="34">
      <c r="A34" s="92" t="s">
        <v>486</v>
      </c>
      <c r="B34" s="64">
        <f t="shared" si="13"/>
        <v>33</v>
      </c>
      <c r="C34" s="64">
        <v>33.0</v>
      </c>
      <c r="D34" s="64" t="str">
        <f t="shared" si="3"/>
        <v>CO4285133</v>
      </c>
      <c r="E34" s="159">
        <v>42851.0</v>
      </c>
      <c r="F34" s="2" t="s">
        <v>2149</v>
      </c>
      <c r="G34" s="2" t="s">
        <v>18</v>
      </c>
      <c r="H34" s="158" t="s">
        <v>105</v>
      </c>
      <c r="I34" s="2">
        <f t="shared" ref="I34:K34" si="68">If(Iserr(search(I$1,$H34)),0,1)</f>
        <v>0</v>
      </c>
      <c r="J34" s="2">
        <f t="shared" si="68"/>
        <v>0</v>
      </c>
      <c r="K34" s="2">
        <f t="shared" si="68"/>
        <v>0</v>
      </c>
      <c r="L34" s="2">
        <f t="shared" si="5"/>
        <v>0</v>
      </c>
      <c r="M34" s="2">
        <f t="shared" ref="M34:AE34" si="69">If(Iserr(search(M$1,$H34)),0,1)</f>
        <v>0</v>
      </c>
      <c r="N34" s="2">
        <f t="shared" si="69"/>
        <v>0</v>
      </c>
      <c r="O34" s="2">
        <f t="shared" si="69"/>
        <v>0</v>
      </c>
      <c r="P34" s="2">
        <f t="shared" si="69"/>
        <v>0</v>
      </c>
      <c r="Q34" s="2">
        <f t="shared" si="69"/>
        <v>0</v>
      </c>
      <c r="R34" s="2">
        <f t="shared" si="69"/>
        <v>0</v>
      </c>
      <c r="S34" s="2">
        <f t="shared" si="69"/>
        <v>0</v>
      </c>
      <c r="T34" s="2">
        <f t="shared" si="69"/>
        <v>0</v>
      </c>
      <c r="U34" s="2">
        <f t="shared" si="69"/>
        <v>1</v>
      </c>
      <c r="V34" s="2">
        <f t="shared" si="69"/>
        <v>1</v>
      </c>
      <c r="W34" s="2">
        <f t="shared" si="69"/>
        <v>0</v>
      </c>
      <c r="X34" s="2">
        <f t="shared" si="69"/>
        <v>0</v>
      </c>
      <c r="Y34" s="2">
        <f t="shared" si="69"/>
        <v>0</v>
      </c>
      <c r="Z34" s="2">
        <f t="shared" si="69"/>
        <v>0</v>
      </c>
      <c r="AA34" s="2">
        <f t="shared" si="69"/>
        <v>0</v>
      </c>
      <c r="AB34" s="2">
        <f t="shared" si="69"/>
        <v>0</v>
      </c>
      <c r="AC34" s="2">
        <f t="shared" si="69"/>
        <v>0</v>
      </c>
      <c r="AD34" s="2">
        <f t="shared" si="69"/>
        <v>0</v>
      </c>
      <c r="AE34" s="2">
        <f t="shared" si="69"/>
        <v>0</v>
      </c>
      <c r="AF34" s="2" t="s">
        <v>2172</v>
      </c>
    </row>
    <row r="35">
      <c r="A35" s="92" t="s">
        <v>491</v>
      </c>
      <c r="B35" s="64">
        <f t="shared" si="13"/>
        <v>34</v>
      </c>
      <c r="C35" s="64">
        <v>34.0</v>
      </c>
      <c r="D35" s="64" t="str">
        <f t="shared" si="3"/>
        <v>CO4294034</v>
      </c>
      <c r="E35" s="159">
        <v>42940.0</v>
      </c>
      <c r="F35" s="2" t="s">
        <v>2177</v>
      </c>
      <c r="G35" s="2" t="s">
        <v>18</v>
      </c>
      <c r="H35" s="158" t="s">
        <v>100</v>
      </c>
      <c r="I35" s="2">
        <f t="shared" ref="I35:K35" si="70">If(Iserr(search(I$1,$H35)),0,1)</f>
        <v>0</v>
      </c>
      <c r="J35" s="2">
        <f t="shared" si="70"/>
        <v>0</v>
      </c>
      <c r="K35" s="2">
        <f t="shared" si="70"/>
        <v>0</v>
      </c>
      <c r="L35" s="2">
        <f t="shared" si="5"/>
        <v>0</v>
      </c>
      <c r="M35" s="2">
        <f t="shared" ref="M35:AE35" si="71">If(Iserr(search(M$1,$H35)),0,1)</f>
        <v>0</v>
      </c>
      <c r="N35" s="2">
        <f t="shared" si="71"/>
        <v>0</v>
      </c>
      <c r="O35" s="2">
        <f t="shared" si="71"/>
        <v>0</v>
      </c>
      <c r="P35" s="2">
        <f t="shared" si="71"/>
        <v>0</v>
      </c>
      <c r="Q35" s="2">
        <f t="shared" si="71"/>
        <v>0</v>
      </c>
      <c r="R35" s="2">
        <f t="shared" si="71"/>
        <v>0</v>
      </c>
      <c r="S35" s="2">
        <f t="shared" si="71"/>
        <v>0</v>
      </c>
      <c r="T35" s="2">
        <f t="shared" si="71"/>
        <v>1</v>
      </c>
      <c r="U35" s="2">
        <f t="shared" si="71"/>
        <v>0</v>
      </c>
      <c r="V35" s="2">
        <f t="shared" si="71"/>
        <v>0</v>
      </c>
      <c r="W35" s="2">
        <f t="shared" si="71"/>
        <v>1</v>
      </c>
      <c r="X35" s="2">
        <f t="shared" si="71"/>
        <v>1</v>
      </c>
      <c r="Y35" s="2">
        <f t="shared" si="71"/>
        <v>0</v>
      </c>
      <c r="Z35" s="2">
        <f t="shared" si="71"/>
        <v>1</v>
      </c>
      <c r="AA35" s="2">
        <f t="shared" si="71"/>
        <v>0</v>
      </c>
      <c r="AB35" s="2">
        <f t="shared" si="71"/>
        <v>0</v>
      </c>
      <c r="AC35" s="2">
        <f t="shared" si="71"/>
        <v>0</v>
      </c>
      <c r="AD35" s="2">
        <f t="shared" si="71"/>
        <v>0</v>
      </c>
      <c r="AE35" s="2">
        <f t="shared" si="71"/>
        <v>0</v>
      </c>
      <c r="AF35" s="2" t="s">
        <v>2188</v>
      </c>
    </row>
    <row r="36">
      <c r="A36" s="92" t="s">
        <v>496</v>
      </c>
      <c r="B36" s="64">
        <f t="shared" si="13"/>
        <v>35</v>
      </c>
      <c r="C36" s="64">
        <v>35.0</v>
      </c>
      <c r="D36" s="64" t="str">
        <f t="shared" si="3"/>
        <v>CO4294035</v>
      </c>
      <c r="E36" s="159">
        <v>42940.0</v>
      </c>
      <c r="F36" s="2" t="s">
        <v>2177</v>
      </c>
      <c r="G36" s="2" t="s">
        <v>18</v>
      </c>
      <c r="H36" s="158" t="s">
        <v>100</v>
      </c>
      <c r="I36" s="2">
        <f t="shared" ref="I36:K36" si="72">If(Iserr(search(I$1,$H36)),0,1)</f>
        <v>0</v>
      </c>
      <c r="J36" s="2">
        <f t="shared" si="72"/>
        <v>0</v>
      </c>
      <c r="K36" s="2">
        <f t="shared" si="72"/>
        <v>0</v>
      </c>
      <c r="L36" s="2">
        <f t="shared" si="5"/>
        <v>0</v>
      </c>
      <c r="M36" s="2">
        <f t="shared" ref="M36:AE36" si="73">If(Iserr(search(M$1,$H36)),0,1)</f>
        <v>0</v>
      </c>
      <c r="N36" s="2">
        <f t="shared" si="73"/>
        <v>0</v>
      </c>
      <c r="O36" s="2">
        <f t="shared" si="73"/>
        <v>0</v>
      </c>
      <c r="P36" s="2">
        <f t="shared" si="73"/>
        <v>0</v>
      </c>
      <c r="Q36" s="2">
        <f t="shared" si="73"/>
        <v>0</v>
      </c>
      <c r="R36" s="2">
        <f t="shared" si="73"/>
        <v>0</v>
      </c>
      <c r="S36" s="2">
        <f t="shared" si="73"/>
        <v>0</v>
      </c>
      <c r="T36" s="2">
        <f t="shared" si="73"/>
        <v>1</v>
      </c>
      <c r="U36" s="2">
        <f t="shared" si="73"/>
        <v>0</v>
      </c>
      <c r="V36" s="2">
        <f t="shared" si="73"/>
        <v>0</v>
      </c>
      <c r="W36" s="2">
        <f t="shared" si="73"/>
        <v>1</v>
      </c>
      <c r="X36" s="2">
        <f t="shared" si="73"/>
        <v>1</v>
      </c>
      <c r="Y36" s="2">
        <f t="shared" si="73"/>
        <v>0</v>
      </c>
      <c r="Z36" s="2">
        <f t="shared" si="73"/>
        <v>1</v>
      </c>
      <c r="AA36" s="2">
        <f t="shared" si="73"/>
        <v>0</v>
      </c>
      <c r="AB36" s="2">
        <f t="shared" si="73"/>
        <v>0</v>
      </c>
      <c r="AC36" s="2">
        <f t="shared" si="73"/>
        <v>0</v>
      </c>
      <c r="AD36" s="2">
        <f t="shared" si="73"/>
        <v>0</v>
      </c>
      <c r="AE36" s="2">
        <f t="shared" si="73"/>
        <v>0</v>
      </c>
      <c r="AF36" s="2" t="s">
        <v>2204</v>
      </c>
    </row>
    <row r="37">
      <c r="A37" s="92" t="s">
        <v>503</v>
      </c>
      <c r="B37" s="64">
        <f t="shared" si="13"/>
        <v>36</v>
      </c>
      <c r="C37" s="64">
        <v>36.0</v>
      </c>
      <c r="D37" s="64" t="str">
        <f t="shared" si="3"/>
        <v>CO4300036</v>
      </c>
      <c r="E37" s="159">
        <v>43000.0</v>
      </c>
      <c r="F37" s="2" t="s">
        <v>2212</v>
      </c>
      <c r="G37" s="2" t="s">
        <v>18</v>
      </c>
      <c r="H37" s="158" t="s">
        <v>2213</v>
      </c>
      <c r="I37" s="2">
        <f t="shared" ref="I37:K37" si="74">If(Iserr(search(I$1,$H37)),0,1)</f>
        <v>0</v>
      </c>
      <c r="J37" s="2">
        <f t="shared" si="74"/>
        <v>0</v>
      </c>
      <c r="K37" s="2">
        <f t="shared" si="74"/>
        <v>0</v>
      </c>
      <c r="L37" s="2">
        <f t="shared" si="5"/>
        <v>0</v>
      </c>
      <c r="M37" s="2">
        <f t="shared" ref="M37:AE37" si="75">If(Iserr(search(M$1,$H37)),0,1)</f>
        <v>0</v>
      </c>
      <c r="N37" s="2">
        <f t="shared" si="75"/>
        <v>0</v>
      </c>
      <c r="O37" s="2">
        <f t="shared" si="75"/>
        <v>0</v>
      </c>
      <c r="P37" s="2">
        <f t="shared" si="75"/>
        <v>0</v>
      </c>
      <c r="Q37" s="2">
        <f t="shared" si="75"/>
        <v>0</v>
      </c>
      <c r="R37" s="2">
        <f t="shared" si="75"/>
        <v>0</v>
      </c>
      <c r="S37" s="2">
        <f t="shared" si="75"/>
        <v>0</v>
      </c>
      <c r="T37" s="2">
        <f t="shared" si="75"/>
        <v>0</v>
      </c>
      <c r="U37" s="2">
        <f t="shared" si="75"/>
        <v>0</v>
      </c>
      <c r="V37" s="2">
        <f t="shared" si="75"/>
        <v>0</v>
      </c>
      <c r="W37" s="2">
        <f t="shared" si="75"/>
        <v>0</v>
      </c>
      <c r="X37" s="2">
        <f t="shared" si="75"/>
        <v>0</v>
      </c>
      <c r="Y37" s="2">
        <f t="shared" si="75"/>
        <v>0</v>
      </c>
      <c r="Z37" s="2">
        <f t="shared" si="75"/>
        <v>1</v>
      </c>
      <c r="AA37" s="2">
        <f t="shared" si="75"/>
        <v>0</v>
      </c>
      <c r="AB37" s="2">
        <f t="shared" si="75"/>
        <v>0</v>
      </c>
      <c r="AC37" s="2">
        <f t="shared" si="75"/>
        <v>0</v>
      </c>
      <c r="AD37" s="2">
        <f t="shared" si="75"/>
        <v>0</v>
      </c>
      <c r="AE37" s="2">
        <f t="shared" si="75"/>
        <v>0</v>
      </c>
      <c r="AF37" s="2" t="s">
        <v>2224</v>
      </c>
    </row>
    <row r="38">
      <c r="A38" s="92" t="s">
        <v>507</v>
      </c>
      <c r="B38" s="64">
        <f t="shared" si="13"/>
        <v>37</v>
      </c>
      <c r="C38" s="64">
        <v>37.0</v>
      </c>
      <c r="D38" s="64" t="str">
        <f t="shared" si="3"/>
        <v>CO4304237</v>
      </c>
      <c r="E38" s="159">
        <v>43042.0</v>
      </c>
      <c r="F38" s="2" t="s">
        <v>1884</v>
      </c>
      <c r="G38" s="2" t="s">
        <v>18</v>
      </c>
      <c r="H38" s="158" t="s">
        <v>129</v>
      </c>
      <c r="I38" s="2">
        <f t="shared" ref="I38:K38" si="76">If(Iserr(search(I$1,$H38)),0,1)</f>
        <v>0</v>
      </c>
      <c r="J38" s="2">
        <f t="shared" si="76"/>
        <v>0</v>
      </c>
      <c r="K38" s="2">
        <f t="shared" si="76"/>
        <v>0</v>
      </c>
      <c r="L38" s="2">
        <f t="shared" si="5"/>
        <v>0</v>
      </c>
      <c r="M38" s="2">
        <f t="shared" ref="M38:AE38" si="77">If(Iserr(search(M$1,$H38)),0,1)</f>
        <v>0</v>
      </c>
      <c r="N38" s="2">
        <f t="shared" si="77"/>
        <v>0</v>
      </c>
      <c r="O38" s="2">
        <f t="shared" si="77"/>
        <v>0</v>
      </c>
      <c r="P38" s="2">
        <f t="shared" si="77"/>
        <v>0</v>
      </c>
      <c r="Q38" s="2">
        <f t="shared" si="77"/>
        <v>0</v>
      </c>
      <c r="R38" s="2">
        <f t="shared" si="77"/>
        <v>0</v>
      </c>
      <c r="S38" s="2">
        <f t="shared" si="77"/>
        <v>0</v>
      </c>
      <c r="T38" s="2">
        <f t="shared" si="77"/>
        <v>0</v>
      </c>
      <c r="U38" s="2">
        <f t="shared" si="77"/>
        <v>0</v>
      </c>
      <c r="V38" s="2">
        <f t="shared" si="77"/>
        <v>0</v>
      </c>
      <c r="W38" s="2">
        <f t="shared" si="77"/>
        <v>1</v>
      </c>
      <c r="X38" s="2">
        <f t="shared" si="77"/>
        <v>0</v>
      </c>
      <c r="Y38" s="2">
        <f t="shared" si="77"/>
        <v>0</v>
      </c>
      <c r="Z38" s="2">
        <f t="shared" si="77"/>
        <v>0</v>
      </c>
      <c r="AA38" s="2">
        <f t="shared" si="77"/>
        <v>0</v>
      </c>
      <c r="AB38" s="2">
        <f t="shared" si="77"/>
        <v>0</v>
      </c>
      <c r="AC38" s="2">
        <f t="shared" si="77"/>
        <v>0</v>
      </c>
      <c r="AD38" s="2">
        <f t="shared" si="77"/>
        <v>0</v>
      </c>
      <c r="AE38" s="2">
        <f t="shared" si="77"/>
        <v>0</v>
      </c>
      <c r="AF38" s="2" t="s">
        <v>2247</v>
      </c>
    </row>
    <row r="39">
      <c r="A39" s="92" t="s">
        <v>511</v>
      </c>
      <c r="B39" s="64">
        <f t="shared" si="13"/>
        <v>38</v>
      </c>
      <c r="C39" s="64">
        <v>38.0</v>
      </c>
      <c r="D39" s="64" t="str">
        <f t="shared" si="3"/>
        <v>CO4305638</v>
      </c>
      <c r="E39" s="159">
        <v>43056.0</v>
      </c>
      <c r="F39" s="2" t="s">
        <v>1884</v>
      </c>
      <c r="G39" s="2" t="s">
        <v>18</v>
      </c>
      <c r="H39" s="158" t="s">
        <v>129</v>
      </c>
      <c r="I39" s="2">
        <f t="shared" ref="I39:K39" si="78">If(Iserr(search(I$1,$H39)),0,1)</f>
        <v>0</v>
      </c>
      <c r="J39" s="2">
        <f t="shared" si="78"/>
        <v>0</v>
      </c>
      <c r="K39" s="2">
        <f t="shared" si="78"/>
        <v>0</v>
      </c>
      <c r="L39" s="2">
        <f t="shared" si="5"/>
        <v>0</v>
      </c>
      <c r="M39" s="2">
        <f t="shared" ref="M39:AE39" si="79">If(Iserr(search(M$1,$H39)),0,1)</f>
        <v>0</v>
      </c>
      <c r="N39" s="2">
        <f t="shared" si="79"/>
        <v>0</v>
      </c>
      <c r="O39" s="2">
        <f t="shared" si="79"/>
        <v>0</v>
      </c>
      <c r="P39" s="2">
        <f t="shared" si="79"/>
        <v>0</v>
      </c>
      <c r="Q39" s="2">
        <f t="shared" si="79"/>
        <v>0</v>
      </c>
      <c r="R39" s="2">
        <f t="shared" si="79"/>
        <v>0</v>
      </c>
      <c r="S39" s="2">
        <f t="shared" si="79"/>
        <v>0</v>
      </c>
      <c r="T39" s="2">
        <f t="shared" si="79"/>
        <v>0</v>
      </c>
      <c r="U39" s="2">
        <f t="shared" si="79"/>
        <v>0</v>
      </c>
      <c r="V39" s="2">
        <f t="shared" si="79"/>
        <v>0</v>
      </c>
      <c r="W39" s="2">
        <f t="shared" si="79"/>
        <v>1</v>
      </c>
      <c r="X39" s="2">
        <f t="shared" si="79"/>
        <v>0</v>
      </c>
      <c r="Y39" s="2">
        <f t="shared" si="79"/>
        <v>0</v>
      </c>
      <c r="Z39" s="2">
        <f t="shared" si="79"/>
        <v>0</v>
      </c>
      <c r="AA39" s="2">
        <f t="shared" si="79"/>
        <v>0</v>
      </c>
      <c r="AB39" s="2">
        <f t="shared" si="79"/>
        <v>0</v>
      </c>
      <c r="AC39" s="2">
        <f t="shared" si="79"/>
        <v>0</v>
      </c>
      <c r="AD39" s="2">
        <f t="shared" si="79"/>
        <v>0</v>
      </c>
      <c r="AE39" s="2">
        <f t="shared" si="79"/>
        <v>0</v>
      </c>
      <c r="AF39" s="2" t="s">
        <v>2260</v>
      </c>
    </row>
    <row r="40">
      <c r="A40" s="92" t="s">
        <v>516</v>
      </c>
      <c r="B40" s="64">
        <f t="shared" si="13"/>
        <v>39</v>
      </c>
      <c r="C40" s="64">
        <v>39.0</v>
      </c>
      <c r="D40" s="64" t="str">
        <f t="shared" si="3"/>
        <v>CO4306139</v>
      </c>
      <c r="E40" s="159">
        <v>43061.0</v>
      </c>
      <c r="F40" s="2" t="s">
        <v>1747</v>
      </c>
      <c r="G40" s="2" t="s">
        <v>18</v>
      </c>
      <c r="H40" s="158" t="s">
        <v>129</v>
      </c>
      <c r="I40" s="2">
        <f t="shared" ref="I40:K40" si="80">If(Iserr(search(I$1,$H40)),0,1)</f>
        <v>0</v>
      </c>
      <c r="J40" s="2">
        <f t="shared" si="80"/>
        <v>0</v>
      </c>
      <c r="K40" s="2">
        <f t="shared" si="80"/>
        <v>0</v>
      </c>
      <c r="L40" s="2">
        <f t="shared" si="5"/>
        <v>0</v>
      </c>
      <c r="M40" s="2">
        <f t="shared" ref="M40:AE40" si="81">If(Iserr(search(M$1,$H40)),0,1)</f>
        <v>0</v>
      </c>
      <c r="N40" s="2">
        <f t="shared" si="81"/>
        <v>0</v>
      </c>
      <c r="O40" s="2">
        <f t="shared" si="81"/>
        <v>0</v>
      </c>
      <c r="P40" s="2">
        <f t="shared" si="81"/>
        <v>0</v>
      </c>
      <c r="Q40" s="2">
        <f t="shared" si="81"/>
        <v>0</v>
      </c>
      <c r="R40" s="2">
        <f t="shared" si="81"/>
        <v>0</v>
      </c>
      <c r="S40" s="2">
        <f t="shared" si="81"/>
        <v>0</v>
      </c>
      <c r="T40" s="2">
        <f t="shared" si="81"/>
        <v>0</v>
      </c>
      <c r="U40" s="2">
        <f t="shared" si="81"/>
        <v>0</v>
      </c>
      <c r="V40" s="2">
        <f t="shared" si="81"/>
        <v>0</v>
      </c>
      <c r="W40" s="2">
        <f t="shared" si="81"/>
        <v>1</v>
      </c>
      <c r="X40" s="2">
        <f t="shared" si="81"/>
        <v>0</v>
      </c>
      <c r="Y40" s="2">
        <f t="shared" si="81"/>
        <v>0</v>
      </c>
      <c r="Z40" s="2">
        <f t="shared" si="81"/>
        <v>0</v>
      </c>
      <c r="AA40" s="2">
        <f t="shared" si="81"/>
        <v>0</v>
      </c>
      <c r="AB40" s="2">
        <f t="shared" si="81"/>
        <v>0</v>
      </c>
      <c r="AC40" s="2">
        <f t="shared" si="81"/>
        <v>0</v>
      </c>
      <c r="AD40" s="2">
        <f t="shared" si="81"/>
        <v>0</v>
      </c>
      <c r="AE40" s="2">
        <f t="shared" si="81"/>
        <v>0</v>
      </c>
      <c r="AF40" s="2" t="s">
        <v>2277</v>
      </c>
    </row>
    <row r="41">
      <c r="A41" s="92" t="s">
        <v>526</v>
      </c>
      <c r="B41" s="64">
        <f t="shared" si="13"/>
        <v>40</v>
      </c>
      <c r="C41" s="64">
        <v>40.0</v>
      </c>
      <c r="D41" s="64" t="str">
        <f t="shared" si="3"/>
        <v>CO4312440</v>
      </c>
      <c r="E41" s="159">
        <v>43124.0</v>
      </c>
      <c r="F41" s="2" t="s">
        <v>2282</v>
      </c>
      <c r="G41" s="2" t="s">
        <v>18</v>
      </c>
      <c r="H41" s="158" t="s">
        <v>518</v>
      </c>
      <c r="I41" s="2">
        <f t="shared" ref="I41:K41" si="82">If(Iserr(search(I$1,$H41)),0,1)</f>
        <v>0</v>
      </c>
      <c r="J41" s="2">
        <f t="shared" si="82"/>
        <v>0</v>
      </c>
      <c r="K41" s="2">
        <f t="shared" si="82"/>
        <v>0</v>
      </c>
      <c r="L41" s="2">
        <f t="shared" si="5"/>
        <v>0</v>
      </c>
      <c r="M41" s="2">
        <f t="shared" ref="M41:AE41" si="83">If(Iserr(search(M$1,$H41)),0,1)</f>
        <v>0</v>
      </c>
      <c r="N41" s="2">
        <f t="shared" si="83"/>
        <v>0</v>
      </c>
      <c r="O41" s="2">
        <f t="shared" si="83"/>
        <v>0</v>
      </c>
      <c r="P41" s="2">
        <f t="shared" si="83"/>
        <v>0</v>
      </c>
      <c r="Q41" s="2">
        <f t="shared" si="83"/>
        <v>0</v>
      </c>
      <c r="R41" s="2">
        <f t="shared" si="83"/>
        <v>0</v>
      </c>
      <c r="S41" s="2">
        <f t="shared" si="83"/>
        <v>0</v>
      </c>
      <c r="T41" s="2">
        <f t="shared" si="83"/>
        <v>0</v>
      </c>
      <c r="U41" s="2">
        <f t="shared" si="83"/>
        <v>0</v>
      </c>
      <c r="V41" s="2">
        <f t="shared" si="83"/>
        <v>0</v>
      </c>
      <c r="W41" s="2">
        <f t="shared" si="83"/>
        <v>0</v>
      </c>
      <c r="X41" s="2">
        <f t="shared" si="83"/>
        <v>0</v>
      </c>
      <c r="Y41" s="2">
        <f t="shared" si="83"/>
        <v>0</v>
      </c>
      <c r="Z41" s="2">
        <f t="shared" si="83"/>
        <v>0</v>
      </c>
      <c r="AA41" s="2">
        <f t="shared" si="83"/>
        <v>0</v>
      </c>
      <c r="AB41" s="2">
        <f t="shared" si="83"/>
        <v>0</v>
      </c>
      <c r="AC41" s="2">
        <f t="shared" si="83"/>
        <v>0</v>
      </c>
      <c r="AD41" s="2">
        <f t="shared" si="83"/>
        <v>0</v>
      </c>
      <c r="AE41" s="2">
        <f t="shared" si="83"/>
        <v>0</v>
      </c>
      <c r="AF41" s="2" t="s">
        <v>528</v>
      </c>
    </row>
    <row r="42">
      <c r="A42" s="92" t="s">
        <v>531</v>
      </c>
      <c r="B42" s="64">
        <f t="shared" si="13"/>
        <v>41</v>
      </c>
      <c r="C42" s="64">
        <v>41.0</v>
      </c>
      <c r="D42" s="64" t="str">
        <f t="shared" si="3"/>
        <v>CO4342541</v>
      </c>
      <c r="E42" s="159">
        <v>43425.0</v>
      </c>
      <c r="F42" s="2" t="s">
        <v>2300</v>
      </c>
      <c r="G42" s="2" t="s">
        <v>18</v>
      </c>
      <c r="H42" s="158" t="s">
        <v>95</v>
      </c>
      <c r="I42" s="2">
        <f t="shared" ref="I42:K42" si="84">If(Iserr(search(I$1,$H42)),0,1)</f>
        <v>0</v>
      </c>
      <c r="J42" s="2">
        <f t="shared" si="84"/>
        <v>0</v>
      </c>
      <c r="K42" s="2">
        <f t="shared" si="84"/>
        <v>0</v>
      </c>
      <c r="L42" s="2">
        <f t="shared" si="5"/>
        <v>0</v>
      </c>
      <c r="M42" s="2">
        <f t="shared" ref="M42:AE42" si="85">If(Iserr(search(M$1,$H42)),0,1)</f>
        <v>0</v>
      </c>
      <c r="N42" s="2">
        <f t="shared" si="85"/>
        <v>0</v>
      </c>
      <c r="O42" s="2">
        <f t="shared" si="85"/>
        <v>0</v>
      </c>
      <c r="P42" s="2">
        <f t="shared" si="85"/>
        <v>0</v>
      </c>
      <c r="Q42" s="2">
        <f t="shared" si="85"/>
        <v>0</v>
      </c>
      <c r="R42" s="2">
        <f t="shared" si="85"/>
        <v>0</v>
      </c>
      <c r="S42" s="2">
        <f t="shared" si="85"/>
        <v>0</v>
      </c>
      <c r="T42" s="2">
        <f t="shared" si="85"/>
        <v>0</v>
      </c>
      <c r="U42" s="2">
        <f t="shared" si="85"/>
        <v>0</v>
      </c>
      <c r="V42" s="2">
        <f t="shared" si="85"/>
        <v>0</v>
      </c>
      <c r="W42" s="2">
        <f t="shared" si="85"/>
        <v>0</v>
      </c>
      <c r="X42" s="2">
        <f t="shared" si="85"/>
        <v>0</v>
      </c>
      <c r="Y42" s="2">
        <f t="shared" si="85"/>
        <v>0</v>
      </c>
      <c r="Z42" s="2">
        <f t="shared" si="85"/>
        <v>0</v>
      </c>
      <c r="AA42" s="2">
        <f t="shared" si="85"/>
        <v>0</v>
      </c>
      <c r="AB42" s="2">
        <f t="shared" si="85"/>
        <v>0</v>
      </c>
      <c r="AC42" s="2">
        <f t="shared" si="85"/>
        <v>0</v>
      </c>
      <c r="AD42" s="2">
        <f t="shared" si="85"/>
        <v>0</v>
      </c>
      <c r="AE42" s="2">
        <f t="shared" si="85"/>
        <v>0</v>
      </c>
      <c r="AF42" s="2" t="s">
        <v>2300</v>
      </c>
    </row>
    <row r="43">
      <c r="A43" s="92" t="s">
        <v>537</v>
      </c>
      <c r="B43" s="64">
        <f t="shared" si="13"/>
        <v>42</v>
      </c>
      <c r="C43" s="64">
        <v>42.0</v>
      </c>
      <c r="D43" s="64" t="str">
        <f t="shared" si="3"/>
        <v>CO4343242</v>
      </c>
      <c r="E43" s="159">
        <v>43432.0</v>
      </c>
      <c r="F43" s="2" t="s">
        <v>2313</v>
      </c>
      <c r="G43" s="2" t="s">
        <v>18</v>
      </c>
      <c r="H43" s="158" t="s">
        <v>89</v>
      </c>
      <c r="I43" s="2">
        <f t="shared" ref="I43:K43" si="86">If(Iserr(search(I$1,$H43)),0,1)</f>
        <v>0</v>
      </c>
      <c r="J43" s="2">
        <f t="shared" si="86"/>
        <v>0</v>
      </c>
      <c r="K43" s="2">
        <f t="shared" si="86"/>
        <v>0</v>
      </c>
      <c r="L43" s="2">
        <f t="shared" si="5"/>
        <v>0</v>
      </c>
      <c r="M43" s="2">
        <f t="shared" ref="M43:AE43" si="87">If(Iserr(search(M$1,$H43)),0,1)</f>
        <v>0</v>
      </c>
      <c r="N43" s="2">
        <f t="shared" si="87"/>
        <v>0</v>
      </c>
      <c r="O43" s="2">
        <f t="shared" si="87"/>
        <v>0</v>
      </c>
      <c r="P43" s="2">
        <f t="shared" si="87"/>
        <v>0</v>
      </c>
      <c r="Q43" s="2">
        <f t="shared" si="87"/>
        <v>0</v>
      </c>
      <c r="R43" s="2">
        <f t="shared" si="87"/>
        <v>1</v>
      </c>
      <c r="S43" s="2">
        <f t="shared" si="87"/>
        <v>1</v>
      </c>
      <c r="T43" s="2">
        <f t="shared" si="87"/>
        <v>0</v>
      </c>
      <c r="U43" s="2">
        <f t="shared" si="87"/>
        <v>0</v>
      </c>
      <c r="V43" s="2">
        <f t="shared" si="87"/>
        <v>0</v>
      </c>
      <c r="W43" s="2">
        <f t="shared" si="87"/>
        <v>0</v>
      </c>
      <c r="X43" s="2">
        <f t="shared" si="87"/>
        <v>0</v>
      </c>
      <c r="Y43" s="2">
        <f t="shared" si="87"/>
        <v>0</v>
      </c>
      <c r="Z43" s="2">
        <f t="shared" si="87"/>
        <v>0</v>
      </c>
      <c r="AA43" s="2">
        <f t="shared" si="87"/>
        <v>0</v>
      </c>
      <c r="AB43" s="2">
        <f t="shared" si="87"/>
        <v>0</v>
      </c>
      <c r="AC43" s="2">
        <f t="shared" si="87"/>
        <v>0</v>
      </c>
      <c r="AD43" s="2">
        <f t="shared" si="87"/>
        <v>0</v>
      </c>
      <c r="AE43" s="2">
        <f t="shared" si="87"/>
        <v>0</v>
      </c>
      <c r="AF43" s="2" t="s">
        <v>2322</v>
      </c>
    </row>
    <row r="44">
      <c r="A44" s="92" t="s">
        <v>558</v>
      </c>
      <c r="B44" s="64">
        <f t="shared" si="13"/>
        <v>43</v>
      </c>
      <c r="C44" s="64">
        <v>43.0</v>
      </c>
      <c r="D44" s="64" t="str">
        <f t="shared" si="3"/>
        <v>CO4356643</v>
      </c>
      <c r="E44" s="159">
        <v>43566.0</v>
      </c>
      <c r="F44" s="2" t="s">
        <v>2328</v>
      </c>
      <c r="G44" s="2" t="s">
        <v>18</v>
      </c>
      <c r="H44" s="158" t="s">
        <v>79</v>
      </c>
      <c r="I44" s="2">
        <f t="shared" ref="I44:K44" si="88">If(Iserr(search(I$1,$H44)),0,1)</f>
        <v>0</v>
      </c>
      <c r="J44" s="2">
        <f t="shared" si="88"/>
        <v>0</v>
      </c>
      <c r="K44" s="2">
        <f t="shared" si="88"/>
        <v>0</v>
      </c>
      <c r="L44" s="2">
        <f t="shared" si="5"/>
        <v>0</v>
      </c>
      <c r="M44" s="2">
        <f t="shared" ref="M44:AE44" si="89">If(Iserr(search(M$1,$H44)),0,1)</f>
        <v>0</v>
      </c>
      <c r="N44" s="2">
        <f t="shared" si="89"/>
        <v>0</v>
      </c>
      <c r="O44" s="2">
        <f t="shared" si="89"/>
        <v>0</v>
      </c>
      <c r="P44" s="2">
        <f t="shared" si="89"/>
        <v>0</v>
      </c>
      <c r="Q44" s="2">
        <f t="shared" si="89"/>
        <v>0</v>
      </c>
      <c r="R44" s="2">
        <f t="shared" si="89"/>
        <v>1</v>
      </c>
      <c r="S44" s="2">
        <f t="shared" si="89"/>
        <v>0</v>
      </c>
      <c r="T44" s="2">
        <f t="shared" si="89"/>
        <v>0</v>
      </c>
      <c r="U44" s="2">
        <f t="shared" si="89"/>
        <v>0</v>
      </c>
      <c r="V44" s="2">
        <f t="shared" si="89"/>
        <v>0</v>
      </c>
      <c r="W44" s="2">
        <f t="shared" si="89"/>
        <v>0</v>
      </c>
      <c r="X44" s="2">
        <f t="shared" si="89"/>
        <v>0</v>
      </c>
      <c r="Y44" s="2">
        <f t="shared" si="89"/>
        <v>0</v>
      </c>
      <c r="Z44" s="2">
        <f t="shared" si="89"/>
        <v>0</v>
      </c>
      <c r="AA44" s="2">
        <f t="shared" si="89"/>
        <v>0</v>
      </c>
      <c r="AB44" s="2">
        <f t="shared" si="89"/>
        <v>0</v>
      </c>
      <c r="AC44" s="2">
        <f t="shared" si="89"/>
        <v>0</v>
      </c>
      <c r="AD44" s="2">
        <f t="shared" si="89"/>
        <v>0</v>
      </c>
      <c r="AE44" s="2">
        <f t="shared" si="89"/>
        <v>0</v>
      </c>
      <c r="AF44" s="2" t="s">
        <v>2337</v>
      </c>
    </row>
    <row r="45">
      <c r="A45" s="92" t="s">
        <v>595</v>
      </c>
      <c r="B45" s="64">
        <f t="shared" si="13"/>
        <v>44</v>
      </c>
      <c r="C45" s="64">
        <v>44.0</v>
      </c>
      <c r="D45" s="64" t="str">
        <f t="shared" si="3"/>
        <v>CO4369344</v>
      </c>
      <c r="E45" s="159">
        <v>43693.0</v>
      </c>
      <c r="F45" s="2" t="s">
        <v>2342</v>
      </c>
      <c r="G45" s="158" t="s">
        <v>419</v>
      </c>
      <c r="H45" s="158" t="s">
        <v>2343</v>
      </c>
      <c r="I45" s="2">
        <f t="shared" ref="I45:K45" si="90">If(Iserr(search(I$1,$H45)),0,1)</f>
        <v>0</v>
      </c>
      <c r="J45" s="2">
        <f t="shared" si="90"/>
        <v>0</v>
      </c>
      <c r="K45" s="2">
        <f t="shared" si="90"/>
        <v>0</v>
      </c>
      <c r="L45" s="2">
        <f t="shared" si="5"/>
        <v>0</v>
      </c>
      <c r="M45" s="2">
        <f t="shared" ref="M45:AE45" si="91">If(Iserr(search(M$1,$H45)),0,1)</f>
        <v>0</v>
      </c>
      <c r="N45" s="2">
        <f t="shared" si="91"/>
        <v>0</v>
      </c>
      <c r="O45" s="2">
        <f t="shared" si="91"/>
        <v>0</v>
      </c>
      <c r="P45" s="2">
        <f t="shared" si="91"/>
        <v>0</v>
      </c>
      <c r="Q45" s="2">
        <f t="shared" si="91"/>
        <v>0</v>
      </c>
      <c r="R45" s="2">
        <f t="shared" si="91"/>
        <v>0</v>
      </c>
      <c r="S45" s="2">
        <f t="shared" si="91"/>
        <v>0</v>
      </c>
      <c r="T45" s="2">
        <f t="shared" si="91"/>
        <v>0</v>
      </c>
      <c r="U45" s="2">
        <f t="shared" si="91"/>
        <v>0</v>
      </c>
      <c r="V45" s="2">
        <f t="shared" si="91"/>
        <v>0</v>
      </c>
      <c r="W45" s="2">
        <f t="shared" si="91"/>
        <v>0</v>
      </c>
      <c r="X45" s="2">
        <f t="shared" si="91"/>
        <v>0</v>
      </c>
      <c r="Y45" s="2">
        <f t="shared" si="91"/>
        <v>0</v>
      </c>
      <c r="Z45" s="2">
        <f t="shared" si="91"/>
        <v>0</v>
      </c>
      <c r="AA45" s="2">
        <f t="shared" si="91"/>
        <v>0</v>
      </c>
      <c r="AB45" s="2">
        <f t="shared" si="91"/>
        <v>0</v>
      </c>
      <c r="AC45" s="2">
        <f t="shared" si="91"/>
        <v>0</v>
      </c>
      <c r="AD45" s="2">
        <f t="shared" si="91"/>
        <v>0</v>
      </c>
      <c r="AE45" s="2">
        <f t="shared" si="91"/>
        <v>0</v>
      </c>
      <c r="AF45" s="2" t="s">
        <v>2354</v>
      </c>
    </row>
    <row r="46">
      <c r="A46" s="92" t="s">
        <v>595</v>
      </c>
      <c r="B46" s="64" t="s">
        <v>2355</v>
      </c>
      <c r="C46" s="64">
        <v>44.0</v>
      </c>
      <c r="D46" s="64" t="str">
        <f t="shared" si="3"/>
        <v>CO4369344b</v>
      </c>
      <c r="E46" s="159">
        <v>43693.0</v>
      </c>
      <c r="F46" s="2" t="s">
        <v>2356</v>
      </c>
      <c r="G46" s="2" t="s">
        <v>1488</v>
      </c>
      <c r="H46" s="2" t="s">
        <v>1488</v>
      </c>
      <c r="I46" s="2">
        <f t="shared" ref="I46:K46" si="92">If(Iserr(search(I$1,$H46)),0,1)</f>
        <v>0</v>
      </c>
      <c r="J46" s="2">
        <f t="shared" si="92"/>
        <v>1</v>
      </c>
      <c r="K46" s="2">
        <f t="shared" si="92"/>
        <v>0</v>
      </c>
      <c r="L46" s="2">
        <f t="shared" si="5"/>
        <v>0</v>
      </c>
      <c r="M46" s="2">
        <f t="shared" ref="M46:AE46" si="93">If(Iserr(search(M$1,$H46)),0,1)</f>
        <v>0</v>
      </c>
      <c r="N46" s="2">
        <f t="shared" si="93"/>
        <v>0</v>
      </c>
      <c r="O46" s="2">
        <f t="shared" si="93"/>
        <v>0</v>
      </c>
      <c r="P46" s="2">
        <f t="shared" si="93"/>
        <v>0</v>
      </c>
      <c r="Q46" s="2">
        <f t="shared" si="93"/>
        <v>0</v>
      </c>
      <c r="R46" s="2">
        <f t="shared" si="93"/>
        <v>0</v>
      </c>
      <c r="S46" s="2">
        <f t="shared" si="93"/>
        <v>0</v>
      </c>
      <c r="T46" s="2">
        <f t="shared" si="93"/>
        <v>0</v>
      </c>
      <c r="U46" s="2">
        <f t="shared" si="93"/>
        <v>0</v>
      </c>
      <c r="V46" s="2">
        <f t="shared" si="93"/>
        <v>0</v>
      </c>
      <c r="W46" s="2">
        <f t="shared" si="93"/>
        <v>0</v>
      </c>
      <c r="X46" s="2">
        <f t="shared" si="93"/>
        <v>0</v>
      </c>
      <c r="Y46" s="2">
        <f t="shared" si="93"/>
        <v>0</v>
      </c>
      <c r="Z46" s="2">
        <f t="shared" si="93"/>
        <v>0</v>
      </c>
      <c r="AA46" s="2">
        <f t="shared" si="93"/>
        <v>0</v>
      </c>
      <c r="AB46" s="2">
        <f t="shared" si="93"/>
        <v>0</v>
      </c>
      <c r="AC46" s="2">
        <f t="shared" si="93"/>
        <v>0</v>
      </c>
      <c r="AD46" s="2">
        <f t="shared" si="93"/>
        <v>0</v>
      </c>
      <c r="AE46" s="2">
        <f t="shared" si="93"/>
        <v>0</v>
      </c>
      <c r="AF46" s="2" t="s">
        <v>2354</v>
      </c>
    </row>
    <row r="47">
      <c r="A47" s="92" t="s">
        <v>611</v>
      </c>
      <c r="B47" s="64">
        <f>B45+1</f>
        <v>45</v>
      </c>
      <c r="C47" s="64">
        <v>45.0</v>
      </c>
      <c r="D47" s="64" t="str">
        <f t="shared" si="3"/>
        <v>CO4379145</v>
      </c>
      <c r="E47" s="159">
        <v>43791.0</v>
      </c>
      <c r="F47" s="2" t="s">
        <v>2372</v>
      </c>
      <c r="G47" s="2" t="s">
        <v>2374</v>
      </c>
      <c r="H47" s="2" t="s">
        <v>1503</v>
      </c>
      <c r="I47" s="2">
        <f t="shared" ref="I47:K47" si="94">If(Iserr(search(I$1,$H47)),0,1)</f>
        <v>0</v>
      </c>
      <c r="J47" s="2">
        <f t="shared" si="94"/>
        <v>0</v>
      </c>
      <c r="K47" s="2">
        <f t="shared" si="94"/>
        <v>0</v>
      </c>
      <c r="L47" s="2">
        <f t="shared" si="5"/>
        <v>0</v>
      </c>
      <c r="M47" s="2">
        <f t="shared" ref="M47:AE47" si="95">If(Iserr(search(M$1,$H47)),0,1)</f>
        <v>0</v>
      </c>
      <c r="N47" s="2">
        <f t="shared" si="95"/>
        <v>0</v>
      </c>
      <c r="O47" s="2">
        <f t="shared" si="95"/>
        <v>0</v>
      </c>
      <c r="P47" s="2">
        <f t="shared" si="95"/>
        <v>0</v>
      </c>
      <c r="Q47" s="2">
        <f t="shared" si="95"/>
        <v>0</v>
      </c>
      <c r="R47" s="2">
        <f t="shared" si="95"/>
        <v>0</v>
      </c>
      <c r="S47" s="2">
        <f t="shared" si="95"/>
        <v>0</v>
      </c>
      <c r="T47" s="2">
        <f t="shared" si="95"/>
        <v>0</v>
      </c>
      <c r="U47" s="2">
        <f t="shared" si="95"/>
        <v>0</v>
      </c>
      <c r="V47" s="2">
        <f t="shared" si="95"/>
        <v>0</v>
      </c>
      <c r="W47" s="2">
        <f t="shared" si="95"/>
        <v>0</v>
      </c>
      <c r="X47" s="2">
        <f t="shared" si="95"/>
        <v>0</v>
      </c>
      <c r="Y47" s="2">
        <f t="shared" si="95"/>
        <v>0</v>
      </c>
      <c r="Z47" s="2">
        <f t="shared" si="95"/>
        <v>0</v>
      </c>
      <c r="AA47" s="2">
        <f t="shared" si="95"/>
        <v>0</v>
      </c>
      <c r="AB47" s="2">
        <f t="shared" si="95"/>
        <v>0</v>
      </c>
      <c r="AC47" s="2">
        <f t="shared" si="95"/>
        <v>0</v>
      </c>
      <c r="AD47" s="2">
        <f t="shared" si="95"/>
        <v>0</v>
      </c>
      <c r="AE47" s="2">
        <f t="shared" si="95"/>
        <v>1</v>
      </c>
      <c r="AF47" s="2" t="s">
        <v>729</v>
      </c>
    </row>
    <row r="48">
      <c r="A48" s="92" t="s">
        <v>642</v>
      </c>
      <c r="B48" s="64">
        <f t="shared" ref="B48:B50" si="98">B47+1</f>
        <v>46</v>
      </c>
      <c r="C48" s="64">
        <v>46.0</v>
      </c>
      <c r="D48" s="64" t="str">
        <f t="shared" si="3"/>
        <v>CO4389446</v>
      </c>
      <c r="E48" s="159">
        <v>43894.0</v>
      </c>
      <c r="F48" s="2" t="s">
        <v>2383</v>
      </c>
      <c r="G48" s="2" t="s">
        <v>1197</v>
      </c>
      <c r="H48" s="2" t="s">
        <v>1197</v>
      </c>
      <c r="I48" s="2">
        <f t="shared" ref="I48:K48" si="96">If(Iserr(search(I$1,$H48)),0,1)</f>
        <v>0</v>
      </c>
      <c r="J48" s="2">
        <f t="shared" si="96"/>
        <v>0</v>
      </c>
      <c r="K48" s="2">
        <f t="shared" si="96"/>
        <v>0</v>
      </c>
      <c r="L48" s="2">
        <f t="shared" si="5"/>
        <v>0</v>
      </c>
      <c r="M48" s="2">
        <f t="shared" ref="M48:AE48" si="97">If(Iserr(search(M$1,$H48)),0,1)</f>
        <v>0</v>
      </c>
      <c r="N48" s="2">
        <f t="shared" si="97"/>
        <v>0</v>
      </c>
      <c r="O48" s="2">
        <f t="shared" si="97"/>
        <v>0</v>
      </c>
      <c r="P48" s="2">
        <f t="shared" si="97"/>
        <v>0</v>
      </c>
      <c r="Q48" s="2">
        <f t="shared" si="97"/>
        <v>0</v>
      </c>
      <c r="R48" s="2">
        <f t="shared" si="97"/>
        <v>0</v>
      </c>
      <c r="S48" s="2">
        <f t="shared" si="97"/>
        <v>0</v>
      </c>
      <c r="T48" s="2">
        <f t="shared" si="97"/>
        <v>0</v>
      </c>
      <c r="U48" s="2">
        <f t="shared" si="97"/>
        <v>0</v>
      </c>
      <c r="V48" s="2">
        <f t="shared" si="97"/>
        <v>0</v>
      </c>
      <c r="W48" s="2">
        <f t="shared" si="97"/>
        <v>0</v>
      </c>
      <c r="X48" s="2">
        <f t="shared" si="97"/>
        <v>0</v>
      </c>
      <c r="Y48" s="2">
        <f t="shared" si="97"/>
        <v>0</v>
      </c>
      <c r="Z48" s="2">
        <f t="shared" si="97"/>
        <v>0</v>
      </c>
      <c r="AA48" s="2">
        <f t="shared" si="97"/>
        <v>0</v>
      </c>
      <c r="AB48" s="2">
        <f t="shared" si="97"/>
        <v>0</v>
      </c>
      <c r="AC48" s="2">
        <f t="shared" si="97"/>
        <v>0</v>
      </c>
      <c r="AD48" s="2">
        <f t="shared" si="97"/>
        <v>0</v>
      </c>
      <c r="AE48" s="2">
        <f t="shared" si="97"/>
        <v>0</v>
      </c>
      <c r="AF48" s="2" t="s">
        <v>729</v>
      </c>
    </row>
    <row r="49">
      <c r="A49" s="92" t="s">
        <v>651</v>
      </c>
      <c r="B49" s="64">
        <f t="shared" si="98"/>
        <v>47</v>
      </c>
      <c r="C49" s="64">
        <v>47.0</v>
      </c>
      <c r="D49" s="64" t="str">
        <f t="shared" si="3"/>
        <v>CO4402247</v>
      </c>
      <c r="E49" s="159">
        <v>44022.0</v>
      </c>
      <c r="F49" s="2" t="s">
        <v>2391</v>
      </c>
      <c r="G49" s="2" t="s">
        <v>18</v>
      </c>
      <c r="H49" s="2" t="s">
        <v>270</v>
      </c>
      <c r="I49" s="2">
        <f t="shared" ref="I49:K49" si="99">If(Iserr(search(I$1,$H49)),0,1)</f>
        <v>0</v>
      </c>
      <c r="J49" s="2">
        <f t="shared" si="99"/>
        <v>0</v>
      </c>
      <c r="K49" s="2">
        <f t="shared" si="99"/>
        <v>0</v>
      </c>
      <c r="L49" s="2">
        <f t="shared" si="5"/>
        <v>0</v>
      </c>
      <c r="M49" s="2">
        <f t="shared" ref="M49:AE49" si="100">If(Iserr(search(M$1,$H49)),0,1)</f>
        <v>0</v>
      </c>
      <c r="N49" s="2">
        <f t="shared" si="100"/>
        <v>0</v>
      </c>
      <c r="O49" s="2">
        <f t="shared" si="100"/>
        <v>0</v>
      </c>
      <c r="P49" s="2">
        <f t="shared" si="100"/>
        <v>1</v>
      </c>
      <c r="Q49" s="2">
        <f t="shared" si="100"/>
        <v>0</v>
      </c>
      <c r="R49" s="2">
        <f t="shared" si="100"/>
        <v>0</v>
      </c>
      <c r="S49" s="2">
        <f t="shared" si="100"/>
        <v>0</v>
      </c>
      <c r="T49" s="2">
        <f t="shared" si="100"/>
        <v>0</v>
      </c>
      <c r="U49" s="2">
        <f t="shared" si="100"/>
        <v>0</v>
      </c>
      <c r="V49" s="2">
        <f t="shared" si="100"/>
        <v>0</v>
      </c>
      <c r="W49" s="2">
        <f t="shared" si="100"/>
        <v>0</v>
      </c>
      <c r="X49" s="2">
        <f t="shared" si="100"/>
        <v>0</v>
      </c>
      <c r="Y49" s="2">
        <f t="shared" si="100"/>
        <v>0</v>
      </c>
      <c r="Z49" s="2">
        <f t="shared" si="100"/>
        <v>0</v>
      </c>
      <c r="AA49" s="2">
        <f t="shared" si="100"/>
        <v>0</v>
      </c>
      <c r="AB49" s="2">
        <f t="shared" si="100"/>
        <v>0</v>
      </c>
      <c r="AC49" s="2">
        <f t="shared" si="100"/>
        <v>0</v>
      </c>
      <c r="AD49" s="2">
        <f t="shared" si="100"/>
        <v>0</v>
      </c>
      <c r="AE49" s="2">
        <f t="shared" si="100"/>
        <v>0</v>
      </c>
      <c r="AF49" s="2" t="s">
        <v>2398</v>
      </c>
    </row>
    <row r="50">
      <c r="A50" s="92" t="s">
        <v>661</v>
      </c>
      <c r="B50" s="64">
        <f t="shared" si="98"/>
        <v>48</v>
      </c>
      <c r="C50" s="64">
        <v>48.0</v>
      </c>
      <c r="D50" s="64" t="str">
        <f t="shared" si="3"/>
        <v>CO4406948</v>
      </c>
      <c r="E50" s="159">
        <v>44069.0</v>
      </c>
      <c r="F50" s="2" t="s">
        <v>2401</v>
      </c>
      <c r="G50" s="2" t="s">
        <v>2402</v>
      </c>
      <c r="H50" s="2" t="s">
        <v>2403</v>
      </c>
      <c r="I50" s="2">
        <f t="shared" ref="I50:K50" si="101">If(Iserr(search(I$1,$H50)),0,1)</f>
        <v>0</v>
      </c>
      <c r="J50" s="2">
        <f t="shared" si="101"/>
        <v>0</v>
      </c>
      <c r="K50" s="2">
        <f t="shared" si="101"/>
        <v>0</v>
      </c>
      <c r="L50" s="2">
        <f t="shared" si="5"/>
        <v>0</v>
      </c>
      <c r="M50" s="2">
        <f t="shared" ref="M50:AE50" si="102">If(Iserr(search(M$1,$H50)),0,1)</f>
        <v>0</v>
      </c>
      <c r="N50" s="2">
        <f t="shared" si="102"/>
        <v>0</v>
      </c>
      <c r="O50" s="2">
        <f t="shared" si="102"/>
        <v>0</v>
      </c>
      <c r="P50" s="2">
        <f t="shared" si="102"/>
        <v>0</v>
      </c>
      <c r="Q50" s="2">
        <f t="shared" si="102"/>
        <v>1</v>
      </c>
      <c r="R50" s="2">
        <f t="shared" si="102"/>
        <v>0</v>
      </c>
      <c r="S50" s="2">
        <f t="shared" si="102"/>
        <v>0</v>
      </c>
      <c r="T50" s="2">
        <f t="shared" si="102"/>
        <v>0</v>
      </c>
      <c r="U50" s="2">
        <f t="shared" si="102"/>
        <v>0</v>
      </c>
      <c r="V50" s="2">
        <f t="shared" si="102"/>
        <v>0</v>
      </c>
      <c r="W50" s="2">
        <f t="shared" si="102"/>
        <v>0</v>
      </c>
      <c r="X50" s="2">
        <f t="shared" si="102"/>
        <v>0</v>
      </c>
      <c r="Y50" s="2">
        <f t="shared" si="102"/>
        <v>0</v>
      </c>
      <c r="Z50" s="2">
        <f t="shared" si="102"/>
        <v>0</v>
      </c>
      <c r="AA50" s="2">
        <f t="shared" si="102"/>
        <v>0</v>
      </c>
      <c r="AB50" s="2">
        <f t="shared" si="102"/>
        <v>0</v>
      </c>
      <c r="AC50" s="2">
        <f t="shared" si="102"/>
        <v>0</v>
      </c>
      <c r="AD50" s="2">
        <f t="shared" si="102"/>
        <v>0</v>
      </c>
      <c r="AE50" s="2">
        <f t="shared" si="102"/>
        <v>1</v>
      </c>
      <c r="AF50" s="2" t="s">
        <v>2409</v>
      </c>
    </row>
    <row r="51">
      <c r="A51" s="92" t="s">
        <v>661</v>
      </c>
      <c r="B51" s="64" t="s">
        <v>2410</v>
      </c>
      <c r="C51" s="64">
        <v>48.0</v>
      </c>
      <c r="D51" s="64" t="str">
        <f t="shared" si="3"/>
        <v>CO4406948b</v>
      </c>
      <c r="E51" s="159">
        <v>44069.0</v>
      </c>
      <c r="F51" s="2" t="s">
        <v>2412</v>
      </c>
      <c r="G51" s="2" t="s">
        <v>1503</v>
      </c>
      <c r="H51" s="2" t="s">
        <v>1503</v>
      </c>
      <c r="I51" s="2">
        <f t="shared" ref="I51:K51" si="103">If(Iserr(search(I$1,$H51)),0,1)</f>
        <v>0</v>
      </c>
      <c r="J51" s="2">
        <f t="shared" si="103"/>
        <v>0</v>
      </c>
      <c r="K51" s="2">
        <f t="shared" si="103"/>
        <v>0</v>
      </c>
      <c r="L51" s="2">
        <f t="shared" si="5"/>
        <v>0</v>
      </c>
      <c r="M51" s="2">
        <f t="shared" ref="M51:AE51" si="104">If(Iserr(search(M$1,$H51)),0,1)</f>
        <v>0</v>
      </c>
      <c r="N51" s="2">
        <f t="shared" si="104"/>
        <v>0</v>
      </c>
      <c r="O51" s="2">
        <f t="shared" si="104"/>
        <v>0</v>
      </c>
      <c r="P51" s="2">
        <f t="shared" si="104"/>
        <v>0</v>
      </c>
      <c r="Q51" s="2">
        <f t="shared" si="104"/>
        <v>0</v>
      </c>
      <c r="R51" s="2">
        <f t="shared" si="104"/>
        <v>0</v>
      </c>
      <c r="S51" s="2">
        <f t="shared" si="104"/>
        <v>0</v>
      </c>
      <c r="T51" s="2">
        <f t="shared" si="104"/>
        <v>0</v>
      </c>
      <c r="U51" s="2">
        <f t="shared" si="104"/>
        <v>0</v>
      </c>
      <c r="V51" s="2">
        <f t="shared" si="104"/>
        <v>0</v>
      </c>
      <c r="W51" s="2">
        <f t="shared" si="104"/>
        <v>0</v>
      </c>
      <c r="X51" s="2">
        <f t="shared" si="104"/>
        <v>0</v>
      </c>
      <c r="Y51" s="2">
        <f t="shared" si="104"/>
        <v>0</v>
      </c>
      <c r="Z51" s="2">
        <f t="shared" si="104"/>
        <v>0</v>
      </c>
      <c r="AA51" s="2">
        <f t="shared" si="104"/>
        <v>0</v>
      </c>
      <c r="AB51" s="2">
        <f t="shared" si="104"/>
        <v>0</v>
      </c>
      <c r="AC51" s="2">
        <f t="shared" si="104"/>
        <v>0</v>
      </c>
      <c r="AD51" s="2">
        <f t="shared" si="104"/>
        <v>0</v>
      </c>
      <c r="AE51" s="2">
        <f t="shared" si="104"/>
        <v>1</v>
      </c>
      <c r="AF51" s="2" t="s">
        <v>2409</v>
      </c>
    </row>
    <row r="52">
      <c r="A52" s="92" t="s">
        <v>668</v>
      </c>
      <c r="B52" s="64">
        <f>B50+1</f>
        <v>49</v>
      </c>
      <c r="C52" s="64">
        <v>49.0</v>
      </c>
      <c r="D52" s="64" t="str">
        <f t="shared" si="3"/>
        <v>CO4411249</v>
      </c>
      <c r="E52" s="159">
        <v>44112.0</v>
      </c>
      <c r="F52" s="2" t="s">
        <v>2421</v>
      </c>
      <c r="G52" s="2" t="s">
        <v>1503</v>
      </c>
      <c r="H52" s="2" t="s">
        <v>1503</v>
      </c>
      <c r="I52" s="2">
        <f t="shared" ref="I52:K52" si="105">If(Iserr(search(I$1,$H52)),0,1)</f>
        <v>0</v>
      </c>
      <c r="J52" s="2">
        <f t="shared" si="105"/>
        <v>0</v>
      </c>
      <c r="K52" s="2">
        <f t="shared" si="105"/>
        <v>0</v>
      </c>
      <c r="L52" s="2">
        <f t="shared" si="5"/>
        <v>0</v>
      </c>
      <c r="M52" s="2">
        <f t="shared" ref="M52:AE52" si="106">If(Iserr(search(M$1,$H52)),0,1)</f>
        <v>0</v>
      </c>
      <c r="N52" s="2">
        <f t="shared" si="106"/>
        <v>0</v>
      </c>
      <c r="O52" s="2">
        <f t="shared" si="106"/>
        <v>0</v>
      </c>
      <c r="P52" s="2">
        <f t="shared" si="106"/>
        <v>0</v>
      </c>
      <c r="Q52" s="2">
        <f t="shared" si="106"/>
        <v>0</v>
      </c>
      <c r="R52" s="2">
        <f t="shared" si="106"/>
        <v>0</v>
      </c>
      <c r="S52" s="2">
        <f t="shared" si="106"/>
        <v>0</v>
      </c>
      <c r="T52" s="2">
        <f t="shared" si="106"/>
        <v>0</v>
      </c>
      <c r="U52" s="2">
        <f t="shared" si="106"/>
        <v>0</v>
      </c>
      <c r="V52" s="2">
        <f t="shared" si="106"/>
        <v>0</v>
      </c>
      <c r="W52" s="2">
        <f t="shared" si="106"/>
        <v>0</v>
      </c>
      <c r="X52" s="2">
        <f t="shared" si="106"/>
        <v>0</v>
      </c>
      <c r="Y52" s="2">
        <f t="shared" si="106"/>
        <v>0</v>
      </c>
      <c r="Z52" s="2">
        <f t="shared" si="106"/>
        <v>0</v>
      </c>
      <c r="AA52" s="2">
        <f t="shared" si="106"/>
        <v>0</v>
      </c>
      <c r="AB52" s="2">
        <f t="shared" si="106"/>
        <v>0</v>
      </c>
      <c r="AC52" s="2">
        <f t="shared" si="106"/>
        <v>0</v>
      </c>
      <c r="AD52" s="2">
        <f t="shared" si="106"/>
        <v>0</v>
      </c>
      <c r="AE52" s="2">
        <f t="shared" si="106"/>
        <v>1</v>
      </c>
      <c r="AF52" s="2" t="s">
        <v>2426</v>
      </c>
    </row>
    <row r="53">
      <c r="A53" s="92" t="s">
        <v>668</v>
      </c>
      <c r="B53" s="64" t="s">
        <v>2428</v>
      </c>
      <c r="C53" s="64">
        <v>49.0</v>
      </c>
      <c r="D53" s="64" t="str">
        <f t="shared" si="3"/>
        <v>CO4411249b</v>
      </c>
      <c r="E53" s="159">
        <v>44112.0</v>
      </c>
      <c r="F53" s="163" t="s">
        <v>2429</v>
      </c>
      <c r="G53" s="2" t="s">
        <v>630</v>
      </c>
      <c r="H53" s="2" t="s">
        <v>630</v>
      </c>
      <c r="I53" s="2">
        <f t="shared" ref="I53:K53" si="107">If(Iserr(search(I$1,$H53)),0,1)</f>
        <v>0</v>
      </c>
      <c r="J53" s="2">
        <f t="shared" si="107"/>
        <v>0</v>
      </c>
      <c r="K53" s="2">
        <f t="shared" si="107"/>
        <v>0</v>
      </c>
      <c r="L53" s="2">
        <f t="shared" si="5"/>
        <v>0</v>
      </c>
      <c r="M53" s="2">
        <f t="shared" ref="M53:AE53" si="108">If(Iserr(search(M$1,$H53)),0,1)</f>
        <v>0</v>
      </c>
      <c r="N53" s="2">
        <f t="shared" si="108"/>
        <v>0</v>
      </c>
      <c r="O53" s="2">
        <f t="shared" si="108"/>
        <v>1</v>
      </c>
      <c r="P53" s="2">
        <f t="shared" si="108"/>
        <v>0</v>
      </c>
      <c r="Q53" s="2">
        <f t="shared" si="108"/>
        <v>0</v>
      </c>
      <c r="R53" s="2">
        <f t="shared" si="108"/>
        <v>0</v>
      </c>
      <c r="S53" s="2">
        <f t="shared" si="108"/>
        <v>0</v>
      </c>
      <c r="T53" s="2">
        <f t="shared" si="108"/>
        <v>0</v>
      </c>
      <c r="U53" s="2">
        <f t="shared" si="108"/>
        <v>0</v>
      </c>
      <c r="V53" s="2">
        <f t="shared" si="108"/>
        <v>0</v>
      </c>
      <c r="W53" s="2">
        <f t="shared" si="108"/>
        <v>0</v>
      </c>
      <c r="X53" s="2">
        <f t="shared" si="108"/>
        <v>0</v>
      </c>
      <c r="Y53" s="2">
        <f t="shared" si="108"/>
        <v>0</v>
      </c>
      <c r="Z53" s="2">
        <f t="shared" si="108"/>
        <v>0</v>
      </c>
      <c r="AA53" s="2">
        <f t="shared" si="108"/>
        <v>0</v>
      </c>
      <c r="AB53" s="2">
        <f t="shared" si="108"/>
        <v>0</v>
      </c>
      <c r="AC53" s="2">
        <f t="shared" si="108"/>
        <v>0</v>
      </c>
      <c r="AD53" s="2">
        <f t="shared" si="108"/>
        <v>0</v>
      </c>
      <c r="AE53" s="2">
        <f t="shared" si="108"/>
        <v>0</v>
      </c>
      <c r="AF53" s="2" t="s">
        <v>2426</v>
      </c>
    </row>
    <row r="54">
      <c r="A54" s="92" t="s">
        <v>673</v>
      </c>
      <c r="B54" s="64">
        <f>B52+1</f>
        <v>50</v>
      </c>
      <c r="C54" s="64">
        <v>50.0</v>
      </c>
      <c r="D54" s="64" t="str">
        <f t="shared" si="3"/>
        <v>CO4414050</v>
      </c>
      <c r="E54" s="159">
        <v>44140.0</v>
      </c>
      <c r="F54" s="2" t="s">
        <v>2438</v>
      </c>
      <c r="G54" s="2" t="s">
        <v>1503</v>
      </c>
      <c r="H54" s="2" t="s">
        <v>1503</v>
      </c>
      <c r="I54" s="2">
        <f t="shared" ref="I54:K54" si="109">If(Iserr(search(I$1,$H54)),0,1)</f>
        <v>0</v>
      </c>
      <c r="J54" s="2">
        <f t="shared" si="109"/>
        <v>0</v>
      </c>
      <c r="K54" s="2">
        <f t="shared" si="109"/>
        <v>0</v>
      </c>
      <c r="L54" s="2">
        <f t="shared" si="5"/>
        <v>0</v>
      </c>
      <c r="M54" s="2">
        <f t="shared" ref="M54:AE54" si="110">If(Iserr(search(M$1,$H54)),0,1)</f>
        <v>0</v>
      </c>
      <c r="N54" s="2">
        <f t="shared" si="110"/>
        <v>0</v>
      </c>
      <c r="O54" s="2">
        <f t="shared" si="110"/>
        <v>0</v>
      </c>
      <c r="P54" s="2">
        <f t="shared" si="110"/>
        <v>0</v>
      </c>
      <c r="Q54" s="2">
        <f t="shared" si="110"/>
        <v>0</v>
      </c>
      <c r="R54" s="2">
        <f t="shared" si="110"/>
        <v>0</v>
      </c>
      <c r="S54" s="2">
        <f t="shared" si="110"/>
        <v>0</v>
      </c>
      <c r="T54" s="2">
        <f t="shared" si="110"/>
        <v>0</v>
      </c>
      <c r="U54" s="2">
        <f t="shared" si="110"/>
        <v>0</v>
      </c>
      <c r="V54" s="2">
        <f t="shared" si="110"/>
        <v>0</v>
      </c>
      <c r="W54" s="2">
        <f t="shared" si="110"/>
        <v>0</v>
      </c>
      <c r="X54" s="2">
        <f t="shared" si="110"/>
        <v>0</v>
      </c>
      <c r="Y54" s="2">
        <f t="shared" si="110"/>
        <v>0</v>
      </c>
      <c r="Z54" s="2">
        <f t="shared" si="110"/>
        <v>0</v>
      </c>
      <c r="AA54" s="2">
        <f t="shared" si="110"/>
        <v>0</v>
      </c>
      <c r="AB54" s="2">
        <f t="shared" si="110"/>
        <v>0</v>
      </c>
      <c r="AC54" s="2">
        <f t="shared" si="110"/>
        <v>0</v>
      </c>
      <c r="AD54" s="2">
        <f t="shared" si="110"/>
        <v>0</v>
      </c>
      <c r="AE54" s="2">
        <f t="shared" si="110"/>
        <v>1</v>
      </c>
      <c r="AF54" s="2" t="s">
        <v>2448</v>
      </c>
    </row>
    <row r="55">
      <c r="A55" s="92" t="s">
        <v>687</v>
      </c>
      <c r="B55" s="64">
        <f t="shared" ref="B55:B58" si="113">B54+1</f>
        <v>51</v>
      </c>
      <c r="C55" s="64">
        <v>51.0</v>
      </c>
      <c r="D55" s="64" t="str">
        <f t="shared" si="3"/>
        <v>CO4420451</v>
      </c>
      <c r="E55" s="159">
        <v>44204.0</v>
      </c>
      <c r="F55" s="2" t="s">
        <v>2452</v>
      </c>
      <c r="G55" s="2" t="s">
        <v>1503</v>
      </c>
      <c r="H55" s="2" t="s">
        <v>1503</v>
      </c>
      <c r="I55" s="2">
        <f t="shared" ref="I55:K55" si="111">If(Iserr(search(I$1,$H55)),0,1)</f>
        <v>0</v>
      </c>
      <c r="J55" s="2">
        <f t="shared" si="111"/>
        <v>0</v>
      </c>
      <c r="K55" s="2">
        <f t="shared" si="111"/>
        <v>0</v>
      </c>
      <c r="L55" s="2">
        <f t="shared" si="5"/>
        <v>0</v>
      </c>
      <c r="M55" s="2">
        <f t="shared" ref="M55:AE55" si="112">If(Iserr(search(M$1,$H55)),0,1)</f>
        <v>0</v>
      </c>
      <c r="N55" s="2">
        <f t="shared" si="112"/>
        <v>0</v>
      </c>
      <c r="O55" s="2">
        <f t="shared" si="112"/>
        <v>0</v>
      </c>
      <c r="P55" s="2">
        <f t="shared" si="112"/>
        <v>0</v>
      </c>
      <c r="Q55" s="2">
        <f t="shared" si="112"/>
        <v>0</v>
      </c>
      <c r="R55" s="2">
        <f t="shared" si="112"/>
        <v>0</v>
      </c>
      <c r="S55" s="2">
        <f t="shared" si="112"/>
        <v>0</v>
      </c>
      <c r="T55" s="2">
        <f t="shared" si="112"/>
        <v>0</v>
      </c>
      <c r="U55" s="2">
        <f t="shared" si="112"/>
        <v>0</v>
      </c>
      <c r="V55" s="2">
        <f t="shared" si="112"/>
        <v>0</v>
      </c>
      <c r="W55" s="2">
        <f t="shared" si="112"/>
        <v>0</v>
      </c>
      <c r="X55" s="2">
        <f t="shared" si="112"/>
        <v>0</v>
      </c>
      <c r="Y55" s="2">
        <f t="shared" si="112"/>
        <v>0</v>
      </c>
      <c r="Z55" s="2">
        <f t="shared" si="112"/>
        <v>0</v>
      </c>
      <c r="AA55" s="2">
        <f t="shared" si="112"/>
        <v>0</v>
      </c>
      <c r="AB55" s="2">
        <f t="shared" si="112"/>
        <v>0</v>
      </c>
      <c r="AC55" s="2">
        <f t="shared" si="112"/>
        <v>0</v>
      </c>
      <c r="AD55" s="2">
        <f t="shared" si="112"/>
        <v>0</v>
      </c>
      <c r="AE55" s="2">
        <f t="shared" si="112"/>
        <v>1</v>
      </c>
      <c r="AF55" s="2" t="s">
        <v>2461</v>
      </c>
    </row>
    <row r="56">
      <c r="A56" s="92" t="s">
        <v>692</v>
      </c>
      <c r="B56" s="64">
        <f t="shared" si="113"/>
        <v>52</v>
      </c>
      <c r="C56" s="64">
        <v>52.0</v>
      </c>
      <c r="D56" s="64" t="str">
        <f t="shared" si="3"/>
        <v>CO4423752</v>
      </c>
      <c r="E56" s="159">
        <v>44237.0</v>
      </c>
      <c r="F56" s="2" t="s">
        <v>2467</v>
      </c>
      <c r="G56" s="2" t="s">
        <v>1492</v>
      </c>
      <c r="H56" s="2" t="s">
        <v>1492</v>
      </c>
      <c r="I56" s="2">
        <f t="shared" ref="I56:K56" si="114">If(Iserr(search(I$1,$H56)),0,1)</f>
        <v>0</v>
      </c>
      <c r="J56" s="2">
        <f t="shared" si="114"/>
        <v>0</v>
      </c>
      <c r="K56" s="2">
        <f t="shared" si="114"/>
        <v>1</v>
      </c>
      <c r="L56" s="2">
        <f t="shared" si="5"/>
        <v>0</v>
      </c>
      <c r="M56" s="2">
        <f t="shared" ref="M56:AE56" si="115">If(Iserr(search(M$1,$H56)),0,1)</f>
        <v>0</v>
      </c>
      <c r="N56" s="2">
        <f t="shared" si="115"/>
        <v>0</v>
      </c>
      <c r="O56" s="2">
        <f t="shared" si="115"/>
        <v>0</v>
      </c>
      <c r="P56" s="2">
        <f t="shared" si="115"/>
        <v>0</v>
      </c>
      <c r="Q56" s="2">
        <f t="shared" si="115"/>
        <v>0</v>
      </c>
      <c r="R56" s="2">
        <f t="shared" si="115"/>
        <v>0</v>
      </c>
      <c r="S56" s="2">
        <f t="shared" si="115"/>
        <v>0</v>
      </c>
      <c r="T56" s="2">
        <f t="shared" si="115"/>
        <v>0</v>
      </c>
      <c r="U56" s="2">
        <f t="shared" si="115"/>
        <v>0</v>
      </c>
      <c r="V56" s="2">
        <f t="shared" si="115"/>
        <v>0</v>
      </c>
      <c r="W56" s="2">
        <f t="shared" si="115"/>
        <v>0</v>
      </c>
      <c r="X56" s="2">
        <f t="shared" si="115"/>
        <v>0</v>
      </c>
      <c r="Y56" s="2">
        <f t="shared" si="115"/>
        <v>0</v>
      </c>
      <c r="Z56" s="2">
        <f t="shared" si="115"/>
        <v>0</v>
      </c>
      <c r="AA56" s="2">
        <f t="shared" si="115"/>
        <v>0</v>
      </c>
      <c r="AB56" s="2">
        <f t="shared" si="115"/>
        <v>0</v>
      </c>
      <c r="AC56" s="2">
        <f t="shared" si="115"/>
        <v>0</v>
      </c>
      <c r="AD56" s="2">
        <f t="shared" si="115"/>
        <v>0</v>
      </c>
      <c r="AE56" s="2">
        <f t="shared" si="115"/>
        <v>0</v>
      </c>
      <c r="AF56" s="2" t="s">
        <v>2478</v>
      </c>
    </row>
    <row r="57">
      <c r="A57" s="92" t="s">
        <v>706</v>
      </c>
      <c r="B57" s="64">
        <f t="shared" si="113"/>
        <v>53</v>
      </c>
      <c r="C57" s="64">
        <v>53.0</v>
      </c>
      <c r="D57" s="64" t="str">
        <f t="shared" si="3"/>
        <v>CO4428653</v>
      </c>
      <c r="E57" s="159">
        <v>44286.0</v>
      </c>
      <c r="F57" s="2" t="s">
        <v>2484</v>
      </c>
      <c r="G57" s="2" t="s">
        <v>288</v>
      </c>
      <c r="H57" s="2" t="s">
        <v>291</v>
      </c>
      <c r="I57" s="2">
        <f t="shared" ref="I57:K57" si="116">If(Iserr(search(I$1,$H57)),0,1)</f>
        <v>0</v>
      </c>
      <c r="J57" s="2">
        <f t="shared" si="116"/>
        <v>0</v>
      </c>
      <c r="K57" s="2">
        <f t="shared" si="116"/>
        <v>0</v>
      </c>
      <c r="L57" s="2">
        <f t="shared" si="5"/>
        <v>1</v>
      </c>
      <c r="M57" s="2">
        <f t="shared" ref="M57:AE57" si="117">If(Iserr(search(M$1,$H57)),0,1)</f>
        <v>1</v>
      </c>
      <c r="N57" s="2">
        <f t="shared" si="117"/>
        <v>0</v>
      </c>
      <c r="O57" s="2">
        <f t="shared" si="117"/>
        <v>0</v>
      </c>
      <c r="P57" s="2">
        <f t="shared" si="117"/>
        <v>0</v>
      </c>
      <c r="Q57" s="2">
        <f t="shared" si="117"/>
        <v>0</v>
      </c>
      <c r="R57" s="2">
        <f t="shared" si="117"/>
        <v>0</v>
      </c>
      <c r="S57" s="2">
        <f t="shared" si="117"/>
        <v>0</v>
      </c>
      <c r="T57" s="2">
        <f t="shared" si="117"/>
        <v>0</v>
      </c>
      <c r="U57" s="2">
        <f t="shared" si="117"/>
        <v>0</v>
      </c>
      <c r="V57" s="2">
        <f t="shared" si="117"/>
        <v>0</v>
      </c>
      <c r="W57" s="2">
        <f t="shared" si="117"/>
        <v>0</v>
      </c>
      <c r="X57" s="2">
        <f t="shared" si="117"/>
        <v>0</v>
      </c>
      <c r="Y57" s="2">
        <f t="shared" si="117"/>
        <v>0</v>
      </c>
      <c r="Z57" s="2">
        <f t="shared" si="117"/>
        <v>0</v>
      </c>
      <c r="AA57" s="2">
        <f t="shared" si="117"/>
        <v>0</v>
      </c>
      <c r="AB57" s="2">
        <f t="shared" si="117"/>
        <v>0</v>
      </c>
      <c r="AC57" s="2">
        <f t="shared" si="117"/>
        <v>0</v>
      </c>
      <c r="AD57" s="2">
        <f t="shared" si="117"/>
        <v>0</v>
      </c>
      <c r="AE57" s="2">
        <f t="shared" si="117"/>
        <v>0</v>
      </c>
      <c r="AF57" s="2" t="s">
        <v>2490</v>
      </c>
    </row>
    <row r="58">
      <c r="A58" s="92" t="s">
        <v>713</v>
      </c>
      <c r="B58" s="64">
        <f t="shared" si="113"/>
        <v>54</v>
      </c>
      <c r="C58" s="64">
        <v>54.0</v>
      </c>
      <c r="D58" s="64" t="str">
        <f t="shared" si="3"/>
        <v>CO4430554</v>
      </c>
      <c r="E58" s="159">
        <v>44305.0</v>
      </c>
      <c r="F58" s="2" t="s">
        <v>2493</v>
      </c>
      <c r="G58" s="2" t="s">
        <v>1503</v>
      </c>
      <c r="H58" s="2" t="s">
        <v>1503</v>
      </c>
      <c r="I58" s="2">
        <f t="shared" ref="I58:K58" si="118">If(Iserr(search(I$1,$H58)),0,1)</f>
        <v>0</v>
      </c>
      <c r="J58" s="2">
        <f t="shared" si="118"/>
        <v>0</v>
      </c>
      <c r="K58" s="2">
        <f t="shared" si="118"/>
        <v>0</v>
      </c>
      <c r="L58" s="2">
        <f t="shared" si="5"/>
        <v>0</v>
      </c>
      <c r="M58" s="2">
        <f t="shared" ref="M58:AE58" si="119">If(Iserr(search(M$1,$H58)),0,1)</f>
        <v>0</v>
      </c>
      <c r="N58" s="2">
        <f t="shared" si="119"/>
        <v>0</v>
      </c>
      <c r="O58" s="2">
        <f t="shared" si="119"/>
        <v>0</v>
      </c>
      <c r="P58" s="2">
        <f t="shared" si="119"/>
        <v>0</v>
      </c>
      <c r="Q58" s="2">
        <f t="shared" si="119"/>
        <v>0</v>
      </c>
      <c r="R58" s="2">
        <f t="shared" si="119"/>
        <v>0</v>
      </c>
      <c r="S58" s="2">
        <f t="shared" si="119"/>
        <v>0</v>
      </c>
      <c r="T58" s="2">
        <f t="shared" si="119"/>
        <v>0</v>
      </c>
      <c r="U58" s="2">
        <f t="shared" si="119"/>
        <v>0</v>
      </c>
      <c r="V58" s="2">
        <f t="shared" si="119"/>
        <v>0</v>
      </c>
      <c r="W58" s="2">
        <f t="shared" si="119"/>
        <v>0</v>
      </c>
      <c r="X58" s="2">
        <f t="shared" si="119"/>
        <v>0</v>
      </c>
      <c r="Y58" s="2">
        <f t="shared" si="119"/>
        <v>0</v>
      </c>
      <c r="Z58" s="2">
        <f t="shared" si="119"/>
        <v>0</v>
      </c>
      <c r="AA58" s="2">
        <f t="shared" si="119"/>
        <v>0</v>
      </c>
      <c r="AB58" s="2">
        <f t="shared" si="119"/>
        <v>0</v>
      </c>
      <c r="AC58" s="2">
        <f t="shared" si="119"/>
        <v>0</v>
      </c>
      <c r="AD58" s="2">
        <f t="shared" si="119"/>
        <v>0</v>
      </c>
      <c r="AE58" s="2">
        <f t="shared" si="119"/>
        <v>1</v>
      </c>
      <c r="AF58" s="2" t="s">
        <v>2501</v>
      </c>
    </row>
    <row r="59">
      <c r="A59" s="92" t="s">
        <v>713</v>
      </c>
      <c r="B59" s="64" t="s">
        <v>2503</v>
      </c>
      <c r="C59" s="64">
        <v>54.0</v>
      </c>
      <c r="D59" s="64" t="str">
        <f t="shared" si="3"/>
        <v>CO4430554b</v>
      </c>
      <c r="E59" s="159">
        <v>44305.0</v>
      </c>
      <c r="F59" s="2" t="s">
        <v>393</v>
      </c>
      <c r="G59" s="2" t="s">
        <v>288</v>
      </c>
      <c r="H59" s="2" t="s">
        <v>389</v>
      </c>
      <c r="I59" s="2">
        <f t="shared" ref="I59:K59" si="120">If(Iserr(search(I$1,$H59)),0,1)</f>
        <v>0</v>
      </c>
      <c r="J59" s="2">
        <f t="shared" si="120"/>
        <v>0</v>
      </c>
      <c r="K59" s="2">
        <f t="shared" si="120"/>
        <v>0</v>
      </c>
      <c r="L59" s="2">
        <f t="shared" si="5"/>
        <v>1</v>
      </c>
      <c r="M59" s="2">
        <f t="shared" ref="M59:AE59" si="121">If(Iserr(search(M$1,$H59)),0,1)</f>
        <v>0</v>
      </c>
      <c r="N59" s="2">
        <f t="shared" si="121"/>
        <v>0</v>
      </c>
      <c r="O59" s="2">
        <f t="shared" si="121"/>
        <v>0</v>
      </c>
      <c r="P59" s="2">
        <f t="shared" si="121"/>
        <v>0</v>
      </c>
      <c r="Q59" s="2">
        <f t="shared" si="121"/>
        <v>0</v>
      </c>
      <c r="R59" s="2">
        <f t="shared" si="121"/>
        <v>0</v>
      </c>
      <c r="S59" s="2">
        <f t="shared" si="121"/>
        <v>0</v>
      </c>
      <c r="T59" s="2">
        <f t="shared" si="121"/>
        <v>0</v>
      </c>
      <c r="U59" s="2">
        <f t="shared" si="121"/>
        <v>0</v>
      </c>
      <c r="V59" s="2">
        <f t="shared" si="121"/>
        <v>0</v>
      </c>
      <c r="W59" s="2">
        <f t="shared" si="121"/>
        <v>0</v>
      </c>
      <c r="X59" s="2">
        <f t="shared" si="121"/>
        <v>0</v>
      </c>
      <c r="Y59" s="2">
        <f t="shared" si="121"/>
        <v>0</v>
      </c>
      <c r="Z59" s="2">
        <f t="shared" si="121"/>
        <v>0</v>
      </c>
      <c r="AA59" s="2">
        <f t="shared" si="121"/>
        <v>0</v>
      </c>
      <c r="AB59" s="2">
        <f t="shared" si="121"/>
        <v>0</v>
      </c>
      <c r="AC59" s="2">
        <f t="shared" si="121"/>
        <v>0</v>
      </c>
      <c r="AD59" s="2">
        <f t="shared" si="121"/>
        <v>0</v>
      </c>
      <c r="AE59" s="2">
        <f t="shared" si="121"/>
        <v>0</v>
      </c>
      <c r="AF59" s="2" t="s">
        <v>2501</v>
      </c>
    </row>
    <row r="60">
      <c r="A60" s="92" t="s">
        <v>758</v>
      </c>
      <c r="B60" s="64">
        <f>B58+1</f>
        <v>55</v>
      </c>
      <c r="C60" s="64">
        <v>55.0</v>
      </c>
      <c r="D60" s="64" t="str">
        <f t="shared" si="3"/>
        <v>CO4448455</v>
      </c>
      <c r="E60" s="159">
        <v>44484.0</v>
      </c>
      <c r="F60" s="2" t="s">
        <v>2438</v>
      </c>
      <c r="G60" s="2" t="s">
        <v>1503</v>
      </c>
      <c r="H60" s="2" t="s">
        <v>1503</v>
      </c>
      <c r="I60" s="2">
        <f t="shared" ref="I60:K60" si="122">If(Iserr(search(I$1,$H60)),0,1)</f>
        <v>0</v>
      </c>
      <c r="J60" s="2">
        <f t="shared" si="122"/>
        <v>0</v>
      </c>
      <c r="K60" s="2">
        <f t="shared" si="122"/>
        <v>0</v>
      </c>
      <c r="L60" s="2">
        <f t="shared" si="5"/>
        <v>0</v>
      </c>
      <c r="M60" s="2">
        <f t="shared" ref="M60:AE60" si="123">If(Iserr(search(M$1,$H60)),0,1)</f>
        <v>0</v>
      </c>
      <c r="N60" s="2">
        <f t="shared" si="123"/>
        <v>0</v>
      </c>
      <c r="O60" s="2">
        <f t="shared" si="123"/>
        <v>0</v>
      </c>
      <c r="P60" s="2">
        <f t="shared" si="123"/>
        <v>0</v>
      </c>
      <c r="Q60" s="2">
        <f t="shared" si="123"/>
        <v>0</v>
      </c>
      <c r="R60" s="2">
        <f t="shared" si="123"/>
        <v>0</v>
      </c>
      <c r="S60" s="2">
        <f t="shared" si="123"/>
        <v>0</v>
      </c>
      <c r="T60" s="2">
        <f t="shared" si="123"/>
        <v>0</v>
      </c>
      <c r="U60" s="2">
        <f t="shared" si="123"/>
        <v>0</v>
      </c>
      <c r="V60" s="2">
        <f t="shared" si="123"/>
        <v>0</v>
      </c>
      <c r="W60" s="2">
        <f t="shared" si="123"/>
        <v>0</v>
      </c>
      <c r="X60" s="2">
        <f t="shared" si="123"/>
        <v>0</v>
      </c>
      <c r="Y60" s="2">
        <f t="shared" si="123"/>
        <v>0</v>
      </c>
      <c r="Z60" s="2">
        <f t="shared" si="123"/>
        <v>0</v>
      </c>
      <c r="AA60" s="2">
        <f t="shared" si="123"/>
        <v>0</v>
      </c>
      <c r="AB60" s="2">
        <f t="shared" si="123"/>
        <v>0</v>
      </c>
      <c r="AC60" s="2">
        <f t="shared" si="123"/>
        <v>0</v>
      </c>
      <c r="AD60" s="2">
        <f t="shared" si="123"/>
        <v>0</v>
      </c>
      <c r="AE60" s="2">
        <f t="shared" si="123"/>
        <v>1</v>
      </c>
      <c r="AF60" s="2" t="s">
        <v>2523</v>
      </c>
    </row>
    <row r="61">
      <c r="A61" s="92" t="s">
        <v>758</v>
      </c>
      <c r="B61" s="64" t="s">
        <v>2524</v>
      </c>
      <c r="C61" s="64">
        <v>55.0</v>
      </c>
      <c r="D61" s="64" t="str">
        <f t="shared" si="3"/>
        <v>CO4448455b</v>
      </c>
      <c r="E61" s="159">
        <v>44484.0</v>
      </c>
      <c r="F61" s="2" t="s">
        <v>2526</v>
      </c>
      <c r="G61" s="2" t="s">
        <v>2527</v>
      </c>
      <c r="H61" s="2" t="s">
        <v>2527</v>
      </c>
      <c r="I61" s="2">
        <f t="shared" ref="I61:K61" si="124">If(Iserr(search(I$1,$H61)),0,1)</f>
        <v>0</v>
      </c>
      <c r="J61" s="2">
        <f t="shared" si="124"/>
        <v>0</v>
      </c>
      <c r="K61" s="2">
        <f t="shared" si="124"/>
        <v>0</v>
      </c>
      <c r="L61" s="2">
        <f t="shared" si="5"/>
        <v>0</v>
      </c>
      <c r="M61" s="2">
        <f t="shared" ref="M61:AE61" si="125">If(Iserr(search(M$1,$H61)),0,1)</f>
        <v>0</v>
      </c>
      <c r="N61" s="2">
        <f t="shared" si="125"/>
        <v>0</v>
      </c>
      <c r="O61" s="2">
        <f t="shared" si="125"/>
        <v>0</v>
      </c>
      <c r="P61" s="2">
        <f t="shared" si="125"/>
        <v>0</v>
      </c>
      <c r="Q61" s="2">
        <f t="shared" si="125"/>
        <v>0</v>
      </c>
      <c r="R61" s="2">
        <f t="shared" si="125"/>
        <v>0</v>
      </c>
      <c r="S61" s="2">
        <f t="shared" si="125"/>
        <v>0</v>
      </c>
      <c r="T61" s="2">
        <f t="shared" si="125"/>
        <v>0</v>
      </c>
      <c r="U61" s="2">
        <f t="shared" si="125"/>
        <v>0</v>
      </c>
      <c r="V61" s="2">
        <f t="shared" si="125"/>
        <v>0</v>
      </c>
      <c r="W61" s="2">
        <f t="shared" si="125"/>
        <v>0</v>
      </c>
      <c r="X61" s="2">
        <f t="shared" si="125"/>
        <v>0</v>
      </c>
      <c r="Y61" s="2">
        <f t="shared" si="125"/>
        <v>0</v>
      </c>
      <c r="Z61" s="2">
        <f t="shared" si="125"/>
        <v>0</v>
      </c>
      <c r="AA61" s="2">
        <f t="shared" si="125"/>
        <v>0</v>
      </c>
      <c r="AB61" s="2">
        <f t="shared" si="125"/>
        <v>0</v>
      </c>
      <c r="AC61" s="2">
        <f t="shared" si="125"/>
        <v>0</v>
      </c>
      <c r="AD61" s="2">
        <f t="shared" si="125"/>
        <v>0</v>
      </c>
      <c r="AE61" s="2">
        <f t="shared" si="125"/>
        <v>0</v>
      </c>
      <c r="AF61" s="2" t="s">
        <v>2523</v>
      </c>
    </row>
    <row r="62">
      <c r="A62" s="92" t="s">
        <v>758</v>
      </c>
      <c r="B62" s="64" t="s">
        <v>2537</v>
      </c>
      <c r="C62" s="64">
        <v>56.0</v>
      </c>
      <c r="D62" s="64" t="str">
        <f t="shared" si="3"/>
        <v>CO4448455c</v>
      </c>
      <c r="E62" s="159">
        <v>44484.0</v>
      </c>
      <c r="F62" s="2" t="s">
        <v>536</v>
      </c>
      <c r="G62" s="2" t="s">
        <v>1488</v>
      </c>
      <c r="H62" s="2" t="s">
        <v>1488</v>
      </c>
      <c r="I62" s="2">
        <f t="shared" ref="I62:K62" si="126">If(Iserr(search(I$1,$H62)),0,1)</f>
        <v>0</v>
      </c>
      <c r="J62" s="2">
        <f t="shared" si="126"/>
        <v>1</v>
      </c>
      <c r="K62" s="2">
        <f t="shared" si="126"/>
        <v>0</v>
      </c>
      <c r="L62" s="2">
        <f t="shared" si="5"/>
        <v>0</v>
      </c>
      <c r="M62" s="2">
        <f t="shared" ref="M62:AE62" si="127">If(Iserr(search(M$1,$H62)),0,1)</f>
        <v>0</v>
      </c>
      <c r="N62" s="2">
        <f t="shared" si="127"/>
        <v>0</v>
      </c>
      <c r="O62" s="2">
        <f t="shared" si="127"/>
        <v>0</v>
      </c>
      <c r="P62" s="2">
        <f t="shared" si="127"/>
        <v>0</v>
      </c>
      <c r="Q62" s="2">
        <f t="shared" si="127"/>
        <v>0</v>
      </c>
      <c r="R62" s="2">
        <f t="shared" si="127"/>
        <v>0</v>
      </c>
      <c r="S62" s="2">
        <f t="shared" si="127"/>
        <v>0</v>
      </c>
      <c r="T62" s="2">
        <f t="shared" si="127"/>
        <v>0</v>
      </c>
      <c r="U62" s="2">
        <f t="shared" si="127"/>
        <v>0</v>
      </c>
      <c r="V62" s="2">
        <f t="shared" si="127"/>
        <v>0</v>
      </c>
      <c r="W62" s="2">
        <f t="shared" si="127"/>
        <v>0</v>
      </c>
      <c r="X62" s="2">
        <f t="shared" si="127"/>
        <v>0</v>
      </c>
      <c r="Y62" s="2">
        <f t="shared" si="127"/>
        <v>0</v>
      </c>
      <c r="Z62" s="2">
        <f t="shared" si="127"/>
        <v>0</v>
      </c>
      <c r="AA62" s="2">
        <f t="shared" si="127"/>
        <v>0</v>
      </c>
      <c r="AB62" s="2">
        <f t="shared" si="127"/>
        <v>0</v>
      </c>
      <c r="AC62" s="2">
        <f t="shared" si="127"/>
        <v>0</v>
      </c>
      <c r="AD62" s="2">
        <f t="shared" si="127"/>
        <v>0</v>
      </c>
      <c r="AE62" s="2">
        <f t="shared" si="127"/>
        <v>0</v>
      </c>
      <c r="AF62" s="2" t="s">
        <v>2523</v>
      </c>
    </row>
    <row r="63">
      <c r="A63" s="92" t="s">
        <v>776</v>
      </c>
      <c r="B63" s="64">
        <f>B60+1</f>
        <v>56</v>
      </c>
      <c r="C63" s="64">
        <v>56.0</v>
      </c>
      <c r="D63" s="64" t="str">
        <f t="shared" si="3"/>
        <v>CO4451856</v>
      </c>
      <c r="E63" s="159">
        <v>44518.0</v>
      </c>
      <c r="F63" s="2" t="s">
        <v>2552</v>
      </c>
      <c r="G63" s="2" t="s">
        <v>288</v>
      </c>
      <c r="H63" s="2" t="s">
        <v>410</v>
      </c>
      <c r="I63" s="2">
        <f t="shared" ref="I63:K63" si="128">If(Iserr(search(I$1,$H63)),0,1)</f>
        <v>0</v>
      </c>
      <c r="J63" s="2">
        <f t="shared" si="128"/>
        <v>0</v>
      </c>
      <c r="K63" s="2">
        <f t="shared" si="128"/>
        <v>0</v>
      </c>
      <c r="L63" s="2">
        <f t="shared" si="5"/>
        <v>1</v>
      </c>
      <c r="M63" s="2">
        <f t="shared" ref="M63:AE63" si="129">If(Iserr(search(M$1,$H63)),0,1)</f>
        <v>0</v>
      </c>
      <c r="N63" s="2">
        <f t="shared" si="129"/>
        <v>1</v>
      </c>
      <c r="O63" s="2">
        <f t="shared" si="129"/>
        <v>0</v>
      </c>
      <c r="P63" s="2">
        <f t="shared" si="129"/>
        <v>0</v>
      </c>
      <c r="Q63" s="2">
        <f t="shared" si="129"/>
        <v>0</v>
      </c>
      <c r="R63" s="2">
        <f t="shared" si="129"/>
        <v>0</v>
      </c>
      <c r="S63" s="2">
        <f t="shared" si="129"/>
        <v>0</v>
      </c>
      <c r="T63" s="2">
        <f t="shared" si="129"/>
        <v>0</v>
      </c>
      <c r="U63" s="2">
        <f t="shared" si="129"/>
        <v>0</v>
      </c>
      <c r="V63" s="2">
        <f t="shared" si="129"/>
        <v>0</v>
      </c>
      <c r="W63" s="2">
        <f t="shared" si="129"/>
        <v>0</v>
      </c>
      <c r="X63" s="2">
        <f t="shared" si="129"/>
        <v>0</v>
      </c>
      <c r="Y63" s="2">
        <f t="shared" si="129"/>
        <v>0</v>
      </c>
      <c r="Z63" s="2">
        <f t="shared" si="129"/>
        <v>0</v>
      </c>
      <c r="AA63" s="2">
        <f t="shared" si="129"/>
        <v>0</v>
      </c>
      <c r="AB63" s="2">
        <f t="shared" si="129"/>
        <v>0</v>
      </c>
      <c r="AC63" s="2">
        <f t="shared" si="129"/>
        <v>0</v>
      </c>
      <c r="AD63" s="2">
        <f t="shared" si="129"/>
        <v>0</v>
      </c>
      <c r="AE63" s="2">
        <f t="shared" si="129"/>
        <v>0</v>
      </c>
      <c r="AF63" s="2" t="s">
        <v>2561</v>
      </c>
    </row>
    <row r="64">
      <c r="A64" s="92" t="s">
        <v>781</v>
      </c>
      <c r="B64" s="64">
        <f>B63+1</f>
        <v>57</v>
      </c>
      <c r="C64" s="64">
        <v>57.0</v>
      </c>
      <c r="D64" s="64" t="str">
        <f t="shared" si="3"/>
        <v>CO4453857</v>
      </c>
      <c r="E64" s="165">
        <v>44538.0</v>
      </c>
      <c r="F64" s="2" t="s">
        <v>2567</v>
      </c>
      <c r="G64" s="2" t="s">
        <v>18</v>
      </c>
      <c r="H64" s="2" t="s">
        <v>175</v>
      </c>
      <c r="I64" s="2">
        <f t="shared" ref="I64:K64" si="130">If(Iserr(search(I$1,$H64)),0,1)</f>
        <v>0</v>
      </c>
      <c r="J64" s="2">
        <f t="shared" si="130"/>
        <v>0</v>
      </c>
      <c r="K64" s="2">
        <f t="shared" si="130"/>
        <v>0</v>
      </c>
      <c r="L64" s="2">
        <f t="shared" si="5"/>
        <v>0</v>
      </c>
      <c r="M64" s="2">
        <f t="shared" ref="M64:AE64" si="131">If(Iserr(search(M$1,$H64)),0,1)</f>
        <v>0</v>
      </c>
      <c r="N64" s="2">
        <f t="shared" si="131"/>
        <v>0</v>
      </c>
      <c r="O64" s="2">
        <f t="shared" si="131"/>
        <v>0</v>
      </c>
      <c r="P64" s="2">
        <f t="shared" si="131"/>
        <v>0</v>
      </c>
      <c r="Q64" s="2">
        <f t="shared" si="131"/>
        <v>0</v>
      </c>
      <c r="R64" s="2">
        <f t="shared" si="131"/>
        <v>0</v>
      </c>
      <c r="S64" s="2">
        <f t="shared" si="131"/>
        <v>0</v>
      </c>
      <c r="T64" s="2">
        <f t="shared" si="131"/>
        <v>0</v>
      </c>
      <c r="U64" s="2">
        <f t="shared" si="131"/>
        <v>0</v>
      </c>
      <c r="V64" s="2">
        <f t="shared" si="131"/>
        <v>0</v>
      </c>
      <c r="W64" s="2">
        <f t="shared" si="131"/>
        <v>0</v>
      </c>
      <c r="X64" s="2">
        <f t="shared" si="131"/>
        <v>1</v>
      </c>
      <c r="Y64" s="2">
        <f t="shared" si="131"/>
        <v>0</v>
      </c>
      <c r="Z64" s="2">
        <f t="shared" si="131"/>
        <v>0</v>
      </c>
      <c r="AA64" s="2">
        <f t="shared" si="131"/>
        <v>0</v>
      </c>
      <c r="AB64" s="2">
        <f t="shared" si="131"/>
        <v>0</v>
      </c>
      <c r="AC64" s="2">
        <f t="shared" si="131"/>
        <v>0</v>
      </c>
      <c r="AD64" s="2">
        <f t="shared" si="131"/>
        <v>0</v>
      </c>
      <c r="AE64" s="2">
        <f t="shared" si="131"/>
        <v>0</v>
      </c>
      <c r="AF64" s="2" t="s">
        <v>2576</v>
      </c>
      <c r="AG64" s="2" t="s">
        <v>2577</v>
      </c>
    </row>
    <row r="65">
      <c r="A65" s="92" t="s">
        <v>781</v>
      </c>
      <c r="B65" s="64" t="s">
        <v>2579</v>
      </c>
      <c r="C65" s="64">
        <v>57.0</v>
      </c>
      <c r="D65" s="64" t="str">
        <f t="shared" si="3"/>
        <v>CO4453857b</v>
      </c>
      <c r="E65" s="165">
        <v>44538.0</v>
      </c>
      <c r="F65" s="2" t="s">
        <v>2581</v>
      </c>
      <c r="G65" s="2" t="s">
        <v>18</v>
      </c>
      <c r="H65" s="2" t="s">
        <v>175</v>
      </c>
      <c r="I65" s="2">
        <f t="shared" ref="I65:K65" si="132">If(Iserr(search(I$1,$H65)),0,1)</f>
        <v>0</v>
      </c>
      <c r="J65" s="2">
        <f t="shared" si="132"/>
        <v>0</v>
      </c>
      <c r="K65" s="2">
        <f t="shared" si="132"/>
        <v>0</v>
      </c>
      <c r="L65" s="2">
        <f t="shared" si="5"/>
        <v>0</v>
      </c>
      <c r="M65" s="2">
        <f t="shared" ref="M65:AE65" si="133">If(Iserr(search(M$1,$H65)),0,1)</f>
        <v>0</v>
      </c>
      <c r="N65" s="2">
        <f t="shared" si="133"/>
        <v>0</v>
      </c>
      <c r="O65" s="2">
        <f t="shared" si="133"/>
        <v>0</v>
      </c>
      <c r="P65" s="2">
        <f t="shared" si="133"/>
        <v>0</v>
      </c>
      <c r="Q65" s="2">
        <f t="shared" si="133"/>
        <v>0</v>
      </c>
      <c r="R65" s="2">
        <f t="shared" si="133"/>
        <v>0</v>
      </c>
      <c r="S65" s="2">
        <f t="shared" si="133"/>
        <v>0</v>
      </c>
      <c r="T65" s="2">
        <f t="shared" si="133"/>
        <v>0</v>
      </c>
      <c r="U65" s="2">
        <f t="shared" si="133"/>
        <v>0</v>
      </c>
      <c r="V65" s="2">
        <f t="shared" si="133"/>
        <v>0</v>
      </c>
      <c r="W65" s="2">
        <f t="shared" si="133"/>
        <v>0</v>
      </c>
      <c r="X65" s="2">
        <f t="shared" si="133"/>
        <v>1</v>
      </c>
      <c r="Y65" s="2">
        <f t="shared" si="133"/>
        <v>0</v>
      </c>
      <c r="Z65" s="2">
        <f t="shared" si="133"/>
        <v>0</v>
      </c>
      <c r="AA65" s="2">
        <f t="shared" si="133"/>
        <v>0</v>
      </c>
      <c r="AB65" s="2">
        <f t="shared" si="133"/>
        <v>0</v>
      </c>
      <c r="AC65" s="2">
        <f t="shared" si="133"/>
        <v>0</v>
      </c>
      <c r="AD65" s="2">
        <f t="shared" si="133"/>
        <v>0</v>
      </c>
      <c r="AE65" s="2">
        <f t="shared" si="133"/>
        <v>0</v>
      </c>
    </row>
    <row r="66">
      <c r="A66" s="92" t="s">
        <v>792</v>
      </c>
      <c r="B66" s="64">
        <f>B64+1</f>
        <v>58</v>
      </c>
      <c r="C66" s="64">
        <v>58.0</v>
      </c>
      <c r="D66" s="64" t="str">
        <f t="shared" si="3"/>
        <v>CO4454458</v>
      </c>
      <c r="E66" s="159">
        <v>44544.0</v>
      </c>
      <c r="F66" s="2" t="s">
        <v>2593</v>
      </c>
      <c r="G66" s="2" t="s">
        <v>2595</v>
      </c>
      <c r="H66" s="2" t="s">
        <v>2595</v>
      </c>
      <c r="I66" s="2">
        <f t="shared" ref="I66:K66" si="134">If(Iserr(search(I$1,$H66)),0,1)</f>
        <v>0</v>
      </c>
      <c r="J66" s="2">
        <f t="shared" si="134"/>
        <v>0</v>
      </c>
      <c r="K66" s="2">
        <f t="shared" si="134"/>
        <v>1</v>
      </c>
      <c r="L66" s="2">
        <f t="shared" si="5"/>
        <v>0</v>
      </c>
      <c r="M66" s="2">
        <f t="shared" ref="M66:AE66" si="135">If(Iserr(search(M$1,$H66)),0,1)</f>
        <v>0</v>
      </c>
      <c r="N66" s="2">
        <f t="shared" si="135"/>
        <v>0</v>
      </c>
      <c r="O66" s="2">
        <f t="shared" si="135"/>
        <v>0</v>
      </c>
      <c r="P66" s="2">
        <f t="shared" si="135"/>
        <v>0</v>
      </c>
      <c r="Q66" s="2">
        <f t="shared" si="135"/>
        <v>0</v>
      </c>
      <c r="R66" s="2">
        <f t="shared" si="135"/>
        <v>0</v>
      </c>
      <c r="S66" s="2">
        <f t="shared" si="135"/>
        <v>0</v>
      </c>
      <c r="T66" s="2">
        <f t="shared" si="135"/>
        <v>0</v>
      </c>
      <c r="U66" s="2">
        <f t="shared" si="135"/>
        <v>0</v>
      </c>
      <c r="V66" s="2">
        <f t="shared" si="135"/>
        <v>0</v>
      </c>
      <c r="W66" s="2">
        <f t="shared" si="135"/>
        <v>0</v>
      </c>
      <c r="X66" s="2">
        <f t="shared" si="135"/>
        <v>0</v>
      </c>
      <c r="Y66" s="2">
        <f t="shared" si="135"/>
        <v>0</v>
      </c>
      <c r="Z66" s="2">
        <f t="shared" si="135"/>
        <v>0</v>
      </c>
      <c r="AA66" s="2">
        <f t="shared" si="135"/>
        <v>0</v>
      </c>
      <c r="AB66" s="2">
        <f t="shared" si="135"/>
        <v>0</v>
      </c>
      <c r="AC66" s="2">
        <f t="shared" si="135"/>
        <v>0</v>
      </c>
      <c r="AD66" s="2">
        <f t="shared" si="135"/>
        <v>0</v>
      </c>
      <c r="AE66" s="2">
        <f t="shared" si="135"/>
        <v>0</v>
      </c>
      <c r="AF66" s="2" t="s">
        <v>2603</v>
      </c>
    </row>
    <row r="67">
      <c r="A67" s="92" t="s">
        <v>800</v>
      </c>
      <c r="B67" s="64">
        <f>B66+1</f>
        <v>59</v>
      </c>
      <c r="C67" s="64">
        <v>59.0</v>
      </c>
      <c r="D67" s="64" t="str">
        <f t="shared" si="3"/>
        <v>CO4459459</v>
      </c>
      <c r="E67" s="159">
        <v>44594.0</v>
      </c>
      <c r="F67" s="2" t="s">
        <v>2608</v>
      </c>
      <c r="G67" s="2" t="s">
        <v>1503</v>
      </c>
      <c r="H67" s="2" t="s">
        <v>1503</v>
      </c>
      <c r="I67" s="2">
        <f t="shared" ref="I67:K67" si="136">If(Iserr(search(I$1,$H67)),0,1)</f>
        <v>0</v>
      </c>
      <c r="J67" s="2">
        <f t="shared" si="136"/>
        <v>0</v>
      </c>
      <c r="K67" s="2">
        <f t="shared" si="136"/>
        <v>0</v>
      </c>
      <c r="L67" s="2">
        <f t="shared" si="5"/>
        <v>0</v>
      </c>
      <c r="M67" s="2">
        <f t="shared" ref="M67:AE67" si="137">If(Iserr(search(M$1,$H67)),0,1)</f>
        <v>0</v>
      </c>
      <c r="N67" s="2">
        <f t="shared" si="137"/>
        <v>0</v>
      </c>
      <c r="O67" s="2">
        <f t="shared" si="137"/>
        <v>0</v>
      </c>
      <c r="P67" s="2">
        <f t="shared" si="137"/>
        <v>0</v>
      </c>
      <c r="Q67" s="2">
        <f t="shared" si="137"/>
        <v>0</v>
      </c>
      <c r="R67" s="2">
        <f t="shared" si="137"/>
        <v>0</v>
      </c>
      <c r="S67" s="2">
        <f t="shared" si="137"/>
        <v>0</v>
      </c>
      <c r="T67" s="2">
        <f t="shared" si="137"/>
        <v>0</v>
      </c>
      <c r="U67" s="2">
        <f t="shared" si="137"/>
        <v>0</v>
      </c>
      <c r="V67" s="2">
        <f t="shared" si="137"/>
        <v>0</v>
      </c>
      <c r="W67" s="2">
        <f t="shared" si="137"/>
        <v>0</v>
      </c>
      <c r="X67" s="2">
        <f t="shared" si="137"/>
        <v>0</v>
      </c>
      <c r="Y67" s="2">
        <f t="shared" si="137"/>
        <v>0</v>
      </c>
      <c r="Z67" s="2">
        <f t="shared" si="137"/>
        <v>0</v>
      </c>
      <c r="AA67" s="2">
        <f t="shared" si="137"/>
        <v>0</v>
      </c>
      <c r="AB67" s="2">
        <f t="shared" si="137"/>
        <v>0</v>
      </c>
      <c r="AC67" s="2">
        <f t="shared" si="137"/>
        <v>0</v>
      </c>
      <c r="AD67" s="2">
        <f t="shared" si="137"/>
        <v>0</v>
      </c>
      <c r="AE67" s="2">
        <f t="shared" si="137"/>
        <v>1</v>
      </c>
      <c r="AF67" s="2" t="s">
        <v>2616</v>
      </c>
    </row>
    <row r="68">
      <c r="A68" s="92" t="s">
        <v>800</v>
      </c>
      <c r="B68" s="64" t="s">
        <v>2618</v>
      </c>
      <c r="C68" s="64">
        <v>59.0</v>
      </c>
      <c r="D68" s="64" t="str">
        <f t="shared" si="3"/>
        <v>CO4459459b</v>
      </c>
      <c r="E68" s="159">
        <v>44594.0</v>
      </c>
      <c r="F68" s="2" t="s">
        <v>2412</v>
      </c>
      <c r="G68" s="2" t="s">
        <v>1503</v>
      </c>
      <c r="H68" s="2" t="s">
        <v>1503</v>
      </c>
      <c r="I68" s="2">
        <f t="shared" ref="I68:K68" si="138">If(Iserr(search(I$1,$H68)),0,1)</f>
        <v>0</v>
      </c>
      <c r="J68" s="2">
        <f t="shared" si="138"/>
        <v>0</v>
      </c>
      <c r="K68" s="2">
        <f t="shared" si="138"/>
        <v>0</v>
      </c>
      <c r="L68" s="2">
        <f t="shared" si="5"/>
        <v>0</v>
      </c>
      <c r="M68" s="2">
        <f t="shared" ref="M68:AE68" si="139">If(Iserr(search(M$1,$H68)),0,1)</f>
        <v>0</v>
      </c>
      <c r="N68" s="2">
        <f t="shared" si="139"/>
        <v>0</v>
      </c>
      <c r="O68" s="2">
        <f t="shared" si="139"/>
        <v>0</v>
      </c>
      <c r="P68" s="2">
        <f t="shared" si="139"/>
        <v>0</v>
      </c>
      <c r="Q68" s="2">
        <f t="shared" si="139"/>
        <v>0</v>
      </c>
      <c r="R68" s="2">
        <f t="shared" si="139"/>
        <v>0</v>
      </c>
      <c r="S68" s="2">
        <f t="shared" si="139"/>
        <v>0</v>
      </c>
      <c r="T68" s="2">
        <f t="shared" si="139"/>
        <v>0</v>
      </c>
      <c r="U68" s="2">
        <f t="shared" si="139"/>
        <v>0</v>
      </c>
      <c r="V68" s="2">
        <f t="shared" si="139"/>
        <v>0</v>
      </c>
      <c r="W68" s="2">
        <f t="shared" si="139"/>
        <v>0</v>
      </c>
      <c r="X68" s="2">
        <f t="shared" si="139"/>
        <v>0</v>
      </c>
      <c r="Y68" s="2">
        <f t="shared" si="139"/>
        <v>0</v>
      </c>
      <c r="Z68" s="2">
        <f t="shared" si="139"/>
        <v>0</v>
      </c>
      <c r="AA68" s="2">
        <f t="shared" si="139"/>
        <v>0</v>
      </c>
      <c r="AB68" s="2">
        <f t="shared" si="139"/>
        <v>0</v>
      </c>
      <c r="AC68" s="2">
        <f t="shared" si="139"/>
        <v>0</v>
      </c>
      <c r="AD68" s="2">
        <f t="shared" si="139"/>
        <v>0</v>
      </c>
      <c r="AE68" s="2">
        <f t="shared" si="139"/>
        <v>1</v>
      </c>
      <c r="AF68" s="2" t="s">
        <v>2616</v>
      </c>
    </row>
    <row r="69">
      <c r="A69" s="92" t="s">
        <v>810</v>
      </c>
      <c r="B69" s="64">
        <f>B67+1</f>
        <v>60</v>
      </c>
      <c r="C69" s="64">
        <v>60.0</v>
      </c>
      <c r="D69" s="64" t="str">
        <f t="shared" si="3"/>
        <v>CO4462060</v>
      </c>
      <c r="E69" s="159">
        <v>44620.0</v>
      </c>
      <c r="F69" s="2" t="s">
        <v>2630</v>
      </c>
      <c r="G69" s="2" t="s">
        <v>288</v>
      </c>
      <c r="H69" s="2" t="s">
        <v>389</v>
      </c>
      <c r="I69" s="2">
        <f t="shared" ref="I69:K69" si="140">If(Iserr(search(I$1,$H69)),0,1)</f>
        <v>0</v>
      </c>
      <c r="J69" s="2">
        <f t="shared" si="140"/>
        <v>0</v>
      </c>
      <c r="K69" s="2">
        <f t="shared" si="140"/>
        <v>0</v>
      </c>
      <c r="L69" s="2">
        <f t="shared" si="5"/>
        <v>1</v>
      </c>
      <c r="M69" s="2">
        <f t="shared" ref="M69:AE69" si="141">If(Iserr(search(M$1,$H69)),0,1)</f>
        <v>0</v>
      </c>
      <c r="N69" s="2">
        <f t="shared" si="141"/>
        <v>0</v>
      </c>
      <c r="O69" s="2">
        <f t="shared" si="141"/>
        <v>0</v>
      </c>
      <c r="P69" s="2">
        <f t="shared" si="141"/>
        <v>0</v>
      </c>
      <c r="Q69" s="2">
        <f t="shared" si="141"/>
        <v>0</v>
      </c>
      <c r="R69" s="2">
        <f t="shared" si="141"/>
        <v>0</v>
      </c>
      <c r="S69" s="2">
        <f t="shared" si="141"/>
        <v>0</v>
      </c>
      <c r="T69" s="2">
        <f t="shared" si="141"/>
        <v>0</v>
      </c>
      <c r="U69" s="2">
        <f t="shared" si="141"/>
        <v>0</v>
      </c>
      <c r="V69" s="2">
        <f t="shared" si="141"/>
        <v>0</v>
      </c>
      <c r="W69" s="2">
        <f t="shared" si="141"/>
        <v>0</v>
      </c>
      <c r="X69" s="2">
        <f t="shared" si="141"/>
        <v>0</v>
      </c>
      <c r="Y69" s="2">
        <f t="shared" si="141"/>
        <v>0</v>
      </c>
      <c r="Z69" s="2">
        <f t="shared" si="141"/>
        <v>0</v>
      </c>
      <c r="AA69" s="2">
        <f t="shared" si="141"/>
        <v>0</v>
      </c>
      <c r="AB69" s="2">
        <f t="shared" si="141"/>
        <v>0</v>
      </c>
      <c r="AC69" s="2">
        <f t="shared" si="141"/>
        <v>0</v>
      </c>
      <c r="AD69" s="2">
        <f t="shared" si="141"/>
        <v>0</v>
      </c>
      <c r="AE69" s="2">
        <f t="shared" si="141"/>
        <v>0</v>
      </c>
      <c r="AF69" s="2" t="s">
        <v>2639</v>
      </c>
    </row>
    <row r="70">
      <c r="A70" s="92" t="s">
        <v>818</v>
      </c>
      <c r="B70" s="64">
        <f t="shared" ref="B70:B77" si="144">B69+1</f>
        <v>61</v>
      </c>
      <c r="C70" s="64">
        <v>61.0</v>
      </c>
      <c r="D70" s="64" t="str">
        <f t="shared" si="3"/>
        <v>CO4463161</v>
      </c>
      <c r="E70" s="159">
        <v>44631.0</v>
      </c>
      <c r="F70" s="2" t="s">
        <v>2645</v>
      </c>
      <c r="G70" s="2" t="s">
        <v>1503</v>
      </c>
      <c r="H70" s="2" t="s">
        <v>1503</v>
      </c>
      <c r="I70" s="2">
        <f t="shared" ref="I70:K70" si="142">If(Iserr(search(I$1,$H70)),0,1)</f>
        <v>0</v>
      </c>
      <c r="J70" s="2">
        <f t="shared" si="142"/>
        <v>0</v>
      </c>
      <c r="K70" s="2">
        <f t="shared" si="142"/>
        <v>0</v>
      </c>
      <c r="L70" s="2">
        <f t="shared" si="5"/>
        <v>0</v>
      </c>
      <c r="M70" s="2">
        <f t="shared" ref="M70:AE70" si="143">If(Iserr(search(M$1,$H70)),0,1)</f>
        <v>0</v>
      </c>
      <c r="N70" s="2">
        <f t="shared" si="143"/>
        <v>0</v>
      </c>
      <c r="O70" s="2">
        <f t="shared" si="143"/>
        <v>0</v>
      </c>
      <c r="P70" s="2">
        <f t="shared" si="143"/>
        <v>0</v>
      </c>
      <c r="Q70" s="2">
        <f t="shared" si="143"/>
        <v>0</v>
      </c>
      <c r="R70" s="2">
        <f t="shared" si="143"/>
        <v>0</v>
      </c>
      <c r="S70" s="2">
        <f t="shared" si="143"/>
        <v>0</v>
      </c>
      <c r="T70" s="2">
        <f t="shared" si="143"/>
        <v>0</v>
      </c>
      <c r="U70" s="2">
        <f t="shared" si="143"/>
        <v>0</v>
      </c>
      <c r="V70" s="2">
        <f t="shared" si="143"/>
        <v>0</v>
      </c>
      <c r="W70" s="2">
        <f t="shared" si="143"/>
        <v>0</v>
      </c>
      <c r="X70" s="2">
        <f t="shared" si="143"/>
        <v>0</v>
      </c>
      <c r="Y70" s="2">
        <f t="shared" si="143"/>
        <v>0</v>
      </c>
      <c r="Z70" s="2">
        <f t="shared" si="143"/>
        <v>0</v>
      </c>
      <c r="AA70" s="2">
        <f t="shared" si="143"/>
        <v>0</v>
      </c>
      <c r="AB70" s="2">
        <f t="shared" si="143"/>
        <v>0</v>
      </c>
      <c r="AC70" s="2">
        <f t="shared" si="143"/>
        <v>0</v>
      </c>
      <c r="AD70" s="2">
        <f t="shared" si="143"/>
        <v>0</v>
      </c>
      <c r="AE70" s="2">
        <f t="shared" si="143"/>
        <v>1</v>
      </c>
      <c r="AF70" s="2" t="s">
        <v>2654</v>
      </c>
    </row>
    <row r="71">
      <c r="A71" s="92" t="s">
        <v>829</v>
      </c>
      <c r="B71" s="64">
        <f t="shared" si="144"/>
        <v>62</v>
      </c>
      <c r="C71" s="64">
        <v>62.0</v>
      </c>
      <c r="D71" s="64" t="str">
        <f t="shared" si="3"/>
        <v>CO4467162</v>
      </c>
      <c r="E71" s="159">
        <v>44671.0</v>
      </c>
      <c r="F71" s="2" t="s">
        <v>2660</v>
      </c>
      <c r="G71" s="2" t="s">
        <v>1503</v>
      </c>
      <c r="H71" s="2" t="s">
        <v>1503</v>
      </c>
      <c r="I71" s="2">
        <f t="shared" ref="I71:K71" si="145">If(Iserr(search(I$1,$H71)),0,1)</f>
        <v>0</v>
      </c>
      <c r="J71" s="2">
        <f t="shared" si="145"/>
        <v>0</v>
      </c>
      <c r="K71" s="2">
        <f t="shared" si="145"/>
        <v>0</v>
      </c>
      <c r="L71" s="2">
        <f t="shared" si="5"/>
        <v>0</v>
      </c>
      <c r="M71" s="2">
        <f t="shared" ref="M71:AE71" si="146">If(Iserr(search(M$1,$H71)),0,1)</f>
        <v>0</v>
      </c>
      <c r="N71" s="2">
        <f t="shared" si="146"/>
        <v>0</v>
      </c>
      <c r="O71" s="2">
        <f t="shared" si="146"/>
        <v>0</v>
      </c>
      <c r="P71" s="2">
        <f t="shared" si="146"/>
        <v>0</v>
      </c>
      <c r="Q71" s="2">
        <f t="shared" si="146"/>
        <v>0</v>
      </c>
      <c r="R71" s="2">
        <f t="shared" si="146"/>
        <v>0</v>
      </c>
      <c r="S71" s="2">
        <f t="shared" si="146"/>
        <v>0</v>
      </c>
      <c r="T71" s="2">
        <f t="shared" si="146"/>
        <v>0</v>
      </c>
      <c r="U71" s="2">
        <f t="shared" si="146"/>
        <v>0</v>
      </c>
      <c r="V71" s="2">
        <f t="shared" si="146"/>
        <v>0</v>
      </c>
      <c r="W71" s="2">
        <f t="shared" si="146"/>
        <v>0</v>
      </c>
      <c r="X71" s="2">
        <f t="shared" si="146"/>
        <v>0</v>
      </c>
      <c r="Y71" s="2">
        <f t="shared" si="146"/>
        <v>0</v>
      </c>
      <c r="Z71" s="2">
        <f t="shared" si="146"/>
        <v>0</v>
      </c>
      <c r="AA71" s="2">
        <f t="shared" si="146"/>
        <v>0</v>
      </c>
      <c r="AB71" s="2">
        <f t="shared" si="146"/>
        <v>0</v>
      </c>
      <c r="AC71" s="2">
        <f t="shared" si="146"/>
        <v>0</v>
      </c>
      <c r="AD71" s="2">
        <f t="shared" si="146"/>
        <v>0</v>
      </c>
      <c r="AE71" s="2">
        <f t="shared" si="146"/>
        <v>1</v>
      </c>
      <c r="AF71" s="2" t="s">
        <v>2672</v>
      </c>
    </row>
    <row r="72">
      <c r="A72" s="92" t="s">
        <v>832</v>
      </c>
      <c r="B72" s="64">
        <f t="shared" si="144"/>
        <v>63</v>
      </c>
      <c r="C72" s="64">
        <v>63.0</v>
      </c>
      <c r="D72" s="64" t="str">
        <f t="shared" si="3"/>
        <v>CO4468463</v>
      </c>
      <c r="E72" s="159">
        <v>44684.0</v>
      </c>
      <c r="F72" s="2" t="s">
        <v>2438</v>
      </c>
      <c r="G72" s="2" t="s">
        <v>1503</v>
      </c>
      <c r="H72" s="2" t="s">
        <v>1503</v>
      </c>
      <c r="I72" s="2">
        <f t="shared" ref="I72:K72" si="147">If(Iserr(search(I$1,$H72)),0,1)</f>
        <v>0</v>
      </c>
      <c r="J72" s="2">
        <f t="shared" si="147"/>
        <v>0</v>
      </c>
      <c r="K72" s="2">
        <f t="shared" si="147"/>
        <v>0</v>
      </c>
      <c r="L72" s="2">
        <f t="shared" si="5"/>
        <v>0</v>
      </c>
      <c r="M72" s="2">
        <f t="shared" ref="M72:AE72" si="148">If(Iserr(search(M$1,$H72)),0,1)</f>
        <v>0</v>
      </c>
      <c r="N72" s="2">
        <f t="shared" si="148"/>
        <v>0</v>
      </c>
      <c r="O72" s="2">
        <f t="shared" si="148"/>
        <v>0</v>
      </c>
      <c r="P72" s="2">
        <f t="shared" si="148"/>
        <v>0</v>
      </c>
      <c r="Q72" s="2">
        <f t="shared" si="148"/>
        <v>0</v>
      </c>
      <c r="R72" s="2">
        <f t="shared" si="148"/>
        <v>0</v>
      </c>
      <c r="S72" s="2">
        <f t="shared" si="148"/>
        <v>0</v>
      </c>
      <c r="T72" s="2">
        <f t="shared" si="148"/>
        <v>0</v>
      </c>
      <c r="U72" s="2">
        <f t="shared" si="148"/>
        <v>0</v>
      </c>
      <c r="V72" s="2">
        <f t="shared" si="148"/>
        <v>0</v>
      </c>
      <c r="W72" s="2">
        <f t="shared" si="148"/>
        <v>0</v>
      </c>
      <c r="X72" s="2">
        <f t="shared" si="148"/>
        <v>0</v>
      </c>
      <c r="Y72" s="2">
        <f t="shared" si="148"/>
        <v>0</v>
      </c>
      <c r="Z72" s="2">
        <f t="shared" si="148"/>
        <v>0</v>
      </c>
      <c r="AA72" s="2">
        <f t="shared" si="148"/>
        <v>0</v>
      </c>
      <c r="AB72" s="2">
        <f t="shared" si="148"/>
        <v>0</v>
      </c>
      <c r="AC72" s="2">
        <f t="shared" si="148"/>
        <v>0</v>
      </c>
      <c r="AD72" s="2">
        <f t="shared" si="148"/>
        <v>0</v>
      </c>
      <c r="AE72" s="2">
        <f t="shared" si="148"/>
        <v>1</v>
      </c>
      <c r="AF72" s="2" t="s">
        <v>2684</v>
      </c>
    </row>
    <row r="73">
      <c r="A73" s="92" t="s">
        <v>839</v>
      </c>
      <c r="B73" s="64">
        <f t="shared" si="144"/>
        <v>64</v>
      </c>
      <c r="C73" s="64">
        <v>64.0</v>
      </c>
      <c r="D73" s="64" t="str">
        <f t="shared" si="3"/>
        <v>CO4469964</v>
      </c>
      <c r="E73" s="167">
        <v>44699.0</v>
      </c>
      <c r="F73" s="2" t="s">
        <v>2690</v>
      </c>
      <c r="G73" s="2" t="s">
        <v>1503</v>
      </c>
      <c r="H73" s="2" t="s">
        <v>1503</v>
      </c>
      <c r="I73" s="2">
        <f t="shared" ref="I73:K73" si="149">If(Iserr(search(I$1,$H73)),0,1)</f>
        <v>0</v>
      </c>
      <c r="J73" s="2">
        <f t="shared" si="149"/>
        <v>0</v>
      </c>
      <c r="K73" s="2">
        <f t="shared" si="149"/>
        <v>0</v>
      </c>
      <c r="L73" s="2">
        <f t="shared" si="5"/>
        <v>0</v>
      </c>
      <c r="M73" s="2">
        <f t="shared" ref="M73:AE73" si="150">If(Iserr(search(M$1,$H73)),0,1)</f>
        <v>0</v>
      </c>
      <c r="N73" s="2">
        <f t="shared" si="150"/>
        <v>0</v>
      </c>
      <c r="O73" s="2">
        <f t="shared" si="150"/>
        <v>0</v>
      </c>
      <c r="P73" s="2">
        <f t="shared" si="150"/>
        <v>0</v>
      </c>
      <c r="Q73" s="2">
        <f t="shared" si="150"/>
        <v>0</v>
      </c>
      <c r="R73" s="2">
        <f t="shared" si="150"/>
        <v>0</v>
      </c>
      <c r="S73" s="2">
        <f t="shared" si="150"/>
        <v>0</v>
      </c>
      <c r="T73" s="2">
        <f t="shared" si="150"/>
        <v>0</v>
      </c>
      <c r="U73" s="2">
        <f t="shared" si="150"/>
        <v>0</v>
      </c>
      <c r="V73" s="2">
        <f t="shared" si="150"/>
        <v>0</v>
      </c>
      <c r="W73" s="2">
        <f t="shared" si="150"/>
        <v>0</v>
      </c>
      <c r="X73" s="2">
        <f t="shared" si="150"/>
        <v>0</v>
      </c>
      <c r="Y73" s="2">
        <f t="shared" si="150"/>
        <v>0</v>
      </c>
      <c r="Z73" s="2">
        <f t="shared" si="150"/>
        <v>0</v>
      </c>
      <c r="AA73" s="2">
        <f t="shared" si="150"/>
        <v>0</v>
      </c>
      <c r="AB73" s="2">
        <f t="shared" si="150"/>
        <v>0</v>
      </c>
      <c r="AC73" s="2">
        <f t="shared" si="150"/>
        <v>0</v>
      </c>
      <c r="AD73" s="2">
        <f t="shared" si="150"/>
        <v>0</v>
      </c>
      <c r="AE73" s="2">
        <f t="shared" si="150"/>
        <v>1</v>
      </c>
      <c r="AF73" s="2" t="s">
        <v>2672</v>
      </c>
    </row>
    <row r="74">
      <c r="A74" s="92" t="s">
        <v>845</v>
      </c>
      <c r="B74" s="64">
        <f t="shared" si="144"/>
        <v>65</v>
      </c>
      <c r="C74" s="64">
        <v>65.0</v>
      </c>
      <c r="D74" s="64" t="str">
        <f t="shared" si="3"/>
        <v>CO4475665</v>
      </c>
      <c r="E74" s="159">
        <v>44756.0</v>
      </c>
      <c r="F74" s="2" t="s">
        <v>2710</v>
      </c>
      <c r="G74" s="2" t="s">
        <v>1503</v>
      </c>
      <c r="H74" s="2" t="s">
        <v>1503</v>
      </c>
      <c r="I74" s="2">
        <f t="shared" ref="I74:K74" si="151">If(Iserr(search(I$1,$H74)),0,1)</f>
        <v>0</v>
      </c>
      <c r="J74" s="2">
        <f t="shared" si="151"/>
        <v>0</v>
      </c>
      <c r="K74" s="2">
        <f t="shared" si="151"/>
        <v>0</v>
      </c>
      <c r="L74" s="2">
        <f t="shared" si="5"/>
        <v>0</v>
      </c>
      <c r="M74" s="2">
        <f t="shared" ref="M74:AE74" si="152">If(Iserr(search(M$1,$H74)),0,1)</f>
        <v>0</v>
      </c>
      <c r="N74" s="2">
        <f t="shared" si="152"/>
        <v>0</v>
      </c>
      <c r="O74" s="2">
        <f t="shared" si="152"/>
        <v>0</v>
      </c>
      <c r="P74" s="2">
        <f t="shared" si="152"/>
        <v>0</v>
      </c>
      <c r="Q74" s="2">
        <f t="shared" si="152"/>
        <v>0</v>
      </c>
      <c r="R74" s="2">
        <f t="shared" si="152"/>
        <v>0</v>
      </c>
      <c r="S74" s="2">
        <f t="shared" si="152"/>
        <v>0</v>
      </c>
      <c r="T74" s="2">
        <f t="shared" si="152"/>
        <v>0</v>
      </c>
      <c r="U74" s="2">
        <f t="shared" si="152"/>
        <v>0</v>
      </c>
      <c r="V74" s="2">
        <f t="shared" si="152"/>
        <v>0</v>
      </c>
      <c r="W74" s="2">
        <f t="shared" si="152"/>
        <v>0</v>
      </c>
      <c r="X74" s="2">
        <f t="shared" si="152"/>
        <v>0</v>
      </c>
      <c r="Y74" s="2">
        <f t="shared" si="152"/>
        <v>0</v>
      </c>
      <c r="Z74" s="2">
        <f t="shared" si="152"/>
        <v>0</v>
      </c>
      <c r="AA74" s="2">
        <f t="shared" si="152"/>
        <v>0</v>
      </c>
      <c r="AB74" s="2">
        <f t="shared" si="152"/>
        <v>0</v>
      </c>
      <c r="AC74" s="2">
        <f t="shared" si="152"/>
        <v>0</v>
      </c>
      <c r="AD74" s="2">
        <f t="shared" si="152"/>
        <v>0</v>
      </c>
      <c r="AE74" s="2">
        <f t="shared" si="152"/>
        <v>1</v>
      </c>
      <c r="AF74" s="2" t="s">
        <v>2720</v>
      </c>
    </row>
    <row r="75">
      <c r="A75" s="98" t="s">
        <v>851</v>
      </c>
      <c r="B75" s="64">
        <f t="shared" si="144"/>
        <v>66</v>
      </c>
      <c r="C75" s="64">
        <v>66.0</v>
      </c>
      <c r="D75" s="64" t="str">
        <f t="shared" si="3"/>
        <v>CO4476466</v>
      </c>
      <c r="E75" s="168">
        <v>44764.0</v>
      </c>
      <c r="F75" s="2" t="s">
        <v>2726</v>
      </c>
      <c r="G75" s="2" t="s">
        <v>363</v>
      </c>
      <c r="H75" s="2" t="s">
        <v>363</v>
      </c>
      <c r="I75" s="2">
        <f t="shared" ref="I75:K75" si="153">If(Iserr(search(I$1,$H75)),0,1)</f>
        <v>0</v>
      </c>
      <c r="J75" s="2">
        <f t="shared" si="153"/>
        <v>0</v>
      </c>
      <c r="K75" s="2">
        <f t="shared" si="153"/>
        <v>0</v>
      </c>
      <c r="L75" s="2">
        <f t="shared" si="5"/>
        <v>0</v>
      </c>
      <c r="M75" s="2">
        <f t="shared" ref="M75:AE75" si="154">If(Iserr(search(M$1,$H75)),0,1)</f>
        <v>0</v>
      </c>
      <c r="N75" s="2">
        <f t="shared" si="154"/>
        <v>0</v>
      </c>
      <c r="O75" s="2">
        <f t="shared" si="154"/>
        <v>0</v>
      </c>
      <c r="P75" s="2">
        <f t="shared" si="154"/>
        <v>0</v>
      </c>
      <c r="Q75" s="2">
        <f t="shared" si="154"/>
        <v>0</v>
      </c>
      <c r="R75" s="2">
        <f t="shared" si="154"/>
        <v>0</v>
      </c>
      <c r="S75" s="2">
        <f t="shared" si="154"/>
        <v>0</v>
      </c>
      <c r="T75" s="2">
        <f t="shared" si="154"/>
        <v>0</v>
      </c>
      <c r="U75" s="2">
        <f t="shared" si="154"/>
        <v>0</v>
      </c>
      <c r="V75" s="2">
        <f t="shared" si="154"/>
        <v>0</v>
      </c>
      <c r="W75" s="2">
        <f t="shared" si="154"/>
        <v>0</v>
      </c>
      <c r="X75" s="2">
        <f t="shared" si="154"/>
        <v>0</v>
      </c>
      <c r="Y75" s="2">
        <f t="shared" si="154"/>
        <v>0</v>
      </c>
      <c r="Z75" s="2">
        <f t="shared" si="154"/>
        <v>0</v>
      </c>
      <c r="AA75" s="2">
        <f t="shared" si="154"/>
        <v>0</v>
      </c>
      <c r="AB75" s="2">
        <f t="shared" si="154"/>
        <v>0</v>
      </c>
      <c r="AC75" s="2">
        <f t="shared" si="154"/>
        <v>0</v>
      </c>
      <c r="AD75" s="2">
        <f t="shared" si="154"/>
        <v>0</v>
      </c>
      <c r="AE75" s="2">
        <f t="shared" si="154"/>
        <v>0</v>
      </c>
      <c r="AF75" s="2" t="s">
        <v>2735</v>
      </c>
    </row>
    <row r="76">
      <c r="A76" s="92" t="s">
        <v>877</v>
      </c>
      <c r="B76" s="64">
        <f t="shared" si="144"/>
        <v>67</v>
      </c>
      <c r="C76" s="64">
        <v>67.0</v>
      </c>
      <c r="D76" s="64" t="str">
        <f t="shared" si="3"/>
        <v>CO4484667</v>
      </c>
      <c r="E76" s="168">
        <v>44846.0</v>
      </c>
      <c r="F76" s="2" t="s">
        <v>2742</v>
      </c>
      <c r="G76" s="2" t="s">
        <v>1503</v>
      </c>
      <c r="H76" s="2" t="s">
        <v>1503</v>
      </c>
      <c r="I76" s="2">
        <f t="shared" ref="I76:K76" si="155">If(Iserr(search(I$1,$H76)),0,1)</f>
        <v>0</v>
      </c>
      <c r="J76" s="2">
        <f t="shared" si="155"/>
        <v>0</v>
      </c>
      <c r="K76" s="2">
        <f t="shared" si="155"/>
        <v>0</v>
      </c>
      <c r="L76" s="2">
        <f t="shared" si="5"/>
        <v>0</v>
      </c>
      <c r="M76" s="2">
        <f t="shared" ref="M76:AE76" si="156">If(Iserr(search(M$1,$H76)),0,1)</f>
        <v>0</v>
      </c>
      <c r="N76" s="2">
        <f t="shared" si="156"/>
        <v>0</v>
      </c>
      <c r="O76" s="2">
        <f t="shared" si="156"/>
        <v>0</v>
      </c>
      <c r="P76" s="2">
        <f t="shared" si="156"/>
        <v>0</v>
      </c>
      <c r="Q76" s="2">
        <f t="shared" si="156"/>
        <v>0</v>
      </c>
      <c r="R76" s="2">
        <f t="shared" si="156"/>
        <v>0</v>
      </c>
      <c r="S76" s="2">
        <f t="shared" si="156"/>
        <v>0</v>
      </c>
      <c r="T76" s="2">
        <f t="shared" si="156"/>
        <v>0</v>
      </c>
      <c r="U76" s="2">
        <f t="shared" si="156"/>
        <v>0</v>
      </c>
      <c r="V76" s="2">
        <f t="shared" si="156"/>
        <v>0</v>
      </c>
      <c r="W76" s="2">
        <f t="shared" si="156"/>
        <v>0</v>
      </c>
      <c r="X76" s="2">
        <f t="shared" si="156"/>
        <v>0</v>
      </c>
      <c r="Y76" s="2">
        <f t="shared" si="156"/>
        <v>0</v>
      </c>
      <c r="Z76" s="2">
        <f t="shared" si="156"/>
        <v>0</v>
      </c>
      <c r="AA76" s="2">
        <f t="shared" si="156"/>
        <v>0</v>
      </c>
      <c r="AB76" s="2">
        <f t="shared" si="156"/>
        <v>0</v>
      </c>
      <c r="AC76" s="2">
        <f t="shared" si="156"/>
        <v>0</v>
      </c>
      <c r="AD76" s="2">
        <f t="shared" si="156"/>
        <v>0</v>
      </c>
      <c r="AE76" s="2">
        <f t="shared" si="156"/>
        <v>1</v>
      </c>
      <c r="AF76" s="2" t="s">
        <v>2750</v>
      </c>
    </row>
    <row r="77">
      <c r="A77" s="92" t="s">
        <v>887</v>
      </c>
      <c r="B77" s="64">
        <f t="shared" si="144"/>
        <v>68</v>
      </c>
      <c r="C77" s="64">
        <v>68.0</v>
      </c>
      <c r="D77" s="64" t="str">
        <f t="shared" si="3"/>
        <v>CO4486068</v>
      </c>
      <c r="E77" s="168">
        <v>44860.0</v>
      </c>
      <c r="F77" s="2" t="s">
        <v>1503</v>
      </c>
      <c r="G77" s="2" t="s">
        <v>1503</v>
      </c>
      <c r="H77" s="2" t="s">
        <v>1503</v>
      </c>
      <c r="I77" s="2">
        <f t="shared" ref="I77:K77" si="157">If(Iserr(search(I$1,$H77)),0,1)</f>
        <v>0</v>
      </c>
      <c r="J77" s="2">
        <f t="shared" si="157"/>
        <v>0</v>
      </c>
      <c r="K77" s="2">
        <f t="shared" si="157"/>
        <v>0</v>
      </c>
      <c r="L77" s="2">
        <f t="shared" si="5"/>
        <v>0</v>
      </c>
      <c r="M77" s="2">
        <f t="shared" ref="M77:AE77" si="158">If(Iserr(search(M$1,$H77)),0,1)</f>
        <v>0</v>
      </c>
      <c r="N77" s="2">
        <f t="shared" si="158"/>
        <v>0</v>
      </c>
      <c r="O77" s="2">
        <f t="shared" si="158"/>
        <v>0</v>
      </c>
      <c r="P77" s="2">
        <f t="shared" si="158"/>
        <v>0</v>
      </c>
      <c r="Q77" s="2">
        <f t="shared" si="158"/>
        <v>0</v>
      </c>
      <c r="R77" s="2">
        <f t="shared" si="158"/>
        <v>0</v>
      </c>
      <c r="S77" s="2">
        <f t="shared" si="158"/>
        <v>0</v>
      </c>
      <c r="T77" s="2">
        <f t="shared" si="158"/>
        <v>0</v>
      </c>
      <c r="U77" s="2">
        <f t="shared" si="158"/>
        <v>0</v>
      </c>
      <c r="V77" s="2">
        <f t="shared" si="158"/>
        <v>0</v>
      </c>
      <c r="W77" s="2">
        <f t="shared" si="158"/>
        <v>0</v>
      </c>
      <c r="X77" s="2">
        <f t="shared" si="158"/>
        <v>0</v>
      </c>
      <c r="Y77" s="2">
        <f t="shared" si="158"/>
        <v>0</v>
      </c>
      <c r="Z77" s="2">
        <f t="shared" si="158"/>
        <v>0</v>
      </c>
      <c r="AA77" s="2">
        <f t="shared" si="158"/>
        <v>0</v>
      </c>
      <c r="AB77" s="2">
        <f t="shared" si="158"/>
        <v>0</v>
      </c>
      <c r="AC77" s="2">
        <f t="shared" si="158"/>
        <v>0</v>
      </c>
      <c r="AD77" s="2">
        <f t="shared" si="158"/>
        <v>0</v>
      </c>
      <c r="AE77" s="2">
        <f t="shared" si="158"/>
        <v>1</v>
      </c>
      <c r="AF77" s="2" t="s">
        <v>2757</v>
      </c>
    </row>
    <row r="78">
      <c r="A78" s="92" t="s">
        <v>887</v>
      </c>
      <c r="B78" s="64" t="s">
        <v>2759</v>
      </c>
      <c r="C78" s="64">
        <v>68.0</v>
      </c>
      <c r="D78" s="64" t="str">
        <f t="shared" si="3"/>
        <v>CO4486068b</v>
      </c>
      <c r="E78" s="168">
        <v>44860.0</v>
      </c>
      <c r="F78" s="2" t="s">
        <v>210</v>
      </c>
      <c r="G78" s="2" t="s">
        <v>210</v>
      </c>
      <c r="H78" s="2" t="s">
        <v>210</v>
      </c>
      <c r="I78" s="2">
        <f t="shared" ref="I78:K78" si="159">If(Iserr(search(I$1,$H78)),0,1)</f>
        <v>0</v>
      </c>
      <c r="J78" s="2">
        <f t="shared" si="159"/>
        <v>0</v>
      </c>
      <c r="K78" s="2">
        <f t="shared" si="159"/>
        <v>0</v>
      </c>
      <c r="L78" s="2">
        <f t="shared" si="5"/>
        <v>0</v>
      </c>
      <c r="M78" s="2">
        <f t="shared" ref="M78:AE78" si="160">If(Iserr(search(M$1,$H78)),0,1)</f>
        <v>0</v>
      </c>
      <c r="N78" s="2">
        <f t="shared" si="160"/>
        <v>0</v>
      </c>
      <c r="O78" s="2">
        <f t="shared" si="160"/>
        <v>0</v>
      </c>
      <c r="P78" s="2">
        <f t="shared" si="160"/>
        <v>0</v>
      </c>
      <c r="Q78" s="2">
        <f t="shared" si="160"/>
        <v>0</v>
      </c>
      <c r="R78" s="2">
        <f t="shared" si="160"/>
        <v>0</v>
      </c>
      <c r="S78" s="2">
        <f t="shared" si="160"/>
        <v>0</v>
      </c>
      <c r="T78" s="2">
        <f t="shared" si="160"/>
        <v>0</v>
      </c>
      <c r="U78" s="2">
        <f t="shared" si="160"/>
        <v>0</v>
      </c>
      <c r="V78" s="2">
        <f t="shared" si="160"/>
        <v>0</v>
      </c>
      <c r="W78" s="2">
        <f t="shared" si="160"/>
        <v>0</v>
      </c>
      <c r="X78" s="2">
        <f t="shared" si="160"/>
        <v>0</v>
      </c>
      <c r="Y78" s="2">
        <f t="shared" si="160"/>
        <v>0</v>
      </c>
      <c r="Z78" s="2">
        <f t="shared" si="160"/>
        <v>0</v>
      </c>
      <c r="AA78" s="2">
        <f t="shared" si="160"/>
        <v>0</v>
      </c>
      <c r="AB78" s="2">
        <f t="shared" si="160"/>
        <v>0</v>
      </c>
      <c r="AC78" s="2">
        <f t="shared" si="160"/>
        <v>0</v>
      </c>
      <c r="AD78" s="2">
        <f t="shared" si="160"/>
        <v>1</v>
      </c>
      <c r="AE78" s="2">
        <f t="shared" si="160"/>
        <v>0</v>
      </c>
      <c r="AF78" s="2" t="s">
        <v>2757</v>
      </c>
    </row>
    <row r="79">
      <c r="A79" s="92" t="s">
        <v>887</v>
      </c>
      <c r="B79" s="64" t="s">
        <v>2771</v>
      </c>
      <c r="C79" s="64">
        <v>68.0</v>
      </c>
      <c r="D79" s="64" t="str">
        <f t="shared" si="3"/>
        <v>CO4486068c</v>
      </c>
      <c r="E79" s="168">
        <v>44860.0</v>
      </c>
      <c r="F79" s="2" t="s">
        <v>536</v>
      </c>
      <c r="G79" s="2" t="s">
        <v>1488</v>
      </c>
      <c r="H79" s="2" t="s">
        <v>1488</v>
      </c>
      <c r="I79" s="2">
        <f t="shared" ref="I79:K79" si="161">If(Iserr(search(I$1,$H79)),0,1)</f>
        <v>0</v>
      </c>
      <c r="J79" s="2">
        <f t="shared" si="161"/>
        <v>1</v>
      </c>
      <c r="K79" s="2">
        <f t="shared" si="161"/>
        <v>0</v>
      </c>
      <c r="L79" s="2">
        <f t="shared" si="5"/>
        <v>0</v>
      </c>
      <c r="M79" s="2">
        <f t="shared" ref="M79:AE79" si="162">If(Iserr(search(M$1,$H79)),0,1)</f>
        <v>0</v>
      </c>
      <c r="N79" s="2">
        <f t="shared" si="162"/>
        <v>0</v>
      </c>
      <c r="O79" s="2">
        <f t="shared" si="162"/>
        <v>0</v>
      </c>
      <c r="P79" s="2">
        <f t="shared" si="162"/>
        <v>0</v>
      </c>
      <c r="Q79" s="2">
        <f t="shared" si="162"/>
        <v>0</v>
      </c>
      <c r="R79" s="2">
        <f t="shared" si="162"/>
        <v>0</v>
      </c>
      <c r="S79" s="2">
        <f t="shared" si="162"/>
        <v>0</v>
      </c>
      <c r="T79" s="2">
        <f t="shared" si="162"/>
        <v>0</v>
      </c>
      <c r="U79" s="2">
        <f t="shared" si="162"/>
        <v>0</v>
      </c>
      <c r="V79" s="2">
        <f t="shared" si="162"/>
        <v>0</v>
      </c>
      <c r="W79" s="2">
        <f t="shared" si="162"/>
        <v>0</v>
      </c>
      <c r="X79" s="2">
        <f t="shared" si="162"/>
        <v>0</v>
      </c>
      <c r="Y79" s="2">
        <f t="shared" si="162"/>
        <v>0</v>
      </c>
      <c r="Z79" s="2">
        <f t="shared" si="162"/>
        <v>0</v>
      </c>
      <c r="AA79" s="2">
        <f t="shared" si="162"/>
        <v>0</v>
      </c>
      <c r="AB79" s="2">
        <f t="shared" si="162"/>
        <v>0</v>
      </c>
      <c r="AC79" s="2">
        <f t="shared" si="162"/>
        <v>0</v>
      </c>
      <c r="AD79" s="2">
        <f t="shared" si="162"/>
        <v>0</v>
      </c>
      <c r="AE79" s="2">
        <f t="shared" si="162"/>
        <v>0</v>
      </c>
      <c r="AF79" s="2" t="s">
        <v>2757</v>
      </c>
    </row>
    <row r="80">
      <c r="A80" s="92" t="s">
        <v>910</v>
      </c>
      <c r="B80" s="64">
        <f>B77+1</f>
        <v>69</v>
      </c>
      <c r="C80" s="64">
        <v>69.0</v>
      </c>
      <c r="D80" s="64" t="str">
        <f t="shared" si="3"/>
        <v>CO4488869</v>
      </c>
      <c r="E80" s="168">
        <v>44888.0</v>
      </c>
      <c r="F80" s="2" t="s">
        <v>2794</v>
      </c>
      <c r="G80" s="2" t="s">
        <v>1503</v>
      </c>
      <c r="H80" s="2" t="s">
        <v>1503</v>
      </c>
      <c r="I80" s="2">
        <f t="shared" ref="I80:K80" si="163">If(Iserr(search(I$1,$H80)),0,1)</f>
        <v>0</v>
      </c>
      <c r="J80" s="2">
        <f t="shared" si="163"/>
        <v>0</v>
      </c>
      <c r="K80" s="2">
        <f t="shared" si="163"/>
        <v>0</v>
      </c>
      <c r="L80" s="2">
        <f t="shared" si="5"/>
        <v>0</v>
      </c>
      <c r="M80" s="2">
        <f t="shared" ref="M80:AE80" si="164">If(Iserr(search(M$1,$H80)),0,1)</f>
        <v>0</v>
      </c>
      <c r="N80" s="2">
        <f t="shared" si="164"/>
        <v>0</v>
      </c>
      <c r="O80" s="2">
        <f t="shared" si="164"/>
        <v>0</v>
      </c>
      <c r="P80" s="2">
        <f t="shared" si="164"/>
        <v>0</v>
      </c>
      <c r="Q80" s="2">
        <f t="shared" si="164"/>
        <v>0</v>
      </c>
      <c r="R80" s="2">
        <f t="shared" si="164"/>
        <v>0</v>
      </c>
      <c r="S80" s="2">
        <f t="shared" si="164"/>
        <v>0</v>
      </c>
      <c r="T80" s="2">
        <f t="shared" si="164"/>
        <v>0</v>
      </c>
      <c r="U80" s="2">
        <f t="shared" si="164"/>
        <v>0</v>
      </c>
      <c r="V80" s="2">
        <f t="shared" si="164"/>
        <v>0</v>
      </c>
      <c r="W80" s="2">
        <f t="shared" si="164"/>
        <v>0</v>
      </c>
      <c r="X80" s="2">
        <f t="shared" si="164"/>
        <v>0</v>
      </c>
      <c r="Y80" s="2">
        <f t="shared" si="164"/>
        <v>0</v>
      </c>
      <c r="Z80" s="2">
        <f t="shared" si="164"/>
        <v>0</v>
      </c>
      <c r="AA80" s="2">
        <f t="shared" si="164"/>
        <v>0</v>
      </c>
      <c r="AB80" s="2">
        <f t="shared" si="164"/>
        <v>0</v>
      </c>
      <c r="AC80" s="2">
        <f t="shared" si="164"/>
        <v>0</v>
      </c>
      <c r="AD80" s="2">
        <f t="shared" si="164"/>
        <v>0</v>
      </c>
      <c r="AE80" s="2">
        <f t="shared" si="164"/>
        <v>1</v>
      </c>
      <c r="AF80" s="2" t="s">
        <v>2804</v>
      </c>
    </row>
    <row r="81">
      <c r="A81" s="92" t="s">
        <v>910</v>
      </c>
      <c r="B81" s="64" t="s">
        <v>2806</v>
      </c>
      <c r="C81" s="64">
        <v>69.0</v>
      </c>
      <c r="D81" s="64" t="str">
        <f t="shared" si="3"/>
        <v>CO4488869b</v>
      </c>
      <c r="E81" s="168">
        <v>44888.0</v>
      </c>
      <c r="F81" s="2" t="s">
        <v>2807</v>
      </c>
      <c r="G81" s="2" t="s">
        <v>1503</v>
      </c>
      <c r="H81" s="2" t="s">
        <v>1503</v>
      </c>
      <c r="I81" s="2">
        <f t="shared" ref="I81:K81" si="165">If(Iserr(search(I$1,$H81)),0,1)</f>
        <v>0</v>
      </c>
      <c r="J81" s="2">
        <f t="shared" si="165"/>
        <v>0</v>
      </c>
      <c r="K81" s="2">
        <f t="shared" si="165"/>
        <v>0</v>
      </c>
      <c r="L81" s="2">
        <f t="shared" si="5"/>
        <v>0</v>
      </c>
      <c r="M81" s="2">
        <f t="shared" ref="M81:AE81" si="166">If(Iserr(search(M$1,$H81)),0,1)</f>
        <v>0</v>
      </c>
      <c r="N81" s="2">
        <f t="shared" si="166"/>
        <v>0</v>
      </c>
      <c r="O81" s="2">
        <f t="shared" si="166"/>
        <v>0</v>
      </c>
      <c r="P81" s="2">
        <f t="shared" si="166"/>
        <v>0</v>
      </c>
      <c r="Q81" s="2">
        <f t="shared" si="166"/>
        <v>0</v>
      </c>
      <c r="R81" s="2">
        <f t="shared" si="166"/>
        <v>0</v>
      </c>
      <c r="S81" s="2">
        <f t="shared" si="166"/>
        <v>0</v>
      </c>
      <c r="T81" s="2">
        <f t="shared" si="166"/>
        <v>0</v>
      </c>
      <c r="U81" s="2">
        <f t="shared" si="166"/>
        <v>0</v>
      </c>
      <c r="V81" s="2">
        <f t="shared" si="166"/>
        <v>0</v>
      </c>
      <c r="W81" s="2">
        <f t="shared" si="166"/>
        <v>0</v>
      </c>
      <c r="X81" s="2">
        <f t="shared" si="166"/>
        <v>0</v>
      </c>
      <c r="Y81" s="2">
        <f t="shared" si="166"/>
        <v>0</v>
      </c>
      <c r="Z81" s="2">
        <f t="shared" si="166"/>
        <v>0</v>
      </c>
      <c r="AA81" s="2">
        <f t="shared" si="166"/>
        <v>0</v>
      </c>
      <c r="AB81" s="2">
        <f t="shared" si="166"/>
        <v>0</v>
      </c>
      <c r="AC81" s="2">
        <f t="shared" si="166"/>
        <v>0</v>
      </c>
      <c r="AD81" s="2">
        <f t="shared" si="166"/>
        <v>0</v>
      </c>
      <c r="AE81" s="2">
        <f t="shared" si="166"/>
        <v>1</v>
      </c>
      <c r="AF81" s="2" t="s">
        <v>2804</v>
      </c>
    </row>
    <row r="82">
      <c r="A82" s="92" t="s">
        <v>921</v>
      </c>
      <c r="B82" s="64">
        <f>B80+1</f>
        <v>70</v>
      </c>
      <c r="C82" s="64">
        <v>70.0</v>
      </c>
      <c r="D82" s="64" t="str">
        <f t="shared" si="3"/>
        <v>CO4491070</v>
      </c>
      <c r="E82" s="168">
        <v>44910.0</v>
      </c>
      <c r="F82" s="2" t="s">
        <v>2825</v>
      </c>
      <c r="G82" s="2" t="s">
        <v>2826</v>
      </c>
      <c r="H82" s="2" t="s">
        <v>2826</v>
      </c>
      <c r="I82" s="2">
        <f t="shared" ref="I82:K82" si="167">If(Iserr(search(I$1,$H82)),0,1)</f>
        <v>0</v>
      </c>
      <c r="J82" s="2">
        <f t="shared" si="167"/>
        <v>0</v>
      </c>
      <c r="K82" s="2">
        <f t="shared" si="167"/>
        <v>0</v>
      </c>
      <c r="L82" s="2">
        <f t="shared" si="5"/>
        <v>0</v>
      </c>
      <c r="M82" s="2">
        <f t="shared" ref="M82:AE82" si="168">If(Iserr(search(M$1,$H82)),0,1)</f>
        <v>0</v>
      </c>
      <c r="N82" s="2">
        <f t="shared" si="168"/>
        <v>0</v>
      </c>
      <c r="O82" s="2">
        <f t="shared" si="168"/>
        <v>0</v>
      </c>
      <c r="P82" s="2">
        <f t="shared" si="168"/>
        <v>0</v>
      </c>
      <c r="Q82" s="2">
        <f t="shared" si="168"/>
        <v>0</v>
      </c>
      <c r="R82" s="2">
        <f t="shared" si="168"/>
        <v>0</v>
      </c>
      <c r="S82" s="2">
        <f t="shared" si="168"/>
        <v>0</v>
      </c>
      <c r="T82" s="2">
        <f t="shared" si="168"/>
        <v>0</v>
      </c>
      <c r="U82" s="2">
        <f t="shared" si="168"/>
        <v>0</v>
      </c>
      <c r="V82" s="2">
        <f t="shared" si="168"/>
        <v>0</v>
      </c>
      <c r="W82" s="2">
        <f t="shared" si="168"/>
        <v>0</v>
      </c>
      <c r="X82" s="2">
        <f t="shared" si="168"/>
        <v>0</v>
      </c>
      <c r="Y82" s="2">
        <f t="shared" si="168"/>
        <v>0</v>
      </c>
      <c r="Z82" s="2">
        <f t="shared" si="168"/>
        <v>0</v>
      </c>
      <c r="AA82" s="2">
        <f t="shared" si="168"/>
        <v>0</v>
      </c>
      <c r="AB82" s="2">
        <f t="shared" si="168"/>
        <v>0</v>
      </c>
      <c r="AC82" s="2">
        <f t="shared" si="168"/>
        <v>0</v>
      </c>
      <c r="AD82" s="2">
        <f t="shared" si="168"/>
        <v>1</v>
      </c>
      <c r="AE82" s="2">
        <f t="shared" si="168"/>
        <v>1</v>
      </c>
      <c r="AF82" s="2" t="s">
        <v>2837</v>
      </c>
    </row>
    <row r="83">
      <c r="A83" s="92" t="s">
        <v>931</v>
      </c>
      <c r="B83" s="64">
        <f t="shared" ref="B83:B84" si="171">B82+1</f>
        <v>71</v>
      </c>
      <c r="C83" s="64">
        <v>71.0</v>
      </c>
      <c r="D83" s="64" t="str">
        <f t="shared" si="3"/>
        <v>CO4493171</v>
      </c>
      <c r="E83" s="168">
        <v>44931.0</v>
      </c>
      <c r="F83" s="2" t="s">
        <v>2844</v>
      </c>
      <c r="G83" s="2" t="s">
        <v>1503</v>
      </c>
      <c r="H83" s="2" t="s">
        <v>1503</v>
      </c>
      <c r="I83" s="2">
        <f t="shared" ref="I83:K83" si="169">If(Iserr(search(I$1,$H83)),0,1)</f>
        <v>0</v>
      </c>
      <c r="J83" s="2">
        <f t="shared" si="169"/>
        <v>0</v>
      </c>
      <c r="K83" s="2">
        <f t="shared" si="169"/>
        <v>0</v>
      </c>
      <c r="L83" s="2">
        <f t="shared" si="5"/>
        <v>0</v>
      </c>
      <c r="M83" s="2">
        <f t="shared" ref="M83:AE83" si="170">If(Iserr(search(M$1,$H83)),0,1)</f>
        <v>0</v>
      </c>
      <c r="N83" s="2">
        <f t="shared" si="170"/>
        <v>0</v>
      </c>
      <c r="O83" s="2">
        <f t="shared" si="170"/>
        <v>0</v>
      </c>
      <c r="P83" s="2">
        <f t="shared" si="170"/>
        <v>0</v>
      </c>
      <c r="Q83" s="2">
        <f t="shared" si="170"/>
        <v>0</v>
      </c>
      <c r="R83" s="2">
        <f t="shared" si="170"/>
        <v>0</v>
      </c>
      <c r="S83" s="2">
        <f t="shared" si="170"/>
        <v>0</v>
      </c>
      <c r="T83" s="2">
        <f t="shared" si="170"/>
        <v>0</v>
      </c>
      <c r="U83" s="2">
        <f t="shared" si="170"/>
        <v>0</v>
      </c>
      <c r="V83" s="2">
        <f t="shared" si="170"/>
        <v>0</v>
      </c>
      <c r="W83" s="2">
        <f t="shared" si="170"/>
        <v>0</v>
      </c>
      <c r="X83" s="2">
        <f t="shared" si="170"/>
        <v>0</v>
      </c>
      <c r="Y83" s="2">
        <f t="shared" si="170"/>
        <v>0</v>
      </c>
      <c r="Z83" s="2">
        <f t="shared" si="170"/>
        <v>0</v>
      </c>
      <c r="AA83" s="2">
        <f t="shared" si="170"/>
        <v>0</v>
      </c>
      <c r="AB83" s="2">
        <f t="shared" si="170"/>
        <v>0</v>
      </c>
      <c r="AC83" s="2">
        <f t="shared" si="170"/>
        <v>0</v>
      </c>
      <c r="AD83" s="2">
        <f t="shared" si="170"/>
        <v>0</v>
      </c>
      <c r="AE83" s="2">
        <f t="shared" si="170"/>
        <v>1</v>
      </c>
      <c r="AF83" s="2" t="s">
        <v>2854</v>
      </c>
    </row>
    <row r="84">
      <c r="A84" s="92" t="s">
        <v>935</v>
      </c>
      <c r="B84" s="64">
        <f t="shared" si="171"/>
        <v>72</v>
      </c>
      <c r="C84" s="64">
        <v>72.0</v>
      </c>
      <c r="D84" s="64" t="str">
        <f t="shared" si="3"/>
        <v>CO4493172</v>
      </c>
      <c r="E84" s="168">
        <v>44931.0</v>
      </c>
      <c r="F84" s="2" t="s">
        <v>2859</v>
      </c>
      <c r="G84" s="2" t="s">
        <v>419</v>
      </c>
      <c r="H84" s="2" t="s">
        <v>2343</v>
      </c>
      <c r="I84" s="2">
        <f t="shared" ref="I84:K84" si="172">If(Iserr(search(I$1,$H84)),0,1)</f>
        <v>0</v>
      </c>
      <c r="J84" s="2">
        <f t="shared" si="172"/>
        <v>0</v>
      </c>
      <c r="K84" s="2">
        <f t="shared" si="172"/>
        <v>0</v>
      </c>
      <c r="L84" s="2">
        <f t="shared" si="5"/>
        <v>0</v>
      </c>
      <c r="M84" s="2">
        <f t="shared" ref="M84:AE84" si="173">If(Iserr(search(M$1,$H84)),0,1)</f>
        <v>0</v>
      </c>
      <c r="N84" s="2">
        <f t="shared" si="173"/>
        <v>0</v>
      </c>
      <c r="O84" s="2">
        <f t="shared" si="173"/>
        <v>0</v>
      </c>
      <c r="P84" s="2">
        <f t="shared" si="173"/>
        <v>0</v>
      </c>
      <c r="Q84" s="2">
        <f t="shared" si="173"/>
        <v>0</v>
      </c>
      <c r="R84" s="2">
        <f t="shared" si="173"/>
        <v>0</v>
      </c>
      <c r="S84" s="2">
        <f t="shared" si="173"/>
        <v>0</v>
      </c>
      <c r="T84" s="2">
        <f t="shared" si="173"/>
        <v>0</v>
      </c>
      <c r="U84" s="2">
        <f t="shared" si="173"/>
        <v>0</v>
      </c>
      <c r="V84" s="2">
        <f t="shared" si="173"/>
        <v>0</v>
      </c>
      <c r="W84" s="2">
        <f t="shared" si="173"/>
        <v>0</v>
      </c>
      <c r="X84" s="2">
        <f t="shared" si="173"/>
        <v>0</v>
      </c>
      <c r="Y84" s="2">
        <f t="shared" si="173"/>
        <v>0</v>
      </c>
      <c r="Z84" s="2">
        <f t="shared" si="173"/>
        <v>0</v>
      </c>
      <c r="AA84" s="2">
        <f t="shared" si="173"/>
        <v>0</v>
      </c>
      <c r="AB84" s="2">
        <f t="shared" si="173"/>
        <v>0</v>
      </c>
      <c r="AC84" s="2">
        <f t="shared" si="173"/>
        <v>0</v>
      </c>
      <c r="AD84" s="2">
        <f t="shared" si="173"/>
        <v>0</v>
      </c>
      <c r="AE84" s="2">
        <f t="shared" si="173"/>
        <v>0</v>
      </c>
      <c r="AF84" s="2" t="s">
        <v>2869</v>
      </c>
    </row>
    <row r="85">
      <c r="A85" s="92" t="s">
        <v>935</v>
      </c>
      <c r="B85" s="64" t="s">
        <v>2870</v>
      </c>
      <c r="C85" s="64">
        <v>72.0</v>
      </c>
      <c r="D85" s="64" t="str">
        <f t="shared" si="3"/>
        <v>CO4493172b</v>
      </c>
      <c r="E85" s="168">
        <v>44931.0</v>
      </c>
      <c r="F85" s="2" t="s">
        <v>2872</v>
      </c>
      <c r="G85" s="2" t="s">
        <v>1488</v>
      </c>
      <c r="H85" s="2" t="s">
        <v>1488</v>
      </c>
      <c r="I85" s="2">
        <f t="shared" ref="I85:K85" si="174">If(Iserr(search(I$1,$H85)),0,1)</f>
        <v>0</v>
      </c>
      <c r="J85" s="2">
        <f t="shared" si="174"/>
        <v>1</v>
      </c>
      <c r="K85" s="2">
        <f t="shared" si="174"/>
        <v>0</v>
      </c>
      <c r="L85" s="2">
        <f t="shared" si="5"/>
        <v>0</v>
      </c>
      <c r="M85" s="2">
        <f t="shared" ref="M85:AE85" si="175">If(Iserr(search(M$1,$H85)),0,1)</f>
        <v>0</v>
      </c>
      <c r="N85" s="2">
        <f t="shared" si="175"/>
        <v>0</v>
      </c>
      <c r="O85" s="2">
        <f t="shared" si="175"/>
        <v>0</v>
      </c>
      <c r="P85" s="2">
        <f t="shared" si="175"/>
        <v>0</v>
      </c>
      <c r="Q85" s="2">
        <f t="shared" si="175"/>
        <v>0</v>
      </c>
      <c r="R85" s="2">
        <f t="shared" si="175"/>
        <v>0</v>
      </c>
      <c r="S85" s="2">
        <f t="shared" si="175"/>
        <v>0</v>
      </c>
      <c r="T85" s="2">
        <f t="shared" si="175"/>
        <v>0</v>
      </c>
      <c r="U85" s="2">
        <f t="shared" si="175"/>
        <v>0</v>
      </c>
      <c r="V85" s="2">
        <f t="shared" si="175"/>
        <v>0</v>
      </c>
      <c r="W85" s="2">
        <f t="shared" si="175"/>
        <v>0</v>
      </c>
      <c r="X85" s="2">
        <f t="shared" si="175"/>
        <v>0</v>
      </c>
      <c r="Y85" s="2">
        <f t="shared" si="175"/>
        <v>0</v>
      </c>
      <c r="Z85" s="2">
        <f t="shared" si="175"/>
        <v>0</v>
      </c>
      <c r="AA85" s="2">
        <f t="shared" si="175"/>
        <v>0</v>
      </c>
      <c r="AB85" s="2">
        <f t="shared" si="175"/>
        <v>0</v>
      </c>
      <c r="AC85" s="2">
        <f t="shared" si="175"/>
        <v>0</v>
      </c>
      <c r="AD85" s="2">
        <f t="shared" si="175"/>
        <v>0</v>
      </c>
      <c r="AE85" s="2">
        <f t="shared" si="175"/>
        <v>0</v>
      </c>
      <c r="AF85" s="2" t="s">
        <v>2869</v>
      </c>
    </row>
    <row r="86">
      <c r="A86" s="92" t="s">
        <v>954</v>
      </c>
      <c r="B86" s="64">
        <f>B84+1</f>
        <v>73</v>
      </c>
      <c r="C86" s="64">
        <v>73.0</v>
      </c>
      <c r="D86" s="64" t="str">
        <f t="shared" si="3"/>
        <v>CO4495373</v>
      </c>
      <c r="E86" s="168">
        <v>44953.0</v>
      </c>
      <c r="F86" s="2" t="s">
        <v>2883</v>
      </c>
      <c r="G86" s="2" t="s">
        <v>1503</v>
      </c>
      <c r="H86" s="2" t="s">
        <v>1503</v>
      </c>
      <c r="I86" s="2">
        <f t="shared" ref="I86:K86" si="176">If(Iserr(search(I$1,$H86)),0,1)</f>
        <v>0</v>
      </c>
      <c r="J86" s="2">
        <f t="shared" si="176"/>
        <v>0</v>
      </c>
      <c r="K86" s="2">
        <f t="shared" si="176"/>
        <v>0</v>
      </c>
      <c r="L86" s="2">
        <f t="shared" si="5"/>
        <v>0</v>
      </c>
      <c r="M86" s="2">
        <f t="shared" ref="M86:AE86" si="177">If(Iserr(search(M$1,$H86)),0,1)</f>
        <v>0</v>
      </c>
      <c r="N86" s="2">
        <f t="shared" si="177"/>
        <v>0</v>
      </c>
      <c r="O86" s="2">
        <f t="shared" si="177"/>
        <v>0</v>
      </c>
      <c r="P86" s="2">
        <f t="shared" si="177"/>
        <v>0</v>
      </c>
      <c r="Q86" s="2">
        <f t="shared" si="177"/>
        <v>0</v>
      </c>
      <c r="R86" s="2">
        <f t="shared" si="177"/>
        <v>0</v>
      </c>
      <c r="S86" s="2">
        <f t="shared" si="177"/>
        <v>0</v>
      </c>
      <c r="T86" s="2">
        <f t="shared" si="177"/>
        <v>0</v>
      </c>
      <c r="U86" s="2">
        <f t="shared" si="177"/>
        <v>0</v>
      </c>
      <c r="V86" s="2">
        <f t="shared" si="177"/>
        <v>0</v>
      </c>
      <c r="W86" s="2">
        <f t="shared" si="177"/>
        <v>0</v>
      </c>
      <c r="X86" s="2">
        <f t="shared" si="177"/>
        <v>0</v>
      </c>
      <c r="Y86" s="2">
        <f t="shared" si="177"/>
        <v>0</v>
      </c>
      <c r="Z86" s="2">
        <f t="shared" si="177"/>
        <v>0</v>
      </c>
      <c r="AA86" s="2">
        <f t="shared" si="177"/>
        <v>0</v>
      </c>
      <c r="AB86" s="2">
        <f t="shared" si="177"/>
        <v>0</v>
      </c>
      <c r="AC86" s="2">
        <f t="shared" si="177"/>
        <v>0</v>
      </c>
      <c r="AD86" s="2">
        <f t="shared" si="177"/>
        <v>0</v>
      </c>
      <c r="AE86" s="2">
        <f t="shared" si="177"/>
        <v>1</v>
      </c>
      <c r="AF86" s="2" t="s">
        <v>2888</v>
      </c>
    </row>
    <row r="87">
      <c r="A87" s="92" t="s">
        <v>954</v>
      </c>
      <c r="B87" s="64" t="s">
        <v>2889</v>
      </c>
      <c r="C87" s="64">
        <v>73.0</v>
      </c>
      <c r="D87" s="64" t="str">
        <f t="shared" si="3"/>
        <v>CO4495373b</v>
      </c>
      <c r="E87" s="168">
        <v>44953.0</v>
      </c>
      <c r="F87" s="2" t="s">
        <v>2891</v>
      </c>
      <c r="G87" s="2" t="s">
        <v>210</v>
      </c>
      <c r="H87" s="2" t="s">
        <v>210</v>
      </c>
      <c r="I87" s="2">
        <f t="shared" ref="I87:K87" si="178">If(Iserr(search(I$1,$H87)),0,1)</f>
        <v>0</v>
      </c>
      <c r="J87" s="2">
        <f t="shared" si="178"/>
        <v>0</v>
      </c>
      <c r="K87" s="2">
        <f t="shared" si="178"/>
        <v>0</v>
      </c>
      <c r="L87" s="2">
        <f t="shared" si="5"/>
        <v>0</v>
      </c>
      <c r="M87" s="2">
        <f t="shared" ref="M87:AE87" si="179">If(Iserr(search(M$1,$H87)),0,1)</f>
        <v>0</v>
      </c>
      <c r="N87" s="2">
        <f t="shared" si="179"/>
        <v>0</v>
      </c>
      <c r="O87" s="2">
        <f t="shared" si="179"/>
        <v>0</v>
      </c>
      <c r="P87" s="2">
        <f t="shared" si="179"/>
        <v>0</v>
      </c>
      <c r="Q87" s="2">
        <f t="shared" si="179"/>
        <v>0</v>
      </c>
      <c r="R87" s="2">
        <f t="shared" si="179"/>
        <v>0</v>
      </c>
      <c r="S87" s="2">
        <f t="shared" si="179"/>
        <v>0</v>
      </c>
      <c r="T87" s="2">
        <f t="shared" si="179"/>
        <v>0</v>
      </c>
      <c r="U87" s="2">
        <f t="shared" si="179"/>
        <v>0</v>
      </c>
      <c r="V87" s="2">
        <f t="shared" si="179"/>
        <v>0</v>
      </c>
      <c r="W87" s="2">
        <f t="shared" si="179"/>
        <v>0</v>
      </c>
      <c r="X87" s="2">
        <f t="shared" si="179"/>
        <v>0</v>
      </c>
      <c r="Y87" s="2">
        <f t="shared" si="179"/>
        <v>0</v>
      </c>
      <c r="Z87" s="2">
        <f t="shared" si="179"/>
        <v>0</v>
      </c>
      <c r="AA87" s="2">
        <f t="shared" si="179"/>
        <v>0</v>
      </c>
      <c r="AB87" s="2">
        <f t="shared" si="179"/>
        <v>0</v>
      </c>
      <c r="AC87" s="2">
        <f t="shared" si="179"/>
        <v>0</v>
      </c>
      <c r="AD87" s="2">
        <f t="shared" si="179"/>
        <v>1</v>
      </c>
      <c r="AE87" s="2">
        <f t="shared" si="179"/>
        <v>0</v>
      </c>
      <c r="AF87" s="2" t="s">
        <v>2888</v>
      </c>
    </row>
    <row r="88">
      <c r="A88" s="92" t="s">
        <v>954</v>
      </c>
      <c r="B88" s="64" t="s">
        <v>2900</v>
      </c>
      <c r="C88" s="64">
        <v>73.0</v>
      </c>
      <c r="D88" s="64" t="str">
        <f t="shared" si="3"/>
        <v>CO4495373c</v>
      </c>
      <c r="E88" s="168">
        <v>44953.0</v>
      </c>
      <c r="F88" s="2" t="s">
        <v>2901</v>
      </c>
      <c r="G88" s="2" t="s">
        <v>1488</v>
      </c>
      <c r="H88" s="2" t="s">
        <v>1488</v>
      </c>
      <c r="I88" s="2">
        <f t="shared" ref="I88:K88" si="180">If(Iserr(search(I$1,$H88)),0,1)</f>
        <v>0</v>
      </c>
      <c r="J88" s="2">
        <f t="shared" si="180"/>
        <v>1</v>
      </c>
      <c r="K88" s="2">
        <f t="shared" si="180"/>
        <v>0</v>
      </c>
      <c r="L88" s="2">
        <f t="shared" si="5"/>
        <v>0</v>
      </c>
      <c r="M88" s="2">
        <f t="shared" ref="M88:AE88" si="181">If(Iserr(search(M$1,$H88)),0,1)</f>
        <v>0</v>
      </c>
      <c r="N88" s="2">
        <f t="shared" si="181"/>
        <v>0</v>
      </c>
      <c r="O88" s="2">
        <f t="shared" si="181"/>
        <v>0</v>
      </c>
      <c r="P88" s="2">
        <f t="shared" si="181"/>
        <v>0</v>
      </c>
      <c r="Q88" s="2">
        <f t="shared" si="181"/>
        <v>0</v>
      </c>
      <c r="R88" s="2">
        <f t="shared" si="181"/>
        <v>0</v>
      </c>
      <c r="S88" s="2">
        <f t="shared" si="181"/>
        <v>0</v>
      </c>
      <c r="T88" s="2">
        <f t="shared" si="181"/>
        <v>0</v>
      </c>
      <c r="U88" s="2">
        <f t="shared" si="181"/>
        <v>0</v>
      </c>
      <c r="V88" s="2">
        <f t="shared" si="181"/>
        <v>0</v>
      </c>
      <c r="W88" s="2">
        <f t="shared" si="181"/>
        <v>0</v>
      </c>
      <c r="X88" s="2">
        <f t="shared" si="181"/>
        <v>0</v>
      </c>
      <c r="Y88" s="2">
        <f t="shared" si="181"/>
        <v>0</v>
      </c>
      <c r="Z88" s="2">
        <f t="shared" si="181"/>
        <v>0</v>
      </c>
      <c r="AA88" s="2">
        <f t="shared" si="181"/>
        <v>0</v>
      </c>
      <c r="AB88" s="2">
        <f t="shared" si="181"/>
        <v>0</v>
      </c>
      <c r="AC88" s="2">
        <f t="shared" si="181"/>
        <v>0</v>
      </c>
      <c r="AD88" s="2">
        <f t="shared" si="181"/>
        <v>0</v>
      </c>
      <c r="AE88" s="2">
        <f t="shared" si="181"/>
        <v>0</v>
      </c>
      <c r="AF88" s="2" t="s">
        <v>2888</v>
      </c>
    </row>
    <row r="89">
      <c r="A89" s="92" t="s">
        <v>954</v>
      </c>
      <c r="B89" s="64" t="s">
        <v>2906</v>
      </c>
      <c r="C89" s="64">
        <v>73.0</v>
      </c>
      <c r="D89" s="64" t="str">
        <f t="shared" si="3"/>
        <v>CO4495373d</v>
      </c>
      <c r="E89" s="168">
        <v>44953.0</v>
      </c>
      <c r="F89" s="2" t="s">
        <v>2826</v>
      </c>
      <c r="G89" s="2" t="s">
        <v>2826</v>
      </c>
      <c r="H89" s="2" t="s">
        <v>2826</v>
      </c>
      <c r="I89" s="2">
        <f t="shared" ref="I89:K89" si="182">If(Iserr(search(I$1,$H89)),0,1)</f>
        <v>0</v>
      </c>
      <c r="J89" s="2">
        <f t="shared" si="182"/>
        <v>0</v>
      </c>
      <c r="K89" s="2">
        <f t="shared" si="182"/>
        <v>0</v>
      </c>
      <c r="L89" s="2">
        <f t="shared" si="5"/>
        <v>0</v>
      </c>
      <c r="M89" s="2">
        <f t="shared" ref="M89:AE89" si="183">If(Iserr(search(M$1,$H89)),0,1)</f>
        <v>0</v>
      </c>
      <c r="N89" s="2">
        <f t="shared" si="183"/>
        <v>0</v>
      </c>
      <c r="O89" s="2">
        <f t="shared" si="183"/>
        <v>0</v>
      </c>
      <c r="P89" s="2">
        <f t="shared" si="183"/>
        <v>0</v>
      </c>
      <c r="Q89" s="2">
        <f t="shared" si="183"/>
        <v>0</v>
      </c>
      <c r="R89" s="2">
        <f t="shared" si="183"/>
        <v>0</v>
      </c>
      <c r="S89" s="2">
        <f t="shared" si="183"/>
        <v>0</v>
      </c>
      <c r="T89" s="2">
        <f t="shared" si="183"/>
        <v>0</v>
      </c>
      <c r="U89" s="2">
        <f t="shared" si="183"/>
        <v>0</v>
      </c>
      <c r="V89" s="2">
        <f t="shared" si="183"/>
        <v>0</v>
      </c>
      <c r="W89" s="2">
        <f t="shared" si="183"/>
        <v>0</v>
      </c>
      <c r="X89" s="2">
        <f t="shared" si="183"/>
        <v>0</v>
      </c>
      <c r="Y89" s="2">
        <f t="shared" si="183"/>
        <v>0</v>
      </c>
      <c r="Z89" s="2">
        <f t="shared" si="183"/>
        <v>0</v>
      </c>
      <c r="AA89" s="2">
        <f t="shared" si="183"/>
        <v>0</v>
      </c>
      <c r="AB89" s="2">
        <f t="shared" si="183"/>
        <v>0</v>
      </c>
      <c r="AC89" s="2">
        <f t="shared" si="183"/>
        <v>0</v>
      </c>
      <c r="AD89" s="2">
        <f t="shared" si="183"/>
        <v>1</v>
      </c>
      <c r="AE89" s="2">
        <f t="shared" si="183"/>
        <v>1</v>
      </c>
      <c r="AF89" s="2" t="s">
        <v>2888</v>
      </c>
    </row>
    <row r="90">
      <c r="A90" s="92" t="s">
        <v>1035</v>
      </c>
      <c r="B90" s="64">
        <f>B86+1</f>
        <v>74</v>
      </c>
      <c r="C90" s="64">
        <v>74.0</v>
      </c>
      <c r="D90" s="64" t="str">
        <f t="shared" si="3"/>
        <v>CO4499474</v>
      </c>
      <c r="E90" s="168">
        <v>44994.0</v>
      </c>
      <c r="F90" s="2" t="s">
        <v>1503</v>
      </c>
      <c r="G90" s="2" t="s">
        <v>1503</v>
      </c>
      <c r="H90" s="2" t="s">
        <v>1503</v>
      </c>
      <c r="I90" s="2">
        <f t="shared" ref="I90:K90" si="184">If(Iserr(search(I$1,$H90)),0,1)</f>
        <v>0</v>
      </c>
      <c r="J90" s="2">
        <f t="shared" si="184"/>
        <v>0</v>
      </c>
      <c r="K90" s="2">
        <f t="shared" si="184"/>
        <v>0</v>
      </c>
      <c r="L90" s="2">
        <f t="shared" si="5"/>
        <v>0</v>
      </c>
      <c r="M90" s="2">
        <f t="shared" ref="M90:AE90" si="185">If(Iserr(search(M$1,$H90)),0,1)</f>
        <v>0</v>
      </c>
      <c r="N90" s="2">
        <f t="shared" si="185"/>
        <v>0</v>
      </c>
      <c r="O90" s="2">
        <f t="shared" si="185"/>
        <v>0</v>
      </c>
      <c r="P90" s="2">
        <f t="shared" si="185"/>
        <v>0</v>
      </c>
      <c r="Q90" s="2">
        <f t="shared" si="185"/>
        <v>0</v>
      </c>
      <c r="R90" s="2">
        <f t="shared" si="185"/>
        <v>0</v>
      </c>
      <c r="S90" s="2">
        <f t="shared" si="185"/>
        <v>0</v>
      </c>
      <c r="T90" s="2">
        <f t="shared" si="185"/>
        <v>0</v>
      </c>
      <c r="U90" s="2">
        <f t="shared" si="185"/>
        <v>0</v>
      </c>
      <c r="V90" s="2">
        <f t="shared" si="185"/>
        <v>0</v>
      </c>
      <c r="W90" s="2">
        <f t="shared" si="185"/>
        <v>0</v>
      </c>
      <c r="X90" s="2">
        <f t="shared" si="185"/>
        <v>0</v>
      </c>
      <c r="Y90" s="2">
        <f t="shared" si="185"/>
        <v>0</v>
      </c>
      <c r="Z90" s="2">
        <f t="shared" si="185"/>
        <v>0</v>
      </c>
      <c r="AA90" s="2">
        <f t="shared" si="185"/>
        <v>0</v>
      </c>
      <c r="AB90" s="2">
        <f t="shared" si="185"/>
        <v>0</v>
      </c>
      <c r="AC90" s="2">
        <f t="shared" si="185"/>
        <v>0</v>
      </c>
      <c r="AD90" s="2">
        <f t="shared" si="185"/>
        <v>0</v>
      </c>
      <c r="AE90" s="2">
        <f t="shared" si="185"/>
        <v>1</v>
      </c>
      <c r="AF90" s="2" t="s">
        <v>2907</v>
      </c>
    </row>
    <row r="91">
      <c r="A91" s="92" t="s">
        <v>1035</v>
      </c>
      <c r="B91" s="64" t="s">
        <v>2908</v>
      </c>
      <c r="C91" s="64">
        <v>74.0</v>
      </c>
      <c r="D91" s="64" t="str">
        <f t="shared" si="3"/>
        <v>CO4499474b</v>
      </c>
      <c r="E91" s="168">
        <v>44994.0</v>
      </c>
      <c r="F91" s="2" t="s">
        <v>2826</v>
      </c>
      <c r="G91" s="2" t="s">
        <v>2826</v>
      </c>
      <c r="H91" s="2" t="s">
        <v>2826</v>
      </c>
      <c r="I91" s="2">
        <f t="shared" ref="I91:K91" si="186">If(Iserr(search(I$1,$H91)),0,1)</f>
        <v>0</v>
      </c>
      <c r="J91" s="2">
        <f t="shared" si="186"/>
        <v>0</v>
      </c>
      <c r="K91" s="2">
        <f t="shared" si="186"/>
        <v>0</v>
      </c>
      <c r="L91" s="2">
        <f t="shared" si="5"/>
        <v>0</v>
      </c>
      <c r="M91" s="2">
        <f t="shared" ref="M91:AE91" si="187">If(Iserr(search(M$1,$H91)),0,1)</f>
        <v>0</v>
      </c>
      <c r="N91" s="2">
        <f t="shared" si="187"/>
        <v>0</v>
      </c>
      <c r="O91" s="2">
        <f t="shared" si="187"/>
        <v>0</v>
      </c>
      <c r="P91" s="2">
        <f t="shared" si="187"/>
        <v>0</v>
      </c>
      <c r="Q91" s="2">
        <f t="shared" si="187"/>
        <v>0</v>
      </c>
      <c r="R91" s="2">
        <f t="shared" si="187"/>
        <v>0</v>
      </c>
      <c r="S91" s="2">
        <f t="shared" si="187"/>
        <v>0</v>
      </c>
      <c r="T91" s="2">
        <f t="shared" si="187"/>
        <v>0</v>
      </c>
      <c r="U91" s="2">
        <f t="shared" si="187"/>
        <v>0</v>
      </c>
      <c r="V91" s="2">
        <f t="shared" si="187"/>
        <v>0</v>
      </c>
      <c r="W91" s="2">
        <f t="shared" si="187"/>
        <v>0</v>
      </c>
      <c r="X91" s="2">
        <f t="shared" si="187"/>
        <v>0</v>
      </c>
      <c r="Y91" s="2">
        <f t="shared" si="187"/>
        <v>0</v>
      </c>
      <c r="Z91" s="2">
        <f t="shared" si="187"/>
        <v>0</v>
      </c>
      <c r="AA91" s="2">
        <f t="shared" si="187"/>
        <v>0</v>
      </c>
      <c r="AB91" s="2">
        <f t="shared" si="187"/>
        <v>0</v>
      </c>
      <c r="AC91" s="2">
        <f t="shared" si="187"/>
        <v>0</v>
      </c>
      <c r="AD91" s="2">
        <f t="shared" si="187"/>
        <v>1</v>
      </c>
      <c r="AE91" s="2">
        <f t="shared" si="187"/>
        <v>1</v>
      </c>
      <c r="AF91" s="2" t="s">
        <v>2907</v>
      </c>
    </row>
    <row r="92">
      <c r="A92" s="92" t="s">
        <v>1035</v>
      </c>
      <c r="B92" s="64" t="s">
        <v>2909</v>
      </c>
      <c r="C92" s="64">
        <v>74.0</v>
      </c>
      <c r="D92" s="64" t="str">
        <f t="shared" si="3"/>
        <v>CO4499474c</v>
      </c>
      <c r="E92" s="168">
        <v>44994.0</v>
      </c>
      <c r="F92" s="2" t="s">
        <v>210</v>
      </c>
      <c r="G92" s="2" t="s">
        <v>210</v>
      </c>
      <c r="H92" s="2" t="s">
        <v>210</v>
      </c>
      <c r="I92" s="2">
        <f t="shared" ref="I92:K92" si="188">If(Iserr(search(I$1,$H92)),0,1)</f>
        <v>0</v>
      </c>
      <c r="J92" s="2">
        <f t="shared" si="188"/>
        <v>0</v>
      </c>
      <c r="K92" s="2">
        <f t="shared" si="188"/>
        <v>0</v>
      </c>
      <c r="L92" s="2">
        <f t="shared" si="5"/>
        <v>0</v>
      </c>
      <c r="M92" s="2">
        <f t="shared" ref="M92:AE92" si="189">If(Iserr(search(M$1,$H92)),0,1)</f>
        <v>0</v>
      </c>
      <c r="N92" s="2">
        <f t="shared" si="189"/>
        <v>0</v>
      </c>
      <c r="O92" s="2">
        <f t="shared" si="189"/>
        <v>0</v>
      </c>
      <c r="P92" s="2">
        <f t="shared" si="189"/>
        <v>0</v>
      </c>
      <c r="Q92" s="2">
        <f t="shared" si="189"/>
        <v>0</v>
      </c>
      <c r="R92" s="2">
        <f t="shared" si="189"/>
        <v>0</v>
      </c>
      <c r="S92" s="2">
        <f t="shared" si="189"/>
        <v>0</v>
      </c>
      <c r="T92" s="2">
        <f t="shared" si="189"/>
        <v>0</v>
      </c>
      <c r="U92" s="2">
        <f t="shared" si="189"/>
        <v>0</v>
      </c>
      <c r="V92" s="2">
        <f t="shared" si="189"/>
        <v>0</v>
      </c>
      <c r="W92" s="2">
        <f t="shared" si="189"/>
        <v>0</v>
      </c>
      <c r="X92" s="2">
        <f t="shared" si="189"/>
        <v>0</v>
      </c>
      <c r="Y92" s="2">
        <f t="shared" si="189"/>
        <v>0</v>
      </c>
      <c r="Z92" s="2">
        <f t="shared" si="189"/>
        <v>0</v>
      </c>
      <c r="AA92" s="2">
        <f t="shared" si="189"/>
        <v>0</v>
      </c>
      <c r="AB92" s="2">
        <f t="shared" si="189"/>
        <v>0</v>
      </c>
      <c r="AC92" s="2">
        <f t="shared" si="189"/>
        <v>0</v>
      </c>
      <c r="AD92" s="2">
        <f t="shared" si="189"/>
        <v>1</v>
      </c>
      <c r="AE92" s="2">
        <f t="shared" si="189"/>
        <v>0</v>
      </c>
      <c r="AF92" s="2" t="s">
        <v>2907</v>
      </c>
    </row>
    <row r="93">
      <c r="A93" s="92" t="s">
        <v>1042</v>
      </c>
      <c r="B93" s="64">
        <f>B90+1</f>
        <v>75</v>
      </c>
      <c r="C93" s="64">
        <v>75.0</v>
      </c>
      <c r="D93" s="64" t="str">
        <f t="shared" si="3"/>
        <v>CO4500575</v>
      </c>
      <c r="E93" s="168">
        <v>45005.0</v>
      </c>
      <c r="F93" s="2" t="s">
        <v>2910</v>
      </c>
      <c r="G93" s="2" t="s">
        <v>2826</v>
      </c>
      <c r="H93" s="2" t="s">
        <v>2826</v>
      </c>
      <c r="I93" s="2">
        <f t="shared" ref="I93:K93" si="190">If(Iserr(search(I$1,$H93)),0,1)</f>
        <v>0</v>
      </c>
      <c r="J93" s="2">
        <f t="shared" si="190"/>
        <v>0</v>
      </c>
      <c r="K93" s="2">
        <f t="shared" si="190"/>
        <v>0</v>
      </c>
      <c r="L93" s="2">
        <f t="shared" si="5"/>
        <v>0</v>
      </c>
      <c r="M93" s="2">
        <f t="shared" ref="M93:AE93" si="191">If(Iserr(search(M$1,$H93)),0,1)</f>
        <v>0</v>
      </c>
      <c r="N93" s="2">
        <f t="shared" si="191"/>
        <v>0</v>
      </c>
      <c r="O93" s="2">
        <f t="shared" si="191"/>
        <v>0</v>
      </c>
      <c r="P93" s="2">
        <f t="shared" si="191"/>
        <v>0</v>
      </c>
      <c r="Q93" s="2">
        <f t="shared" si="191"/>
        <v>0</v>
      </c>
      <c r="R93" s="2">
        <f t="shared" si="191"/>
        <v>0</v>
      </c>
      <c r="S93" s="2">
        <f t="shared" si="191"/>
        <v>0</v>
      </c>
      <c r="T93" s="2">
        <f t="shared" si="191"/>
        <v>0</v>
      </c>
      <c r="U93" s="2">
        <f t="shared" si="191"/>
        <v>0</v>
      </c>
      <c r="V93" s="2">
        <f t="shared" si="191"/>
        <v>0</v>
      </c>
      <c r="W93" s="2">
        <f t="shared" si="191"/>
        <v>0</v>
      </c>
      <c r="X93" s="2">
        <f t="shared" si="191"/>
        <v>0</v>
      </c>
      <c r="Y93" s="2">
        <f t="shared" si="191"/>
        <v>0</v>
      </c>
      <c r="Z93" s="2">
        <f t="shared" si="191"/>
        <v>0</v>
      </c>
      <c r="AA93" s="2">
        <f t="shared" si="191"/>
        <v>0</v>
      </c>
      <c r="AB93" s="2">
        <f t="shared" si="191"/>
        <v>0</v>
      </c>
      <c r="AC93" s="2">
        <f t="shared" si="191"/>
        <v>0</v>
      </c>
      <c r="AD93" s="2">
        <f t="shared" si="191"/>
        <v>1</v>
      </c>
      <c r="AE93" s="2">
        <f t="shared" si="191"/>
        <v>1</v>
      </c>
      <c r="AF93" s="2" t="s">
        <v>2911</v>
      </c>
    </row>
    <row r="94">
      <c r="A94" s="92" t="s">
        <v>1042</v>
      </c>
      <c r="B94" s="64" t="s">
        <v>2912</v>
      </c>
      <c r="C94" s="64">
        <v>75.0</v>
      </c>
      <c r="D94" s="64" t="str">
        <f t="shared" si="3"/>
        <v>CO4500575b</v>
      </c>
      <c r="E94" s="168">
        <v>45005.0</v>
      </c>
      <c r="F94" s="2" t="s">
        <v>210</v>
      </c>
      <c r="G94" s="2" t="s">
        <v>210</v>
      </c>
      <c r="H94" s="2" t="s">
        <v>210</v>
      </c>
      <c r="I94" s="2">
        <f t="shared" ref="I94:K94" si="192">If(Iserr(search(I$1,$H94)),0,1)</f>
        <v>0</v>
      </c>
      <c r="J94" s="2">
        <f t="shared" si="192"/>
        <v>0</v>
      </c>
      <c r="K94" s="2">
        <f t="shared" si="192"/>
        <v>0</v>
      </c>
      <c r="L94" s="2">
        <f t="shared" si="5"/>
        <v>0</v>
      </c>
      <c r="M94" s="2">
        <f t="shared" ref="M94:AE94" si="193">If(Iserr(search(M$1,$H94)),0,1)</f>
        <v>0</v>
      </c>
      <c r="N94" s="2">
        <f t="shared" si="193"/>
        <v>0</v>
      </c>
      <c r="O94" s="2">
        <f t="shared" si="193"/>
        <v>0</v>
      </c>
      <c r="P94" s="2">
        <f t="shared" si="193"/>
        <v>0</v>
      </c>
      <c r="Q94" s="2">
        <f t="shared" si="193"/>
        <v>0</v>
      </c>
      <c r="R94" s="2">
        <f t="shared" si="193"/>
        <v>0</v>
      </c>
      <c r="S94" s="2">
        <f t="shared" si="193"/>
        <v>0</v>
      </c>
      <c r="T94" s="2">
        <f t="shared" si="193"/>
        <v>0</v>
      </c>
      <c r="U94" s="2">
        <f t="shared" si="193"/>
        <v>0</v>
      </c>
      <c r="V94" s="2">
        <f t="shared" si="193"/>
        <v>0</v>
      </c>
      <c r="W94" s="2">
        <f t="shared" si="193"/>
        <v>0</v>
      </c>
      <c r="X94" s="2">
        <f t="shared" si="193"/>
        <v>0</v>
      </c>
      <c r="Y94" s="2">
        <f t="shared" si="193"/>
        <v>0</v>
      </c>
      <c r="Z94" s="2">
        <f t="shared" si="193"/>
        <v>0</v>
      </c>
      <c r="AA94" s="2">
        <f t="shared" si="193"/>
        <v>0</v>
      </c>
      <c r="AB94" s="2">
        <f t="shared" si="193"/>
        <v>0</v>
      </c>
      <c r="AC94" s="2">
        <f t="shared" si="193"/>
        <v>0</v>
      </c>
      <c r="AD94" s="2">
        <f t="shared" si="193"/>
        <v>1</v>
      </c>
      <c r="AE94" s="2">
        <f t="shared" si="193"/>
        <v>0</v>
      </c>
      <c r="AF94" s="2" t="s">
        <v>2911</v>
      </c>
    </row>
    <row r="95">
      <c r="A95" s="92" t="s">
        <v>1042</v>
      </c>
      <c r="B95" s="64" t="s">
        <v>2913</v>
      </c>
      <c r="C95" s="64">
        <v>75.0</v>
      </c>
      <c r="D95" s="64" t="str">
        <f t="shared" si="3"/>
        <v>CO4500575c</v>
      </c>
      <c r="E95" s="168">
        <v>45005.0</v>
      </c>
      <c r="F95" s="2" t="s">
        <v>2914</v>
      </c>
      <c r="G95" s="2" t="s">
        <v>1488</v>
      </c>
      <c r="H95" s="2" t="s">
        <v>1488</v>
      </c>
      <c r="I95" s="2">
        <f t="shared" ref="I95:K95" si="194">If(Iserr(search(I$1,$H95)),0,1)</f>
        <v>0</v>
      </c>
      <c r="J95" s="2">
        <f t="shared" si="194"/>
        <v>1</v>
      </c>
      <c r="K95" s="2">
        <f t="shared" si="194"/>
        <v>0</v>
      </c>
      <c r="L95" s="2">
        <f t="shared" si="5"/>
        <v>0</v>
      </c>
      <c r="M95" s="2">
        <f t="shared" ref="M95:AE95" si="195">If(Iserr(search(M$1,$H95)),0,1)</f>
        <v>0</v>
      </c>
      <c r="N95" s="2">
        <f t="shared" si="195"/>
        <v>0</v>
      </c>
      <c r="O95" s="2">
        <f t="shared" si="195"/>
        <v>0</v>
      </c>
      <c r="P95" s="2">
        <f t="shared" si="195"/>
        <v>0</v>
      </c>
      <c r="Q95" s="2">
        <f t="shared" si="195"/>
        <v>0</v>
      </c>
      <c r="R95" s="2">
        <f t="shared" si="195"/>
        <v>0</v>
      </c>
      <c r="S95" s="2">
        <f t="shared" si="195"/>
        <v>0</v>
      </c>
      <c r="T95" s="2">
        <f t="shared" si="195"/>
        <v>0</v>
      </c>
      <c r="U95" s="2">
        <f t="shared" si="195"/>
        <v>0</v>
      </c>
      <c r="V95" s="2">
        <f t="shared" si="195"/>
        <v>0</v>
      </c>
      <c r="W95" s="2">
        <f t="shared" si="195"/>
        <v>0</v>
      </c>
      <c r="X95" s="2">
        <f t="shared" si="195"/>
        <v>0</v>
      </c>
      <c r="Y95" s="2">
        <f t="shared" si="195"/>
        <v>0</v>
      </c>
      <c r="Z95" s="2">
        <f t="shared" si="195"/>
        <v>0</v>
      </c>
      <c r="AA95" s="2">
        <f t="shared" si="195"/>
        <v>0</v>
      </c>
      <c r="AB95" s="2">
        <f t="shared" si="195"/>
        <v>0</v>
      </c>
      <c r="AC95" s="2">
        <f t="shared" si="195"/>
        <v>0</v>
      </c>
      <c r="AD95" s="2">
        <f t="shared" si="195"/>
        <v>0</v>
      </c>
      <c r="AE95" s="2">
        <f t="shared" si="195"/>
        <v>0</v>
      </c>
      <c r="AF95" s="2" t="s">
        <v>2911</v>
      </c>
    </row>
    <row r="96">
      <c r="A96" s="92" t="s">
        <v>1061</v>
      </c>
      <c r="B96" s="64">
        <f>B93+1</f>
        <v>76</v>
      </c>
      <c r="C96" s="64">
        <v>76.0</v>
      </c>
      <c r="D96" s="64" t="str">
        <f t="shared" si="3"/>
        <v>CO4500876</v>
      </c>
      <c r="E96" s="168">
        <v>45008.0</v>
      </c>
      <c r="F96" s="2" t="s">
        <v>2915</v>
      </c>
      <c r="G96" s="2" t="s">
        <v>1503</v>
      </c>
      <c r="H96" s="2" t="s">
        <v>1503</v>
      </c>
      <c r="I96" s="2">
        <f t="shared" ref="I96:K96" si="196">If(Iserr(search(I$1,$H96)),0,1)</f>
        <v>0</v>
      </c>
      <c r="J96" s="2">
        <f t="shared" si="196"/>
        <v>0</v>
      </c>
      <c r="K96" s="2">
        <f t="shared" si="196"/>
        <v>0</v>
      </c>
      <c r="L96" s="2">
        <f t="shared" si="5"/>
        <v>0</v>
      </c>
      <c r="M96" s="2">
        <f t="shared" ref="M96:AE96" si="197">If(Iserr(search(M$1,$H96)),0,1)</f>
        <v>0</v>
      </c>
      <c r="N96" s="2">
        <f t="shared" si="197"/>
        <v>0</v>
      </c>
      <c r="O96" s="2">
        <f t="shared" si="197"/>
        <v>0</v>
      </c>
      <c r="P96" s="2">
        <f t="shared" si="197"/>
        <v>0</v>
      </c>
      <c r="Q96" s="2">
        <f t="shared" si="197"/>
        <v>0</v>
      </c>
      <c r="R96" s="2">
        <f t="shared" si="197"/>
        <v>0</v>
      </c>
      <c r="S96" s="2">
        <f t="shared" si="197"/>
        <v>0</v>
      </c>
      <c r="T96" s="2">
        <f t="shared" si="197"/>
        <v>0</v>
      </c>
      <c r="U96" s="2">
        <f t="shared" si="197"/>
        <v>0</v>
      </c>
      <c r="V96" s="2">
        <f t="shared" si="197"/>
        <v>0</v>
      </c>
      <c r="W96" s="2">
        <f t="shared" si="197"/>
        <v>0</v>
      </c>
      <c r="X96" s="2">
        <f t="shared" si="197"/>
        <v>0</v>
      </c>
      <c r="Y96" s="2">
        <f t="shared" si="197"/>
        <v>0</v>
      </c>
      <c r="Z96" s="2">
        <f t="shared" si="197"/>
        <v>0</v>
      </c>
      <c r="AA96" s="2">
        <f t="shared" si="197"/>
        <v>0</v>
      </c>
      <c r="AB96" s="2">
        <f t="shared" si="197"/>
        <v>0</v>
      </c>
      <c r="AC96" s="2">
        <f t="shared" si="197"/>
        <v>0</v>
      </c>
      <c r="AD96" s="2">
        <f t="shared" si="197"/>
        <v>0</v>
      </c>
      <c r="AE96" s="2">
        <f t="shared" si="197"/>
        <v>1</v>
      </c>
      <c r="AF96" s="2" t="s">
        <v>2916</v>
      </c>
    </row>
    <row r="97">
      <c r="A97" s="92" t="s">
        <v>1088</v>
      </c>
      <c r="B97" s="64">
        <f>B96+1</f>
        <v>77</v>
      </c>
      <c r="C97" s="64">
        <v>77.0</v>
      </c>
      <c r="D97" s="64" t="str">
        <f t="shared" si="3"/>
        <v>CO4502877</v>
      </c>
      <c r="E97" s="168">
        <v>45028.0</v>
      </c>
      <c r="F97" s="2" t="s">
        <v>2917</v>
      </c>
      <c r="G97" s="2" t="s">
        <v>2918</v>
      </c>
      <c r="H97" s="2" t="s">
        <v>2919</v>
      </c>
      <c r="I97" s="2">
        <f t="shared" ref="I97:K97" si="198">If(Iserr(search(I$1,$H97)),0,1)</f>
        <v>0</v>
      </c>
      <c r="J97" s="2">
        <f t="shared" si="198"/>
        <v>0</v>
      </c>
      <c r="K97" s="2">
        <f t="shared" si="198"/>
        <v>0</v>
      </c>
      <c r="L97" s="2">
        <f t="shared" si="5"/>
        <v>1</v>
      </c>
      <c r="M97" s="2">
        <f t="shared" ref="M97:AE97" si="199">If(Iserr(search(M$1,$H97)),0,1)</f>
        <v>1</v>
      </c>
      <c r="N97" s="2">
        <f t="shared" si="199"/>
        <v>0</v>
      </c>
      <c r="O97" s="2">
        <f t="shared" si="199"/>
        <v>1</v>
      </c>
      <c r="P97" s="2">
        <f t="shared" si="199"/>
        <v>0</v>
      </c>
      <c r="Q97" s="2">
        <f t="shared" si="199"/>
        <v>0</v>
      </c>
      <c r="R97" s="2">
        <f t="shared" si="199"/>
        <v>0</v>
      </c>
      <c r="S97" s="2">
        <f t="shared" si="199"/>
        <v>0</v>
      </c>
      <c r="T97" s="2">
        <f t="shared" si="199"/>
        <v>0</v>
      </c>
      <c r="U97" s="2">
        <f t="shared" si="199"/>
        <v>0</v>
      </c>
      <c r="V97" s="2">
        <f t="shared" si="199"/>
        <v>0</v>
      </c>
      <c r="W97" s="2">
        <f t="shared" si="199"/>
        <v>0</v>
      </c>
      <c r="X97" s="2">
        <f t="shared" si="199"/>
        <v>0</v>
      </c>
      <c r="Y97" s="2">
        <f t="shared" si="199"/>
        <v>0</v>
      </c>
      <c r="Z97" s="2">
        <f t="shared" si="199"/>
        <v>0</v>
      </c>
      <c r="AA97" s="2">
        <f t="shared" si="199"/>
        <v>0</v>
      </c>
      <c r="AB97" s="2">
        <f t="shared" si="199"/>
        <v>0</v>
      </c>
      <c r="AC97" s="2">
        <f t="shared" si="199"/>
        <v>0</v>
      </c>
      <c r="AD97" s="2">
        <f t="shared" si="199"/>
        <v>1</v>
      </c>
      <c r="AE97" s="2">
        <f t="shared" si="199"/>
        <v>1</v>
      </c>
      <c r="AF97" s="2" t="s">
        <v>2920</v>
      </c>
    </row>
    <row r="98">
      <c r="A98" s="92" t="s">
        <v>1088</v>
      </c>
      <c r="B98" s="64" t="s">
        <v>2921</v>
      </c>
      <c r="C98" s="64">
        <v>77.0</v>
      </c>
      <c r="D98" s="64" t="str">
        <f t="shared" si="3"/>
        <v>CO4502877b</v>
      </c>
      <c r="E98" s="168">
        <v>45028.0</v>
      </c>
      <c r="F98" s="2" t="s">
        <v>1488</v>
      </c>
      <c r="G98" s="2" t="s">
        <v>1488</v>
      </c>
      <c r="H98" s="2" t="s">
        <v>1488</v>
      </c>
      <c r="I98" s="2">
        <f t="shared" ref="I98:K98" si="200">If(Iserr(search(I$1,$H98)),0,1)</f>
        <v>0</v>
      </c>
      <c r="J98" s="2">
        <f t="shared" si="200"/>
        <v>1</v>
      </c>
      <c r="K98" s="2">
        <f t="shared" si="200"/>
        <v>0</v>
      </c>
      <c r="L98" s="2">
        <f t="shared" si="5"/>
        <v>0</v>
      </c>
      <c r="M98" s="2">
        <f t="shared" ref="M98:AE98" si="201">If(Iserr(search(M$1,$H98)),0,1)</f>
        <v>0</v>
      </c>
      <c r="N98" s="2">
        <f t="shared" si="201"/>
        <v>0</v>
      </c>
      <c r="O98" s="2">
        <f t="shared" si="201"/>
        <v>0</v>
      </c>
      <c r="P98" s="2">
        <f t="shared" si="201"/>
        <v>0</v>
      </c>
      <c r="Q98" s="2">
        <f t="shared" si="201"/>
        <v>0</v>
      </c>
      <c r="R98" s="2">
        <f t="shared" si="201"/>
        <v>0</v>
      </c>
      <c r="S98" s="2">
        <f t="shared" si="201"/>
        <v>0</v>
      </c>
      <c r="T98" s="2">
        <f t="shared" si="201"/>
        <v>0</v>
      </c>
      <c r="U98" s="2">
        <f t="shared" si="201"/>
        <v>0</v>
      </c>
      <c r="V98" s="2">
        <f t="shared" si="201"/>
        <v>0</v>
      </c>
      <c r="W98" s="2">
        <f t="shared" si="201"/>
        <v>0</v>
      </c>
      <c r="X98" s="2">
        <f t="shared" si="201"/>
        <v>0</v>
      </c>
      <c r="Y98" s="2">
        <f t="shared" si="201"/>
        <v>0</v>
      </c>
      <c r="Z98" s="2">
        <f t="shared" si="201"/>
        <v>0</v>
      </c>
      <c r="AA98" s="2">
        <f t="shared" si="201"/>
        <v>0</v>
      </c>
      <c r="AB98" s="2">
        <f t="shared" si="201"/>
        <v>0</v>
      </c>
      <c r="AC98" s="2">
        <f t="shared" si="201"/>
        <v>0</v>
      </c>
      <c r="AD98" s="2">
        <f t="shared" si="201"/>
        <v>0</v>
      </c>
      <c r="AE98" s="2">
        <f t="shared" si="201"/>
        <v>0</v>
      </c>
      <c r="AF98" s="2" t="s">
        <v>2920</v>
      </c>
    </row>
    <row r="99">
      <c r="A99" s="92" t="s">
        <v>1095</v>
      </c>
      <c r="B99" s="64">
        <f>B97+1</f>
        <v>78</v>
      </c>
      <c r="C99" s="64">
        <v>78.0</v>
      </c>
      <c r="D99" s="64" t="str">
        <f t="shared" si="3"/>
        <v>CO4502878</v>
      </c>
      <c r="E99" s="168">
        <v>45028.0</v>
      </c>
      <c r="F99" s="2" t="s">
        <v>210</v>
      </c>
      <c r="G99" s="2" t="s">
        <v>210</v>
      </c>
      <c r="H99" s="2" t="s">
        <v>210</v>
      </c>
      <c r="I99" s="2">
        <f t="shared" ref="I99:K99" si="202">If(Iserr(search(I$1,$H99)),0,1)</f>
        <v>0</v>
      </c>
      <c r="J99" s="2">
        <f t="shared" si="202"/>
        <v>0</v>
      </c>
      <c r="K99" s="2">
        <f t="shared" si="202"/>
        <v>0</v>
      </c>
      <c r="L99" s="2">
        <f t="shared" si="5"/>
        <v>0</v>
      </c>
      <c r="M99" s="2">
        <f t="shared" ref="M99:AE99" si="203">If(Iserr(search(M$1,$H99)),0,1)</f>
        <v>0</v>
      </c>
      <c r="N99" s="2">
        <f t="shared" si="203"/>
        <v>0</v>
      </c>
      <c r="O99" s="2">
        <f t="shared" si="203"/>
        <v>0</v>
      </c>
      <c r="P99" s="2">
        <f t="shared" si="203"/>
        <v>0</v>
      </c>
      <c r="Q99" s="2">
        <f t="shared" si="203"/>
        <v>0</v>
      </c>
      <c r="R99" s="2">
        <f t="shared" si="203"/>
        <v>0</v>
      </c>
      <c r="S99" s="2">
        <f t="shared" si="203"/>
        <v>0</v>
      </c>
      <c r="T99" s="2">
        <f t="shared" si="203"/>
        <v>0</v>
      </c>
      <c r="U99" s="2">
        <f t="shared" si="203"/>
        <v>0</v>
      </c>
      <c r="V99" s="2">
        <f t="shared" si="203"/>
        <v>0</v>
      </c>
      <c r="W99" s="2">
        <f t="shared" si="203"/>
        <v>0</v>
      </c>
      <c r="X99" s="2">
        <f t="shared" si="203"/>
        <v>0</v>
      </c>
      <c r="Y99" s="2">
        <f t="shared" si="203"/>
        <v>0</v>
      </c>
      <c r="Z99" s="2">
        <f t="shared" si="203"/>
        <v>0</v>
      </c>
      <c r="AA99" s="2">
        <f t="shared" si="203"/>
        <v>0</v>
      </c>
      <c r="AB99" s="2">
        <f t="shared" si="203"/>
        <v>0</v>
      </c>
      <c r="AC99" s="2">
        <f t="shared" si="203"/>
        <v>0</v>
      </c>
      <c r="AD99" s="2">
        <f t="shared" si="203"/>
        <v>1</v>
      </c>
      <c r="AE99" s="2">
        <f t="shared" si="203"/>
        <v>0</v>
      </c>
      <c r="AF99" s="2" t="s">
        <v>2922</v>
      </c>
    </row>
    <row r="100">
      <c r="A100" s="92" t="s">
        <v>1102</v>
      </c>
      <c r="B100" s="64">
        <f>B99+1</f>
        <v>79</v>
      </c>
      <c r="C100" s="64">
        <v>79.0</v>
      </c>
      <c r="D100" s="64" t="str">
        <f t="shared" si="3"/>
        <v>CO4502879</v>
      </c>
      <c r="E100" s="168">
        <v>45028.0</v>
      </c>
      <c r="F100" s="2" t="s">
        <v>1503</v>
      </c>
      <c r="G100" s="2" t="s">
        <v>1503</v>
      </c>
      <c r="H100" s="2" t="s">
        <v>1503</v>
      </c>
      <c r="I100" s="2">
        <f t="shared" ref="I100:K100" si="204">If(Iserr(search(I$1,$H100)),0,1)</f>
        <v>0</v>
      </c>
      <c r="J100" s="2">
        <f t="shared" si="204"/>
        <v>0</v>
      </c>
      <c r="K100" s="2">
        <f t="shared" si="204"/>
        <v>0</v>
      </c>
      <c r="L100" s="2">
        <f t="shared" si="5"/>
        <v>0</v>
      </c>
      <c r="M100" s="2">
        <f t="shared" ref="M100:AE100" si="205">If(Iserr(search(M$1,$H100)),0,1)</f>
        <v>0</v>
      </c>
      <c r="N100" s="2">
        <f t="shared" si="205"/>
        <v>0</v>
      </c>
      <c r="O100" s="2">
        <f t="shared" si="205"/>
        <v>0</v>
      </c>
      <c r="P100" s="2">
        <f t="shared" si="205"/>
        <v>0</v>
      </c>
      <c r="Q100" s="2">
        <f t="shared" si="205"/>
        <v>0</v>
      </c>
      <c r="R100" s="2">
        <f t="shared" si="205"/>
        <v>0</v>
      </c>
      <c r="S100" s="2">
        <f t="shared" si="205"/>
        <v>0</v>
      </c>
      <c r="T100" s="2">
        <f t="shared" si="205"/>
        <v>0</v>
      </c>
      <c r="U100" s="2">
        <f t="shared" si="205"/>
        <v>0</v>
      </c>
      <c r="V100" s="2">
        <f t="shared" si="205"/>
        <v>0</v>
      </c>
      <c r="W100" s="2">
        <f t="shared" si="205"/>
        <v>0</v>
      </c>
      <c r="X100" s="2">
        <f t="shared" si="205"/>
        <v>0</v>
      </c>
      <c r="Y100" s="2">
        <f t="shared" si="205"/>
        <v>0</v>
      </c>
      <c r="Z100" s="2">
        <f t="shared" si="205"/>
        <v>0</v>
      </c>
      <c r="AA100" s="2">
        <f t="shared" si="205"/>
        <v>0</v>
      </c>
      <c r="AB100" s="2">
        <f t="shared" si="205"/>
        <v>0</v>
      </c>
      <c r="AC100" s="2">
        <f t="shared" si="205"/>
        <v>0</v>
      </c>
      <c r="AD100" s="2">
        <f t="shared" si="205"/>
        <v>0</v>
      </c>
      <c r="AE100" s="2">
        <f t="shared" si="205"/>
        <v>1</v>
      </c>
      <c r="AF100" s="2" t="s">
        <v>2923</v>
      </c>
    </row>
    <row r="101">
      <c r="A101" s="92" t="s">
        <v>1102</v>
      </c>
      <c r="B101" s="64" t="s">
        <v>2924</v>
      </c>
      <c r="C101" s="64">
        <v>79.0</v>
      </c>
      <c r="D101" s="64" t="str">
        <f t="shared" si="3"/>
        <v>CO4502879b</v>
      </c>
      <c r="E101" s="168">
        <v>45028.0</v>
      </c>
      <c r="F101" s="2" t="s">
        <v>2826</v>
      </c>
      <c r="G101" s="2" t="s">
        <v>2826</v>
      </c>
      <c r="H101" s="2" t="s">
        <v>2826</v>
      </c>
      <c r="I101" s="2">
        <f t="shared" ref="I101:K101" si="206">If(Iserr(search(I$1,$H101)),0,1)</f>
        <v>0</v>
      </c>
      <c r="J101" s="2">
        <f t="shared" si="206"/>
        <v>0</v>
      </c>
      <c r="K101" s="2">
        <f t="shared" si="206"/>
        <v>0</v>
      </c>
      <c r="L101" s="2">
        <f t="shared" si="5"/>
        <v>0</v>
      </c>
      <c r="M101" s="2">
        <f t="shared" ref="M101:AE101" si="207">If(Iserr(search(M$1,$H101)),0,1)</f>
        <v>0</v>
      </c>
      <c r="N101" s="2">
        <f t="shared" si="207"/>
        <v>0</v>
      </c>
      <c r="O101" s="2">
        <f t="shared" si="207"/>
        <v>0</v>
      </c>
      <c r="P101" s="2">
        <f t="shared" si="207"/>
        <v>0</v>
      </c>
      <c r="Q101" s="2">
        <f t="shared" si="207"/>
        <v>0</v>
      </c>
      <c r="R101" s="2">
        <f t="shared" si="207"/>
        <v>0</v>
      </c>
      <c r="S101" s="2">
        <f t="shared" si="207"/>
        <v>0</v>
      </c>
      <c r="T101" s="2">
        <f t="shared" si="207"/>
        <v>0</v>
      </c>
      <c r="U101" s="2">
        <f t="shared" si="207"/>
        <v>0</v>
      </c>
      <c r="V101" s="2">
        <f t="shared" si="207"/>
        <v>0</v>
      </c>
      <c r="W101" s="2">
        <f t="shared" si="207"/>
        <v>0</v>
      </c>
      <c r="X101" s="2">
        <f t="shared" si="207"/>
        <v>0</v>
      </c>
      <c r="Y101" s="2">
        <f t="shared" si="207"/>
        <v>0</v>
      </c>
      <c r="Z101" s="2">
        <f t="shared" si="207"/>
        <v>0</v>
      </c>
      <c r="AA101" s="2">
        <f t="shared" si="207"/>
        <v>0</v>
      </c>
      <c r="AB101" s="2">
        <f t="shared" si="207"/>
        <v>0</v>
      </c>
      <c r="AC101" s="2">
        <f t="shared" si="207"/>
        <v>0</v>
      </c>
      <c r="AD101" s="2">
        <f t="shared" si="207"/>
        <v>1</v>
      </c>
      <c r="AE101" s="2">
        <f t="shared" si="207"/>
        <v>1</v>
      </c>
      <c r="AF101" s="2" t="s">
        <v>2923</v>
      </c>
    </row>
    <row r="102">
      <c r="A102" s="92" t="s">
        <v>1115</v>
      </c>
      <c r="B102" s="64">
        <f>B100+1</f>
        <v>80</v>
      </c>
      <c r="C102" s="64">
        <v>80.0</v>
      </c>
      <c r="D102" s="64" t="str">
        <f t="shared" si="3"/>
        <v>CO4503380</v>
      </c>
      <c r="E102" s="168">
        <v>45033.0</v>
      </c>
      <c r="F102" s="2" t="s">
        <v>650</v>
      </c>
      <c r="G102" s="2" t="s">
        <v>2826</v>
      </c>
      <c r="H102" s="2" t="s">
        <v>2826</v>
      </c>
      <c r="I102" s="2">
        <f t="shared" ref="I102:K102" si="208">If(Iserr(search(I$1,$H102)),0,1)</f>
        <v>0</v>
      </c>
      <c r="J102" s="2">
        <f t="shared" si="208"/>
        <v>0</v>
      </c>
      <c r="K102" s="2">
        <f t="shared" si="208"/>
        <v>0</v>
      </c>
      <c r="L102" s="2">
        <f t="shared" si="5"/>
        <v>0</v>
      </c>
      <c r="M102" s="2">
        <f t="shared" ref="M102:AE102" si="209">If(Iserr(search(M$1,$H102)),0,1)</f>
        <v>0</v>
      </c>
      <c r="N102" s="2">
        <f t="shared" si="209"/>
        <v>0</v>
      </c>
      <c r="O102" s="2">
        <f t="shared" si="209"/>
        <v>0</v>
      </c>
      <c r="P102" s="2">
        <f t="shared" si="209"/>
        <v>0</v>
      </c>
      <c r="Q102" s="2">
        <f t="shared" si="209"/>
        <v>0</v>
      </c>
      <c r="R102" s="2">
        <f t="shared" si="209"/>
        <v>0</v>
      </c>
      <c r="S102" s="2">
        <f t="shared" si="209"/>
        <v>0</v>
      </c>
      <c r="T102" s="2">
        <f t="shared" si="209"/>
        <v>0</v>
      </c>
      <c r="U102" s="2">
        <f t="shared" si="209"/>
        <v>0</v>
      </c>
      <c r="V102" s="2">
        <f t="shared" si="209"/>
        <v>0</v>
      </c>
      <c r="W102" s="2">
        <f t="shared" si="209"/>
        <v>0</v>
      </c>
      <c r="X102" s="2">
        <f t="shared" si="209"/>
        <v>0</v>
      </c>
      <c r="Y102" s="2">
        <f t="shared" si="209"/>
        <v>0</v>
      </c>
      <c r="Z102" s="2">
        <f t="shared" si="209"/>
        <v>0</v>
      </c>
      <c r="AA102" s="2">
        <f t="shared" si="209"/>
        <v>0</v>
      </c>
      <c r="AB102" s="2">
        <f t="shared" si="209"/>
        <v>0</v>
      </c>
      <c r="AC102" s="2">
        <f t="shared" si="209"/>
        <v>0</v>
      </c>
      <c r="AD102" s="2">
        <f t="shared" si="209"/>
        <v>1</v>
      </c>
      <c r="AE102" s="2">
        <f t="shared" si="209"/>
        <v>1</v>
      </c>
      <c r="AF102" s="2" t="s">
        <v>2956</v>
      </c>
    </row>
    <row r="103">
      <c r="A103" s="92" t="s">
        <v>1115</v>
      </c>
      <c r="B103" s="64" t="s">
        <v>2958</v>
      </c>
      <c r="C103" s="64">
        <v>80.0</v>
      </c>
      <c r="D103" s="64" t="str">
        <f t="shared" si="3"/>
        <v>CO4503380b</v>
      </c>
      <c r="E103" s="168">
        <v>45033.0</v>
      </c>
      <c r="F103" s="2" t="s">
        <v>1488</v>
      </c>
      <c r="G103" s="2" t="s">
        <v>1488</v>
      </c>
      <c r="H103" s="2" t="s">
        <v>1488</v>
      </c>
      <c r="I103" s="2">
        <f t="shared" ref="I103:K103" si="210">If(Iserr(search(I$1,$H103)),0,1)</f>
        <v>0</v>
      </c>
      <c r="J103" s="2">
        <f t="shared" si="210"/>
        <v>1</v>
      </c>
      <c r="K103" s="2">
        <f t="shared" si="210"/>
        <v>0</v>
      </c>
      <c r="L103" s="2">
        <f t="shared" si="5"/>
        <v>0</v>
      </c>
      <c r="M103" s="2">
        <f t="shared" ref="M103:AE103" si="211">If(Iserr(search(M$1,$H103)),0,1)</f>
        <v>0</v>
      </c>
      <c r="N103" s="2">
        <f t="shared" si="211"/>
        <v>0</v>
      </c>
      <c r="O103" s="2">
        <f t="shared" si="211"/>
        <v>0</v>
      </c>
      <c r="P103" s="2">
        <f t="shared" si="211"/>
        <v>0</v>
      </c>
      <c r="Q103" s="2">
        <f t="shared" si="211"/>
        <v>0</v>
      </c>
      <c r="R103" s="2">
        <f t="shared" si="211"/>
        <v>0</v>
      </c>
      <c r="S103" s="2">
        <f t="shared" si="211"/>
        <v>0</v>
      </c>
      <c r="T103" s="2">
        <f t="shared" si="211"/>
        <v>0</v>
      </c>
      <c r="U103" s="2">
        <f t="shared" si="211"/>
        <v>0</v>
      </c>
      <c r="V103" s="2">
        <f t="shared" si="211"/>
        <v>0</v>
      </c>
      <c r="W103" s="2">
        <f t="shared" si="211"/>
        <v>0</v>
      </c>
      <c r="X103" s="2">
        <f t="shared" si="211"/>
        <v>0</v>
      </c>
      <c r="Y103" s="2">
        <f t="shared" si="211"/>
        <v>0</v>
      </c>
      <c r="Z103" s="2">
        <f t="shared" si="211"/>
        <v>0</v>
      </c>
      <c r="AA103" s="2">
        <f t="shared" si="211"/>
        <v>0</v>
      </c>
      <c r="AB103" s="2">
        <f t="shared" si="211"/>
        <v>0</v>
      </c>
      <c r="AC103" s="2">
        <f t="shared" si="211"/>
        <v>0</v>
      </c>
      <c r="AD103" s="2">
        <f t="shared" si="211"/>
        <v>0</v>
      </c>
      <c r="AE103" s="2">
        <f t="shared" si="211"/>
        <v>0</v>
      </c>
      <c r="AF103" s="2" t="s">
        <v>2956</v>
      </c>
    </row>
    <row r="104">
      <c r="A104" s="92" t="s">
        <v>1140</v>
      </c>
      <c r="B104" s="64">
        <f>B102+1</f>
        <v>81</v>
      </c>
      <c r="C104" s="64">
        <v>81.0</v>
      </c>
      <c r="D104" s="64" t="str">
        <f t="shared" si="3"/>
        <v>CO4505481</v>
      </c>
      <c r="E104" s="168">
        <v>45054.0</v>
      </c>
      <c r="F104" s="2" t="s">
        <v>607</v>
      </c>
      <c r="G104" s="2" t="s">
        <v>1503</v>
      </c>
      <c r="H104" s="2" t="s">
        <v>1503</v>
      </c>
      <c r="I104" s="2">
        <f t="shared" ref="I104:K104" si="212">If(Iserr(search(I$1,$H104)),0,1)</f>
        <v>0</v>
      </c>
      <c r="J104" s="2">
        <f t="shared" si="212"/>
        <v>0</v>
      </c>
      <c r="K104" s="2">
        <f t="shared" si="212"/>
        <v>0</v>
      </c>
      <c r="L104" s="2">
        <f t="shared" si="5"/>
        <v>0</v>
      </c>
      <c r="M104" s="2">
        <f t="shared" ref="M104:AE104" si="213">If(Iserr(search(M$1,$H104)),0,1)</f>
        <v>0</v>
      </c>
      <c r="N104" s="2">
        <f t="shared" si="213"/>
        <v>0</v>
      </c>
      <c r="O104" s="2">
        <f t="shared" si="213"/>
        <v>0</v>
      </c>
      <c r="P104" s="2">
        <f t="shared" si="213"/>
        <v>0</v>
      </c>
      <c r="Q104" s="2">
        <f t="shared" si="213"/>
        <v>0</v>
      </c>
      <c r="R104" s="2">
        <f t="shared" si="213"/>
        <v>0</v>
      </c>
      <c r="S104" s="2">
        <f t="shared" si="213"/>
        <v>0</v>
      </c>
      <c r="T104" s="2">
        <f t="shared" si="213"/>
        <v>0</v>
      </c>
      <c r="U104" s="2">
        <f t="shared" si="213"/>
        <v>0</v>
      </c>
      <c r="V104" s="2">
        <f t="shared" si="213"/>
        <v>0</v>
      </c>
      <c r="W104" s="2">
        <f t="shared" si="213"/>
        <v>0</v>
      </c>
      <c r="X104" s="2">
        <f t="shared" si="213"/>
        <v>0</v>
      </c>
      <c r="Y104" s="2">
        <f t="shared" si="213"/>
        <v>0</v>
      </c>
      <c r="Z104" s="2">
        <f t="shared" si="213"/>
        <v>0</v>
      </c>
      <c r="AA104" s="2">
        <f t="shared" si="213"/>
        <v>0</v>
      </c>
      <c r="AB104" s="2">
        <f t="shared" si="213"/>
        <v>0</v>
      </c>
      <c r="AC104" s="2">
        <f t="shared" si="213"/>
        <v>0</v>
      </c>
      <c r="AD104" s="2">
        <f t="shared" si="213"/>
        <v>0</v>
      </c>
      <c r="AE104" s="2">
        <f t="shared" si="213"/>
        <v>1</v>
      </c>
      <c r="AF104" s="2" t="s">
        <v>2989</v>
      </c>
    </row>
    <row r="105">
      <c r="A105" s="92" t="s">
        <v>1140</v>
      </c>
      <c r="B105" s="64" t="s">
        <v>2991</v>
      </c>
      <c r="C105" s="64">
        <v>81.0</v>
      </c>
      <c r="D105" s="64" t="str">
        <f t="shared" si="3"/>
        <v>CO4505481b</v>
      </c>
      <c r="E105" s="168">
        <v>45054.0</v>
      </c>
      <c r="F105" s="2" t="s">
        <v>210</v>
      </c>
      <c r="G105" s="2" t="s">
        <v>210</v>
      </c>
      <c r="H105" s="2" t="s">
        <v>210</v>
      </c>
      <c r="I105" s="2">
        <f t="shared" ref="I105:K105" si="214">If(Iserr(search(I$1,$H105)),0,1)</f>
        <v>0</v>
      </c>
      <c r="J105" s="2">
        <f t="shared" si="214"/>
        <v>0</v>
      </c>
      <c r="K105" s="2">
        <f t="shared" si="214"/>
        <v>0</v>
      </c>
      <c r="L105" s="2">
        <f t="shared" si="5"/>
        <v>0</v>
      </c>
      <c r="M105" s="2">
        <f t="shared" ref="M105:AE105" si="215">If(Iserr(search(M$1,$H105)),0,1)</f>
        <v>0</v>
      </c>
      <c r="N105" s="2">
        <f t="shared" si="215"/>
        <v>0</v>
      </c>
      <c r="O105" s="2">
        <f t="shared" si="215"/>
        <v>0</v>
      </c>
      <c r="P105" s="2">
        <f t="shared" si="215"/>
        <v>0</v>
      </c>
      <c r="Q105" s="2">
        <f t="shared" si="215"/>
        <v>0</v>
      </c>
      <c r="R105" s="2">
        <f t="shared" si="215"/>
        <v>0</v>
      </c>
      <c r="S105" s="2">
        <f t="shared" si="215"/>
        <v>0</v>
      </c>
      <c r="T105" s="2">
        <f t="shared" si="215"/>
        <v>0</v>
      </c>
      <c r="U105" s="2">
        <f t="shared" si="215"/>
        <v>0</v>
      </c>
      <c r="V105" s="2">
        <f t="shared" si="215"/>
        <v>0</v>
      </c>
      <c r="W105" s="2">
        <f t="shared" si="215"/>
        <v>0</v>
      </c>
      <c r="X105" s="2">
        <f t="shared" si="215"/>
        <v>0</v>
      </c>
      <c r="Y105" s="2">
        <f t="shared" si="215"/>
        <v>0</v>
      </c>
      <c r="Z105" s="2">
        <f t="shared" si="215"/>
        <v>0</v>
      </c>
      <c r="AA105" s="2">
        <f t="shared" si="215"/>
        <v>0</v>
      </c>
      <c r="AB105" s="2">
        <f t="shared" si="215"/>
        <v>0</v>
      </c>
      <c r="AC105" s="2">
        <f t="shared" si="215"/>
        <v>0</v>
      </c>
      <c r="AD105" s="2">
        <f t="shared" si="215"/>
        <v>1</v>
      </c>
      <c r="AE105" s="2">
        <f t="shared" si="215"/>
        <v>0</v>
      </c>
      <c r="AF105" s="2" t="s">
        <v>2989</v>
      </c>
    </row>
    <row r="106">
      <c r="A106" s="92" t="s">
        <v>1147</v>
      </c>
      <c r="B106" s="64">
        <f>B104+1</f>
        <v>82</v>
      </c>
      <c r="C106" s="64">
        <v>82.0</v>
      </c>
      <c r="D106" s="64" t="str">
        <f t="shared" si="3"/>
        <v>CO4505582</v>
      </c>
      <c r="E106" s="168">
        <v>45055.0</v>
      </c>
      <c r="F106" s="2" t="s">
        <v>1486</v>
      </c>
      <c r="G106" s="2" t="s">
        <v>1486</v>
      </c>
      <c r="H106" s="2" t="s">
        <v>1486</v>
      </c>
      <c r="I106" s="2">
        <f t="shared" ref="I106:K106" si="216">If(Iserr(search(I$1,$H106)),0,1)</f>
        <v>1</v>
      </c>
      <c r="J106" s="2">
        <f t="shared" si="216"/>
        <v>0</v>
      </c>
      <c r="K106" s="2">
        <f t="shared" si="216"/>
        <v>0</v>
      </c>
      <c r="L106" s="2">
        <f t="shared" si="5"/>
        <v>0</v>
      </c>
      <c r="M106" s="2">
        <f t="shared" ref="M106:AE106" si="217">If(Iserr(search(M$1,$H106)),0,1)</f>
        <v>0</v>
      </c>
      <c r="N106" s="2">
        <f t="shared" si="217"/>
        <v>0</v>
      </c>
      <c r="O106" s="2">
        <f t="shared" si="217"/>
        <v>0</v>
      </c>
      <c r="P106" s="2">
        <f t="shared" si="217"/>
        <v>0</v>
      </c>
      <c r="Q106" s="2">
        <f t="shared" si="217"/>
        <v>0</v>
      </c>
      <c r="R106" s="2">
        <f t="shared" si="217"/>
        <v>0</v>
      </c>
      <c r="S106" s="2">
        <f t="shared" si="217"/>
        <v>0</v>
      </c>
      <c r="T106" s="2">
        <f t="shared" si="217"/>
        <v>0</v>
      </c>
      <c r="U106" s="2">
        <f t="shared" si="217"/>
        <v>0</v>
      </c>
      <c r="V106" s="2">
        <f t="shared" si="217"/>
        <v>0</v>
      </c>
      <c r="W106" s="2">
        <f t="shared" si="217"/>
        <v>0</v>
      </c>
      <c r="X106" s="2">
        <f t="shared" si="217"/>
        <v>0</v>
      </c>
      <c r="Y106" s="2">
        <f t="shared" si="217"/>
        <v>0</v>
      </c>
      <c r="Z106" s="2">
        <f t="shared" si="217"/>
        <v>0</v>
      </c>
      <c r="AA106" s="2">
        <f t="shared" si="217"/>
        <v>0</v>
      </c>
      <c r="AB106" s="2">
        <f t="shared" si="217"/>
        <v>0</v>
      </c>
      <c r="AC106" s="2">
        <f t="shared" si="217"/>
        <v>0</v>
      </c>
      <c r="AD106" s="2">
        <f t="shared" si="217"/>
        <v>0</v>
      </c>
      <c r="AE106" s="2">
        <f t="shared" si="217"/>
        <v>0</v>
      </c>
      <c r="AF106" s="2" t="s">
        <v>3021</v>
      </c>
    </row>
    <row r="107">
      <c r="A107" s="92" t="s">
        <v>1147</v>
      </c>
      <c r="B107" s="64" t="s">
        <v>3023</v>
      </c>
      <c r="C107" s="64">
        <v>82.0</v>
      </c>
      <c r="D107" s="64" t="str">
        <f t="shared" si="3"/>
        <v>CO4505582b</v>
      </c>
      <c r="E107" s="168">
        <v>45055.0</v>
      </c>
      <c r="F107" s="2" t="s">
        <v>3025</v>
      </c>
      <c r="G107" s="2" t="s">
        <v>210</v>
      </c>
      <c r="H107" s="2" t="s">
        <v>210</v>
      </c>
      <c r="I107" s="2">
        <f t="shared" ref="I107:K107" si="218">If(Iserr(search(I$1,$H107)),0,1)</f>
        <v>0</v>
      </c>
      <c r="J107" s="2">
        <f t="shared" si="218"/>
        <v>0</v>
      </c>
      <c r="K107" s="2">
        <f t="shared" si="218"/>
        <v>0</v>
      </c>
      <c r="L107" s="2">
        <f t="shared" si="5"/>
        <v>0</v>
      </c>
      <c r="M107" s="2">
        <f t="shared" ref="M107:AE107" si="219">If(Iserr(search(M$1,$H107)),0,1)</f>
        <v>0</v>
      </c>
      <c r="N107" s="2">
        <f t="shared" si="219"/>
        <v>0</v>
      </c>
      <c r="O107" s="2">
        <f t="shared" si="219"/>
        <v>0</v>
      </c>
      <c r="P107" s="2">
        <f t="shared" si="219"/>
        <v>0</v>
      </c>
      <c r="Q107" s="2">
        <f t="shared" si="219"/>
        <v>0</v>
      </c>
      <c r="R107" s="2">
        <f t="shared" si="219"/>
        <v>0</v>
      </c>
      <c r="S107" s="2">
        <f t="shared" si="219"/>
        <v>0</v>
      </c>
      <c r="T107" s="2">
        <f t="shared" si="219"/>
        <v>0</v>
      </c>
      <c r="U107" s="2">
        <f t="shared" si="219"/>
        <v>0</v>
      </c>
      <c r="V107" s="2">
        <f t="shared" si="219"/>
        <v>0</v>
      </c>
      <c r="W107" s="2">
        <f t="shared" si="219"/>
        <v>0</v>
      </c>
      <c r="X107" s="2">
        <f t="shared" si="219"/>
        <v>0</v>
      </c>
      <c r="Y107" s="2">
        <f t="shared" si="219"/>
        <v>0</v>
      </c>
      <c r="Z107" s="2">
        <f t="shared" si="219"/>
        <v>0</v>
      </c>
      <c r="AA107" s="2">
        <f t="shared" si="219"/>
        <v>0</v>
      </c>
      <c r="AB107" s="2">
        <f t="shared" si="219"/>
        <v>0</v>
      </c>
      <c r="AC107" s="2">
        <f t="shared" si="219"/>
        <v>0</v>
      </c>
      <c r="AD107" s="2">
        <f t="shared" si="219"/>
        <v>1</v>
      </c>
      <c r="AE107" s="2">
        <f t="shared" si="219"/>
        <v>0</v>
      </c>
      <c r="AF107" s="2" t="s">
        <v>3021</v>
      </c>
    </row>
    <row r="108">
      <c r="A108" s="92" t="s">
        <v>1147</v>
      </c>
      <c r="B108" s="64" t="s">
        <v>3042</v>
      </c>
      <c r="C108" s="64">
        <v>82.0</v>
      </c>
      <c r="D108" s="64" t="str">
        <f t="shared" si="3"/>
        <v>CO4505582c</v>
      </c>
      <c r="E108" s="168">
        <v>45055.0</v>
      </c>
      <c r="F108" s="2" t="s">
        <v>3044</v>
      </c>
      <c r="G108" s="2" t="s">
        <v>1503</v>
      </c>
      <c r="H108" s="2" t="s">
        <v>1503</v>
      </c>
      <c r="I108" s="2">
        <f t="shared" ref="I108:K108" si="220">If(Iserr(search(I$1,$H108)),0,1)</f>
        <v>0</v>
      </c>
      <c r="J108" s="2">
        <f t="shared" si="220"/>
        <v>0</v>
      </c>
      <c r="K108" s="2">
        <f t="shared" si="220"/>
        <v>0</v>
      </c>
      <c r="L108" s="2">
        <f t="shared" si="5"/>
        <v>0</v>
      </c>
      <c r="M108" s="2">
        <f t="shared" ref="M108:AE108" si="221">If(Iserr(search(M$1,$H108)),0,1)</f>
        <v>0</v>
      </c>
      <c r="N108" s="2">
        <f t="shared" si="221"/>
        <v>0</v>
      </c>
      <c r="O108" s="2">
        <f t="shared" si="221"/>
        <v>0</v>
      </c>
      <c r="P108" s="2">
        <f t="shared" si="221"/>
        <v>0</v>
      </c>
      <c r="Q108" s="2">
        <f t="shared" si="221"/>
        <v>0</v>
      </c>
      <c r="R108" s="2">
        <f t="shared" si="221"/>
        <v>0</v>
      </c>
      <c r="S108" s="2">
        <f t="shared" si="221"/>
        <v>0</v>
      </c>
      <c r="T108" s="2">
        <f t="shared" si="221"/>
        <v>0</v>
      </c>
      <c r="U108" s="2">
        <f t="shared" si="221"/>
        <v>0</v>
      </c>
      <c r="V108" s="2">
        <f t="shared" si="221"/>
        <v>0</v>
      </c>
      <c r="W108" s="2">
        <f t="shared" si="221"/>
        <v>0</v>
      </c>
      <c r="X108" s="2">
        <f t="shared" si="221"/>
        <v>0</v>
      </c>
      <c r="Y108" s="2">
        <f t="shared" si="221"/>
        <v>0</v>
      </c>
      <c r="Z108" s="2">
        <f t="shared" si="221"/>
        <v>0</v>
      </c>
      <c r="AA108" s="2">
        <f t="shared" si="221"/>
        <v>0</v>
      </c>
      <c r="AB108" s="2">
        <f t="shared" si="221"/>
        <v>0</v>
      </c>
      <c r="AC108" s="2">
        <f t="shared" si="221"/>
        <v>0</v>
      </c>
      <c r="AD108" s="2">
        <f t="shared" si="221"/>
        <v>0</v>
      </c>
      <c r="AE108" s="2">
        <f t="shared" si="221"/>
        <v>1</v>
      </c>
      <c r="AF108" s="2" t="s">
        <v>3021</v>
      </c>
    </row>
    <row r="109">
      <c r="A109" s="92" t="s">
        <v>1166</v>
      </c>
      <c r="B109" s="64">
        <f>B106+1</f>
        <v>83</v>
      </c>
      <c r="C109" s="64">
        <v>83.0</v>
      </c>
      <c r="D109" s="64" t="str">
        <f t="shared" si="3"/>
        <v>CO4506983</v>
      </c>
      <c r="E109" s="168">
        <v>45069.0</v>
      </c>
      <c r="F109" s="2" t="s">
        <v>3025</v>
      </c>
      <c r="G109" s="2" t="s">
        <v>210</v>
      </c>
      <c r="H109" s="2" t="s">
        <v>210</v>
      </c>
      <c r="I109" s="2">
        <f t="shared" ref="I109:K109" si="222">If(Iserr(search(I$1,$H109)),0,1)</f>
        <v>0</v>
      </c>
      <c r="J109" s="2">
        <f t="shared" si="222"/>
        <v>0</v>
      </c>
      <c r="K109" s="2">
        <f t="shared" si="222"/>
        <v>0</v>
      </c>
      <c r="L109" s="2">
        <f t="shared" si="5"/>
        <v>0</v>
      </c>
      <c r="M109" s="2">
        <f t="shared" ref="M109:AE109" si="223">If(Iserr(search(M$1,$H109)),0,1)</f>
        <v>0</v>
      </c>
      <c r="N109" s="2">
        <f t="shared" si="223"/>
        <v>0</v>
      </c>
      <c r="O109" s="2">
        <f t="shared" si="223"/>
        <v>0</v>
      </c>
      <c r="P109" s="2">
        <f t="shared" si="223"/>
        <v>0</v>
      </c>
      <c r="Q109" s="2">
        <f t="shared" si="223"/>
        <v>0</v>
      </c>
      <c r="R109" s="2">
        <f t="shared" si="223"/>
        <v>0</v>
      </c>
      <c r="S109" s="2">
        <f t="shared" si="223"/>
        <v>0</v>
      </c>
      <c r="T109" s="2">
        <f t="shared" si="223"/>
        <v>0</v>
      </c>
      <c r="U109" s="2">
        <f t="shared" si="223"/>
        <v>0</v>
      </c>
      <c r="V109" s="2">
        <f t="shared" si="223"/>
        <v>0</v>
      </c>
      <c r="W109" s="2">
        <f t="shared" si="223"/>
        <v>0</v>
      </c>
      <c r="X109" s="2">
        <f t="shared" si="223"/>
        <v>0</v>
      </c>
      <c r="Y109" s="2">
        <f t="shared" si="223"/>
        <v>0</v>
      </c>
      <c r="Z109" s="2">
        <f t="shared" si="223"/>
        <v>0</v>
      </c>
      <c r="AA109" s="2">
        <f t="shared" si="223"/>
        <v>0</v>
      </c>
      <c r="AB109" s="2">
        <f t="shared" si="223"/>
        <v>0</v>
      </c>
      <c r="AC109" s="2">
        <f t="shared" si="223"/>
        <v>0</v>
      </c>
      <c r="AD109" s="2">
        <f t="shared" si="223"/>
        <v>1</v>
      </c>
      <c r="AE109" s="2">
        <f t="shared" si="223"/>
        <v>0</v>
      </c>
      <c r="AF109" s="2" t="s">
        <v>3061</v>
      </c>
    </row>
    <row r="110">
      <c r="A110" s="92" t="s">
        <v>1183</v>
      </c>
      <c r="B110" s="64">
        <v>84.0</v>
      </c>
      <c r="C110" s="64">
        <v>84.0</v>
      </c>
      <c r="D110" s="64" t="str">
        <f t="shared" si="3"/>
        <v>CO4508984</v>
      </c>
      <c r="E110" s="168">
        <v>45089.0</v>
      </c>
      <c r="F110" s="2" t="s">
        <v>3065</v>
      </c>
      <c r="G110" s="2" t="s">
        <v>1503</v>
      </c>
      <c r="H110" s="2" t="s">
        <v>1503</v>
      </c>
      <c r="I110" s="2">
        <f t="shared" ref="I110:K110" si="224">If(Iserr(search(I$1,$H110)),0,1)</f>
        <v>0</v>
      </c>
      <c r="J110" s="2">
        <f t="shared" si="224"/>
        <v>0</v>
      </c>
      <c r="K110" s="2">
        <f t="shared" si="224"/>
        <v>0</v>
      </c>
      <c r="L110" s="2">
        <f t="shared" si="5"/>
        <v>0</v>
      </c>
      <c r="M110" s="2">
        <f t="shared" ref="M110:AE110" si="225">If(Iserr(search(M$1,$H110)),0,1)</f>
        <v>0</v>
      </c>
      <c r="N110" s="2">
        <f t="shared" si="225"/>
        <v>0</v>
      </c>
      <c r="O110" s="2">
        <f t="shared" si="225"/>
        <v>0</v>
      </c>
      <c r="P110" s="2">
        <f t="shared" si="225"/>
        <v>0</v>
      </c>
      <c r="Q110" s="2">
        <f t="shared" si="225"/>
        <v>0</v>
      </c>
      <c r="R110" s="2">
        <f t="shared" si="225"/>
        <v>0</v>
      </c>
      <c r="S110" s="2">
        <f t="shared" si="225"/>
        <v>0</v>
      </c>
      <c r="T110" s="2">
        <f t="shared" si="225"/>
        <v>0</v>
      </c>
      <c r="U110" s="2">
        <f t="shared" si="225"/>
        <v>0</v>
      </c>
      <c r="V110" s="2">
        <f t="shared" si="225"/>
        <v>0</v>
      </c>
      <c r="W110" s="2">
        <f t="shared" si="225"/>
        <v>0</v>
      </c>
      <c r="X110" s="2">
        <f t="shared" si="225"/>
        <v>0</v>
      </c>
      <c r="Y110" s="2">
        <f t="shared" si="225"/>
        <v>0</v>
      </c>
      <c r="Z110" s="2">
        <f t="shared" si="225"/>
        <v>0</v>
      </c>
      <c r="AA110" s="2">
        <f t="shared" si="225"/>
        <v>0</v>
      </c>
      <c r="AB110" s="2">
        <f t="shared" si="225"/>
        <v>0</v>
      </c>
      <c r="AC110" s="2">
        <f t="shared" si="225"/>
        <v>0</v>
      </c>
      <c r="AD110" s="2">
        <f t="shared" si="225"/>
        <v>0</v>
      </c>
      <c r="AE110" s="2">
        <f t="shared" si="225"/>
        <v>1</v>
      </c>
      <c r="AF110" s="2" t="s">
        <v>3073</v>
      </c>
    </row>
    <row r="111">
      <c r="A111" s="92" t="s">
        <v>1206</v>
      </c>
      <c r="B111" s="64">
        <f>B110+1</f>
        <v>85</v>
      </c>
      <c r="C111" s="64">
        <v>85.0</v>
      </c>
      <c r="D111" s="64" t="str">
        <f t="shared" si="3"/>
        <v>CO4509985</v>
      </c>
      <c r="E111" s="168">
        <v>45099.0</v>
      </c>
      <c r="F111" s="2" t="s">
        <v>650</v>
      </c>
      <c r="G111" s="2" t="s">
        <v>2826</v>
      </c>
      <c r="H111" s="2" t="s">
        <v>2826</v>
      </c>
      <c r="I111" s="2">
        <f t="shared" ref="I111:K111" si="226">If(Iserr(search(I$1,$H111)),0,1)</f>
        <v>0</v>
      </c>
      <c r="J111" s="2">
        <f t="shared" si="226"/>
        <v>0</v>
      </c>
      <c r="K111" s="2">
        <f t="shared" si="226"/>
        <v>0</v>
      </c>
      <c r="L111" s="2">
        <f t="shared" si="5"/>
        <v>0</v>
      </c>
      <c r="M111" s="2">
        <f t="shared" ref="M111:AE111" si="227">If(Iserr(search(M$1,$H111)),0,1)</f>
        <v>0</v>
      </c>
      <c r="N111" s="2">
        <f t="shared" si="227"/>
        <v>0</v>
      </c>
      <c r="O111" s="2">
        <f t="shared" si="227"/>
        <v>0</v>
      </c>
      <c r="P111" s="2">
        <f t="shared" si="227"/>
        <v>0</v>
      </c>
      <c r="Q111" s="2">
        <f t="shared" si="227"/>
        <v>0</v>
      </c>
      <c r="R111" s="2">
        <f t="shared" si="227"/>
        <v>0</v>
      </c>
      <c r="S111" s="2">
        <f t="shared" si="227"/>
        <v>0</v>
      </c>
      <c r="T111" s="2">
        <f t="shared" si="227"/>
        <v>0</v>
      </c>
      <c r="U111" s="2">
        <f t="shared" si="227"/>
        <v>0</v>
      </c>
      <c r="V111" s="2">
        <f t="shared" si="227"/>
        <v>0</v>
      </c>
      <c r="W111" s="2">
        <f t="shared" si="227"/>
        <v>0</v>
      </c>
      <c r="X111" s="2">
        <f t="shared" si="227"/>
        <v>0</v>
      </c>
      <c r="Y111" s="2">
        <f t="shared" si="227"/>
        <v>0</v>
      </c>
      <c r="Z111" s="2">
        <f t="shared" si="227"/>
        <v>0</v>
      </c>
      <c r="AA111" s="2">
        <f t="shared" si="227"/>
        <v>0</v>
      </c>
      <c r="AB111" s="2">
        <f t="shared" si="227"/>
        <v>0</v>
      </c>
      <c r="AC111" s="2">
        <f t="shared" si="227"/>
        <v>0</v>
      </c>
      <c r="AD111" s="2">
        <f t="shared" si="227"/>
        <v>1</v>
      </c>
      <c r="AE111" s="2">
        <f t="shared" si="227"/>
        <v>1</v>
      </c>
      <c r="AF111" s="2" t="s">
        <v>3091</v>
      </c>
    </row>
    <row r="112">
      <c r="A112" s="92" t="s">
        <v>1206</v>
      </c>
      <c r="B112" s="64" t="s">
        <v>3093</v>
      </c>
      <c r="C112" s="64">
        <v>85.0</v>
      </c>
      <c r="D112" s="64" t="str">
        <f t="shared" si="3"/>
        <v>CO4509985b</v>
      </c>
      <c r="E112" s="168">
        <v>45099.0</v>
      </c>
      <c r="F112" s="2" t="s">
        <v>210</v>
      </c>
      <c r="G112" s="2" t="s">
        <v>210</v>
      </c>
      <c r="H112" s="2" t="s">
        <v>210</v>
      </c>
      <c r="I112" s="2">
        <f t="shared" ref="I112:K112" si="228">If(Iserr(search(I$1,$H112)),0,1)</f>
        <v>0</v>
      </c>
      <c r="J112" s="2">
        <f t="shared" si="228"/>
        <v>0</v>
      </c>
      <c r="K112" s="2">
        <f t="shared" si="228"/>
        <v>0</v>
      </c>
      <c r="L112" s="2">
        <f t="shared" si="5"/>
        <v>0</v>
      </c>
      <c r="M112" s="2">
        <f t="shared" ref="M112:AE112" si="229">If(Iserr(search(M$1,$H112)),0,1)</f>
        <v>0</v>
      </c>
      <c r="N112" s="2">
        <f t="shared" si="229"/>
        <v>0</v>
      </c>
      <c r="O112" s="2">
        <f t="shared" si="229"/>
        <v>0</v>
      </c>
      <c r="P112" s="2">
        <f t="shared" si="229"/>
        <v>0</v>
      </c>
      <c r="Q112" s="2">
        <f t="shared" si="229"/>
        <v>0</v>
      </c>
      <c r="R112" s="2">
        <f t="shared" si="229"/>
        <v>0</v>
      </c>
      <c r="S112" s="2">
        <f t="shared" si="229"/>
        <v>0</v>
      </c>
      <c r="T112" s="2">
        <f t="shared" si="229"/>
        <v>0</v>
      </c>
      <c r="U112" s="2">
        <f t="shared" si="229"/>
        <v>0</v>
      </c>
      <c r="V112" s="2">
        <f t="shared" si="229"/>
        <v>0</v>
      </c>
      <c r="W112" s="2">
        <f t="shared" si="229"/>
        <v>0</v>
      </c>
      <c r="X112" s="2">
        <f t="shared" si="229"/>
        <v>0</v>
      </c>
      <c r="Y112" s="2">
        <f t="shared" si="229"/>
        <v>0</v>
      </c>
      <c r="Z112" s="2">
        <f t="shared" si="229"/>
        <v>0</v>
      </c>
      <c r="AA112" s="2">
        <f t="shared" si="229"/>
        <v>0</v>
      </c>
      <c r="AB112" s="2">
        <f t="shared" si="229"/>
        <v>0</v>
      </c>
      <c r="AC112" s="2">
        <f t="shared" si="229"/>
        <v>0</v>
      </c>
      <c r="AD112" s="2">
        <f t="shared" si="229"/>
        <v>1</v>
      </c>
      <c r="AE112" s="2">
        <f t="shared" si="229"/>
        <v>0</v>
      </c>
      <c r="AF112" s="2" t="s">
        <v>3091</v>
      </c>
    </row>
    <row r="113">
      <c r="A113" s="92" t="s">
        <v>1206</v>
      </c>
      <c r="B113" s="64" t="s">
        <v>3103</v>
      </c>
      <c r="C113" s="64">
        <v>85.0</v>
      </c>
      <c r="D113" s="64" t="str">
        <f t="shared" si="3"/>
        <v>CO4509985c</v>
      </c>
      <c r="E113" s="168">
        <v>45099.0</v>
      </c>
      <c r="F113" s="2" t="s">
        <v>3105</v>
      </c>
      <c r="G113" s="2" t="s">
        <v>1486</v>
      </c>
      <c r="H113" s="2" t="s">
        <v>1486</v>
      </c>
      <c r="I113" s="2">
        <f t="shared" ref="I113:K113" si="230">If(Iserr(search(I$1,$H113)),0,1)</f>
        <v>1</v>
      </c>
      <c r="J113" s="2">
        <f t="shared" si="230"/>
        <v>0</v>
      </c>
      <c r="K113" s="2">
        <f t="shared" si="230"/>
        <v>0</v>
      </c>
      <c r="L113" s="2">
        <f t="shared" si="5"/>
        <v>0</v>
      </c>
      <c r="M113" s="2">
        <f t="shared" ref="M113:AE113" si="231">If(Iserr(search(M$1,$H113)),0,1)</f>
        <v>0</v>
      </c>
      <c r="N113" s="2">
        <f t="shared" si="231"/>
        <v>0</v>
      </c>
      <c r="O113" s="2">
        <f t="shared" si="231"/>
        <v>0</v>
      </c>
      <c r="P113" s="2">
        <f t="shared" si="231"/>
        <v>0</v>
      </c>
      <c r="Q113" s="2">
        <f t="shared" si="231"/>
        <v>0</v>
      </c>
      <c r="R113" s="2">
        <f t="shared" si="231"/>
        <v>0</v>
      </c>
      <c r="S113" s="2">
        <f t="shared" si="231"/>
        <v>0</v>
      </c>
      <c r="T113" s="2">
        <f t="shared" si="231"/>
        <v>0</v>
      </c>
      <c r="U113" s="2">
        <f t="shared" si="231"/>
        <v>0</v>
      </c>
      <c r="V113" s="2">
        <f t="shared" si="231"/>
        <v>0</v>
      </c>
      <c r="W113" s="2">
        <f t="shared" si="231"/>
        <v>0</v>
      </c>
      <c r="X113" s="2">
        <f t="shared" si="231"/>
        <v>0</v>
      </c>
      <c r="Y113" s="2">
        <f t="shared" si="231"/>
        <v>0</v>
      </c>
      <c r="Z113" s="2">
        <f t="shared" si="231"/>
        <v>0</v>
      </c>
      <c r="AA113" s="2">
        <f t="shared" si="231"/>
        <v>0</v>
      </c>
      <c r="AB113" s="2">
        <f t="shared" si="231"/>
        <v>0</v>
      </c>
      <c r="AC113" s="2">
        <f t="shared" si="231"/>
        <v>0</v>
      </c>
      <c r="AD113" s="2">
        <f t="shared" si="231"/>
        <v>0</v>
      </c>
      <c r="AE113" s="2">
        <f t="shared" si="231"/>
        <v>0</v>
      </c>
      <c r="AF113" s="2" t="s">
        <v>3091</v>
      </c>
    </row>
    <row r="114">
      <c r="A114" s="92" t="s">
        <v>1271</v>
      </c>
      <c r="B114" s="64">
        <f>B111+1</f>
        <v>86</v>
      </c>
      <c r="C114" s="64">
        <v>86.0</v>
      </c>
      <c r="D114" s="64" t="str">
        <f t="shared" si="3"/>
        <v>CO4516286</v>
      </c>
      <c r="E114" s="159">
        <v>45162.0</v>
      </c>
      <c r="F114" s="2" t="s">
        <v>607</v>
      </c>
      <c r="G114" s="2" t="s">
        <v>1503</v>
      </c>
      <c r="H114" s="2" t="s">
        <v>1503</v>
      </c>
      <c r="I114" s="2">
        <f t="shared" ref="I114:K114" si="232">If(Iserr(search(I$1,$H114)),0,1)</f>
        <v>0</v>
      </c>
      <c r="J114" s="2">
        <f t="shared" si="232"/>
        <v>0</v>
      </c>
      <c r="K114" s="2">
        <f t="shared" si="232"/>
        <v>0</v>
      </c>
      <c r="L114" s="2">
        <f t="shared" si="5"/>
        <v>0</v>
      </c>
      <c r="M114" s="2">
        <f t="shared" ref="M114:AE114" si="233">If(Iserr(search(M$1,$H114)),0,1)</f>
        <v>0</v>
      </c>
      <c r="N114" s="2">
        <f t="shared" si="233"/>
        <v>0</v>
      </c>
      <c r="O114" s="2">
        <f t="shared" si="233"/>
        <v>0</v>
      </c>
      <c r="P114" s="2">
        <f t="shared" si="233"/>
        <v>0</v>
      </c>
      <c r="Q114" s="2">
        <f t="shared" si="233"/>
        <v>0</v>
      </c>
      <c r="R114" s="2">
        <f t="shared" si="233"/>
        <v>0</v>
      </c>
      <c r="S114" s="2">
        <f t="shared" si="233"/>
        <v>0</v>
      </c>
      <c r="T114" s="2">
        <f t="shared" si="233"/>
        <v>0</v>
      </c>
      <c r="U114" s="2">
        <f t="shared" si="233"/>
        <v>0</v>
      </c>
      <c r="V114" s="2">
        <f t="shared" si="233"/>
        <v>0</v>
      </c>
      <c r="W114" s="2">
        <f t="shared" si="233"/>
        <v>0</v>
      </c>
      <c r="X114" s="2">
        <f t="shared" si="233"/>
        <v>0</v>
      </c>
      <c r="Y114" s="2">
        <f t="shared" si="233"/>
        <v>0</v>
      </c>
      <c r="Z114" s="2">
        <f t="shared" si="233"/>
        <v>0</v>
      </c>
      <c r="AA114" s="2">
        <f t="shared" si="233"/>
        <v>0</v>
      </c>
      <c r="AB114" s="2">
        <f t="shared" si="233"/>
        <v>0</v>
      </c>
      <c r="AC114" s="2">
        <f t="shared" si="233"/>
        <v>0</v>
      </c>
      <c r="AD114" s="2">
        <f t="shared" si="233"/>
        <v>0</v>
      </c>
      <c r="AE114" s="2">
        <f t="shared" si="233"/>
        <v>1</v>
      </c>
      <c r="AF114" s="2" t="s">
        <v>3124</v>
      </c>
    </row>
    <row r="115">
      <c r="A115" s="92" t="s">
        <v>1271</v>
      </c>
      <c r="B115" s="64" t="s">
        <v>3125</v>
      </c>
      <c r="C115" s="64">
        <v>86.0</v>
      </c>
      <c r="D115" s="64" t="str">
        <f t="shared" si="3"/>
        <v>CO4516286b</v>
      </c>
      <c r="E115" s="159">
        <v>45162.0</v>
      </c>
      <c r="F115" s="2" t="s">
        <v>3105</v>
      </c>
      <c r="G115" s="2" t="s">
        <v>1486</v>
      </c>
      <c r="H115" s="2" t="s">
        <v>1486</v>
      </c>
      <c r="I115" s="2">
        <f t="shared" ref="I115:K115" si="234">If(Iserr(search(I$1,$H115)),0,1)</f>
        <v>1</v>
      </c>
      <c r="J115" s="2">
        <f t="shared" si="234"/>
        <v>0</v>
      </c>
      <c r="K115" s="2">
        <f t="shared" si="234"/>
        <v>0</v>
      </c>
      <c r="L115" s="2">
        <f t="shared" si="5"/>
        <v>0</v>
      </c>
      <c r="M115" s="2">
        <f t="shared" ref="M115:AE115" si="235">If(Iserr(search(M$1,$H115)),0,1)</f>
        <v>0</v>
      </c>
      <c r="N115" s="2">
        <f t="shared" si="235"/>
        <v>0</v>
      </c>
      <c r="O115" s="2">
        <f t="shared" si="235"/>
        <v>0</v>
      </c>
      <c r="P115" s="2">
        <f t="shared" si="235"/>
        <v>0</v>
      </c>
      <c r="Q115" s="2">
        <f t="shared" si="235"/>
        <v>0</v>
      </c>
      <c r="R115" s="2">
        <f t="shared" si="235"/>
        <v>0</v>
      </c>
      <c r="S115" s="2">
        <f t="shared" si="235"/>
        <v>0</v>
      </c>
      <c r="T115" s="2">
        <f t="shared" si="235"/>
        <v>0</v>
      </c>
      <c r="U115" s="2">
        <f t="shared" si="235"/>
        <v>0</v>
      </c>
      <c r="V115" s="2">
        <f t="shared" si="235"/>
        <v>0</v>
      </c>
      <c r="W115" s="2">
        <f t="shared" si="235"/>
        <v>0</v>
      </c>
      <c r="X115" s="2">
        <f t="shared" si="235"/>
        <v>0</v>
      </c>
      <c r="Y115" s="2">
        <f t="shared" si="235"/>
        <v>0</v>
      </c>
      <c r="Z115" s="2">
        <f t="shared" si="235"/>
        <v>0</v>
      </c>
      <c r="AA115" s="2">
        <f t="shared" si="235"/>
        <v>0</v>
      </c>
      <c r="AB115" s="2">
        <f t="shared" si="235"/>
        <v>0</v>
      </c>
      <c r="AC115" s="2">
        <f t="shared" si="235"/>
        <v>0</v>
      </c>
      <c r="AD115" s="2">
        <f t="shared" si="235"/>
        <v>0</v>
      </c>
      <c r="AE115" s="2">
        <f t="shared" si="235"/>
        <v>0</v>
      </c>
      <c r="AF115" s="2" t="s">
        <v>3124</v>
      </c>
    </row>
    <row r="116">
      <c r="A116" s="92" t="s">
        <v>3126</v>
      </c>
      <c r="B116" s="64">
        <f>B114+1</f>
        <v>87</v>
      </c>
      <c r="C116" s="64">
        <v>87.0</v>
      </c>
      <c r="D116" s="64" t="str">
        <f t="shared" si="3"/>
        <v>CO4524687</v>
      </c>
      <c r="E116" s="159">
        <v>45246.0</v>
      </c>
      <c r="F116" s="185" t="s">
        <v>3127</v>
      </c>
      <c r="G116" s="2" t="s">
        <v>1503</v>
      </c>
      <c r="H116" s="2" t="s">
        <v>1503</v>
      </c>
      <c r="I116" s="2">
        <f t="shared" ref="I116:K116" si="236">If(Iserr(search(I$1,$H116)),0,1)</f>
        <v>0</v>
      </c>
      <c r="J116" s="2">
        <f t="shared" si="236"/>
        <v>0</v>
      </c>
      <c r="K116" s="2">
        <f t="shared" si="236"/>
        <v>0</v>
      </c>
      <c r="L116" s="2">
        <f t="shared" si="5"/>
        <v>0</v>
      </c>
      <c r="M116" s="2">
        <f t="shared" ref="M116:AE116" si="237">If(Iserr(search(M$1,$H116)),0,1)</f>
        <v>0</v>
      </c>
      <c r="N116" s="2">
        <f t="shared" si="237"/>
        <v>0</v>
      </c>
      <c r="O116" s="2">
        <f t="shared" si="237"/>
        <v>0</v>
      </c>
      <c r="P116" s="2">
        <f t="shared" si="237"/>
        <v>0</v>
      </c>
      <c r="Q116" s="2">
        <f t="shared" si="237"/>
        <v>0</v>
      </c>
      <c r="R116" s="2">
        <f t="shared" si="237"/>
        <v>0</v>
      </c>
      <c r="S116" s="2">
        <f t="shared" si="237"/>
        <v>0</v>
      </c>
      <c r="T116" s="2">
        <f t="shared" si="237"/>
        <v>0</v>
      </c>
      <c r="U116" s="2">
        <f t="shared" si="237"/>
        <v>0</v>
      </c>
      <c r="V116" s="2">
        <f t="shared" si="237"/>
        <v>0</v>
      </c>
      <c r="W116" s="2">
        <f t="shared" si="237"/>
        <v>0</v>
      </c>
      <c r="X116" s="2">
        <f t="shared" si="237"/>
        <v>0</v>
      </c>
      <c r="Y116" s="2">
        <f t="shared" si="237"/>
        <v>0</v>
      </c>
      <c r="Z116" s="2">
        <f t="shared" si="237"/>
        <v>0</v>
      </c>
      <c r="AA116" s="2">
        <f t="shared" si="237"/>
        <v>0</v>
      </c>
      <c r="AB116" s="2">
        <f t="shared" si="237"/>
        <v>0</v>
      </c>
      <c r="AC116" s="2">
        <f t="shared" si="237"/>
        <v>0</v>
      </c>
      <c r="AD116" s="2">
        <f t="shared" si="237"/>
        <v>0</v>
      </c>
      <c r="AE116" s="2">
        <f t="shared" si="237"/>
        <v>1</v>
      </c>
      <c r="AF116" s="186" t="s">
        <v>3128</v>
      </c>
    </row>
    <row r="117">
      <c r="A117" s="92" t="s">
        <v>3126</v>
      </c>
      <c r="B117" s="64" t="s">
        <v>3129</v>
      </c>
      <c r="C117" s="64">
        <v>87.0</v>
      </c>
      <c r="D117" s="64" t="str">
        <f t="shared" si="3"/>
        <v>CO4524687b</v>
      </c>
      <c r="E117" s="159">
        <v>45246.0</v>
      </c>
      <c r="F117" s="185" t="s">
        <v>3130</v>
      </c>
      <c r="G117" s="2" t="s">
        <v>2826</v>
      </c>
      <c r="H117" s="2" t="s">
        <v>2826</v>
      </c>
      <c r="I117" s="2">
        <f t="shared" ref="I117:K117" si="238">If(Iserr(search(I$1,$H117)),0,1)</f>
        <v>0</v>
      </c>
      <c r="J117" s="2">
        <f t="shared" si="238"/>
        <v>0</v>
      </c>
      <c r="K117" s="2">
        <f t="shared" si="238"/>
        <v>0</v>
      </c>
      <c r="L117" s="2">
        <f t="shared" si="5"/>
        <v>0</v>
      </c>
      <c r="M117" s="2">
        <f t="shared" ref="M117:AE117" si="239">If(Iserr(search(M$1,$H117)),0,1)</f>
        <v>0</v>
      </c>
      <c r="N117" s="2">
        <f t="shared" si="239"/>
        <v>0</v>
      </c>
      <c r="O117" s="2">
        <f t="shared" si="239"/>
        <v>0</v>
      </c>
      <c r="P117" s="2">
        <f t="shared" si="239"/>
        <v>0</v>
      </c>
      <c r="Q117" s="2">
        <f t="shared" si="239"/>
        <v>0</v>
      </c>
      <c r="R117" s="2">
        <f t="shared" si="239"/>
        <v>0</v>
      </c>
      <c r="S117" s="2">
        <f t="shared" si="239"/>
        <v>0</v>
      </c>
      <c r="T117" s="2">
        <f t="shared" si="239"/>
        <v>0</v>
      </c>
      <c r="U117" s="2">
        <f t="shared" si="239"/>
        <v>0</v>
      </c>
      <c r="V117" s="2">
        <f t="shared" si="239"/>
        <v>0</v>
      </c>
      <c r="W117" s="2">
        <f t="shared" si="239"/>
        <v>0</v>
      </c>
      <c r="X117" s="2">
        <f t="shared" si="239"/>
        <v>0</v>
      </c>
      <c r="Y117" s="2">
        <f t="shared" si="239"/>
        <v>0</v>
      </c>
      <c r="Z117" s="2">
        <f t="shared" si="239"/>
        <v>0</v>
      </c>
      <c r="AA117" s="2">
        <f t="shared" si="239"/>
        <v>0</v>
      </c>
      <c r="AB117" s="2">
        <f t="shared" si="239"/>
        <v>0</v>
      </c>
      <c r="AC117" s="2">
        <f t="shared" si="239"/>
        <v>0</v>
      </c>
      <c r="AD117" s="2">
        <f t="shared" si="239"/>
        <v>1</v>
      </c>
      <c r="AE117" s="2">
        <f t="shared" si="239"/>
        <v>1</v>
      </c>
      <c r="AF117" s="186" t="s">
        <v>3128</v>
      </c>
    </row>
    <row r="118">
      <c r="A118" s="92" t="s">
        <v>3131</v>
      </c>
      <c r="B118" s="64">
        <f>B116+1</f>
        <v>88</v>
      </c>
      <c r="C118" s="64">
        <v>88.0</v>
      </c>
      <c r="D118" s="64" t="str">
        <f t="shared" si="3"/>
        <v>CO4524688</v>
      </c>
      <c r="E118" s="159">
        <v>45246.0</v>
      </c>
      <c r="F118" s="187" t="s">
        <v>607</v>
      </c>
      <c r="G118" s="187" t="s">
        <v>1503</v>
      </c>
      <c r="H118" s="187" t="s">
        <v>1503</v>
      </c>
      <c r="I118" s="2">
        <f t="shared" ref="I118:K118" si="240">If(Iserr(search(I$1,$H118)),0,1)</f>
        <v>0</v>
      </c>
      <c r="J118" s="2">
        <f t="shared" si="240"/>
        <v>0</v>
      </c>
      <c r="K118" s="2">
        <f t="shared" si="240"/>
        <v>0</v>
      </c>
      <c r="L118" s="2">
        <f t="shared" si="5"/>
        <v>0</v>
      </c>
      <c r="M118" s="2">
        <f t="shared" ref="M118:AE118" si="241">If(Iserr(search(M$1,$H118)),0,1)</f>
        <v>0</v>
      </c>
      <c r="N118" s="2">
        <f t="shared" si="241"/>
        <v>0</v>
      </c>
      <c r="O118" s="2">
        <f t="shared" si="241"/>
        <v>0</v>
      </c>
      <c r="P118" s="2">
        <f t="shared" si="241"/>
        <v>0</v>
      </c>
      <c r="Q118" s="2">
        <f t="shared" si="241"/>
        <v>0</v>
      </c>
      <c r="R118" s="2">
        <f t="shared" si="241"/>
        <v>0</v>
      </c>
      <c r="S118" s="2">
        <f t="shared" si="241"/>
        <v>0</v>
      </c>
      <c r="T118" s="2">
        <f t="shared" si="241"/>
        <v>0</v>
      </c>
      <c r="U118" s="2">
        <f t="shared" si="241"/>
        <v>0</v>
      </c>
      <c r="V118" s="2">
        <f t="shared" si="241"/>
        <v>0</v>
      </c>
      <c r="W118" s="2">
        <f t="shared" si="241"/>
        <v>0</v>
      </c>
      <c r="X118" s="2">
        <f t="shared" si="241"/>
        <v>0</v>
      </c>
      <c r="Y118" s="2">
        <f t="shared" si="241"/>
        <v>0</v>
      </c>
      <c r="Z118" s="2">
        <f t="shared" si="241"/>
        <v>0</v>
      </c>
      <c r="AA118" s="2">
        <f t="shared" si="241"/>
        <v>0</v>
      </c>
      <c r="AB118" s="2">
        <f t="shared" si="241"/>
        <v>0</v>
      </c>
      <c r="AC118" s="2">
        <f t="shared" si="241"/>
        <v>0</v>
      </c>
      <c r="AD118" s="2">
        <f t="shared" si="241"/>
        <v>0</v>
      </c>
      <c r="AE118" s="2">
        <f t="shared" si="241"/>
        <v>1</v>
      </c>
      <c r="AF118" s="187" t="s">
        <v>3132</v>
      </c>
    </row>
    <row r="119">
      <c r="A119" s="92" t="s">
        <v>3131</v>
      </c>
      <c r="B119" s="64" t="s">
        <v>3134</v>
      </c>
      <c r="C119" s="64">
        <v>88.0</v>
      </c>
      <c r="D119" s="64" t="str">
        <f t="shared" si="3"/>
        <v>CO4524688b</v>
      </c>
      <c r="E119" s="159">
        <v>45246.0</v>
      </c>
      <c r="F119" s="187" t="s">
        <v>3135</v>
      </c>
      <c r="G119" s="2" t="s">
        <v>2826</v>
      </c>
      <c r="H119" s="2" t="s">
        <v>2826</v>
      </c>
      <c r="I119" s="2">
        <f t="shared" ref="I119:K119" si="242">If(Iserr(search(I$1,$H119)),0,1)</f>
        <v>0</v>
      </c>
      <c r="J119" s="2">
        <f t="shared" si="242"/>
        <v>0</v>
      </c>
      <c r="K119" s="2">
        <f t="shared" si="242"/>
        <v>0</v>
      </c>
      <c r="L119" s="2">
        <f t="shared" si="5"/>
        <v>0</v>
      </c>
      <c r="M119" s="2">
        <f t="shared" ref="M119:AE119" si="243">If(Iserr(search(M$1,$H119)),0,1)</f>
        <v>0</v>
      </c>
      <c r="N119" s="2">
        <f t="shared" si="243"/>
        <v>0</v>
      </c>
      <c r="O119" s="2">
        <f t="shared" si="243"/>
        <v>0</v>
      </c>
      <c r="P119" s="2">
        <f t="shared" si="243"/>
        <v>0</v>
      </c>
      <c r="Q119" s="2">
        <f t="shared" si="243"/>
        <v>0</v>
      </c>
      <c r="R119" s="2">
        <f t="shared" si="243"/>
        <v>0</v>
      </c>
      <c r="S119" s="2">
        <f t="shared" si="243"/>
        <v>0</v>
      </c>
      <c r="T119" s="2">
        <f t="shared" si="243"/>
        <v>0</v>
      </c>
      <c r="U119" s="2">
        <f t="shared" si="243"/>
        <v>0</v>
      </c>
      <c r="V119" s="2">
        <f t="shared" si="243"/>
        <v>0</v>
      </c>
      <c r="W119" s="2">
        <f t="shared" si="243"/>
        <v>0</v>
      </c>
      <c r="X119" s="2">
        <f t="shared" si="243"/>
        <v>0</v>
      </c>
      <c r="Y119" s="2">
        <f t="shared" si="243"/>
        <v>0</v>
      </c>
      <c r="Z119" s="2">
        <f t="shared" si="243"/>
        <v>0</v>
      </c>
      <c r="AA119" s="2">
        <f t="shared" si="243"/>
        <v>0</v>
      </c>
      <c r="AB119" s="2">
        <f t="shared" si="243"/>
        <v>0</v>
      </c>
      <c r="AC119" s="2">
        <f t="shared" si="243"/>
        <v>0</v>
      </c>
      <c r="AD119" s="2">
        <f t="shared" si="243"/>
        <v>1</v>
      </c>
      <c r="AE119" s="2">
        <f t="shared" si="243"/>
        <v>1</v>
      </c>
      <c r="AF119" s="187" t="s">
        <v>3132</v>
      </c>
    </row>
    <row r="120">
      <c r="A120" s="92" t="s">
        <v>3131</v>
      </c>
      <c r="B120" s="64" t="s">
        <v>3137</v>
      </c>
      <c r="C120" s="64">
        <v>88.0</v>
      </c>
      <c r="D120" s="64" t="str">
        <f t="shared" si="3"/>
        <v>CO4524688c</v>
      </c>
      <c r="E120" s="159">
        <v>45246.0</v>
      </c>
      <c r="F120" s="2" t="s">
        <v>3025</v>
      </c>
      <c r="G120" s="187" t="s">
        <v>210</v>
      </c>
      <c r="H120" s="187" t="s">
        <v>210</v>
      </c>
      <c r="I120" s="2">
        <f t="shared" ref="I120:K120" si="244">If(Iserr(search(I$1,$H120)),0,1)</f>
        <v>0</v>
      </c>
      <c r="J120" s="2">
        <f t="shared" si="244"/>
        <v>0</v>
      </c>
      <c r="K120" s="2">
        <f t="shared" si="244"/>
        <v>0</v>
      </c>
      <c r="L120" s="2">
        <f t="shared" si="5"/>
        <v>0</v>
      </c>
      <c r="M120" s="2">
        <f t="shared" ref="M120:AE120" si="245">If(Iserr(search(M$1,$H120)),0,1)</f>
        <v>0</v>
      </c>
      <c r="N120" s="2">
        <f t="shared" si="245"/>
        <v>0</v>
      </c>
      <c r="O120" s="2">
        <f t="shared" si="245"/>
        <v>0</v>
      </c>
      <c r="P120" s="2">
        <f t="shared" si="245"/>
        <v>0</v>
      </c>
      <c r="Q120" s="2">
        <f t="shared" si="245"/>
        <v>0</v>
      </c>
      <c r="R120" s="2">
        <f t="shared" si="245"/>
        <v>0</v>
      </c>
      <c r="S120" s="2">
        <f t="shared" si="245"/>
        <v>0</v>
      </c>
      <c r="T120" s="2">
        <f t="shared" si="245"/>
        <v>0</v>
      </c>
      <c r="U120" s="2">
        <f t="shared" si="245"/>
        <v>0</v>
      </c>
      <c r="V120" s="2">
        <f t="shared" si="245"/>
        <v>0</v>
      </c>
      <c r="W120" s="2">
        <f t="shared" si="245"/>
        <v>0</v>
      </c>
      <c r="X120" s="2">
        <f t="shared" si="245"/>
        <v>0</v>
      </c>
      <c r="Y120" s="2">
        <f t="shared" si="245"/>
        <v>0</v>
      </c>
      <c r="Z120" s="2">
        <f t="shared" si="245"/>
        <v>0</v>
      </c>
      <c r="AA120" s="2">
        <f t="shared" si="245"/>
        <v>0</v>
      </c>
      <c r="AB120" s="2">
        <f t="shared" si="245"/>
        <v>0</v>
      </c>
      <c r="AC120" s="2">
        <f t="shared" si="245"/>
        <v>0</v>
      </c>
      <c r="AD120" s="2">
        <f t="shared" si="245"/>
        <v>1</v>
      </c>
      <c r="AE120" s="2">
        <f t="shared" si="245"/>
        <v>0</v>
      </c>
      <c r="AF120" s="187" t="s">
        <v>3132</v>
      </c>
    </row>
    <row r="121">
      <c r="A121" s="92" t="s">
        <v>3138</v>
      </c>
      <c r="B121" s="64">
        <f>B118+1</f>
        <v>89</v>
      </c>
      <c r="C121" s="64">
        <v>89.0</v>
      </c>
      <c r="D121" s="64" t="str">
        <f t="shared" si="3"/>
        <v>CO4526689</v>
      </c>
      <c r="E121" s="159">
        <v>45266.0</v>
      </c>
      <c r="F121" s="2" t="s">
        <v>3025</v>
      </c>
      <c r="G121" s="2" t="s">
        <v>210</v>
      </c>
      <c r="H121" s="2" t="s">
        <v>210</v>
      </c>
      <c r="I121" s="2">
        <f t="shared" ref="I121:K121" si="246">If(Iserr(search(I$1,$H121)),0,1)</f>
        <v>0</v>
      </c>
      <c r="J121" s="2">
        <f t="shared" si="246"/>
        <v>0</v>
      </c>
      <c r="K121" s="2">
        <f t="shared" si="246"/>
        <v>0</v>
      </c>
      <c r="L121" s="2">
        <f t="shared" si="5"/>
        <v>0</v>
      </c>
      <c r="M121" s="2">
        <f t="shared" ref="M121:AE121" si="247">If(Iserr(search(M$1,$H121)),0,1)</f>
        <v>0</v>
      </c>
      <c r="N121" s="2">
        <f t="shared" si="247"/>
        <v>0</v>
      </c>
      <c r="O121" s="2">
        <f t="shared" si="247"/>
        <v>0</v>
      </c>
      <c r="P121" s="2">
        <f t="shared" si="247"/>
        <v>0</v>
      </c>
      <c r="Q121" s="2">
        <f t="shared" si="247"/>
        <v>0</v>
      </c>
      <c r="R121" s="2">
        <f t="shared" si="247"/>
        <v>0</v>
      </c>
      <c r="S121" s="2">
        <f t="shared" si="247"/>
        <v>0</v>
      </c>
      <c r="T121" s="2">
        <f t="shared" si="247"/>
        <v>0</v>
      </c>
      <c r="U121" s="2">
        <f t="shared" si="247"/>
        <v>0</v>
      </c>
      <c r="V121" s="2">
        <f t="shared" si="247"/>
        <v>0</v>
      </c>
      <c r="W121" s="2">
        <f t="shared" si="247"/>
        <v>0</v>
      </c>
      <c r="X121" s="2">
        <f t="shared" si="247"/>
        <v>0</v>
      </c>
      <c r="Y121" s="2">
        <f t="shared" si="247"/>
        <v>0</v>
      </c>
      <c r="Z121" s="2">
        <f t="shared" si="247"/>
        <v>0</v>
      </c>
      <c r="AA121" s="2">
        <f t="shared" si="247"/>
        <v>0</v>
      </c>
      <c r="AB121" s="2">
        <f t="shared" si="247"/>
        <v>0</v>
      </c>
      <c r="AC121" s="2">
        <f t="shared" si="247"/>
        <v>0</v>
      </c>
      <c r="AD121" s="2">
        <f t="shared" si="247"/>
        <v>1</v>
      </c>
      <c r="AE121" s="2">
        <f t="shared" si="247"/>
        <v>0</v>
      </c>
      <c r="AF121" s="2" t="s">
        <v>3144</v>
      </c>
    </row>
    <row r="122">
      <c r="A122" s="92" t="s">
        <v>3138</v>
      </c>
      <c r="B122" s="64" t="s">
        <v>3145</v>
      </c>
      <c r="C122" s="64">
        <v>89.0</v>
      </c>
      <c r="D122" s="64" t="str">
        <f t="shared" si="3"/>
        <v>CO4526689b</v>
      </c>
      <c r="E122" s="159">
        <v>45266.0</v>
      </c>
      <c r="F122" s="2" t="s">
        <v>607</v>
      </c>
      <c r="G122" s="2" t="s">
        <v>1503</v>
      </c>
      <c r="H122" s="2" t="s">
        <v>1503</v>
      </c>
      <c r="I122" s="2">
        <f t="shared" ref="I122:K122" si="248">If(Iserr(search(I$1,$H122)),0,1)</f>
        <v>0</v>
      </c>
      <c r="J122" s="2">
        <f t="shared" si="248"/>
        <v>0</v>
      </c>
      <c r="K122" s="2">
        <f t="shared" si="248"/>
        <v>0</v>
      </c>
      <c r="L122" s="2">
        <f t="shared" si="5"/>
        <v>0</v>
      </c>
      <c r="M122" s="2">
        <f t="shared" ref="M122:AE122" si="249">If(Iserr(search(M$1,$H122)),0,1)</f>
        <v>0</v>
      </c>
      <c r="N122" s="2">
        <f t="shared" si="249"/>
        <v>0</v>
      </c>
      <c r="O122" s="2">
        <f t="shared" si="249"/>
        <v>0</v>
      </c>
      <c r="P122" s="2">
        <f t="shared" si="249"/>
        <v>0</v>
      </c>
      <c r="Q122" s="2">
        <f t="shared" si="249"/>
        <v>0</v>
      </c>
      <c r="R122" s="2">
        <f t="shared" si="249"/>
        <v>0</v>
      </c>
      <c r="S122" s="2">
        <f t="shared" si="249"/>
        <v>0</v>
      </c>
      <c r="T122" s="2">
        <f t="shared" si="249"/>
        <v>0</v>
      </c>
      <c r="U122" s="2">
        <f t="shared" si="249"/>
        <v>0</v>
      </c>
      <c r="V122" s="2">
        <f t="shared" si="249"/>
        <v>0</v>
      </c>
      <c r="W122" s="2">
        <f t="shared" si="249"/>
        <v>0</v>
      </c>
      <c r="X122" s="2">
        <f t="shared" si="249"/>
        <v>0</v>
      </c>
      <c r="Y122" s="2">
        <f t="shared" si="249"/>
        <v>0</v>
      </c>
      <c r="Z122" s="2">
        <f t="shared" si="249"/>
        <v>0</v>
      </c>
      <c r="AA122" s="2">
        <f t="shared" si="249"/>
        <v>0</v>
      </c>
      <c r="AB122" s="2">
        <f t="shared" si="249"/>
        <v>0</v>
      </c>
      <c r="AC122" s="2">
        <f t="shared" si="249"/>
        <v>0</v>
      </c>
      <c r="AD122" s="2">
        <f t="shared" si="249"/>
        <v>0</v>
      </c>
      <c r="AE122" s="2">
        <f t="shared" si="249"/>
        <v>1</v>
      </c>
      <c r="AF122" s="2" t="s">
        <v>3144</v>
      </c>
    </row>
    <row r="123">
      <c r="A123" s="92" t="s">
        <v>3138</v>
      </c>
      <c r="B123" s="64" t="s">
        <v>3146</v>
      </c>
      <c r="C123" s="64">
        <v>89.0</v>
      </c>
      <c r="D123" s="64" t="str">
        <f t="shared" si="3"/>
        <v>CO4526689c</v>
      </c>
      <c r="E123" s="159">
        <v>45266.0</v>
      </c>
      <c r="F123" s="2" t="s">
        <v>1486</v>
      </c>
      <c r="G123" s="2" t="s">
        <v>1486</v>
      </c>
      <c r="H123" s="2" t="s">
        <v>1486</v>
      </c>
      <c r="I123" s="2">
        <f t="shared" ref="I123:K123" si="250">If(Iserr(search(I$1,$H123)),0,1)</f>
        <v>1</v>
      </c>
      <c r="J123" s="2">
        <f t="shared" si="250"/>
        <v>0</v>
      </c>
      <c r="K123" s="2">
        <f t="shared" si="250"/>
        <v>0</v>
      </c>
      <c r="L123" s="2">
        <f t="shared" si="5"/>
        <v>0</v>
      </c>
      <c r="M123" s="2">
        <f t="shared" ref="M123:AE123" si="251">If(Iserr(search(M$1,$H123)),0,1)</f>
        <v>0</v>
      </c>
      <c r="N123" s="2">
        <f t="shared" si="251"/>
        <v>0</v>
      </c>
      <c r="O123" s="2">
        <f t="shared" si="251"/>
        <v>0</v>
      </c>
      <c r="P123" s="2">
        <f t="shared" si="251"/>
        <v>0</v>
      </c>
      <c r="Q123" s="2">
        <f t="shared" si="251"/>
        <v>0</v>
      </c>
      <c r="R123" s="2">
        <f t="shared" si="251"/>
        <v>0</v>
      </c>
      <c r="S123" s="2">
        <f t="shared" si="251"/>
        <v>0</v>
      </c>
      <c r="T123" s="2">
        <f t="shared" si="251"/>
        <v>0</v>
      </c>
      <c r="U123" s="2">
        <f t="shared" si="251"/>
        <v>0</v>
      </c>
      <c r="V123" s="2">
        <f t="shared" si="251"/>
        <v>0</v>
      </c>
      <c r="W123" s="2">
        <f t="shared" si="251"/>
        <v>0</v>
      </c>
      <c r="X123" s="2">
        <f t="shared" si="251"/>
        <v>0</v>
      </c>
      <c r="Y123" s="2">
        <f t="shared" si="251"/>
        <v>0</v>
      </c>
      <c r="Z123" s="2">
        <f t="shared" si="251"/>
        <v>0</v>
      </c>
      <c r="AA123" s="2">
        <f t="shared" si="251"/>
        <v>0</v>
      </c>
      <c r="AB123" s="2">
        <f t="shared" si="251"/>
        <v>0</v>
      </c>
      <c r="AC123" s="2">
        <f t="shared" si="251"/>
        <v>0</v>
      </c>
      <c r="AD123" s="2">
        <f t="shared" si="251"/>
        <v>0</v>
      </c>
      <c r="AE123" s="2">
        <f t="shared" si="251"/>
        <v>0</v>
      </c>
      <c r="AF123" s="2" t="s">
        <v>3144</v>
      </c>
    </row>
    <row r="124">
      <c r="A124" s="92" t="s">
        <v>3147</v>
      </c>
      <c r="B124" s="64">
        <f>B121+1</f>
        <v>90</v>
      </c>
      <c r="C124" s="64">
        <v>90.0</v>
      </c>
      <c r="D124" s="64" t="str">
        <f t="shared" si="3"/>
        <v>CO4533790</v>
      </c>
      <c r="E124" s="159">
        <v>45337.0</v>
      </c>
      <c r="F124" s="2" t="s">
        <v>1486</v>
      </c>
      <c r="G124" s="2" t="s">
        <v>1486</v>
      </c>
      <c r="H124" s="2" t="s">
        <v>1486</v>
      </c>
      <c r="I124" s="2">
        <f t="shared" ref="I124:K124" si="252">If(Iserr(search(I$1,$H124)),0,1)</f>
        <v>1</v>
      </c>
      <c r="J124" s="2">
        <f t="shared" si="252"/>
        <v>0</v>
      </c>
      <c r="K124" s="2">
        <f t="shared" si="252"/>
        <v>0</v>
      </c>
      <c r="L124" s="2">
        <f t="shared" si="5"/>
        <v>0</v>
      </c>
      <c r="M124" s="2">
        <f t="shared" ref="M124:AE124" si="253">If(Iserr(search(M$1,$H124)),0,1)</f>
        <v>0</v>
      </c>
      <c r="N124" s="2">
        <f t="shared" si="253"/>
        <v>0</v>
      </c>
      <c r="O124" s="2">
        <f t="shared" si="253"/>
        <v>0</v>
      </c>
      <c r="P124" s="2">
        <f t="shared" si="253"/>
        <v>0</v>
      </c>
      <c r="Q124" s="2">
        <f t="shared" si="253"/>
        <v>0</v>
      </c>
      <c r="R124" s="2">
        <f t="shared" si="253"/>
        <v>0</v>
      </c>
      <c r="S124" s="2">
        <f t="shared" si="253"/>
        <v>0</v>
      </c>
      <c r="T124" s="2">
        <f t="shared" si="253"/>
        <v>0</v>
      </c>
      <c r="U124" s="2">
        <f t="shared" si="253"/>
        <v>0</v>
      </c>
      <c r="V124" s="2">
        <f t="shared" si="253"/>
        <v>0</v>
      </c>
      <c r="W124" s="2">
        <f t="shared" si="253"/>
        <v>0</v>
      </c>
      <c r="X124" s="2">
        <f t="shared" si="253"/>
        <v>0</v>
      </c>
      <c r="Y124" s="2">
        <f t="shared" si="253"/>
        <v>0</v>
      </c>
      <c r="Z124" s="2">
        <f t="shared" si="253"/>
        <v>0</v>
      </c>
      <c r="AA124" s="2">
        <f t="shared" si="253"/>
        <v>0</v>
      </c>
      <c r="AB124" s="2">
        <f t="shared" si="253"/>
        <v>0</v>
      </c>
      <c r="AC124" s="2">
        <f t="shared" si="253"/>
        <v>0</v>
      </c>
      <c r="AD124" s="2">
        <f t="shared" si="253"/>
        <v>0</v>
      </c>
      <c r="AE124" s="2">
        <f t="shared" si="253"/>
        <v>0</v>
      </c>
      <c r="AF124" s="2" t="s">
        <v>3021</v>
      </c>
    </row>
    <row r="125">
      <c r="A125" s="92" t="s">
        <v>3147</v>
      </c>
      <c r="B125" s="64" t="s">
        <v>3148</v>
      </c>
      <c r="C125" s="64">
        <v>90.0</v>
      </c>
      <c r="D125" s="64" t="str">
        <f t="shared" si="3"/>
        <v>CO4533790b</v>
      </c>
      <c r="E125" s="159">
        <v>45337.0</v>
      </c>
      <c r="F125" s="2" t="s">
        <v>607</v>
      </c>
      <c r="G125" s="2" t="s">
        <v>1503</v>
      </c>
      <c r="H125" s="2" t="s">
        <v>1503</v>
      </c>
      <c r="I125" s="2">
        <f t="shared" ref="I125:K125" si="254">If(Iserr(search(I$1,$H125)),0,1)</f>
        <v>0</v>
      </c>
      <c r="J125" s="2">
        <f t="shared" si="254"/>
        <v>0</v>
      </c>
      <c r="K125" s="2">
        <f t="shared" si="254"/>
        <v>0</v>
      </c>
      <c r="L125" s="2">
        <f t="shared" si="5"/>
        <v>0</v>
      </c>
      <c r="M125" s="2">
        <f t="shared" ref="M125:AE125" si="255">If(Iserr(search(M$1,$H125)),0,1)</f>
        <v>0</v>
      </c>
      <c r="N125" s="2">
        <f t="shared" si="255"/>
        <v>0</v>
      </c>
      <c r="O125" s="2">
        <f t="shared" si="255"/>
        <v>0</v>
      </c>
      <c r="P125" s="2">
        <f t="shared" si="255"/>
        <v>0</v>
      </c>
      <c r="Q125" s="2">
        <f t="shared" si="255"/>
        <v>0</v>
      </c>
      <c r="R125" s="2">
        <f t="shared" si="255"/>
        <v>0</v>
      </c>
      <c r="S125" s="2">
        <f t="shared" si="255"/>
        <v>0</v>
      </c>
      <c r="T125" s="2">
        <f t="shared" si="255"/>
        <v>0</v>
      </c>
      <c r="U125" s="2">
        <f t="shared" si="255"/>
        <v>0</v>
      </c>
      <c r="V125" s="2">
        <f t="shared" si="255"/>
        <v>0</v>
      </c>
      <c r="W125" s="2">
        <f t="shared" si="255"/>
        <v>0</v>
      </c>
      <c r="X125" s="2">
        <f t="shared" si="255"/>
        <v>0</v>
      </c>
      <c r="Y125" s="2">
        <f t="shared" si="255"/>
        <v>0</v>
      </c>
      <c r="Z125" s="2">
        <f t="shared" si="255"/>
        <v>0</v>
      </c>
      <c r="AA125" s="2">
        <f t="shared" si="255"/>
        <v>0</v>
      </c>
      <c r="AB125" s="2">
        <f t="shared" si="255"/>
        <v>0</v>
      </c>
      <c r="AC125" s="2">
        <f t="shared" si="255"/>
        <v>0</v>
      </c>
      <c r="AD125" s="2">
        <f t="shared" si="255"/>
        <v>0</v>
      </c>
      <c r="AE125" s="2">
        <f t="shared" si="255"/>
        <v>1</v>
      </c>
      <c r="AF125" s="2" t="s">
        <v>3021</v>
      </c>
    </row>
    <row r="126">
      <c r="A126" s="92" t="s">
        <v>3147</v>
      </c>
      <c r="B126" s="64" t="s">
        <v>3149</v>
      </c>
      <c r="C126" s="64">
        <v>90.0</v>
      </c>
      <c r="D126" s="64" t="str">
        <f t="shared" si="3"/>
        <v>CO4533790c</v>
      </c>
      <c r="E126" s="159">
        <v>45337.0</v>
      </c>
      <c r="F126" s="2" t="s">
        <v>210</v>
      </c>
      <c r="G126" s="2" t="s">
        <v>210</v>
      </c>
      <c r="H126" s="2" t="s">
        <v>210</v>
      </c>
      <c r="I126" s="2">
        <f t="shared" ref="I126:K126" si="256">If(Iserr(search(I$1,$H126)),0,1)</f>
        <v>0</v>
      </c>
      <c r="J126" s="2">
        <f t="shared" si="256"/>
        <v>0</v>
      </c>
      <c r="K126" s="2">
        <f t="shared" si="256"/>
        <v>0</v>
      </c>
      <c r="L126" s="2">
        <f t="shared" si="5"/>
        <v>0</v>
      </c>
      <c r="M126" s="2">
        <f t="shared" ref="M126:AE126" si="257">If(Iserr(search(M$1,$H126)),0,1)</f>
        <v>0</v>
      </c>
      <c r="N126" s="2">
        <f t="shared" si="257"/>
        <v>0</v>
      </c>
      <c r="O126" s="2">
        <f t="shared" si="257"/>
        <v>0</v>
      </c>
      <c r="P126" s="2">
        <f t="shared" si="257"/>
        <v>0</v>
      </c>
      <c r="Q126" s="2">
        <f t="shared" si="257"/>
        <v>0</v>
      </c>
      <c r="R126" s="2">
        <f t="shared" si="257"/>
        <v>0</v>
      </c>
      <c r="S126" s="2">
        <f t="shared" si="257"/>
        <v>0</v>
      </c>
      <c r="T126" s="2">
        <f t="shared" si="257"/>
        <v>0</v>
      </c>
      <c r="U126" s="2">
        <f t="shared" si="257"/>
        <v>0</v>
      </c>
      <c r="V126" s="2">
        <f t="shared" si="257"/>
        <v>0</v>
      </c>
      <c r="W126" s="2">
        <f t="shared" si="257"/>
        <v>0</v>
      </c>
      <c r="X126" s="2">
        <f t="shared" si="257"/>
        <v>0</v>
      </c>
      <c r="Y126" s="2">
        <f t="shared" si="257"/>
        <v>0</v>
      </c>
      <c r="Z126" s="2">
        <f t="shared" si="257"/>
        <v>0</v>
      </c>
      <c r="AA126" s="2">
        <f t="shared" si="257"/>
        <v>0</v>
      </c>
      <c r="AB126" s="2">
        <f t="shared" si="257"/>
        <v>0</v>
      </c>
      <c r="AC126" s="2">
        <f t="shared" si="257"/>
        <v>0</v>
      </c>
      <c r="AD126" s="2">
        <f t="shared" si="257"/>
        <v>1</v>
      </c>
      <c r="AE126" s="2">
        <f t="shared" si="257"/>
        <v>0</v>
      </c>
      <c r="AF126" s="2" t="s">
        <v>3021</v>
      </c>
    </row>
    <row r="127">
      <c r="A127" s="92" t="s">
        <v>3150</v>
      </c>
      <c r="B127" s="64">
        <f>B124+1</f>
        <v>91</v>
      </c>
      <c r="C127" s="64">
        <v>91.0</v>
      </c>
      <c r="D127" s="64" t="str">
        <f t="shared" si="3"/>
        <v>CO4534391</v>
      </c>
      <c r="E127" s="159">
        <v>45343.0</v>
      </c>
      <c r="F127" s="2" t="s">
        <v>210</v>
      </c>
      <c r="G127" s="2" t="s">
        <v>210</v>
      </c>
      <c r="H127" s="2" t="s">
        <v>210</v>
      </c>
      <c r="I127" s="2">
        <f t="shared" ref="I127:K127" si="258">If(Iserr(search(I$1,$H127)),0,1)</f>
        <v>0</v>
      </c>
      <c r="J127" s="2">
        <f t="shared" si="258"/>
        <v>0</v>
      </c>
      <c r="K127" s="2">
        <f t="shared" si="258"/>
        <v>0</v>
      </c>
      <c r="L127" s="2">
        <f t="shared" si="5"/>
        <v>0</v>
      </c>
      <c r="M127" s="2">
        <f t="shared" ref="M127:AE127" si="259">If(Iserr(search(M$1,$H127)),0,1)</f>
        <v>0</v>
      </c>
      <c r="N127" s="2">
        <f t="shared" si="259"/>
        <v>0</v>
      </c>
      <c r="O127" s="2">
        <f t="shared" si="259"/>
        <v>0</v>
      </c>
      <c r="P127" s="2">
        <f t="shared" si="259"/>
        <v>0</v>
      </c>
      <c r="Q127" s="2">
        <f t="shared" si="259"/>
        <v>0</v>
      </c>
      <c r="R127" s="2">
        <f t="shared" si="259"/>
        <v>0</v>
      </c>
      <c r="S127" s="2">
        <f t="shared" si="259"/>
        <v>0</v>
      </c>
      <c r="T127" s="2">
        <f t="shared" si="259"/>
        <v>0</v>
      </c>
      <c r="U127" s="2">
        <f t="shared" si="259"/>
        <v>0</v>
      </c>
      <c r="V127" s="2">
        <f t="shared" si="259"/>
        <v>0</v>
      </c>
      <c r="W127" s="2">
        <f t="shared" si="259"/>
        <v>0</v>
      </c>
      <c r="X127" s="2">
        <f t="shared" si="259"/>
        <v>0</v>
      </c>
      <c r="Y127" s="2">
        <f t="shared" si="259"/>
        <v>0</v>
      </c>
      <c r="Z127" s="2">
        <f t="shared" si="259"/>
        <v>0</v>
      </c>
      <c r="AA127" s="2">
        <f t="shared" si="259"/>
        <v>0</v>
      </c>
      <c r="AB127" s="2">
        <f t="shared" si="259"/>
        <v>0</v>
      </c>
      <c r="AC127" s="2">
        <f t="shared" si="259"/>
        <v>0</v>
      </c>
      <c r="AD127" s="2">
        <f t="shared" si="259"/>
        <v>1</v>
      </c>
      <c r="AE127" s="2">
        <f t="shared" si="259"/>
        <v>0</v>
      </c>
      <c r="AF127" s="2" t="s">
        <v>3151</v>
      </c>
    </row>
    <row r="128">
      <c r="A128" s="92" t="s">
        <v>3150</v>
      </c>
      <c r="B128" s="64" t="s">
        <v>3152</v>
      </c>
      <c r="C128" s="64">
        <v>91.0</v>
      </c>
      <c r="D128" s="64" t="str">
        <f t="shared" si="3"/>
        <v>CO4534391b</v>
      </c>
      <c r="E128" s="159">
        <v>45343.0</v>
      </c>
      <c r="F128" s="2" t="s">
        <v>607</v>
      </c>
      <c r="G128" s="2" t="s">
        <v>1503</v>
      </c>
      <c r="H128" s="2" t="s">
        <v>1503</v>
      </c>
      <c r="I128" s="2">
        <f t="shared" ref="I128:K128" si="260">If(Iserr(search(I$1,$H128)),0,1)</f>
        <v>0</v>
      </c>
      <c r="J128" s="2">
        <f t="shared" si="260"/>
        <v>0</v>
      </c>
      <c r="K128" s="2">
        <f t="shared" si="260"/>
        <v>0</v>
      </c>
      <c r="L128" s="2">
        <f t="shared" si="5"/>
        <v>0</v>
      </c>
      <c r="M128" s="2">
        <f t="shared" ref="M128:AE128" si="261">If(Iserr(search(M$1,$H128)),0,1)</f>
        <v>0</v>
      </c>
      <c r="N128" s="2">
        <f t="shared" si="261"/>
        <v>0</v>
      </c>
      <c r="O128" s="2">
        <f t="shared" si="261"/>
        <v>0</v>
      </c>
      <c r="P128" s="2">
        <f t="shared" si="261"/>
        <v>0</v>
      </c>
      <c r="Q128" s="2">
        <f t="shared" si="261"/>
        <v>0</v>
      </c>
      <c r="R128" s="2">
        <f t="shared" si="261"/>
        <v>0</v>
      </c>
      <c r="S128" s="2">
        <f t="shared" si="261"/>
        <v>0</v>
      </c>
      <c r="T128" s="2">
        <f t="shared" si="261"/>
        <v>0</v>
      </c>
      <c r="U128" s="2">
        <f t="shared" si="261"/>
        <v>0</v>
      </c>
      <c r="V128" s="2">
        <f t="shared" si="261"/>
        <v>0</v>
      </c>
      <c r="W128" s="2">
        <f t="shared" si="261"/>
        <v>0</v>
      </c>
      <c r="X128" s="2">
        <f t="shared" si="261"/>
        <v>0</v>
      </c>
      <c r="Y128" s="2">
        <f t="shared" si="261"/>
        <v>0</v>
      </c>
      <c r="Z128" s="2">
        <f t="shared" si="261"/>
        <v>0</v>
      </c>
      <c r="AA128" s="2">
        <f t="shared" si="261"/>
        <v>0</v>
      </c>
      <c r="AB128" s="2">
        <f t="shared" si="261"/>
        <v>0</v>
      </c>
      <c r="AC128" s="2">
        <f t="shared" si="261"/>
        <v>0</v>
      </c>
      <c r="AD128" s="2">
        <f t="shared" si="261"/>
        <v>0</v>
      </c>
      <c r="AE128" s="2">
        <f t="shared" si="261"/>
        <v>1</v>
      </c>
      <c r="AF128" s="2" t="s">
        <v>3151</v>
      </c>
    </row>
    <row r="129">
      <c r="A129" s="92" t="s">
        <v>3150</v>
      </c>
      <c r="B129" s="64" t="s">
        <v>3161</v>
      </c>
      <c r="C129" s="64">
        <v>91.0</v>
      </c>
      <c r="D129" s="64" t="str">
        <f t="shared" si="3"/>
        <v>CO4534391c</v>
      </c>
      <c r="E129" s="159">
        <v>45343.0</v>
      </c>
      <c r="F129" s="2" t="s">
        <v>1486</v>
      </c>
      <c r="G129" s="2" t="s">
        <v>1486</v>
      </c>
      <c r="H129" s="2" t="s">
        <v>1486</v>
      </c>
      <c r="I129" s="2">
        <f t="shared" ref="I129:K129" si="262">If(Iserr(search(I$1,$H129)),0,1)</f>
        <v>1</v>
      </c>
      <c r="J129" s="2">
        <f t="shared" si="262"/>
        <v>0</v>
      </c>
      <c r="K129" s="2">
        <f t="shared" si="262"/>
        <v>0</v>
      </c>
      <c r="L129" s="2">
        <f t="shared" si="5"/>
        <v>0</v>
      </c>
      <c r="M129" s="2">
        <f t="shared" ref="M129:AE129" si="263">If(Iserr(search(M$1,$H129)),0,1)</f>
        <v>0</v>
      </c>
      <c r="N129" s="2">
        <f t="shared" si="263"/>
        <v>0</v>
      </c>
      <c r="O129" s="2">
        <f t="shared" si="263"/>
        <v>0</v>
      </c>
      <c r="P129" s="2">
        <f t="shared" si="263"/>
        <v>0</v>
      </c>
      <c r="Q129" s="2">
        <f t="shared" si="263"/>
        <v>0</v>
      </c>
      <c r="R129" s="2">
        <f t="shared" si="263"/>
        <v>0</v>
      </c>
      <c r="S129" s="2">
        <f t="shared" si="263"/>
        <v>0</v>
      </c>
      <c r="T129" s="2">
        <f t="shared" si="263"/>
        <v>0</v>
      </c>
      <c r="U129" s="2">
        <f t="shared" si="263"/>
        <v>0</v>
      </c>
      <c r="V129" s="2">
        <f t="shared" si="263"/>
        <v>0</v>
      </c>
      <c r="W129" s="2">
        <f t="shared" si="263"/>
        <v>0</v>
      </c>
      <c r="X129" s="2">
        <f t="shared" si="263"/>
        <v>0</v>
      </c>
      <c r="Y129" s="2">
        <f t="shared" si="263"/>
        <v>0</v>
      </c>
      <c r="Z129" s="2">
        <f t="shared" si="263"/>
        <v>0</v>
      </c>
      <c r="AA129" s="2">
        <f t="shared" si="263"/>
        <v>0</v>
      </c>
      <c r="AB129" s="2">
        <f t="shared" si="263"/>
        <v>0</v>
      </c>
      <c r="AC129" s="2">
        <f t="shared" si="263"/>
        <v>0</v>
      </c>
      <c r="AD129" s="2">
        <f t="shared" si="263"/>
        <v>0</v>
      </c>
      <c r="AE129" s="2">
        <f t="shared" si="263"/>
        <v>0</v>
      </c>
      <c r="AF129" s="2" t="s">
        <v>3151</v>
      </c>
    </row>
    <row r="130">
      <c r="A130" s="92" t="s">
        <v>3171</v>
      </c>
      <c r="B130" s="64">
        <f t="shared" ref="B130:C130" si="264">B127+1</f>
        <v>92</v>
      </c>
      <c r="C130" s="64">
        <f t="shared" si="264"/>
        <v>92</v>
      </c>
      <c r="D130" s="64" t="str">
        <f t="shared" si="3"/>
        <v>CO4535792</v>
      </c>
      <c r="E130" s="159">
        <v>45357.0</v>
      </c>
      <c r="F130" s="2" t="s">
        <v>3175</v>
      </c>
      <c r="G130" s="2" t="s">
        <v>2826</v>
      </c>
      <c r="H130" s="2" t="s">
        <v>2826</v>
      </c>
      <c r="I130" s="2">
        <f t="shared" ref="I130:K130" si="265">If(Iserr(search(I$1,$H130)),0,1)</f>
        <v>0</v>
      </c>
      <c r="J130" s="2">
        <f t="shared" si="265"/>
        <v>0</v>
      </c>
      <c r="K130" s="2">
        <f t="shared" si="265"/>
        <v>0</v>
      </c>
      <c r="L130" s="2">
        <f t="shared" si="5"/>
        <v>0</v>
      </c>
      <c r="M130" s="2">
        <f t="shared" ref="M130:AE130" si="266">If(Iserr(search(M$1,$H130)),0,1)</f>
        <v>0</v>
      </c>
      <c r="N130" s="2">
        <f t="shared" si="266"/>
        <v>0</v>
      </c>
      <c r="O130" s="2">
        <f t="shared" si="266"/>
        <v>0</v>
      </c>
      <c r="P130" s="2">
        <f t="shared" si="266"/>
        <v>0</v>
      </c>
      <c r="Q130" s="2">
        <f t="shared" si="266"/>
        <v>0</v>
      </c>
      <c r="R130" s="2">
        <f t="shared" si="266"/>
        <v>0</v>
      </c>
      <c r="S130" s="2">
        <f t="shared" si="266"/>
        <v>0</v>
      </c>
      <c r="T130" s="2">
        <f t="shared" si="266"/>
        <v>0</v>
      </c>
      <c r="U130" s="2">
        <f t="shared" si="266"/>
        <v>0</v>
      </c>
      <c r="V130" s="2">
        <f t="shared" si="266"/>
        <v>0</v>
      </c>
      <c r="W130" s="2">
        <f t="shared" si="266"/>
        <v>0</v>
      </c>
      <c r="X130" s="2">
        <f t="shared" si="266"/>
        <v>0</v>
      </c>
      <c r="Y130" s="2">
        <f t="shared" si="266"/>
        <v>0</v>
      </c>
      <c r="Z130" s="2">
        <f t="shared" si="266"/>
        <v>0</v>
      </c>
      <c r="AA130" s="2">
        <f t="shared" si="266"/>
        <v>0</v>
      </c>
      <c r="AB130" s="2">
        <f t="shared" si="266"/>
        <v>0</v>
      </c>
      <c r="AC130" s="2">
        <f t="shared" si="266"/>
        <v>0</v>
      </c>
      <c r="AD130" s="2">
        <f t="shared" si="266"/>
        <v>1</v>
      </c>
      <c r="AE130" s="2">
        <f t="shared" si="266"/>
        <v>1</v>
      </c>
      <c r="AF130" s="2" t="s">
        <v>3184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location="heading=h.1fob9te" ref="A116"/>
    <hyperlink r:id="rId116" location="heading=h.1fob9te" ref="A117"/>
    <hyperlink r:id="rId117" location="heading=h.1fob9te" ref="A118"/>
    <hyperlink r:id="rId118" location="heading=h.1fob9te" ref="A119"/>
    <hyperlink r:id="rId119" location="heading=h.1fob9te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</hyperlinks>
  <drawing r:id="rId130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9.38"/>
    <col customWidth="1" min="6" max="6" width="99.88"/>
    <col customWidth="1" min="8" max="8" width="39.25"/>
  </cols>
  <sheetData>
    <row r="1">
      <c r="A1" s="89" t="s">
        <v>1479</v>
      </c>
      <c r="B1" s="2" t="s">
        <v>24</v>
      </c>
      <c r="C1" s="2" t="s">
        <v>1480</v>
      </c>
      <c r="D1" s="2" t="s">
        <v>1044</v>
      </c>
      <c r="E1" s="2" t="s">
        <v>1481</v>
      </c>
      <c r="F1" s="2" t="s">
        <v>1482</v>
      </c>
      <c r="G1" s="2" t="s">
        <v>13</v>
      </c>
      <c r="H1" s="2" t="s">
        <v>1483</v>
      </c>
      <c r="I1" s="2" t="s">
        <v>1486</v>
      </c>
      <c r="J1" s="158" t="s">
        <v>1488</v>
      </c>
      <c r="K1" s="158" t="s">
        <v>1492</v>
      </c>
      <c r="L1" s="158" t="s">
        <v>288</v>
      </c>
      <c r="M1" s="158" t="s">
        <v>291</v>
      </c>
      <c r="N1" s="158" t="s">
        <v>410</v>
      </c>
      <c r="O1" s="158" t="s">
        <v>630</v>
      </c>
      <c r="P1" s="158" t="s">
        <v>270</v>
      </c>
      <c r="Q1" s="158" t="s">
        <v>1495</v>
      </c>
      <c r="R1" s="158" t="s">
        <v>79</v>
      </c>
      <c r="S1" s="158" t="s">
        <v>171</v>
      </c>
      <c r="T1" s="158" t="s">
        <v>183</v>
      </c>
      <c r="U1" s="158" t="s">
        <v>186</v>
      </c>
      <c r="V1" s="158" t="s">
        <v>185</v>
      </c>
      <c r="W1" s="2" t="s">
        <v>129</v>
      </c>
      <c r="X1" s="2" t="s">
        <v>175</v>
      </c>
      <c r="Y1" s="2" t="s">
        <v>202</v>
      </c>
      <c r="Z1" s="2" t="s">
        <v>139</v>
      </c>
      <c r="AA1" s="2" t="s">
        <v>131</v>
      </c>
      <c r="AB1" s="158" t="s">
        <v>144</v>
      </c>
      <c r="AC1" s="158" t="s">
        <v>191</v>
      </c>
      <c r="AD1" s="2" t="s">
        <v>210</v>
      </c>
      <c r="AE1" s="2" t="s">
        <v>1503</v>
      </c>
      <c r="AF1" s="2" t="s">
        <v>1505</v>
      </c>
    </row>
    <row r="2">
      <c r="A2" s="92" t="s">
        <v>342</v>
      </c>
      <c r="B2" s="64">
        <v>1.0</v>
      </c>
      <c r="C2" s="64">
        <v>1.0</v>
      </c>
      <c r="D2" s="64" t="str">
        <f t="shared" ref="D2:D130" si="3">concatenate("CO",E2,B2)</f>
        <v>CO424171</v>
      </c>
      <c r="E2" s="159">
        <v>42417.0</v>
      </c>
      <c r="F2" s="2" t="s">
        <v>1519</v>
      </c>
      <c r="G2" s="2" t="s">
        <v>18</v>
      </c>
      <c r="H2" s="2" t="s">
        <v>1521</v>
      </c>
      <c r="I2" s="2">
        <f t="shared" ref="I2:K2" si="1">If(Iserr(search(I$1,$H2)),0,1)</f>
        <v>0</v>
      </c>
      <c r="J2" s="2">
        <f t="shared" si="1"/>
        <v>0</v>
      </c>
      <c r="K2" s="2">
        <f t="shared" si="1"/>
        <v>0</v>
      </c>
      <c r="L2" s="2">
        <f t="shared" ref="L2:L130" si="5">If(Iserr(search(L$1,$G2)),0,1)</f>
        <v>0</v>
      </c>
      <c r="M2" s="2">
        <f t="shared" ref="M2:AE2" si="2">If(Iserr(search(M$1,$H2)),0,1)</f>
        <v>0</v>
      </c>
      <c r="N2" s="2">
        <f t="shared" si="2"/>
        <v>0</v>
      </c>
      <c r="O2" s="2">
        <f t="shared" si="2"/>
        <v>0</v>
      </c>
      <c r="P2" s="2">
        <f t="shared" si="2"/>
        <v>0</v>
      </c>
      <c r="Q2" s="2">
        <f t="shared" si="2"/>
        <v>0</v>
      </c>
      <c r="R2" s="2">
        <f t="shared" si="2"/>
        <v>0</v>
      </c>
      <c r="S2" s="2">
        <f t="shared" si="2"/>
        <v>0</v>
      </c>
      <c r="T2" s="2">
        <f t="shared" si="2"/>
        <v>0</v>
      </c>
      <c r="U2" s="2">
        <f t="shared" si="2"/>
        <v>0</v>
      </c>
      <c r="V2" s="2">
        <f t="shared" si="2"/>
        <v>0</v>
      </c>
      <c r="W2" s="2">
        <f t="shared" si="2"/>
        <v>1</v>
      </c>
      <c r="X2" s="2">
        <f t="shared" si="2"/>
        <v>1</v>
      </c>
      <c r="Y2" s="2">
        <f t="shared" si="2"/>
        <v>0</v>
      </c>
      <c r="Z2" s="2">
        <f t="shared" si="2"/>
        <v>0</v>
      </c>
      <c r="AA2" s="2">
        <f t="shared" si="2"/>
        <v>0</v>
      </c>
      <c r="AB2" s="2">
        <f t="shared" si="2"/>
        <v>0</v>
      </c>
      <c r="AC2" s="2">
        <f t="shared" si="2"/>
        <v>0</v>
      </c>
      <c r="AD2" s="2">
        <f t="shared" si="2"/>
        <v>0</v>
      </c>
      <c r="AE2" s="2">
        <f t="shared" si="2"/>
        <v>0</v>
      </c>
      <c r="AF2" s="2" t="s">
        <v>1538</v>
      </c>
    </row>
    <row r="3">
      <c r="A3" s="92" t="s">
        <v>346</v>
      </c>
      <c r="B3" s="64">
        <v>2.0</v>
      </c>
      <c r="C3" s="64">
        <v>2.0</v>
      </c>
      <c r="D3" s="64" t="str">
        <f t="shared" si="3"/>
        <v>CO424172</v>
      </c>
      <c r="E3" s="159">
        <v>42417.0</v>
      </c>
      <c r="F3" s="2" t="s">
        <v>1555</v>
      </c>
      <c r="G3" s="2" t="s">
        <v>18</v>
      </c>
      <c r="H3" s="2" t="s">
        <v>129</v>
      </c>
      <c r="I3" s="2">
        <f t="shared" ref="I3:K3" si="4">If(Iserr(search(I$1,$H3)),0,1)</f>
        <v>0</v>
      </c>
      <c r="J3" s="2">
        <f t="shared" si="4"/>
        <v>0</v>
      </c>
      <c r="K3" s="2">
        <f t="shared" si="4"/>
        <v>0</v>
      </c>
      <c r="L3" s="2">
        <f t="shared" si="5"/>
        <v>0</v>
      </c>
      <c r="M3" s="2">
        <f t="shared" ref="M3:AE3" si="6">If(Iserr(search(M$1,$H3)),0,1)</f>
        <v>0</v>
      </c>
      <c r="N3" s="2">
        <f t="shared" si="6"/>
        <v>0</v>
      </c>
      <c r="O3" s="2">
        <f t="shared" si="6"/>
        <v>0</v>
      </c>
      <c r="P3" s="2">
        <f t="shared" si="6"/>
        <v>0</v>
      </c>
      <c r="Q3" s="2">
        <f t="shared" si="6"/>
        <v>0</v>
      </c>
      <c r="R3" s="2">
        <f t="shared" si="6"/>
        <v>0</v>
      </c>
      <c r="S3" s="2">
        <f t="shared" si="6"/>
        <v>0</v>
      </c>
      <c r="T3" s="2">
        <f t="shared" si="6"/>
        <v>0</v>
      </c>
      <c r="U3" s="2">
        <f t="shared" si="6"/>
        <v>0</v>
      </c>
      <c r="V3" s="2">
        <f t="shared" si="6"/>
        <v>0</v>
      </c>
      <c r="W3" s="2">
        <f t="shared" si="6"/>
        <v>1</v>
      </c>
      <c r="X3" s="2">
        <f t="shared" si="6"/>
        <v>0</v>
      </c>
      <c r="Y3" s="2">
        <f t="shared" si="6"/>
        <v>0</v>
      </c>
      <c r="Z3" s="2">
        <f t="shared" si="6"/>
        <v>0</v>
      </c>
      <c r="AA3" s="2">
        <f t="shared" si="6"/>
        <v>0</v>
      </c>
      <c r="AB3" s="2">
        <f t="shared" si="6"/>
        <v>0</v>
      </c>
      <c r="AC3" s="2">
        <f t="shared" si="6"/>
        <v>0</v>
      </c>
      <c r="AD3" s="2">
        <f t="shared" si="6"/>
        <v>0</v>
      </c>
      <c r="AE3" s="2">
        <f t="shared" si="6"/>
        <v>0</v>
      </c>
      <c r="AF3" s="2" t="s">
        <v>1564</v>
      </c>
    </row>
    <row r="4">
      <c r="A4" s="92" t="s">
        <v>350</v>
      </c>
      <c r="B4" s="64">
        <v>3.0</v>
      </c>
      <c r="C4" s="64">
        <v>3.0</v>
      </c>
      <c r="D4" s="64" t="str">
        <f t="shared" si="3"/>
        <v>CO424233</v>
      </c>
      <c r="E4" s="159">
        <v>42423.0</v>
      </c>
      <c r="F4" s="2" t="s">
        <v>1571</v>
      </c>
      <c r="G4" s="2" t="s">
        <v>18</v>
      </c>
      <c r="H4" s="158" t="s">
        <v>1573</v>
      </c>
      <c r="I4" s="2">
        <f t="shared" ref="I4:K4" si="7">If(Iserr(search(I$1,$H4)),0,1)</f>
        <v>0</v>
      </c>
      <c r="J4" s="2">
        <f t="shared" si="7"/>
        <v>0</v>
      </c>
      <c r="K4" s="2">
        <f t="shared" si="7"/>
        <v>0</v>
      </c>
      <c r="L4" s="2">
        <f t="shared" si="5"/>
        <v>0</v>
      </c>
      <c r="M4" s="2">
        <f t="shared" ref="M4:AE4" si="8">If(Iserr(search(M$1,$H4)),0,1)</f>
        <v>0</v>
      </c>
      <c r="N4" s="2">
        <f t="shared" si="8"/>
        <v>0</v>
      </c>
      <c r="O4" s="2">
        <f t="shared" si="8"/>
        <v>0</v>
      </c>
      <c r="P4" s="2">
        <f t="shared" si="8"/>
        <v>0</v>
      </c>
      <c r="Q4" s="2">
        <f t="shared" si="8"/>
        <v>0</v>
      </c>
      <c r="R4" s="2">
        <f t="shared" si="8"/>
        <v>0</v>
      </c>
      <c r="S4" s="2">
        <f t="shared" si="8"/>
        <v>0</v>
      </c>
      <c r="T4" s="2">
        <f t="shared" si="8"/>
        <v>0</v>
      </c>
      <c r="U4" s="2">
        <f t="shared" si="8"/>
        <v>0</v>
      </c>
      <c r="V4" s="2">
        <f t="shared" si="8"/>
        <v>0</v>
      </c>
      <c r="W4" s="2">
        <f t="shared" si="8"/>
        <v>1</v>
      </c>
      <c r="X4" s="2">
        <f t="shared" si="8"/>
        <v>0</v>
      </c>
      <c r="Y4" s="2">
        <f t="shared" si="8"/>
        <v>0</v>
      </c>
      <c r="Z4" s="2">
        <f t="shared" si="8"/>
        <v>0</v>
      </c>
      <c r="AA4" s="2">
        <f t="shared" si="8"/>
        <v>1</v>
      </c>
      <c r="AB4" s="2">
        <f t="shared" si="8"/>
        <v>0</v>
      </c>
      <c r="AC4" s="2">
        <f t="shared" si="8"/>
        <v>0</v>
      </c>
      <c r="AD4" s="2">
        <f t="shared" si="8"/>
        <v>0</v>
      </c>
      <c r="AE4" s="2">
        <f t="shared" si="8"/>
        <v>0</v>
      </c>
      <c r="AF4" s="2" t="s">
        <v>1589</v>
      </c>
    </row>
    <row r="5">
      <c r="A5" s="92" t="s">
        <v>355</v>
      </c>
      <c r="B5" s="64">
        <v>4.0</v>
      </c>
      <c r="C5" s="64">
        <v>4.0</v>
      </c>
      <c r="D5" s="64" t="str">
        <f t="shared" si="3"/>
        <v>CO424244</v>
      </c>
      <c r="E5" s="159">
        <v>42424.0</v>
      </c>
      <c r="F5" s="2" t="s">
        <v>1599</v>
      </c>
      <c r="G5" s="2" t="s">
        <v>18</v>
      </c>
      <c r="H5" s="158" t="s">
        <v>1601</v>
      </c>
      <c r="I5" s="2">
        <f t="shared" ref="I5:K5" si="9">If(Iserr(search(I$1,$H5)),0,1)</f>
        <v>0</v>
      </c>
      <c r="J5" s="2">
        <f t="shared" si="9"/>
        <v>0</v>
      </c>
      <c r="K5" s="2">
        <f t="shared" si="9"/>
        <v>0</v>
      </c>
      <c r="L5" s="2">
        <f t="shared" si="5"/>
        <v>0</v>
      </c>
      <c r="M5" s="2">
        <f t="shared" ref="M5:AE5" si="10">If(Iserr(search(M$1,$H5)),0,1)</f>
        <v>0</v>
      </c>
      <c r="N5" s="2">
        <f t="shared" si="10"/>
        <v>0</v>
      </c>
      <c r="O5" s="2">
        <f t="shared" si="10"/>
        <v>0</v>
      </c>
      <c r="P5" s="2">
        <f t="shared" si="10"/>
        <v>0</v>
      </c>
      <c r="Q5" s="2">
        <f t="shared" si="10"/>
        <v>0</v>
      </c>
      <c r="R5" s="2">
        <f t="shared" si="10"/>
        <v>0</v>
      </c>
      <c r="S5" s="2">
        <f t="shared" si="10"/>
        <v>0</v>
      </c>
      <c r="T5" s="2">
        <f t="shared" si="10"/>
        <v>0</v>
      </c>
      <c r="U5" s="2">
        <f t="shared" si="10"/>
        <v>0</v>
      </c>
      <c r="V5" s="2">
        <f t="shared" si="10"/>
        <v>0</v>
      </c>
      <c r="W5" s="2">
        <f t="shared" si="10"/>
        <v>1</v>
      </c>
      <c r="X5" s="2">
        <f t="shared" si="10"/>
        <v>0</v>
      </c>
      <c r="Y5" s="2">
        <f t="shared" si="10"/>
        <v>1</v>
      </c>
      <c r="Z5" s="2">
        <f t="shared" si="10"/>
        <v>0</v>
      </c>
      <c r="AA5" s="2">
        <f t="shared" si="10"/>
        <v>0</v>
      </c>
      <c r="AB5" s="2">
        <f t="shared" si="10"/>
        <v>0</v>
      </c>
      <c r="AC5" s="2">
        <f t="shared" si="10"/>
        <v>0</v>
      </c>
      <c r="AD5" s="2">
        <f t="shared" si="10"/>
        <v>0</v>
      </c>
      <c r="AE5" s="2">
        <f t="shared" si="10"/>
        <v>0</v>
      </c>
      <c r="AF5" s="2" t="s">
        <v>1621</v>
      </c>
    </row>
    <row r="6">
      <c r="A6" s="92" t="s">
        <v>358</v>
      </c>
      <c r="B6" s="64">
        <f t="shared" ref="B6:B45" si="13">B5+1</f>
        <v>5</v>
      </c>
      <c r="C6" s="64">
        <v>5.0</v>
      </c>
      <c r="D6" s="64" t="str">
        <f t="shared" si="3"/>
        <v>CO424255</v>
      </c>
      <c r="E6" s="159">
        <v>42425.0</v>
      </c>
      <c r="F6" s="2" t="s">
        <v>1625</v>
      </c>
      <c r="G6" s="2" t="s">
        <v>18</v>
      </c>
      <c r="H6" s="158" t="s">
        <v>148</v>
      </c>
      <c r="I6" s="2">
        <f t="shared" ref="I6:K6" si="11">If(Iserr(search(I$1,$H6)),0,1)</f>
        <v>0</v>
      </c>
      <c r="J6" s="2">
        <f t="shared" si="11"/>
        <v>0</v>
      </c>
      <c r="K6" s="2">
        <f t="shared" si="11"/>
        <v>0</v>
      </c>
      <c r="L6" s="2">
        <f t="shared" si="5"/>
        <v>0</v>
      </c>
      <c r="M6" s="2">
        <f t="shared" ref="M6:AE6" si="12">If(Iserr(search(M$1,$H6)),0,1)</f>
        <v>0</v>
      </c>
      <c r="N6" s="2">
        <f t="shared" si="12"/>
        <v>0</v>
      </c>
      <c r="O6" s="2">
        <f t="shared" si="12"/>
        <v>0</v>
      </c>
      <c r="P6" s="2">
        <f t="shared" si="12"/>
        <v>0</v>
      </c>
      <c r="Q6" s="2">
        <f t="shared" si="12"/>
        <v>0</v>
      </c>
      <c r="R6" s="2">
        <f t="shared" si="12"/>
        <v>0</v>
      </c>
      <c r="S6" s="2">
        <f t="shared" si="12"/>
        <v>0</v>
      </c>
      <c r="T6" s="2">
        <f t="shared" si="12"/>
        <v>0</v>
      </c>
      <c r="U6" s="2">
        <f t="shared" si="12"/>
        <v>0</v>
      </c>
      <c r="V6" s="2">
        <f t="shared" si="12"/>
        <v>0</v>
      </c>
      <c r="W6" s="2">
        <f t="shared" si="12"/>
        <v>1</v>
      </c>
      <c r="X6" s="2">
        <f t="shared" si="12"/>
        <v>0</v>
      </c>
      <c r="Y6" s="2">
        <f t="shared" si="12"/>
        <v>0</v>
      </c>
      <c r="Z6" s="2">
        <f t="shared" si="12"/>
        <v>1</v>
      </c>
      <c r="AA6" s="2">
        <f t="shared" si="12"/>
        <v>0</v>
      </c>
      <c r="AB6" s="2">
        <f t="shared" si="12"/>
        <v>0</v>
      </c>
      <c r="AC6" s="2">
        <f t="shared" si="12"/>
        <v>0</v>
      </c>
      <c r="AD6" s="2">
        <f t="shared" si="12"/>
        <v>0</v>
      </c>
      <c r="AE6" s="2">
        <f t="shared" si="12"/>
        <v>0</v>
      </c>
      <c r="AF6" s="2" t="s">
        <v>1641</v>
      </c>
    </row>
    <row r="7">
      <c r="A7" s="92" t="s">
        <v>361</v>
      </c>
      <c r="B7" s="64">
        <f t="shared" si="13"/>
        <v>6</v>
      </c>
      <c r="C7" s="64">
        <v>6.0</v>
      </c>
      <c r="D7" s="64" t="str">
        <f t="shared" si="3"/>
        <v>CO424366</v>
      </c>
      <c r="E7" s="159">
        <v>42436.0</v>
      </c>
      <c r="F7" s="2" t="s">
        <v>1647</v>
      </c>
      <c r="G7" s="2" t="s">
        <v>18</v>
      </c>
      <c r="H7" s="158" t="s">
        <v>160</v>
      </c>
      <c r="I7" s="2">
        <f t="shared" ref="I7:K7" si="14">If(Iserr(search(I$1,$H7)),0,1)</f>
        <v>0</v>
      </c>
      <c r="J7" s="2">
        <f t="shared" si="14"/>
        <v>0</v>
      </c>
      <c r="K7" s="2">
        <f t="shared" si="14"/>
        <v>0</v>
      </c>
      <c r="L7" s="2">
        <f t="shared" si="5"/>
        <v>0</v>
      </c>
      <c r="M7" s="2">
        <f t="shared" ref="M7:AE7" si="15">If(Iserr(search(M$1,$H7)),0,1)</f>
        <v>0</v>
      </c>
      <c r="N7" s="2">
        <f t="shared" si="15"/>
        <v>0</v>
      </c>
      <c r="O7" s="2">
        <f t="shared" si="15"/>
        <v>0</v>
      </c>
      <c r="P7" s="2">
        <f t="shared" si="15"/>
        <v>0</v>
      </c>
      <c r="Q7" s="2">
        <f t="shared" si="15"/>
        <v>0</v>
      </c>
      <c r="R7" s="2">
        <f t="shared" si="15"/>
        <v>0</v>
      </c>
      <c r="S7" s="2">
        <f t="shared" si="15"/>
        <v>0</v>
      </c>
      <c r="T7" s="2">
        <f t="shared" si="15"/>
        <v>0</v>
      </c>
      <c r="U7" s="2">
        <f t="shared" si="15"/>
        <v>0</v>
      </c>
      <c r="V7" s="2">
        <f t="shared" si="15"/>
        <v>0</v>
      </c>
      <c r="W7" s="2">
        <f t="shared" si="15"/>
        <v>0</v>
      </c>
      <c r="X7" s="2">
        <f t="shared" si="15"/>
        <v>1</v>
      </c>
      <c r="Y7" s="2">
        <f t="shared" si="15"/>
        <v>0</v>
      </c>
      <c r="Z7" s="2">
        <f t="shared" si="15"/>
        <v>0</v>
      </c>
      <c r="AA7" s="2">
        <f t="shared" si="15"/>
        <v>1</v>
      </c>
      <c r="AB7" s="2">
        <f t="shared" si="15"/>
        <v>0</v>
      </c>
      <c r="AC7" s="2">
        <f t="shared" si="15"/>
        <v>0</v>
      </c>
      <c r="AD7" s="2">
        <f t="shared" si="15"/>
        <v>0</v>
      </c>
      <c r="AE7" s="2">
        <f t="shared" si="15"/>
        <v>0</v>
      </c>
      <c r="AF7" s="2" t="s">
        <v>1668</v>
      </c>
    </row>
    <row r="8">
      <c r="A8" s="92" t="s">
        <v>366</v>
      </c>
      <c r="B8" s="64">
        <f t="shared" si="13"/>
        <v>7</v>
      </c>
      <c r="C8" s="64">
        <v>7.0</v>
      </c>
      <c r="D8" s="64" t="str">
        <f t="shared" si="3"/>
        <v>CO424387</v>
      </c>
      <c r="E8" s="159">
        <v>42438.0</v>
      </c>
      <c r="F8" s="2" t="s">
        <v>1674</v>
      </c>
      <c r="G8" s="2" t="s">
        <v>18</v>
      </c>
      <c r="H8" s="158" t="s">
        <v>199</v>
      </c>
      <c r="I8" s="2">
        <f t="shared" ref="I8:K8" si="16">If(Iserr(search(I$1,$H8)),0,1)</f>
        <v>0</v>
      </c>
      <c r="J8" s="2">
        <f t="shared" si="16"/>
        <v>0</v>
      </c>
      <c r="K8" s="2">
        <f t="shared" si="16"/>
        <v>0</v>
      </c>
      <c r="L8" s="2">
        <f t="shared" si="5"/>
        <v>0</v>
      </c>
      <c r="M8" s="2">
        <f t="shared" ref="M8:AE8" si="17">If(Iserr(search(M$1,$H8)),0,1)</f>
        <v>0</v>
      </c>
      <c r="N8" s="2">
        <f t="shared" si="17"/>
        <v>0</v>
      </c>
      <c r="O8" s="2">
        <f t="shared" si="17"/>
        <v>0</v>
      </c>
      <c r="P8" s="2">
        <f t="shared" si="17"/>
        <v>0</v>
      </c>
      <c r="Q8" s="2">
        <f t="shared" si="17"/>
        <v>0</v>
      </c>
      <c r="R8" s="2">
        <f t="shared" si="17"/>
        <v>0</v>
      </c>
      <c r="S8" s="2">
        <f t="shared" si="17"/>
        <v>0</v>
      </c>
      <c r="T8" s="2">
        <f t="shared" si="17"/>
        <v>0</v>
      </c>
      <c r="U8" s="2">
        <f t="shared" si="17"/>
        <v>0</v>
      </c>
      <c r="V8" s="2">
        <f t="shared" si="17"/>
        <v>0</v>
      </c>
      <c r="W8" s="2">
        <f t="shared" si="17"/>
        <v>1</v>
      </c>
      <c r="X8" s="2">
        <f t="shared" si="17"/>
        <v>1</v>
      </c>
      <c r="Y8" s="2">
        <f t="shared" si="17"/>
        <v>0</v>
      </c>
      <c r="Z8" s="2">
        <f t="shared" si="17"/>
        <v>1</v>
      </c>
      <c r="AA8" s="2">
        <f t="shared" si="17"/>
        <v>0</v>
      </c>
      <c r="AB8" s="2">
        <f t="shared" si="17"/>
        <v>0</v>
      </c>
      <c r="AC8" s="2">
        <f t="shared" si="17"/>
        <v>0</v>
      </c>
      <c r="AD8" s="2">
        <f t="shared" si="17"/>
        <v>0</v>
      </c>
      <c r="AE8" s="2">
        <f t="shared" si="17"/>
        <v>0</v>
      </c>
      <c r="AF8" s="2" t="s">
        <v>1693</v>
      </c>
    </row>
    <row r="9">
      <c r="A9" s="92" t="s">
        <v>370</v>
      </c>
      <c r="B9" s="64">
        <f t="shared" si="13"/>
        <v>8</v>
      </c>
      <c r="C9" s="64">
        <v>8.0</v>
      </c>
      <c r="D9" s="64" t="str">
        <f t="shared" si="3"/>
        <v>CO424398</v>
      </c>
      <c r="E9" s="159">
        <v>42439.0</v>
      </c>
      <c r="F9" s="2" t="s">
        <v>1701</v>
      </c>
      <c r="G9" s="2" t="s">
        <v>18</v>
      </c>
      <c r="H9" s="158" t="s">
        <v>144</v>
      </c>
      <c r="I9" s="2">
        <f t="shared" ref="I9:K9" si="18">If(Iserr(search(I$1,$H9)),0,1)</f>
        <v>0</v>
      </c>
      <c r="J9" s="2">
        <f t="shared" si="18"/>
        <v>0</v>
      </c>
      <c r="K9" s="2">
        <f t="shared" si="18"/>
        <v>0</v>
      </c>
      <c r="L9" s="2">
        <f t="shared" si="5"/>
        <v>0</v>
      </c>
      <c r="M9" s="2">
        <f t="shared" ref="M9:AE9" si="19">If(Iserr(search(M$1,$H9)),0,1)</f>
        <v>0</v>
      </c>
      <c r="N9" s="2">
        <f t="shared" si="19"/>
        <v>0</v>
      </c>
      <c r="O9" s="2">
        <f t="shared" si="19"/>
        <v>0</v>
      </c>
      <c r="P9" s="2">
        <f t="shared" si="19"/>
        <v>0</v>
      </c>
      <c r="Q9" s="2">
        <f t="shared" si="19"/>
        <v>0</v>
      </c>
      <c r="R9" s="2">
        <f t="shared" si="19"/>
        <v>0</v>
      </c>
      <c r="S9" s="2">
        <f t="shared" si="19"/>
        <v>0</v>
      </c>
      <c r="T9" s="2">
        <f t="shared" si="19"/>
        <v>0</v>
      </c>
      <c r="U9" s="2">
        <f t="shared" si="19"/>
        <v>0</v>
      </c>
      <c r="V9" s="2">
        <f t="shared" si="19"/>
        <v>0</v>
      </c>
      <c r="W9" s="2">
        <f t="shared" si="19"/>
        <v>0</v>
      </c>
      <c r="X9" s="2">
        <f t="shared" si="19"/>
        <v>0</v>
      </c>
      <c r="Y9" s="2">
        <f t="shared" si="19"/>
        <v>0</v>
      </c>
      <c r="Z9" s="2">
        <f t="shared" si="19"/>
        <v>0</v>
      </c>
      <c r="AA9" s="2">
        <f t="shared" si="19"/>
        <v>0</v>
      </c>
      <c r="AB9" s="2">
        <f t="shared" si="19"/>
        <v>1</v>
      </c>
      <c r="AC9" s="2">
        <f t="shared" si="19"/>
        <v>0</v>
      </c>
      <c r="AD9" s="2">
        <f t="shared" si="19"/>
        <v>0</v>
      </c>
      <c r="AE9" s="2">
        <f t="shared" si="19"/>
        <v>0</v>
      </c>
      <c r="AF9" s="2" t="s">
        <v>1715</v>
      </c>
    </row>
    <row r="10">
      <c r="A10" s="92" t="s">
        <v>376</v>
      </c>
      <c r="B10" s="64">
        <f t="shared" si="13"/>
        <v>9</v>
      </c>
      <c r="C10" s="64">
        <v>9.0</v>
      </c>
      <c r="D10" s="64" t="str">
        <f t="shared" si="3"/>
        <v>CO424399</v>
      </c>
      <c r="E10" s="159">
        <v>42439.0</v>
      </c>
      <c r="F10" s="2" t="s">
        <v>1722</v>
      </c>
      <c r="G10" s="2" t="s">
        <v>18</v>
      </c>
      <c r="H10" s="158" t="s">
        <v>139</v>
      </c>
      <c r="I10" s="2">
        <f t="shared" ref="I10:K10" si="20">If(Iserr(search(I$1,$H10)),0,1)</f>
        <v>0</v>
      </c>
      <c r="J10" s="2">
        <f t="shared" si="20"/>
        <v>0</v>
      </c>
      <c r="K10" s="2">
        <f t="shared" si="20"/>
        <v>0</v>
      </c>
      <c r="L10" s="2">
        <f t="shared" si="5"/>
        <v>0</v>
      </c>
      <c r="M10" s="2">
        <f t="shared" ref="M10:AE10" si="21">If(Iserr(search(M$1,$H10)),0,1)</f>
        <v>0</v>
      </c>
      <c r="N10" s="2">
        <f t="shared" si="21"/>
        <v>0</v>
      </c>
      <c r="O10" s="2">
        <f t="shared" si="21"/>
        <v>0</v>
      </c>
      <c r="P10" s="2">
        <f t="shared" si="21"/>
        <v>0</v>
      </c>
      <c r="Q10" s="2">
        <f t="shared" si="21"/>
        <v>0</v>
      </c>
      <c r="R10" s="2">
        <f t="shared" si="21"/>
        <v>0</v>
      </c>
      <c r="S10" s="2">
        <f t="shared" si="21"/>
        <v>0</v>
      </c>
      <c r="T10" s="2">
        <f t="shared" si="21"/>
        <v>0</v>
      </c>
      <c r="U10" s="2">
        <f t="shared" si="21"/>
        <v>0</v>
      </c>
      <c r="V10" s="2">
        <f t="shared" si="21"/>
        <v>0</v>
      </c>
      <c r="W10" s="2">
        <f t="shared" si="21"/>
        <v>0</v>
      </c>
      <c r="X10" s="2">
        <f t="shared" si="21"/>
        <v>0</v>
      </c>
      <c r="Y10" s="2">
        <f t="shared" si="21"/>
        <v>0</v>
      </c>
      <c r="Z10" s="2">
        <f t="shared" si="21"/>
        <v>1</v>
      </c>
      <c r="AA10" s="2">
        <f t="shared" si="21"/>
        <v>0</v>
      </c>
      <c r="AB10" s="2">
        <f t="shared" si="21"/>
        <v>0</v>
      </c>
      <c r="AC10" s="2">
        <f t="shared" si="21"/>
        <v>0</v>
      </c>
      <c r="AD10" s="2">
        <f t="shared" si="21"/>
        <v>0</v>
      </c>
      <c r="AE10" s="2">
        <f t="shared" si="21"/>
        <v>0</v>
      </c>
      <c r="AF10" s="2" t="s">
        <v>1738</v>
      </c>
    </row>
    <row r="11">
      <c r="A11" s="92" t="s">
        <v>381</v>
      </c>
      <c r="B11" s="64">
        <f t="shared" si="13"/>
        <v>10</v>
      </c>
      <c r="C11" s="64">
        <v>10.0</v>
      </c>
      <c r="D11" s="64" t="str">
        <f t="shared" si="3"/>
        <v>CO4244310</v>
      </c>
      <c r="E11" s="159">
        <v>42443.0</v>
      </c>
      <c r="F11" s="2" t="s">
        <v>1747</v>
      </c>
      <c r="G11" s="2" t="s">
        <v>18</v>
      </c>
      <c r="H11" s="158" t="s">
        <v>129</v>
      </c>
      <c r="I11" s="2">
        <f t="shared" ref="I11:K11" si="22">If(Iserr(search(I$1,$H11)),0,1)</f>
        <v>0</v>
      </c>
      <c r="J11" s="2">
        <f t="shared" si="22"/>
        <v>0</v>
      </c>
      <c r="K11" s="2">
        <f t="shared" si="22"/>
        <v>0</v>
      </c>
      <c r="L11" s="2">
        <f t="shared" si="5"/>
        <v>0</v>
      </c>
      <c r="M11" s="2">
        <f t="shared" ref="M11:AE11" si="23">If(Iserr(search(M$1,$H11)),0,1)</f>
        <v>0</v>
      </c>
      <c r="N11" s="2">
        <f t="shared" si="23"/>
        <v>0</v>
      </c>
      <c r="O11" s="2">
        <f t="shared" si="23"/>
        <v>0</v>
      </c>
      <c r="P11" s="2">
        <f t="shared" si="23"/>
        <v>0</v>
      </c>
      <c r="Q11" s="2">
        <f t="shared" si="23"/>
        <v>0</v>
      </c>
      <c r="R11" s="2">
        <f t="shared" si="23"/>
        <v>0</v>
      </c>
      <c r="S11" s="2">
        <f t="shared" si="23"/>
        <v>0</v>
      </c>
      <c r="T11" s="2">
        <f t="shared" si="23"/>
        <v>0</v>
      </c>
      <c r="U11" s="2">
        <f t="shared" si="23"/>
        <v>0</v>
      </c>
      <c r="V11" s="2">
        <f t="shared" si="23"/>
        <v>0</v>
      </c>
      <c r="W11" s="2">
        <f t="shared" si="23"/>
        <v>1</v>
      </c>
      <c r="X11" s="2">
        <f t="shared" si="23"/>
        <v>0</v>
      </c>
      <c r="Y11" s="2">
        <f t="shared" si="23"/>
        <v>0</v>
      </c>
      <c r="Z11" s="2">
        <f t="shared" si="23"/>
        <v>0</v>
      </c>
      <c r="AA11" s="2">
        <f t="shared" si="23"/>
        <v>0</v>
      </c>
      <c r="AB11" s="2">
        <f t="shared" si="23"/>
        <v>0</v>
      </c>
      <c r="AC11" s="2">
        <f t="shared" si="23"/>
        <v>0</v>
      </c>
      <c r="AD11" s="2">
        <f t="shared" si="23"/>
        <v>0</v>
      </c>
      <c r="AE11" s="2">
        <f t="shared" si="23"/>
        <v>0</v>
      </c>
      <c r="AF11" s="2" t="s">
        <v>1763</v>
      </c>
    </row>
    <row r="12">
      <c r="A12" s="92" t="s">
        <v>385</v>
      </c>
      <c r="B12" s="64">
        <f t="shared" si="13"/>
        <v>11</v>
      </c>
      <c r="C12" s="64">
        <v>11.0</v>
      </c>
      <c r="D12" s="64" t="str">
        <f t="shared" si="3"/>
        <v>CO4244311</v>
      </c>
      <c r="E12" s="159">
        <v>42443.0</v>
      </c>
      <c r="F12" s="2" t="s">
        <v>1770</v>
      </c>
      <c r="G12" s="2" t="s">
        <v>18</v>
      </c>
      <c r="H12" s="158" t="s">
        <v>129</v>
      </c>
      <c r="I12" s="2">
        <f t="shared" ref="I12:K12" si="24">If(Iserr(search(I$1,$H12)),0,1)</f>
        <v>0</v>
      </c>
      <c r="J12" s="2">
        <f t="shared" si="24"/>
        <v>0</v>
      </c>
      <c r="K12" s="2">
        <f t="shared" si="24"/>
        <v>0</v>
      </c>
      <c r="L12" s="2">
        <f t="shared" si="5"/>
        <v>0</v>
      </c>
      <c r="M12" s="2">
        <f t="shared" ref="M12:AE12" si="25">If(Iserr(search(M$1,$H12)),0,1)</f>
        <v>0</v>
      </c>
      <c r="N12" s="2">
        <f t="shared" si="25"/>
        <v>0</v>
      </c>
      <c r="O12" s="2">
        <f t="shared" si="25"/>
        <v>0</v>
      </c>
      <c r="P12" s="2">
        <f t="shared" si="25"/>
        <v>0</v>
      </c>
      <c r="Q12" s="2">
        <f t="shared" si="25"/>
        <v>0</v>
      </c>
      <c r="R12" s="2">
        <f t="shared" si="25"/>
        <v>0</v>
      </c>
      <c r="S12" s="2">
        <f t="shared" si="25"/>
        <v>0</v>
      </c>
      <c r="T12" s="2">
        <f t="shared" si="25"/>
        <v>0</v>
      </c>
      <c r="U12" s="2">
        <f t="shared" si="25"/>
        <v>0</v>
      </c>
      <c r="V12" s="2">
        <f t="shared" si="25"/>
        <v>0</v>
      </c>
      <c r="W12" s="2">
        <f t="shared" si="25"/>
        <v>1</v>
      </c>
      <c r="X12" s="2">
        <f t="shared" si="25"/>
        <v>0</v>
      </c>
      <c r="Y12" s="2">
        <f t="shared" si="25"/>
        <v>0</v>
      </c>
      <c r="Z12" s="2">
        <f t="shared" si="25"/>
        <v>0</v>
      </c>
      <c r="AA12" s="2">
        <f t="shared" si="25"/>
        <v>0</v>
      </c>
      <c r="AB12" s="2">
        <f t="shared" si="25"/>
        <v>0</v>
      </c>
      <c r="AC12" s="2">
        <f t="shared" si="25"/>
        <v>0</v>
      </c>
      <c r="AD12" s="2">
        <f t="shared" si="25"/>
        <v>0</v>
      </c>
      <c r="AE12" s="2">
        <f t="shared" si="25"/>
        <v>0</v>
      </c>
      <c r="AF12" s="2" t="s">
        <v>1785</v>
      </c>
    </row>
    <row r="13">
      <c r="A13" s="92" t="s">
        <v>388</v>
      </c>
      <c r="B13" s="64">
        <f t="shared" si="13"/>
        <v>12</v>
      </c>
      <c r="C13" s="64">
        <v>12.0</v>
      </c>
      <c r="D13" s="64" t="str">
        <f t="shared" si="3"/>
        <v>CO4244612</v>
      </c>
      <c r="E13" s="159">
        <v>42446.0</v>
      </c>
      <c r="F13" s="2" t="s">
        <v>1791</v>
      </c>
      <c r="G13" s="2" t="s">
        <v>18</v>
      </c>
      <c r="H13" s="158" t="s">
        <v>175</v>
      </c>
      <c r="I13" s="2">
        <f t="shared" ref="I13:K13" si="26">If(Iserr(search(I$1,$H13)),0,1)</f>
        <v>0</v>
      </c>
      <c r="J13" s="2">
        <f t="shared" si="26"/>
        <v>0</v>
      </c>
      <c r="K13" s="2">
        <f t="shared" si="26"/>
        <v>0</v>
      </c>
      <c r="L13" s="2">
        <f t="shared" si="5"/>
        <v>0</v>
      </c>
      <c r="M13" s="2">
        <f t="shared" ref="M13:AE13" si="27">If(Iserr(search(M$1,$H13)),0,1)</f>
        <v>0</v>
      </c>
      <c r="N13" s="2">
        <f t="shared" si="27"/>
        <v>0</v>
      </c>
      <c r="O13" s="2">
        <f t="shared" si="27"/>
        <v>0</v>
      </c>
      <c r="P13" s="2">
        <f t="shared" si="27"/>
        <v>0</v>
      </c>
      <c r="Q13" s="2">
        <f t="shared" si="27"/>
        <v>0</v>
      </c>
      <c r="R13" s="2">
        <f t="shared" si="27"/>
        <v>0</v>
      </c>
      <c r="S13" s="2">
        <f t="shared" si="27"/>
        <v>0</v>
      </c>
      <c r="T13" s="2">
        <f t="shared" si="27"/>
        <v>0</v>
      </c>
      <c r="U13" s="2">
        <f t="shared" si="27"/>
        <v>0</v>
      </c>
      <c r="V13" s="2">
        <f t="shared" si="27"/>
        <v>0</v>
      </c>
      <c r="W13" s="2">
        <f t="shared" si="27"/>
        <v>0</v>
      </c>
      <c r="X13" s="2">
        <f t="shared" si="27"/>
        <v>1</v>
      </c>
      <c r="Y13" s="2">
        <f t="shared" si="27"/>
        <v>0</v>
      </c>
      <c r="Z13" s="2">
        <f t="shared" si="27"/>
        <v>0</v>
      </c>
      <c r="AA13" s="2">
        <f t="shared" si="27"/>
        <v>0</v>
      </c>
      <c r="AB13" s="2">
        <f t="shared" si="27"/>
        <v>0</v>
      </c>
      <c r="AC13" s="2">
        <f t="shared" si="27"/>
        <v>0</v>
      </c>
      <c r="AD13" s="2">
        <f t="shared" si="27"/>
        <v>0</v>
      </c>
      <c r="AE13" s="2">
        <f t="shared" si="27"/>
        <v>0</v>
      </c>
      <c r="AF13" s="2" t="s">
        <v>1806</v>
      </c>
    </row>
    <row r="14">
      <c r="A14" s="92" t="s">
        <v>392</v>
      </c>
      <c r="B14" s="64">
        <f t="shared" si="13"/>
        <v>13</v>
      </c>
      <c r="C14" s="64">
        <v>13.0</v>
      </c>
      <c r="D14" s="64" t="str">
        <f t="shared" si="3"/>
        <v>CO4245013</v>
      </c>
      <c r="E14" s="159">
        <v>42450.0</v>
      </c>
      <c r="F14" s="2" t="s">
        <v>1814</v>
      </c>
      <c r="G14" s="2" t="s">
        <v>18</v>
      </c>
      <c r="H14" s="158" t="s">
        <v>175</v>
      </c>
      <c r="I14" s="2">
        <f t="shared" ref="I14:K14" si="28">If(Iserr(search(I$1,$H14)),0,1)</f>
        <v>0</v>
      </c>
      <c r="J14" s="2">
        <f t="shared" si="28"/>
        <v>0</v>
      </c>
      <c r="K14" s="2">
        <f t="shared" si="28"/>
        <v>0</v>
      </c>
      <c r="L14" s="2">
        <f t="shared" si="5"/>
        <v>0</v>
      </c>
      <c r="M14" s="2">
        <f t="shared" ref="M14:AE14" si="29">If(Iserr(search(M$1,$H14)),0,1)</f>
        <v>0</v>
      </c>
      <c r="N14" s="2">
        <f t="shared" si="29"/>
        <v>0</v>
      </c>
      <c r="O14" s="2">
        <f t="shared" si="29"/>
        <v>0</v>
      </c>
      <c r="P14" s="2">
        <f t="shared" si="29"/>
        <v>0</v>
      </c>
      <c r="Q14" s="2">
        <f t="shared" si="29"/>
        <v>0</v>
      </c>
      <c r="R14" s="2">
        <f t="shared" si="29"/>
        <v>0</v>
      </c>
      <c r="S14" s="2">
        <f t="shared" si="29"/>
        <v>0</v>
      </c>
      <c r="T14" s="2">
        <f t="shared" si="29"/>
        <v>0</v>
      </c>
      <c r="U14" s="2">
        <f t="shared" si="29"/>
        <v>0</v>
      </c>
      <c r="V14" s="2">
        <f t="shared" si="29"/>
        <v>0</v>
      </c>
      <c r="W14" s="2">
        <f t="shared" si="29"/>
        <v>0</v>
      </c>
      <c r="X14" s="2">
        <f t="shared" si="29"/>
        <v>1</v>
      </c>
      <c r="Y14" s="2">
        <f t="shared" si="29"/>
        <v>0</v>
      </c>
      <c r="Z14" s="2">
        <f t="shared" si="29"/>
        <v>0</v>
      </c>
      <c r="AA14" s="2">
        <f t="shared" si="29"/>
        <v>0</v>
      </c>
      <c r="AB14" s="2">
        <f t="shared" si="29"/>
        <v>0</v>
      </c>
      <c r="AC14" s="2">
        <f t="shared" si="29"/>
        <v>0</v>
      </c>
      <c r="AD14" s="2">
        <f t="shared" si="29"/>
        <v>0</v>
      </c>
      <c r="AE14" s="2">
        <f t="shared" si="29"/>
        <v>0</v>
      </c>
      <c r="AF14" s="2" t="s">
        <v>1831</v>
      </c>
    </row>
    <row r="15">
      <c r="A15" s="92" t="s">
        <v>397</v>
      </c>
      <c r="B15" s="64">
        <f t="shared" si="13"/>
        <v>14</v>
      </c>
      <c r="C15" s="64">
        <v>14.0</v>
      </c>
      <c r="D15" s="64" t="str">
        <f t="shared" si="3"/>
        <v>CO4245214</v>
      </c>
      <c r="E15" s="159">
        <v>42452.0</v>
      </c>
      <c r="F15" s="2" t="s">
        <v>1571</v>
      </c>
      <c r="G15" s="2" t="s">
        <v>18</v>
      </c>
      <c r="H15" s="158" t="s">
        <v>163</v>
      </c>
      <c r="I15" s="2">
        <f t="shared" ref="I15:K15" si="30">If(Iserr(search(I$1,$H15)),0,1)</f>
        <v>0</v>
      </c>
      <c r="J15" s="2">
        <f t="shared" si="30"/>
        <v>0</v>
      </c>
      <c r="K15" s="2">
        <f t="shared" si="30"/>
        <v>0</v>
      </c>
      <c r="L15" s="2">
        <f t="shared" si="5"/>
        <v>0</v>
      </c>
      <c r="M15" s="2">
        <f t="shared" ref="M15:AE15" si="31">If(Iserr(search(M$1,$H15)),0,1)</f>
        <v>0</v>
      </c>
      <c r="N15" s="2">
        <f t="shared" si="31"/>
        <v>0</v>
      </c>
      <c r="O15" s="2">
        <f t="shared" si="31"/>
        <v>0</v>
      </c>
      <c r="P15" s="2">
        <f t="shared" si="31"/>
        <v>0</v>
      </c>
      <c r="Q15" s="2">
        <f t="shared" si="31"/>
        <v>0</v>
      </c>
      <c r="R15" s="2">
        <f t="shared" si="31"/>
        <v>0</v>
      </c>
      <c r="S15" s="2">
        <f t="shared" si="31"/>
        <v>0</v>
      </c>
      <c r="T15" s="2">
        <f t="shared" si="31"/>
        <v>0</v>
      </c>
      <c r="U15" s="2">
        <f t="shared" si="31"/>
        <v>0</v>
      </c>
      <c r="V15" s="2">
        <f t="shared" si="31"/>
        <v>0</v>
      </c>
      <c r="W15" s="2">
        <f t="shared" si="31"/>
        <v>1</v>
      </c>
      <c r="X15" s="2">
        <f t="shared" si="31"/>
        <v>0</v>
      </c>
      <c r="Y15" s="2">
        <f t="shared" si="31"/>
        <v>0</v>
      </c>
      <c r="Z15" s="2">
        <f t="shared" si="31"/>
        <v>0</v>
      </c>
      <c r="AA15" s="2">
        <f t="shared" si="31"/>
        <v>1</v>
      </c>
      <c r="AB15" s="2">
        <f t="shared" si="31"/>
        <v>0</v>
      </c>
      <c r="AC15" s="2">
        <f t="shared" si="31"/>
        <v>0</v>
      </c>
      <c r="AD15" s="2">
        <f t="shared" si="31"/>
        <v>0</v>
      </c>
      <c r="AE15" s="2">
        <f t="shared" si="31"/>
        <v>0</v>
      </c>
      <c r="AF15" s="2" t="s">
        <v>1853</v>
      </c>
    </row>
    <row r="16">
      <c r="A16" s="92" t="s">
        <v>402</v>
      </c>
      <c r="B16" s="64">
        <f t="shared" si="13"/>
        <v>15</v>
      </c>
      <c r="C16" s="64">
        <v>15.0</v>
      </c>
      <c r="D16" s="64" t="str">
        <f t="shared" si="3"/>
        <v>CO4246115</v>
      </c>
      <c r="E16" s="159">
        <v>42461.0</v>
      </c>
      <c r="F16" s="2" t="s">
        <v>1861</v>
      </c>
      <c r="G16" s="2" t="s">
        <v>18</v>
      </c>
      <c r="H16" s="158" t="s">
        <v>139</v>
      </c>
      <c r="I16" s="2">
        <f t="shared" ref="I16:K16" si="32">If(Iserr(search(I$1,$H16)),0,1)</f>
        <v>0</v>
      </c>
      <c r="J16" s="2">
        <f t="shared" si="32"/>
        <v>0</v>
      </c>
      <c r="K16" s="2">
        <f t="shared" si="32"/>
        <v>0</v>
      </c>
      <c r="L16" s="2">
        <f t="shared" si="5"/>
        <v>0</v>
      </c>
      <c r="M16" s="2">
        <f t="shared" ref="M16:AE16" si="33">If(Iserr(search(M$1,$H16)),0,1)</f>
        <v>0</v>
      </c>
      <c r="N16" s="2">
        <f t="shared" si="33"/>
        <v>0</v>
      </c>
      <c r="O16" s="2">
        <f t="shared" si="33"/>
        <v>0</v>
      </c>
      <c r="P16" s="2">
        <f t="shared" si="33"/>
        <v>0</v>
      </c>
      <c r="Q16" s="2">
        <f t="shared" si="33"/>
        <v>0</v>
      </c>
      <c r="R16" s="2">
        <f t="shared" si="33"/>
        <v>0</v>
      </c>
      <c r="S16" s="2">
        <f t="shared" si="33"/>
        <v>0</v>
      </c>
      <c r="T16" s="2">
        <f t="shared" si="33"/>
        <v>0</v>
      </c>
      <c r="U16" s="2">
        <f t="shared" si="33"/>
        <v>0</v>
      </c>
      <c r="V16" s="2">
        <f t="shared" si="33"/>
        <v>0</v>
      </c>
      <c r="W16" s="2">
        <f t="shared" si="33"/>
        <v>0</v>
      </c>
      <c r="X16" s="2">
        <f t="shared" si="33"/>
        <v>0</v>
      </c>
      <c r="Y16" s="2">
        <f t="shared" si="33"/>
        <v>0</v>
      </c>
      <c r="Z16" s="2">
        <f t="shared" si="33"/>
        <v>1</v>
      </c>
      <c r="AA16" s="2">
        <f t="shared" si="33"/>
        <v>0</v>
      </c>
      <c r="AB16" s="2">
        <f t="shared" si="33"/>
        <v>0</v>
      </c>
      <c r="AC16" s="2">
        <f t="shared" si="33"/>
        <v>0</v>
      </c>
      <c r="AD16" s="2">
        <f t="shared" si="33"/>
        <v>0</v>
      </c>
      <c r="AE16" s="2">
        <f t="shared" si="33"/>
        <v>0</v>
      </c>
      <c r="AF16" s="2" t="s">
        <v>1878</v>
      </c>
    </row>
    <row r="17">
      <c r="A17" s="92" t="s">
        <v>406</v>
      </c>
      <c r="B17" s="64">
        <f t="shared" si="13"/>
        <v>16</v>
      </c>
      <c r="C17" s="64">
        <v>16.0</v>
      </c>
      <c r="D17" s="64" t="str">
        <f t="shared" si="3"/>
        <v>CO4246116</v>
      </c>
      <c r="E17" s="159">
        <v>42461.0</v>
      </c>
      <c r="F17" s="2" t="s">
        <v>1884</v>
      </c>
      <c r="G17" s="2" t="s">
        <v>18</v>
      </c>
      <c r="H17" s="158" t="s">
        <v>129</v>
      </c>
      <c r="I17" s="2">
        <f t="shared" ref="I17:K17" si="34">If(Iserr(search(I$1,$H17)),0,1)</f>
        <v>0</v>
      </c>
      <c r="J17" s="2">
        <f t="shared" si="34"/>
        <v>0</v>
      </c>
      <c r="K17" s="2">
        <f t="shared" si="34"/>
        <v>0</v>
      </c>
      <c r="L17" s="2">
        <f t="shared" si="5"/>
        <v>0</v>
      </c>
      <c r="M17" s="2">
        <f t="shared" ref="M17:AE17" si="35">If(Iserr(search(M$1,$H17)),0,1)</f>
        <v>0</v>
      </c>
      <c r="N17" s="2">
        <f t="shared" si="35"/>
        <v>0</v>
      </c>
      <c r="O17" s="2">
        <f t="shared" si="35"/>
        <v>0</v>
      </c>
      <c r="P17" s="2">
        <f t="shared" si="35"/>
        <v>0</v>
      </c>
      <c r="Q17" s="2">
        <f t="shared" si="35"/>
        <v>0</v>
      </c>
      <c r="R17" s="2">
        <f t="shared" si="35"/>
        <v>0</v>
      </c>
      <c r="S17" s="2">
        <f t="shared" si="35"/>
        <v>0</v>
      </c>
      <c r="T17" s="2">
        <f t="shared" si="35"/>
        <v>0</v>
      </c>
      <c r="U17" s="2">
        <f t="shared" si="35"/>
        <v>0</v>
      </c>
      <c r="V17" s="2">
        <f t="shared" si="35"/>
        <v>0</v>
      </c>
      <c r="W17" s="2">
        <f t="shared" si="35"/>
        <v>1</v>
      </c>
      <c r="X17" s="2">
        <f t="shared" si="35"/>
        <v>0</v>
      </c>
      <c r="Y17" s="2">
        <f t="shared" si="35"/>
        <v>0</v>
      </c>
      <c r="Z17" s="2">
        <f t="shared" si="35"/>
        <v>0</v>
      </c>
      <c r="AA17" s="2">
        <f t="shared" si="35"/>
        <v>0</v>
      </c>
      <c r="AB17" s="2">
        <f t="shared" si="35"/>
        <v>0</v>
      </c>
      <c r="AC17" s="2">
        <f t="shared" si="35"/>
        <v>0</v>
      </c>
      <c r="AD17" s="2">
        <f t="shared" si="35"/>
        <v>0</v>
      </c>
      <c r="AE17" s="2">
        <f t="shared" si="35"/>
        <v>0</v>
      </c>
      <c r="AF17" s="2" t="s">
        <v>1897</v>
      </c>
    </row>
    <row r="18">
      <c r="A18" s="92" t="s">
        <v>409</v>
      </c>
      <c r="B18" s="64">
        <f t="shared" si="13"/>
        <v>17</v>
      </c>
      <c r="C18" s="64">
        <v>17.0</v>
      </c>
      <c r="D18" s="64" t="str">
        <f t="shared" si="3"/>
        <v>CO4246517</v>
      </c>
      <c r="E18" s="159">
        <v>42465.0</v>
      </c>
      <c r="F18" s="2" t="s">
        <v>1884</v>
      </c>
      <c r="G18" s="2" t="s">
        <v>18</v>
      </c>
      <c r="H18" s="158" t="s">
        <v>129</v>
      </c>
      <c r="I18" s="2">
        <f t="shared" ref="I18:K18" si="36">If(Iserr(search(I$1,$H18)),0,1)</f>
        <v>0</v>
      </c>
      <c r="J18" s="2">
        <f t="shared" si="36"/>
        <v>0</v>
      </c>
      <c r="K18" s="2">
        <f t="shared" si="36"/>
        <v>0</v>
      </c>
      <c r="L18" s="2">
        <f t="shared" si="5"/>
        <v>0</v>
      </c>
      <c r="M18" s="2">
        <f t="shared" ref="M18:AE18" si="37">If(Iserr(search(M$1,$H18)),0,1)</f>
        <v>0</v>
      </c>
      <c r="N18" s="2">
        <f t="shared" si="37"/>
        <v>0</v>
      </c>
      <c r="O18" s="2">
        <f t="shared" si="37"/>
        <v>0</v>
      </c>
      <c r="P18" s="2">
        <f t="shared" si="37"/>
        <v>0</v>
      </c>
      <c r="Q18" s="2">
        <f t="shared" si="37"/>
        <v>0</v>
      </c>
      <c r="R18" s="2">
        <f t="shared" si="37"/>
        <v>0</v>
      </c>
      <c r="S18" s="2">
        <f t="shared" si="37"/>
        <v>0</v>
      </c>
      <c r="T18" s="2">
        <f t="shared" si="37"/>
        <v>0</v>
      </c>
      <c r="U18" s="2">
        <f t="shared" si="37"/>
        <v>0</v>
      </c>
      <c r="V18" s="2">
        <f t="shared" si="37"/>
        <v>0</v>
      </c>
      <c r="W18" s="2">
        <f t="shared" si="37"/>
        <v>1</v>
      </c>
      <c r="X18" s="2">
        <f t="shared" si="37"/>
        <v>0</v>
      </c>
      <c r="Y18" s="2">
        <f t="shared" si="37"/>
        <v>0</v>
      </c>
      <c r="Z18" s="2">
        <f t="shared" si="37"/>
        <v>0</v>
      </c>
      <c r="AA18" s="2">
        <f t="shared" si="37"/>
        <v>0</v>
      </c>
      <c r="AB18" s="2">
        <f t="shared" si="37"/>
        <v>0</v>
      </c>
      <c r="AC18" s="2">
        <f t="shared" si="37"/>
        <v>0</v>
      </c>
      <c r="AD18" s="2">
        <f t="shared" si="37"/>
        <v>0</v>
      </c>
      <c r="AE18" s="2">
        <f t="shared" si="37"/>
        <v>0</v>
      </c>
      <c r="AF18" s="2" t="s">
        <v>1915</v>
      </c>
    </row>
    <row r="19">
      <c r="A19" s="92" t="s">
        <v>413</v>
      </c>
      <c r="B19" s="64">
        <f t="shared" si="13"/>
        <v>18</v>
      </c>
      <c r="C19" s="64">
        <v>18.0</v>
      </c>
      <c r="D19" s="64" t="str">
        <f t="shared" si="3"/>
        <v>CO4246718</v>
      </c>
      <c r="E19" s="159">
        <v>42467.0</v>
      </c>
      <c r="F19" s="2" t="s">
        <v>1921</v>
      </c>
      <c r="G19" s="2" t="s">
        <v>18</v>
      </c>
      <c r="H19" s="158" t="s">
        <v>134</v>
      </c>
      <c r="I19" s="2">
        <f t="shared" ref="I19:K19" si="38">If(Iserr(search(I$1,$H19)),0,1)</f>
        <v>0</v>
      </c>
      <c r="J19" s="2">
        <f t="shared" si="38"/>
        <v>0</v>
      </c>
      <c r="K19" s="2">
        <f t="shared" si="38"/>
        <v>0</v>
      </c>
      <c r="L19" s="2">
        <f t="shared" si="5"/>
        <v>0</v>
      </c>
      <c r="M19" s="2">
        <f t="shared" ref="M19:AE19" si="39">If(Iserr(search(M$1,$H19)),0,1)</f>
        <v>0</v>
      </c>
      <c r="N19" s="2">
        <f t="shared" si="39"/>
        <v>0</v>
      </c>
      <c r="O19" s="2">
        <f t="shared" si="39"/>
        <v>0</v>
      </c>
      <c r="P19" s="2">
        <f t="shared" si="39"/>
        <v>0</v>
      </c>
      <c r="Q19" s="2">
        <f t="shared" si="39"/>
        <v>0</v>
      </c>
      <c r="R19" s="2">
        <f t="shared" si="39"/>
        <v>0</v>
      </c>
      <c r="S19" s="2">
        <f t="shared" si="39"/>
        <v>0</v>
      </c>
      <c r="T19" s="2">
        <f t="shared" si="39"/>
        <v>0</v>
      </c>
      <c r="U19" s="2">
        <f t="shared" si="39"/>
        <v>0</v>
      </c>
      <c r="V19" s="2">
        <f t="shared" si="39"/>
        <v>0</v>
      </c>
      <c r="W19" s="2">
        <f t="shared" si="39"/>
        <v>0</v>
      </c>
      <c r="X19" s="2">
        <f t="shared" si="39"/>
        <v>1</v>
      </c>
      <c r="Y19" s="2">
        <f t="shared" si="39"/>
        <v>0</v>
      </c>
      <c r="Z19" s="2">
        <f t="shared" si="39"/>
        <v>0</v>
      </c>
      <c r="AA19" s="2">
        <f t="shared" si="39"/>
        <v>0</v>
      </c>
      <c r="AB19" s="2">
        <f t="shared" si="39"/>
        <v>0</v>
      </c>
      <c r="AC19" s="2">
        <f t="shared" si="39"/>
        <v>1</v>
      </c>
      <c r="AD19" s="2">
        <f t="shared" si="39"/>
        <v>0</v>
      </c>
      <c r="AE19" s="2">
        <f t="shared" si="39"/>
        <v>0</v>
      </c>
      <c r="AF19" s="2" t="s">
        <v>1934</v>
      </c>
    </row>
    <row r="20">
      <c r="A20" s="92" t="s">
        <v>417</v>
      </c>
      <c r="B20" s="64">
        <f t="shared" si="13"/>
        <v>19</v>
      </c>
      <c r="C20" s="64">
        <v>19.0</v>
      </c>
      <c r="D20" s="64" t="str">
        <f t="shared" si="3"/>
        <v>CO4246719</v>
      </c>
      <c r="E20" s="159">
        <v>42467.0</v>
      </c>
      <c r="F20" s="2" t="s">
        <v>1939</v>
      </c>
      <c r="G20" s="2" t="s">
        <v>18</v>
      </c>
      <c r="H20" s="158" t="s">
        <v>131</v>
      </c>
      <c r="I20" s="2">
        <f t="shared" ref="I20:K20" si="40">If(Iserr(search(I$1,$H20)),0,1)</f>
        <v>0</v>
      </c>
      <c r="J20" s="2">
        <f t="shared" si="40"/>
        <v>0</v>
      </c>
      <c r="K20" s="2">
        <f t="shared" si="40"/>
        <v>0</v>
      </c>
      <c r="L20" s="2">
        <f t="shared" si="5"/>
        <v>0</v>
      </c>
      <c r="M20" s="2">
        <f t="shared" ref="M20:AE20" si="41">If(Iserr(search(M$1,$H20)),0,1)</f>
        <v>0</v>
      </c>
      <c r="N20" s="2">
        <f t="shared" si="41"/>
        <v>0</v>
      </c>
      <c r="O20" s="2">
        <f t="shared" si="41"/>
        <v>0</v>
      </c>
      <c r="P20" s="2">
        <f t="shared" si="41"/>
        <v>0</v>
      </c>
      <c r="Q20" s="2">
        <f t="shared" si="41"/>
        <v>0</v>
      </c>
      <c r="R20" s="2">
        <f t="shared" si="41"/>
        <v>0</v>
      </c>
      <c r="S20" s="2">
        <f t="shared" si="41"/>
        <v>0</v>
      </c>
      <c r="T20" s="2">
        <f t="shared" si="41"/>
        <v>0</v>
      </c>
      <c r="U20" s="2">
        <f t="shared" si="41"/>
        <v>0</v>
      </c>
      <c r="V20" s="2">
        <f t="shared" si="41"/>
        <v>0</v>
      </c>
      <c r="W20" s="2">
        <f t="shared" si="41"/>
        <v>0</v>
      </c>
      <c r="X20" s="2">
        <f t="shared" si="41"/>
        <v>0</v>
      </c>
      <c r="Y20" s="2">
        <f t="shared" si="41"/>
        <v>0</v>
      </c>
      <c r="Z20" s="2">
        <f t="shared" si="41"/>
        <v>0</v>
      </c>
      <c r="AA20" s="2">
        <f t="shared" si="41"/>
        <v>1</v>
      </c>
      <c r="AB20" s="2">
        <f t="shared" si="41"/>
        <v>0</v>
      </c>
      <c r="AC20" s="2">
        <f t="shared" si="41"/>
        <v>0</v>
      </c>
      <c r="AD20" s="2">
        <f t="shared" si="41"/>
        <v>0</v>
      </c>
      <c r="AE20" s="2">
        <f t="shared" si="41"/>
        <v>0</v>
      </c>
      <c r="AF20" s="2" t="s">
        <v>1951</v>
      </c>
    </row>
    <row r="21">
      <c r="A21" s="92" t="s">
        <v>422</v>
      </c>
      <c r="B21" s="64">
        <f t="shared" si="13"/>
        <v>20</v>
      </c>
      <c r="C21" s="64">
        <v>20.0</v>
      </c>
      <c r="D21" s="64" t="str">
        <f t="shared" si="3"/>
        <v>CO4248120</v>
      </c>
      <c r="E21" s="159">
        <v>42481.0</v>
      </c>
      <c r="F21" s="2" t="s">
        <v>1770</v>
      </c>
      <c r="G21" s="2" t="s">
        <v>18</v>
      </c>
      <c r="H21" s="158" t="s">
        <v>129</v>
      </c>
      <c r="I21" s="2">
        <f t="shared" ref="I21:K21" si="42">If(Iserr(search(I$1,$H21)),0,1)</f>
        <v>0</v>
      </c>
      <c r="J21" s="2">
        <f t="shared" si="42"/>
        <v>0</v>
      </c>
      <c r="K21" s="2">
        <f t="shared" si="42"/>
        <v>0</v>
      </c>
      <c r="L21" s="2">
        <f t="shared" si="5"/>
        <v>0</v>
      </c>
      <c r="M21" s="2">
        <f t="shared" ref="M21:AE21" si="43">If(Iserr(search(M$1,$H21)),0,1)</f>
        <v>0</v>
      </c>
      <c r="N21" s="2">
        <f t="shared" si="43"/>
        <v>0</v>
      </c>
      <c r="O21" s="2">
        <f t="shared" si="43"/>
        <v>0</v>
      </c>
      <c r="P21" s="2">
        <f t="shared" si="43"/>
        <v>0</v>
      </c>
      <c r="Q21" s="2">
        <f t="shared" si="43"/>
        <v>0</v>
      </c>
      <c r="R21" s="2">
        <f t="shared" si="43"/>
        <v>0</v>
      </c>
      <c r="S21" s="2">
        <f t="shared" si="43"/>
        <v>0</v>
      </c>
      <c r="T21" s="2">
        <f t="shared" si="43"/>
        <v>0</v>
      </c>
      <c r="U21" s="2">
        <f t="shared" si="43"/>
        <v>0</v>
      </c>
      <c r="V21" s="2">
        <f t="shared" si="43"/>
        <v>0</v>
      </c>
      <c r="W21" s="2">
        <f t="shared" si="43"/>
        <v>1</v>
      </c>
      <c r="X21" s="2">
        <f t="shared" si="43"/>
        <v>0</v>
      </c>
      <c r="Y21" s="2">
        <f t="shared" si="43"/>
        <v>0</v>
      </c>
      <c r="Z21" s="2">
        <f t="shared" si="43"/>
        <v>0</v>
      </c>
      <c r="AA21" s="2">
        <f t="shared" si="43"/>
        <v>0</v>
      </c>
      <c r="AB21" s="2">
        <f t="shared" si="43"/>
        <v>0</v>
      </c>
      <c r="AC21" s="2">
        <f t="shared" si="43"/>
        <v>0</v>
      </c>
      <c r="AD21" s="2">
        <f t="shared" si="43"/>
        <v>0</v>
      </c>
      <c r="AE21" s="2">
        <f t="shared" si="43"/>
        <v>0</v>
      </c>
      <c r="AF21" s="2" t="s">
        <v>1969</v>
      </c>
    </row>
    <row r="22">
      <c r="A22" s="92" t="s">
        <v>427</v>
      </c>
      <c r="B22" s="64">
        <f t="shared" si="13"/>
        <v>21</v>
      </c>
      <c r="C22" s="64">
        <v>21.0</v>
      </c>
      <c r="D22" s="64" t="str">
        <f t="shared" si="3"/>
        <v>CO4248221</v>
      </c>
      <c r="E22" s="159">
        <v>42482.0</v>
      </c>
      <c r="F22" s="2" t="s">
        <v>1722</v>
      </c>
      <c r="G22" s="2" t="s">
        <v>18</v>
      </c>
      <c r="H22" s="158" t="s">
        <v>139</v>
      </c>
      <c r="I22" s="2">
        <f t="shared" ref="I22:K22" si="44">If(Iserr(search(I$1,$H22)),0,1)</f>
        <v>0</v>
      </c>
      <c r="J22" s="2">
        <f t="shared" si="44"/>
        <v>0</v>
      </c>
      <c r="K22" s="2">
        <f t="shared" si="44"/>
        <v>0</v>
      </c>
      <c r="L22" s="2">
        <f t="shared" si="5"/>
        <v>0</v>
      </c>
      <c r="M22" s="2">
        <f t="shared" ref="M22:AE22" si="45">If(Iserr(search(M$1,$H22)),0,1)</f>
        <v>0</v>
      </c>
      <c r="N22" s="2">
        <f t="shared" si="45"/>
        <v>0</v>
      </c>
      <c r="O22" s="2">
        <f t="shared" si="45"/>
        <v>0</v>
      </c>
      <c r="P22" s="2">
        <f t="shared" si="45"/>
        <v>0</v>
      </c>
      <c r="Q22" s="2">
        <f t="shared" si="45"/>
        <v>0</v>
      </c>
      <c r="R22" s="2">
        <f t="shared" si="45"/>
        <v>0</v>
      </c>
      <c r="S22" s="2">
        <f t="shared" si="45"/>
        <v>0</v>
      </c>
      <c r="T22" s="2">
        <f t="shared" si="45"/>
        <v>0</v>
      </c>
      <c r="U22" s="2">
        <f t="shared" si="45"/>
        <v>0</v>
      </c>
      <c r="V22" s="2">
        <f t="shared" si="45"/>
        <v>0</v>
      </c>
      <c r="W22" s="2">
        <f t="shared" si="45"/>
        <v>0</v>
      </c>
      <c r="X22" s="2">
        <f t="shared" si="45"/>
        <v>0</v>
      </c>
      <c r="Y22" s="2">
        <f t="shared" si="45"/>
        <v>0</v>
      </c>
      <c r="Z22" s="2">
        <f t="shared" si="45"/>
        <v>1</v>
      </c>
      <c r="AA22" s="2">
        <f t="shared" si="45"/>
        <v>0</v>
      </c>
      <c r="AB22" s="2">
        <f t="shared" si="45"/>
        <v>0</v>
      </c>
      <c r="AC22" s="2">
        <f t="shared" si="45"/>
        <v>0</v>
      </c>
      <c r="AD22" s="2">
        <f t="shared" si="45"/>
        <v>0</v>
      </c>
      <c r="AE22" s="2">
        <f t="shared" si="45"/>
        <v>0</v>
      </c>
      <c r="AF22" s="2" t="s">
        <v>1988</v>
      </c>
    </row>
    <row r="23">
      <c r="A23" s="92" t="s">
        <v>431</v>
      </c>
      <c r="B23" s="64">
        <f t="shared" si="13"/>
        <v>22</v>
      </c>
      <c r="C23" s="64">
        <v>22.0</v>
      </c>
      <c r="D23" s="64" t="str">
        <f t="shared" si="3"/>
        <v>CO4248622</v>
      </c>
      <c r="E23" s="159">
        <v>42486.0</v>
      </c>
      <c r="F23" s="2" t="s">
        <v>1993</v>
      </c>
      <c r="G23" s="2" t="s">
        <v>18</v>
      </c>
      <c r="H23" s="158" t="s">
        <v>139</v>
      </c>
      <c r="I23" s="2">
        <f t="shared" ref="I23:K23" si="46">If(Iserr(search(I$1,$H23)),0,1)</f>
        <v>0</v>
      </c>
      <c r="J23" s="2">
        <f t="shared" si="46"/>
        <v>0</v>
      </c>
      <c r="K23" s="2">
        <f t="shared" si="46"/>
        <v>0</v>
      </c>
      <c r="L23" s="2">
        <f t="shared" si="5"/>
        <v>0</v>
      </c>
      <c r="M23" s="2">
        <f t="shared" ref="M23:AE23" si="47">If(Iserr(search(M$1,$H23)),0,1)</f>
        <v>0</v>
      </c>
      <c r="N23" s="2">
        <f t="shared" si="47"/>
        <v>0</v>
      </c>
      <c r="O23" s="2">
        <f t="shared" si="47"/>
        <v>0</v>
      </c>
      <c r="P23" s="2">
        <f t="shared" si="47"/>
        <v>0</v>
      </c>
      <c r="Q23" s="2">
        <f t="shared" si="47"/>
        <v>0</v>
      </c>
      <c r="R23" s="2">
        <f t="shared" si="47"/>
        <v>0</v>
      </c>
      <c r="S23" s="2">
        <f t="shared" si="47"/>
        <v>0</v>
      </c>
      <c r="T23" s="2">
        <f t="shared" si="47"/>
        <v>0</v>
      </c>
      <c r="U23" s="2">
        <f t="shared" si="47"/>
        <v>0</v>
      </c>
      <c r="V23" s="2">
        <f t="shared" si="47"/>
        <v>0</v>
      </c>
      <c r="W23" s="2">
        <f t="shared" si="47"/>
        <v>0</v>
      </c>
      <c r="X23" s="2">
        <f t="shared" si="47"/>
        <v>0</v>
      </c>
      <c r="Y23" s="2">
        <f t="shared" si="47"/>
        <v>0</v>
      </c>
      <c r="Z23" s="2">
        <f t="shared" si="47"/>
        <v>1</v>
      </c>
      <c r="AA23" s="2">
        <f t="shared" si="47"/>
        <v>0</v>
      </c>
      <c r="AB23" s="2">
        <f t="shared" si="47"/>
        <v>0</v>
      </c>
      <c r="AC23" s="2">
        <f t="shared" si="47"/>
        <v>0</v>
      </c>
      <c r="AD23" s="2">
        <f t="shared" si="47"/>
        <v>0</v>
      </c>
      <c r="AE23" s="2">
        <f t="shared" si="47"/>
        <v>0</v>
      </c>
      <c r="AF23" s="2" t="s">
        <v>2005</v>
      </c>
    </row>
    <row r="24">
      <c r="A24" s="98" t="s">
        <v>434</v>
      </c>
      <c r="B24" s="64">
        <f t="shared" si="13"/>
        <v>23</v>
      </c>
      <c r="C24" s="64">
        <v>23.0</v>
      </c>
      <c r="D24" s="64" t="str">
        <f t="shared" si="3"/>
        <v>CO4251323</v>
      </c>
      <c r="E24" s="159">
        <v>42513.0</v>
      </c>
      <c r="F24" s="2" t="s">
        <v>2011</v>
      </c>
      <c r="G24" s="2" t="s">
        <v>18</v>
      </c>
      <c r="H24" s="158" t="s">
        <v>122</v>
      </c>
      <c r="I24" s="2">
        <f t="shared" ref="I24:K24" si="48">If(Iserr(search(I$1,$H24)),0,1)</f>
        <v>0</v>
      </c>
      <c r="J24" s="2">
        <f t="shared" si="48"/>
        <v>0</v>
      </c>
      <c r="K24" s="2">
        <f t="shared" si="48"/>
        <v>0</v>
      </c>
      <c r="L24" s="2">
        <f t="shared" si="5"/>
        <v>0</v>
      </c>
      <c r="M24" s="2">
        <f t="shared" ref="M24:AE24" si="49">If(Iserr(search(M$1,$H24)),0,1)</f>
        <v>0</v>
      </c>
      <c r="N24" s="2">
        <f t="shared" si="49"/>
        <v>0</v>
      </c>
      <c r="O24" s="2">
        <f t="shared" si="49"/>
        <v>0</v>
      </c>
      <c r="P24" s="2">
        <f t="shared" si="49"/>
        <v>0</v>
      </c>
      <c r="Q24" s="2">
        <f t="shared" si="49"/>
        <v>0</v>
      </c>
      <c r="R24" s="2">
        <f t="shared" si="49"/>
        <v>0</v>
      </c>
      <c r="S24" s="2">
        <f t="shared" si="49"/>
        <v>0</v>
      </c>
      <c r="T24" s="2">
        <f t="shared" si="49"/>
        <v>0</v>
      </c>
      <c r="U24" s="2">
        <f t="shared" si="49"/>
        <v>0</v>
      </c>
      <c r="V24" s="2">
        <f t="shared" si="49"/>
        <v>0</v>
      </c>
      <c r="W24" s="2">
        <f t="shared" si="49"/>
        <v>1</v>
      </c>
      <c r="X24" s="2">
        <f t="shared" si="49"/>
        <v>0</v>
      </c>
      <c r="Y24" s="2">
        <f t="shared" si="49"/>
        <v>0</v>
      </c>
      <c r="Z24" s="2">
        <f t="shared" si="49"/>
        <v>0</v>
      </c>
      <c r="AA24" s="2">
        <f t="shared" si="49"/>
        <v>0</v>
      </c>
      <c r="AB24" s="2">
        <f t="shared" si="49"/>
        <v>1</v>
      </c>
      <c r="AC24" s="2">
        <f t="shared" si="49"/>
        <v>0</v>
      </c>
      <c r="AD24" s="2">
        <f t="shared" si="49"/>
        <v>0</v>
      </c>
      <c r="AE24" s="2">
        <f t="shared" si="49"/>
        <v>0</v>
      </c>
      <c r="AF24" s="2" t="s">
        <v>2022</v>
      </c>
    </row>
    <row r="25">
      <c r="A25" s="92" t="s">
        <v>440</v>
      </c>
      <c r="B25" s="64">
        <f t="shared" si="13"/>
        <v>24</v>
      </c>
      <c r="C25" s="64">
        <v>24.0</v>
      </c>
      <c r="D25" s="64" t="str">
        <f t="shared" si="3"/>
        <v>CO4251324</v>
      </c>
      <c r="E25" s="159">
        <v>42513.0</v>
      </c>
      <c r="F25" s="2" t="s">
        <v>2011</v>
      </c>
      <c r="G25" s="2" t="s">
        <v>18</v>
      </c>
      <c r="H25" s="158" t="s">
        <v>122</v>
      </c>
      <c r="I25" s="2">
        <f t="shared" ref="I25:K25" si="50">If(Iserr(search(I$1,$H25)),0,1)</f>
        <v>0</v>
      </c>
      <c r="J25" s="2">
        <f t="shared" si="50"/>
        <v>0</v>
      </c>
      <c r="K25" s="2">
        <f t="shared" si="50"/>
        <v>0</v>
      </c>
      <c r="L25" s="2">
        <f t="shared" si="5"/>
        <v>0</v>
      </c>
      <c r="M25" s="2">
        <f t="shared" ref="M25:AE25" si="51">If(Iserr(search(M$1,$H25)),0,1)</f>
        <v>0</v>
      </c>
      <c r="N25" s="2">
        <f t="shared" si="51"/>
        <v>0</v>
      </c>
      <c r="O25" s="2">
        <f t="shared" si="51"/>
        <v>0</v>
      </c>
      <c r="P25" s="2">
        <f t="shared" si="51"/>
        <v>0</v>
      </c>
      <c r="Q25" s="2">
        <f t="shared" si="51"/>
        <v>0</v>
      </c>
      <c r="R25" s="2">
        <f t="shared" si="51"/>
        <v>0</v>
      </c>
      <c r="S25" s="2">
        <f t="shared" si="51"/>
        <v>0</v>
      </c>
      <c r="T25" s="2">
        <f t="shared" si="51"/>
        <v>0</v>
      </c>
      <c r="U25" s="2">
        <f t="shared" si="51"/>
        <v>0</v>
      </c>
      <c r="V25" s="2">
        <f t="shared" si="51"/>
        <v>0</v>
      </c>
      <c r="W25" s="2">
        <f t="shared" si="51"/>
        <v>1</v>
      </c>
      <c r="X25" s="2">
        <f t="shared" si="51"/>
        <v>0</v>
      </c>
      <c r="Y25" s="2">
        <f t="shared" si="51"/>
        <v>0</v>
      </c>
      <c r="Z25" s="2">
        <f t="shared" si="51"/>
        <v>0</v>
      </c>
      <c r="AA25" s="2">
        <f t="shared" si="51"/>
        <v>0</v>
      </c>
      <c r="AB25" s="2">
        <f t="shared" si="51"/>
        <v>1</v>
      </c>
      <c r="AC25" s="2">
        <f t="shared" si="51"/>
        <v>0</v>
      </c>
      <c r="AD25" s="2">
        <f t="shared" si="51"/>
        <v>0</v>
      </c>
      <c r="AE25" s="2">
        <f t="shared" si="51"/>
        <v>0</v>
      </c>
      <c r="AF25" s="2" t="s">
        <v>2037</v>
      </c>
    </row>
    <row r="26">
      <c r="A26" s="92" t="s">
        <v>445</v>
      </c>
      <c r="B26" s="64">
        <f t="shared" si="13"/>
        <v>25</v>
      </c>
      <c r="C26" s="64">
        <v>25.0</v>
      </c>
      <c r="D26" s="64" t="str">
        <f t="shared" si="3"/>
        <v>CO4262025</v>
      </c>
      <c r="E26" s="159">
        <v>42620.0</v>
      </c>
      <c r="F26" s="2" t="s">
        <v>1884</v>
      </c>
      <c r="G26" s="2" t="s">
        <v>18</v>
      </c>
      <c r="H26" s="158" t="s">
        <v>129</v>
      </c>
      <c r="I26" s="2">
        <f t="shared" ref="I26:K26" si="52">If(Iserr(search(I$1,$H26)),0,1)</f>
        <v>0</v>
      </c>
      <c r="J26" s="2">
        <f t="shared" si="52"/>
        <v>0</v>
      </c>
      <c r="K26" s="2">
        <f t="shared" si="52"/>
        <v>0</v>
      </c>
      <c r="L26" s="2">
        <f t="shared" si="5"/>
        <v>0</v>
      </c>
      <c r="M26" s="2">
        <f t="shared" ref="M26:AE26" si="53">If(Iserr(search(M$1,$H26)),0,1)</f>
        <v>0</v>
      </c>
      <c r="N26" s="2">
        <f t="shared" si="53"/>
        <v>0</v>
      </c>
      <c r="O26" s="2">
        <f t="shared" si="53"/>
        <v>0</v>
      </c>
      <c r="P26" s="2">
        <f t="shared" si="53"/>
        <v>0</v>
      </c>
      <c r="Q26" s="2">
        <f t="shared" si="53"/>
        <v>0</v>
      </c>
      <c r="R26" s="2">
        <f t="shared" si="53"/>
        <v>0</v>
      </c>
      <c r="S26" s="2">
        <f t="shared" si="53"/>
        <v>0</v>
      </c>
      <c r="T26" s="2">
        <f t="shared" si="53"/>
        <v>0</v>
      </c>
      <c r="U26" s="2">
        <f t="shared" si="53"/>
        <v>0</v>
      </c>
      <c r="V26" s="2">
        <f t="shared" si="53"/>
        <v>0</v>
      </c>
      <c r="W26" s="2">
        <f t="shared" si="53"/>
        <v>1</v>
      </c>
      <c r="X26" s="2">
        <f t="shared" si="53"/>
        <v>0</v>
      </c>
      <c r="Y26" s="2">
        <f t="shared" si="53"/>
        <v>0</v>
      </c>
      <c r="Z26" s="2">
        <f t="shared" si="53"/>
        <v>0</v>
      </c>
      <c r="AA26" s="2">
        <f t="shared" si="53"/>
        <v>0</v>
      </c>
      <c r="AB26" s="2">
        <f t="shared" si="53"/>
        <v>0</v>
      </c>
      <c r="AC26" s="2">
        <f t="shared" si="53"/>
        <v>0</v>
      </c>
      <c r="AD26" s="2">
        <f t="shared" si="53"/>
        <v>0</v>
      </c>
      <c r="AE26" s="2">
        <f t="shared" si="53"/>
        <v>0</v>
      </c>
      <c r="AF26" s="2" t="s">
        <v>2051</v>
      </c>
    </row>
    <row r="27">
      <c r="A27" s="92" t="s">
        <v>448</v>
      </c>
      <c r="B27" s="64">
        <f t="shared" si="13"/>
        <v>26</v>
      </c>
      <c r="C27" s="64">
        <v>26.0</v>
      </c>
      <c r="D27" s="64" t="str">
        <f t="shared" si="3"/>
        <v>CO4262026</v>
      </c>
      <c r="E27" s="159">
        <v>42620.0</v>
      </c>
      <c r="F27" s="2" t="s">
        <v>2057</v>
      </c>
      <c r="G27" s="2" t="s">
        <v>18</v>
      </c>
      <c r="H27" s="158" t="s">
        <v>113</v>
      </c>
      <c r="I27" s="2">
        <f t="shared" ref="I27:K27" si="54">If(Iserr(search(I$1,$H27)),0,1)</f>
        <v>0</v>
      </c>
      <c r="J27" s="2">
        <f t="shared" si="54"/>
        <v>0</v>
      </c>
      <c r="K27" s="2">
        <f t="shared" si="54"/>
        <v>0</v>
      </c>
      <c r="L27" s="2">
        <f t="shared" si="5"/>
        <v>0</v>
      </c>
      <c r="M27" s="2">
        <f t="shared" ref="M27:AE27" si="55">If(Iserr(search(M$1,$H27)),0,1)</f>
        <v>0</v>
      </c>
      <c r="N27" s="2">
        <f t="shared" si="55"/>
        <v>0</v>
      </c>
      <c r="O27" s="2">
        <f t="shared" si="55"/>
        <v>0</v>
      </c>
      <c r="P27" s="2">
        <f t="shared" si="55"/>
        <v>0</v>
      </c>
      <c r="Q27" s="2">
        <f t="shared" si="55"/>
        <v>0</v>
      </c>
      <c r="R27" s="2">
        <f t="shared" si="55"/>
        <v>0</v>
      </c>
      <c r="S27" s="2">
        <f t="shared" si="55"/>
        <v>0</v>
      </c>
      <c r="T27" s="2">
        <f t="shared" si="55"/>
        <v>0</v>
      </c>
      <c r="U27" s="2">
        <f t="shared" si="55"/>
        <v>0</v>
      </c>
      <c r="V27" s="2">
        <f t="shared" si="55"/>
        <v>0</v>
      </c>
      <c r="W27" s="2">
        <f t="shared" si="55"/>
        <v>1</v>
      </c>
      <c r="X27" s="2">
        <f t="shared" si="55"/>
        <v>0</v>
      </c>
      <c r="Y27" s="2">
        <f t="shared" si="55"/>
        <v>0</v>
      </c>
      <c r="Z27" s="2">
        <f t="shared" si="55"/>
        <v>0</v>
      </c>
      <c r="AA27" s="2">
        <f t="shared" si="55"/>
        <v>0</v>
      </c>
      <c r="AB27" s="2">
        <f t="shared" si="55"/>
        <v>0</v>
      </c>
      <c r="AC27" s="2">
        <f t="shared" si="55"/>
        <v>0</v>
      </c>
      <c r="AD27" s="2">
        <f t="shared" si="55"/>
        <v>0</v>
      </c>
      <c r="AE27" s="2">
        <f t="shared" si="55"/>
        <v>0</v>
      </c>
      <c r="AF27" s="2" t="s">
        <v>2069</v>
      </c>
    </row>
    <row r="28">
      <c r="A28" s="92" t="s">
        <v>451</v>
      </c>
      <c r="B28" s="64">
        <f t="shared" si="13"/>
        <v>27</v>
      </c>
      <c r="C28" s="64">
        <v>27.0</v>
      </c>
      <c r="D28" s="64" t="str">
        <f t="shared" si="3"/>
        <v>CO4262627</v>
      </c>
      <c r="E28" s="159">
        <v>42626.0</v>
      </c>
      <c r="F28" s="2" t="s">
        <v>2074</v>
      </c>
      <c r="G28" s="2" t="s">
        <v>18</v>
      </c>
      <c r="H28" s="158" t="s">
        <v>108</v>
      </c>
      <c r="I28" s="2">
        <f t="shared" ref="I28:K28" si="56">If(Iserr(search(I$1,$H28)),0,1)</f>
        <v>0</v>
      </c>
      <c r="J28" s="2">
        <f t="shared" si="56"/>
        <v>0</v>
      </c>
      <c r="K28" s="2">
        <f t="shared" si="56"/>
        <v>0</v>
      </c>
      <c r="L28" s="2">
        <f t="shared" si="5"/>
        <v>0</v>
      </c>
      <c r="M28" s="2">
        <f t="shared" ref="M28:AE28" si="57">If(Iserr(search(M$1,$H28)),0,1)</f>
        <v>0</v>
      </c>
      <c r="N28" s="2">
        <f t="shared" si="57"/>
        <v>0</v>
      </c>
      <c r="O28" s="2">
        <f t="shared" si="57"/>
        <v>0</v>
      </c>
      <c r="P28" s="2">
        <f t="shared" si="57"/>
        <v>0</v>
      </c>
      <c r="Q28" s="2">
        <f t="shared" si="57"/>
        <v>0</v>
      </c>
      <c r="R28" s="2">
        <f t="shared" si="57"/>
        <v>0</v>
      </c>
      <c r="S28" s="2">
        <f t="shared" si="57"/>
        <v>0</v>
      </c>
      <c r="T28" s="2">
        <f t="shared" si="57"/>
        <v>0</v>
      </c>
      <c r="U28" s="2">
        <f t="shared" si="57"/>
        <v>0</v>
      </c>
      <c r="V28" s="2">
        <f t="shared" si="57"/>
        <v>0</v>
      </c>
      <c r="W28" s="2">
        <f t="shared" si="57"/>
        <v>1</v>
      </c>
      <c r="X28" s="2">
        <f t="shared" si="57"/>
        <v>1</v>
      </c>
      <c r="Y28" s="2">
        <f t="shared" si="57"/>
        <v>0</v>
      </c>
      <c r="Z28" s="2">
        <f t="shared" si="57"/>
        <v>1</v>
      </c>
      <c r="AA28" s="2">
        <f t="shared" si="57"/>
        <v>0</v>
      </c>
      <c r="AB28" s="2">
        <f t="shared" si="57"/>
        <v>1</v>
      </c>
      <c r="AC28" s="2">
        <f t="shared" si="57"/>
        <v>0</v>
      </c>
      <c r="AD28" s="2">
        <f t="shared" si="57"/>
        <v>0</v>
      </c>
      <c r="AE28" s="2">
        <f t="shared" si="57"/>
        <v>0</v>
      </c>
      <c r="AF28" s="2" t="s">
        <v>2085</v>
      </c>
    </row>
    <row r="29">
      <c r="A29" s="92" t="s">
        <v>456</v>
      </c>
      <c r="B29" s="64">
        <f t="shared" si="13"/>
        <v>28</v>
      </c>
      <c r="C29" s="64">
        <v>28.0</v>
      </c>
      <c r="D29" s="64" t="str">
        <f t="shared" si="3"/>
        <v>CO4262628</v>
      </c>
      <c r="E29" s="159">
        <v>42626.0</v>
      </c>
      <c r="F29" s="2" t="s">
        <v>1884</v>
      </c>
      <c r="G29" s="2" t="s">
        <v>18</v>
      </c>
      <c r="H29" s="158" t="s">
        <v>129</v>
      </c>
      <c r="I29" s="2">
        <f t="shared" ref="I29:K29" si="58">If(Iserr(search(I$1,$H29)),0,1)</f>
        <v>0</v>
      </c>
      <c r="J29" s="2">
        <f t="shared" si="58"/>
        <v>0</v>
      </c>
      <c r="K29" s="2">
        <f t="shared" si="58"/>
        <v>0</v>
      </c>
      <c r="L29" s="2">
        <f t="shared" si="5"/>
        <v>0</v>
      </c>
      <c r="M29" s="2">
        <f t="shared" ref="M29:AE29" si="59">If(Iserr(search(M$1,$H29)),0,1)</f>
        <v>0</v>
      </c>
      <c r="N29" s="2">
        <f t="shared" si="59"/>
        <v>0</v>
      </c>
      <c r="O29" s="2">
        <f t="shared" si="59"/>
        <v>0</v>
      </c>
      <c r="P29" s="2">
        <f t="shared" si="59"/>
        <v>0</v>
      </c>
      <c r="Q29" s="2">
        <f t="shared" si="59"/>
        <v>0</v>
      </c>
      <c r="R29" s="2">
        <f t="shared" si="59"/>
        <v>0</v>
      </c>
      <c r="S29" s="2">
        <f t="shared" si="59"/>
        <v>0</v>
      </c>
      <c r="T29" s="2">
        <f t="shared" si="59"/>
        <v>0</v>
      </c>
      <c r="U29" s="2">
        <f t="shared" si="59"/>
        <v>0</v>
      </c>
      <c r="V29" s="2">
        <f t="shared" si="59"/>
        <v>0</v>
      </c>
      <c r="W29" s="2">
        <f t="shared" si="59"/>
        <v>1</v>
      </c>
      <c r="X29" s="2">
        <f t="shared" si="59"/>
        <v>0</v>
      </c>
      <c r="Y29" s="2">
        <f t="shared" si="59"/>
        <v>0</v>
      </c>
      <c r="Z29" s="2">
        <f t="shared" si="59"/>
        <v>0</v>
      </c>
      <c r="AA29" s="2">
        <f t="shared" si="59"/>
        <v>0</v>
      </c>
      <c r="AB29" s="2">
        <f t="shared" si="59"/>
        <v>0</v>
      </c>
      <c r="AC29" s="2">
        <f t="shared" si="59"/>
        <v>0</v>
      </c>
      <c r="AD29" s="2">
        <f t="shared" si="59"/>
        <v>0</v>
      </c>
      <c r="AE29" s="2">
        <f t="shared" si="59"/>
        <v>0</v>
      </c>
      <c r="AF29" s="2" t="s">
        <v>2101</v>
      </c>
    </row>
    <row r="30">
      <c r="A30" s="92" t="s">
        <v>460</v>
      </c>
      <c r="B30" s="64">
        <f t="shared" si="13"/>
        <v>29</v>
      </c>
      <c r="C30" s="64">
        <v>29.0</v>
      </c>
      <c r="D30" s="64" t="str">
        <f t="shared" si="3"/>
        <v>CO4263629</v>
      </c>
      <c r="E30" s="159">
        <v>42636.0</v>
      </c>
      <c r="F30" s="2" t="s">
        <v>1747</v>
      </c>
      <c r="G30" s="2" t="s">
        <v>18</v>
      </c>
      <c r="H30" s="158" t="s">
        <v>129</v>
      </c>
      <c r="I30" s="2">
        <f t="shared" ref="I30:K30" si="60">If(Iserr(search(I$1,$H30)),0,1)</f>
        <v>0</v>
      </c>
      <c r="J30" s="2">
        <f t="shared" si="60"/>
        <v>0</v>
      </c>
      <c r="K30" s="2">
        <f t="shared" si="60"/>
        <v>0</v>
      </c>
      <c r="L30" s="2">
        <f t="shared" si="5"/>
        <v>0</v>
      </c>
      <c r="M30" s="2">
        <f t="shared" ref="M30:AE30" si="61">If(Iserr(search(M$1,$H30)),0,1)</f>
        <v>0</v>
      </c>
      <c r="N30" s="2">
        <f t="shared" si="61"/>
        <v>0</v>
      </c>
      <c r="O30" s="2">
        <f t="shared" si="61"/>
        <v>0</v>
      </c>
      <c r="P30" s="2">
        <f t="shared" si="61"/>
        <v>0</v>
      </c>
      <c r="Q30" s="2">
        <f t="shared" si="61"/>
        <v>0</v>
      </c>
      <c r="R30" s="2">
        <f t="shared" si="61"/>
        <v>0</v>
      </c>
      <c r="S30" s="2">
        <f t="shared" si="61"/>
        <v>0</v>
      </c>
      <c r="T30" s="2">
        <f t="shared" si="61"/>
        <v>0</v>
      </c>
      <c r="U30" s="2">
        <f t="shared" si="61"/>
        <v>0</v>
      </c>
      <c r="V30" s="2">
        <f t="shared" si="61"/>
        <v>0</v>
      </c>
      <c r="W30" s="2">
        <f t="shared" si="61"/>
        <v>1</v>
      </c>
      <c r="X30" s="2">
        <f t="shared" si="61"/>
        <v>0</v>
      </c>
      <c r="Y30" s="2">
        <f t="shared" si="61"/>
        <v>0</v>
      </c>
      <c r="Z30" s="2">
        <f t="shared" si="61"/>
        <v>0</v>
      </c>
      <c r="AA30" s="2">
        <f t="shared" si="61"/>
        <v>0</v>
      </c>
      <c r="AB30" s="2">
        <f t="shared" si="61"/>
        <v>0</v>
      </c>
      <c r="AC30" s="2">
        <f t="shared" si="61"/>
        <v>0</v>
      </c>
      <c r="AD30" s="2">
        <f t="shared" si="61"/>
        <v>0</v>
      </c>
      <c r="AE30" s="2">
        <f t="shared" si="61"/>
        <v>0</v>
      </c>
      <c r="AF30" s="2" t="s">
        <v>2113</v>
      </c>
    </row>
    <row r="31">
      <c r="A31" s="92" t="s">
        <v>463</v>
      </c>
      <c r="B31" s="64">
        <f t="shared" si="13"/>
        <v>30</v>
      </c>
      <c r="C31" s="64">
        <v>30.0</v>
      </c>
      <c r="D31" s="64" t="str">
        <f t="shared" si="3"/>
        <v>CO4263630</v>
      </c>
      <c r="E31" s="159">
        <v>42636.0</v>
      </c>
      <c r="F31" s="2" t="s">
        <v>1884</v>
      </c>
      <c r="G31" s="2" t="s">
        <v>18</v>
      </c>
      <c r="H31" s="158" t="s">
        <v>129</v>
      </c>
      <c r="I31" s="2">
        <f t="shared" ref="I31:K31" si="62">If(Iserr(search(I$1,$H31)),0,1)</f>
        <v>0</v>
      </c>
      <c r="J31" s="2">
        <f t="shared" si="62"/>
        <v>0</v>
      </c>
      <c r="K31" s="2">
        <f t="shared" si="62"/>
        <v>0</v>
      </c>
      <c r="L31" s="2">
        <f t="shared" si="5"/>
        <v>0</v>
      </c>
      <c r="M31" s="2">
        <f t="shared" ref="M31:AE31" si="63">If(Iserr(search(M$1,$H31)),0,1)</f>
        <v>0</v>
      </c>
      <c r="N31" s="2">
        <f t="shared" si="63"/>
        <v>0</v>
      </c>
      <c r="O31" s="2">
        <f t="shared" si="63"/>
        <v>0</v>
      </c>
      <c r="P31" s="2">
        <f t="shared" si="63"/>
        <v>0</v>
      </c>
      <c r="Q31" s="2">
        <f t="shared" si="63"/>
        <v>0</v>
      </c>
      <c r="R31" s="2">
        <f t="shared" si="63"/>
        <v>0</v>
      </c>
      <c r="S31" s="2">
        <f t="shared" si="63"/>
        <v>0</v>
      </c>
      <c r="T31" s="2">
        <f t="shared" si="63"/>
        <v>0</v>
      </c>
      <c r="U31" s="2">
        <f t="shared" si="63"/>
        <v>0</v>
      </c>
      <c r="V31" s="2">
        <f t="shared" si="63"/>
        <v>0</v>
      </c>
      <c r="W31" s="2">
        <f t="shared" si="63"/>
        <v>1</v>
      </c>
      <c r="X31" s="2">
        <f t="shared" si="63"/>
        <v>0</v>
      </c>
      <c r="Y31" s="2">
        <f t="shared" si="63"/>
        <v>0</v>
      </c>
      <c r="Z31" s="2">
        <f t="shared" si="63"/>
        <v>0</v>
      </c>
      <c r="AA31" s="2">
        <f t="shared" si="63"/>
        <v>0</v>
      </c>
      <c r="AB31" s="2">
        <f t="shared" si="63"/>
        <v>0</v>
      </c>
      <c r="AC31" s="2">
        <f t="shared" si="63"/>
        <v>0</v>
      </c>
      <c r="AD31" s="2">
        <f t="shared" si="63"/>
        <v>0</v>
      </c>
      <c r="AE31" s="2">
        <f t="shared" si="63"/>
        <v>0</v>
      </c>
      <c r="AF31" s="2" t="s">
        <v>2126</v>
      </c>
    </row>
    <row r="32">
      <c r="A32" s="92" t="s">
        <v>468</v>
      </c>
      <c r="B32" s="64">
        <f t="shared" si="13"/>
        <v>31</v>
      </c>
      <c r="C32" s="64">
        <v>31.0</v>
      </c>
      <c r="D32" s="64" t="str">
        <f t="shared" si="3"/>
        <v>CO4266231</v>
      </c>
      <c r="E32" s="159">
        <v>42662.0</v>
      </c>
      <c r="F32" s="2" t="s">
        <v>2134</v>
      </c>
      <c r="G32" s="2" t="s">
        <v>18</v>
      </c>
      <c r="H32" s="158" t="s">
        <v>129</v>
      </c>
      <c r="I32" s="2">
        <f t="shared" ref="I32:K32" si="64">If(Iserr(search(I$1,$H32)),0,1)</f>
        <v>0</v>
      </c>
      <c r="J32" s="2">
        <f t="shared" si="64"/>
        <v>0</v>
      </c>
      <c r="K32" s="2">
        <f t="shared" si="64"/>
        <v>0</v>
      </c>
      <c r="L32" s="2">
        <f t="shared" si="5"/>
        <v>0</v>
      </c>
      <c r="M32" s="2">
        <f t="shared" ref="M32:AE32" si="65">If(Iserr(search(M$1,$H32)),0,1)</f>
        <v>0</v>
      </c>
      <c r="N32" s="2">
        <f t="shared" si="65"/>
        <v>0</v>
      </c>
      <c r="O32" s="2">
        <f t="shared" si="65"/>
        <v>0</v>
      </c>
      <c r="P32" s="2">
        <f t="shared" si="65"/>
        <v>0</v>
      </c>
      <c r="Q32" s="2">
        <f t="shared" si="65"/>
        <v>0</v>
      </c>
      <c r="R32" s="2">
        <f t="shared" si="65"/>
        <v>0</v>
      </c>
      <c r="S32" s="2">
        <f t="shared" si="65"/>
        <v>0</v>
      </c>
      <c r="T32" s="2">
        <f t="shared" si="65"/>
        <v>0</v>
      </c>
      <c r="U32" s="2">
        <f t="shared" si="65"/>
        <v>0</v>
      </c>
      <c r="V32" s="2">
        <f t="shared" si="65"/>
        <v>0</v>
      </c>
      <c r="W32" s="2">
        <f t="shared" si="65"/>
        <v>1</v>
      </c>
      <c r="X32" s="2">
        <f t="shared" si="65"/>
        <v>0</v>
      </c>
      <c r="Y32" s="2">
        <f t="shared" si="65"/>
        <v>0</v>
      </c>
      <c r="Z32" s="2">
        <f t="shared" si="65"/>
        <v>0</v>
      </c>
      <c r="AA32" s="2">
        <f t="shared" si="65"/>
        <v>0</v>
      </c>
      <c r="AB32" s="2">
        <f t="shared" si="65"/>
        <v>0</v>
      </c>
      <c r="AC32" s="2">
        <f t="shared" si="65"/>
        <v>0</v>
      </c>
      <c r="AD32" s="2">
        <f t="shared" si="65"/>
        <v>0</v>
      </c>
      <c r="AE32" s="2">
        <f t="shared" si="65"/>
        <v>0</v>
      </c>
      <c r="AF32" s="2" t="s">
        <v>2145</v>
      </c>
    </row>
    <row r="33">
      <c r="A33" s="92" t="s">
        <v>482</v>
      </c>
      <c r="B33" s="64">
        <f t="shared" si="13"/>
        <v>32</v>
      </c>
      <c r="C33" s="64">
        <v>32.0</v>
      </c>
      <c r="D33" s="64" t="str">
        <f t="shared" si="3"/>
        <v>CO4285132</v>
      </c>
      <c r="E33" s="159">
        <v>42851.0</v>
      </c>
      <c r="F33" s="2" t="s">
        <v>2149</v>
      </c>
      <c r="G33" s="2" t="s">
        <v>18</v>
      </c>
      <c r="H33" s="158" t="s">
        <v>105</v>
      </c>
      <c r="I33" s="2">
        <f t="shared" ref="I33:K33" si="66">If(Iserr(search(I$1,$H33)),0,1)</f>
        <v>0</v>
      </c>
      <c r="J33" s="2">
        <f t="shared" si="66"/>
        <v>0</v>
      </c>
      <c r="K33" s="2">
        <f t="shared" si="66"/>
        <v>0</v>
      </c>
      <c r="L33" s="2">
        <f t="shared" si="5"/>
        <v>0</v>
      </c>
      <c r="M33" s="2">
        <f t="shared" ref="M33:AE33" si="67">If(Iserr(search(M$1,$H33)),0,1)</f>
        <v>0</v>
      </c>
      <c r="N33" s="2">
        <f t="shared" si="67"/>
        <v>0</v>
      </c>
      <c r="O33" s="2">
        <f t="shared" si="67"/>
        <v>0</v>
      </c>
      <c r="P33" s="2">
        <f t="shared" si="67"/>
        <v>0</v>
      </c>
      <c r="Q33" s="2">
        <f t="shared" si="67"/>
        <v>0</v>
      </c>
      <c r="R33" s="2">
        <f t="shared" si="67"/>
        <v>0</v>
      </c>
      <c r="S33" s="2">
        <f t="shared" si="67"/>
        <v>0</v>
      </c>
      <c r="T33" s="2">
        <f t="shared" si="67"/>
        <v>0</v>
      </c>
      <c r="U33" s="2">
        <f t="shared" si="67"/>
        <v>1</v>
      </c>
      <c r="V33" s="2">
        <f t="shared" si="67"/>
        <v>1</v>
      </c>
      <c r="W33" s="2">
        <f t="shared" si="67"/>
        <v>0</v>
      </c>
      <c r="X33" s="2">
        <f t="shared" si="67"/>
        <v>0</v>
      </c>
      <c r="Y33" s="2">
        <f t="shared" si="67"/>
        <v>0</v>
      </c>
      <c r="Z33" s="2">
        <f t="shared" si="67"/>
        <v>0</v>
      </c>
      <c r="AA33" s="2">
        <f t="shared" si="67"/>
        <v>0</v>
      </c>
      <c r="AB33" s="2">
        <f t="shared" si="67"/>
        <v>0</v>
      </c>
      <c r="AC33" s="2">
        <f t="shared" si="67"/>
        <v>0</v>
      </c>
      <c r="AD33" s="2">
        <f t="shared" si="67"/>
        <v>0</v>
      </c>
      <c r="AE33" s="2">
        <f t="shared" si="67"/>
        <v>0</v>
      </c>
      <c r="AF33" s="2" t="s">
        <v>2157</v>
      </c>
    </row>
    <row r="34">
      <c r="A34" s="92" t="s">
        <v>486</v>
      </c>
      <c r="B34" s="64">
        <f t="shared" si="13"/>
        <v>33</v>
      </c>
      <c r="C34" s="64">
        <v>33.0</v>
      </c>
      <c r="D34" s="64" t="str">
        <f t="shared" si="3"/>
        <v>CO4285133</v>
      </c>
      <c r="E34" s="159">
        <v>42851.0</v>
      </c>
      <c r="F34" s="2" t="s">
        <v>2149</v>
      </c>
      <c r="G34" s="2" t="s">
        <v>18</v>
      </c>
      <c r="H34" s="158" t="s">
        <v>105</v>
      </c>
      <c r="I34" s="2">
        <f t="shared" ref="I34:K34" si="68">If(Iserr(search(I$1,$H34)),0,1)</f>
        <v>0</v>
      </c>
      <c r="J34" s="2">
        <f t="shared" si="68"/>
        <v>0</v>
      </c>
      <c r="K34" s="2">
        <f t="shared" si="68"/>
        <v>0</v>
      </c>
      <c r="L34" s="2">
        <f t="shared" si="5"/>
        <v>0</v>
      </c>
      <c r="M34" s="2">
        <f t="shared" ref="M34:AE34" si="69">If(Iserr(search(M$1,$H34)),0,1)</f>
        <v>0</v>
      </c>
      <c r="N34" s="2">
        <f t="shared" si="69"/>
        <v>0</v>
      </c>
      <c r="O34" s="2">
        <f t="shared" si="69"/>
        <v>0</v>
      </c>
      <c r="P34" s="2">
        <f t="shared" si="69"/>
        <v>0</v>
      </c>
      <c r="Q34" s="2">
        <f t="shared" si="69"/>
        <v>0</v>
      </c>
      <c r="R34" s="2">
        <f t="shared" si="69"/>
        <v>0</v>
      </c>
      <c r="S34" s="2">
        <f t="shared" si="69"/>
        <v>0</v>
      </c>
      <c r="T34" s="2">
        <f t="shared" si="69"/>
        <v>0</v>
      </c>
      <c r="U34" s="2">
        <f t="shared" si="69"/>
        <v>1</v>
      </c>
      <c r="V34" s="2">
        <f t="shared" si="69"/>
        <v>1</v>
      </c>
      <c r="W34" s="2">
        <f t="shared" si="69"/>
        <v>0</v>
      </c>
      <c r="X34" s="2">
        <f t="shared" si="69"/>
        <v>0</v>
      </c>
      <c r="Y34" s="2">
        <f t="shared" si="69"/>
        <v>0</v>
      </c>
      <c r="Z34" s="2">
        <f t="shared" si="69"/>
        <v>0</v>
      </c>
      <c r="AA34" s="2">
        <f t="shared" si="69"/>
        <v>0</v>
      </c>
      <c r="AB34" s="2">
        <f t="shared" si="69"/>
        <v>0</v>
      </c>
      <c r="AC34" s="2">
        <f t="shared" si="69"/>
        <v>0</v>
      </c>
      <c r="AD34" s="2">
        <f t="shared" si="69"/>
        <v>0</v>
      </c>
      <c r="AE34" s="2">
        <f t="shared" si="69"/>
        <v>0</v>
      </c>
      <c r="AF34" s="2" t="s">
        <v>2172</v>
      </c>
    </row>
    <row r="35">
      <c r="A35" s="92" t="s">
        <v>491</v>
      </c>
      <c r="B35" s="64">
        <f t="shared" si="13"/>
        <v>34</v>
      </c>
      <c r="C35" s="64">
        <v>34.0</v>
      </c>
      <c r="D35" s="64" t="str">
        <f t="shared" si="3"/>
        <v>CO4294034</v>
      </c>
      <c r="E35" s="159">
        <v>42940.0</v>
      </c>
      <c r="F35" s="2" t="s">
        <v>2177</v>
      </c>
      <c r="G35" s="2" t="s">
        <v>18</v>
      </c>
      <c r="H35" s="158" t="s">
        <v>100</v>
      </c>
      <c r="I35" s="2">
        <f t="shared" ref="I35:K35" si="70">If(Iserr(search(I$1,$H35)),0,1)</f>
        <v>0</v>
      </c>
      <c r="J35" s="2">
        <f t="shared" si="70"/>
        <v>0</v>
      </c>
      <c r="K35" s="2">
        <f t="shared" si="70"/>
        <v>0</v>
      </c>
      <c r="L35" s="2">
        <f t="shared" si="5"/>
        <v>0</v>
      </c>
      <c r="M35" s="2">
        <f t="shared" ref="M35:AE35" si="71">If(Iserr(search(M$1,$H35)),0,1)</f>
        <v>0</v>
      </c>
      <c r="N35" s="2">
        <f t="shared" si="71"/>
        <v>0</v>
      </c>
      <c r="O35" s="2">
        <f t="shared" si="71"/>
        <v>0</v>
      </c>
      <c r="P35" s="2">
        <f t="shared" si="71"/>
        <v>0</v>
      </c>
      <c r="Q35" s="2">
        <f t="shared" si="71"/>
        <v>0</v>
      </c>
      <c r="R35" s="2">
        <f t="shared" si="71"/>
        <v>0</v>
      </c>
      <c r="S35" s="2">
        <f t="shared" si="71"/>
        <v>0</v>
      </c>
      <c r="T35" s="2">
        <f t="shared" si="71"/>
        <v>1</v>
      </c>
      <c r="U35" s="2">
        <f t="shared" si="71"/>
        <v>0</v>
      </c>
      <c r="V35" s="2">
        <f t="shared" si="71"/>
        <v>0</v>
      </c>
      <c r="W35" s="2">
        <f t="shared" si="71"/>
        <v>1</v>
      </c>
      <c r="X35" s="2">
        <f t="shared" si="71"/>
        <v>1</v>
      </c>
      <c r="Y35" s="2">
        <f t="shared" si="71"/>
        <v>0</v>
      </c>
      <c r="Z35" s="2">
        <f t="shared" si="71"/>
        <v>1</v>
      </c>
      <c r="AA35" s="2">
        <f t="shared" si="71"/>
        <v>0</v>
      </c>
      <c r="AB35" s="2">
        <f t="shared" si="71"/>
        <v>0</v>
      </c>
      <c r="AC35" s="2">
        <f t="shared" si="71"/>
        <v>0</v>
      </c>
      <c r="AD35" s="2">
        <f t="shared" si="71"/>
        <v>0</v>
      </c>
      <c r="AE35" s="2">
        <f t="shared" si="71"/>
        <v>0</v>
      </c>
      <c r="AF35" s="2" t="s">
        <v>2188</v>
      </c>
    </row>
    <row r="36">
      <c r="A36" s="92" t="s">
        <v>496</v>
      </c>
      <c r="B36" s="64">
        <f t="shared" si="13"/>
        <v>35</v>
      </c>
      <c r="C36" s="64">
        <v>35.0</v>
      </c>
      <c r="D36" s="64" t="str">
        <f t="shared" si="3"/>
        <v>CO4294035</v>
      </c>
      <c r="E36" s="159">
        <v>42940.0</v>
      </c>
      <c r="F36" s="2" t="s">
        <v>2177</v>
      </c>
      <c r="G36" s="2" t="s">
        <v>18</v>
      </c>
      <c r="H36" s="158" t="s">
        <v>100</v>
      </c>
      <c r="I36" s="2">
        <f t="shared" ref="I36:K36" si="72">If(Iserr(search(I$1,$H36)),0,1)</f>
        <v>0</v>
      </c>
      <c r="J36" s="2">
        <f t="shared" si="72"/>
        <v>0</v>
      </c>
      <c r="K36" s="2">
        <f t="shared" si="72"/>
        <v>0</v>
      </c>
      <c r="L36" s="2">
        <f t="shared" si="5"/>
        <v>0</v>
      </c>
      <c r="M36" s="2">
        <f t="shared" ref="M36:AE36" si="73">If(Iserr(search(M$1,$H36)),0,1)</f>
        <v>0</v>
      </c>
      <c r="N36" s="2">
        <f t="shared" si="73"/>
        <v>0</v>
      </c>
      <c r="O36" s="2">
        <f t="shared" si="73"/>
        <v>0</v>
      </c>
      <c r="P36" s="2">
        <f t="shared" si="73"/>
        <v>0</v>
      </c>
      <c r="Q36" s="2">
        <f t="shared" si="73"/>
        <v>0</v>
      </c>
      <c r="R36" s="2">
        <f t="shared" si="73"/>
        <v>0</v>
      </c>
      <c r="S36" s="2">
        <f t="shared" si="73"/>
        <v>0</v>
      </c>
      <c r="T36" s="2">
        <f t="shared" si="73"/>
        <v>1</v>
      </c>
      <c r="U36" s="2">
        <f t="shared" si="73"/>
        <v>0</v>
      </c>
      <c r="V36" s="2">
        <f t="shared" si="73"/>
        <v>0</v>
      </c>
      <c r="W36" s="2">
        <f t="shared" si="73"/>
        <v>1</v>
      </c>
      <c r="X36" s="2">
        <f t="shared" si="73"/>
        <v>1</v>
      </c>
      <c r="Y36" s="2">
        <f t="shared" si="73"/>
        <v>0</v>
      </c>
      <c r="Z36" s="2">
        <f t="shared" si="73"/>
        <v>1</v>
      </c>
      <c r="AA36" s="2">
        <f t="shared" si="73"/>
        <v>0</v>
      </c>
      <c r="AB36" s="2">
        <f t="shared" si="73"/>
        <v>0</v>
      </c>
      <c r="AC36" s="2">
        <f t="shared" si="73"/>
        <v>0</v>
      </c>
      <c r="AD36" s="2">
        <f t="shared" si="73"/>
        <v>0</v>
      </c>
      <c r="AE36" s="2">
        <f t="shared" si="73"/>
        <v>0</v>
      </c>
      <c r="AF36" s="2" t="s">
        <v>2204</v>
      </c>
    </row>
    <row r="37">
      <c r="A37" s="92" t="s">
        <v>503</v>
      </c>
      <c r="B37" s="64">
        <f t="shared" si="13"/>
        <v>36</v>
      </c>
      <c r="C37" s="64">
        <v>36.0</v>
      </c>
      <c r="D37" s="64" t="str">
        <f t="shared" si="3"/>
        <v>CO4300036</v>
      </c>
      <c r="E37" s="159">
        <v>43000.0</v>
      </c>
      <c r="F37" s="2" t="s">
        <v>2212</v>
      </c>
      <c r="G37" s="2" t="s">
        <v>18</v>
      </c>
      <c r="H37" s="158" t="s">
        <v>2213</v>
      </c>
      <c r="I37" s="2">
        <f t="shared" ref="I37:K37" si="74">If(Iserr(search(I$1,$H37)),0,1)</f>
        <v>0</v>
      </c>
      <c r="J37" s="2">
        <f t="shared" si="74"/>
        <v>0</v>
      </c>
      <c r="K37" s="2">
        <f t="shared" si="74"/>
        <v>0</v>
      </c>
      <c r="L37" s="2">
        <f t="shared" si="5"/>
        <v>0</v>
      </c>
      <c r="M37" s="2">
        <f t="shared" ref="M37:AE37" si="75">If(Iserr(search(M$1,$H37)),0,1)</f>
        <v>0</v>
      </c>
      <c r="N37" s="2">
        <f t="shared" si="75"/>
        <v>0</v>
      </c>
      <c r="O37" s="2">
        <f t="shared" si="75"/>
        <v>0</v>
      </c>
      <c r="P37" s="2">
        <f t="shared" si="75"/>
        <v>0</v>
      </c>
      <c r="Q37" s="2">
        <f t="shared" si="75"/>
        <v>0</v>
      </c>
      <c r="R37" s="2">
        <f t="shared" si="75"/>
        <v>0</v>
      </c>
      <c r="S37" s="2">
        <f t="shared" si="75"/>
        <v>0</v>
      </c>
      <c r="T37" s="2">
        <f t="shared" si="75"/>
        <v>0</v>
      </c>
      <c r="U37" s="2">
        <f t="shared" si="75"/>
        <v>0</v>
      </c>
      <c r="V37" s="2">
        <f t="shared" si="75"/>
        <v>0</v>
      </c>
      <c r="W37" s="2">
        <f t="shared" si="75"/>
        <v>0</v>
      </c>
      <c r="X37" s="2">
        <f t="shared" si="75"/>
        <v>0</v>
      </c>
      <c r="Y37" s="2">
        <f t="shared" si="75"/>
        <v>0</v>
      </c>
      <c r="Z37" s="2">
        <f t="shared" si="75"/>
        <v>1</v>
      </c>
      <c r="AA37" s="2">
        <f t="shared" si="75"/>
        <v>0</v>
      </c>
      <c r="AB37" s="2">
        <f t="shared" si="75"/>
        <v>0</v>
      </c>
      <c r="AC37" s="2">
        <f t="shared" si="75"/>
        <v>0</v>
      </c>
      <c r="AD37" s="2">
        <f t="shared" si="75"/>
        <v>0</v>
      </c>
      <c r="AE37" s="2">
        <f t="shared" si="75"/>
        <v>0</v>
      </c>
      <c r="AF37" s="2" t="s">
        <v>2224</v>
      </c>
    </row>
    <row r="38">
      <c r="A38" s="92" t="s">
        <v>507</v>
      </c>
      <c r="B38" s="64">
        <f t="shared" si="13"/>
        <v>37</v>
      </c>
      <c r="C38" s="64">
        <v>37.0</v>
      </c>
      <c r="D38" s="64" t="str">
        <f t="shared" si="3"/>
        <v>CO4304237</v>
      </c>
      <c r="E38" s="159">
        <v>43042.0</v>
      </c>
      <c r="F38" s="2" t="s">
        <v>1884</v>
      </c>
      <c r="G38" s="2" t="s">
        <v>18</v>
      </c>
      <c r="H38" s="158" t="s">
        <v>129</v>
      </c>
      <c r="I38" s="2">
        <f t="shared" ref="I38:K38" si="76">If(Iserr(search(I$1,$H38)),0,1)</f>
        <v>0</v>
      </c>
      <c r="J38" s="2">
        <f t="shared" si="76"/>
        <v>0</v>
      </c>
      <c r="K38" s="2">
        <f t="shared" si="76"/>
        <v>0</v>
      </c>
      <c r="L38" s="2">
        <f t="shared" si="5"/>
        <v>0</v>
      </c>
      <c r="M38" s="2">
        <f t="shared" ref="M38:AE38" si="77">If(Iserr(search(M$1,$H38)),0,1)</f>
        <v>0</v>
      </c>
      <c r="N38" s="2">
        <f t="shared" si="77"/>
        <v>0</v>
      </c>
      <c r="O38" s="2">
        <f t="shared" si="77"/>
        <v>0</v>
      </c>
      <c r="P38" s="2">
        <f t="shared" si="77"/>
        <v>0</v>
      </c>
      <c r="Q38" s="2">
        <f t="shared" si="77"/>
        <v>0</v>
      </c>
      <c r="R38" s="2">
        <f t="shared" si="77"/>
        <v>0</v>
      </c>
      <c r="S38" s="2">
        <f t="shared" si="77"/>
        <v>0</v>
      </c>
      <c r="T38" s="2">
        <f t="shared" si="77"/>
        <v>0</v>
      </c>
      <c r="U38" s="2">
        <f t="shared" si="77"/>
        <v>0</v>
      </c>
      <c r="V38" s="2">
        <f t="shared" si="77"/>
        <v>0</v>
      </c>
      <c r="W38" s="2">
        <f t="shared" si="77"/>
        <v>1</v>
      </c>
      <c r="X38" s="2">
        <f t="shared" si="77"/>
        <v>0</v>
      </c>
      <c r="Y38" s="2">
        <f t="shared" si="77"/>
        <v>0</v>
      </c>
      <c r="Z38" s="2">
        <f t="shared" si="77"/>
        <v>0</v>
      </c>
      <c r="AA38" s="2">
        <f t="shared" si="77"/>
        <v>0</v>
      </c>
      <c r="AB38" s="2">
        <f t="shared" si="77"/>
        <v>0</v>
      </c>
      <c r="AC38" s="2">
        <f t="shared" si="77"/>
        <v>0</v>
      </c>
      <c r="AD38" s="2">
        <f t="shared" si="77"/>
        <v>0</v>
      </c>
      <c r="AE38" s="2">
        <f t="shared" si="77"/>
        <v>0</v>
      </c>
      <c r="AF38" s="2" t="s">
        <v>2247</v>
      </c>
    </row>
    <row r="39">
      <c r="A39" s="92" t="s">
        <v>511</v>
      </c>
      <c r="B39" s="64">
        <f t="shared" si="13"/>
        <v>38</v>
      </c>
      <c r="C39" s="64">
        <v>38.0</v>
      </c>
      <c r="D39" s="64" t="str">
        <f t="shared" si="3"/>
        <v>CO4305638</v>
      </c>
      <c r="E39" s="159">
        <v>43056.0</v>
      </c>
      <c r="F39" s="2" t="s">
        <v>1884</v>
      </c>
      <c r="G39" s="2" t="s">
        <v>18</v>
      </c>
      <c r="H39" s="158" t="s">
        <v>129</v>
      </c>
      <c r="I39" s="2">
        <f t="shared" ref="I39:K39" si="78">If(Iserr(search(I$1,$H39)),0,1)</f>
        <v>0</v>
      </c>
      <c r="J39" s="2">
        <f t="shared" si="78"/>
        <v>0</v>
      </c>
      <c r="K39" s="2">
        <f t="shared" si="78"/>
        <v>0</v>
      </c>
      <c r="L39" s="2">
        <f t="shared" si="5"/>
        <v>0</v>
      </c>
      <c r="M39" s="2">
        <f t="shared" ref="M39:AE39" si="79">If(Iserr(search(M$1,$H39)),0,1)</f>
        <v>0</v>
      </c>
      <c r="N39" s="2">
        <f t="shared" si="79"/>
        <v>0</v>
      </c>
      <c r="O39" s="2">
        <f t="shared" si="79"/>
        <v>0</v>
      </c>
      <c r="P39" s="2">
        <f t="shared" si="79"/>
        <v>0</v>
      </c>
      <c r="Q39" s="2">
        <f t="shared" si="79"/>
        <v>0</v>
      </c>
      <c r="R39" s="2">
        <f t="shared" si="79"/>
        <v>0</v>
      </c>
      <c r="S39" s="2">
        <f t="shared" si="79"/>
        <v>0</v>
      </c>
      <c r="T39" s="2">
        <f t="shared" si="79"/>
        <v>0</v>
      </c>
      <c r="U39" s="2">
        <f t="shared" si="79"/>
        <v>0</v>
      </c>
      <c r="V39" s="2">
        <f t="shared" si="79"/>
        <v>0</v>
      </c>
      <c r="W39" s="2">
        <f t="shared" si="79"/>
        <v>1</v>
      </c>
      <c r="X39" s="2">
        <f t="shared" si="79"/>
        <v>0</v>
      </c>
      <c r="Y39" s="2">
        <f t="shared" si="79"/>
        <v>0</v>
      </c>
      <c r="Z39" s="2">
        <f t="shared" si="79"/>
        <v>0</v>
      </c>
      <c r="AA39" s="2">
        <f t="shared" si="79"/>
        <v>0</v>
      </c>
      <c r="AB39" s="2">
        <f t="shared" si="79"/>
        <v>0</v>
      </c>
      <c r="AC39" s="2">
        <f t="shared" si="79"/>
        <v>0</v>
      </c>
      <c r="AD39" s="2">
        <f t="shared" si="79"/>
        <v>0</v>
      </c>
      <c r="AE39" s="2">
        <f t="shared" si="79"/>
        <v>0</v>
      </c>
      <c r="AF39" s="2" t="s">
        <v>2260</v>
      </c>
    </row>
    <row r="40">
      <c r="A40" s="92" t="s">
        <v>516</v>
      </c>
      <c r="B40" s="64">
        <f t="shared" si="13"/>
        <v>39</v>
      </c>
      <c r="C40" s="64">
        <v>39.0</v>
      </c>
      <c r="D40" s="64" t="str">
        <f t="shared" si="3"/>
        <v>CO4306139</v>
      </c>
      <c r="E40" s="159">
        <v>43061.0</v>
      </c>
      <c r="F40" s="2" t="s">
        <v>1747</v>
      </c>
      <c r="G40" s="2" t="s">
        <v>18</v>
      </c>
      <c r="H40" s="158" t="s">
        <v>129</v>
      </c>
      <c r="I40" s="2">
        <f t="shared" ref="I40:K40" si="80">If(Iserr(search(I$1,$H40)),0,1)</f>
        <v>0</v>
      </c>
      <c r="J40" s="2">
        <f t="shared" si="80"/>
        <v>0</v>
      </c>
      <c r="K40" s="2">
        <f t="shared" si="80"/>
        <v>0</v>
      </c>
      <c r="L40" s="2">
        <f t="shared" si="5"/>
        <v>0</v>
      </c>
      <c r="M40" s="2">
        <f t="shared" ref="M40:AE40" si="81">If(Iserr(search(M$1,$H40)),0,1)</f>
        <v>0</v>
      </c>
      <c r="N40" s="2">
        <f t="shared" si="81"/>
        <v>0</v>
      </c>
      <c r="O40" s="2">
        <f t="shared" si="81"/>
        <v>0</v>
      </c>
      <c r="P40" s="2">
        <f t="shared" si="81"/>
        <v>0</v>
      </c>
      <c r="Q40" s="2">
        <f t="shared" si="81"/>
        <v>0</v>
      </c>
      <c r="R40" s="2">
        <f t="shared" si="81"/>
        <v>0</v>
      </c>
      <c r="S40" s="2">
        <f t="shared" si="81"/>
        <v>0</v>
      </c>
      <c r="T40" s="2">
        <f t="shared" si="81"/>
        <v>0</v>
      </c>
      <c r="U40" s="2">
        <f t="shared" si="81"/>
        <v>0</v>
      </c>
      <c r="V40" s="2">
        <f t="shared" si="81"/>
        <v>0</v>
      </c>
      <c r="W40" s="2">
        <f t="shared" si="81"/>
        <v>1</v>
      </c>
      <c r="X40" s="2">
        <f t="shared" si="81"/>
        <v>0</v>
      </c>
      <c r="Y40" s="2">
        <f t="shared" si="81"/>
        <v>0</v>
      </c>
      <c r="Z40" s="2">
        <f t="shared" si="81"/>
        <v>0</v>
      </c>
      <c r="AA40" s="2">
        <f t="shared" si="81"/>
        <v>0</v>
      </c>
      <c r="AB40" s="2">
        <f t="shared" si="81"/>
        <v>0</v>
      </c>
      <c r="AC40" s="2">
        <f t="shared" si="81"/>
        <v>0</v>
      </c>
      <c r="AD40" s="2">
        <f t="shared" si="81"/>
        <v>0</v>
      </c>
      <c r="AE40" s="2">
        <f t="shared" si="81"/>
        <v>0</v>
      </c>
      <c r="AF40" s="2" t="s">
        <v>2277</v>
      </c>
    </row>
    <row r="41">
      <c r="A41" s="92" t="s">
        <v>526</v>
      </c>
      <c r="B41" s="64">
        <f t="shared" si="13"/>
        <v>40</v>
      </c>
      <c r="C41" s="64">
        <v>40.0</v>
      </c>
      <c r="D41" s="64" t="str">
        <f t="shared" si="3"/>
        <v>CO4312440</v>
      </c>
      <c r="E41" s="159">
        <v>43124.0</v>
      </c>
      <c r="F41" s="2" t="s">
        <v>2282</v>
      </c>
      <c r="G41" s="2" t="s">
        <v>18</v>
      </c>
      <c r="H41" s="158" t="s">
        <v>518</v>
      </c>
      <c r="I41" s="2">
        <f t="shared" ref="I41:K41" si="82">If(Iserr(search(I$1,$H41)),0,1)</f>
        <v>0</v>
      </c>
      <c r="J41" s="2">
        <f t="shared" si="82"/>
        <v>0</v>
      </c>
      <c r="K41" s="2">
        <f t="shared" si="82"/>
        <v>0</v>
      </c>
      <c r="L41" s="2">
        <f t="shared" si="5"/>
        <v>0</v>
      </c>
      <c r="M41" s="2">
        <f t="shared" ref="M41:AE41" si="83">If(Iserr(search(M$1,$H41)),0,1)</f>
        <v>0</v>
      </c>
      <c r="N41" s="2">
        <f t="shared" si="83"/>
        <v>0</v>
      </c>
      <c r="O41" s="2">
        <f t="shared" si="83"/>
        <v>0</v>
      </c>
      <c r="P41" s="2">
        <f t="shared" si="83"/>
        <v>0</v>
      </c>
      <c r="Q41" s="2">
        <f t="shared" si="83"/>
        <v>0</v>
      </c>
      <c r="R41" s="2">
        <f t="shared" si="83"/>
        <v>0</v>
      </c>
      <c r="S41" s="2">
        <f t="shared" si="83"/>
        <v>0</v>
      </c>
      <c r="T41" s="2">
        <f t="shared" si="83"/>
        <v>0</v>
      </c>
      <c r="U41" s="2">
        <f t="shared" si="83"/>
        <v>0</v>
      </c>
      <c r="V41" s="2">
        <f t="shared" si="83"/>
        <v>0</v>
      </c>
      <c r="W41" s="2">
        <f t="shared" si="83"/>
        <v>0</v>
      </c>
      <c r="X41" s="2">
        <f t="shared" si="83"/>
        <v>0</v>
      </c>
      <c r="Y41" s="2">
        <f t="shared" si="83"/>
        <v>0</v>
      </c>
      <c r="Z41" s="2">
        <f t="shared" si="83"/>
        <v>0</v>
      </c>
      <c r="AA41" s="2">
        <f t="shared" si="83"/>
        <v>0</v>
      </c>
      <c r="AB41" s="2">
        <f t="shared" si="83"/>
        <v>0</v>
      </c>
      <c r="AC41" s="2">
        <f t="shared" si="83"/>
        <v>0</v>
      </c>
      <c r="AD41" s="2">
        <f t="shared" si="83"/>
        <v>0</v>
      </c>
      <c r="AE41" s="2">
        <f t="shared" si="83"/>
        <v>0</v>
      </c>
      <c r="AF41" s="2" t="s">
        <v>528</v>
      </c>
    </row>
    <row r="42">
      <c r="A42" s="92" t="s">
        <v>531</v>
      </c>
      <c r="B42" s="64">
        <f t="shared" si="13"/>
        <v>41</v>
      </c>
      <c r="C42" s="64">
        <v>41.0</v>
      </c>
      <c r="D42" s="64" t="str">
        <f t="shared" si="3"/>
        <v>CO4342541</v>
      </c>
      <c r="E42" s="159">
        <v>43425.0</v>
      </c>
      <c r="F42" s="2" t="s">
        <v>2300</v>
      </c>
      <c r="G42" s="2" t="s">
        <v>18</v>
      </c>
      <c r="H42" s="158" t="s">
        <v>95</v>
      </c>
      <c r="I42" s="2">
        <f t="shared" ref="I42:K42" si="84">If(Iserr(search(I$1,$H42)),0,1)</f>
        <v>0</v>
      </c>
      <c r="J42" s="2">
        <f t="shared" si="84"/>
        <v>0</v>
      </c>
      <c r="K42" s="2">
        <f t="shared" si="84"/>
        <v>0</v>
      </c>
      <c r="L42" s="2">
        <f t="shared" si="5"/>
        <v>0</v>
      </c>
      <c r="M42" s="2">
        <f t="shared" ref="M42:AE42" si="85">If(Iserr(search(M$1,$H42)),0,1)</f>
        <v>0</v>
      </c>
      <c r="N42" s="2">
        <f t="shared" si="85"/>
        <v>0</v>
      </c>
      <c r="O42" s="2">
        <f t="shared" si="85"/>
        <v>0</v>
      </c>
      <c r="P42" s="2">
        <f t="shared" si="85"/>
        <v>0</v>
      </c>
      <c r="Q42" s="2">
        <f t="shared" si="85"/>
        <v>0</v>
      </c>
      <c r="R42" s="2">
        <f t="shared" si="85"/>
        <v>0</v>
      </c>
      <c r="S42" s="2">
        <f t="shared" si="85"/>
        <v>0</v>
      </c>
      <c r="T42" s="2">
        <f t="shared" si="85"/>
        <v>0</v>
      </c>
      <c r="U42" s="2">
        <f t="shared" si="85"/>
        <v>0</v>
      </c>
      <c r="V42" s="2">
        <f t="shared" si="85"/>
        <v>0</v>
      </c>
      <c r="W42" s="2">
        <f t="shared" si="85"/>
        <v>0</v>
      </c>
      <c r="X42" s="2">
        <f t="shared" si="85"/>
        <v>0</v>
      </c>
      <c r="Y42" s="2">
        <f t="shared" si="85"/>
        <v>0</v>
      </c>
      <c r="Z42" s="2">
        <f t="shared" si="85"/>
        <v>0</v>
      </c>
      <c r="AA42" s="2">
        <f t="shared" si="85"/>
        <v>0</v>
      </c>
      <c r="AB42" s="2">
        <f t="shared" si="85"/>
        <v>0</v>
      </c>
      <c r="AC42" s="2">
        <f t="shared" si="85"/>
        <v>0</v>
      </c>
      <c r="AD42" s="2">
        <f t="shared" si="85"/>
        <v>0</v>
      </c>
      <c r="AE42" s="2">
        <f t="shared" si="85"/>
        <v>0</v>
      </c>
      <c r="AF42" s="2" t="s">
        <v>2300</v>
      </c>
    </row>
    <row r="43">
      <c r="A43" s="92" t="s">
        <v>537</v>
      </c>
      <c r="B43" s="64">
        <f t="shared" si="13"/>
        <v>42</v>
      </c>
      <c r="C43" s="64">
        <v>42.0</v>
      </c>
      <c r="D43" s="64" t="str">
        <f t="shared" si="3"/>
        <v>CO4343242</v>
      </c>
      <c r="E43" s="159">
        <v>43432.0</v>
      </c>
      <c r="F43" s="2" t="s">
        <v>2313</v>
      </c>
      <c r="G43" s="2" t="s">
        <v>18</v>
      </c>
      <c r="H43" s="158" t="s">
        <v>89</v>
      </c>
      <c r="I43" s="2">
        <f t="shared" ref="I43:K43" si="86">If(Iserr(search(I$1,$H43)),0,1)</f>
        <v>0</v>
      </c>
      <c r="J43" s="2">
        <f t="shared" si="86"/>
        <v>0</v>
      </c>
      <c r="K43" s="2">
        <f t="shared" si="86"/>
        <v>0</v>
      </c>
      <c r="L43" s="2">
        <f t="shared" si="5"/>
        <v>0</v>
      </c>
      <c r="M43" s="2">
        <f t="shared" ref="M43:AE43" si="87">If(Iserr(search(M$1,$H43)),0,1)</f>
        <v>0</v>
      </c>
      <c r="N43" s="2">
        <f t="shared" si="87"/>
        <v>0</v>
      </c>
      <c r="O43" s="2">
        <f t="shared" si="87"/>
        <v>0</v>
      </c>
      <c r="P43" s="2">
        <f t="shared" si="87"/>
        <v>0</v>
      </c>
      <c r="Q43" s="2">
        <f t="shared" si="87"/>
        <v>0</v>
      </c>
      <c r="R43" s="2">
        <f t="shared" si="87"/>
        <v>1</v>
      </c>
      <c r="S43" s="2">
        <f t="shared" si="87"/>
        <v>1</v>
      </c>
      <c r="T43" s="2">
        <f t="shared" si="87"/>
        <v>0</v>
      </c>
      <c r="U43" s="2">
        <f t="shared" si="87"/>
        <v>0</v>
      </c>
      <c r="V43" s="2">
        <f t="shared" si="87"/>
        <v>0</v>
      </c>
      <c r="W43" s="2">
        <f t="shared" si="87"/>
        <v>0</v>
      </c>
      <c r="X43" s="2">
        <f t="shared" si="87"/>
        <v>0</v>
      </c>
      <c r="Y43" s="2">
        <f t="shared" si="87"/>
        <v>0</v>
      </c>
      <c r="Z43" s="2">
        <f t="shared" si="87"/>
        <v>0</v>
      </c>
      <c r="AA43" s="2">
        <f t="shared" si="87"/>
        <v>0</v>
      </c>
      <c r="AB43" s="2">
        <f t="shared" si="87"/>
        <v>0</v>
      </c>
      <c r="AC43" s="2">
        <f t="shared" si="87"/>
        <v>0</v>
      </c>
      <c r="AD43" s="2">
        <f t="shared" si="87"/>
        <v>0</v>
      </c>
      <c r="AE43" s="2">
        <f t="shared" si="87"/>
        <v>0</v>
      </c>
      <c r="AF43" s="2" t="s">
        <v>2322</v>
      </c>
    </row>
    <row r="44">
      <c r="A44" s="92" t="s">
        <v>558</v>
      </c>
      <c r="B44" s="64">
        <f t="shared" si="13"/>
        <v>43</v>
      </c>
      <c r="C44" s="64">
        <v>43.0</v>
      </c>
      <c r="D44" s="64" t="str">
        <f t="shared" si="3"/>
        <v>CO4356643</v>
      </c>
      <c r="E44" s="159">
        <v>43566.0</v>
      </c>
      <c r="F44" s="2" t="s">
        <v>2328</v>
      </c>
      <c r="G44" s="2" t="s">
        <v>18</v>
      </c>
      <c r="H44" s="158" t="s">
        <v>79</v>
      </c>
      <c r="I44" s="2">
        <f t="shared" ref="I44:K44" si="88">If(Iserr(search(I$1,$H44)),0,1)</f>
        <v>0</v>
      </c>
      <c r="J44" s="2">
        <f t="shared" si="88"/>
        <v>0</v>
      </c>
      <c r="K44" s="2">
        <f t="shared" si="88"/>
        <v>0</v>
      </c>
      <c r="L44" s="2">
        <f t="shared" si="5"/>
        <v>0</v>
      </c>
      <c r="M44" s="2">
        <f t="shared" ref="M44:AE44" si="89">If(Iserr(search(M$1,$H44)),0,1)</f>
        <v>0</v>
      </c>
      <c r="N44" s="2">
        <f t="shared" si="89"/>
        <v>0</v>
      </c>
      <c r="O44" s="2">
        <f t="shared" si="89"/>
        <v>0</v>
      </c>
      <c r="P44" s="2">
        <f t="shared" si="89"/>
        <v>0</v>
      </c>
      <c r="Q44" s="2">
        <f t="shared" si="89"/>
        <v>0</v>
      </c>
      <c r="R44" s="2">
        <f t="shared" si="89"/>
        <v>1</v>
      </c>
      <c r="S44" s="2">
        <f t="shared" si="89"/>
        <v>0</v>
      </c>
      <c r="T44" s="2">
        <f t="shared" si="89"/>
        <v>0</v>
      </c>
      <c r="U44" s="2">
        <f t="shared" si="89"/>
        <v>0</v>
      </c>
      <c r="V44" s="2">
        <f t="shared" si="89"/>
        <v>0</v>
      </c>
      <c r="W44" s="2">
        <f t="shared" si="89"/>
        <v>0</v>
      </c>
      <c r="X44" s="2">
        <f t="shared" si="89"/>
        <v>0</v>
      </c>
      <c r="Y44" s="2">
        <f t="shared" si="89"/>
        <v>0</v>
      </c>
      <c r="Z44" s="2">
        <f t="shared" si="89"/>
        <v>0</v>
      </c>
      <c r="AA44" s="2">
        <f t="shared" si="89"/>
        <v>0</v>
      </c>
      <c r="AB44" s="2">
        <f t="shared" si="89"/>
        <v>0</v>
      </c>
      <c r="AC44" s="2">
        <f t="shared" si="89"/>
        <v>0</v>
      </c>
      <c r="AD44" s="2">
        <f t="shared" si="89"/>
        <v>0</v>
      </c>
      <c r="AE44" s="2">
        <f t="shared" si="89"/>
        <v>0</v>
      </c>
      <c r="AF44" s="2" t="s">
        <v>2337</v>
      </c>
    </row>
    <row r="45">
      <c r="A45" s="92" t="s">
        <v>595</v>
      </c>
      <c r="B45" s="64">
        <f t="shared" si="13"/>
        <v>44</v>
      </c>
      <c r="C45" s="64">
        <v>44.0</v>
      </c>
      <c r="D45" s="64" t="str">
        <f t="shared" si="3"/>
        <v>CO4369344</v>
      </c>
      <c r="E45" s="159">
        <v>43693.0</v>
      </c>
      <c r="F45" s="2" t="s">
        <v>2342</v>
      </c>
      <c r="G45" s="158" t="s">
        <v>419</v>
      </c>
      <c r="H45" s="158" t="s">
        <v>2343</v>
      </c>
      <c r="I45" s="2">
        <f t="shared" ref="I45:K45" si="90">If(Iserr(search(I$1,$H45)),0,1)</f>
        <v>0</v>
      </c>
      <c r="J45" s="2">
        <f t="shared" si="90"/>
        <v>0</v>
      </c>
      <c r="K45" s="2">
        <f t="shared" si="90"/>
        <v>0</v>
      </c>
      <c r="L45" s="2">
        <f t="shared" si="5"/>
        <v>0</v>
      </c>
      <c r="M45" s="2">
        <f t="shared" ref="M45:AE45" si="91">If(Iserr(search(M$1,$H45)),0,1)</f>
        <v>0</v>
      </c>
      <c r="N45" s="2">
        <f t="shared" si="91"/>
        <v>0</v>
      </c>
      <c r="O45" s="2">
        <f t="shared" si="91"/>
        <v>0</v>
      </c>
      <c r="P45" s="2">
        <f t="shared" si="91"/>
        <v>0</v>
      </c>
      <c r="Q45" s="2">
        <f t="shared" si="91"/>
        <v>0</v>
      </c>
      <c r="R45" s="2">
        <f t="shared" si="91"/>
        <v>0</v>
      </c>
      <c r="S45" s="2">
        <f t="shared" si="91"/>
        <v>0</v>
      </c>
      <c r="T45" s="2">
        <f t="shared" si="91"/>
        <v>0</v>
      </c>
      <c r="U45" s="2">
        <f t="shared" si="91"/>
        <v>0</v>
      </c>
      <c r="V45" s="2">
        <f t="shared" si="91"/>
        <v>0</v>
      </c>
      <c r="W45" s="2">
        <f t="shared" si="91"/>
        <v>0</v>
      </c>
      <c r="X45" s="2">
        <f t="shared" si="91"/>
        <v>0</v>
      </c>
      <c r="Y45" s="2">
        <f t="shared" si="91"/>
        <v>0</v>
      </c>
      <c r="Z45" s="2">
        <f t="shared" si="91"/>
        <v>0</v>
      </c>
      <c r="AA45" s="2">
        <f t="shared" si="91"/>
        <v>0</v>
      </c>
      <c r="AB45" s="2">
        <f t="shared" si="91"/>
        <v>0</v>
      </c>
      <c r="AC45" s="2">
        <f t="shared" si="91"/>
        <v>0</v>
      </c>
      <c r="AD45" s="2">
        <f t="shared" si="91"/>
        <v>0</v>
      </c>
      <c r="AE45" s="2">
        <f t="shared" si="91"/>
        <v>0</v>
      </c>
      <c r="AF45" s="2" t="s">
        <v>2354</v>
      </c>
    </row>
    <row r="46">
      <c r="A46" s="92" t="s">
        <v>595</v>
      </c>
      <c r="B46" s="64" t="s">
        <v>2355</v>
      </c>
      <c r="C46" s="64">
        <v>44.0</v>
      </c>
      <c r="D46" s="64" t="str">
        <f t="shared" si="3"/>
        <v>CO4369344b</v>
      </c>
      <c r="E46" s="159">
        <v>43693.0</v>
      </c>
      <c r="F46" s="2" t="s">
        <v>2356</v>
      </c>
      <c r="G46" s="2" t="s">
        <v>1488</v>
      </c>
      <c r="H46" s="2" t="s">
        <v>1488</v>
      </c>
      <c r="I46" s="2">
        <f t="shared" ref="I46:K46" si="92">If(Iserr(search(I$1,$H46)),0,1)</f>
        <v>0</v>
      </c>
      <c r="J46" s="2">
        <f t="shared" si="92"/>
        <v>1</v>
      </c>
      <c r="K46" s="2">
        <f t="shared" si="92"/>
        <v>0</v>
      </c>
      <c r="L46" s="2">
        <f t="shared" si="5"/>
        <v>0</v>
      </c>
      <c r="M46" s="2">
        <f t="shared" ref="M46:AE46" si="93">If(Iserr(search(M$1,$H46)),0,1)</f>
        <v>0</v>
      </c>
      <c r="N46" s="2">
        <f t="shared" si="93"/>
        <v>0</v>
      </c>
      <c r="O46" s="2">
        <f t="shared" si="93"/>
        <v>0</v>
      </c>
      <c r="P46" s="2">
        <f t="shared" si="93"/>
        <v>0</v>
      </c>
      <c r="Q46" s="2">
        <f t="shared" si="93"/>
        <v>0</v>
      </c>
      <c r="R46" s="2">
        <f t="shared" si="93"/>
        <v>0</v>
      </c>
      <c r="S46" s="2">
        <f t="shared" si="93"/>
        <v>0</v>
      </c>
      <c r="T46" s="2">
        <f t="shared" si="93"/>
        <v>0</v>
      </c>
      <c r="U46" s="2">
        <f t="shared" si="93"/>
        <v>0</v>
      </c>
      <c r="V46" s="2">
        <f t="shared" si="93"/>
        <v>0</v>
      </c>
      <c r="W46" s="2">
        <f t="shared" si="93"/>
        <v>0</v>
      </c>
      <c r="X46" s="2">
        <f t="shared" si="93"/>
        <v>0</v>
      </c>
      <c r="Y46" s="2">
        <f t="shared" si="93"/>
        <v>0</v>
      </c>
      <c r="Z46" s="2">
        <f t="shared" si="93"/>
        <v>0</v>
      </c>
      <c r="AA46" s="2">
        <f t="shared" si="93"/>
        <v>0</v>
      </c>
      <c r="AB46" s="2">
        <f t="shared" si="93"/>
        <v>0</v>
      </c>
      <c r="AC46" s="2">
        <f t="shared" si="93"/>
        <v>0</v>
      </c>
      <c r="AD46" s="2">
        <f t="shared" si="93"/>
        <v>0</v>
      </c>
      <c r="AE46" s="2">
        <f t="shared" si="93"/>
        <v>0</v>
      </c>
      <c r="AF46" s="2" t="s">
        <v>2354</v>
      </c>
    </row>
    <row r="47">
      <c r="A47" s="92" t="s">
        <v>611</v>
      </c>
      <c r="B47" s="64">
        <f>B45+1</f>
        <v>45</v>
      </c>
      <c r="C47" s="64">
        <v>45.0</v>
      </c>
      <c r="D47" s="64" t="str">
        <f t="shared" si="3"/>
        <v>CO4379145</v>
      </c>
      <c r="E47" s="159">
        <v>43791.0</v>
      </c>
      <c r="F47" s="2" t="s">
        <v>2372</v>
      </c>
      <c r="G47" s="2" t="s">
        <v>2374</v>
      </c>
      <c r="H47" s="2" t="s">
        <v>1503</v>
      </c>
      <c r="I47" s="2">
        <f t="shared" ref="I47:K47" si="94">If(Iserr(search(I$1,$H47)),0,1)</f>
        <v>0</v>
      </c>
      <c r="J47" s="2">
        <f t="shared" si="94"/>
        <v>0</v>
      </c>
      <c r="K47" s="2">
        <f t="shared" si="94"/>
        <v>0</v>
      </c>
      <c r="L47" s="2">
        <f t="shared" si="5"/>
        <v>0</v>
      </c>
      <c r="M47" s="2">
        <f t="shared" ref="M47:AE47" si="95">If(Iserr(search(M$1,$H47)),0,1)</f>
        <v>0</v>
      </c>
      <c r="N47" s="2">
        <f t="shared" si="95"/>
        <v>0</v>
      </c>
      <c r="O47" s="2">
        <f t="shared" si="95"/>
        <v>0</v>
      </c>
      <c r="P47" s="2">
        <f t="shared" si="95"/>
        <v>0</v>
      </c>
      <c r="Q47" s="2">
        <f t="shared" si="95"/>
        <v>0</v>
      </c>
      <c r="R47" s="2">
        <f t="shared" si="95"/>
        <v>0</v>
      </c>
      <c r="S47" s="2">
        <f t="shared" si="95"/>
        <v>0</v>
      </c>
      <c r="T47" s="2">
        <f t="shared" si="95"/>
        <v>0</v>
      </c>
      <c r="U47" s="2">
        <f t="shared" si="95"/>
        <v>0</v>
      </c>
      <c r="V47" s="2">
        <f t="shared" si="95"/>
        <v>0</v>
      </c>
      <c r="W47" s="2">
        <f t="shared" si="95"/>
        <v>0</v>
      </c>
      <c r="X47" s="2">
        <f t="shared" si="95"/>
        <v>0</v>
      </c>
      <c r="Y47" s="2">
        <f t="shared" si="95"/>
        <v>0</v>
      </c>
      <c r="Z47" s="2">
        <f t="shared" si="95"/>
        <v>0</v>
      </c>
      <c r="AA47" s="2">
        <f t="shared" si="95"/>
        <v>0</v>
      </c>
      <c r="AB47" s="2">
        <f t="shared" si="95"/>
        <v>0</v>
      </c>
      <c r="AC47" s="2">
        <f t="shared" si="95"/>
        <v>0</v>
      </c>
      <c r="AD47" s="2">
        <f t="shared" si="95"/>
        <v>0</v>
      </c>
      <c r="AE47" s="2">
        <f t="shared" si="95"/>
        <v>1</v>
      </c>
      <c r="AF47" s="2" t="s">
        <v>729</v>
      </c>
    </row>
    <row r="48">
      <c r="A48" s="92" t="s">
        <v>642</v>
      </c>
      <c r="B48" s="64">
        <f t="shared" ref="B48:B50" si="98">B47+1</f>
        <v>46</v>
      </c>
      <c r="C48" s="64">
        <v>46.0</v>
      </c>
      <c r="D48" s="64" t="str">
        <f t="shared" si="3"/>
        <v>CO4389446</v>
      </c>
      <c r="E48" s="159">
        <v>43894.0</v>
      </c>
      <c r="F48" s="2" t="s">
        <v>2383</v>
      </c>
      <c r="G48" s="2" t="s">
        <v>1197</v>
      </c>
      <c r="H48" s="2" t="s">
        <v>1197</v>
      </c>
      <c r="I48" s="2">
        <f t="shared" ref="I48:K48" si="96">If(Iserr(search(I$1,$H48)),0,1)</f>
        <v>0</v>
      </c>
      <c r="J48" s="2">
        <f t="shared" si="96"/>
        <v>0</v>
      </c>
      <c r="K48" s="2">
        <f t="shared" si="96"/>
        <v>0</v>
      </c>
      <c r="L48" s="2">
        <f t="shared" si="5"/>
        <v>0</v>
      </c>
      <c r="M48" s="2">
        <f t="shared" ref="M48:AE48" si="97">If(Iserr(search(M$1,$H48)),0,1)</f>
        <v>0</v>
      </c>
      <c r="N48" s="2">
        <f t="shared" si="97"/>
        <v>0</v>
      </c>
      <c r="O48" s="2">
        <f t="shared" si="97"/>
        <v>0</v>
      </c>
      <c r="P48" s="2">
        <f t="shared" si="97"/>
        <v>0</v>
      </c>
      <c r="Q48" s="2">
        <f t="shared" si="97"/>
        <v>0</v>
      </c>
      <c r="R48" s="2">
        <f t="shared" si="97"/>
        <v>0</v>
      </c>
      <c r="S48" s="2">
        <f t="shared" si="97"/>
        <v>0</v>
      </c>
      <c r="T48" s="2">
        <f t="shared" si="97"/>
        <v>0</v>
      </c>
      <c r="U48" s="2">
        <f t="shared" si="97"/>
        <v>0</v>
      </c>
      <c r="V48" s="2">
        <f t="shared" si="97"/>
        <v>0</v>
      </c>
      <c r="W48" s="2">
        <f t="shared" si="97"/>
        <v>0</v>
      </c>
      <c r="X48" s="2">
        <f t="shared" si="97"/>
        <v>0</v>
      </c>
      <c r="Y48" s="2">
        <f t="shared" si="97"/>
        <v>0</v>
      </c>
      <c r="Z48" s="2">
        <f t="shared" si="97"/>
        <v>0</v>
      </c>
      <c r="AA48" s="2">
        <f t="shared" si="97"/>
        <v>0</v>
      </c>
      <c r="AB48" s="2">
        <f t="shared" si="97"/>
        <v>0</v>
      </c>
      <c r="AC48" s="2">
        <f t="shared" si="97"/>
        <v>0</v>
      </c>
      <c r="AD48" s="2">
        <f t="shared" si="97"/>
        <v>0</v>
      </c>
      <c r="AE48" s="2">
        <f t="shared" si="97"/>
        <v>0</v>
      </c>
      <c r="AF48" s="2" t="s">
        <v>729</v>
      </c>
    </row>
    <row r="49">
      <c r="A49" s="92" t="s">
        <v>651</v>
      </c>
      <c r="B49" s="64">
        <f t="shared" si="98"/>
        <v>47</v>
      </c>
      <c r="C49" s="64">
        <v>47.0</v>
      </c>
      <c r="D49" s="64" t="str">
        <f t="shared" si="3"/>
        <v>CO4402247</v>
      </c>
      <c r="E49" s="159">
        <v>44022.0</v>
      </c>
      <c r="F49" s="2" t="s">
        <v>2391</v>
      </c>
      <c r="G49" s="2" t="s">
        <v>18</v>
      </c>
      <c r="H49" s="2" t="s">
        <v>270</v>
      </c>
      <c r="I49" s="2">
        <f t="shared" ref="I49:K49" si="99">If(Iserr(search(I$1,$H49)),0,1)</f>
        <v>0</v>
      </c>
      <c r="J49" s="2">
        <f t="shared" si="99"/>
        <v>0</v>
      </c>
      <c r="K49" s="2">
        <f t="shared" si="99"/>
        <v>0</v>
      </c>
      <c r="L49" s="2">
        <f t="shared" si="5"/>
        <v>0</v>
      </c>
      <c r="M49" s="2">
        <f t="shared" ref="M49:AE49" si="100">If(Iserr(search(M$1,$H49)),0,1)</f>
        <v>0</v>
      </c>
      <c r="N49" s="2">
        <f t="shared" si="100"/>
        <v>0</v>
      </c>
      <c r="O49" s="2">
        <f t="shared" si="100"/>
        <v>0</v>
      </c>
      <c r="P49" s="2">
        <f t="shared" si="100"/>
        <v>1</v>
      </c>
      <c r="Q49" s="2">
        <f t="shared" si="100"/>
        <v>0</v>
      </c>
      <c r="R49" s="2">
        <f t="shared" si="100"/>
        <v>0</v>
      </c>
      <c r="S49" s="2">
        <f t="shared" si="100"/>
        <v>0</v>
      </c>
      <c r="T49" s="2">
        <f t="shared" si="100"/>
        <v>0</v>
      </c>
      <c r="U49" s="2">
        <f t="shared" si="100"/>
        <v>0</v>
      </c>
      <c r="V49" s="2">
        <f t="shared" si="100"/>
        <v>0</v>
      </c>
      <c r="W49" s="2">
        <f t="shared" si="100"/>
        <v>0</v>
      </c>
      <c r="X49" s="2">
        <f t="shared" si="100"/>
        <v>0</v>
      </c>
      <c r="Y49" s="2">
        <f t="shared" si="100"/>
        <v>0</v>
      </c>
      <c r="Z49" s="2">
        <f t="shared" si="100"/>
        <v>0</v>
      </c>
      <c r="AA49" s="2">
        <f t="shared" si="100"/>
        <v>0</v>
      </c>
      <c r="AB49" s="2">
        <f t="shared" si="100"/>
        <v>0</v>
      </c>
      <c r="AC49" s="2">
        <f t="shared" si="100"/>
        <v>0</v>
      </c>
      <c r="AD49" s="2">
        <f t="shared" si="100"/>
        <v>0</v>
      </c>
      <c r="AE49" s="2">
        <f t="shared" si="100"/>
        <v>0</v>
      </c>
      <c r="AF49" s="2" t="s">
        <v>2398</v>
      </c>
    </row>
    <row r="50">
      <c r="A50" s="92" t="s">
        <v>661</v>
      </c>
      <c r="B50" s="64">
        <f t="shared" si="98"/>
        <v>48</v>
      </c>
      <c r="C50" s="64">
        <v>48.0</v>
      </c>
      <c r="D50" s="64" t="str">
        <f t="shared" si="3"/>
        <v>CO4406948</v>
      </c>
      <c r="E50" s="159">
        <v>44069.0</v>
      </c>
      <c r="F50" s="2" t="s">
        <v>2401</v>
      </c>
      <c r="G50" s="2" t="s">
        <v>2402</v>
      </c>
      <c r="H50" s="2" t="s">
        <v>2403</v>
      </c>
      <c r="I50" s="2">
        <f t="shared" ref="I50:K50" si="101">If(Iserr(search(I$1,$H50)),0,1)</f>
        <v>0</v>
      </c>
      <c r="J50" s="2">
        <f t="shared" si="101"/>
        <v>0</v>
      </c>
      <c r="K50" s="2">
        <f t="shared" si="101"/>
        <v>0</v>
      </c>
      <c r="L50" s="2">
        <f t="shared" si="5"/>
        <v>0</v>
      </c>
      <c r="M50" s="2">
        <f t="shared" ref="M50:AE50" si="102">If(Iserr(search(M$1,$H50)),0,1)</f>
        <v>0</v>
      </c>
      <c r="N50" s="2">
        <f t="shared" si="102"/>
        <v>0</v>
      </c>
      <c r="O50" s="2">
        <f t="shared" si="102"/>
        <v>0</v>
      </c>
      <c r="P50" s="2">
        <f t="shared" si="102"/>
        <v>0</v>
      </c>
      <c r="Q50" s="2">
        <f t="shared" si="102"/>
        <v>1</v>
      </c>
      <c r="R50" s="2">
        <f t="shared" si="102"/>
        <v>0</v>
      </c>
      <c r="S50" s="2">
        <f t="shared" si="102"/>
        <v>0</v>
      </c>
      <c r="T50" s="2">
        <f t="shared" si="102"/>
        <v>0</v>
      </c>
      <c r="U50" s="2">
        <f t="shared" si="102"/>
        <v>0</v>
      </c>
      <c r="V50" s="2">
        <f t="shared" si="102"/>
        <v>0</v>
      </c>
      <c r="W50" s="2">
        <f t="shared" si="102"/>
        <v>0</v>
      </c>
      <c r="X50" s="2">
        <f t="shared" si="102"/>
        <v>0</v>
      </c>
      <c r="Y50" s="2">
        <f t="shared" si="102"/>
        <v>0</v>
      </c>
      <c r="Z50" s="2">
        <f t="shared" si="102"/>
        <v>0</v>
      </c>
      <c r="AA50" s="2">
        <f t="shared" si="102"/>
        <v>0</v>
      </c>
      <c r="AB50" s="2">
        <f t="shared" si="102"/>
        <v>0</v>
      </c>
      <c r="AC50" s="2">
        <f t="shared" si="102"/>
        <v>0</v>
      </c>
      <c r="AD50" s="2">
        <f t="shared" si="102"/>
        <v>0</v>
      </c>
      <c r="AE50" s="2">
        <f t="shared" si="102"/>
        <v>1</v>
      </c>
      <c r="AF50" s="2" t="s">
        <v>2409</v>
      </c>
    </row>
    <row r="51">
      <c r="A51" s="92" t="s">
        <v>661</v>
      </c>
      <c r="B51" s="64" t="s">
        <v>2410</v>
      </c>
      <c r="C51" s="64">
        <v>48.0</v>
      </c>
      <c r="D51" s="64" t="str">
        <f t="shared" si="3"/>
        <v>CO4406948b</v>
      </c>
      <c r="E51" s="159">
        <v>44069.0</v>
      </c>
      <c r="F51" s="2" t="s">
        <v>2412</v>
      </c>
      <c r="G51" s="2" t="s">
        <v>1503</v>
      </c>
      <c r="H51" s="2" t="s">
        <v>1503</v>
      </c>
      <c r="I51" s="2">
        <f t="shared" ref="I51:K51" si="103">If(Iserr(search(I$1,$H51)),0,1)</f>
        <v>0</v>
      </c>
      <c r="J51" s="2">
        <f t="shared" si="103"/>
        <v>0</v>
      </c>
      <c r="K51" s="2">
        <f t="shared" si="103"/>
        <v>0</v>
      </c>
      <c r="L51" s="2">
        <f t="shared" si="5"/>
        <v>0</v>
      </c>
      <c r="M51" s="2">
        <f t="shared" ref="M51:AE51" si="104">If(Iserr(search(M$1,$H51)),0,1)</f>
        <v>0</v>
      </c>
      <c r="N51" s="2">
        <f t="shared" si="104"/>
        <v>0</v>
      </c>
      <c r="O51" s="2">
        <f t="shared" si="104"/>
        <v>0</v>
      </c>
      <c r="P51" s="2">
        <f t="shared" si="104"/>
        <v>0</v>
      </c>
      <c r="Q51" s="2">
        <f t="shared" si="104"/>
        <v>0</v>
      </c>
      <c r="R51" s="2">
        <f t="shared" si="104"/>
        <v>0</v>
      </c>
      <c r="S51" s="2">
        <f t="shared" si="104"/>
        <v>0</v>
      </c>
      <c r="T51" s="2">
        <f t="shared" si="104"/>
        <v>0</v>
      </c>
      <c r="U51" s="2">
        <f t="shared" si="104"/>
        <v>0</v>
      </c>
      <c r="V51" s="2">
        <f t="shared" si="104"/>
        <v>0</v>
      </c>
      <c r="W51" s="2">
        <f t="shared" si="104"/>
        <v>0</v>
      </c>
      <c r="X51" s="2">
        <f t="shared" si="104"/>
        <v>0</v>
      </c>
      <c r="Y51" s="2">
        <f t="shared" si="104"/>
        <v>0</v>
      </c>
      <c r="Z51" s="2">
        <f t="shared" si="104"/>
        <v>0</v>
      </c>
      <c r="AA51" s="2">
        <f t="shared" si="104"/>
        <v>0</v>
      </c>
      <c r="AB51" s="2">
        <f t="shared" si="104"/>
        <v>0</v>
      </c>
      <c r="AC51" s="2">
        <f t="shared" si="104"/>
        <v>0</v>
      </c>
      <c r="AD51" s="2">
        <f t="shared" si="104"/>
        <v>0</v>
      </c>
      <c r="AE51" s="2">
        <f t="shared" si="104"/>
        <v>1</v>
      </c>
      <c r="AF51" s="2" t="s">
        <v>2409</v>
      </c>
    </row>
    <row r="52">
      <c r="A52" s="92" t="s">
        <v>668</v>
      </c>
      <c r="B52" s="64">
        <f>B50+1</f>
        <v>49</v>
      </c>
      <c r="C52" s="64">
        <v>49.0</v>
      </c>
      <c r="D52" s="64" t="str">
        <f t="shared" si="3"/>
        <v>CO4411249</v>
      </c>
      <c r="E52" s="159">
        <v>44112.0</v>
      </c>
      <c r="F52" s="2" t="s">
        <v>2421</v>
      </c>
      <c r="G52" s="2" t="s">
        <v>1503</v>
      </c>
      <c r="H52" s="2" t="s">
        <v>1503</v>
      </c>
      <c r="I52" s="2">
        <f t="shared" ref="I52:K52" si="105">If(Iserr(search(I$1,$H52)),0,1)</f>
        <v>0</v>
      </c>
      <c r="J52" s="2">
        <f t="shared" si="105"/>
        <v>0</v>
      </c>
      <c r="K52" s="2">
        <f t="shared" si="105"/>
        <v>0</v>
      </c>
      <c r="L52" s="2">
        <f t="shared" si="5"/>
        <v>0</v>
      </c>
      <c r="M52" s="2">
        <f t="shared" ref="M52:AE52" si="106">If(Iserr(search(M$1,$H52)),0,1)</f>
        <v>0</v>
      </c>
      <c r="N52" s="2">
        <f t="shared" si="106"/>
        <v>0</v>
      </c>
      <c r="O52" s="2">
        <f t="shared" si="106"/>
        <v>0</v>
      </c>
      <c r="P52" s="2">
        <f t="shared" si="106"/>
        <v>0</v>
      </c>
      <c r="Q52" s="2">
        <f t="shared" si="106"/>
        <v>0</v>
      </c>
      <c r="R52" s="2">
        <f t="shared" si="106"/>
        <v>0</v>
      </c>
      <c r="S52" s="2">
        <f t="shared" si="106"/>
        <v>0</v>
      </c>
      <c r="T52" s="2">
        <f t="shared" si="106"/>
        <v>0</v>
      </c>
      <c r="U52" s="2">
        <f t="shared" si="106"/>
        <v>0</v>
      </c>
      <c r="V52" s="2">
        <f t="shared" si="106"/>
        <v>0</v>
      </c>
      <c r="W52" s="2">
        <f t="shared" si="106"/>
        <v>0</v>
      </c>
      <c r="X52" s="2">
        <f t="shared" si="106"/>
        <v>0</v>
      </c>
      <c r="Y52" s="2">
        <f t="shared" si="106"/>
        <v>0</v>
      </c>
      <c r="Z52" s="2">
        <f t="shared" si="106"/>
        <v>0</v>
      </c>
      <c r="AA52" s="2">
        <f t="shared" si="106"/>
        <v>0</v>
      </c>
      <c r="AB52" s="2">
        <f t="shared" si="106"/>
        <v>0</v>
      </c>
      <c r="AC52" s="2">
        <f t="shared" si="106"/>
        <v>0</v>
      </c>
      <c r="AD52" s="2">
        <f t="shared" si="106"/>
        <v>0</v>
      </c>
      <c r="AE52" s="2">
        <f t="shared" si="106"/>
        <v>1</v>
      </c>
      <c r="AF52" s="2" t="s">
        <v>2426</v>
      </c>
    </row>
    <row r="53">
      <c r="A53" s="92" t="s">
        <v>668</v>
      </c>
      <c r="B53" s="64" t="s">
        <v>2428</v>
      </c>
      <c r="C53" s="64">
        <v>49.0</v>
      </c>
      <c r="D53" s="64" t="str">
        <f t="shared" si="3"/>
        <v>CO4411249b</v>
      </c>
      <c r="E53" s="159">
        <v>44112.0</v>
      </c>
      <c r="F53" s="163" t="s">
        <v>2429</v>
      </c>
      <c r="G53" s="2" t="s">
        <v>630</v>
      </c>
      <c r="H53" s="2" t="s">
        <v>630</v>
      </c>
      <c r="I53" s="2">
        <f t="shared" ref="I53:K53" si="107">If(Iserr(search(I$1,$H53)),0,1)</f>
        <v>0</v>
      </c>
      <c r="J53" s="2">
        <f t="shared" si="107"/>
        <v>0</v>
      </c>
      <c r="K53" s="2">
        <f t="shared" si="107"/>
        <v>0</v>
      </c>
      <c r="L53" s="2">
        <f t="shared" si="5"/>
        <v>0</v>
      </c>
      <c r="M53" s="2">
        <f t="shared" ref="M53:AE53" si="108">If(Iserr(search(M$1,$H53)),0,1)</f>
        <v>0</v>
      </c>
      <c r="N53" s="2">
        <f t="shared" si="108"/>
        <v>0</v>
      </c>
      <c r="O53" s="2">
        <f t="shared" si="108"/>
        <v>1</v>
      </c>
      <c r="P53" s="2">
        <f t="shared" si="108"/>
        <v>0</v>
      </c>
      <c r="Q53" s="2">
        <f t="shared" si="108"/>
        <v>0</v>
      </c>
      <c r="R53" s="2">
        <f t="shared" si="108"/>
        <v>0</v>
      </c>
      <c r="S53" s="2">
        <f t="shared" si="108"/>
        <v>0</v>
      </c>
      <c r="T53" s="2">
        <f t="shared" si="108"/>
        <v>0</v>
      </c>
      <c r="U53" s="2">
        <f t="shared" si="108"/>
        <v>0</v>
      </c>
      <c r="V53" s="2">
        <f t="shared" si="108"/>
        <v>0</v>
      </c>
      <c r="W53" s="2">
        <f t="shared" si="108"/>
        <v>0</v>
      </c>
      <c r="X53" s="2">
        <f t="shared" si="108"/>
        <v>0</v>
      </c>
      <c r="Y53" s="2">
        <f t="shared" si="108"/>
        <v>0</v>
      </c>
      <c r="Z53" s="2">
        <f t="shared" si="108"/>
        <v>0</v>
      </c>
      <c r="AA53" s="2">
        <f t="shared" si="108"/>
        <v>0</v>
      </c>
      <c r="AB53" s="2">
        <f t="shared" si="108"/>
        <v>0</v>
      </c>
      <c r="AC53" s="2">
        <f t="shared" si="108"/>
        <v>0</v>
      </c>
      <c r="AD53" s="2">
        <f t="shared" si="108"/>
        <v>0</v>
      </c>
      <c r="AE53" s="2">
        <f t="shared" si="108"/>
        <v>0</v>
      </c>
      <c r="AF53" s="2" t="s">
        <v>2426</v>
      </c>
    </row>
    <row r="54">
      <c r="A54" s="92" t="s">
        <v>673</v>
      </c>
      <c r="B54" s="64">
        <f>B52+1</f>
        <v>50</v>
      </c>
      <c r="C54" s="64">
        <v>50.0</v>
      </c>
      <c r="D54" s="64" t="str">
        <f t="shared" si="3"/>
        <v>CO4414050</v>
      </c>
      <c r="E54" s="159">
        <v>44140.0</v>
      </c>
      <c r="F54" s="2" t="s">
        <v>2438</v>
      </c>
      <c r="G54" s="2" t="s">
        <v>1503</v>
      </c>
      <c r="H54" s="2" t="s">
        <v>1503</v>
      </c>
      <c r="I54" s="2">
        <f t="shared" ref="I54:K54" si="109">If(Iserr(search(I$1,$H54)),0,1)</f>
        <v>0</v>
      </c>
      <c r="J54" s="2">
        <f t="shared" si="109"/>
        <v>0</v>
      </c>
      <c r="K54" s="2">
        <f t="shared" si="109"/>
        <v>0</v>
      </c>
      <c r="L54" s="2">
        <f t="shared" si="5"/>
        <v>0</v>
      </c>
      <c r="M54" s="2">
        <f t="shared" ref="M54:AE54" si="110">If(Iserr(search(M$1,$H54)),0,1)</f>
        <v>0</v>
      </c>
      <c r="N54" s="2">
        <f t="shared" si="110"/>
        <v>0</v>
      </c>
      <c r="O54" s="2">
        <f t="shared" si="110"/>
        <v>0</v>
      </c>
      <c r="P54" s="2">
        <f t="shared" si="110"/>
        <v>0</v>
      </c>
      <c r="Q54" s="2">
        <f t="shared" si="110"/>
        <v>0</v>
      </c>
      <c r="R54" s="2">
        <f t="shared" si="110"/>
        <v>0</v>
      </c>
      <c r="S54" s="2">
        <f t="shared" si="110"/>
        <v>0</v>
      </c>
      <c r="T54" s="2">
        <f t="shared" si="110"/>
        <v>0</v>
      </c>
      <c r="U54" s="2">
        <f t="shared" si="110"/>
        <v>0</v>
      </c>
      <c r="V54" s="2">
        <f t="shared" si="110"/>
        <v>0</v>
      </c>
      <c r="W54" s="2">
        <f t="shared" si="110"/>
        <v>0</v>
      </c>
      <c r="X54" s="2">
        <f t="shared" si="110"/>
        <v>0</v>
      </c>
      <c r="Y54" s="2">
        <f t="shared" si="110"/>
        <v>0</v>
      </c>
      <c r="Z54" s="2">
        <f t="shared" si="110"/>
        <v>0</v>
      </c>
      <c r="AA54" s="2">
        <f t="shared" si="110"/>
        <v>0</v>
      </c>
      <c r="AB54" s="2">
        <f t="shared" si="110"/>
        <v>0</v>
      </c>
      <c r="AC54" s="2">
        <f t="shared" si="110"/>
        <v>0</v>
      </c>
      <c r="AD54" s="2">
        <f t="shared" si="110"/>
        <v>0</v>
      </c>
      <c r="AE54" s="2">
        <f t="shared" si="110"/>
        <v>1</v>
      </c>
      <c r="AF54" s="2" t="s">
        <v>2448</v>
      </c>
    </row>
    <row r="55">
      <c r="A55" s="92" t="s">
        <v>687</v>
      </c>
      <c r="B55" s="64">
        <f t="shared" ref="B55:B58" si="113">B54+1</f>
        <v>51</v>
      </c>
      <c r="C55" s="64">
        <v>51.0</v>
      </c>
      <c r="D55" s="64" t="str">
        <f t="shared" si="3"/>
        <v>CO4420451</v>
      </c>
      <c r="E55" s="159">
        <v>44204.0</v>
      </c>
      <c r="F55" s="2" t="s">
        <v>2452</v>
      </c>
      <c r="G55" s="2" t="s">
        <v>1503</v>
      </c>
      <c r="H55" s="2" t="s">
        <v>1503</v>
      </c>
      <c r="I55" s="2">
        <f t="shared" ref="I55:K55" si="111">If(Iserr(search(I$1,$H55)),0,1)</f>
        <v>0</v>
      </c>
      <c r="J55" s="2">
        <f t="shared" si="111"/>
        <v>0</v>
      </c>
      <c r="K55" s="2">
        <f t="shared" si="111"/>
        <v>0</v>
      </c>
      <c r="L55" s="2">
        <f t="shared" si="5"/>
        <v>0</v>
      </c>
      <c r="M55" s="2">
        <f t="shared" ref="M55:AE55" si="112">If(Iserr(search(M$1,$H55)),0,1)</f>
        <v>0</v>
      </c>
      <c r="N55" s="2">
        <f t="shared" si="112"/>
        <v>0</v>
      </c>
      <c r="O55" s="2">
        <f t="shared" si="112"/>
        <v>0</v>
      </c>
      <c r="P55" s="2">
        <f t="shared" si="112"/>
        <v>0</v>
      </c>
      <c r="Q55" s="2">
        <f t="shared" si="112"/>
        <v>0</v>
      </c>
      <c r="R55" s="2">
        <f t="shared" si="112"/>
        <v>0</v>
      </c>
      <c r="S55" s="2">
        <f t="shared" si="112"/>
        <v>0</v>
      </c>
      <c r="T55" s="2">
        <f t="shared" si="112"/>
        <v>0</v>
      </c>
      <c r="U55" s="2">
        <f t="shared" si="112"/>
        <v>0</v>
      </c>
      <c r="V55" s="2">
        <f t="shared" si="112"/>
        <v>0</v>
      </c>
      <c r="W55" s="2">
        <f t="shared" si="112"/>
        <v>0</v>
      </c>
      <c r="X55" s="2">
        <f t="shared" si="112"/>
        <v>0</v>
      </c>
      <c r="Y55" s="2">
        <f t="shared" si="112"/>
        <v>0</v>
      </c>
      <c r="Z55" s="2">
        <f t="shared" si="112"/>
        <v>0</v>
      </c>
      <c r="AA55" s="2">
        <f t="shared" si="112"/>
        <v>0</v>
      </c>
      <c r="AB55" s="2">
        <f t="shared" si="112"/>
        <v>0</v>
      </c>
      <c r="AC55" s="2">
        <f t="shared" si="112"/>
        <v>0</v>
      </c>
      <c r="AD55" s="2">
        <f t="shared" si="112"/>
        <v>0</v>
      </c>
      <c r="AE55" s="2">
        <f t="shared" si="112"/>
        <v>1</v>
      </c>
      <c r="AF55" s="2" t="s">
        <v>2461</v>
      </c>
    </row>
    <row r="56">
      <c r="A56" s="92" t="s">
        <v>692</v>
      </c>
      <c r="B56" s="64">
        <f t="shared" si="113"/>
        <v>52</v>
      </c>
      <c r="C56" s="64">
        <v>52.0</v>
      </c>
      <c r="D56" s="64" t="str">
        <f t="shared" si="3"/>
        <v>CO4423752</v>
      </c>
      <c r="E56" s="159">
        <v>44237.0</v>
      </c>
      <c r="F56" s="2" t="s">
        <v>2467</v>
      </c>
      <c r="G56" s="2" t="s">
        <v>1492</v>
      </c>
      <c r="H56" s="2" t="s">
        <v>1492</v>
      </c>
      <c r="I56" s="2">
        <f t="shared" ref="I56:K56" si="114">If(Iserr(search(I$1,$H56)),0,1)</f>
        <v>0</v>
      </c>
      <c r="J56" s="2">
        <f t="shared" si="114"/>
        <v>0</v>
      </c>
      <c r="K56" s="2">
        <f t="shared" si="114"/>
        <v>1</v>
      </c>
      <c r="L56" s="2">
        <f t="shared" si="5"/>
        <v>0</v>
      </c>
      <c r="M56" s="2">
        <f t="shared" ref="M56:AE56" si="115">If(Iserr(search(M$1,$H56)),0,1)</f>
        <v>0</v>
      </c>
      <c r="N56" s="2">
        <f t="shared" si="115"/>
        <v>0</v>
      </c>
      <c r="O56" s="2">
        <f t="shared" si="115"/>
        <v>0</v>
      </c>
      <c r="P56" s="2">
        <f t="shared" si="115"/>
        <v>0</v>
      </c>
      <c r="Q56" s="2">
        <f t="shared" si="115"/>
        <v>0</v>
      </c>
      <c r="R56" s="2">
        <f t="shared" si="115"/>
        <v>0</v>
      </c>
      <c r="S56" s="2">
        <f t="shared" si="115"/>
        <v>0</v>
      </c>
      <c r="T56" s="2">
        <f t="shared" si="115"/>
        <v>0</v>
      </c>
      <c r="U56" s="2">
        <f t="shared" si="115"/>
        <v>0</v>
      </c>
      <c r="V56" s="2">
        <f t="shared" si="115"/>
        <v>0</v>
      </c>
      <c r="W56" s="2">
        <f t="shared" si="115"/>
        <v>0</v>
      </c>
      <c r="X56" s="2">
        <f t="shared" si="115"/>
        <v>0</v>
      </c>
      <c r="Y56" s="2">
        <f t="shared" si="115"/>
        <v>0</v>
      </c>
      <c r="Z56" s="2">
        <f t="shared" si="115"/>
        <v>0</v>
      </c>
      <c r="AA56" s="2">
        <f t="shared" si="115"/>
        <v>0</v>
      </c>
      <c r="AB56" s="2">
        <f t="shared" si="115"/>
        <v>0</v>
      </c>
      <c r="AC56" s="2">
        <f t="shared" si="115"/>
        <v>0</v>
      </c>
      <c r="AD56" s="2">
        <f t="shared" si="115"/>
        <v>0</v>
      </c>
      <c r="AE56" s="2">
        <f t="shared" si="115"/>
        <v>0</v>
      </c>
      <c r="AF56" s="2" t="s">
        <v>2478</v>
      </c>
    </row>
    <row r="57">
      <c r="A57" s="92" t="s">
        <v>706</v>
      </c>
      <c r="B57" s="64">
        <f t="shared" si="113"/>
        <v>53</v>
      </c>
      <c r="C57" s="64">
        <v>53.0</v>
      </c>
      <c r="D57" s="64" t="str">
        <f t="shared" si="3"/>
        <v>CO4428653</v>
      </c>
      <c r="E57" s="159">
        <v>44286.0</v>
      </c>
      <c r="F57" s="2" t="s">
        <v>2484</v>
      </c>
      <c r="G57" s="2" t="s">
        <v>288</v>
      </c>
      <c r="H57" s="2" t="s">
        <v>291</v>
      </c>
      <c r="I57" s="2">
        <f t="shared" ref="I57:K57" si="116">If(Iserr(search(I$1,$H57)),0,1)</f>
        <v>0</v>
      </c>
      <c r="J57" s="2">
        <f t="shared" si="116"/>
        <v>0</v>
      </c>
      <c r="K57" s="2">
        <f t="shared" si="116"/>
        <v>0</v>
      </c>
      <c r="L57" s="2">
        <f t="shared" si="5"/>
        <v>1</v>
      </c>
      <c r="M57" s="2">
        <f t="shared" ref="M57:AE57" si="117">If(Iserr(search(M$1,$H57)),0,1)</f>
        <v>1</v>
      </c>
      <c r="N57" s="2">
        <f t="shared" si="117"/>
        <v>0</v>
      </c>
      <c r="O57" s="2">
        <f t="shared" si="117"/>
        <v>0</v>
      </c>
      <c r="P57" s="2">
        <f t="shared" si="117"/>
        <v>0</v>
      </c>
      <c r="Q57" s="2">
        <f t="shared" si="117"/>
        <v>0</v>
      </c>
      <c r="R57" s="2">
        <f t="shared" si="117"/>
        <v>0</v>
      </c>
      <c r="S57" s="2">
        <f t="shared" si="117"/>
        <v>0</v>
      </c>
      <c r="T57" s="2">
        <f t="shared" si="117"/>
        <v>0</v>
      </c>
      <c r="U57" s="2">
        <f t="shared" si="117"/>
        <v>0</v>
      </c>
      <c r="V57" s="2">
        <f t="shared" si="117"/>
        <v>0</v>
      </c>
      <c r="W57" s="2">
        <f t="shared" si="117"/>
        <v>0</v>
      </c>
      <c r="X57" s="2">
        <f t="shared" si="117"/>
        <v>0</v>
      </c>
      <c r="Y57" s="2">
        <f t="shared" si="117"/>
        <v>0</v>
      </c>
      <c r="Z57" s="2">
        <f t="shared" si="117"/>
        <v>0</v>
      </c>
      <c r="AA57" s="2">
        <f t="shared" si="117"/>
        <v>0</v>
      </c>
      <c r="AB57" s="2">
        <f t="shared" si="117"/>
        <v>0</v>
      </c>
      <c r="AC57" s="2">
        <f t="shared" si="117"/>
        <v>0</v>
      </c>
      <c r="AD57" s="2">
        <f t="shared" si="117"/>
        <v>0</v>
      </c>
      <c r="AE57" s="2">
        <f t="shared" si="117"/>
        <v>0</v>
      </c>
      <c r="AF57" s="2" t="s">
        <v>2490</v>
      </c>
    </row>
    <row r="58">
      <c r="A58" s="92" t="s">
        <v>713</v>
      </c>
      <c r="B58" s="64">
        <f t="shared" si="113"/>
        <v>54</v>
      </c>
      <c r="C58" s="64">
        <v>54.0</v>
      </c>
      <c r="D58" s="64" t="str">
        <f t="shared" si="3"/>
        <v>CO4430554</v>
      </c>
      <c r="E58" s="159">
        <v>44305.0</v>
      </c>
      <c r="F58" s="2" t="s">
        <v>2493</v>
      </c>
      <c r="G58" s="2" t="s">
        <v>1503</v>
      </c>
      <c r="H58" s="2" t="s">
        <v>1503</v>
      </c>
      <c r="I58" s="2">
        <f t="shared" ref="I58:K58" si="118">If(Iserr(search(I$1,$H58)),0,1)</f>
        <v>0</v>
      </c>
      <c r="J58" s="2">
        <f t="shared" si="118"/>
        <v>0</v>
      </c>
      <c r="K58" s="2">
        <f t="shared" si="118"/>
        <v>0</v>
      </c>
      <c r="L58" s="2">
        <f t="shared" si="5"/>
        <v>0</v>
      </c>
      <c r="M58" s="2">
        <f t="shared" ref="M58:AE58" si="119">If(Iserr(search(M$1,$H58)),0,1)</f>
        <v>0</v>
      </c>
      <c r="N58" s="2">
        <f t="shared" si="119"/>
        <v>0</v>
      </c>
      <c r="O58" s="2">
        <f t="shared" si="119"/>
        <v>0</v>
      </c>
      <c r="P58" s="2">
        <f t="shared" si="119"/>
        <v>0</v>
      </c>
      <c r="Q58" s="2">
        <f t="shared" si="119"/>
        <v>0</v>
      </c>
      <c r="R58" s="2">
        <f t="shared" si="119"/>
        <v>0</v>
      </c>
      <c r="S58" s="2">
        <f t="shared" si="119"/>
        <v>0</v>
      </c>
      <c r="T58" s="2">
        <f t="shared" si="119"/>
        <v>0</v>
      </c>
      <c r="U58" s="2">
        <f t="shared" si="119"/>
        <v>0</v>
      </c>
      <c r="V58" s="2">
        <f t="shared" si="119"/>
        <v>0</v>
      </c>
      <c r="W58" s="2">
        <f t="shared" si="119"/>
        <v>0</v>
      </c>
      <c r="X58" s="2">
        <f t="shared" si="119"/>
        <v>0</v>
      </c>
      <c r="Y58" s="2">
        <f t="shared" si="119"/>
        <v>0</v>
      </c>
      <c r="Z58" s="2">
        <f t="shared" si="119"/>
        <v>0</v>
      </c>
      <c r="AA58" s="2">
        <f t="shared" si="119"/>
        <v>0</v>
      </c>
      <c r="AB58" s="2">
        <f t="shared" si="119"/>
        <v>0</v>
      </c>
      <c r="AC58" s="2">
        <f t="shared" si="119"/>
        <v>0</v>
      </c>
      <c r="AD58" s="2">
        <f t="shared" si="119"/>
        <v>0</v>
      </c>
      <c r="AE58" s="2">
        <f t="shared" si="119"/>
        <v>1</v>
      </c>
      <c r="AF58" s="2" t="s">
        <v>2501</v>
      </c>
    </row>
    <row r="59">
      <c r="A59" s="92" t="s">
        <v>713</v>
      </c>
      <c r="B59" s="64" t="s">
        <v>2503</v>
      </c>
      <c r="C59" s="64">
        <v>54.0</v>
      </c>
      <c r="D59" s="64" t="str">
        <f t="shared" si="3"/>
        <v>CO4430554b</v>
      </c>
      <c r="E59" s="159">
        <v>44305.0</v>
      </c>
      <c r="F59" s="2" t="s">
        <v>393</v>
      </c>
      <c r="G59" s="2" t="s">
        <v>288</v>
      </c>
      <c r="H59" s="2" t="s">
        <v>389</v>
      </c>
      <c r="I59" s="2">
        <f t="shared" ref="I59:K59" si="120">If(Iserr(search(I$1,$H59)),0,1)</f>
        <v>0</v>
      </c>
      <c r="J59" s="2">
        <f t="shared" si="120"/>
        <v>0</v>
      </c>
      <c r="K59" s="2">
        <f t="shared" si="120"/>
        <v>0</v>
      </c>
      <c r="L59" s="2">
        <f t="shared" si="5"/>
        <v>1</v>
      </c>
      <c r="M59" s="2">
        <f t="shared" ref="M59:AE59" si="121">If(Iserr(search(M$1,$H59)),0,1)</f>
        <v>0</v>
      </c>
      <c r="N59" s="2">
        <f t="shared" si="121"/>
        <v>0</v>
      </c>
      <c r="O59" s="2">
        <f t="shared" si="121"/>
        <v>0</v>
      </c>
      <c r="P59" s="2">
        <f t="shared" si="121"/>
        <v>0</v>
      </c>
      <c r="Q59" s="2">
        <f t="shared" si="121"/>
        <v>0</v>
      </c>
      <c r="R59" s="2">
        <f t="shared" si="121"/>
        <v>0</v>
      </c>
      <c r="S59" s="2">
        <f t="shared" si="121"/>
        <v>0</v>
      </c>
      <c r="T59" s="2">
        <f t="shared" si="121"/>
        <v>0</v>
      </c>
      <c r="U59" s="2">
        <f t="shared" si="121"/>
        <v>0</v>
      </c>
      <c r="V59" s="2">
        <f t="shared" si="121"/>
        <v>0</v>
      </c>
      <c r="W59" s="2">
        <f t="shared" si="121"/>
        <v>0</v>
      </c>
      <c r="X59" s="2">
        <f t="shared" si="121"/>
        <v>0</v>
      </c>
      <c r="Y59" s="2">
        <f t="shared" si="121"/>
        <v>0</v>
      </c>
      <c r="Z59" s="2">
        <f t="shared" si="121"/>
        <v>0</v>
      </c>
      <c r="AA59" s="2">
        <f t="shared" si="121"/>
        <v>0</v>
      </c>
      <c r="AB59" s="2">
        <f t="shared" si="121"/>
        <v>0</v>
      </c>
      <c r="AC59" s="2">
        <f t="shared" si="121"/>
        <v>0</v>
      </c>
      <c r="AD59" s="2">
        <f t="shared" si="121"/>
        <v>0</v>
      </c>
      <c r="AE59" s="2">
        <f t="shared" si="121"/>
        <v>0</v>
      </c>
      <c r="AF59" s="2" t="s">
        <v>2501</v>
      </c>
    </row>
    <row r="60">
      <c r="A60" s="92" t="s">
        <v>758</v>
      </c>
      <c r="B60" s="64">
        <f>B58+1</f>
        <v>55</v>
      </c>
      <c r="C60" s="64">
        <v>55.0</v>
      </c>
      <c r="D60" s="64" t="str">
        <f t="shared" si="3"/>
        <v>CO4448455</v>
      </c>
      <c r="E60" s="159">
        <v>44484.0</v>
      </c>
      <c r="F60" s="2" t="s">
        <v>2438</v>
      </c>
      <c r="G60" s="2" t="s">
        <v>1503</v>
      </c>
      <c r="H60" s="2" t="s">
        <v>1503</v>
      </c>
      <c r="I60" s="2">
        <f t="shared" ref="I60:K60" si="122">If(Iserr(search(I$1,$H60)),0,1)</f>
        <v>0</v>
      </c>
      <c r="J60" s="2">
        <f t="shared" si="122"/>
        <v>0</v>
      </c>
      <c r="K60" s="2">
        <f t="shared" si="122"/>
        <v>0</v>
      </c>
      <c r="L60" s="2">
        <f t="shared" si="5"/>
        <v>0</v>
      </c>
      <c r="M60" s="2">
        <f t="shared" ref="M60:AE60" si="123">If(Iserr(search(M$1,$H60)),0,1)</f>
        <v>0</v>
      </c>
      <c r="N60" s="2">
        <f t="shared" si="123"/>
        <v>0</v>
      </c>
      <c r="O60" s="2">
        <f t="shared" si="123"/>
        <v>0</v>
      </c>
      <c r="P60" s="2">
        <f t="shared" si="123"/>
        <v>0</v>
      </c>
      <c r="Q60" s="2">
        <f t="shared" si="123"/>
        <v>0</v>
      </c>
      <c r="R60" s="2">
        <f t="shared" si="123"/>
        <v>0</v>
      </c>
      <c r="S60" s="2">
        <f t="shared" si="123"/>
        <v>0</v>
      </c>
      <c r="T60" s="2">
        <f t="shared" si="123"/>
        <v>0</v>
      </c>
      <c r="U60" s="2">
        <f t="shared" si="123"/>
        <v>0</v>
      </c>
      <c r="V60" s="2">
        <f t="shared" si="123"/>
        <v>0</v>
      </c>
      <c r="W60" s="2">
        <f t="shared" si="123"/>
        <v>0</v>
      </c>
      <c r="X60" s="2">
        <f t="shared" si="123"/>
        <v>0</v>
      </c>
      <c r="Y60" s="2">
        <f t="shared" si="123"/>
        <v>0</v>
      </c>
      <c r="Z60" s="2">
        <f t="shared" si="123"/>
        <v>0</v>
      </c>
      <c r="AA60" s="2">
        <f t="shared" si="123"/>
        <v>0</v>
      </c>
      <c r="AB60" s="2">
        <f t="shared" si="123"/>
        <v>0</v>
      </c>
      <c r="AC60" s="2">
        <f t="shared" si="123"/>
        <v>0</v>
      </c>
      <c r="AD60" s="2">
        <f t="shared" si="123"/>
        <v>0</v>
      </c>
      <c r="AE60" s="2">
        <f t="shared" si="123"/>
        <v>1</v>
      </c>
      <c r="AF60" s="2" t="s">
        <v>2523</v>
      </c>
    </row>
    <row r="61">
      <c r="A61" s="92" t="s">
        <v>758</v>
      </c>
      <c r="B61" s="64" t="s">
        <v>2524</v>
      </c>
      <c r="C61" s="64">
        <v>55.0</v>
      </c>
      <c r="D61" s="64" t="str">
        <f t="shared" si="3"/>
        <v>CO4448455b</v>
      </c>
      <c r="E61" s="159">
        <v>44484.0</v>
      </c>
      <c r="F61" s="2" t="s">
        <v>2526</v>
      </c>
      <c r="G61" s="2" t="s">
        <v>2527</v>
      </c>
      <c r="H61" s="2" t="s">
        <v>2527</v>
      </c>
      <c r="I61" s="2">
        <f t="shared" ref="I61:K61" si="124">If(Iserr(search(I$1,$H61)),0,1)</f>
        <v>0</v>
      </c>
      <c r="J61" s="2">
        <f t="shared" si="124"/>
        <v>0</v>
      </c>
      <c r="K61" s="2">
        <f t="shared" si="124"/>
        <v>0</v>
      </c>
      <c r="L61" s="2">
        <f t="shared" si="5"/>
        <v>0</v>
      </c>
      <c r="M61" s="2">
        <f t="shared" ref="M61:AE61" si="125">If(Iserr(search(M$1,$H61)),0,1)</f>
        <v>0</v>
      </c>
      <c r="N61" s="2">
        <f t="shared" si="125"/>
        <v>0</v>
      </c>
      <c r="O61" s="2">
        <f t="shared" si="125"/>
        <v>0</v>
      </c>
      <c r="P61" s="2">
        <f t="shared" si="125"/>
        <v>0</v>
      </c>
      <c r="Q61" s="2">
        <f t="shared" si="125"/>
        <v>0</v>
      </c>
      <c r="R61" s="2">
        <f t="shared" si="125"/>
        <v>0</v>
      </c>
      <c r="S61" s="2">
        <f t="shared" si="125"/>
        <v>0</v>
      </c>
      <c r="T61" s="2">
        <f t="shared" si="125"/>
        <v>0</v>
      </c>
      <c r="U61" s="2">
        <f t="shared" si="125"/>
        <v>0</v>
      </c>
      <c r="V61" s="2">
        <f t="shared" si="125"/>
        <v>0</v>
      </c>
      <c r="W61" s="2">
        <f t="shared" si="125"/>
        <v>0</v>
      </c>
      <c r="X61" s="2">
        <f t="shared" si="125"/>
        <v>0</v>
      </c>
      <c r="Y61" s="2">
        <f t="shared" si="125"/>
        <v>0</v>
      </c>
      <c r="Z61" s="2">
        <f t="shared" si="125"/>
        <v>0</v>
      </c>
      <c r="AA61" s="2">
        <f t="shared" si="125"/>
        <v>0</v>
      </c>
      <c r="AB61" s="2">
        <f t="shared" si="125"/>
        <v>0</v>
      </c>
      <c r="AC61" s="2">
        <f t="shared" si="125"/>
        <v>0</v>
      </c>
      <c r="AD61" s="2">
        <f t="shared" si="125"/>
        <v>0</v>
      </c>
      <c r="AE61" s="2">
        <f t="shared" si="125"/>
        <v>0</v>
      </c>
      <c r="AF61" s="2" t="s">
        <v>2523</v>
      </c>
    </row>
    <row r="62">
      <c r="A62" s="92" t="s">
        <v>758</v>
      </c>
      <c r="B62" s="64" t="s">
        <v>2537</v>
      </c>
      <c r="C62" s="64">
        <v>56.0</v>
      </c>
      <c r="D62" s="64" t="str">
        <f t="shared" si="3"/>
        <v>CO4448455c</v>
      </c>
      <c r="E62" s="159">
        <v>44484.0</v>
      </c>
      <c r="F62" s="2" t="s">
        <v>536</v>
      </c>
      <c r="G62" s="2" t="s">
        <v>1488</v>
      </c>
      <c r="H62" s="2" t="s">
        <v>1488</v>
      </c>
      <c r="I62" s="2">
        <f t="shared" ref="I62:K62" si="126">If(Iserr(search(I$1,$H62)),0,1)</f>
        <v>0</v>
      </c>
      <c r="J62" s="2">
        <f t="shared" si="126"/>
        <v>1</v>
      </c>
      <c r="K62" s="2">
        <f t="shared" si="126"/>
        <v>0</v>
      </c>
      <c r="L62" s="2">
        <f t="shared" si="5"/>
        <v>0</v>
      </c>
      <c r="M62" s="2">
        <f t="shared" ref="M62:AE62" si="127">If(Iserr(search(M$1,$H62)),0,1)</f>
        <v>0</v>
      </c>
      <c r="N62" s="2">
        <f t="shared" si="127"/>
        <v>0</v>
      </c>
      <c r="O62" s="2">
        <f t="shared" si="127"/>
        <v>0</v>
      </c>
      <c r="P62" s="2">
        <f t="shared" si="127"/>
        <v>0</v>
      </c>
      <c r="Q62" s="2">
        <f t="shared" si="127"/>
        <v>0</v>
      </c>
      <c r="R62" s="2">
        <f t="shared" si="127"/>
        <v>0</v>
      </c>
      <c r="S62" s="2">
        <f t="shared" si="127"/>
        <v>0</v>
      </c>
      <c r="T62" s="2">
        <f t="shared" si="127"/>
        <v>0</v>
      </c>
      <c r="U62" s="2">
        <f t="shared" si="127"/>
        <v>0</v>
      </c>
      <c r="V62" s="2">
        <f t="shared" si="127"/>
        <v>0</v>
      </c>
      <c r="W62" s="2">
        <f t="shared" si="127"/>
        <v>0</v>
      </c>
      <c r="X62" s="2">
        <f t="shared" si="127"/>
        <v>0</v>
      </c>
      <c r="Y62" s="2">
        <f t="shared" si="127"/>
        <v>0</v>
      </c>
      <c r="Z62" s="2">
        <f t="shared" si="127"/>
        <v>0</v>
      </c>
      <c r="AA62" s="2">
        <f t="shared" si="127"/>
        <v>0</v>
      </c>
      <c r="AB62" s="2">
        <f t="shared" si="127"/>
        <v>0</v>
      </c>
      <c r="AC62" s="2">
        <f t="shared" si="127"/>
        <v>0</v>
      </c>
      <c r="AD62" s="2">
        <f t="shared" si="127"/>
        <v>0</v>
      </c>
      <c r="AE62" s="2">
        <f t="shared" si="127"/>
        <v>0</v>
      </c>
      <c r="AF62" s="2" t="s">
        <v>2523</v>
      </c>
    </row>
    <row r="63">
      <c r="A63" s="92" t="s">
        <v>776</v>
      </c>
      <c r="B63" s="64">
        <f>B60+1</f>
        <v>56</v>
      </c>
      <c r="C63" s="64">
        <v>56.0</v>
      </c>
      <c r="D63" s="64" t="str">
        <f t="shared" si="3"/>
        <v>CO4451856</v>
      </c>
      <c r="E63" s="159">
        <v>44518.0</v>
      </c>
      <c r="F63" s="2" t="s">
        <v>2552</v>
      </c>
      <c r="G63" s="2" t="s">
        <v>288</v>
      </c>
      <c r="H63" s="2" t="s">
        <v>410</v>
      </c>
      <c r="I63" s="2">
        <f t="shared" ref="I63:K63" si="128">If(Iserr(search(I$1,$H63)),0,1)</f>
        <v>0</v>
      </c>
      <c r="J63" s="2">
        <f t="shared" si="128"/>
        <v>0</v>
      </c>
      <c r="K63" s="2">
        <f t="shared" si="128"/>
        <v>0</v>
      </c>
      <c r="L63" s="2">
        <f t="shared" si="5"/>
        <v>1</v>
      </c>
      <c r="M63" s="2">
        <f t="shared" ref="M63:AE63" si="129">If(Iserr(search(M$1,$H63)),0,1)</f>
        <v>0</v>
      </c>
      <c r="N63" s="2">
        <f t="shared" si="129"/>
        <v>1</v>
      </c>
      <c r="O63" s="2">
        <f t="shared" si="129"/>
        <v>0</v>
      </c>
      <c r="P63" s="2">
        <f t="shared" si="129"/>
        <v>0</v>
      </c>
      <c r="Q63" s="2">
        <f t="shared" si="129"/>
        <v>0</v>
      </c>
      <c r="R63" s="2">
        <f t="shared" si="129"/>
        <v>0</v>
      </c>
      <c r="S63" s="2">
        <f t="shared" si="129"/>
        <v>0</v>
      </c>
      <c r="T63" s="2">
        <f t="shared" si="129"/>
        <v>0</v>
      </c>
      <c r="U63" s="2">
        <f t="shared" si="129"/>
        <v>0</v>
      </c>
      <c r="V63" s="2">
        <f t="shared" si="129"/>
        <v>0</v>
      </c>
      <c r="W63" s="2">
        <f t="shared" si="129"/>
        <v>0</v>
      </c>
      <c r="X63" s="2">
        <f t="shared" si="129"/>
        <v>0</v>
      </c>
      <c r="Y63" s="2">
        <f t="shared" si="129"/>
        <v>0</v>
      </c>
      <c r="Z63" s="2">
        <f t="shared" si="129"/>
        <v>0</v>
      </c>
      <c r="AA63" s="2">
        <f t="shared" si="129"/>
        <v>0</v>
      </c>
      <c r="AB63" s="2">
        <f t="shared" si="129"/>
        <v>0</v>
      </c>
      <c r="AC63" s="2">
        <f t="shared" si="129"/>
        <v>0</v>
      </c>
      <c r="AD63" s="2">
        <f t="shared" si="129"/>
        <v>0</v>
      </c>
      <c r="AE63" s="2">
        <f t="shared" si="129"/>
        <v>0</v>
      </c>
      <c r="AF63" s="2" t="s">
        <v>2561</v>
      </c>
    </row>
    <row r="64">
      <c r="A64" s="92" t="s">
        <v>781</v>
      </c>
      <c r="B64" s="64">
        <f>B63+1</f>
        <v>57</v>
      </c>
      <c r="C64" s="64">
        <v>57.0</v>
      </c>
      <c r="D64" s="64" t="str">
        <f t="shared" si="3"/>
        <v>CO4453857</v>
      </c>
      <c r="E64" s="165">
        <v>44538.0</v>
      </c>
      <c r="F64" s="2" t="s">
        <v>2567</v>
      </c>
      <c r="G64" s="2" t="s">
        <v>18</v>
      </c>
      <c r="H64" s="2" t="s">
        <v>175</v>
      </c>
      <c r="I64" s="2">
        <f t="shared" ref="I64:K64" si="130">If(Iserr(search(I$1,$H64)),0,1)</f>
        <v>0</v>
      </c>
      <c r="J64" s="2">
        <f t="shared" si="130"/>
        <v>0</v>
      </c>
      <c r="K64" s="2">
        <f t="shared" si="130"/>
        <v>0</v>
      </c>
      <c r="L64" s="2">
        <f t="shared" si="5"/>
        <v>0</v>
      </c>
      <c r="M64" s="2">
        <f t="shared" ref="M64:AE64" si="131">If(Iserr(search(M$1,$H64)),0,1)</f>
        <v>0</v>
      </c>
      <c r="N64" s="2">
        <f t="shared" si="131"/>
        <v>0</v>
      </c>
      <c r="O64" s="2">
        <f t="shared" si="131"/>
        <v>0</v>
      </c>
      <c r="P64" s="2">
        <f t="shared" si="131"/>
        <v>0</v>
      </c>
      <c r="Q64" s="2">
        <f t="shared" si="131"/>
        <v>0</v>
      </c>
      <c r="R64" s="2">
        <f t="shared" si="131"/>
        <v>0</v>
      </c>
      <c r="S64" s="2">
        <f t="shared" si="131"/>
        <v>0</v>
      </c>
      <c r="T64" s="2">
        <f t="shared" si="131"/>
        <v>0</v>
      </c>
      <c r="U64" s="2">
        <f t="shared" si="131"/>
        <v>0</v>
      </c>
      <c r="V64" s="2">
        <f t="shared" si="131"/>
        <v>0</v>
      </c>
      <c r="W64" s="2">
        <f t="shared" si="131"/>
        <v>0</v>
      </c>
      <c r="X64" s="2">
        <f t="shared" si="131"/>
        <v>1</v>
      </c>
      <c r="Y64" s="2">
        <f t="shared" si="131"/>
        <v>0</v>
      </c>
      <c r="Z64" s="2">
        <f t="shared" si="131"/>
        <v>0</v>
      </c>
      <c r="AA64" s="2">
        <f t="shared" si="131"/>
        <v>0</v>
      </c>
      <c r="AB64" s="2">
        <f t="shared" si="131"/>
        <v>0</v>
      </c>
      <c r="AC64" s="2">
        <f t="shared" si="131"/>
        <v>0</v>
      </c>
      <c r="AD64" s="2">
        <f t="shared" si="131"/>
        <v>0</v>
      </c>
      <c r="AE64" s="2">
        <f t="shared" si="131"/>
        <v>0</v>
      </c>
      <c r="AF64" s="2" t="s">
        <v>2576</v>
      </c>
      <c r="AG64" s="2" t="s">
        <v>2577</v>
      </c>
    </row>
    <row r="65">
      <c r="A65" s="92" t="s">
        <v>781</v>
      </c>
      <c r="B65" s="64" t="s">
        <v>2579</v>
      </c>
      <c r="C65" s="64">
        <v>57.0</v>
      </c>
      <c r="D65" s="64" t="str">
        <f t="shared" si="3"/>
        <v>CO4453857b</v>
      </c>
      <c r="E65" s="165">
        <v>44538.0</v>
      </c>
      <c r="F65" s="2" t="s">
        <v>2581</v>
      </c>
      <c r="G65" s="2" t="s">
        <v>18</v>
      </c>
      <c r="H65" s="2" t="s">
        <v>175</v>
      </c>
      <c r="I65" s="2">
        <f t="shared" ref="I65:K65" si="132">If(Iserr(search(I$1,$H65)),0,1)</f>
        <v>0</v>
      </c>
      <c r="J65" s="2">
        <f t="shared" si="132"/>
        <v>0</v>
      </c>
      <c r="K65" s="2">
        <f t="shared" si="132"/>
        <v>0</v>
      </c>
      <c r="L65" s="2">
        <f t="shared" si="5"/>
        <v>0</v>
      </c>
      <c r="M65" s="2">
        <f t="shared" ref="M65:AE65" si="133">If(Iserr(search(M$1,$H65)),0,1)</f>
        <v>0</v>
      </c>
      <c r="N65" s="2">
        <f t="shared" si="133"/>
        <v>0</v>
      </c>
      <c r="O65" s="2">
        <f t="shared" si="133"/>
        <v>0</v>
      </c>
      <c r="P65" s="2">
        <f t="shared" si="133"/>
        <v>0</v>
      </c>
      <c r="Q65" s="2">
        <f t="shared" si="133"/>
        <v>0</v>
      </c>
      <c r="R65" s="2">
        <f t="shared" si="133"/>
        <v>0</v>
      </c>
      <c r="S65" s="2">
        <f t="shared" si="133"/>
        <v>0</v>
      </c>
      <c r="T65" s="2">
        <f t="shared" si="133"/>
        <v>0</v>
      </c>
      <c r="U65" s="2">
        <f t="shared" si="133"/>
        <v>0</v>
      </c>
      <c r="V65" s="2">
        <f t="shared" si="133"/>
        <v>0</v>
      </c>
      <c r="W65" s="2">
        <f t="shared" si="133"/>
        <v>0</v>
      </c>
      <c r="X65" s="2">
        <f t="shared" si="133"/>
        <v>1</v>
      </c>
      <c r="Y65" s="2">
        <f t="shared" si="133"/>
        <v>0</v>
      </c>
      <c r="Z65" s="2">
        <f t="shared" si="133"/>
        <v>0</v>
      </c>
      <c r="AA65" s="2">
        <f t="shared" si="133"/>
        <v>0</v>
      </c>
      <c r="AB65" s="2">
        <f t="shared" si="133"/>
        <v>0</v>
      </c>
      <c r="AC65" s="2">
        <f t="shared" si="133"/>
        <v>0</v>
      </c>
      <c r="AD65" s="2">
        <f t="shared" si="133"/>
        <v>0</v>
      </c>
      <c r="AE65" s="2">
        <f t="shared" si="133"/>
        <v>0</v>
      </c>
    </row>
    <row r="66">
      <c r="A66" s="92" t="s">
        <v>792</v>
      </c>
      <c r="B66" s="64">
        <f>B64+1</f>
        <v>58</v>
      </c>
      <c r="C66" s="64">
        <v>58.0</v>
      </c>
      <c r="D66" s="64" t="str">
        <f t="shared" si="3"/>
        <v>CO4454458</v>
      </c>
      <c r="E66" s="159">
        <v>44544.0</v>
      </c>
      <c r="F66" s="2" t="s">
        <v>2593</v>
      </c>
      <c r="G66" s="2" t="s">
        <v>2595</v>
      </c>
      <c r="H66" s="2" t="s">
        <v>2595</v>
      </c>
      <c r="I66" s="2">
        <f t="shared" ref="I66:K66" si="134">If(Iserr(search(I$1,$H66)),0,1)</f>
        <v>0</v>
      </c>
      <c r="J66" s="2">
        <f t="shared" si="134"/>
        <v>0</v>
      </c>
      <c r="K66" s="2">
        <f t="shared" si="134"/>
        <v>1</v>
      </c>
      <c r="L66" s="2">
        <f t="shared" si="5"/>
        <v>0</v>
      </c>
      <c r="M66" s="2">
        <f t="shared" ref="M66:AE66" si="135">If(Iserr(search(M$1,$H66)),0,1)</f>
        <v>0</v>
      </c>
      <c r="N66" s="2">
        <f t="shared" si="135"/>
        <v>0</v>
      </c>
      <c r="O66" s="2">
        <f t="shared" si="135"/>
        <v>0</v>
      </c>
      <c r="P66" s="2">
        <f t="shared" si="135"/>
        <v>0</v>
      </c>
      <c r="Q66" s="2">
        <f t="shared" si="135"/>
        <v>0</v>
      </c>
      <c r="R66" s="2">
        <f t="shared" si="135"/>
        <v>0</v>
      </c>
      <c r="S66" s="2">
        <f t="shared" si="135"/>
        <v>0</v>
      </c>
      <c r="T66" s="2">
        <f t="shared" si="135"/>
        <v>0</v>
      </c>
      <c r="U66" s="2">
        <f t="shared" si="135"/>
        <v>0</v>
      </c>
      <c r="V66" s="2">
        <f t="shared" si="135"/>
        <v>0</v>
      </c>
      <c r="W66" s="2">
        <f t="shared" si="135"/>
        <v>0</v>
      </c>
      <c r="X66" s="2">
        <f t="shared" si="135"/>
        <v>0</v>
      </c>
      <c r="Y66" s="2">
        <f t="shared" si="135"/>
        <v>0</v>
      </c>
      <c r="Z66" s="2">
        <f t="shared" si="135"/>
        <v>0</v>
      </c>
      <c r="AA66" s="2">
        <f t="shared" si="135"/>
        <v>0</v>
      </c>
      <c r="AB66" s="2">
        <f t="shared" si="135"/>
        <v>0</v>
      </c>
      <c r="AC66" s="2">
        <f t="shared" si="135"/>
        <v>0</v>
      </c>
      <c r="AD66" s="2">
        <f t="shared" si="135"/>
        <v>0</v>
      </c>
      <c r="AE66" s="2">
        <f t="shared" si="135"/>
        <v>0</v>
      </c>
      <c r="AF66" s="2" t="s">
        <v>2603</v>
      </c>
    </row>
    <row r="67">
      <c r="A67" s="92" t="s">
        <v>800</v>
      </c>
      <c r="B67" s="64">
        <f>B66+1</f>
        <v>59</v>
      </c>
      <c r="C67" s="64">
        <v>59.0</v>
      </c>
      <c r="D67" s="64" t="str">
        <f t="shared" si="3"/>
        <v>CO4459459</v>
      </c>
      <c r="E67" s="159">
        <v>44594.0</v>
      </c>
      <c r="F67" s="2" t="s">
        <v>2608</v>
      </c>
      <c r="G67" s="2" t="s">
        <v>1503</v>
      </c>
      <c r="H67" s="2" t="s">
        <v>1503</v>
      </c>
      <c r="I67" s="2">
        <f t="shared" ref="I67:K67" si="136">If(Iserr(search(I$1,$H67)),0,1)</f>
        <v>0</v>
      </c>
      <c r="J67" s="2">
        <f t="shared" si="136"/>
        <v>0</v>
      </c>
      <c r="K67" s="2">
        <f t="shared" si="136"/>
        <v>0</v>
      </c>
      <c r="L67" s="2">
        <f t="shared" si="5"/>
        <v>0</v>
      </c>
      <c r="M67" s="2">
        <f t="shared" ref="M67:AE67" si="137">If(Iserr(search(M$1,$H67)),0,1)</f>
        <v>0</v>
      </c>
      <c r="N67" s="2">
        <f t="shared" si="137"/>
        <v>0</v>
      </c>
      <c r="O67" s="2">
        <f t="shared" si="137"/>
        <v>0</v>
      </c>
      <c r="P67" s="2">
        <f t="shared" si="137"/>
        <v>0</v>
      </c>
      <c r="Q67" s="2">
        <f t="shared" si="137"/>
        <v>0</v>
      </c>
      <c r="R67" s="2">
        <f t="shared" si="137"/>
        <v>0</v>
      </c>
      <c r="S67" s="2">
        <f t="shared" si="137"/>
        <v>0</v>
      </c>
      <c r="T67" s="2">
        <f t="shared" si="137"/>
        <v>0</v>
      </c>
      <c r="U67" s="2">
        <f t="shared" si="137"/>
        <v>0</v>
      </c>
      <c r="V67" s="2">
        <f t="shared" si="137"/>
        <v>0</v>
      </c>
      <c r="W67" s="2">
        <f t="shared" si="137"/>
        <v>0</v>
      </c>
      <c r="X67" s="2">
        <f t="shared" si="137"/>
        <v>0</v>
      </c>
      <c r="Y67" s="2">
        <f t="shared" si="137"/>
        <v>0</v>
      </c>
      <c r="Z67" s="2">
        <f t="shared" si="137"/>
        <v>0</v>
      </c>
      <c r="AA67" s="2">
        <f t="shared" si="137"/>
        <v>0</v>
      </c>
      <c r="AB67" s="2">
        <f t="shared" si="137"/>
        <v>0</v>
      </c>
      <c r="AC67" s="2">
        <f t="shared" si="137"/>
        <v>0</v>
      </c>
      <c r="AD67" s="2">
        <f t="shared" si="137"/>
        <v>0</v>
      </c>
      <c r="AE67" s="2">
        <f t="shared" si="137"/>
        <v>1</v>
      </c>
      <c r="AF67" s="2" t="s">
        <v>2616</v>
      </c>
    </row>
    <row r="68">
      <c r="A68" s="92" t="s">
        <v>800</v>
      </c>
      <c r="B68" s="64" t="s">
        <v>2618</v>
      </c>
      <c r="C68" s="64">
        <v>59.0</v>
      </c>
      <c r="D68" s="64" t="str">
        <f t="shared" si="3"/>
        <v>CO4459459b</v>
      </c>
      <c r="E68" s="159">
        <v>44594.0</v>
      </c>
      <c r="F68" s="2" t="s">
        <v>2412</v>
      </c>
      <c r="G68" s="2" t="s">
        <v>1503</v>
      </c>
      <c r="H68" s="2" t="s">
        <v>1503</v>
      </c>
      <c r="I68" s="2">
        <f t="shared" ref="I68:K68" si="138">If(Iserr(search(I$1,$H68)),0,1)</f>
        <v>0</v>
      </c>
      <c r="J68" s="2">
        <f t="shared" si="138"/>
        <v>0</v>
      </c>
      <c r="K68" s="2">
        <f t="shared" si="138"/>
        <v>0</v>
      </c>
      <c r="L68" s="2">
        <f t="shared" si="5"/>
        <v>0</v>
      </c>
      <c r="M68" s="2">
        <f t="shared" ref="M68:AE68" si="139">If(Iserr(search(M$1,$H68)),0,1)</f>
        <v>0</v>
      </c>
      <c r="N68" s="2">
        <f t="shared" si="139"/>
        <v>0</v>
      </c>
      <c r="O68" s="2">
        <f t="shared" si="139"/>
        <v>0</v>
      </c>
      <c r="P68" s="2">
        <f t="shared" si="139"/>
        <v>0</v>
      </c>
      <c r="Q68" s="2">
        <f t="shared" si="139"/>
        <v>0</v>
      </c>
      <c r="R68" s="2">
        <f t="shared" si="139"/>
        <v>0</v>
      </c>
      <c r="S68" s="2">
        <f t="shared" si="139"/>
        <v>0</v>
      </c>
      <c r="T68" s="2">
        <f t="shared" si="139"/>
        <v>0</v>
      </c>
      <c r="U68" s="2">
        <f t="shared" si="139"/>
        <v>0</v>
      </c>
      <c r="V68" s="2">
        <f t="shared" si="139"/>
        <v>0</v>
      </c>
      <c r="W68" s="2">
        <f t="shared" si="139"/>
        <v>0</v>
      </c>
      <c r="X68" s="2">
        <f t="shared" si="139"/>
        <v>0</v>
      </c>
      <c r="Y68" s="2">
        <f t="shared" si="139"/>
        <v>0</v>
      </c>
      <c r="Z68" s="2">
        <f t="shared" si="139"/>
        <v>0</v>
      </c>
      <c r="AA68" s="2">
        <f t="shared" si="139"/>
        <v>0</v>
      </c>
      <c r="AB68" s="2">
        <f t="shared" si="139"/>
        <v>0</v>
      </c>
      <c r="AC68" s="2">
        <f t="shared" si="139"/>
        <v>0</v>
      </c>
      <c r="AD68" s="2">
        <f t="shared" si="139"/>
        <v>0</v>
      </c>
      <c r="AE68" s="2">
        <f t="shared" si="139"/>
        <v>1</v>
      </c>
      <c r="AF68" s="2" t="s">
        <v>2616</v>
      </c>
    </row>
    <row r="69">
      <c r="A69" s="92" t="s">
        <v>810</v>
      </c>
      <c r="B69" s="64">
        <f>B67+1</f>
        <v>60</v>
      </c>
      <c r="C69" s="64">
        <v>60.0</v>
      </c>
      <c r="D69" s="64" t="str">
        <f t="shared" si="3"/>
        <v>CO4462060</v>
      </c>
      <c r="E69" s="159">
        <v>44620.0</v>
      </c>
      <c r="F69" s="2" t="s">
        <v>2630</v>
      </c>
      <c r="G69" s="2" t="s">
        <v>288</v>
      </c>
      <c r="H69" s="2" t="s">
        <v>389</v>
      </c>
      <c r="I69" s="2">
        <f t="shared" ref="I69:K69" si="140">If(Iserr(search(I$1,$H69)),0,1)</f>
        <v>0</v>
      </c>
      <c r="J69" s="2">
        <f t="shared" si="140"/>
        <v>0</v>
      </c>
      <c r="K69" s="2">
        <f t="shared" si="140"/>
        <v>0</v>
      </c>
      <c r="L69" s="2">
        <f t="shared" si="5"/>
        <v>1</v>
      </c>
      <c r="M69" s="2">
        <f t="shared" ref="M69:AE69" si="141">If(Iserr(search(M$1,$H69)),0,1)</f>
        <v>0</v>
      </c>
      <c r="N69" s="2">
        <f t="shared" si="141"/>
        <v>0</v>
      </c>
      <c r="O69" s="2">
        <f t="shared" si="141"/>
        <v>0</v>
      </c>
      <c r="P69" s="2">
        <f t="shared" si="141"/>
        <v>0</v>
      </c>
      <c r="Q69" s="2">
        <f t="shared" si="141"/>
        <v>0</v>
      </c>
      <c r="R69" s="2">
        <f t="shared" si="141"/>
        <v>0</v>
      </c>
      <c r="S69" s="2">
        <f t="shared" si="141"/>
        <v>0</v>
      </c>
      <c r="T69" s="2">
        <f t="shared" si="141"/>
        <v>0</v>
      </c>
      <c r="U69" s="2">
        <f t="shared" si="141"/>
        <v>0</v>
      </c>
      <c r="V69" s="2">
        <f t="shared" si="141"/>
        <v>0</v>
      </c>
      <c r="W69" s="2">
        <f t="shared" si="141"/>
        <v>0</v>
      </c>
      <c r="X69" s="2">
        <f t="shared" si="141"/>
        <v>0</v>
      </c>
      <c r="Y69" s="2">
        <f t="shared" si="141"/>
        <v>0</v>
      </c>
      <c r="Z69" s="2">
        <f t="shared" si="141"/>
        <v>0</v>
      </c>
      <c r="AA69" s="2">
        <f t="shared" si="141"/>
        <v>0</v>
      </c>
      <c r="AB69" s="2">
        <f t="shared" si="141"/>
        <v>0</v>
      </c>
      <c r="AC69" s="2">
        <f t="shared" si="141"/>
        <v>0</v>
      </c>
      <c r="AD69" s="2">
        <f t="shared" si="141"/>
        <v>0</v>
      </c>
      <c r="AE69" s="2">
        <f t="shared" si="141"/>
        <v>0</v>
      </c>
      <c r="AF69" s="2" t="s">
        <v>2639</v>
      </c>
    </row>
    <row r="70">
      <c r="A70" s="92" t="s">
        <v>818</v>
      </c>
      <c r="B70" s="64">
        <f t="shared" ref="B70:B77" si="144">B69+1</f>
        <v>61</v>
      </c>
      <c r="C70" s="64">
        <v>61.0</v>
      </c>
      <c r="D70" s="64" t="str">
        <f t="shared" si="3"/>
        <v>CO4463161</v>
      </c>
      <c r="E70" s="159">
        <v>44631.0</v>
      </c>
      <c r="F70" s="2" t="s">
        <v>2645</v>
      </c>
      <c r="G70" s="2" t="s">
        <v>1503</v>
      </c>
      <c r="H70" s="2" t="s">
        <v>1503</v>
      </c>
      <c r="I70" s="2">
        <f t="shared" ref="I70:K70" si="142">If(Iserr(search(I$1,$H70)),0,1)</f>
        <v>0</v>
      </c>
      <c r="J70" s="2">
        <f t="shared" si="142"/>
        <v>0</v>
      </c>
      <c r="K70" s="2">
        <f t="shared" si="142"/>
        <v>0</v>
      </c>
      <c r="L70" s="2">
        <f t="shared" si="5"/>
        <v>0</v>
      </c>
      <c r="M70" s="2">
        <f t="shared" ref="M70:AE70" si="143">If(Iserr(search(M$1,$H70)),0,1)</f>
        <v>0</v>
      </c>
      <c r="N70" s="2">
        <f t="shared" si="143"/>
        <v>0</v>
      </c>
      <c r="O70" s="2">
        <f t="shared" si="143"/>
        <v>0</v>
      </c>
      <c r="P70" s="2">
        <f t="shared" si="143"/>
        <v>0</v>
      </c>
      <c r="Q70" s="2">
        <f t="shared" si="143"/>
        <v>0</v>
      </c>
      <c r="R70" s="2">
        <f t="shared" si="143"/>
        <v>0</v>
      </c>
      <c r="S70" s="2">
        <f t="shared" si="143"/>
        <v>0</v>
      </c>
      <c r="T70" s="2">
        <f t="shared" si="143"/>
        <v>0</v>
      </c>
      <c r="U70" s="2">
        <f t="shared" si="143"/>
        <v>0</v>
      </c>
      <c r="V70" s="2">
        <f t="shared" si="143"/>
        <v>0</v>
      </c>
      <c r="W70" s="2">
        <f t="shared" si="143"/>
        <v>0</v>
      </c>
      <c r="X70" s="2">
        <f t="shared" si="143"/>
        <v>0</v>
      </c>
      <c r="Y70" s="2">
        <f t="shared" si="143"/>
        <v>0</v>
      </c>
      <c r="Z70" s="2">
        <f t="shared" si="143"/>
        <v>0</v>
      </c>
      <c r="AA70" s="2">
        <f t="shared" si="143"/>
        <v>0</v>
      </c>
      <c r="AB70" s="2">
        <f t="shared" si="143"/>
        <v>0</v>
      </c>
      <c r="AC70" s="2">
        <f t="shared" si="143"/>
        <v>0</v>
      </c>
      <c r="AD70" s="2">
        <f t="shared" si="143"/>
        <v>0</v>
      </c>
      <c r="AE70" s="2">
        <f t="shared" si="143"/>
        <v>1</v>
      </c>
      <c r="AF70" s="2" t="s">
        <v>2654</v>
      </c>
    </row>
    <row r="71">
      <c r="A71" s="92" t="s">
        <v>829</v>
      </c>
      <c r="B71" s="64">
        <f t="shared" si="144"/>
        <v>62</v>
      </c>
      <c r="C71" s="64">
        <v>62.0</v>
      </c>
      <c r="D71" s="64" t="str">
        <f t="shared" si="3"/>
        <v>CO4467162</v>
      </c>
      <c r="E71" s="159">
        <v>44671.0</v>
      </c>
      <c r="F71" s="2" t="s">
        <v>2660</v>
      </c>
      <c r="G71" s="2" t="s">
        <v>1503</v>
      </c>
      <c r="H71" s="2" t="s">
        <v>1503</v>
      </c>
      <c r="I71" s="2">
        <f t="shared" ref="I71:K71" si="145">If(Iserr(search(I$1,$H71)),0,1)</f>
        <v>0</v>
      </c>
      <c r="J71" s="2">
        <f t="shared" si="145"/>
        <v>0</v>
      </c>
      <c r="K71" s="2">
        <f t="shared" si="145"/>
        <v>0</v>
      </c>
      <c r="L71" s="2">
        <f t="shared" si="5"/>
        <v>0</v>
      </c>
      <c r="M71" s="2">
        <f t="shared" ref="M71:AE71" si="146">If(Iserr(search(M$1,$H71)),0,1)</f>
        <v>0</v>
      </c>
      <c r="N71" s="2">
        <f t="shared" si="146"/>
        <v>0</v>
      </c>
      <c r="O71" s="2">
        <f t="shared" si="146"/>
        <v>0</v>
      </c>
      <c r="P71" s="2">
        <f t="shared" si="146"/>
        <v>0</v>
      </c>
      <c r="Q71" s="2">
        <f t="shared" si="146"/>
        <v>0</v>
      </c>
      <c r="R71" s="2">
        <f t="shared" si="146"/>
        <v>0</v>
      </c>
      <c r="S71" s="2">
        <f t="shared" si="146"/>
        <v>0</v>
      </c>
      <c r="T71" s="2">
        <f t="shared" si="146"/>
        <v>0</v>
      </c>
      <c r="U71" s="2">
        <f t="shared" si="146"/>
        <v>0</v>
      </c>
      <c r="V71" s="2">
        <f t="shared" si="146"/>
        <v>0</v>
      </c>
      <c r="W71" s="2">
        <f t="shared" si="146"/>
        <v>0</v>
      </c>
      <c r="X71" s="2">
        <f t="shared" si="146"/>
        <v>0</v>
      </c>
      <c r="Y71" s="2">
        <f t="shared" si="146"/>
        <v>0</v>
      </c>
      <c r="Z71" s="2">
        <f t="shared" si="146"/>
        <v>0</v>
      </c>
      <c r="AA71" s="2">
        <f t="shared" si="146"/>
        <v>0</v>
      </c>
      <c r="AB71" s="2">
        <f t="shared" si="146"/>
        <v>0</v>
      </c>
      <c r="AC71" s="2">
        <f t="shared" si="146"/>
        <v>0</v>
      </c>
      <c r="AD71" s="2">
        <f t="shared" si="146"/>
        <v>0</v>
      </c>
      <c r="AE71" s="2">
        <f t="shared" si="146"/>
        <v>1</v>
      </c>
      <c r="AF71" s="2" t="s">
        <v>2672</v>
      </c>
    </row>
    <row r="72">
      <c r="A72" s="92" t="s">
        <v>832</v>
      </c>
      <c r="B72" s="64">
        <f t="shared" si="144"/>
        <v>63</v>
      </c>
      <c r="C72" s="64">
        <v>63.0</v>
      </c>
      <c r="D72" s="64" t="str">
        <f t="shared" si="3"/>
        <v>CO4468463</v>
      </c>
      <c r="E72" s="159">
        <v>44684.0</v>
      </c>
      <c r="F72" s="2" t="s">
        <v>2438</v>
      </c>
      <c r="G72" s="2" t="s">
        <v>1503</v>
      </c>
      <c r="H72" s="2" t="s">
        <v>1503</v>
      </c>
      <c r="I72" s="2">
        <f t="shared" ref="I72:K72" si="147">If(Iserr(search(I$1,$H72)),0,1)</f>
        <v>0</v>
      </c>
      <c r="J72" s="2">
        <f t="shared" si="147"/>
        <v>0</v>
      </c>
      <c r="K72" s="2">
        <f t="shared" si="147"/>
        <v>0</v>
      </c>
      <c r="L72" s="2">
        <f t="shared" si="5"/>
        <v>0</v>
      </c>
      <c r="M72" s="2">
        <f t="shared" ref="M72:AE72" si="148">If(Iserr(search(M$1,$H72)),0,1)</f>
        <v>0</v>
      </c>
      <c r="N72" s="2">
        <f t="shared" si="148"/>
        <v>0</v>
      </c>
      <c r="O72" s="2">
        <f t="shared" si="148"/>
        <v>0</v>
      </c>
      <c r="P72" s="2">
        <f t="shared" si="148"/>
        <v>0</v>
      </c>
      <c r="Q72" s="2">
        <f t="shared" si="148"/>
        <v>0</v>
      </c>
      <c r="R72" s="2">
        <f t="shared" si="148"/>
        <v>0</v>
      </c>
      <c r="S72" s="2">
        <f t="shared" si="148"/>
        <v>0</v>
      </c>
      <c r="T72" s="2">
        <f t="shared" si="148"/>
        <v>0</v>
      </c>
      <c r="U72" s="2">
        <f t="shared" si="148"/>
        <v>0</v>
      </c>
      <c r="V72" s="2">
        <f t="shared" si="148"/>
        <v>0</v>
      </c>
      <c r="W72" s="2">
        <f t="shared" si="148"/>
        <v>0</v>
      </c>
      <c r="X72" s="2">
        <f t="shared" si="148"/>
        <v>0</v>
      </c>
      <c r="Y72" s="2">
        <f t="shared" si="148"/>
        <v>0</v>
      </c>
      <c r="Z72" s="2">
        <f t="shared" si="148"/>
        <v>0</v>
      </c>
      <c r="AA72" s="2">
        <f t="shared" si="148"/>
        <v>0</v>
      </c>
      <c r="AB72" s="2">
        <f t="shared" si="148"/>
        <v>0</v>
      </c>
      <c r="AC72" s="2">
        <f t="shared" si="148"/>
        <v>0</v>
      </c>
      <c r="AD72" s="2">
        <f t="shared" si="148"/>
        <v>0</v>
      </c>
      <c r="AE72" s="2">
        <f t="shared" si="148"/>
        <v>1</v>
      </c>
      <c r="AF72" s="2" t="s">
        <v>2684</v>
      </c>
    </row>
    <row r="73">
      <c r="A73" s="92" t="s">
        <v>839</v>
      </c>
      <c r="B73" s="64">
        <f t="shared" si="144"/>
        <v>64</v>
      </c>
      <c r="C73" s="64">
        <v>64.0</v>
      </c>
      <c r="D73" s="64" t="str">
        <f t="shared" si="3"/>
        <v>CO4469964</v>
      </c>
      <c r="E73" s="167">
        <v>44699.0</v>
      </c>
      <c r="F73" s="2" t="s">
        <v>2690</v>
      </c>
      <c r="G73" s="2" t="s">
        <v>1503</v>
      </c>
      <c r="H73" s="2" t="s">
        <v>1503</v>
      </c>
      <c r="I73" s="2">
        <f t="shared" ref="I73:K73" si="149">If(Iserr(search(I$1,$H73)),0,1)</f>
        <v>0</v>
      </c>
      <c r="J73" s="2">
        <f t="shared" si="149"/>
        <v>0</v>
      </c>
      <c r="K73" s="2">
        <f t="shared" si="149"/>
        <v>0</v>
      </c>
      <c r="L73" s="2">
        <f t="shared" si="5"/>
        <v>0</v>
      </c>
      <c r="M73" s="2">
        <f t="shared" ref="M73:AE73" si="150">If(Iserr(search(M$1,$H73)),0,1)</f>
        <v>0</v>
      </c>
      <c r="N73" s="2">
        <f t="shared" si="150"/>
        <v>0</v>
      </c>
      <c r="O73" s="2">
        <f t="shared" si="150"/>
        <v>0</v>
      </c>
      <c r="P73" s="2">
        <f t="shared" si="150"/>
        <v>0</v>
      </c>
      <c r="Q73" s="2">
        <f t="shared" si="150"/>
        <v>0</v>
      </c>
      <c r="R73" s="2">
        <f t="shared" si="150"/>
        <v>0</v>
      </c>
      <c r="S73" s="2">
        <f t="shared" si="150"/>
        <v>0</v>
      </c>
      <c r="T73" s="2">
        <f t="shared" si="150"/>
        <v>0</v>
      </c>
      <c r="U73" s="2">
        <f t="shared" si="150"/>
        <v>0</v>
      </c>
      <c r="V73" s="2">
        <f t="shared" si="150"/>
        <v>0</v>
      </c>
      <c r="W73" s="2">
        <f t="shared" si="150"/>
        <v>0</v>
      </c>
      <c r="X73" s="2">
        <f t="shared" si="150"/>
        <v>0</v>
      </c>
      <c r="Y73" s="2">
        <f t="shared" si="150"/>
        <v>0</v>
      </c>
      <c r="Z73" s="2">
        <f t="shared" si="150"/>
        <v>0</v>
      </c>
      <c r="AA73" s="2">
        <f t="shared" si="150"/>
        <v>0</v>
      </c>
      <c r="AB73" s="2">
        <f t="shared" si="150"/>
        <v>0</v>
      </c>
      <c r="AC73" s="2">
        <f t="shared" si="150"/>
        <v>0</v>
      </c>
      <c r="AD73" s="2">
        <f t="shared" si="150"/>
        <v>0</v>
      </c>
      <c r="AE73" s="2">
        <f t="shared" si="150"/>
        <v>1</v>
      </c>
      <c r="AF73" s="2" t="s">
        <v>2672</v>
      </c>
    </row>
    <row r="74">
      <c r="A74" s="92" t="s">
        <v>845</v>
      </c>
      <c r="B74" s="64">
        <f t="shared" si="144"/>
        <v>65</v>
      </c>
      <c r="C74" s="64">
        <v>65.0</v>
      </c>
      <c r="D74" s="64" t="str">
        <f t="shared" si="3"/>
        <v>CO4475665</v>
      </c>
      <c r="E74" s="159">
        <v>44756.0</v>
      </c>
      <c r="F74" s="2" t="s">
        <v>2710</v>
      </c>
      <c r="G74" s="2" t="s">
        <v>1503</v>
      </c>
      <c r="H74" s="2" t="s">
        <v>1503</v>
      </c>
      <c r="I74" s="2">
        <f t="shared" ref="I74:K74" si="151">If(Iserr(search(I$1,$H74)),0,1)</f>
        <v>0</v>
      </c>
      <c r="J74" s="2">
        <f t="shared" si="151"/>
        <v>0</v>
      </c>
      <c r="K74" s="2">
        <f t="shared" si="151"/>
        <v>0</v>
      </c>
      <c r="L74" s="2">
        <f t="shared" si="5"/>
        <v>0</v>
      </c>
      <c r="M74" s="2">
        <f t="shared" ref="M74:AE74" si="152">If(Iserr(search(M$1,$H74)),0,1)</f>
        <v>0</v>
      </c>
      <c r="N74" s="2">
        <f t="shared" si="152"/>
        <v>0</v>
      </c>
      <c r="O74" s="2">
        <f t="shared" si="152"/>
        <v>0</v>
      </c>
      <c r="P74" s="2">
        <f t="shared" si="152"/>
        <v>0</v>
      </c>
      <c r="Q74" s="2">
        <f t="shared" si="152"/>
        <v>0</v>
      </c>
      <c r="R74" s="2">
        <f t="shared" si="152"/>
        <v>0</v>
      </c>
      <c r="S74" s="2">
        <f t="shared" si="152"/>
        <v>0</v>
      </c>
      <c r="T74" s="2">
        <f t="shared" si="152"/>
        <v>0</v>
      </c>
      <c r="U74" s="2">
        <f t="shared" si="152"/>
        <v>0</v>
      </c>
      <c r="V74" s="2">
        <f t="shared" si="152"/>
        <v>0</v>
      </c>
      <c r="W74" s="2">
        <f t="shared" si="152"/>
        <v>0</v>
      </c>
      <c r="X74" s="2">
        <f t="shared" si="152"/>
        <v>0</v>
      </c>
      <c r="Y74" s="2">
        <f t="shared" si="152"/>
        <v>0</v>
      </c>
      <c r="Z74" s="2">
        <f t="shared" si="152"/>
        <v>0</v>
      </c>
      <c r="AA74" s="2">
        <f t="shared" si="152"/>
        <v>0</v>
      </c>
      <c r="AB74" s="2">
        <f t="shared" si="152"/>
        <v>0</v>
      </c>
      <c r="AC74" s="2">
        <f t="shared" si="152"/>
        <v>0</v>
      </c>
      <c r="AD74" s="2">
        <f t="shared" si="152"/>
        <v>0</v>
      </c>
      <c r="AE74" s="2">
        <f t="shared" si="152"/>
        <v>1</v>
      </c>
      <c r="AF74" s="2" t="s">
        <v>2720</v>
      </c>
    </row>
    <row r="75">
      <c r="A75" s="98" t="s">
        <v>851</v>
      </c>
      <c r="B75" s="64">
        <f t="shared" si="144"/>
        <v>66</v>
      </c>
      <c r="C75" s="64">
        <v>66.0</v>
      </c>
      <c r="D75" s="64" t="str">
        <f t="shared" si="3"/>
        <v>CO4476466</v>
      </c>
      <c r="E75" s="168">
        <v>44764.0</v>
      </c>
      <c r="F75" s="2" t="s">
        <v>2726</v>
      </c>
      <c r="G75" s="2" t="s">
        <v>363</v>
      </c>
      <c r="H75" s="2" t="s">
        <v>363</v>
      </c>
      <c r="I75" s="2">
        <f t="shared" ref="I75:K75" si="153">If(Iserr(search(I$1,$H75)),0,1)</f>
        <v>0</v>
      </c>
      <c r="J75" s="2">
        <f t="shared" si="153"/>
        <v>0</v>
      </c>
      <c r="K75" s="2">
        <f t="shared" si="153"/>
        <v>0</v>
      </c>
      <c r="L75" s="2">
        <f t="shared" si="5"/>
        <v>0</v>
      </c>
      <c r="M75" s="2">
        <f t="shared" ref="M75:AE75" si="154">If(Iserr(search(M$1,$H75)),0,1)</f>
        <v>0</v>
      </c>
      <c r="N75" s="2">
        <f t="shared" si="154"/>
        <v>0</v>
      </c>
      <c r="O75" s="2">
        <f t="shared" si="154"/>
        <v>0</v>
      </c>
      <c r="P75" s="2">
        <f t="shared" si="154"/>
        <v>0</v>
      </c>
      <c r="Q75" s="2">
        <f t="shared" si="154"/>
        <v>0</v>
      </c>
      <c r="R75" s="2">
        <f t="shared" si="154"/>
        <v>0</v>
      </c>
      <c r="S75" s="2">
        <f t="shared" si="154"/>
        <v>0</v>
      </c>
      <c r="T75" s="2">
        <f t="shared" si="154"/>
        <v>0</v>
      </c>
      <c r="U75" s="2">
        <f t="shared" si="154"/>
        <v>0</v>
      </c>
      <c r="V75" s="2">
        <f t="shared" si="154"/>
        <v>0</v>
      </c>
      <c r="W75" s="2">
        <f t="shared" si="154"/>
        <v>0</v>
      </c>
      <c r="X75" s="2">
        <f t="shared" si="154"/>
        <v>0</v>
      </c>
      <c r="Y75" s="2">
        <f t="shared" si="154"/>
        <v>0</v>
      </c>
      <c r="Z75" s="2">
        <f t="shared" si="154"/>
        <v>0</v>
      </c>
      <c r="AA75" s="2">
        <f t="shared" si="154"/>
        <v>0</v>
      </c>
      <c r="AB75" s="2">
        <f t="shared" si="154"/>
        <v>0</v>
      </c>
      <c r="AC75" s="2">
        <f t="shared" si="154"/>
        <v>0</v>
      </c>
      <c r="AD75" s="2">
        <f t="shared" si="154"/>
        <v>0</v>
      </c>
      <c r="AE75" s="2">
        <f t="shared" si="154"/>
        <v>0</v>
      </c>
      <c r="AF75" s="2" t="s">
        <v>2735</v>
      </c>
    </row>
    <row r="76">
      <c r="A76" s="92" t="s">
        <v>877</v>
      </c>
      <c r="B76" s="64">
        <f t="shared" si="144"/>
        <v>67</v>
      </c>
      <c r="C76" s="64">
        <v>67.0</v>
      </c>
      <c r="D76" s="64" t="str">
        <f t="shared" si="3"/>
        <v>CO4484667</v>
      </c>
      <c r="E76" s="168">
        <v>44846.0</v>
      </c>
      <c r="F76" s="2" t="s">
        <v>2742</v>
      </c>
      <c r="G76" s="2" t="s">
        <v>1503</v>
      </c>
      <c r="H76" s="2" t="s">
        <v>1503</v>
      </c>
      <c r="I76" s="2">
        <f t="shared" ref="I76:K76" si="155">If(Iserr(search(I$1,$H76)),0,1)</f>
        <v>0</v>
      </c>
      <c r="J76" s="2">
        <f t="shared" si="155"/>
        <v>0</v>
      </c>
      <c r="K76" s="2">
        <f t="shared" si="155"/>
        <v>0</v>
      </c>
      <c r="L76" s="2">
        <f t="shared" si="5"/>
        <v>0</v>
      </c>
      <c r="M76" s="2">
        <f t="shared" ref="M76:AE76" si="156">If(Iserr(search(M$1,$H76)),0,1)</f>
        <v>0</v>
      </c>
      <c r="N76" s="2">
        <f t="shared" si="156"/>
        <v>0</v>
      </c>
      <c r="O76" s="2">
        <f t="shared" si="156"/>
        <v>0</v>
      </c>
      <c r="P76" s="2">
        <f t="shared" si="156"/>
        <v>0</v>
      </c>
      <c r="Q76" s="2">
        <f t="shared" si="156"/>
        <v>0</v>
      </c>
      <c r="R76" s="2">
        <f t="shared" si="156"/>
        <v>0</v>
      </c>
      <c r="S76" s="2">
        <f t="shared" si="156"/>
        <v>0</v>
      </c>
      <c r="T76" s="2">
        <f t="shared" si="156"/>
        <v>0</v>
      </c>
      <c r="U76" s="2">
        <f t="shared" si="156"/>
        <v>0</v>
      </c>
      <c r="V76" s="2">
        <f t="shared" si="156"/>
        <v>0</v>
      </c>
      <c r="W76" s="2">
        <f t="shared" si="156"/>
        <v>0</v>
      </c>
      <c r="X76" s="2">
        <f t="shared" si="156"/>
        <v>0</v>
      </c>
      <c r="Y76" s="2">
        <f t="shared" si="156"/>
        <v>0</v>
      </c>
      <c r="Z76" s="2">
        <f t="shared" si="156"/>
        <v>0</v>
      </c>
      <c r="AA76" s="2">
        <f t="shared" si="156"/>
        <v>0</v>
      </c>
      <c r="AB76" s="2">
        <f t="shared" si="156"/>
        <v>0</v>
      </c>
      <c r="AC76" s="2">
        <f t="shared" si="156"/>
        <v>0</v>
      </c>
      <c r="AD76" s="2">
        <f t="shared" si="156"/>
        <v>0</v>
      </c>
      <c r="AE76" s="2">
        <f t="shared" si="156"/>
        <v>1</v>
      </c>
      <c r="AF76" s="2" t="s">
        <v>2750</v>
      </c>
    </row>
    <row r="77">
      <c r="A77" s="92" t="s">
        <v>887</v>
      </c>
      <c r="B77" s="64">
        <f t="shared" si="144"/>
        <v>68</v>
      </c>
      <c r="C77" s="64">
        <v>68.0</v>
      </c>
      <c r="D77" s="64" t="str">
        <f t="shared" si="3"/>
        <v>CO4486068</v>
      </c>
      <c r="E77" s="168">
        <v>44860.0</v>
      </c>
      <c r="F77" s="2" t="s">
        <v>1503</v>
      </c>
      <c r="G77" s="2" t="s">
        <v>1503</v>
      </c>
      <c r="H77" s="2" t="s">
        <v>1503</v>
      </c>
      <c r="I77" s="2">
        <f t="shared" ref="I77:K77" si="157">If(Iserr(search(I$1,$H77)),0,1)</f>
        <v>0</v>
      </c>
      <c r="J77" s="2">
        <f t="shared" si="157"/>
        <v>0</v>
      </c>
      <c r="K77" s="2">
        <f t="shared" si="157"/>
        <v>0</v>
      </c>
      <c r="L77" s="2">
        <f t="shared" si="5"/>
        <v>0</v>
      </c>
      <c r="M77" s="2">
        <f t="shared" ref="M77:AE77" si="158">If(Iserr(search(M$1,$H77)),0,1)</f>
        <v>0</v>
      </c>
      <c r="N77" s="2">
        <f t="shared" si="158"/>
        <v>0</v>
      </c>
      <c r="O77" s="2">
        <f t="shared" si="158"/>
        <v>0</v>
      </c>
      <c r="P77" s="2">
        <f t="shared" si="158"/>
        <v>0</v>
      </c>
      <c r="Q77" s="2">
        <f t="shared" si="158"/>
        <v>0</v>
      </c>
      <c r="R77" s="2">
        <f t="shared" si="158"/>
        <v>0</v>
      </c>
      <c r="S77" s="2">
        <f t="shared" si="158"/>
        <v>0</v>
      </c>
      <c r="T77" s="2">
        <f t="shared" si="158"/>
        <v>0</v>
      </c>
      <c r="U77" s="2">
        <f t="shared" si="158"/>
        <v>0</v>
      </c>
      <c r="V77" s="2">
        <f t="shared" si="158"/>
        <v>0</v>
      </c>
      <c r="W77" s="2">
        <f t="shared" si="158"/>
        <v>0</v>
      </c>
      <c r="X77" s="2">
        <f t="shared" si="158"/>
        <v>0</v>
      </c>
      <c r="Y77" s="2">
        <f t="shared" si="158"/>
        <v>0</v>
      </c>
      <c r="Z77" s="2">
        <f t="shared" si="158"/>
        <v>0</v>
      </c>
      <c r="AA77" s="2">
        <f t="shared" si="158"/>
        <v>0</v>
      </c>
      <c r="AB77" s="2">
        <f t="shared" si="158"/>
        <v>0</v>
      </c>
      <c r="AC77" s="2">
        <f t="shared" si="158"/>
        <v>0</v>
      </c>
      <c r="AD77" s="2">
        <f t="shared" si="158"/>
        <v>0</v>
      </c>
      <c r="AE77" s="2">
        <f t="shared" si="158"/>
        <v>1</v>
      </c>
      <c r="AF77" s="2" t="s">
        <v>2757</v>
      </c>
    </row>
    <row r="78">
      <c r="A78" s="92" t="s">
        <v>887</v>
      </c>
      <c r="B78" s="64" t="s">
        <v>2759</v>
      </c>
      <c r="C78" s="64">
        <v>68.0</v>
      </c>
      <c r="D78" s="64" t="str">
        <f t="shared" si="3"/>
        <v>CO4486068b</v>
      </c>
      <c r="E78" s="168">
        <v>44860.0</v>
      </c>
      <c r="F78" s="2" t="s">
        <v>210</v>
      </c>
      <c r="G78" s="2" t="s">
        <v>210</v>
      </c>
      <c r="H78" s="2" t="s">
        <v>210</v>
      </c>
      <c r="I78" s="2">
        <f t="shared" ref="I78:K78" si="159">If(Iserr(search(I$1,$H78)),0,1)</f>
        <v>0</v>
      </c>
      <c r="J78" s="2">
        <f t="shared" si="159"/>
        <v>0</v>
      </c>
      <c r="K78" s="2">
        <f t="shared" si="159"/>
        <v>0</v>
      </c>
      <c r="L78" s="2">
        <f t="shared" si="5"/>
        <v>0</v>
      </c>
      <c r="M78" s="2">
        <f t="shared" ref="M78:AE78" si="160">If(Iserr(search(M$1,$H78)),0,1)</f>
        <v>0</v>
      </c>
      <c r="N78" s="2">
        <f t="shared" si="160"/>
        <v>0</v>
      </c>
      <c r="O78" s="2">
        <f t="shared" si="160"/>
        <v>0</v>
      </c>
      <c r="P78" s="2">
        <f t="shared" si="160"/>
        <v>0</v>
      </c>
      <c r="Q78" s="2">
        <f t="shared" si="160"/>
        <v>0</v>
      </c>
      <c r="R78" s="2">
        <f t="shared" si="160"/>
        <v>0</v>
      </c>
      <c r="S78" s="2">
        <f t="shared" si="160"/>
        <v>0</v>
      </c>
      <c r="T78" s="2">
        <f t="shared" si="160"/>
        <v>0</v>
      </c>
      <c r="U78" s="2">
        <f t="shared" si="160"/>
        <v>0</v>
      </c>
      <c r="V78" s="2">
        <f t="shared" si="160"/>
        <v>0</v>
      </c>
      <c r="W78" s="2">
        <f t="shared" si="160"/>
        <v>0</v>
      </c>
      <c r="X78" s="2">
        <f t="shared" si="160"/>
        <v>0</v>
      </c>
      <c r="Y78" s="2">
        <f t="shared" si="160"/>
        <v>0</v>
      </c>
      <c r="Z78" s="2">
        <f t="shared" si="160"/>
        <v>0</v>
      </c>
      <c r="AA78" s="2">
        <f t="shared" si="160"/>
        <v>0</v>
      </c>
      <c r="AB78" s="2">
        <f t="shared" si="160"/>
        <v>0</v>
      </c>
      <c r="AC78" s="2">
        <f t="shared" si="160"/>
        <v>0</v>
      </c>
      <c r="AD78" s="2">
        <f t="shared" si="160"/>
        <v>1</v>
      </c>
      <c r="AE78" s="2">
        <f t="shared" si="160"/>
        <v>0</v>
      </c>
      <c r="AF78" s="2" t="s">
        <v>2757</v>
      </c>
    </row>
    <row r="79">
      <c r="A79" s="92" t="s">
        <v>887</v>
      </c>
      <c r="B79" s="64" t="s">
        <v>2771</v>
      </c>
      <c r="C79" s="64">
        <v>68.0</v>
      </c>
      <c r="D79" s="64" t="str">
        <f t="shared" si="3"/>
        <v>CO4486068c</v>
      </c>
      <c r="E79" s="168">
        <v>44860.0</v>
      </c>
      <c r="F79" s="2" t="s">
        <v>536</v>
      </c>
      <c r="G79" s="2" t="s">
        <v>1488</v>
      </c>
      <c r="H79" s="2" t="s">
        <v>1488</v>
      </c>
      <c r="I79" s="2">
        <f t="shared" ref="I79:K79" si="161">If(Iserr(search(I$1,$H79)),0,1)</f>
        <v>0</v>
      </c>
      <c r="J79" s="2">
        <f t="shared" si="161"/>
        <v>1</v>
      </c>
      <c r="K79" s="2">
        <f t="shared" si="161"/>
        <v>0</v>
      </c>
      <c r="L79" s="2">
        <f t="shared" si="5"/>
        <v>0</v>
      </c>
      <c r="M79" s="2">
        <f t="shared" ref="M79:AE79" si="162">If(Iserr(search(M$1,$H79)),0,1)</f>
        <v>0</v>
      </c>
      <c r="N79" s="2">
        <f t="shared" si="162"/>
        <v>0</v>
      </c>
      <c r="O79" s="2">
        <f t="shared" si="162"/>
        <v>0</v>
      </c>
      <c r="P79" s="2">
        <f t="shared" si="162"/>
        <v>0</v>
      </c>
      <c r="Q79" s="2">
        <f t="shared" si="162"/>
        <v>0</v>
      </c>
      <c r="R79" s="2">
        <f t="shared" si="162"/>
        <v>0</v>
      </c>
      <c r="S79" s="2">
        <f t="shared" si="162"/>
        <v>0</v>
      </c>
      <c r="T79" s="2">
        <f t="shared" si="162"/>
        <v>0</v>
      </c>
      <c r="U79" s="2">
        <f t="shared" si="162"/>
        <v>0</v>
      </c>
      <c r="V79" s="2">
        <f t="shared" si="162"/>
        <v>0</v>
      </c>
      <c r="W79" s="2">
        <f t="shared" si="162"/>
        <v>0</v>
      </c>
      <c r="X79" s="2">
        <f t="shared" si="162"/>
        <v>0</v>
      </c>
      <c r="Y79" s="2">
        <f t="shared" si="162"/>
        <v>0</v>
      </c>
      <c r="Z79" s="2">
        <f t="shared" si="162"/>
        <v>0</v>
      </c>
      <c r="AA79" s="2">
        <f t="shared" si="162"/>
        <v>0</v>
      </c>
      <c r="AB79" s="2">
        <f t="shared" si="162"/>
        <v>0</v>
      </c>
      <c r="AC79" s="2">
        <f t="shared" si="162"/>
        <v>0</v>
      </c>
      <c r="AD79" s="2">
        <f t="shared" si="162"/>
        <v>0</v>
      </c>
      <c r="AE79" s="2">
        <f t="shared" si="162"/>
        <v>0</v>
      </c>
      <c r="AF79" s="2" t="s">
        <v>2757</v>
      </c>
    </row>
    <row r="80">
      <c r="A80" s="92" t="s">
        <v>910</v>
      </c>
      <c r="B80" s="64">
        <f>B77+1</f>
        <v>69</v>
      </c>
      <c r="C80" s="64">
        <v>69.0</v>
      </c>
      <c r="D80" s="64" t="str">
        <f t="shared" si="3"/>
        <v>CO4488869</v>
      </c>
      <c r="E80" s="168">
        <v>44888.0</v>
      </c>
      <c r="F80" s="2" t="s">
        <v>2794</v>
      </c>
      <c r="G80" s="2" t="s">
        <v>1503</v>
      </c>
      <c r="H80" s="2" t="s">
        <v>1503</v>
      </c>
      <c r="I80" s="2">
        <f t="shared" ref="I80:K80" si="163">If(Iserr(search(I$1,$H80)),0,1)</f>
        <v>0</v>
      </c>
      <c r="J80" s="2">
        <f t="shared" si="163"/>
        <v>0</v>
      </c>
      <c r="K80" s="2">
        <f t="shared" si="163"/>
        <v>0</v>
      </c>
      <c r="L80" s="2">
        <f t="shared" si="5"/>
        <v>0</v>
      </c>
      <c r="M80" s="2">
        <f t="shared" ref="M80:AE80" si="164">If(Iserr(search(M$1,$H80)),0,1)</f>
        <v>0</v>
      </c>
      <c r="N80" s="2">
        <f t="shared" si="164"/>
        <v>0</v>
      </c>
      <c r="O80" s="2">
        <f t="shared" si="164"/>
        <v>0</v>
      </c>
      <c r="P80" s="2">
        <f t="shared" si="164"/>
        <v>0</v>
      </c>
      <c r="Q80" s="2">
        <f t="shared" si="164"/>
        <v>0</v>
      </c>
      <c r="R80" s="2">
        <f t="shared" si="164"/>
        <v>0</v>
      </c>
      <c r="S80" s="2">
        <f t="shared" si="164"/>
        <v>0</v>
      </c>
      <c r="T80" s="2">
        <f t="shared" si="164"/>
        <v>0</v>
      </c>
      <c r="U80" s="2">
        <f t="shared" si="164"/>
        <v>0</v>
      </c>
      <c r="V80" s="2">
        <f t="shared" si="164"/>
        <v>0</v>
      </c>
      <c r="W80" s="2">
        <f t="shared" si="164"/>
        <v>0</v>
      </c>
      <c r="X80" s="2">
        <f t="shared" si="164"/>
        <v>0</v>
      </c>
      <c r="Y80" s="2">
        <f t="shared" si="164"/>
        <v>0</v>
      </c>
      <c r="Z80" s="2">
        <f t="shared" si="164"/>
        <v>0</v>
      </c>
      <c r="AA80" s="2">
        <f t="shared" si="164"/>
        <v>0</v>
      </c>
      <c r="AB80" s="2">
        <f t="shared" si="164"/>
        <v>0</v>
      </c>
      <c r="AC80" s="2">
        <f t="shared" si="164"/>
        <v>0</v>
      </c>
      <c r="AD80" s="2">
        <f t="shared" si="164"/>
        <v>0</v>
      </c>
      <c r="AE80" s="2">
        <f t="shared" si="164"/>
        <v>1</v>
      </c>
      <c r="AF80" s="2" t="s">
        <v>2804</v>
      </c>
    </row>
    <row r="81">
      <c r="A81" s="92" t="s">
        <v>910</v>
      </c>
      <c r="B81" s="64" t="s">
        <v>2806</v>
      </c>
      <c r="C81" s="64">
        <v>69.0</v>
      </c>
      <c r="D81" s="64" t="str">
        <f t="shared" si="3"/>
        <v>CO4488869b</v>
      </c>
      <c r="E81" s="168">
        <v>44888.0</v>
      </c>
      <c r="F81" s="2" t="s">
        <v>2807</v>
      </c>
      <c r="G81" s="2" t="s">
        <v>1503</v>
      </c>
      <c r="H81" s="2" t="s">
        <v>1503</v>
      </c>
      <c r="I81" s="2">
        <f t="shared" ref="I81:K81" si="165">If(Iserr(search(I$1,$H81)),0,1)</f>
        <v>0</v>
      </c>
      <c r="J81" s="2">
        <f t="shared" si="165"/>
        <v>0</v>
      </c>
      <c r="K81" s="2">
        <f t="shared" si="165"/>
        <v>0</v>
      </c>
      <c r="L81" s="2">
        <f t="shared" si="5"/>
        <v>0</v>
      </c>
      <c r="M81" s="2">
        <f t="shared" ref="M81:AE81" si="166">If(Iserr(search(M$1,$H81)),0,1)</f>
        <v>0</v>
      </c>
      <c r="N81" s="2">
        <f t="shared" si="166"/>
        <v>0</v>
      </c>
      <c r="O81" s="2">
        <f t="shared" si="166"/>
        <v>0</v>
      </c>
      <c r="P81" s="2">
        <f t="shared" si="166"/>
        <v>0</v>
      </c>
      <c r="Q81" s="2">
        <f t="shared" si="166"/>
        <v>0</v>
      </c>
      <c r="R81" s="2">
        <f t="shared" si="166"/>
        <v>0</v>
      </c>
      <c r="S81" s="2">
        <f t="shared" si="166"/>
        <v>0</v>
      </c>
      <c r="T81" s="2">
        <f t="shared" si="166"/>
        <v>0</v>
      </c>
      <c r="U81" s="2">
        <f t="shared" si="166"/>
        <v>0</v>
      </c>
      <c r="V81" s="2">
        <f t="shared" si="166"/>
        <v>0</v>
      </c>
      <c r="W81" s="2">
        <f t="shared" si="166"/>
        <v>0</v>
      </c>
      <c r="X81" s="2">
        <f t="shared" si="166"/>
        <v>0</v>
      </c>
      <c r="Y81" s="2">
        <f t="shared" si="166"/>
        <v>0</v>
      </c>
      <c r="Z81" s="2">
        <f t="shared" si="166"/>
        <v>0</v>
      </c>
      <c r="AA81" s="2">
        <f t="shared" si="166"/>
        <v>0</v>
      </c>
      <c r="AB81" s="2">
        <f t="shared" si="166"/>
        <v>0</v>
      </c>
      <c r="AC81" s="2">
        <f t="shared" si="166"/>
        <v>0</v>
      </c>
      <c r="AD81" s="2">
        <f t="shared" si="166"/>
        <v>0</v>
      </c>
      <c r="AE81" s="2">
        <f t="shared" si="166"/>
        <v>1</v>
      </c>
      <c r="AF81" s="2" t="s">
        <v>2804</v>
      </c>
    </row>
    <row r="82">
      <c r="A82" s="92" t="s">
        <v>921</v>
      </c>
      <c r="B82" s="64">
        <f>B80+1</f>
        <v>70</v>
      </c>
      <c r="C82" s="64">
        <v>70.0</v>
      </c>
      <c r="D82" s="64" t="str">
        <f t="shared" si="3"/>
        <v>CO4491070</v>
      </c>
      <c r="E82" s="168">
        <v>44910.0</v>
      </c>
      <c r="F82" s="2" t="s">
        <v>2825</v>
      </c>
      <c r="G82" s="2" t="s">
        <v>2826</v>
      </c>
      <c r="H82" s="2" t="s">
        <v>2826</v>
      </c>
      <c r="I82" s="2">
        <f t="shared" ref="I82:K82" si="167">If(Iserr(search(I$1,$H82)),0,1)</f>
        <v>0</v>
      </c>
      <c r="J82" s="2">
        <f t="shared" si="167"/>
        <v>0</v>
      </c>
      <c r="K82" s="2">
        <f t="shared" si="167"/>
        <v>0</v>
      </c>
      <c r="L82" s="2">
        <f t="shared" si="5"/>
        <v>0</v>
      </c>
      <c r="M82" s="2">
        <f t="shared" ref="M82:AE82" si="168">If(Iserr(search(M$1,$H82)),0,1)</f>
        <v>0</v>
      </c>
      <c r="N82" s="2">
        <f t="shared" si="168"/>
        <v>0</v>
      </c>
      <c r="O82" s="2">
        <f t="shared" si="168"/>
        <v>0</v>
      </c>
      <c r="P82" s="2">
        <f t="shared" si="168"/>
        <v>0</v>
      </c>
      <c r="Q82" s="2">
        <f t="shared" si="168"/>
        <v>0</v>
      </c>
      <c r="R82" s="2">
        <f t="shared" si="168"/>
        <v>0</v>
      </c>
      <c r="S82" s="2">
        <f t="shared" si="168"/>
        <v>0</v>
      </c>
      <c r="T82" s="2">
        <f t="shared" si="168"/>
        <v>0</v>
      </c>
      <c r="U82" s="2">
        <f t="shared" si="168"/>
        <v>0</v>
      </c>
      <c r="V82" s="2">
        <f t="shared" si="168"/>
        <v>0</v>
      </c>
      <c r="W82" s="2">
        <f t="shared" si="168"/>
        <v>0</v>
      </c>
      <c r="X82" s="2">
        <f t="shared" si="168"/>
        <v>0</v>
      </c>
      <c r="Y82" s="2">
        <f t="shared" si="168"/>
        <v>0</v>
      </c>
      <c r="Z82" s="2">
        <f t="shared" si="168"/>
        <v>0</v>
      </c>
      <c r="AA82" s="2">
        <f t="shared" si="168"/>
        <v>0</v>
      </c>
      <c r="AB82" s="2">
        <f t="shared" si="168"/>
        <v>0</v>
      </c>
      <c r="AC82" s="2">
        <f t="shared" si="168"/>
        <v>0</v>
      </c>
      <c r="AD82" s="2">
        <f t="shared" si="168"/>
        <v>1</v>
      </c>
      <c r="AE82" s="2">
        <f t="shared" si="168"/>
        <v>1</v>
      </c>
      <c r="AF82" s="2" t="s">
        <v>2837</v>
      </c>
    </row>
    <row r="83">
      <c r="A83" s="92" t="s">
        <v>931</v>
      </c>
      <c r="B83" s="64">
        <f t="shared" ref="B83:B84" si="171">B82+1</f>
        <v>71</v>
      </c>
      <c r="C83" s="64">
        <v>71.0</v>
      </c>
      <c r="D83" s="64" t="str">
        <f t="shared" si="3"/>
        <v>CO4493171</v>
      </c>
      <c r="E83" s="168">
        <v>44931.0</v>
      </c>
      <c r="F83" s="2" t="s">
        <v>2844</v>
      </c>
      <c r="G83" s="2" t="s">
        <v>1503</v>
      </c>
      <c r="H83" s="2" t="s">
        <v>1503</v>
      </c>
      <c r="I83" s="2">
        <f t="shared" ref="I83:K83" si="169">If(Iserr(search(I$1,$H83)),0,1)</f>
        <v>0</v>
      </c>
      <c r="J83" s="2">
        <f t="shared" si="169"/>
        <v>0</v>
      </c>
      <c r="K83" s="2">
        <f t="shared" si="169"/>
        <v>0</v>
      </c>
      <c r="L83" s="2">
        <f t="shared" si="5"/>
        <v>0</v>
      </c>
      <c r="M83" s="2">
        <f t="shared" ref="M83:AE83" si="170">If(Iserr(search(M$1,$H83)),0,1)</f>
        <v>0</v>
      </c>
      <c r="N83" s="2">
        <f t="shared" si="170"/>
        <v>0</v>
      </c>
      <c r="O83" s="2">
        <f t="shared" si="170"/>
        <v>0</v>
      </c>
      <c r="P83" s="2">
        <f t="shared" si="170"/>
        <v>0</v>
      </c>
      <c r="Q83" s="2">
        <f t="shared" si="170"/>
        <v>0</v>
      </c>
      <c r="R83" s="2">
        <f t="shared" si="170"/>
        <v>0</v>
      </c>
      <c r="S83" s="2">
        <f t="shared" si="170"/>
        <v>0</v>
      </c>
      <c r="T83" s="2">
        <f t="shared" si="170"/>
        <v>0</v>
      </c>
      <c r="U83" s="2">
        <f t="shared" si="170"/>
        <v>0</v>
      </c>
      <c r="V83" s="2">
        <f t="shared" si="170"/>
        <v>0</v>
      </c>
      <c r="W83" s="2">
        <f t="shared" si="170"/>
        <v>0</v>
      </c>
      <c r="X83" s="2">
        <f t="shared" si="170"/>
        <v>0</v>
      </c>
      <c r="Y83" s="2">
        <f t="shared" si="170"/>
        <v>0</v>
      </c>
      <c r="Z83" s="2">
        <f t="shared" si="170"/>
        <v>0</v>
      </c>
      <c r="AA83" s="2">
        <f t="shared" si="170"/>
        <v>0</v>
      </c>
      <c r="AB83" s="2">
        <f t="shared" si="170"/>
        <v>0</v>
      </c>
      <c r="AC83" s="2">
        <f t="shared" si="170"/>
        <v>0</v>
      </c>
      <c r="AD83" s="2">
        <f t="shared" si="170"/>
        <v>0</v>
      </c>
      <c r="AE83" s="2">
        <f t="shared" si="170"/>
        <v>1</v>
      </c>
      <c r="AF83" s="2" t="s">
        <v>2854</v>
      </c>
    </row>
    <row r="84">
      <c r="A84" s="92" t="s">
        <v>935</v>
      </c>
      <c r="B84" s="64">
        <f t="shared" si="171"/>
        <v>72</v>
      </c>
      <c r="C84" s="64">
        <v>72.0</v>
      </c>
      <c r="D84" s="64" t="str">
        <f t="shared" si="3"/>
        <v>CO4493172</v>
      </c>
      <c r="E84" s="168">
        <v>44931.0</v>
      </c>
      <c r="F84" s="2" t="s">
        <v>2859</v>
      </c>
      <c r="G84" s="2" t="s">
        <v>419</v>
      </c>
      <c r="H84" s="2" t="s">
        <v>2343</v>
      </c>
      <c r="I84" s="2">
        <f t="shared" ref="I84:K84" si="172">If(Iserr(search(I$1,$H84)),0,1)</f>
        <v>0</v>
      </c>
      <c r="J84" s="2">
        <f t="shared" si="172"/>
        <v>0</v>
      </c>
      <c r="K84" s="2">
        <f t="shared" si="172"/>
        <v>0</v>
      </c>
      <c r="L84" s="2">
        <f t="shared" si="5"/>
        <v>0</v>
      </c>
      <c r="M84" s="2">
        <f t="shared" ref="M84:AE84" si="173">If(Iserr(search(M$1,$H84)),0,1)</f>
        <v>0</v>
      </c>
      <c r="N84" s="2">
        <f t="shared" si="173"/>
        <v>0</v>
      </c>
      <c r="O84" s="2">
        <f t="shared" si="173"/>
        <v>0</v>
      </c>
      <c r="P84" s="2">
        <f t="shared" si="173"/>
        <v>0</v>
      </c>
      <c r="Q84" s="2">
        <f t="shared" si="173"/>
        <v>0</v>
      </c>
      <c r="R84" s="2">
        <f t="shared" si="173"/>
        <v>0</v>
      </c>
      <c r="S84" s="2">
        <f t="shared" si="173"/>
        <v>0</v>
      </c>
      <c r="T84" s="2">
        <f t="shared" si="173"/>
        <v>0</v>
      </c>
      <c r="U84" s="2">
        <f t="shared" si="173"/>
        <v>0</v>
      </c>
      <c r="V84" s="2">
        <f t="shared" si="173"/>
        <v>0</v>
      </c>
      <c r="W84" s="2">
        <f t="shared" si="173"/>
        <v>0</v>
      </c>
      <c r="X84" s="2">
        <f t="shared" si="173"/>
        <v>0</v>
      </c>
      <c r="Y84" s="2">
        <f t="shared" si="173"/>
        <v>0</v>
      </c>
      <c r="Z84" s="2">
        <f t="shared" si="173"/>
        <v>0</v>
      </c>
      <c r="AA84" s="2">
        <f t="shared" si="173"/>
        <v>0</v>
      </c>
      <c r="AB84" s="2">
        <f t="shared" si="173"/>
        <v>0</v>
      </c>
      <c r="AC84" s="2">
        <f t="shared" si="173"/>
        <v>0</v>
      </c>
      <c r="AD84" s="2">
        <f t="shared" si="173"/>
        <v>0</v>
      </c>
      <c r="AE84" s="2">
        <f t="shared" si="173"/>
        <v>0</v>
      </c>
      <c r="AF84" s="2" t="s">
        <v>2869</v>
      </c>
    </row>
    <row r="85">
      <c r="A85" s="92" t="s">
        <v>935</v>
      </c>
      <c r="B85" s="64" t="s">
        <v>2870</v>
      </c>
      <c r="C85" s="64">
        <v>72.0</v>
      </c>
      <c r="D85" s="64" t="str">
        <f t="shared" si="3"/>
        <v>CO4493172b</v>
      </c>
      <c r="E85" s="168">
        <v>44931.0</v>
      </c>
      <c r="F85" s="2" t="s">
        <v>2872</v>
      </c>
      <c r="G85" s="2" t="s">
        <v>1488</v>
      </c>
      <c r="H85" s="2" t="s">
        <v>1488</v>
      </c>
      <c r="I85" s="2">
        <f t="shared" ref="I85:K85" si="174">If(Iserr(search(I$1,$H85)),0,1)</f>
        <v>0</v>
      </c>
      <c r="J85" s="2">
        <f t="shared" si="174"/>
        <v>1</v>
      </c>
      <c r="K85" s="2">
        <f t="shared" si="174"/>
        <v>0</v>
      </c>
      <c r="L85" s="2">
        <f t="shared" si="5"/>
        <v>0</v>
      </c>
      <c r="M85" s="2">
        <f t="shared" ref="M85:AE85" si="175">If(Iserr(search(M$1,$H85)),0,1)</f>
        <v>0</v>
      </c>
      <c r="N85" s="2">
        <f t="shared" si="175"/>
        <v>0</v>
      </c>
      <c r="O85" s="2">
        <f t="shared" si="175"/>
        <v>0</v>
      </c>
      <c r="P85" s="2">
        <f t="shared" si="175"/>
        <v>0</v>
      </c>
      <c r="Q85" s="2">
        <f t="shared" si="175"/>
        <v>0</v>
      </c>
      <c r="R85" s="2">
        <f t="shared" si="175"/>
        <v>0</v>
      </c>
      <c r="S85" s="2">
        <f t="shared" si="175"/>
        <v>0</v>
      </c>
      <c r="T85" s="2">
        <f t="shared" si="175"/>
        <v>0</v>
      </c>
      <c r="U85" s="2">
        <f t="shared" si="175"/>
        <v>0</v>
      </c>
      <c r="V85" s="2">
        <f t="shared" si="175"/>
        <v>0</v>
      </c>
      <c r="W85" s="2">
        <f t="shared" si="175"/>
        <v>0</v>
      </c>
      <c r="X85" s="2">
        <f t="shared" si="175"/>
        <v>0</v>
      </c>
      <c r="Y85" s="2">
        <f t="shared" si="175"/>
        <v>0</v>
      </c>
      <c r="Z85" s="2">
        <f t="shared" si="175"/>
        <v>0</v>
      </c>
      <c r="AA85" s="2">
        <f t="shared" si="175"/>
        <v>0</v>
      </c>
      <c r="AB85" s="2">
        <f t="shared" si="175"/>
        <v>0</v>
      </c>
      <c r="AC85" s="2">
        <f t="shared" si="175"/>
        <v>0</v>
      </c>
      <c r="AD85" s="2">
        <f t="shared" si="175"/>
        <v>0</v>
      </c>
      <c r="AE85" s="2">
        <f t="shared" si="175"/>
        <v>0</v>
      </c>
      <c r="AF85" s="2" t="s">
        <v>2869</v>
      </c>
    </row>
    <row r="86">
      <c r="A86" s="92" t="s">
        <v>954</v>
      </c>
      <c r="B86" s="64">
        <f>B84+1</f>
        <v>73</v>
      </c>
      <c r="C86" s="64">
        <v>73.0</v>
      </c>
      <c r="D86" s="64" t="str">
        <f t="shared" si="3"/>
        <v>CO4495373</v>
      </c>
      <c r="E86" s="168">
        <v>44953.0</v>
      </c>
      <c r="F86" s="2" t="s">
        <v>2883</v>
      </c>
      <c r="G86" s="2" t="s">
        <v>1503</v>
      </c>
      <c r="H86" s="2" t="s">
        <v>1503</v>
      </c>
      <c r="I86" s="2">
        <f t="shared" ref="I86:K86" si="176">If(Iserr(search(I$1,$H86)),0,1)</f>
        <v>0</v>
      </c>
      <c r="J86" s="2">
        <f t="shared" si="176"/>
        <v>0</v>
      </c>
      <c r="K86" s="2">
        <f t="shared" si="176"/>
        <v>0</v>
      </c>
      <c r="L86" s="2">
        <f t="shared" si="5"/>
        <v>0</v>
      </c>
      <c r="M86" s="2">
        <f t="shared" ref="M86:AE86" si="177">If(Iserr(search(M$1,$H86)),0,1)</f>
        <v>0</v>
      </c>
      <c r="N86" s="2">
        <f t="shared" si="177"/>
        <v>0</v>
      </c>
      <c r="O86" s="2">
        <f t="shared" si="177"/>
        <v>0</v>
      </c>
      <c r="P86" s="2">
        <f t="shared" si="177"/>
        <v>0</v>
      </c>
      <c r="Q86" s="2">
        <f t="shared" si="177"/>
        <v>0</v>
      </c>
      <c r="R86" s="2">
        <f t="shared" si="177"/>
        <v>0</v>
      </c>
      <c r="S86" s="2">
        <f t="shared" si="177"/>
        <v>0</v>
      </c>
      <c r="T86" s="2">
        <f t="shared" si="177"/>
        <v>0</v>
      </c>
      <c r="U86" s="2">
        <f t="shared" si="177"/>
        <v>0</v>
      </c>
      <c r="V86" s="2">
        <f t="shared" si="177"/>
        <v>0</v>
      </c>
      <c r="W86" s="2">
        <f t="shared" si="177"/>
        <v>0</v>
      </c>
      <c r="X86" s="2">
        <f t="shared" si="177"/>
        <v>0</v>
      </c>
      <c r="Y86" s="2">
        <f t="shared" si="177"/>
        <v>0</v>
      </c>
      <c r="Z86" s="2">
        <f t="shared" si="177"/>
        <v>0</v>
      </c>
      <c r="AA86" s="2">
        <f t="shared" si="177"/>
        <v>0</v>
      </c>
      <c r="AB86" s="2">
        <f t="shared" si="177"/>
        <v>0</v>
      </c>
      <c r="AC86" s="2">
        <f t="shared" si="177"/>
        <v>0</v>
      </c>
      <c r="AD86" s="2">
        <f t="shared" si="177"/>
        <v>0</v>
      </c>
      <c r="AE86" s="2">
        <f t="shared" si="177"/>
        <v>1</v>
      </c>
      <c r="AF86" s="2" t="s">
        <v>2888</v>
      </c>
    </row>
    <row r="87">
      <c r="A87" s="92" t="s">
        <v>954</v>
      </c>
      <c r="B87" s="64" t="s">
        <v>2889</v>
      </c>
      <c r="C87" s="64">
        <v>73.0</v>
      </c>
      <c r="D87" s="64" t="str">
        <f t="shared" si="3"/>
        <v>CO4495373b</v>
      </c>
      <c r="E87" s="168">
        <v>44953.0</v>
      </c>
      <c r="F87" s="2" t="s">
        <v>2891</v>
      </c>
      <c r="G87" s="2" t="s">
        <v>210</v>
      </c>
      <c r="H87" s="2" t="s">
        <v>210</v>
      </c>
      <c r="I87" s="2">
        <f t="shared" ref="I87:K87" si="178">If(Iserr(search(I$1,$H87)),0,1)</f>
        <v>0</v>
      </c>
      <c r="J87" s="2">
        <f t="shared" si="178"/>
        <v>0</v>
      </c>
      <c r="K87" s="2">
        <f t="shared" si="178"/>
        <v>0</v>
      </c>
      <c r="L87" s="2">
        <f t="shared" si="5"/>
        <v>0</v>
      </c>
      <c r="M87" s="2">
        <f t="shared" ref="M87:AE87" si="179">If(Iserr(search(M$1,$H87)),0,1)</f>
        <v>0</v>
      </c>
      <c r="N87" s="2">
        <f t="shared" si="179"/>
        <v>0</v>
      </c>
      <c r="O87" s="2">
        <f t="shared" si="179"/>
        <v>0</v>
      </c>
      <c r="P87" s="2">
        <f t="shared" si="179"/>
        <v>0</v>
      </c>
      <c r="Q87" s="2">
        <f t="shared" si="179"/>
        <v>0</v>
      </c>
      <c r="R87" s="2">
        <f t="shared" si="179"/>
        <v>0</v>
      </c>
      <c r="S87" s="2">
        <f t="shared" si="179"/>
        <v>0</v>
      </c>
      <c r="T87" s="2">
        <f t="shared" si="179"/>
        <v>0</v>
      </c>
      <c r="U87" s="2">
        <f t="shared" si="179"/>
        <v>0</v>
      </c>
      <c r="V87" s="2">
        <f t="shared" si="179"/>
        <v>0</v>
      </c>
      <c r="W87" s="2">
        <f t="shared" si="179"/>
        <v>0</v>
      </c>
      <c r="X87" s="2">
        <f t="shared" si="179"/>
        <v>0</v>
      </c>
      <c r="Y87" s="2">
        <f t="shared" si="179"/>
        <v>0</v>
      </c>
      <c r="Z87" s="2">
        <f t="shared" si="179"/>
        <v>0</v>
      </c>
      <c r="AA87" s="2">
        <f t="shared" si="179"/>
        <v>0</v>
      </c>
      <c r="AB87" s="2">
        <f t="shared" si="179"/>
        <v>0</v>
      </c>
      <c r="AC87" s="2">
        <f t="shared" si="179"/>
        <v>0</v>
      </c>
      <c r="AD87" s="2">
        <f t="shared" si="179"/>
        <v>1</v>
      </c>
      <c r="AE87" s="2">
        <f t="shared" si="179"/>
        <v>0</v>
      </c>
      <c r="AF87" s="2" t="s">
        <v>2888</v>
      </c>
    </row>
    <row r="88">
      <c r="A88" s="92" t="s">
        <v>954</v>
      </c>
      <c r="B88" s="64" t="s">
        <v>2900</v>
      </c>
      <c r="C88" s="64">
        <v>73.0</v>
      </c>
      <c r="D88" s="64" t="str">
        <f t="shared" si="3"/>
        <v>CO4495373c</v>
      </c>
      <c r="E88" s="168">
        <v>44953.0</v>
      </c>
      <c r="F88" s="2" t="s">
        <v>2901</v>
      </c>
      <c r="G88" s="2" t="s">
        <v>1488</v>
      </c>
      <c r="H88" s="2" t="s">
        <v>1488</v>
      </c>
      <c r="I88" s="2">
        <f t="shared" ref="I88:K88" si="180">If(Iserr(search(I$1,$H88)),0,1)</f>
        <v>0</v>
      </c>
      <c r="J88" s="2">
        <f t="shared" si="180"/>
        <v>1</v>
      </c>
      <c r="K88" s="2">
        <f t="shared" si="180"/>
        <v>0</v>
      </c>
      <c r="L88" s="2">
        <f t="shared" si="5"/>
        <v>0</v>
      </c>
      <c r="M88" s="2">
        <f t="shared" ref="M88:AE88" si="181">If(Iserr(search(M$1,$H88)),0,1)</f>
        <v>0</v>
      </c>
      <c r="N88" s="2">
        <f t="shared" si="181"/>
        <v>0</v>
      </c>
      <c r="O88" s="2">
        <f t="shared" si="181"/>
        <v>0</v>
      </c>
      <c r="P88" s="2">
        <f t="shared" si="181"/>
        <v>0</v>
      </c>
      <c r="Q88" s="2">
        <f t="shared" si="181"/>
        <v>0</v>
      </c>
      <c r="R88" s="2">
        <f t="shared" si="181"/>
        <v>0</v>
      </c>
      <c r="S88" s="2">
        <f t="shared" si="181"/>
        <v>0</v>
      </c>
      <c r="T88" s="2">
        <f t="shared" si="181"/>
        <v>0</v>
      </c>
      <c r="U88" s="2">
        <f t="shared" si="181"/>
        <v>0</v>
      </c>
      <c r="V88" s="2">
        <f t="shared" si="181"/>
        <v>0</v>
      </c>
      <c r="W88" s="2">
        <f t="shared" si="181"/>
        <v>0</v>
      </c>
      <c r="X88" s="2">
        <f t="shared" si="181"/>
        <v>0</v>
      </c>
      <c r="Y88" s="2">
        <f t="shared" si="181"/>
        <v>0</v>
      </c>
      <c r="Z88" s="2">
        <f t="shared" si="181"/>
        <v>0</v>
      </c>
      <c r="AA88" s="2">
        <f t="shared" si="181"/>
        <v>0</v>
      </c>
      <c r="AB88" s="2">
        <f t="shared" si="181"/>
        <v>0</v>
      </c>
      <c r="AC88" s="2">
        <f t="shared" si="181"/>
        <v>0</v>
      </c>
      <c r="AD88" s="2">
        <f t="shared" si="181"/>
        <v>0</v>
      </c>
      <c r="AE88" s="2">
        <f t="shared" si="181"/>
        <v>0</v>
      </c>
      <c r="AF88" s="2" t="s">
        <v>2888</v>
      </c>
    </row>
    <row r="89">
      <c r="A89" s="92" t="s">
        <v>954</v>
      </c>
      <c r="B89" s="64" t="s">
        <v>2906</v>
      </c>
      <c r="C89" s="64">
        <v>73.0</v>
      </c>
      <c r="D89" s="64" t="str">
        <f t="shared" si="3"/>
        <v>CO4495373d</v>
      </c>
      <c r="E89" s="168">
        <v>44953.0</v>
      </c>
      <c r="F89" s="2" t="s">
        <v>2826</v>
      </c>
      <c r="G89" s="2" t="s">
        <v>2826</v>
      </c>
      <c r="H89" s="2" t="s">
        <v>2826</v>
      </c>
      <c r="I89" s="2">
        <f t="shared" ref="I89:K89" si="182">If(Iserr(search(I$1,$H89)),0,1)</f>
        <v>0</v>
      </c>
      <c r="J89" s="2">
        <f t="shared" si="182"/>
        <v>0</v>
      </c>
      <c r="K89" s="2">
        <f t="shared" si="182"/>
        <v>0</v>
      </c>
      <c r="L89" s="2">
        <f t="shared" si="5"/>
        <v>0</v>
      </c>
      <c r="M89" s="2">
        <f t="shared" ref="M89:AE89" si="183">If(Iserr(search(M$1,$H89)),0,1)</f>
        <v>0</v>
      </c>
      <c r="N89" s="2">
        <f t="shared" si="183"/>
        <v>0</v>
      </c>
      <c r="O89" s="2">
        <f t="shared" si="183"/>
        <v>0</v>
      </c>
      <c r="P89" s="2">
        <f t="shared" si="183"/>
        <v>0</v>
      </c>
      <c r="Q89" s="2">
        <f t="shared" si="183"/>
        <v>0</v>
      </c>
      <c r="R89" s="2">
        <f t="shared" si="183"/>
        <v>0</v>
      </c>
      <c r="S89" s="2">
        <f t="shared" si="183"/>
        <v>0</v>
      </c>
      <c r="T89" s="2">
        <f t="shared" si="183"/>
        <v>0</v>
      </c>
      <c r="U89" s="2">
        <f t="shared" si="183"/>
        <v>0</v>
      </c>
      <c r="V89" s="2">
        <f t="shared" si="183"/>
        <v>0</v>
      </c>
      <c r="W89" s="2">
        <f t="shared" si="183"/>
        <v>0</v>
      </c>
      <c r="X89" s="2">
        <f t="shared" si="183"/>
        <v>0</v>
      </c>
      <c r="Y89" s="2">
        <f t="shared" si="183"/>
        <v>0</v>
      </c>
      <c r="Z89" s="2">
        <f t="shared" si="183"/>
        <v>0</v>
      </c>
      <c r="AA89" s="2">
        <f t="shared" si="183"/>
        <v>0</v>
      </c>
      <c r="AB89" s="2">
        <f t="shared" si="183"/>
        <v>0</v>
      </c>
      <c r="AC89" s="2">
        <f t="shared" si="183"/>
        <v>0</v>
      </c>
      <c r="AD89" s="2">
        <f t="shared" si="183"/>
        <v>1</v>
      </c>
      <c r="AE89" s="2">
        <f t="shared" si="183"/>
        <v>1</v>
      </c>
      <c r="AF89" s="2" t="s">
        <v>2888</v>
      </c>
    </row>
    <row r="90">
      <c r="A90" s="92" t="s">
        <v>1035</v>
      </c>
      <c r="B90" s="64">
        <f>B86+1</f>
        <v>74</v>
      </c>
      <c r="C90" s="64">
        <v>74.0</v>
      </c>
      <c r="D90" s="64" t="str">
        <f t="shared" si="3"/>
        <v>CO4499474</v>
      </c>
      <c r="E90" s="168">
        <v>44994.0</v>
      </c>
      <c r="F90" s="2" t="s">
        <v>1503</v>
      </c>
      <c r="G90" s="2" t="s">
        <v>1503</v>
      </c>
      <c r="H90" s="2" t="s">
        <v>1503</v>
      </c>
      <c r="I90" s="2">
        <f t="shared" ref="I90:K90" si="184">If(Iserr(search(I$1,$H90)),0,1)</f>
        <v>0</v>
      </c>
      <c r="J90" s="2">
        <f t="shared" si="184"/>
        <v>0</v>
      </c>
      <c r="K90" s="2">
        <f t="shared" si="184"/>
        <v>0</v>
      </c>
      <c r="L90" s="2">
        <f t="shared" si="5"/>
        <v>0</v>
      </c>
      <c r="M90" s="2">
        <f t="shared" ref="M90:AE90" si="185">If(Iserr(search(M$1,$H90)),0,1)</f>
        <v>0</v>
      </c>
      <c r="N90" s="2">
        <f t="shared" si="185"/>
        <v>0</v>
      </c>
      <c r="O90" s="2">
        <f t="shared" si="185"/>
        <v>0</v>
      </c>
      <c r="P90" s="2">
        <f t="shared" si="185"/>
        <v>0</v>
      </c>
      <c r="Q90" s="2">
        <f t="shared" si="185"/>
        <v>0</v>
      </c>
      <c r="R90" s="2">
        <f t="shared" si="185"/>
        <v>0</v>
      </c>
      <c r="S90" s="2">
        <f t="shared" si="185"/>
        <v>0</v>
      </c>
      <c r="T90" s="2">
        <f t="shared" si="185"/>
        <v>0</v>
      </c>
      <c r="U90" s="2">
        <f t="shared" si="185"/>
        <v>0</v>
      </c>
      <c r="V90" s="2">
        <f t="shared" si="185"/>
        <v>0</v>
      </c>
      <c r="W90" s="2">
        <f t="shared" si="185"/>
        <v>0</v>
      </c>
      <c r="X90" s="2">
        <f t="shared" si="185"/>
        <v>0</v>
      </c>
      <c r="Y90" s="2">
        <f t="shared" si="185"/>
        <v>0</v>
      </c>
      <c r="Z90" s="2">
        <f t="shared" si="185"/>
        <v>0</v>
      </c>
      <c r="AA90" s="2">
        <f t="shared" si="185"/>
        <v>0</v>
      </c>
      <c r="AB90" s="2">
        <f t="shared" si="185"/>
        <v>0</v>
      </c>
      <c r="AC90" s="2">
        <f t="shared" si="185"/>
        <v>0</v>
      </c>
      <c r="AD90" s="2">
        <f t="shared" si="185"/>
        <v>0</v>
      </c>
      <c r="AE90" s="2">
        <f t="shared" si="185"/>
        <v>1</v>
      </c>
      <c r="AF90" s="2" t="s">
        <v>2907</v>
      </c>
    </row>
    <row r="91">
      <c r="A91" s="92" t="s">
        <v>1035</v>
      </c>
      <c r="B91" s="64" t="s">
        <v>2908</v>
      </c>
      <c r="C91" s="64">
        <v>74.0</v>
      </c>
      <c r="D91" s="64" t="str">
        <f t="shared" si="3"/>
        <v>CO4499474b</v>
      </c>
      <c r="E91" s="168">
        <v>44994.0</v>
      </c>
      <c r="F91" s="2" t="s">
        <v>2826</v>
      </c>
      <c r="G91" s="2" t="s">
        <v>2826</v>
      </c>
      <c r="H91" s="2" t="s">
        <v>2826</v>
      </c>
      <c r="I91" s="2">
        <f t="shared" ref="I91:K91" si="186">If(Iserr(search(I$1,$H91)),0,1)</f>
        <v>0</v>
      </c>
      <c r="J91" s="2">
        <f t="shared" si="186"/>
        <v>0</v>
      </c>
      <c r="K91" s="2">
        <f t="shared" si="186"/>
        <v>0</v>
      </c>
      <c r="L91" s="2">
        <f t="shared" si="5"/>
        <v>0</v>
      </c>
      <c r="M91" s="2">
        <f t="shared" ref="M91:AE91" si="187">If(Iserr(search(M$1,$H91)),0,1)</f>
        <v>0</v>
      </c>
      <c r="N91" s="2">
        <f t="shared" si="187"/>
        <v>0</v>
      </c>
      <c r="O91" s="2">
        <f t="shared" si="187"/>
        <v>0</v>
      </c>
      <c r="P91" s="2">
        <f t="shared" si="187"/>
        <v>0</v>
      </c>
      <c r="Q91" s="2">
        <f t="shared" si="187"/>
        <v>0</v>
      </c>
      <c r="R91" s="2">
        <f t="shared" si="187"/>
        <v>0</v>
      </c>
      <c r="S91" s="2">
        <f t="shared" si="187"/>
        <v>0</v>
      </c>
      <c r="T91" s="2">
        <f t="shared" si="187"/>
        <v>0</v>
      </c>
      <c r="U91" s="2">
        <f t="shared" si="187"/>
        <v>0</v>
      </c>
      <c r="V91" s="2">
        <f t="shared" si="187"/>
        <v>0</v>
      </c>
      <c r="W91" s="2">
        <f t="shared" si="187"/>
        <v>0</v>
      </c>
      <c r="X91" s="2">
        <f t="shared" si="187"/>
        <v>0</v>
      </c>
      <c r="Y91" s="2">
        <f t="shared" si="187"/>
        <v>0</v>
      </c>
      <c r="Z91" s="2">
        <f t="shared" si="187"/>
        <v>0</v>
      </c>
      <c r="AA91" s="2">
        <f t="shared" si="187"/>
        <v>0</v>
      </c>
      <c r="AB91" s="2">
        <f t="shared" si="187"/>
        <v>0</v>
      </c>
      <c r="AC91" s="2">
        <f t="shared" si="187"/>
        <v>0</v>
      </c>
      <c r="AD91" s="2">
        <f t="shared" si="187"/>
        <v>1</v>
      </c>
      <c r="AE91" s="2">
        <f t="shared" si="187"/>
        <v>1</v>
      </c>
      <c r="AF91" s="2" t="s">
        <v>2907</v>
      </c>
    </row>
    <row r="92">
      <c r="A92" s="92" t="s">
        <v>1035</v>
      </c>
      <c r="B92" s="64" t="s">
        <v>2909</v>
      </c>
      <c r="C92" s="64">
        <v>74.0</v>
      </c>
      <c r="D92" s="64" t="str">
        <f t="shared" si="3"/>
        <v>CO4499474c</v>
      </c>
      <c r="E92" s="168">
        <v>44994.0</v>
      </c>
      <c r="F92" s="2" t="s">
        <v>210</v>
      </c>
      <c r="G92" s="2" t="s">
        <v>210</v>
      </c>
      <c r="H92" s="2" t="s">
        <v>210</v>
      </c>
      <c r="I92" s="2">
        <f t="shared" ref="I92:K92" si="188">If(Iserr(search(I$1,$H92)),0,1)</f>
        <v>0</v>
      </c>
      <c r="J92" s="2">
        <f t="shared" si="188"/>
        <v>0</v>
      </c>
      <c r="K92" s="2">
        <f t="shared" si="188"/>
        <v>0</v>
      </c>
      <c r="L92" s="2">
        <f t="shared" si="5"/>
        <v>0</v>
      </c>
      <c r="M92" s="2">
        <f t="shared" ref="M92:AE92" si="189">If(Iserr(search(M$1,$H92)),0,1)</f>
        <v>0</v>
      </c>
      <c r="N92" s="2">
        <f t="shared" si="189"/>
        <v>0</v>
      </c>
      <c r="O92" s="2">
        <f t="shared" si="189"/>
        <v>0</v>
      </c>
      <c r="P92" s="2">
        <f t="shared" si="189"/>
        <v>0</v>
      </c>
      <c r="Q92" s="2">
        <f t="shared" si="189"/>
        <v>0</v>
      </c>
      <c r="R92" s="2">
        <f t="shared" si="189"/>
        <v>0</v>
      </c>
      <c r="S92" s="2">
        <f t="shared" si="189"/>
        <v>0</v>
      </c>
      <c r="T92" s="2">
        <f t="shared" si="189"/>
        <v>0</v>
      </c>
      <c r="U92" s="2">
        <f t="shared" si="189"/>
        <v>0</v>
      </c>
      <c r="V92" s="2">
        <f t="shared" si="189"/>
        <v>0</v>
      </c>
      <c r="W92" s="2">
        <f t="shared" si="189"/>
        <v>0</v>
      </c>
      <c r="X92" s="2">
        <f t="shared" si="189"/>
        <v>0</v>
      </c>
      <c r="Y92" s="2">
        <f t="shared" si="189"/>
        <v>0</v>
      </c>
      <c r="Z92" s="2">
        <f t="shared" si="189"/>
        <v>0</v>
      </c>
      <c r="AA92" s="2">
        <f t="shared" si="189"/>
        <v>0</v>
      </c>
      <c r="AB92" s="2">
        <f t="shared" si="189"/>
        <v>0</v>
      </c>
      <c r="AC92" s="2">
        <f t="shared" si="189"/>
        <v>0</v>
      </c>
      <c r="AD92" s="2">
        <f t="shared" si="189"/>
        <v>1</v>
      </c>
      <c r="AE92" s="2">
        <f t="shared" si="189"/>
        <v>0</v>
      </c>
      <c r="AF92" s="2" t="s">
        <v>2907</v>
      </c>
    </row>
    <row r="93">
      <c r="A93" s="92" t="s">
        <v>1042</v>
      </c>
      <c r="B93" s="64">
        <f>B90+1</f>
        <v>75</v>
      </c>
      <c r="C93" s="64">
        <v>75.0</v>
      </c>
      <c r="D93" s="64" t="str">
        <f t="shared" si="3"/>
        <v>CO4500575</v>
      </c>
      <c r="E93" s="168">
        <v>45005.0</v>
      </c>
      <c r="F93" s="2" t="s">
        <v>2910</v>
      </c>
      <c r="G93" s="2" t="s">
        <v>2826</v>
      </c>
      <c r="H93" s="2" t="s">
        <v>2826</v>
      </c>
      <c r="I93" s="2">
        <f t="shared" ref="I93:K93" si="190">If(Iserr(search(I$1,$H93)),0,1)</f>
        <v>0</v>
      </c>
      <c r="J93" s="2">
        <f t="shared" si="190"/>
        <v>0</v>
      </c>
      <c r="K93" s="2">
        <f t="shared" si="190"/>
        <v>0</v>
      </c>
      <c r="L93" s="2">
        <f t="shared" si="5"/>
        <v>0</v>
      </c>
      <c r="M93" s="2">
        <f t="shared" ref="M93:AE93" si="191">If(Iserr(search(M$1,$H93)),0,1)</f>
        <v>0</v>
      </c>
      <c r="N93" s="2">
        <f t="shared" si="191"/>
        <v>0</v>
      </c>
      <c r="O93" s="2">
        <f t="shared" si="191"/>
        <v>0</v>
      </c>
      <c r="P93" s="2">
        <f t="shared" si="191"/>
        <v>0</v>
      </c>
      <c r="Q93" s="2">
        <f t="shared" si="191"/>
        <v>0</v>
      </c>
      <c r="R93" s="2">
        <f t="shared" si="191"/>
        <v>0</v>
      </c>
      <c r="S93" s="2">
        <f t="shared" si="191"/>
        <v>0</v>
      </c>
      <c r="T93" s="2">
        <f t="shared" si="191"/>
        <v>0</v>
      </c>
      <c r="U93" s="2">
        <f t="shared" si="191"/>
        <v>0</v>
      </c>
      <c r="V93" s="2">
        <f t="shared" si="191"/>
        <v>0</v>
      </c>
      <c r="W93" s="2">
        <f t="shared" si="191"/>
        <v>0</v>
      </c>
      <c r="X93" s="2">
        <f t="shared" si="191"/>
        <v>0</v>
      </c>
      <c r="Y93" s="2">
        <f t="shared" si="191"/>
        <v>0</v>
      </c>
      <c r="Z93" s="2">
        <f t="shared" si="191"/>
        <v>0</v>
      </c>
      <c r="AA93" s="2">
        <f t="shared" si="191"/>
        <v>0</v>
      </c>
      <c r="AB93" s="2">
        <f t="shared" si="191"/>
        <v>0</v>
      </c>
      <c r="AC93" s="2">
        <f t="shared" si="191"/>
        <v>0</v>
      </c>
      <c r="AD93" s="2">
        <f t="shared" si="191"/>
        <v>1</v>
      </c>
      <c r="AE93" s="2">
        <f t="shared" si="191"/>
        <v>1</v>
      </c>
      <c r="AF93" s="2" t="s">
        <v>2911</v>
      </c>
    </row>
    <row r="94">
      <c r="A94" s="92" t="s">
        <v>1042</v>
      </c>
      <c r="B94" s="64" t="s">
        <v>2912</v>
      </c>
      <c r="C94" s="64">
        <v>75.0</v>
      </c>
      <c r="D94" s="64" t="str">
        <f t="shared" si="3"/>
        <v>CO4500575b</v>
      </c>
      <c r="E94" s="168">
        <v>45005.0</v>
      </c>
      <c r="F94" s="2" t="s">
        <v>210</v>
      </c>
      <c r="G94" s="2" t="s">
        <v>210</v>
      </c>
      <c r="H94" s="2" t="s">
        <v>210</v>
      </c>
      <c r="I94" s="2">
        <f t="shared" ref="I94:K94" si="192">If(Iserr(search(I$1,$H94)),0,1)</f>
        <v>0</v>
      </c>
      <c r="J94" s="2">
        <f t="shared" si="192"/>
        <v>0</v>
      </c>
      <c r="K94" s="2">
        <f t="shared" si="192"/>
        <v>0</v>
      </c>
      <c r="L94" s="2">
        <f t="shared" si="5"/>
        <v>0</v>
      </c>
      <c r="M94" s="2">
        <f t="shared" ref="M94:AE94" si="193">If(Iserr(search(M$1,$H94)),0,1)</f>
        <v>0</v>
      </c>
      <c r="N94" s="2">
        <f t="shared" si="193"/>
        <v>0</v>
      </c>
      <c r="O94" s="2">
        <f t="shared" si="193"/>
        <v>0</v>
      </c>
      <c r="P94" s="2">
        <f t="shared" si="193"/>
        <v>0</v>
      </c>
      <c r="Q94" s="2">
        <f t="shared" si="193"/>
        <v>0</v>
      </c>
      <c r="R94" s="2">
        <f t="shared" si="193"/>
        <v>0</v>
      </c>
      <c r="S94" s="2">
        <f t="shared" si="193"/>
        <v>0</v>
      </c>
      <c r="T94" s="2">
        <f t="shared" si="193"/>
        <v>0</v>
      </c>
      <c r="U94" s="2">
        <f t="shared" si="193"/>
        <v>0</v>
      </c>
      <c r="V94" s="2">
        <f t="shared" si="193"/>
        <v>0</v>
      </c>
      <c r="W94" s="2">
        <f t="shared" si="193"/>
        <v>0</v>
      </c>
      <c r="X94" s="2">
        <f t="shared" si="193"/>
        <v>0</v>
      </c>
      <c r="Y94" s="2">
        <f t="shared" si="193"/>
        <v>0</v>
      </c>
      <c r="Z94" s="2">
        <f t="shared" si="193"/>
        <v>0</v>
      </c>
      <c r="AA94" s="2">
        <f t="shared" si="193"/>
        <v>0</v>
      </c>
      <c r="AB94" s="2">
        <f t="shared" si="193"/>
        <v>0</v>
      </c>
      <c r="AC94" s="2">
        <f t="shared" si="193"/>
        <v>0</v>
      </c>
      <c r="AD94" s="2">
        <f t="shared" si="193"/>
        <v>1</v>
      </c>
      <c r="AE94" s="2">
        <f t="shared" si="193"/>
        <v>0</v>
      </c>
      <c r="AF94" s="2" t="s">
        <v>2911</v>
      </c>
    </row>
    <row r="95">
      <c r="A95" s="92" t="s">
        <v>1042</v>
      </c>
      <c r="B95" s="64" t="s">
        <v>2913</v>
      </c>
      <c r="C95" s="64">
        <v>75.0</v>
      </c>
      <c r="D95" s="64" t="str">
        <f t="shared" si="3"/>
        <v>CO4500575c</v>
      </c>
      <c r="E95" s="168">
        <v>45005.0</v>
      </c>
      <c r="F95" s="2" t="s">
        <v>2914</v>
      </c>
      <c r="G95" s="2" t="s">
        <v>1488</v>
      </c>
      <c r="H95" s="2" t="s">
        <v>1488</v>
      </c>
      <c r="I95" s="2">
        <f t="shared" ref="I95:K95" si="194">If(Iserr(search(I$1,$H95)),0,1)</f>
        <v>0</v>
      </c>
      <c r="J95" s="2">
        <f t="shared" si="194"/>
        <v>1</v>
      </c>
      <c r="K95" s="2">
        <f t="shared" si="194"/>
        <v>0</v>
      </c>
      <c r="L95" s="2">
        <f t="shared" si="5"/>
        <v>0</v>
      </c>
      <c r="M95" s="2">
        <f t="shared" ref="M95:AE95" si="195">If(Iserr(search(M$1,$H95)),0,1)</f>
        <v>0</v>
      </c>
      <c r="N95" s="2">
        <f t="shared" si="195"/>
        <v>0</v>
      </c>
      <c r="O95" s="2">
        <f t="shared" si="195"/>
        <v>0</v>
      </c>
      <c r="P95" s="2">
        <f t="shared" si="195"/>
        <v>0</v>
      </c>
      <c r="Q95" s="2">
        <f t="shared" si="195"/>
        <v>0</v>
      </c>
      <c r="R95" s="2">
        <f t="shared" si="195"/>
        <v>0</v>
      </c>
      <c r="S95" s="2">
        <f t="shared" si="195"/>
        <v>0</v>
      </c>
      <c r="T95" s="2">
        <f t="shared" si="195"/>
        <v>0</v>
      </c>
      <c r="U95" s="2">
        <f t="shared" si="195"/>
        <v>0</v>
      </c>
      <c r="V95" s="2">
        <f t="shared" si="195"/>
        <v>0</v>
      </c>
      <c r="W95" s="2">
        <f t="shared" si="195"/>
        <v>0</v>
      </c>
      <c r="X95" s="2">
        <f t="shared" si="195"/>
        <v>0</v>
      </c>
      <c r="Y95" s="2">
        <f t="shared" si="195"/>
        <v>0</v>
      </c>
      <c r="Z95" s="2">
        <f t="shared" si="195"/>
        <v>0</v>
      </c>
      <c r="AA95" s="2">
        <f t="shared" si="195"/>
        <v>0</v>
      </c>
      <c r="AB95" s="2">
        <f t="shared" si="195"/>
        <v>0</v>
      </c>
      <c r="AC95" s="2">
        <f t="shared" si="195"/>
        <v>0</v>
      </c>
      <c r="AD95" s="2">
        <f t="shared" si="195"/>
        <v>0</v>
      </c>
      <c r="AE95" s="2">
        <f t="shared" si="195"/>
        <v>0</v>
      </c>
      <c r="AF95" s="2" t="s">
        <v>2911</v>
      </c>
    </row>
    <row r="96">
      <c r="A96" s="92" t="s">
        <v>1061</v>
      </c>
      <c r="B96" s="64">
        <f>B93+1</f>
        <v>76</v>
      </c>
      <c r="C96" s="64">
        <v>76.0</v>
      </c>
      <c r="D96" s="64" t="str">
        <f t="shared" si="3"/>
        <v>CO4500876</v>
      </c>
      <c r="E96" s="168">
        <v>45008.0</v>
      </c>
      <c r="F96" s="2" t="s">
        <v>2915</v>
      </c>
      <c r="G96" s="2" t="s">
        <v>1503</v>
      </c>
      <c r="H96" s="2" t="s">
        <v>1503</v>
      </c>
      <c r="I96" s="2">
        <f t="shared" ref="I96:K96" si="196">If(Iserr(search(I$1,$H96)),0,1)</f>
        <v>0</v>
      </c>
      <c r="J96" s="2">
        <f t="shared" si="196"/>
        <v>0</v>
      </c>
      <c r="K96" s="2">
        <f t="shared" si="196"/>
        <v>0</v>
      </c>
      <c r="L96" s="2">
        <f t="shared" si="5"/>
        <v>0</v>
      </c>
      <c r="M96" s="2">
        <f t="shared" ref="M96:AE96" si="197">If(Iserr(search(M$1,$H96)),0,1)</f>
        <v>0</v>
      </c>
      <c r="N96" s="2">
        <f t="shared" si="197"/>
        <v>0</v>
      </c>
      <c r="O96" s="2">
        <f t="shared" si="197"/>
        <v>0</v>
      </c>
      <c r="P96" s="2">
        <f t="shared" si="197"/>
        <v>0</v>
      </c>
      <c r="Q96" s="2">
        <f t="shared" si="197"/>
        <v>0</v>
      </c>
      <c r="R96" s="2">
        <f t="shared" si="197"/>
        <v>0</v>
      </c>
      <c r="S96" s="2">
        <f t="shared" si="197"/>
        <v>0</v>
      </c>
      <c r="T96" s="2">
        <f t="shared" si="197"/>
        <v>0</v>
      </c>
      <c r="U96" s="2">
        <f t="shared" si="197"/>
        <v>0</v>
      </c>
      <c r="V96" s="2">
        <f t="shared" si="197"/>
        <v>0</v>
      </c>
      <c r="W96" s="2">
        <f t="shared" si="197"/>
        <v>0</v>
      </c>
      <c r="X96" s="2">
        <f t="shared" si="197"/>
        <v>0</v>
      </c>
      <c r="Y96" s="2">
        <f t="shared" si="197"/>
        <v>0</v>
      </c>
      <c r="Z96" s="2">
        <f t="shared" si="197"/>
        <v>0</v>
      </c>
      <c r="AA96" s="2">
        <f t="shared" si="197"/>
        <v>0</v>
      </c>
      <c r="AB96" s="2">
        <f t="shared" si="197"/>
        <v>0</v>
      </c>
      <c r="AC96" s="2">
        <f t="shared" si="197"/>
        <v>0</v>
      </c>
      <c r="AD96" s="2">
        <f t="shared" si="197"/>
        <v>0</v>
      </c>
      <c r="AE96" s="2">
        <f t="shared" si="197"/>
        <v>1</v>
      </c>
      <c r="AF96" s="2" t="s">
        <v>2916</v>
      </c>
    </row>
    <row r="97">
      <c r="A97" s="92" t="s">
        <v>1088</v>
      </c>
      <c r="B97" s="64">
        <f>B96+1</f>
        <v>77</v>
      </c>
      <c r="C97" s="64">
        <v>77.0</v>
      </c>
      <c r="D97" s="64" t="str">
        <f t="shared" si="3"/>
        <v>CO4502877</v>
      </c>
      <c r="E97" s="168">
        <v>45028.0</v>
      </c>
      <c r="F97" s="2" t="s">
        <v>2917</v>
      </c>
      <c r="G97" s="2" t="s">
        <v>2918</v>
      </c>
      <c r="H97" s="2" t="s">
        <v>2919</v>
      </c>
      <c r="I97" s="2">
        <f t="shared" ref="I97:K97" si="198">If(Iserr(search(I$1,$H97)),0,1)</f>
        <v>0</v>
      </c>
      <c r="J97" s="2">
        <f t="shared" si="198"/>
        <v>0</v>
      </c>
      <c r="K97" s="2">
        <f t="shared" si="198"/>
        <v>0</v>
      </c>
      <c r="L97" s="2">
        <f t="shared" si="5"/>
        <v>1</v>
      </c>
      <c r="M97" s="2">
        <f t="shared" ref="M97:AE97" si="199">If(Iserr(search(M$1,$H97)),0,1)</f>
        <v>1</v>
      </c>
      <c r="N97" s="2">
        <f t="shared" si="199"/>
        <v>0</v>
      </c>
      <c r="O97" s="2">
        <f t="shared" si="199"/>
        <v>1</v>
      </c>
      <c r="P97" s="2">
        <f t="shared" si="199"/>
        <v>0</v>
      </c>
      <c r="Q97" s="2">
        <f t="shared" si="199"/>
        <v>0</v>
      </c>
      <c r="R97" s="2">
        <f t="shared" si="199"/>
        <v>0</v>
      </c>
      <c r="S97" s="2">
        <f t="shared" si="199"/>
        <v>0</v>
      </c>
      <c r="T97" s="2">
        <f t="shared" si="199"/>
        <v>0</v>
      </c>
      <c r="U97" s="2">
        <f t="shared" si="199"/>
        <v>0</v>
      </c>
      <c r="V97" s="2">
        <f t="shared" si="199"/>
        <v>0</v>
      </c>
      <c r="W97" s="2">
        <f t="shared" si="199"/>
        <v>0</v>
      </c>
      <c r="X97" s="2">
        <f t="shared" si="199"/>
        <v>0</v>
      </c>
      <c r="Y97" s="2">
        <f t="shared" si="199"/>
        <v>0</v>
      </c>
      <c r="Z97" s="2">
        <f t="shared" si="199"/>
        <v>0</v>
      </c>
      <c r="AA97" s="2">
        <f t="shared" si="199"/>
        <v>0</v>
      </c>
      <c r="AB97" s="2">
        <f t="shared" si="199"/>
        <v>0</v>
      </c>
      <c r="AC97" s="2">
        <f t="shared" si="199"/>
        <v>0</v>
      </c>
      <c r="AD97" s="2">
        <f t="shared" si="199"/>
        <v>1</v>
      </c>
      <c r="AE97" s="2">
        <f t="shared" si="199"/>
        <v>1</v>
      </c>
      <c r="AF97" s="2" t="s">
        <v>2920</v>
      </c>
    </row>
    <row r="98">
      <c r="A98" s="92" t="s">
        <v>1088</v>
      </c>
      <c r="B98" s="64" t="s">
        <v>2921</v>
      </c>
      <c r="C98" s="64">
        <v>77.0</v>
      </c>
      <c r="D98" s="64" t="str">
        <f t="shared" si="3"/>
        <v>CO4502877b</v>
      </c>
      <c r="E98" s="168">
        <v>45028.0</v>
      </c>
      <c r="F98" s="2" t="s">
        <v>1488</v>
      </c>
      <c r="G98" s="2" t="s">
        <v>1488</v>
      </c>
      <c r="H98" s="2" t="s">
        <v>1488</v>
      </c>
      <c r="I98" s="2">
        <f t="shared" ref="I98:K98" si="200">If(Iserr(search(I$1,$H98)),0,1)</f>
        <v>0</v>
      </c>
      <c r="J98" s="2">
        <f t="shared" si="200"/>
        <v>1</v>
      </c>
      <c r="K98" s="2">
        <f t="shared" si="200"/>
        <v>0</v>
      </c>
      <c r="L98" s="2">
        <f t="shared" si="5"/>
        <v>0</v>
      </c>
      <c r="M98" s="2">
        <f t="shared" ref="M98:AE98" si="201">If(Iserr(search(M$1,$H98)),0,1)</f>
        <v>0</v>
      </c>
      <c r="N98" s="2">
        <f t="shared" si="201"/>
        <v>0</v>
      </c>
      <c r="O98" s="2">
        <f t="shared" si="201"/>
        <v>0</v>
      </c>
      <c r="P98" s="2">
        <f t="shared" si="201"/>
        <v>0</v>
      </c>
      <c r="Q98" s="2">
        <f t="shared" si="201"/>
        <v>0</v>
      </c>
      <c r="R98" s="2">
        <f t="shared" si="201"/>
        <v>0</v>
      </c>
      <c r="S98" s="2">
        <f t="shared" si="201"/>
        <v>0</v>
      </c>
      <c r="T98" s="2">
        <f t="shared" si="201"/>
        <v>0</v>
      </c>
      <c r="U98" s="2">
        <f t="shared" si="201"/>
        <v>0</v>
      </c>
      <c r="V98" s="2">
        <f t="shared" si="201"/>
        <v>0</v>
      </c>
      <c r="W98" s="2">
        <f t="shared" si="201"/>
        <v>0</v>
      </c>
      <c r="X98" s="2">
        <f t="shared" si="201"/>
        <v>0</v>
      </c>
      <c r="Y98" s="2">
        <f t="shared" si="201"/>
        <v>0</v>
      </c>
      <c r="Z98" s="2">
        <f t="shared" si="201"/>
        <v>0</v>
      </c>
      <c r="AA98" s="2">
        <f t="shared" si="201"/>
        <v>0</v>
      </c>
      <c r="AB98" s="2">
        <f t="shared" si="201"/>
        <v>0</v>
      </c>
      <c r="AC98" s="2">
        <f t="shared" si="201"/>
        <v>0</v>
      </c>
      <c r="AD98" s="2">
        <f t="shared" si="201"/>
        <v>0</v>
      </c>
      <c r="AE98" s="2">
        <f t="shared" si="201"/>
        <v>0</v>
      </c>
      <c r="AF98" s="2" t="s">
        <v>2920</v>
      </c>
    </row>
    <row r="99">
      <c r="A99" s="92" t="s">
        <v>1095</v>
      </c>
      <c r="B99" s="64">
        <f>B97+1</f>
        <v>78</v>
      </c>
      <c r="C99" s="64">
        <v>78.0</v>
      </c>
      <c r="D99" s="64" t="str">
        <f t="shared" si="3"/>
        <v>CO4502878</v>
      </c>
      <c r="E99" s="168">
        <v>45028.0</v>
      </c>
      <c r="F99" s="2" t="s">
        <v>210</v>
      </c>
      <c r="G99" s="2" t="s">
        <v>210</v>
      </c>
      <c r="H99" s="2" t="s">
        <v>210</v>
      </c>
      <c r="I99" s="2">
        <f t="shared" ref="I99:K99" si="202">If(Iserr(search(I$1,$H99)),0,1)</f>
        <v>0</v>
      </c>
      <c r="J99" s="2">
        <f t="shared" si="202"/>
        <v>0</v>
      </c>
      <c r="K99" s="2">
        <f t="shared" si="202"/>
        <v>0</v>
      </c>
      <c r="L99" s="2">
        <f t="shared" si="5"/>
        <v>0</v>
      </c>
      <c r="M99" s="2">
        <f t="shared" ref="M99:AE99" si="203">If(Iserr(search(M$1,$H99)),0,1)</f>
        <v>0</v>
      </c>
      <c r="N99" s="2">
        <f t="shared" si="203"/>
        <v>0</v>
      </c>
      <c r="O99" s="2">
        <f t="shared" si="203"/>
        <v>0</v>
      </c>
      <c r="P99" s="2">
        <f t="shared" si="203"/>
        <v>0</v>
      </c>
      <c r="Q99" s="2">
        <f t="shared" si="203"/>
        <v>0</v>
      </c>
      <c r="R99" s="2">
        <f t="shared" si="203"/>
        <v>0</v>
      </c>
      <c r="S99" s="2">
        <f t="shared" si="203"/>
        <v>0</v>
      </c>
      <c r="T99" s="2">
        <f t="shared" si="203"/>
        <v>0</v>
      </c>
      <c r="U99" s="2">
        <f t="shared" si="203"/>
        <v>0</v>
      </c>
      <c r="V99" s="2">
        <f t="shared" si="203"/>
        <v>0</v>
      </c>
      <c r="W99" s="2">
        <f t="shared" si="203"/>
        <v>0</v>
      </c>
      <c r="X99" s="2">
        <f t="shared" si="203"/>
        <v>0</v>
      </c>
      <c r="Y99" s="2">
        <f t="shared" si="203"/>
        <v>0</v>
      </c>
      <c r="Z99" s="2">
        <f t="shared" si="203"/>
        <v>0</v>
      </c>
      <c r="AA99" s="2">
        <f t="shared" si="203"/>
        <v>0</v>
      </c>
      <c r="AB99" s="2">
        <f t="shared" si="203"/>
        <v>0</v>
      </c>
      <c r="AC99" s="2">
        <f t="shared" si="203"/>
        <v>0</v>
      </c>
      <c r="AD99" s="2">
        <f t="shared" si="203"/>
        <v>1</v>
      </c>
      <c r="AE99" s="2">
        <f t="shared" si="203"/>
        <v>0</v>
      </c>
      <c r="AF99" s="2" t="s">
        <v>2922</v>
      </c>
    </row>
    <row r="100">
      <c r="A100" s="92" t="s">
        <v>1102</v>
      </c>
      <c r="B100" s="64">
        <f>B99+1</f>
        <v>79</v>
      </c>
      <c r="C100" s="64">
        <v>79.0</v>
      </c>
      <c r="D100" s="64" t="str">
        <f t="shared" si="3"/>
        <v>CO4502879</v>
      </c>
      <c r="E100" s="168">
        <v>45028.0</v>
      </c>
      <c r="F100" s="2" t="s">
        <v>1503</v>
      </c>
      <c r="G100" s="2" t="s">
        <v>1503</v>
      </c>
      <c r="H100" s="2" t="s">
        <v>1503</v>
      </c>
      <c r="I100" s="2">
        <f t="shared" ref="I100:K100" si="204">If(Iserr(search(I$1,$H100)),0,1)</f>
        <v>0</v>
      </c>
      <c r="J100" s="2">
        <f t="shared" si="204"/>
        <v>0</v>
      </c>
      <c r="K100" s="2">
        <f t="shared" si="204"/>
        <v>0</v>
      </c>
      <c r="L100" s="2">
        <f t="shared" si="5"/>
        <v>0</v>
      </c>
      <c r="M100" s="2">
        <f t="shared" ref="M100:AE100" si="205">If(Iserr(search(M$1,$H100)),0,1)</f>
        <v>0</v>
      </c>
      <c r="N100" s="2">
        <f t="shared" si="205"/>
        <v>0</v>
      </c>
      <c r="O100" s="2">
        <f t="shared" si="205"/>
        <v>0</v>
      </c>
      <c r="P100" s="2">
        <f t="shared" si="205"/>
        <v>0</v>
      </c>
      <c r="Q100" s="2">
        <f t="shared" si="205"/>
        <v>0</v>
      </c>
      <c r="R100" s="2">
        <f t="shared" si="205"/>
        <v>0</v>
      </c>
      <c r="S100" s="2">
        <f t="shared" si="205"/>
        <v>0</v>
      </c>
      <c r="T100" s="2">
        <f t="shared" si="205"/>
        <v>0</v>
      </c>
      <c r="U100" s="2">
        <f t="shared" si="205"/>
        <v>0</v>
      </c>
      <c r="V100" s="2">
        <f t="shared" si="205"/>
        <v>0</v>
      </c>
      <c r="W100" s="2">
        <f t="shared" si="205"/>
        <v>0</v>
      </c>
      <c r="X100" s="2">
        <f t="shared" si="205"/>
        <v>0</v>
      </c>
      <c r="Y100" s="2">
        <f t="shared" si="205"/>
        <v>0</v>
      </c>
      <c r="Z100" s="2">
        <f t="shared" si="205"/>
        <v>0</v>
      </c>
      <c r="AA100" s="2">
        <f t="shared" si="205"/>
        <v>0</v>
      </c>
      <c r="AB100" s="2">
        <f t="shared" si="205"/>
        <v>0</v>
      </c>
      <c r="AC100" s="2">
        <f t="shared" si="205"/>
        <v>0</v>
      </c>
      <c r="AD100" s="2">
        <f t="shared" si="205"/>
        <v>0</v>
      </c>
      <c r="AE100" s="2">
        <f t="shared" si="205"/>
        <v>1</v>
      </c>
      <c r="AF100" s="2" t="s">
        <v>2923</v>
      </c>
    </row>
    <row r="101">
      <c r="A101" s="92" t="s">
        <v>1102</v>
      </c>
      <c r="B101" s="64" t="s">
        <v>2924</v>
      </c>
      <c r="C101" s="64">
        <v>79.0</v>
      </c>
      <c r="D101" s="64" t="str">
        <f t="shared" si="3"/>
        <v>CO4502879b</v>
      </c>
      <c r="E101" s="168">
        <v>45028.0</v>
      </c>
      <c r="F101" s="2" t="s">
        <v>2826</v>
      </c>
      <c r="G101" s="2" t="s">
        <v>2826</v>
      </c>
      <c r="H101" s="2" t="s">
        <v>2826</v>
      </c>
      <c r="I101" s="2">
        <f t="shared" ref="I101:K101" si="206">If(Iserr(search(I$1,$H101)),0,1)</f>
        <v>0</v>
      </c>
      <c r="J101" s="2">
        <f t="shared" si="206"/>
        <v>0</v>
      </c>
      <c r="K101" s="2">
        <f t="shared" si="206"/>
        <v>0</v>
      </c>
      <c r="L101" s="2">
        <f t="shared" si="5"/>
        <v>0</v>
      </c>
      <c r="M101" s="2">
        <f t="shared" ref="M101:AE101" si="207">If(Iserr(search(M$1,$H101)),0,1)</f>
        <v>0</v>
      </c>
      <c r="N101" s="2">
        <f t="shared" si="207"/>
        <v>0</v>
      </c>
      <c r="O101" s="2">
        <f t="shared" si="207"/>
        <v>0</v>
      </c>
      <c r="P101" s="2">
        <f t="shared" si="207"/>
        <v>0</v>
      </c>
      <c r="Q101" s="2">
        <f t="shared" si="207"/>
        <v>0</v>
      </c>
      <c r="R101" s="2">
        <f t="shared" si="207"/>
        <v>0</v>
      </c>
      <c r="S101" s="2">
        <f t="shared" si="207"/>
        <v>0</v>
      </c>
      <c r="T101" s="2">
        <f t="shared" si="207"/>
        <v>0</v>
      </c>
      <c r="U101" s="2">
        <f t="shared" si="207"/>
        <v>0</v>
      </c>
      <c r="V101" s="2">
        <f t="shared" si="207"/>
        <v>0</v>
      </c>
      <c r="W101" s="2">
        <f t="shared" si="207"/>
        <v>0</v>
      </c>
      <c r="X101" s="2">
        <f t="shared" si="207"/>
        <v>0</v>
      </c>
      <c r="Y101" s="2">
        <f t="shared" si="207"/>
        <v>0</v>
      </c>
      <c r="Z101" s="2">
        <f t="shared" si="207"/>
        <v>0</v>
      </c>
      <c r="AA101" s="2">
        <f t="shared" si="207"/>
        <v>0</v>
      </c>
      <c r="AB101" s="2">
        <f t="shared" si="207"/>
        <v>0</v>
      </c>
      <c r="AC101" s="2">
        <f t="shared" si="207"/>
        <v>0</v>
      </c>
      <c r="AD101" s="2">
        <f t="shared" si="207"/>
        <v>1</v>
      </c>
      <c r="AE101" s="2">
        <f t="shared" si="207"/>
        <v>1</v>
      </c>
      <c r="AF101" s="2" t="s">
        <v>2923</v>
      </c>
    </row>
    <row r="102">
      <c r="A102" s="92" t="s">
        <v>1115</v>
      </c>
      <c r="B102" s="64">
        <f>B100+1</f>
        <v>80</v>
      </c>
      <c r="C102" s="64">
        <v>80.0</v>
      </c>
      <c r="D102" s="64" t="str">
        <f t="shared" si="3"/>
        <v>CO4503380</v>
      </c>
      <c r="E102" s="168">
        <v>45033.0</v>
      </c>
      <c r="F102" s="2" t="s">
        <v>650</v>
      </c>
      <c r="G102" s="2" t="s">
        <v>2826</v>
      </c>
      <c r="H102" s="2" t="s">
        <v>2826</v>
      </c>
      <c r="I102" s="2">
        <f t="shared" ref="I102:K102" si="208">If(Iserr(search(I$1,$H102)),0,1)</f>
        <v>0</v>
      </c>
      <c r="J102" s="2">
        <f t="shared" si="208"/>
        <v>0</v>
      </c>
      <c r="K102" s="2">
        <f t="shared" si="208"/>
        <v>0</v>
      </c>
      <c r="L102" s="2">
        <f t="shared" si="5"/>
        <v>0</v>
      </c>
      <c r="M102" s="2">
        <f t="shared" ref="M102:AE102" si="209">If(Iserr(search(M$1,$H102)),0,1)</f>
        <v>0</v>
      </c>
      <c r="N102" s="2">
        <f t="shared" si="209"/>
        <v>0</v>
      </c>
      <c r="O102" s="2">
        <f t="shared" si="209"/>
        <v>0</v>
      </c>
      <c r="P102" s="2">
        <f t="shared" si="209"/>
        <v>0</v>
      </c>
      <c r="Q102" s="2">
        <f t="shared" si="209"/>
        <v>0</v>
      </c>
      <c r="R102" s="2">
        <f t="shared" si="209"/>
        <v>0</v>
      </c>
      <c r="S102" s="2">
        <f t="shared" si="209"/>
        <v>0</v>
      </c>
      <c r="T102" s="2">
        <f t="shared" si="209"/>
        <v>0</v>
      </c>
      <c r="U102" s="2">
        <f t="shared" si="209"/>
        <v>0</v>
      </c>
      <c r="V102" s="2">
        <f t="shared" si="209"/>
        <v>0</v>
      </c>
      <c r="W102" s="2">
        <f t="shared" si="209"/>
        <v>0</v>
      </c>
      <c r="X102" s="2">
        <f t="shared" si="209"/>
        <v>0</v>
      </c>
      <c r="Y102" s="2">
        <f t="shared" si="209"/>
        <v>0</v>
      </c>
      <c r="Z102" s="2">
        <f t="shared" si="209"/>
        <v>0</v>
      </c>
      <c r="AA102" s="2">
        <f t="shared" si="209"/>
        <v>0</v>
      </c>
      <c r="AB102" s="2">
        <f t="shared" si="209"/>
        <v>0</v>
      </c>
      <c r="AC102" s="2">
        <f t="shared" si="209"/>
        <v>0</v>
      </c>
      <c r="AD102" s="2">
        <f t="shared" si="209"/>
        <v>1</v>
      </c>
      <c r="AE102" s="2">
        <f t="shared" si="209"/>
        <v>1</v>
      </c>
      <c r="AF102" s="2" t="s">
        <v>2956</v>
      </c>
    </row>
    <row r="103">
      <c r="A103" s="92" t="s">
        <v>1115</v>
      </c>
      <c r="B103" s="64" t="s">
        <v>2958</v>
      </c>
      <c r="C103" s="64">
        <v>80.0</v>
      </c>
      <c r="D103" s="64" t="str">
        <f t="shared" si="3"/>
        <v>CO4503380b</v>
      </c>
      <c r="E103" s="168">
        <v>45033.0</v>
      </c>
      <c r="F103" s="2" t="s">
        <v>1488</v>
      </c>
      <c r="G103" s="2" t="s">
        <v>1488</v>
      </c>
      <c r="H103" s="2" t="s">
        <v>1488</v>
      </c>
      <c r="I103" s="2">
        <f t="shared" ref="I103:K103" si="210">If(Iserr(search(I$1,$H103)),0,1)</f>
        <v>0</v>
      </c>
      <c r="J103" s="2">
        <f t="shared" si="210"/>
        <v>1</v>
      </c>
      <c r="K103" s="2">
        <f t="shared" si="210"/>
        <v>0</v>
      </c>
      <c r="L103" s="2">
        <f t="shared" si="5"/>
        <v>0</v>
      </c>
      <c r="M103" s="2">
        <f t="shared" ref="M103:AE103" si="211">If(Iserr(search(M$1,$H103)),0,1)</f>
        <v>0</v>
      </c>
      <c r="N103" s="2">
        <f t="shared" si="211"/>
        <v>0</v>
      </c>
      <c r="O103" s="2">
        <f t="shared" si="211"/>
        <v>0</v>
      </c>
      <c r="P103" s="2">
        <f t="shared" si="211"/>
        <v>0</v>
      </c>
      <c r="Q103" s="2">
        <f t="shared" si="211"/>
        <v>0</v>
      </c>
      <c r="R103" s="2">
        <f t="shared" si="211"/>
        <v>0</v>
      </c>
      <c r="S103" s="2">
        <f t="shared" si="211"/>
        <v>0</v>
      </c>
      <c r="T103" s="2">
        <f t="shared" si="211"/>
        <v>0</v>
      </c>
      <c r="U103" s="2">
        <f t="shared" si="211"/>
        <v>0</v>
      </c>
      <c r="V103" s="2">
        <f t="shared" si="211"/>
        <v>0</v>
      </c>
      <c r="W103" s="2">
        <f t="shared" si="211"/>
        <v>0</v>
      </c>
      <c r="X103" s="2">
        <f t="shared" si="211"/>
        <v>0</v>
      </c>
      <c r="Y103" s="2">
        <f t="shared" si="211"/>
        <v>0</v>
      </c>
      <c r="Z103" s="2">
        <f t="shared" si="211"/>
        <v>0</v>
      </c>
      <c r="AA103" s="2">
        <f t="shared" si="211"/>
        <v>0</v>
      </c>
      <c r="AB103" s="2">
        <f t="shared" si="211"/>
        <v>0</v>
      </c>
      <c r="AC103" s="2">
        <f t="shared" si="211"/>
        <v>0</v>
      </c>
      <c r="AD103" s="2">
        <f t="shared" si="211"/>
        <v>0</v>
      </c>
      <c r="AE103" s="2">
        <f t="shared" si="211"/>
        <v>0</v>
      </c>
      <c r="AF103" s="2" t="s">
        <v>2956</v>
      </c>
    </row>
    <row r="104">
      <c r="A104" s="92" t="s">
        <v>1140</v>
      </c>
      <c r="B104" s="64">
        <f>B102+1</f>
        <v>81</v>
      </c>
      <c r="C104" s="64">
        <v>81.0</v>
      </c>
      <c r="D104" s="64" t="str">
        <f t="shared" si="3"/>
        <v>CO4505481</v>
      </c>
      <c r="E104" s="168">
        <v>45054.0</v>
      </c>
      <c r="F104" s="2" t="s">
        <v>607</v>
      </c>
      <c r="G104" s="2" t="s">
        <v>1503</v>
      </c>
      <c r="H104" s="2" t="s">
        <v>1503</v>
      </c>
      <c r="I104" s="2">
        <f t="shared" ref="I104:K104" si="212">If(Iserr(search(I$1,$H104)),0,1)</f>
        <v>0</v>
      </c>
      <c r="J104" s="2">
        <f t="shared" si="212"/>
        <v>0</v>
      </c>
      <c r="K104" s="2">
        <f t="shared" si="212"/>
        <v>0</v>
      </c>
      <c r="L104" s="2">
        <f t="shared" si="5"/>
        <v>0</v>
      </c>
      <c r="M104" s="2">
        <f t="shared" ref="M104:AE104" si="213">If(Iserr(search(M$1,$H104)),0,1)</f>
        <v>0</v>
      </c>
      <c r="N104" s="2">
        <f t="shared" si="213"/>
        <v>0</v>
      </c>
      <c r="O104" s="2">
        <f t="shared" si="213"/>
        <v>0</v>
      </c>
      <c r="P104" s="2">
        <f t="shared" si="213"/>
        <v>0</v>
      </c>
      <c r="Q104" s="2">
        <f t="shared" si="213"/>
        <v>0</v>
      </c>
      <c r="R104" s="2">
        <f t="shared" si="213"/>
        <v>0</v>
      </c>
      <c r="S104" s="2">
        <f t="shared" si="213"/>
        <v>0</v>
      </c>
      <c r="T104" s="2">
        <f t="shared" si="213"/>
        <v>0</v>
      </c>
      <c r="U104" s="2">
        <f t="shared" si="213"/>
        <v>0</v>
      </c>
      <c r="V104" s="2">
        <f t="shared" si="213"/>
        <v>0</v>
      </c>
      <c r="W104" s="2">
        <f t="shared" si="213"/>
        <v>0</v>
      </c>
      <c r="X104" s="2">
        <f t="shared" si="213"/>
        <v>0</v>
      </c>
      <c r="Y104" s="2">
        <f t="shared" si="213"/>
        <v>0</v>
      </c>
      <c r="Z104" s="2">
        <f t="shared" si="213"/>
        <v>0</v>
      </c>
      <c r="AA104" s="2">
        <f t="shared" si="213"/>
        <v>0</v>
      </c>
      <c r="AB104" s="2">
        <f t="shared" si="213"/>
        <v>0</v>
      </c>
      <c r="AC104" s="2">
        <f t="shared" si="213"/>
        <v>0</v>
      </c>
      <c r="AD104" s="2">
        <f t="shared" si="213"/>
        <v>0</v>
      </c>
      <c r="AE104" s="2">
        <f t="shared" si="213"/>
        <v>1</v>
      </c>
      <c r="AF104" s="2" t="s">
        <v>2989</v>
      </c>
    </row>
    <row r="105">
      <c r="A105" s="92" t="s">
        <v>1140</v>
      </c>
      <c r="B105" s="64" t="s">
        <v>2991</v>
      </c>
      <c r="C105" s="64">
        <v>81.0</v>
      </c>
      <c r="D105" s="64" t="str">
        <f t="shared" si="3"/>
        <v>CO4505481b</v>
      </c>
      <c r="E105" s="168">
        <v>45054.0</v>
      </c>
      <c r="F105" s="2" t="s">
        <v>210</v>
      </c>
      <c r="G105" s="2" t="s">
        <v>210</v>
      </c>
      <c r="H105" s="2" t="s">
        <v>210</v>
      </c>
      <c r="I105" s="2">
        <f t="shared" ref="I105:K105" si="214">If(Iserr(search(I$1,$H105)),0,1)</f>
        <v>0</v>
      </c>
      <c r="J105" s="2">
        <f t="shared" si="214"/>
        <v>0</v>
      </c>
      <c r="K105" s="2">
        <f t="shared" si="214"/>
        <v>0</v>
      </c>
      <c r="L105" s="2">
        <f t="shared" si="5"/>
        <v>0</v>
      </c>
      <c r="M105" s="2">
        <f t="shared" ref="M105:AE105" si="215">If(Iserr(search(M$1,$H105)),0,1)</f>
        <v>0</v>
      </c>
      <c r="N105" s="2">
        <f t="shared" si="215"/>
        <v>0</v>
      </c>
      <c r="O105" s="2">
        <f t="shared" si="215"/>
        <v>0</v>
      </c>
      <c r="P105" s="2">
        <f t="shared" si="215"/>
        <v>0</v>
      </c>
      <c r="Q105" s="2">
        <f t="shared" si="215"/>
        <v>0</v>
      </c>
      <c r="R105" s="2">
        <f t="shared" si="215"/>
        <v>0</v>
      </c>
      <c r="S105" s="2">
        <f t="shared" si="215"/>
        <v>0</v>
      </c>
      <c r="T105" s="2">
        <f t="shared" si="215"/>
        <v>0</v>
      </c>
      <c r="U105" s="2">
        <f t="shared" si="215"/>
        <v>0</v>
      </c>
      <c r="V105" s="2">
        <f t="shared" si="215"/>
        <v>0</v>
      </c>
      <c r="W105" s="2">
        <f t="shared" si="215"/>
        <v>0</v>
      </c>
      <c r="X105" s="2">
        <f t="shared" si="215"/>
        <v>0</v>
      </c>
      <c r="Y105" s="2">
        <f t="shared" si="215"/>
        <v>0</v>
      </c>
      <c r="Z105" s="2">
        <f t="shared" si="215"/>
        <v>0</v>
      </c>
      <c r="AA105" s="2">
        <f t="shared" si="215"/>
        <v>0</v>
      </c>
      <c r="AB105" s="2">
        <f t="shared" si="215"/>
        <v>0</v>
      </c>
      <c r="AC105" s="2">
        <f t="shared" si="215"/>
        <v>0</v>
      </c>
      <c r="AD105" s="2">
        <f t="shared" si="215"/>
        <v>1</v>
      </c>
      <c r="AE105" s="2">
        <f t="shared" si="215"/>
        <v>0</v>
      </c>
      <c r="AF105" s="2" t="s">
        <v>2989</v>
      </c>
    </row>
    <row r="106">
      <c r="A106" s="92" t="s">
        <v>1147</v>
      </c>
      <c r="B106" s="64">
        <f>B104+1</f>
        <v>82</v>
      </c>
      <c r="C106" s="64">
        <v>82.0</v>
      </c>
      <c r="D106" s="64" t="str">
        <f t="shared" si="3"/>
        <v>CO4505582</v>
      </c>
      <c r="E106" s="168">
        <v>45055.0</v>
      </c>
      <c r="F106" s="2" t="s">
        <v>1486</v>
      </c>
      <c r="G106" s="2" t="s">
        <v>1486</v>
      </c>
      <c r="H106" s="2" t="s">
        <v>1486</v>
      </c>
      <c r="I106" s="2">
        <f t="shared" ref="I106:K106" si="216">If(Iserr(search(I$1,$H106)),0,1)</f>
        <v>1</v>
      </c>
      <c r="J106" s="2">
        <f t="shared" si="216"/>
        <v>0</v>
      </c>
      <c r="K106" s="2">
        <f t="shared" si="216"/>
        <v>0</v>
      </c>
      <c r="L106" s="2">
        <f t="shared" si="5"/>
        <v>0</v>
      </c>
      <c r="M106" s="2">
        <f t="shared" ref="M106:AE106" si="217">If(Iserr(search(M$1,$H106)),0,1)</f>
        <v>0</v>
      </c>
      <c r="N106" s="2">
        <f t="shared" si="217"/>
        <v>0</v>
      </c>
      <c r="O106" s="2">
        <f t="shared" si="217"/>
        <v>0</v>
      </c>
      <c r="P106" s="2">
        <f t="shared" si="217"/>
        <v>0</v>
      </c>
      <c r="Q106" s="2">
        <f t="shared" si="217"/>
        <v>0</v>
      </c>
      <c r="R106" s="2">
        <f t="shared" si="217"/>
        <v>0</v>
      </c>
      <c r="S106" s="2">
        <f t="shared" si="217"/>
        <v>0</v>
      </c>
      <c r="T106" s="2">
        <f t="shared" si="217"/>
        <v>0</v>
      </c>
      <c r="U106" s="2">
        <f t="shared" si="217"/>
        <v>0</v>
      </c>
      <c r="V106" s="2">
        <f t="shared" si="217"/>
        <v>0</v>
      </c>
      <c r="W106" s="2">
        <f t="shared" si="217"/>
        <v>0</v>
      </c>
      <c r="X106" s="2">
        <f t="shared" si="217"/>
        <v>0</v>
      </c>
      <c r="Y106" s="2">
        <f t="shared" si="217"/>
        <v>0</v>
      </c>
      <c r="Z106" s="2">
        <f t="shared" si="217"/>
        <v>0</v>
      </c>
      <c r="AA106" s="2">
        <f t="shared" si="217"/>
        <v>0</v>
      </c>
      <c r="AB106" s="2">
        <f t="shared" si="217"/>
        <v>0</v>
      </c>
      <c r="AC106" s="2">
        <f t="shared" si="217"/>
        <v>0</v>
      </c>
      <c r="AD106" s="2">
        <f t="shared" si="217"/>
        <v>0</v>
      </c>
      <c r="AE106" s="2">
        <f t="shared" si="217"/>
        <v>0</v>
      </c>
      <c r="AF106" s="2" t="s">
        <v>3021</v>
      </c>
    </row>
    <row r="107">
      <c r="A107" s="92" t="s">
        <v>1147</v>
      </c>
      <c r="B107" s="64" t="s">
        <v>3023</v>
      </c>
      <c r="C107" s="64">
        <v>82.0</v>
      </c>
      <c r="D107" s="64" t="str">
        <f t="shared" si="3"/>
        <v>CO4505582b</v>
      </c>
      <c r="E107" s="168">
        <v>45055.0</v>
      </c>
      <c r="F107" s="2" t="s">
        <v>3025</v>
      </c>
      <c r="G107" s="2" t="s">
        <v>210</v>
      </c>
      <c r="H107" s="2" t="s">
        <v>210</v>
      </c>
      <c r="I107" s="2">
        <f t="shared" ref="I107:K107" si="218">If(Iserr(search(I$1,$H107)),0,1)</f>
        <v>0</v>
      </c>
      <c r="J107" s="2">
        <f t="shared" si="218"/>
        <v>0</v>
      </c>
      <c r="K107" s="2">
        <f t="shared" si="218"/>
        <v>0</v>
      </c>
      <c r="L107" s="2">
        <f t="shared" si="5"/>
        <v>0</v>
      </c>
      <c r="M107" s="2">
        <f t="shared" ref="M107:AE107" si="219">If(Iserr(search(M$1,$H107)),0,1)</f>
        <v>0</v>
      </c>
      <c r="N107" s="2">
        <f t="shared" si="219"/>
        <v>0</v>
      </c>
      <c r="O107" s="2">
        <f t="shared" si="219"/>
        <v>0</v>
      </c>
      <c r="P107" s="2">
        <f t="shared" si="219"/>
        <v>0</v>
      </c>
      <c r="Q107" s="2">
        <f t="shared" si="219"/>
        <v>0</v>
      </c>
      <c r="R107" s="2">
        <f t="shared" si="219"/>
        <v>0</v>
      </c>
      <c r="S107" s="2">
        <f t="shared" si="219"/>
        <v>0</v>
      </c>
      <c r="T107" s="2">
        <f t="shared" si="219"/>
        <v>0</v>
      </c>
      <c r="U107" s="2">
        <f t="shared" si="219"/>
        <v>0</v>
      </c>
      <c r="V107" s="2">
        <f t="shared" si="219"/>
        <v>0</v>
      </c>
      <c r="W107" s="2">
        <f t="shared" si="219"/>
        <v>0</v>
      </c>
      <c r="X107" s="2">
        <f t="shared" si="219"/>
        <v>0</v>
      </c>
      <c r="Y107" s="2">
        <f t="shared" si="219"/>
        <v>0</v>
      </c>
      <c r="Z107" s="2">
        <f t="shared" si="219"/>
        <v>0</v>
      </c>
      <c r="AA107" s="2">
        <f t="shared" si="219"/>
        <v>0</v>
      </c>
      <c r="AB107" s="2">
        <f t="shared" si="219"/>
        <v>0</v>
      </c>
      <c r="AC107" s="2">
        <f t="shared" si="219"/>
        <v>0</v>
      </c>
      <c r="AD107" s="2">
        <f t="shared" si="219"/>
        <v>1</v>
      </c>
      <c r="AE107" s="2">
        <f t="shared" si="219"/>
        <v>0</v>
      </c>
      <c r="AF107" s="2" t="s">
        <v>3021</v>
      </c>
    </row>
    <row r="108">
      <c r="A108" s="92" t="s">
        <v>1147</v>
      </c>
      <c r="B108" s="64" t="s">
        <v>3042</v>
      </c>
      <c r="C108" s="64">
        <v>82.0</v>
      </c>
      <c r="D108" s="64" t="str">
        <f t="shared" si="3"/>
        <v>CO4505582c</v>
      </c>
      <c r="E108" s="168">
        <v>45055.0</v>
      </c>
      <c r="F108" s="2" t="s">
        <v>3044</v>
      </c>
      <c r="G108" s="2" t="s">
        <v>1503</v>
      </c>
      <c r="H108" s="2" t="s">
        <v>1503</v>
      </c>
      <c r="I108" s="2">
        <f t="shared" ref="I108:K108" si="220">If(Iserr(search(I$1,$H108)),0,1)</f>
        <v>0</v>
      </c>
      <c r="J108" s="2">
        <f t="shared" si="220"/>
        <v>0</v>
      </c>
      <c r="K108" s="2">
        <f t="shared" si="220"/>
        <v>0</v>
      </c>
      <c r="L108" s="2">
        <f t="shared" si="5"/>
        <v>0</v>
      </c>
      <c r="M108" s="2">
        <f t="shared" ref="M108:AE108" si="221">If(Iserr(search(M$1,$H108)),0,1)</f>
        <v>0</v>
      </c>
      <c r="N108" s="2">
        <f t="shared" si="221"/>
        <v>0</v>
      </c>
      <c r="O108" s="2">
        <f t="shared" si="221"/>
        <v>0</v>
      </c>
      <c r="P108" s="2">
        <f t="shared" si="221"/>
        <v>0</v>
      </c>
      <c r="Q108" s="2">
        <f t="shared" si="221"/>
        <v>0</v>
      </c>
      <c r="R108" s="2">
        <f t="shared" si="221"/>
        <v>0</v>
      </c>
      <c r="S108" s="2">
        <f t="shared" si="221"/>
        <v>0</v>
      </c>
      <c r="T108" s="2">
        <f t="shared" si="221"/>
        <v>0</v>
      </c>
      <c r="U108" s="2">
        <f t="shared" si="221"/>
        <v>0</v>
      </c>
      <c r="V108" s="2">
        <f t="shared" si="221"/>
        <v>0</v>
      </c>
      <c r="W108" s="2">
        <f t="shared" si="221"/>
        <v>0</v>
      </c>
      <c r="X108" s="2">
        <f t="shared" si="221"/>
        <v>0</v>
      </c>
      <c r="Y108" s="2">
        <f t="shared" si="221"/>
        <v>0</v>
      </c>
      <c r="Z108" s="2">
        <f t="shared" si="221"/>
        <v>0</v>
      </c>
      <c r="AA108" s="2">
        <f t="shared" si="221"/>
        <v>0</v>
      </c>
      <c r="AB108" s="2">
        <f t="shared" si="221"/>
        <v>0</v>
      </c>
      <c r="AC108" s="2">
        <f t="shared" si="221"/>
        <v>0</v>
      </c>
      <c r="AD108" s="2">
        <f t="shared" si="221"/>
        <v>0</v>
      </c>
      <c r="AE108" s="2">
        <f t="shared" si="221"/>
        <v>1</v>
      </c>
      <c r="AF108" s="2" t="s">
        <v>3021</v>
      </c>
    </row>
    <row r="109">
      <c r="A109" s="92" t="s">
        <v>1166</v>
      </c>
      <c r="B109" s="64">
        <f>B106+1</f>
        <v>83</v>
      </c>
      <c r="C109" s="64">
        <v>83.0</v>
      </c>
      <c r="D109" s="64" t="str">
        <f t="shared" si="3"/>
        <v>CO4506983</v>
      </c>
      <c r="E109" s="168">
        <v>45069.0</v>
      </c>
      <c r="F109" s="2" t="s">
        <v>3025</v>
      </c>
      <c r="G109" s="2" t="s">
        <v>210</v>
      </c>
      <c r="H109" s="2" t="s">
        <v>210</v>
      </c>
      <c r="I109" s="2">
        <f t="shared" ref="I109:K109" si="222">If(Iserr(search(I$1,$H109)),0,1)</f>
        <v>0</v>
      </c>
      <c r="J109" s="2">
        <f t="shared" si="222"/>
        <v>0</v>
      </c>
      <c r="K109" s="2">
        <f t="shared" si="222"/>
        <v>0</v>
      </c>
      <c r="L109" s="2">
        <f t="shared" si="5"/>
        <v>0</v>
      </c>
      <c r="M109" s="2">
        <f t="shared" ref="M109:AE109" si="223">If(Iserr(search(M$1,$H109)),0,1)</f>
        <v>0</v>
      </c>
      <c r="N109" s="2">
        <f t="shared" si="223"/>
        <v>0</v>
      </c>
      <c r="O109" s="2">
        <f t="shared" si="223"/>
        <v>0</v>
      </c>
      <c r="P109" s="2">
        <f t="shared" si="223"/>
        <v>0</v>
      </c>
      <c r="Q109" s="2">
        <f t="shared" si="223"/>
        <v>0</v>
      </c>
      <c r="R109" s="2">
        <f t="shared" si="223"/>
        <v>0</v>
      </c>
      <c r="S109" s="2">
        <f t="shared" si="223"/>
        <v>0</v>
      </c>
      <c r="T109" s="2">
        <f t="shared" si="223"/>
        <v>0</v>
      </c>
      <c r="U109" s="2">
        <f t="shared" si="223"/>
        <v>0</v>
      </c>
      <c r="V109" s="2">
        <f t="shared" si="223"/>
        <v>0</v>
      </c>
      <c r="W109" s="2">
        <f t="shared" si="223"/>
        <v>0</v>
      </c>
      <c r="X109" s="2">
        <f t="shared" si="223"/>
        <v>0</v>
      </c>
      <c r="Y109" s="2">
        <f t="shared" si="223"/>
        <v>0</v>
      </c>
      <c r="Z109" s="2">
        <f t="shared" si="223"/>
        <v>0</v>
      </c>
      <c r="AA109" s="2">
        <f t="shared" si="223"/>
        <v>0</v>
      </c>
      <c r="AB109" s="2">
        <f t="shared" si="223"/>
        <v>0</v>
      </c>
      <c r="AC109" s="2">
        <f t="shared" si="223"/>
        <v>0</v>
      </c>
      <c r="AD109" s="2">
        <f t="shared" si="223"/>
        <v>1</v>
      </c>
      <c r="AE109" s="2">
        <f t="shared" si="223"/>
        <v>0</v>
      </c>
      <c r="AF109" s="2" t="s">
        <v>3061</v>
      </c>
    </row>
    <row r="110">
      <c r="A110" s="92" t="s">
        <v>1183</v>
      </c>
      <c r="B110" s="64">
        <v>84.0</v>
      </c>
      <c r="C110" s="64">
        <v>84.0</v>
      </c>
      <c r="D110" s="64" t="str">
        <f t="shared" si="3"/>
        <v>CO4508984</v>
      </c>
      <c r="E110" s="168">
        <v>45089.0</v>
      </c>
      <c r="F110" s="2" t="s">
        <v>3065</v>
      </c>
      <c r="G110" s="2" t="s">
        <v>1503</v>
      </c>
      <c r="H110" s="2" t="s">
        <v>1503</v>
      </c>
      <c r="I110" s="2">
        <f t="shared" ref="I110:K110" si="224">If(Iserr(search(I$1,$H110)),0,1)</f>
        <v>0</v>
      </c>
      <c r="J110" s="2">
        <f t="shared" si="224"/>
        <v>0</v>
      </c>
      <c r="K110" s="2">
        <f t="shared" si="224"/>
        <v>0</v>
      </c>
      <c r="L110" s="2">
        <f t="shared" si="5"/>
        <v>0</v>
      </c>
      <c r="M110" s="2">
        <f t="shared" ref="M110:AE110" si="225">If(Iserr(search(M$1,$H110)),0,1)</f>
        <v>0</v>
      </c>
      <c r="N110" s="2">
        <f t="shared" si="225"/>
        <v>0</v>
      </c>
      <c r="O110" s="2">
        <f t="shared" si="225"/>
        <v>0</v>
      </c>
      <c r="P110" s="2">
        <f t="shared" si="225"/>
        <v>0</v>
      </c>
      <c r="Q110" s="2">
        <f t="shared" si="225"/>
        <v>0</v>
      </c>
      <c r="R110" s="2">
        <f t="shared" si="225"/>
        <v>0</v>
      </c>
      <c r="S110" s="2">
        <f t="shared" si="225"/>
        <v>0</v>
      </c>
      <c r="T110" s="2">
        <f t="shared" si="225"/>
        <v>0</v>
      </c>
      <c r="U110" s="2">
        <f t="shared" si="225"/>
        <v>0</v>
      </c>
      <c r="V110" s="2">
        <f t="shared" si="225"/>
        <v>0</v>
      </c>
      <c r="W110" s="2">
        <f t="shared" si="225"/>
        <v>0</v>
      </c>
      <c r="X110" s="2">
        <f t="shared" si="225"/>
        <v>0</v>
      </c>
      <c r="Y110" s="2">
        <f t="shared" si="225"/>
        <v>0</v>
      </c>
      <c r="Z110" s="2">
        <f t="shared" si="225"/>
        <v>0</v>
      </c>
      <c r="AA110" s="2">
        <f t="shared" si="225"/>
        <v>0</v>
      </c>
      <c r="AB110" s="2">
        <f t="shared" si="225"/>
        <v>0</v>
      </c>
      <c r="AC110" s="2">
        <f t="shared" si="225"/>
        <v>0</v>
      </c>
      <c r="AD110" s="2">
        <f t="shared" si="225"/>
        <v>0</v>
      </c>
      <c r="AE110" s="2">
        <f t="shared" si="225"/>
        <v>1</v>
      </c>
      <c r="AF110" s="2" t="s">
        <v>3073</v>
      </c>
    </row>
    <row r="111">
      <c r="A111" s="92" t="s">
        <v>1206</v>
      </c>
      <c r="B111" s="64">
        <f>B110+1</f>
        <v>85</v>
      </c>
      <c r="C111" s="64">
        <v>85.0</v>
      </c>
      <c r="D111" s="64" t="str">
        <f t="shared" si="3"/>
        <v>CO4509985</v>
      </c>
      <c r="E111" s="168">
        <v>45099.0</v>
      </c>
      <c r="F111" s="2" t="s">
        <v>650</v>
      </c>
      <c r="G111" s="2" t="s">
        <v>2826</v>
      </c>
      <c r="H111" s="2" t="s">
        <v>2826</v>
      </c>
      <c r="I111" s="2">
        <f t="shared" ref="I111:K111" si="226">If(Iserr(search(I$1,$H111)),0,1)</f>
        <v>0</v>
      </c>
      <c r="J111" s="2">
        <f t="shared" si="226"/>
        <v>0</v>
      </c>
      <c r="K111" s="2">
        <f t="shared" si="226"/>
        <v>0</v>
      </c>
      <c r="L111" s="2">
        <f t="shared" si="5"/>
        <v>0</v>
      </c>
      <c r="M111" s="2">
        <f t="shared" ref="M111:AE111" si="227">If(Iserr(search(M$1,$H111)),0,1)</f>
        <v>0</v>
      </c>
      <c r="N111" s="2">
        <f t="shared" si="227"/>
        <v>0</v>
      </c>
      <c r="O111" s="2">
        <f t="shared" si="227"/>
        <v>0</v>
      </c>
      <c r="P111" s="2">
        <f t="shared" si="227"/>
        <v>0</v>
      </c>
      <c r="Q111" s="2">
        <f t="shared" si="227"/>
        <v>0</v>
      </c>
      <c r="R111" s="2">
        <f t="shared" si="227"/>
        <v>0</v>
      </c>
      <c r="S111" s="2">
        <f t="shared" si="227"/>
        <v>0</v>
      </c>
      <c r="T111" s="2">
        <f t="shared" si="227"/>
        <v>0</v>
      </c>
      <c r="U111" s="2">
        <f t="shared" si="227"/>
        <v>0</v>
      </c>
      <c r="V111" s="2">
        <f t="shared" si="227"/>
        <v>0</v>
      </c>
      <c r="W111" s="2">
        <f t="shared" si="227"/>
        <v>0</v>
      </c>
      <c r="X111" s="2">
        <f t="shared" si="227"/>
        <v>0</v>
      </c>
      <c r="Y111" s="2">
        <f t="shared" si="227"/>
        <v>0</v>
      </c>
      <c r="Z111" s="2">
        <f t="shared" si="227"/>
        <v>0</v>
      </c>
      <c r="AA111" s="2">
        <f t="shared" si="227"/>
        <v>0</v>
      </c>
      <c r="AB111" s="2">
        <f t="shared" si="227"/>
        <v>0</v>
      </c>
      <c r="AC111" s="2">
        <f t="shared" si="227"/>
        <v>0</v>
      </c>
      <c r="AD111" s="2">
        <f t="shared" si="227"/>
        <v>1</v>
      </c>
      <c r="AE111" s="2">
        <f t="shared" si="227"/>
        <v>1</v>
      </c>
      <c r="AF111" s="2" t="s">
        <v>3091</v>
      </c>
    </row>
    <row r="112">
      <c r="A112" s="92" t="s">
        <v>1206</v>
      </c>
      <c r="B112" s="64" t="s">
        <v>3093</v>
      </c>
      <c r="C112" s="64">
        <v>85.0</v>
      </c>
      <c r="D112" s="64" t="str">
        <f t="shared" si="3"/>
        <v>CO4509985b</v>
      </c>
      <c r="E112" s="168">
        <v>45099.0</v>
      </c>
      <c r="F112" s="2" t="s">
        <v>210</v>
      </c>
      <c r="G112" s="2" t="s">
        <v>210</v>
      </c>
      <c r="H112" s="2" t="s">
        <v>210</v>
      </c>
      <c r="I112" s="2">
        <f t="shared" ref="I112:K112" si="228">If(Iserr(search(I$1,$H112)),0,1)</f>
        <v>0</v>
      </c>
      <c r="J112" s="2">
        <f t="shared" si="228"/>
        <v>0</v>
      </c>
      <c r="K112" s="2">
        <f t="shared" si="228"/>
        <v>0</v>
      </c>
      <c r="L112" s="2">
        <f t="shared" si="5"/>
        <v>0</v>
      </c>
      <c r="M112" s="2">
        <f t="shared" ref="M112:AE112" si="229">If(Iserr(search(M$1,$H112)),0,1)</f>
        <v>0</v>
      </c>
      <c r="N112" s="2">
        <f t="shared" si="229"/>
        <v>0</v>
      </c>
      <c r="O112" s="2">
        <f t="shared" si="229"/>
        <v>0</v>
      </c>
      <c r="P112" s="2">
        <f t="shared" si="229"/>
        <v>0</v>
      </c>
      <c r="Q112" s="2">
        <f t="shared" si="229"/>
        <v>0</v>
      </c>
      <c r="R112" s="2">
        <f t="shared" si="229"/>
        <v>0</v>
      </c>
      <c r="S112" s="2">
        <f t="shared" si="229"/>
        <v>0</v>
      </c>
      <c r="T112" s="2">
        <f t="shared" si="229"/>
        <v>0</v>
      </c>
      <c r="U112" s="2">
        <f t="shared" si="229"/>
        <v>0</v>
      </c>
      <c r="V112" s="2">
        <f t="shared" si="229"/>
        <v>0</v>
      </c>
      <c r="W112" s="2">
        <f t="shared" si="229"/>
        <v>0</v>
      </c>
      <c r="X112" s="2">
        <f t="shared" si="229"/>
        <v>0</v>
      </c>
      <c r="Y112" s="2">
        <f t="shared" si="229"/>
        <v>0</v>
      </c>
      <c r="Z112" s="2">
        <f t="shared" si="229"/>
        <v>0</v>
      </c>
      <c r="AA112" s="2">
        <f t="shared" si="229"/>
        <v>0</v>
      </c>
      <c r="AB112" s="2">
        <f t="shared" si="229"/>
        <v>0</v>
      </c>
      <c r="AC112" s="2">
        <f t="shared" si="229"/>
        <v>0</v>
      </c>
      <c r="AD112" s="2">
        <f t="shared" si="229"/>
        <v>1</v>
      </c>
      <c r="AE112" s="2">
        <f t="shared" si="229"/>
        <v>0</v>
      </c>
      <c r="AF112" s="2" t="s">
        <v>3091</v>
      </c>
    </row>
    <row r="113">
      <c r="A113" s="92" t="s">
        <v>1206</v>
      </c>
      <c r="B113" s="64" t="s">
        <v>3103</v>
      </c>
      <c r="C113" s="64">
        <v>85.0</v>
      </c>
      <c r="D113" s="64" t="str">
        <f t="shared" si="3"/>
        <v>CO4509985c</v>
      </c>
      <c r="E113" s="168">
        <v>45099.0</v>
      </c>
      <c r="F113" s="2" t="s">
        <v>3105</v>
      </c>
      <c r="G113" s="2" t="s">
        <v>1486</v>
      </c>
      <c r="H113" s="2" t="s">
        <v>1486</v>
      </c>
      <c r="I113" s="2">
        <f t="shared" ref="I113:K113" si="230">If(Iserr(search(I$1,$H113)),0,1)</f>
        <v>1</v>
      </c>
      <c r="J113" s="2">
        <f t="shared" si="230"/>
        <v>0</v>
      </c>
      <c r="K113" s="2">
        <f t="shared" si="230"/>
        <v>0</v>
      </c>
      <c r="L113" s="2">
        <f t="shared" si="5"/>
        <v>0</v>
      </c>
      <c r="M113" s="2">
        <f t="shared" ref="M113:AE113" si="231">If(Iserr(search(M$1,$H113)),0,1)</f>
        <v>0</v>
      </c>
      <c r="N113" s="2">
        <f t="shared" si="231"/>
        <v>0</v>
      </c>
      <c r="O113" s="2">
        <f t="shared" si="231"/>
        <v>0</v>
      </c>
      <c r="P113" s="2">
        <f t="shared" si="231"/>
        <v>0</v>
      </c>
      <c r="Q113" s="2">
        <f t="shared" si="231"/>
        <v>0</v>
      </c>
      <c r="R113" s="2">
        <f t="shared" si="231"/>
        <v>0</v>
      </c>
      <c r="S113" s="2">
        <f t="shared" si="231"/>
        <v>0</v>
      </c>
      <c r="T113" s="2">
        <f t="shared" si="231"/>
        <v>0</v>
      </c>
      <c r="U113" s="2">
        <f t="shared" si="231"/>
        <v>0</v>
      </c>
      <c r="V113" s="2">
        <f t="shared" si="231"/>
        <v>0</v>
      </c>
      <c r="W113" s="2">
        <f t="shared" si="231"/>
        <v>0</v>
      </c>
      <c r="X113" s="2">
        <f t="shared" si="231"/>
        <v>0</v>
      </c>
      <c r="Y113" s="2">
        <f t="shared" si="231"/>
        <v>0</v>
      </c>
      <c r="Z113" s="2">
        <f t="shared" si="231"/>
        <v>0</v>
      </c>
      <c r="AA113" s="2">
        <f t="shared" si="231"/>
        <v>0</v>
      </c>
      <c r="AB113" s="2">
        <f t="shared" si="231"/>
        <v>0</v>
      </c>
      <c r="AC113" s="2">
        <f t="shared" si="231"/>
        <v>0</v>
      </c>
      <c r="AD113" s="2">
        <f t="shared" si="231"/>
        <v>0</v>
      </c>
      <c r="AE113" s="2">
        <f t="shared" si="231"/>
        <v>0</v>
      </c>
      <c r="AF113" s="2" t="s">
        <v>3091</v>
      </c>
    </row>
    <row r="114">
      <c r="A114" s="92" t="s">
        <v>1271</v>
      </c>
      <c r="B114" s="64">
        <f>B111+1</f>
        <v>86</v>
      </c>
      <c r="C114" s="64">
        <v>86.0</v>
      </c>
      <c r="D114" s="64" t="str">
        <f t="shared" si="3"/>
        <v>CO4516286</v>
      </c>
      <c r="E114" s="159">
        <v>45162.0</v>
      </c>
      <c r="F114" s="2" t="s">
        <v>607</v>
      </c>
      <c r="G114" s="2" t="s">
        <v>1503</v>
      </c>
      <c r="H114" s="2" t="s">
        <v>1503</v>
      </c>
      <c r="I114" s="2">
        <f t="shared" ref="I114:K114" si="232">If(Iserr(search(I$1,$H114)),0,1)</f>
        <v>0</v>
      </c>
      <c r="J114" s="2">
        <f t="shared" si="232"/>
        <v>0</v>
      </c>
      <c r="K114" s="2">
        <f t="shared" si="232"/>
        <v>0</v>
      </c>
      <c r="L114" s="2">
        <f t="shared" si="5"/>
        <v>0</v>
      </c>
      <c r="M114" s="2">
        <f t="shared" ref="M114:AE114" si="233">If(Iserr(search(M$1,$H114)),0,1)</f>
        <v>0</v>
      </c>
      <c r="N114" s="2">
        <f t="shared" si="233"/>
        <v>0</v>
      </c>
      <c r="O114" s="2">
        <f t="shared" si="233"/>
        <v>0</v>
      </c>
      <c r="P114" s="2">
        <f t="shared" si="233"/>
        <v>0</v>
      </c>
      <c r="Q114" s="2">
        <f t="shared" si="233"/>
        <v>0</v>
      </c>
      <c r="R114" s="2">
        <f t="shared" si="233"/>
        <v>0</v>
      </c>
      <c r="S114" s="2">
        <f t="shared" si="233"/>
        <v>0</v>
      </c>
      <c r="T114" s="2">
        <f t="shared" si="233"/>
        <v>0</v>
      </c>
      <c r="U114" s="2">
        <f t="shared" si="233"/>
        <v>0</v>
      </c>
      <c r="V114" s="2">
        <f t="shared" si="233"/>
        <v>0</v>
      </c>
      <c r="W114" s="2">
        <f t="shared" si="233"/>
        <v>0</v>
      </c>
      <c r="X114" s="2">
        <f t="shared" si="233"/>
        <v>0</v>
      </c>
      <c r="Y114" s="2">
        <f t="shared" si="233"/>
        <v>0</v>
      </c>
      <c r="Z114" s="2">
        <f t="shared" si="233"/>
        <v>0</v>
      </c>
      <c r="AA114" s="2">
        <f t="shared" si="233"/>
        <v>0</v>
      </c>
      <c r="AB114" s="2">
        <f t="shared" si="233"/>
        <v>0</v>
      </c>
      <c r="AC114" s="2">
        <f t="shared" si="233"/>
        <v>0</v>
      </c>
      <c r="AD114" s="2">
        <f t="shared" si="233"/>
        <v>0</v>
      </c>
      <c r="AE114" s="2">
        <f t="shared" si="233"/>
        <v>1</v>
      </c>
      <c r="AF114" s="2" t="s">
        <v>3124</v>
      </c>
    </row>
    <row r="115">
      <c r="A115" s="92" t="s">
        <v>1271</v>
      </c>
      <c r="B115" s="64" t="s">
        <v>3125</v>
      </c>
      <c r="C115" s="64">
        <v>86.0</v>
      </c>
      <c r="D115" s="64" t="str">
        <f t="shared" si="3"/>
        <v>CO4516286b</v>
      </c>
      <c r="E115" s="159">
        <v>45162.0</v>
      </c>
      <c r="F115" s="2" t="s">
        <v>3105</v>
      </c>
      <c r="G115" s="2" t="s">
        <v>1486</v>
      </c>
      <c r="H115" s="2" t="s">
        <v>1486</v>
      </c>
      <c r="I115" s="2">
        <f t="shared" ref="I115:K115" si="234">If(Iserr(search(I$1,$H115)),0,1)</f>
        <v>1</v>
      </c>
      <c r="J115" s="2">
        <f t="shared" si="234"/>
        <v>0</v>
      </c>
      <c r="K115" s="2">
        <f t="shared" si="234"/>
        <v>0</v>
      </c>
      <c r="L115" s="2">
        <f t="shared" si="5"/>
        <v>0</v>
      </c>
      <c r="M115" s="2">
        <f t="shared" ref="M115:AE115" si="235">If(Iserr(search(M$1,$H115)),0,1)</f>
        <v>0</v>
      </c>
      <c r="N115" s="2">
        <f t="shared" si="235"/>
        <v>0</v>
      </c>
      <c r="O115" s="2">
        <f t="shared" si="235"/>
        <v>0</v>
      </c>
      <c r="P115" s="2">
        <f t="shared" si="235"/>
        <v>0</v>
      </c>
      <c r="Q115" s="2">
        <f t="shared" si="235"/>
        <v>0</v>
      </c>
      <c r="R115" s="2">
        <f t="shared" si="235"/>
        <v>0</v>
      </c>
      <c r="S115" s="2">
        <f t="shared" si="235"/>
        <v>0</v>
      </c>
      <c r="T115" s="2">
        <f t="shared" si="235"/>
        <v>0</v>
      </c>
      <c r="U115" s="2">
        <f t="shared" si="235"/>
        <v>0</v>
      </c>
      <c r="V115" s="2">
        <f t="shared" si="235"/>
        <v>0</v>
      </c>
      <c r="W115" s="2">
        <f t="shared" si="235"/>
        <v>0</v>
      </c>
      <c r="X115" s="2">
        <f t="shared" si="235"/>
        <v>0</v>
      </c>
      <c r="Y115" s="2">
        <f t="shared" si="235"/>
        <v>0</v>
      </c>
      <c r="Z115" s="2">
        <f t="shared" si="235"/>
        <v>0</v>
      </c>
      <c r="AA115" s="2">
        <f t="shared" si="235"/>
        <v>0</v>
      </c>
      <c r="AB115" s="2">
        <f t="shared" si="235"/>
        <v>0</v>
      </c>
      <c r="AC115" s="2">
        <f t="shared" si="235"/>
        <v>0</v>
      </c>
      <c r="AD115" s="2">
        <f t="shared" si="235"/>
        <v>0</v>
      </c>
      <c r="AE115" s="2">
        <f t="shared" si="235"/>
        <v>0</v>
      </c>
      <c r="AF115" s="2" t="s">
        <v>3124</v>
      </c>
    </row>
    <row r="116">
      <c r="A116" s="92" t="s">
        <v>3126</v>
      </c>
      <c r="B116" s="64">
        <f>B114+1</f>
        <v>87</v>
      </c>
      <c r="C116" s="64">
        <v>87.0</v>
      </c>
      <c r="D116" s="64" t="str">
        <f t="shared" si="3"/>
        <v>CO4524687</v>
      </c>
      <c r="E116" s="159">
        <v>45246.0</v>
      </c>
      <c r="F116" s="185" t="s">
        <v>3127</v>
      </c>
      <c r="G116" s="2" t="s">
        <v>1503</v>
      </c>
      <c r="H116" s="2" t="s">
        <v>1503</v>
      </c>
      <c r="I116" s="2">
        <f t="shared" ref="I116:K116" si="236">If(Iserr(search(I$1,$H116)),0,1)</f>
        <v>0</v>
      </c>
      <c r="J116" s="2">
        <f t="shared" si="236"/>
        <v>0</v>
      </c>
      <c r="K116" s="2">
        <f t="shared" si="236"/>
        <v>0</v>
      </c>
      <c r="L116" s="2">
        <f t="shared" si="5"/>
        <v>0</v>
      </c>
      <c r="M116" s="2">
        <f t="shared" ref="M116:AE116" si="237">If(Iserr(search(M$1,$H116)),0,1)</f>
        <v>0</v>
      </c>
      <c r="N116" s="2">
        <f t="shared" si="237"/>
        <v>0</v>
      </c>
      <c r="O116" s="2">
        <f t="shared" si="237"/>
        <v>0</v>
      </c>
      <c r="P116" s="2">
        <f t="shared" si="237"/>
        <v>0</v>
      </c>
      <c r="Q116" s="2">
        <f t="shared" si="237"/>
        <v>0</v>
      </c>
      <c r="R116" s="2">
        <f t="shared" si="237"/>
        <v>0</v>
      </c>
      <c r="S116" s="2">
        <f t="shared" si="237"/>
        <v>0</v>
      </c>
      <c r="T116" s="2">
        <f t="shared" si="237"/>
        <v>0</v>
      </c>
      <c r="U116" s="2">
        <f t="shared" si="237"/>
        <v>0</v>
      </c>
      <c r="V116" s="2">
        <f t="shared" si="237"/>
        <v>0</v>
      </c>
      <c r="W116" s="2">
        <f t="shared" si="237"/>
        <v>0</v>
      </c>
      <c r="X116" s="2">
        <f t="shared" si="237"/>
        <v>0</v>
      </c>
      <c r="Y116" s="2">
        <f t="shared" si="237"/>
        <v>0</v>
      </c>
      <c r="Z116" s="2">
        <f t="shared" si="237"/>
        <v>0</v>
      </c>
      <c r="AA116" s="2">
        <f t="shared" si="237"/>
        <v>0</v>
      </c>
      <c r="AB116" s="2">
        <f t="shared" si="237"/>
        <v>0</v>
      </c>
      <c r="AC116" s="2">
        <f t="shared" si="237"/>
        <v>0</v>
      </c>
      <c r="AD116" s="2">
        <f t="shared" si="237"/>
        <v>0</v>
      </c>
      <c r="AE116" s="2">
        <f t="shared" si="237"/>
        <v>1</v>
      </c>
      <c r="AF116" s="186" t="s">
        <v>3128</v>
      </c>
    </row>
    <row r="117">
      <c r="A117" s="92" t="s">
        <v>3126</v>
      </c>
      <c r="B117" s="64" t="s">
        <v>3129</v>
      </c>
      <c r="C117" s="64">
        <v>87.0</v>
      </c>
      <c r="D117" s="64" t="str">
        <f t="shared" si="3"/>
        <v>CO4524687b</v>
      </c>
      <c r="E117" s="159">
        <v>45246.0</v>
      </c>
      <c r="F117" s="185" t="s">
        <v>3130</v>
      </c>
      <c r="G117" s="2" t="s">
        <v>2826</v>
      </c>
      <c r="H117" s="2" t="s">
        <v>2826</v>
      </c>
      <c r="I117" s="2">
        <f t="shared" ref="I117:K117" si="238">If(Iserr(search(I$1,$H117)),0,1)</f>
        <v>0</v>
      </c>
      <c r="J117" s="2">
        <f t="shared" si="238"/>
        <v>0</v>
      </c>
      <c r="K117" s="2">
        <f t="shared" si="238"/>
        <v>0</v>
      </c>
      <c r="L117" s="2">
        <f t="shared" si="5"/>
        <v>0</v>
      </c>
      <c r="M117" s="2">
        <f t="shared" ref="M117:AE117" si="239">If(Iserr(search(M$1,$H117)),0,1)</f>
        <v>0</v>
      </c>
      <c r="N117" s="2">
        <f t="shared" si="239"/>
        <v>0</v>
      </c>
      <c r="O117" s="2">
        <f t="shared" si="239"/>
        <v>0</v>
      </c>
      <c r="P117" s="2">
        <f t="shared" si="239"/>
        <v>0</v>
      </c>
      <c r="Q117" s="2">
        <f t="shared" si="239"/>
        <v>0</v>
      </c>
      <c r="R117" s="2">
        <f t="shared" si="239"/>
        <v>0</v>
      </c>
      <c r="S117" s="2">
        <f t="shared" si="239"/>
        <v>0</v>
      </c>
      <c r="T117" s="2">
        <f t="shared" si="239"/>
        <v>0</v>
      </c>
      <c r="U117" s="2">
        <f t="shared" si="239"/>
        <v>0</v>
      </c>
      <c r="V117" s="2">
        <f t="shared" si="239"/>
        <v>0</v>
      </c>
      <c r="W117" s="2">
        <f t="shared" si="239"/>
        <v>0</v>
      </c>
      <c r="X117" s="2">
        <f t="shared" si="239"/>
        <v>0</v>
      </c>
      <c r="Y117" s="2">
        <f t="shared" si="239"/>
        <v>0</v>
      </c>
      <c r="Z117" s="2">
        <f t="shared" si="239"/>
        <v>0</v>
      </c>
      <c r="AA117" s="2">
        <f t="shared" si="239"/>
        <v>0</v>
      </c>
      <c r="AB117" s="2">
        <f t="shared" si="239"/>
        <v>0</v>
      </c>
      <c r="AC117" s="2">
        <f t="shared" si="239"/>
        <v>0</v>
      </c>
      <c r="AD117" s="2">
        <f t="shared" si="239"/>
        <v>1</v>
      </c>
      <c r="AE117" s="2">
        <f t="shared" si="239"/>
        <v>1</v>
      </c>
      <c r="AF117" s="186" t="s">
        <v>3128</v>
      </c>
    </row>
    <row r="118">
      <c r="A118" s="92" t="s">
        <v>3131</v>
      </c>
      <c r="B118" s="64">
        <f>B116+1</f>
        <v>88</v>
      </c>
      <c r="C118" s="64">
        <v>88.0</v>
      </c>
      <c r="D118" s="64" t="str">
        <f t="shared" si="3"/>
        <v>CO4524688</v>
      </c>
      <c r="E118" s="159">
        <v>45246.0</v>
      </c>
      <c r="F118" s="187" t="s">
        <v>607</v>
      </c>
      <c r="G118" s="187" t="s">
        <v>1503</v>
      </c>
      <c r="H118" s="187" t="s">
        <v>1503</v>
      </c>
      <c r="I118" s="2">
        <f t="shared" ref="I118:K118" si="240">If(Iserr(search(I$1,$H118)),0,1)</f>
        <v>0</v>
      </c>
      <c r="J118" s="2">
        <f t="shared" si="240"/>
        <v>0</v>
      </c>
      <c r="K118" s="2">
        <f t="shared" si="240"/>
        <v>0</v>
      </c>
      <c r="L118" s="2">
        <f t="shared" si="5"/>
        <v>0</v>
      </c>
      <c r="M118" s="2">
        <f t="shared" ref="M118:AE118" si="241">If(Iserr(search(M$1,$H118)),0,1)</f>
        <v>0</v>
      </c>
      <c r="N118" s="2">
        <f t="shared" si="241"/>
        <v>0</v>
      </c>
      <c r="O118" s="2">
        <f t="shared" si="241"/>
        <v>0</v>
      </c>
      <c r="P118" s="2">
        <f t="shared" si="241"/>
        <v>0</v>
      </c>
      <c r="Q118" s="2">
        <f t="shared" si="241"/>
        <v>0</v>
      </c>
      <c r="R118" s="2">
        <f t="shared" si="241"/>
        <v>0</v>
      </c>
      <c r="S118" s="2">
        <f t="shared" si="241"/>
        <v>0</v>
      </c>
      <c r="T118" s="2">
        <f t="shared" si="241"/>
        <v>0</v>
      </c>
      <c r="U118" s="2">
        <f t="shared" si="241"/>
        <v>0</v>
      </c>
      <c r="V118" s="2">
        <f t="shared" si="241"/>
        <v>0</v>
      </c>
      <c r="W118" s="2">
        <f t="shared" si="241"/>
        <v>0</v>
      </c>
      <c r="X118" s="2">
        <f t="shared" si="241"/>
        <v>0</v>
      </c>
      <c r="Y118" s="2">
        <f t="shared" si="241"/>
        <v>0</v>
      </c>
      <c r="Z118" s="2">
        <f t="shared" si="241"/>
        <v>0</v>
      </c>
      <c r="AA118" s="2">
        <f t="shared" si="241"/>
        <v>0</v>
      </c>
      <c r="AB118" s="2">
        <f t="shared" si="241"/>
        <v>0</v>
      </c>
      <c r="AC118" s="2">
        <f t="shared" si="241"/>
        <v>0</v>
      </c>
      <c r="AD118" s="2">
        <f t="shared" si="241"/>
        <v>0</v>
      </c>
      <c r="AE118" s="2">
        <f t="shared" si="241"/>
        <v>1</v>
      </c>
      <c r="AF118" s="187" t="s">
        <v>3132</v>
      </c>
    </row>
    <row r="119">
      <c r="A119" s="92" t="s">
        <v>3131</v>
      </c>
      <c r="B119" s="64" t="s">
        <v>3134</v>
      </c>
      <c r="C119" s="64">
        <v>88.0</v>
      </c>
      <c r="D119" s="64" t="str">
        <f t="shared" si="3"/>
        <v>CO4524688b</v>
      </c>
      <c r="E119" s="159">
        <v>45246.0</v>
      </c>
      <c r="F119" s="187" t="s">
        <v>3135</v>
      </c>
      <c r="G119" s="2" t="s">
        <v>2826</v>
      </c>
      <c r="H119" s="2" t="s">
        <v>2826</v>
      </c>
      <c r="I119" s="2">
        <f t="shared" ref="I119:K119" si="242">If(Iserr(search(I$1,$H119)),0,1)</f>
        <v>0</v>
      </c>
      <c r="J119" s="2">
        <f t="shared" si="242"/>
        <v>0</v>
      </c>
      <c r="K119" s="2">
        <f t="shared" si="242"/>
        <v>0</v>
      </c>
      <c r="L119" s="2">
        <f t="shared" si="5"/>
        <v>0</v>
      </c>
      <c r="M119" s="2">
        <f t="shared" ref="M119:AE119" si="243">If(Iserr(search(M$1,$H119)),0,1)</f>
        <v>0</v>
      </c>
      <c r="N119" s="2">
        <f t="shared" si="243"/>
        <v>0</v>
      </c>
      <c r="O119" s="2">
        <f t="shared" si="243"/>
        <v>0</v>
      </c>
      <c r="P119" s="2">
        <f t="shared" si="243"/>
        <v>0</v>
      </c>
      <c r="Q119" s="2">
        <f t="shared" si="243"/>
        <v>0</v>
      </c>
      <c r="R119" s="2">
        <f t="shared" si="243"/>
        <v>0</v>
      </c>
      <c r="S119" s="2">
        <f t="shared" si="243"/>
        <v>0</v>
      </c>
      <c r="T119" s="2">
        <f t="shared" si="243"/>
        <v>0</v>
      </c>
      <c r="U119" s="2">
        <f t="shared" si="243"/>
        <v>0</v>
      </c>
      <c r="V119" s="2">
        <f t="shared" si="243"/>
        <v>0</v>
      </c>
      <c r="W119" s="2">
        <f t="shared" si="243"/>
        <v>0</v>
      </c>
      <c r="X119" s="2">
        <f t="shared" si="243"/>
        <v>0</v>
      </c>
      <c r="Y119" s="2">
        <f t="shared" si="243"/>
        <v>0</v>
      </c>
      <c r="Z119" s="2">
        <f t="shared" si="243"/>
        <v>0</v>
      </c>
      <c r="AA119" s="2">
        <f t="shared" si="243"/>
        <v>0</v>
      </c>
      <c r="AB119" s="2">
        <f t="shared" si="243"/>
        <v>0</v>
      </c>
      <c r="AC119" s="2">
        <f t="shared" si="243"/>
        <v>0</v>
      </c>
      <c r="AD119" s="2">
        <f t="shared" si="243"/>
        <v>1</v>
      </c>
      <c r="AE119" s="2">
        <f t="shared" si="243"/>
        <v>1</v>
      </c>
      <c r="AF119" s="187" t="s">
        <v>3132</v>
      </c>
    </row>
    <row r="120">
      <c r="A120" s="92" t="s">
        <v>3131</v>
      </c>
      <c r="B120" s="64" t="s">
        <v>3137</v>
      </c>
      <c r="C120" s="64">
        <v>88.0</v>
      </c>
      <c r="D120" s="64" t="str">
        <f t="shared" si="3"/>
        <v>CO4524688c</v>
      </c>
      <c r="E120" s="159">
        <v>45246.0</v>
      </c>
      <c r="F120" s="2" t="s">
        <v>3025</v>
      </c>
      <c r="G120" s="187" t="s">
        <v>210</v>
      </c>
      <c r="H120" s="187" t="s">
        <v>210</v>
      </c>
      <c r="I120" s="2">
        <f t="shared" ref="I120:K120" si="244">If(Iserr(search(I$1,$H120)),0,1)</f>
        <v>0</v>
      </c>
      <c r="J120" s="2">
        <f t="shared" si="244"/>
        <v>0</v>
      </c>
      <c r="K120" s="2">
        <f t="shared" si="244"/>
        <v>0</v>
      </c>
      <c r="L120" s="2">
        <f t="shared" si="5"/>
        <v>0</v>
      </c>
      <c r="M120" s="2">
        <f t="shared" ref="M120:AE120" si="245">If(Iserr(search(M$1,$H120)),0,1)</f>
        <v>0</v>
      </c>
      <c r="N120" s="2">
        <f t="shared" si="245"/>
        <v>0</v>
      </c>
      <c r="O120" s="2">
        <f t="shared" si="245"/>
        <v>0</v>
      </c>
      <c r="P120" s="2">
        <f t="shared" si="245"/>
        <v>0</v>
      </c>
      <c r="Q120" s="2">
        <f t="shared" si="245"/>
        <v>0</v>
      </c>
      <c r="R120" s="2">
        <f t="shared" si="245"/>
        <v>0</v>
      </c>
      <c r="S120" s="2">
        <f t="shared" si="245"/>
        <v>0</v>
      </c>
      <c r="T120" s="2">
        <f t="shared" si="245"/>
        <v>0</v>
      </c>
      <c r="U120" s="2">
        <f t="shared" si="245"/>
        <v>0</v>
      </c>
      <c r="V120" s="2">
        <f t="shared" si="245"/>
        <v>0</v>
      </c>
      <c r="W120" s="2">
        <f t="shared" si="245"/>
        <v>0</v>
      </c>
      <c r="X120" s="2">
        <f t="shared" si="245"/>
        <v>0</v>
      </c>
      <c r="Y120" s="2">
        <f t="shared" si="245"/>
        <v>0</v>
      </c>
      <c r="Z120" s="2">
        <f t="shared" si="245"/>
        <v>0</v>
      </c>
      <c r="AA120" s="2">
        <f t="shared" si="245"/>
        <v>0</v>
      </c>
      <c r="AB120" s="2">
        <f t="shared" si="245"/>
        <v>0</v>
      </c>
      <c r="AC120" s="2">
        <f t="shared" si="245"/>
        <v>0</v>
      </c>
      <c r="AD120" s="2">
        <f t="shared" si="245"/>
        <v>1</v>
      </c>
      <c r="AE120" s="2">
        <f t="shared" si="245"/>
        <v>0</v>
      </c>
      <c r="AF120" s="187" t="s">
        <v>3132</v>
      </c>
    </row>
    <row r="121">
      <c r="A121" s="92" t="s">
        <v>3138</v>
      </c>
      <c r="B121" s="64">
        <f>B118+1</f>
        <v>89</v>
      </c>
      <c r="C121" s="64">
        <v>89.0</v>
      </c>
      <c r="D121" s="64" t="str">
        <f t="shared" si="3"/>
        <v>CO4526689</v>
      </c>
      <c r="E121" s="159">
        <v>45266.0</v>
      </c>
      <c r="F121" s="2" t="s">
        <v>3025</v>
      </c>
      <c r="G121" s="2" t="s">
        <v>210</v>
      </c>
      <c r="H121" s="2" t="s">
        <v>210</v>
      </c>
      <c r="I121" s="2">
        <f t="shared" ref="I121:K121" si="246">If(Iserr(search(I$1,$H121)),0,1)</f>
        <v>0</v>
      </c>
      <c r="J121" s="2">
        <f t="shared" si="246"/>
        <v>0</v>
      </c>
      <c r="K121" s="2">
        <f t="shared" si="246"/>
        <v>0</v>
      </c>
      <c r="L121" s="2">
        <f t="shared" si="5"/>
        <v>0</v>
      </c>
      <c r="M121" s="2">
        <f t="shared" ref="M121:AE121" si="247">If(Iserr(search(M$1,$H121)),0,1)</f>
        <v>0</v>
      </c>
      <c r="N121" s="2">
        <f t="shared" si="247"/>
        <v>0</v>
      </c>
      <c r="O121" s="2">
        <f t="shared" si="247"/>
        <v>0</v>
      </c>
      <c r="P121" s="2">
        <f t="shared" si="247"/>
        <v>0</v>
      </c>
      <c r="Q121" s="2">
        <f t="shared" si="247"/>
        <v>0</v>
      </c>
      <c r="R121" s="2">
        <f t="shared" si="247"/>
        <v>0</v>
      </c>
      <c r="S121" s="2">
        <f t="shared" si="247"/>
        <v>0</v>
      </c>
      <c r="T121" s="2">
        <f t="shared" si="247"/>
        <v>0</v>
      </c>
      <c r="U121" s="2">
        <f t="shared" si="247"/>
        <v>0</v>
      </c>
      <c r="V121" s="2">
        <f t="shared" si="247"/>
        <v>0</v>
      </c>
      <c r="W121" s="2">
        <f t="shared" si="247"/>
        <v>0</v>
      </c>
      <c r="X121" s="2">
        <f t="shared" si="247"/>
        <v>0</v>
      </c>
      <c r="Y121" s="2">
        <f t="shared" si="247"/>
        <v>0</v>
      </c>
      <c r="Z121" s="2">
        <f t="shared" si="247"/>
        <v>0</v>
      </c>
      <c r="AA121" s="2">
        <f t="shared" si="247"/>
        <v>0</v>
      </c>
      <c r="AB121" s="2">
        <f t="shared" si="247"/>
        <v>0</v>
      </c>
      <c r="AC121" s="2">
        <f t="shared" si="247"/>
        <v>0</v>
      </c>
      <c r="AD121" s="2">
        <f t="shared" si="247"/>
        <v>1</v>
      </c>
      <c r="AE121" s="2">
        <f t="shared" si="247"/>
        <v>0</v>
      </c>
      <c r="AF121" s="2" t="s">
        <v>3144</v>
      </c>
    </row>
    <row r="122">
      <c r="A122" s="92" t="s">
        <v>3138</v>
      </c>
      <c r="B122" s="64" t="s">
        <v>3145</v>
      </c>
      <c r="C122" s="64">
        <v>89.0</v>
      </c>
      <c r="D122" s="64" t="str">
        <f t="shared" si="3"/>
        <v>CO4526689b</v>
      </c>
      <c r="E122" s="159">
        <v>45266.0</v>
      </c>
      <c r="F122" s="2" t="s">
        <v>607</v>
      </c>
      <c r="G122" s="2" t="s">
        <v>1503</v>
      </c>
      <c r="H122" s="2" t="s">
        <v>1503</v>
      </c>
      <c r="I122" s="2">
        <f t="shared" ref="I122:K122" si="248">If(Iserr(search(I$1,$H122)),0,1)</f>
        <v>0</v>
      </c>
      <c r="J122" s="2">
        <f t="shared" si="248"/>
        <v>0</v>
      </c>
      <c r="K122" s="2">
        <f t="shared" si="248"/>
        <v>0</v>
      </c>
      <c r="L122" s="2">
        <f t="shared" si="5"/>
        <v>0</v>
      </c>
      <c r="M122" s="2">
        <f t="shared" ref="M122:AE122" si="249">If(Iserr(search(M$1,$H122)),0,1)</f>
        <v>0</v>
      </c>
      <c r="N122" s="2">
        <f t="shared" si="249"/>
        <v>0</v>
      </c>
      <c r="O122" s="2">
        <f t="shared" si="249"/>
        <v>0</v>
      </c>
      <c r="P122" s="2">
        <f t="shared" si="249"/>
        <v>0</v>
      </c>
      <c r="Q122" s="2">
        <f t="shared" si="249"/>
        <v>0</v>
      </c>
      <c r="R122" s="2">
        <f t="shared" si="249"/>
        <v>0</v>
      </c>
      <c r="S122" s="2">
        <f t="shared" si="249"/>
        <v>0</v>
      </c>
      <c r="T122" s="2">
        <f t="shared" si="249"/>
        <v>0</v>
      </c>
      <c r="U122" s="2">
        <f t="shared" si="249"/>
        <v>0</v>
      </c>
      <c r="V122" s="2">
        <f t="shared" si="249"/>
        <v>0</v>
      </c>
      <c r="W122" s="2">
        <f t="shared" si="249"/>
        <v>0</v>
      </c>
      <c r="X122" s="2">
        <f t="shared" si="249"/>
        <v>0</v>
      </c>
      <c r="Y122" s="2">
        <f t="shared" si="249"/>
        <v>0</v>
      </c>
      <c r="Z122" s="2">
        <f t="shared" si="249"/>
        <v>0</v>
      </c>
      <c r="AA122" s="2">
        <f t="shared" si="249"/>
        <v>0</v>
      </c>
      <c r="AB122" s="2">
        <f t="shared" si="249"/>
        <v>0</v>
      </c>
      <c r="AC122" s="2">
        <f t="shared" si="249"/>
        <v>0</v>
      </c>
      <c r="AD122" s="2">
        <f t="shared" si="249"/>
        <v>0</v>
      </c>
      <c r="AE122" s="2">
        <f t="shared" si="249"/>
        <v>1</v>
      </c>
      <c r="AF122" s="2" t="s">
        <v>3144</v>
      </c>
    </row>
    <row r="123">
      <c r="A123" s="92" t="s">
        <v>3138</v>
      </c>
      <c r="B123" s="64" t="s">
        <v>3146</v>
      </c>
      <c r="C123" s="64">
        <v>89.0</v>
      </c>
      <c r="D123" s="64" t="str">
        <f t="shared" si="3"/>
        <v>CO4526689c</v>
      </c>
      <c r="E123" s="159">
        <v>45266.0</v>
      </c>
      <c r="F123" s="2" t="s">
        <v>1486</v>
      </c>
      <c r="G123" s="2" t="s">
        <v>1486</v>
      </c>
      <c r="H123" s="2" t="s">
        <v>1486</v>
      </c>
      <c r="I123" s="2">
        <f t="shared" ref="I123:K123" si="250">If(Iserr(search(I$1,$H123)),0,1)</f>
        <v>1</v>
      </c>
      <c r="J123" s="2">
        <f t="shared" si="250"/>
        <v>0</v>
      </c>
      <c r="K123" s="2">
        <f t="shared" si="250"/>
        <v>0</v>
      </c>
      <c r="L123" s="2">
        <f t="shared" si="5"/>
        <v>0</v>
      </c>
      <c r="M123" s="2">
        <f t="shared" ref="M123:AE123" si="251">If(Iserr(search(M$1,$H123)),0,1)</f>
        <v>0</v>
      </c>
      <c r="N123" s="2">
        <f t="shared" si="251"/>
        <v>0</v>
      </c>
      <c r="O123" s="2">
        <f t="shared" si="251"/>
        <v>0</v>
      </c>
      <c r="P123" s="2">
        <f t="shared" si="251"/>
        <v>0</v>
      </c>
      <c r="Q123" s="2">
        <f t="shared" si="251"/>
        <v>0</v>
      </c>
      <c r="R123" s="2">
        <f t="shared" si="251"/>
        <v>0</v>
      </c>
      <c r="S123" s="2">
        <f t="shared" si="251"/>
        <v>0</v>
      </c>
      <c r="T123" s="2">
        <f t="shared" si="251"/>
        <v>0</v>
      </c>
      <c r="U123" s="2">
        <f t="shared" si="251"/>
        <v>0</v>
      </c>
      <c r="V123" s="2">
        <f t="shared" si="251"/>
        <v>0</v>
      </c>
      <c r="W123" s="2">
        <f t="shared" si="251"/>
        <v>0</v>
      </c>
      <c r="X123" s="2">
        <f t="shared" si="251"/>
        <v>0</v>
      </c>
      <c r="Y123" s="2">
        <f t="shared" si="251"/>
        <v>0</v>
      </c>
      <c r="Z123" s="2">
        <f t="shared" si="251"/>
        <v>0</v>
      </c>
      <c r="AA123" s="2">
        <f t="shared" si="251"/>
        <v>0</v>
      </c>
      <c r="AB123" s="2">
        <f t="shared" si="251"/>
        <v>0</v>
      </c>
      <c r="AC123" s="2">
        <f t="shared" si="251"/>
        <v>0</v>
      </c>
      <c r="AD123" s="2">
        <f t="shared" si="251"/>
        <v>0</v>
      </c>
      <c r="AE123" s="2">
        <f t="shared" si="251"/>
        <v>0</v>
      </c>
      <c r="AF123" s="2" t="s">
        <v>3144</v>
      </c>
    </row>
    <row r="124">
      <c r="A124" s="92" t="s">
        <v>3147</v>
      </c>
      <c r="B124" s="64">
        <f>B121+1</f>
        <v>90</v>
      </c>
      <c r="C124" s="64">
        <v>90.0</v>
      </c>
      <c r="D124" s="64" t="str">
        <f t="shared" si="3"/>
        <v>CO4533790</v>
      </c>
      <c r="E124" s="159">
        <v>45337.0</v>
      </c>
      <c r="F124" s="2" t="s">
        <v>1486</v>
      </c>
      <c r="G124" s="2" t="s">
        <v>1486</v>
      </c>
      <c r="H124" s="2" t="s">
        <v>1486</v>
      </c>
      <c r="I124" s="2">
        <f t="shared" ref="I124:K124" si="252">If(Iserr(search(I$1,$H124)),0,1)</f>
        <v>1</v>
      </c>
      <c r="J124" s="2">
        <f t="shared" si="252"/>
        <v>0</v>
      </c>
      <c r="K124" s="2">
        <f t="shared" si="252"/>
        <v>0</v>
      </c>
      <c r="L124" s="2">
        <f t="shared" si="5"/>
        <v>0</v>
      </c>
      <c r="M124" s="2">
        <f t="shared" ref="M124:AE124" si="253">If(Iserr(search(M$1,$H124)),0,1)</f>
        <v>0</v>
      </c>
      <c r="N124" s="2">
        <f t="shared" si="253"/>
        <v>0</v>
      </c>
      <c r="O124" s="2">
        <f t="shared" si="253"/>
        <v>0</v>
      </c>
      <c r="P124" s="2">
        <f t="shared" si="253"/>
        <v>0</v>
      </c>
      <c r="Q124" s="2">
        <f t="shared" si="253"/>
        <v>0</v>
      </c>
      <c r="R124" s="2">
        <f t="shared" si="253"/>
        <v>0</v>
      </c>
      <c r="S124" s="2">
        <f t="shared" si="253"/>
        <v>0</v>
      </c>
      <c r="T124" s="2">
        <f t="shared" si="253"/>
        <v>0</v>
      </c>
      <c r="U124" s="2">
        <f t="shared" si="253"/>
        <v>0</v>
      </c>
      <c r="V124" s="2">
        <f t="shared" si="253"/>
        <v>0</v>
      </c>
      <c r="W124" s="2">
        <f t="shared" si="253"/>
        <v>0</v>
      </c>
      <c r="X124" s="2">
        <f t="shared" si="253"/>
        <v>0</v>
      </c>
      <c r="Y124" s="2">
        <f t="shared" si="253"/>
        <v>0</v>
      </c>
      <c r="Z124" s="2">
        <f t="shared" si="253"/>
        <v>0</v>
      </c>
      <c r="AA124" s="2">
        <f t="shared" si="253"/>
        <v>0</v>
      </c>
      <c r="AB124" s="2">
        <f t="shared" si="253"/>
        <v>0</v>
      </c>
      <c r="AC124" s="2">
        <f t="shared" si="253"/>
        <v>0</v>
      </c>
      <c r="AD124" s="2">
        <f t="shared" si="253"/>
        <v>0</v>
      </c>
      <c r="AE124" s="2">
        <f t="shared" si="253"/>
        <v>0</v>
      </c>
      <c r="AF124" s="2" t="s">
        <v>3021</v>
      </c>
    </row>
    <row r="125">
      <c r="A125" s="92" t="s">
        <v>3147</v>
      </c>
      <c r="B125" s="64" t="s">
        <v>3148</v>
      </c>
      <c r="C125" s="64">
        <v>90.0</v>
      </c>
      <c r="D125" s="64" t="str">
        <f t="shared" si="3"/>
        <v>CO4533790b</v>
      </c>
      <c r="E125" s="159">
        <v>45337.0</v>
      </c>
      <c r="F125" s="2" t="s">
        <v>607</v>
      </c>
      <c r="G125" s="2" t="s">
        <v>1503</v>
      </c>
      <c r="H125" s="2" t="s">
        <v>1503</v>
      </c>
      <c r="I125" s="2">
        <f t="shared" ref="I125:K125" si="254">If(Iserr(search(I$1,$H125)),0,1)</f>
        <v>0</v>
      </c>
      <c r="J125" s="2">
        <f t="shared" si="254"/>
        <v>0</v>
      </c>
      <c r="K125" s="2">
        <f t="shared" si="254"/>
        <v>0</v>
      </c>
      <c r="L125" s="2">
        <f t="shared" si="5"/>
        <v>0</v>
      </c>
      <c r="M125" s="2">
        <f t="shared" ref="M125:AE125" si="255">If(Iserr(search(M$1,$H125)),0,1)</f>
        <v>0</v>
      </c>
      <c r="N125" s="2">
        <f t="shared" si="255"/>
        <v>0</v>
      </c>
      <c r="O125" s="2">
        <f t="shared" si="255"/>
        <v>0</v>
      </c>
      <c r="P125" s="2">
        <f t="shared" si="255"/>
        <v>0</v>
      </c>
      <c r="Q125" s="2">
        <f t="shared" si="255"/>
        <v>0</v>
      </c>
      <c r="R125" s="2">
        <f t="shared" si="255"/>
        <v>0</v>
      </c>
      <c r="S125" s="2">
        <f t="shared" si="255"/>
        <v>0</v>
      </c>
      <c r="T125" s="2">
        <f t="shared" si="255"/>
        <v>0</v>
      </c>
      <c r="U125" s="2">
        <f t="shared" si="255"/>
        <v>0</v>
      </c>
      <c r="V125" s="2">
        <f t="shared" si="255"/>
        <v>0</v>
      </c>
      <c r="W125" s="2">
        <f t="shared" si="255"/>
        <v>0</v>
      </c>
      <c r="X125" s="2">
        <f t="shared" si="255"/>
        <v>0</v>
      </c>
      <c r="Y125" s="2">
        <f t="shared" si="255"/>
        <v>0</v>
      </c>
      <c r="Z125" s="2">
        <f t="shared" si="255"/>
        <v>0</v>
      </c>
      <c r="AA125" s="2">
        <f t="shared" si="255"/>
        <v>0</v>
      </c>
      <c r="AB125" s="2">
        <f t="shared" si="255"/>
        <v>0</v>
      </c>
      <c r="AC125" s="2">
        <f t="shared" si="255"/>
        <v>0</v>
      </c>
      <c r="AD125" s="2">
        <f t="shared" si="255"/>
        <v>0</v>
      </c>
      <c r="AE125" s="2">
        <f t="shared" si="255"/>
        <v>1</v>
      </c>
      <c r="AF125" s="2" t="s">
        <v>3021</v>
      </c>
    </row>
    <row r="126">
      <c r="A126" s="92" t="s">
        <v>3147</v>
      </c>
      <c r="B126" s="64" t="s">
        <v>3149</v>
      </c>
      <c r="C126" s="64">
        <v>90.0</v>
      </c>
      <c r="D126" s="64" t="str">
        <f t="shared" si="3"/>
        <v>CO4533790c</v>
      </c>
      <c r="E126" s="159">
        <v>45337.0</v>
      </c>
      <c r="F126" s="2" t="s">
        <v>210</v>
      </c>
      <c r="G126" s="2" t="s">
        <v>210</v>
      </c>
      <c r="H126" s="2" t="s">
        <v>210</v>
      </c>
      <c r="I126" s="2">
        <f t="shared" ref="I126:K126" si="256">If(Iserr(search(I$1,$H126)),0,1)</f>
        <v>0</v>
      </c>
      <c r="J126" s="2">
        <f t="shared" si="256"/>
        <v>0</v>
      </c>
      <c r="K126" s="2">
        <f t="shared" si="256"/>
        <v>0</v>
      </c>
      <c r="L126" s="2">
        <f t="shared" si="5"/>
        <v>0</v>
      </c>
      <c r="M126" s="2">
        <f t="shared" ref="M126:AE126" si="257">If(Iserr(search(M$1,$H126)),0,1)</f>
        <v>0</v>
      </c>
      <c r="N126" s="2">
        <f t="shared" si="257"/>
        <v>0</v>
      </c>
      <c r="O126" s="2">
        <f t="shared" si="257"/>
        <v>0</v>
      </c>
      <c r="P126" s="2">
        <f t="shared" si="257"/>
        <v>0</v>
      </c>
      <c r="Q126" s="2">
        <f t="shared" si="257"/>
        <v>0</v>
      </c>
      <c r="R126" s="2">
        <f t="shared" si="257"/>
        <v>0</v>
      </c>
      <c r="S126" s="2">
        <f t="shared" si="257"/>
        <v>0</v>
      </c>
      <c r="T126" s="2">
        <f t="shared" si="257"/>
        <v>0</v>
      </c>
      <c r="U126" s="2">
        <f t="shared" si="257"/>
        <v>0</v>
      </c>
      <c r="V126" s="2">
        <f t="shared" si="257"/>
        <v>0</v>
      </c>
      <c r="W126" s="2">
        <f t="shared" si="257"/>
        <v>0</v>
      </c>
      <c r="X126" s="2">
        <f t="shared" si="257"/>
        <v>0</v>
      </c>
      <c r="Y126" s="2">
        <f t="shared" si="257"/>
        <v>0</v>
      </c>
      <c r="Z126" s="2">
        <f t="shared" si="257"/>
        <v>0</v>
      </c>
      <c r="AA126" s="2">
        <f t="shared" si="257"/>
        <v>0</v>
      </c>
      <c r="AB126" s="2">
        <f t="shared" si="257"/>
        <v>0</v>
      </c>
      <c r="AC126" s="2">
        <f t="shared" si="257"/>
        <v>0</v>
      </c>
      <c r="AD126" s="2">
        <f t="shared" si="257"/>
        <v>1</v>
      </c>
      <c r="AE126" s="2">
        <f t="shared" si="257"/>
        <v>0</v>
      </c>
      <c r="AF126" s="2" t="s">
        <v>3021</v>
      </c>
    </row>
    <row r="127">
      <c r="A127" s="92" t="s">
        <v>3150</v>
      </c>
      <c r="B127" s="64">
        <f>B124+1</f>
        <v>91</v>
      </c>
      <c r="C127" s="64">
        <v>91.0</v>
      </c>
      <c r="D127" s="64" t="str">
        <f t="shared" si="3"/>
        <v>CO4534391</v>
      </c>
      <c r="E127" s="159">
        <v>45343.0</v>
      </c>
      <c r="F127" s="2" t="s">
        <v>210</v>
      </c>
      <c r="G127" s="2" t="s">
        <v>210</v>
      </c>
      <c r="H127" s="2" t="s">
        <v>210</v>
      </c>
      <c r="I127" s="2">
        <f t="shared" ref="I127:K127" si="258">If(Iserr(search(I$1,$H127)),0,1)</f>
        <v>0</v>
      </c>
      <c r="J127" s="2">
        <f t="shared" si="258"/>
        <v>0</v>
      </c>
      <c r="K127" s="2">
        <f t="shared" si="258"/>
        <v>0</v>
      </c>
      <c r="L127" s="2">
        <f t="shared" si="5"/>
        <v>0</v>
      </c>
      <c r="M127" s="2">
        <f t="shared" ref="M127:AE127" si="259">If(Iserr(search(M$1,$H127)),0,1)</f>
        <v>0</v>
      </c>
      <c r="N127" s="2">
        <f t="shared" si="259"/>
        <v>0</v>
      </c>
      <c r="O127" s="2">
        <f t="shared" si="259"/>
        <v>0</v>
      </c>
      <c r="P127" s="2">
        <f t="shared" si="259"/>
        <v>0</v>
      </c>
      <c r="Q127" s="2">
        <f t="shared" si="259"/>
        <v>0</v>
      </c>
      <c r="R127" s="2">
        <f t="shared" si="259"/>
        <v>0</v>
      </c>
      <c r="S127" s="2">
        <f t="shared" si="259"/>
        <v>0</v>
      </c>
      <c r="T127" s="2">
        <f t="shared" si="259"/>
        <v>0</v>
      </c>
      <c r="U127" s="2">
        <f t="shared" si="259"/>
        <v>0</v>
      </c>
      <c r="V127" s="2">
        <f t="shared" si="259"/>
        <v>0</v>
      </c>
      <c r="W127" s="2">
        <f t="shared" si="259"/>
        <v>0</v>
      </c>
      <c r="X127" s="2">
        <f t="shared" si="259"/>
        <v>0</v>
      </c>
      <c r="Y127" s="2">
        <f t="shared" si="259"/>
        <v>0</v>
      </c>
      <c r="Z127" s="2">
        <f t="shared" si="259"/>
        <v>0</v>
      </c>
      <c r="AA127" s="2">
        <f t="shared" si="259"/>
        <v>0</v>
      </c>
      <c r="AB127" s="2">
        <f t="shared" si="259"/>
        <v>0</v>
      </c>
      <c r="AC127" s="2">
        <f t="shared" si="259"/>
        <v>0</v>
      </c>
      <c r="AD127" s="2">
        <f t="shared" si="259"/>
        <v>1</v>
      </c>
      <c r="AE127" s="2">
        <f t="shared" si="259"/>
        <v>0</v>
      </c>
      <c r="AF127" s="2" t="s">
        <v>3151</v>
      </c>
    </row>
    <row r="128">
      <c r="A128" s="92" t="s">
        <v>3150</v>
      </c>
      <c r="B128" s="64" t="s">
        <v>3152</v>
      </c>
      <c r="C128" s="64">
        <v>91.0</v>
      </c>
      <c r="D128" s="64" t="str">
        <f t="shared" si="3"/>
        <v>CO4534391b</v>
      </c>
      <c r="E128" s="159">
        <v>45343.0</v>
      </c>
      <c r="F128" s="2" t="s">
        <v>607</v>
      </c>
      <c r="G128" s="2" t="s">
        <v>1503</v>
      </c>
      <c r="H128" s="2" t="s">
        <v>1503</v>
      </c>
      <c r="I128" s="2">
        <f t="shared" ref="I128:K128" si="260">If(Iserr(search(I$1,$H128)),0,1)</f>
        <v>0</v>
      </c>
      <c r="J128" s="2">
        <f t="shared" si="260"/>
        <v>0</v>
      </c>
      <c r="K128" s="2">
        <f t="shared" si="260"/>
        <v>0</v>
      </c>
      <c r="L128" s="2">
        <f t="shared" si="5"/>
        <v>0</v>
      </c>
      <c r="M128" s="2">
        <f t="shared" ref="M128:AE128" si="261">If(Iserr(search(M$1,$H128)),0,1)</f>
        <v>0</v>
      </c>
      <c r="N128" s="2">
        <f t="shared" si="261"/>
        <v>0</v>
      </c>
      <c r="O128" s="2">
        <f t="shared" si="261"/>
        <v>0</v>
      </c>
      <c r="P128" s="2">
        <f t="shared" si="261"/>
        <v>0</v>
      </c>
      <c r="Q128" s="2">
        <f t="shared" si="261"/>
        <v>0</v>
      </c>
      <c r="R128" s="2">
        <f t="shared" si="261"/>
        <v>0</v>
      </c>
      <c r="S128" s="2">
        <f t="shared" si="261"/>
        <v>0</v>
      </c>
      <c r="T128" s="2">
        <f t="shared" si="261"/>
        <v>0</v>
      </c>
      <c r="U128" s="2">
        <f t="shared" si="261"/>
        <v>0</v>
      </c>
      <c r="V128" s="2">
        <f t="shared" si="261"/>
        <v>0</v>
      </c>
      <c r="W128" s="2">
        <f t="shared" si="261"/>
        <v>0</v>
      </c>
      <c r="X128" s="2">
        <f t="shared" si="261"/>
        <v>0</v>
      </c>
      <c r="Y128" s="2">
        <f t="shared" si="261"/>
        <v>0</v>
      </c>
      <c r="Z128" s="2">
        <f t="shared" si="261"/>
        <v>0</v>
      </c>
      <c r="AA128" s="2">
        <f t="shared" si="261"/>
        <v>0</v>
      </c>
      <c r="AB128" s="2">
        <f t="shared" si="261"/>
        <v>0</v>
      </c>
      <c r="AC128" s="2">
        <f t="shared" si="261"/>
        <v>0</v>
      </c>
      <c r="AD128" s="2">
        <f t="shared" si="261"/>
        <v>0</v>
      </c>
      <c r="AE128" s="2">
        <f t="shared" si="261"/>
        <v>1</v>
      </c>
      <c r="AF128" s="2" t="s">
        <v>3151</v>
      </c>
    </row>
    <row r="129">
      <c r="A129" s="92" t="s">
        <v>3150</v>
      </c>
      <c r="B129" s="64" t="s">
        <v>3161</v>
      </c>
      <c r="C129" s="64">
        <v>91.0</v>
      </c>
      <c r="D129" s="64" t="str">
        <f t="shared" si="3"/>
        <v>CO4534391c</v>
      </c>
      <c r="E129" s="159">
        <v>45343.0</v>
      </c>
      <c r="F129" s="2" t="s">
        <v>1486</v>
      </c>
      <c r="G129" s="2" t="s">
        <v>1486</v>
      </c>
      <c r="H129" s="2" t="s">
        <v>1486</v>
      </c>
      <c r="I129" s="2">
        <f t="shared" ref="I129:K129" si="262">If(Iserr(search(I$1,$H129)),0,1)</f>
        <v>1</v>
      </c>
      <c r="J129" s="2">
        <f t="shared" si="262"/>
        <v>0</v>
      </c>
      <c r="K129" s="2">
        <f t="shared" si="262"/>
        <v>0</v>
      </c>
      <c r="L129" s="2">
        <f t="shared" si="5"/>
        <v>0</v>
      </c>
      <c r="M129" s="2">
        <f t="shared" ref="M129:AE129" si="263">If(Iserr(search(M$1,$H129)),0,1)</f>
        <v>0</v>
      </c>
      <c r="N129" s="2">
        <f t="shared" si="263"/>
        <v>0</v>
      </c>
      <c r="O129" s="2">
        <f t="shared" si="263"/>
        <v>0</v>
      </c>
      <c r="P129" s="2">
        <f t="shared" si="263"/>
        <v>0</v>
      </c>
      <c r="Q129" s="2">
        <f t="shared" si="263"/>
        <v>0</v>
      </c>
      <c r="R129" s="2">
        <f t="shared" si="263"/>
        <v>0</v>
      </c>
      <c r="S129" s="2">
        <f t="shared" si="263"/>
        <v>0</v>
      </c>
      <c r="T129" s="2">
        <f t="shared" si="263"/>
        <v>0</v>
      </c>
      <c r="U129" s="2">
        <f t="shared" si="263"/>
        <v>0</v>
      </c>
      <c r="V129" s="2">
        <f t="shared" si="263"/>
        <v>0</v>
      </c>
      <c r="W129" s="2">
        <f t="shared" si="263"/>
        <v>0</v>
      </c>
      <c r="X129" s="2">
        <f t="shared" si="263"/>
        <v>0</v>
      </c>
      <c r="Y129" s="2">
        <f t="shared" si="263"/>
        <v>0</v>
      </c>
      <c r="Z129" s="2">
        <f t="shared" si="263"/>
        <v>0</v>
      </c>
      <c r="AA129" s="2">
        <f t="shared" si="263"/>
        <v>0</v>
      </c>
      <c r="AB129" s="2">
        <f t="shared" si="263"/>
        <v>0</v>
      </c>
      <c r="AC129" s="2">
        <f t="shared" si="263"/>
        <v>0</v>
      </c>
      <c r="AD129" s="2">
        <f t="shared" si="263"/>
        <v>0</v>
      </c>
      <c r="AE129" s="2">
        <f t="shared" si="263"/>
        <v>0</v>
      </c>
      <c r="AF129" s="2" t="s">
        <v>3151</v>
      </c>
    </row>
    <row r="130">
      <c r="A130" s="92" t="s">
        <v>3171</v>
      </c>
      <c r="B130" s="64">
        <f t="shared" ref="B130:C130" si="264">B127+1</f>
        <v>92</v>
      </c>
      <c r="C130" s="64">
        <f t="shared" si="264"/>
        <v>92</v>
      </c>
      <c r="D130" s="64" t="str">
        <f t="shared" si="3"/>
        <v>CO4535792</v>
      </c>
      <c r="E130" s="159">
        <v>45357.0</v>
      </c>
      <c r="F130" s="2" t="s">
        <v>3175</v>
      </c>
      <c r="G130" s="2" t="s">
        <v>2826</v>
      </c>
      <c r="H130" s="2" t="s">
        <v>2826</v>
      </c>
      <c r="I130" s="2">
        <f t="shared" ref="I130:K130" si="265">If(Iserr(search(I$1,$H130)),0,1)</f>
        <v>0</v>
      </c>
      <c r="J130" s="2">
        <f t="shared" si="265"/>
        <v>0</v>
      </c>
      <c r="K130" s="2">
        <f t="shared" si="265"/>
        <v>0</v>
      </c>
      <c r="L130" s="2">
        <f t="shared" si="5"/>
        <v>0</v>
      </c>
      <c r="M130" s="2">
        <f t="shared" ref="M130:AE130" si="266">If(Iserr(search(M$1,$H130)),0,1)</f>
        <v>0</v>
      </c>
      <c r="N130" s="2">
        <f t="shared" si="266"/>
        <v>0</v>
      </c>
      <c r="O130" s="2">
        <f t="shared" si="266"/>
        <v>0</v>
      </c>
      <c r="P130" s="2">
        <f t="shared" si="266"/>
        <v>0</v>
      </c>
      <c r="Q130" s="2">
        <f t="shared" si="266"/>
        <v>0</v>
      </c>
      <c r="R130" s="2">
        <f t="shared" si="266"/>
        <v>0</v>
      </c>
      <c r="S130" s="2">
        <f t="shared" si="266"/>
        <v>0</v>
      </c>
      <c r="T130" s="2">
        <f t="shared" si="266"/>
        <v>0</v>
      </c>
      <c r="U130" s="2">
        <f t="shared" si="266"/>
        <v>0</v>
      </c>
      <c r="V130" s="2">
        <f t="shared" si="266"/>
        <v>0</v>
      </c>
      <c r="W130" s="2">
        <f t="shared" si="266"/>
        <v>0</v>
      </c>
      <c r="X130" s="2">
        <f t="shared" si="266"/>
        <v>0</v>
      </c>
      <c r="Y130" s="2">
        <f t="shared" si="266"/>
        <v>0</v>
      </c>
      <c r="Z130" s="2">
        <f t="shared" si="266"/>
        <v>0</v>
      </c>
      <c r="AA130" s="2">
        <f t="shared" si="266"/>
        <v>0</v>
      </c>
      <c r="AB130" s="2">
        <f t="shared" si="266"/>
        <v>0</v>
      </c>
      <c r="AC130" s="2">
        <f t="shared" si="266"/>
        <v>0</v>
      </c>
      <c r="AD130" s="2">
        <f t="shared" si="266"/>
        <v>1</v>
      </c>
      <c r="AE130" s="2">
        <f t="shared" si="266"/>
        <v>1</v>
      </c>
      <c r="AF130" s="2" t="s">
        <v>3184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location="heading=h.1fob9te" ref="A116"/>
    <hyperlink r:id="rId116" location="heading=h.1fob9te" ref="A117"/>
    <hyperlink r:id="rId117" location="heading=h.1fob9te" ref="A118"/>
    <hyperlink r:id="rId118" location="heading=h.1fob9te" ref="A119"/>
    <hyperlink r:id="rId119" location="heading=h.1fob9te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</hyperlinks>
  <drawing r:id="rId130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75"/>
    <col customWidth="1" min="3" max="3" width="15.88"/>
    <col customWidth="1" min="4" max="4" width="22.38"/>
    <col customWidth="1" min="7" max="7" width="13.13"/>
  </cols>
  <sheetData>
    <row r="1">
      <c r="A1" s="2" t="s">
        <v>1044</v>
      </c>
      <c r="B1" s="2" t="s">
        <v>1046</v>
      </c>
      <c r="C1" s="2" t="s">
        <v>1048</v>
      </c>
      <c r="D1" s="2" t="s">
        <v>1049</v>
      </c>
      <c r="E1" s="2" t="s">
        <v>1050</v>
      </c>
      <c r="F1" s="2" t="s">
        <v>1051</v>
      </c>
      <c r="G1" s="2" t="s">
        <v>1052</v>
      </c>
      <c r="H1" s="2" t="s">
        <v>1053</v>
      </c>
      <c r="I1" s="2" t="s">
        <v>1054</v>
      </c>
    </row>
    <row r="2">
      <c r="A2" s="64" t="s">
        <v>1056</v>
      </c>
      <c r="B2" s="2" t="s">
        <v>1059</v>
      </c>
      <c r="C2" s="2" t="s">
        <v>1060</v>
      </c>
      <c r="D2" s="2" t="s">
        <v>1062</v>
      </c>
    </row>
    <row r="3">
      <c r="A3" s="64" t="s">
        <v>1056</v>
      </c>
      <c r="B3" s="2" t="s">
        <v>1063</v>
      </c>
      <c r="C3" s="2" t="s">
        <v>1060</v>
      </c>
      <c r="D3" s="2" t="s">
        <v>1062</v>
      </c>
    </row>
    <row r="4">
      <c r="A4" s="64" t="s">
        <v>1056</v>
      </c>
      <c r="B4" s="2" t="s">
        <v>1064</v>
      </c>
      <c r="C4" s="2" t="s">
        <v>1060</v>
      </c>
      <c r="D4" s="2" t="s">
        <v>1062</v>
      </c>
    </row>
    <row r="5">
      <c r="A5" s="64" t="s">
        <v>1056</v>
      </c>
      <c r="B5" s="2" t="s">
        <v>1066</v>
      </c>
      <c r="C5" s="2" t="s">
        <v>1060</v>
      </c>
      <c r="D5" s="2" t="s">
        <v>1062</v>
      </c>
    </row>
    <row r="6">
      <c r="A6" s="64" t="s">
        <v>1056</v>
      </c>
      <c r="B6" s="2" t="s">
        <v>1068</v>
      </c>
      <c r="C6" s="2" t="s">
        <v>1060</v>
      </c>
      <c r="D6" s="2" t="s">
        <v>1062</v>
      </c>
    </row>
    <row r="7">
      <c r="A7" s="64" t="s">
        <v>1056</v>
      </c>
      <c r="B7" s="2" t="s">
        <v>1069</v>
      </c>
      <c r="C7" s="2" t="s">
        <v>1060</v>
      </c>
      <c r="D7" s="2" t="s">
        <v>1062</v>
      </c>
    </row>
    <row r="8">
      <c r="A8" s="64" t="s">
        <v>1056</v>
      </c>
      <c r="B8" s="2" t="s">
        <v>1069</v>
      </c>
      <c r="C8" s="2" t="s">
        <v>1060</v>
      </c>
      <c r="D8" s="2" t="s">
        <v>1062</v>
      </c>
    </row>
    <row r="9">
      <c r="A9" s="64" t="s">
        <v>1056</v>
      </c>
      <c r="B9" s="2" t="s">
        <v>1074</v>
      </c>
      <c r="C9" s="2" t="s">
        <v>1060</v>
      </c>
      <c r="D9" s="2" t="s">
        <v>1062</v>
      </c>
    </row>
    <row r="10">
      <c r="A10" s="64" t="s">
        <v>1056</v>
      </c>
      <c r="B10" s="2" t="s">
        <v>1077</v>
      </c>
      <c r="C10" s="2" t="s">
        <v>1060</v>
      </c>
      <c r="D10" s="2" t="s">
        <v>1062</v>
      </c>
    </row>
    <row r="11">
      <c r="A11" s="64" t="s">
        <v>1056</v>
      </c>
      <c r="B11" s="2" t="s">
        <v>1081</v>
      </c>
      <c r="C11" s="2" t="s">
        <v>1060</v>
      </c>
      <c r="D11" s="2" t="s">
        <v>1062</v>
      </c>
    </row>
    <row r="12">
      <c r="A12" s="64" t="s">
        <v>1056</v>
      </c>
      <c r="B12" s="2" t="s">
        <v>1083</v>
      </c>
      <c r="C12" s="2" t="s">
        <v>1060</v>
      </c>
      <c r="D12" s="2" t="s">
        <v>1062</v>
      </c>
    </row>
    <row r="13">
      <c r="A13" s="64" t="s">
        <v>1056</v>
      </c>
      <c r="B13" s="2" t="s">
        <v>1087</v>
      </c>
      <c r="C13" s="2" t="s">
        <v>1060</v>
      </c>
      <c r="D13" s="2" t="s">
        <v>1062</v>
      </c>
    </row>
    <row r="14">
      <c r="A14" s="64" t="s">
        <v>1056</v>
      </c>
      <c r="B14" s="2" t="s">
        <v>1089</v>
      </c>
      <c r="C14" s="2" t="s">
        <v>1060</v>
      </c>
      <c r="D14" s="2" t="s">
        <v>1062</v>
      </c>
    </row>
    <row r="15">
      <c r="A15" s="64" t="s">
        <v>1056</v>
      </c>
      <c r="B15" s="2" t="s">
        <v>1090</v>
      </c>
      <c r="C15" s="2" t="s">
        <v>1060</v>
      </c>
      <c r="D15" s="2" t="s">
        <v>1062</v>
      </c>
    </row>
    <row r="16">
      <c r="A16" s="64" t="s">
        <v>1056</v>
      </c>
      <c r="B16" s="2" t="s">
        <v>1091</v>
      </c>
      <c r="C16" s="2" t="s">
        <v>1060</v>
      </c>
      <c r="D16" s="2" t="s">
        <v>1062</v>
      </c>
    </row>
    <row r="17">
      <c r="A17" s="64" t="s">
        <v>1056</v>
      </c>
      <c r="B17" s="2" t="s">
        <v>1094</v>
      </c>
      <c r="C17" s="2" t="s">
        <v>1060</v>
      </c>
      <c r="D17" s="2" t="s">
        <v>1062</v>
      </c>
    </row>
    <row r="18">
      <c r="A18" s="64" t="s">
        <v>1056</v>
      </c>
      <c r="B18" s="2" t="s">
        <v>1096</v>
      </c>
      <c r="C18" s="2" t="s">
        <v>1060</v>
      </c>
      <c r="D18" s="2" t="s">
        <v>1062</v>
      </c>
    </row>
    <row r="19">
      <c r="A19" s="64" t="s">
        <v>1056</v>
      </c>
      <c r="B19" s="2" t="s">
        <v>1097</v>
      </c>
      <c r="C19" s="2" t="s">
        <v>1060</v>
      </c>
      <c r="D19" s="2" t="s">
        <v>1062</v>
      </c>
    </row>
    <row r="20">
      <c r="A20" s="64" t="s">
        <v>1056</v>
      </c>
      <c r="B20" s="2" t="s">
        <v>1098</v>
      </c>
      <c r="C20" s="2" t="s">
        <v>1060</v>
      </c>
      <c r="D20" s="2" t="s">
        <v>1062</v>
      </c>
    </row>
    <row r="21">
      <c r="A21" s="64" t="s">
        <v>1056</v>
      </c>
      <c r="B21" s="2" t="s">
        <v>1101</v>
      </c>
      <c r="C21" s="2" t="s">
        <v>1060</v>
      </c>
      <c r="D21" s="2" t="s">
        <v>1062</v>
      </c>
    </row>
    <row r="22">
      <c r="A22" s="64" t="s">
        <v>1056</v>
      </c>
      <c r="B22" s="2" t="s">
        <v>1103</v>
      </c>
      <c r="C22" s="2" t="s">
        <v>1060</v>
      </c>
      <c r="D22" s="2" t="s">
        <v>1062</v>
      </c>
    </row>
    <row r="23">
      <c r="A23" s="64" t="s">
        <v>1056</v>
      </c>
      <c r="B23" s="2" t="s">
        <v>1104</v>
      </c>
      <c r="C23" s="2" t="s">
        <v>1060</v>
      </c>
      <c r="D23" s="2" t="s">
        <v>1062</v>
      </c>
    </row>
    <row r="24">
      <c r="A24" s="64" t="s">
        <v>1056</v>
      </c>
      <c r="B24" s="2" t="s">
        <v>1110</v>
      </c>
      <c r="C24" s="2" t="s">
        <v>1060</v>
      </c>
      <c r="D24" s="2" t="s">
        <v>1062</v>
      </c>
    </row>
    <row r="25">
      <c r="A25" s="64" t="s">
        <v>1056</v>
      </c>
      <c r="B25" s="2" t="s">
        <v>1111</v>
      </c>
      <c r="C25" s="2" t="s">
        <v>1060</v>
      </c>
      <c r="D25" s="2" t="s">
        <v>1062</v>
      </c>
    </row>
    <row r="26">
      <c r="A26" s="64" t="s">
        <v>1056</v>
      </c>
      <c r="B26" s="2" t="s">
        <v>1113</v>
      </c>
      <c r="C26" s="2" t="s">
        <v>1060</v>
      </c>
      <c r="D26" s="2" t="s">
        <v>1062</v>
      </c>
    </row>
    <row r="27">
      <c r="A27" s="64" t="s">
        <v>1056</v>
      </c>
      <c r="B27" s="2" t="s">
        <v>1116</v>
      </c>
      <c r="C27" s="2" t="s">
        <v>1060</v>
      </c>
      <c r="D27" s="2" t="s">
        <v>1062</v>
      </c>
    </row>
    <row r="28">
      <c r="A28" s="64" t="s">
        <v>1056</v>
      </c>
      <c r="B28" s="2" t="s">
        <v>1118</v>
      </c>
      <c r="C28" s="2" t="s">
        <v>1060</v>
      </c>
      <c r="D28" s="2" t="s">
        <v>1062</v>
      </c>
    </row>
    <row r="29">
      <c r="A29" s="64" t="s">
        <v>1056</v>
      </c>
      <c r="B29" s="2" t="s">
        <v>1120</v>
      </c>
      <c r="C29" s="2" t="s">
        <v>1060</v>
      </c>
      <c r="D29" s="2" t="s">
        <v>1062</v>
      </c>
    </row>
    <row r="30">
      <c r="A30" s="64" t="s">
        <v>1056</v>
      </c>
      <c r="B30" s="2" t="s">
        <v>1125</v>
      </c>
      <c r="C30" s="2" t="s">
        <v>1060</v>
      </c>
      <c r="D30" s="2" t="s">
        <v>1062</v>
      </c>
    </row>
    <row r="31">
      <c r="A31" s="64" t="s">
        <v>1056</v>
      </c>
      <c r="B31" s="2" t="s">
        <v>1126</v>
      </c>
      <c r="C31" s="2" t="s">
        <v>1060</v>
      </c>
      <c r="D31" s="2" t="s">
        <v>1062</v>
      </c>
    </row>
    <row r="32">
      <c r="A32" s="64" t="s">
        <v>1056</v>
      </c>
      <c r="B32" s="2" t="s">
        <v>1128</v>
      </c>
      <c r="C32" s="2" t="s">
        <v>1060</v>
      </c>
      <c r="D32" s="2" t="s">
        <v>1062</v>
      </c>
    </row>
    <row r="33">
      <c r="A33" s="64" t="s">
        <v>1056</v>
      </c>
      <c r="B33" s="2" t="s">
        <v>1131</v>
      </c>
      <c r="C33" s="2" t="s">
        <v>1060</v>
      </c>
      <c r="D33" s="2" t="s">
        <v>1062</v>
      </c>
    </row>
    <row r="34">
      <c r="A34" s="64" t="s">
        <v>1056</v>
      </c>
      <c r="B34" s="2" t="s">
        <v>1134</v>
      </c>
      <c r="C34" s="2" t="s">
        <v>1060</v>
      </c>
      <c r="D34" s="2" t="s">
        <v>1062</v>
      </c>
    </row>
    <row r="35">
      <c r="A35" s="64" t="s">
        <v>1056</v>
      </c>
      <c r="B35" s="2" t="s">
        <v>1138</v>
      </c>
      <c r="C35" s="2" t="s">
        <v>1060</v>
      </c>
      <c r="D35" s="2" t="s">
        <v>1062</v>
      </c>
    </row>
    <row r="36">
      <c r="A36" s="64" t="s">
        <v>1056</v>
      </c>
      <c r="B36" s="2" t="s">
        <v>1141</v>
      </c>
      <c r="C36" s="2" t="s">
        <v>1060</v>
      </c>
      <c r="D36" s="2" t="s">
        <v>1062</v>
      </c>
    </row>
    <row r="37">
      <c r="A37" s="64" t="s">
        <v>1056</v>
      </c>
      <c r="B37" s="2" t="s">
        <v>1142</v>
      </c>
      <c r="C37" s="2" t="s">
        <v>1060</v>
      </c>
      <c r="D37" s="2" t="s">
        <v>1062</v>
      </c>
    </row>
    <row r="38">
      <c r="A38" s="64" t="s">
        <v>1056</v>
      </c>
      <c r="B38" s="2" t="s">
        <v>1144</v>
      </c>
      <c r="C38" s="2" t="s">
        <v>1060</v>
      </c>
      <c r="D38" s="2" t="s">
        <v>1062</v>
      </c>
    </row>
    <row r="39">
      <c r="A39" s="64" t="s">
        <v>1056</v>
      </c>
      <c r="B39" s="2" t="s">
        <v>1148</v>
      </c>
      <c r="C39" s="2" t="s">
        <v>1060</v>
      </c>
      <c r="D39" s="2" t="s">
        <v>1062</v>
      </c>
    </row>
    <row r="40">
      <c r="A40" s="64" t="s">
        <v>1056</v>
      </c>
      <c r="B40" s="2" t="s">
        <v>1149</v>
      </c>
      <c r="C40" s="2" t="s">
        <v>1060</v>
      </c>
      <c r="D40" s="2" t="s">
        <v>1062</v>
      </c>
    </row>
    <row r="41">
      <c r="A41" s="64" t="s">
        <v>1056</v>
      </c>
      <c r="B41" s="2" t="s">
        <v>1151</v>
      </c>
      <c r="C41" s="2" t="s">
        <v>1060</v>
      </c>
      <c r="D41" s="2" t="s">
        <v>1062</v>
      </c>
    </row>
    <row r="42">
      <c r="A42" s="64" t="s">
        <v>1056</v>
      </c>
      <c r="B42" s="2" t="s">
        <v>1155</v>
      </c>
      <c r="C42" s="2" t="s">
        <v>1060</v>
      </c>
      <c r="D42" s="2" t="s">
        <v>1062</v>
      </c>
    </row>
    <row r="43">
      <c r="A43" s="64" t="s">
        <v>1056</v>
      </c>
      <c r="B43" s="2" t="s">
        <v>1158</v>
      </c>
      <c r="C43" s="2" t="s">
        <v>1060</v>
      </c>
      <c r="D43" s="2" t="s">
        <v>1062</v>
      </c>
    </row>
    <row r="44">
      <c r="A44" s="64" t="s">
        <v>1056</v>
      </c>
      <c r="B44" s="2" t="s">
        <v>1162</v>
      </c>
      <c r="C44" s="2" t="s">
        <v>1060</v>
      </c>
      <c r="D44" s="2" t="s">
        <v>1062</v>
      </c>
    </row>
    <row r="45">
      <c r="A45" s="64" t="s">
        <v>1056</v>
      </c>
      <c r="B45" s="2" t="s">
        <v>1165</v>
      </c>
      <c r="C45" s="2" t="s">
        <v>1060</v>
      </c>
      <c r="D45" s="2" t="s">
        <v>1062</v>
      </c>
    </row>
    <row r="46">
      <c r="A46" s="64" t="s">
        <v>1056</v>
      </c>
      <c r="B46" s="2" t="s">
        <v>1167</v>
      </c>
      <c r="C46" s="2" t="s">
        <v>1060</v>
      </c>
      <c r="D46" s="2" t="s">
        <v>1062</v>
      </c>
    </row>
    <row r="47">
      <c r="A47" s="64" t="s">
        <v>1056</v>
      </c>
      <c r="B47" s="2" t="s">
        <v>1168</v>
      </c>
      <c r="C47" s="2" t="s">
        <v>1060</v>
      </c>
      <c r="D47" s="2" t="s">
        <v>1062</v>
      </c>
    </row>
    <row r="48">
      <c r="A48" s="64" t="s">
        <v>1056</v>
      </c>
      <c r="B48" s="2" t="s">
        <v>1170</v>
      </c>
      <c r="C48" s="2" t="s">
        <v>1060</v>
      </c>
      <c r="D48" s="2" t="s">
        <v>1062</v>
      </c>
    </row>
    <row r="49">
      <c r="A49" s="64" t="s">
        <v>1056</v>
      </c>
      <c r="B49" s="2" t="s">
        <v>1173</v>
      </c>
      <c r="C49" s="2" t="s">
        <v>1060</v>
      </c>
      <c r="D49" s="2" t="s">
        <v>1062</v>
      </c>
    </row>
    <row r="50">
      <c r="A50" s="64" t="s">
        <v>1056</v>
      </c>
      <c r="B50" s="2" t="s">
        <v>1174</v>
      </c>
      <c r="C50" s="2" t="s">
        <v>1060</v>
      </c>
      <c r="D50" s="2" t="s">
        <v>1062</v>
      </c>
    </row>
    <row r="51">
      <c r="A51" s="64" t="s">
        <v>1056</v>
      </c>
      <c r="B51" s="2" t="s">
        <v>1175</v>
      </c>
      <c r="C51" s="2" t="s">
        <v>1060</v>
      </c>
      <c r="D51" s="2" t="s">
        <v>1062</v>
      </c>
    </row>
    <row r="52">
      <c r="A52" s="64" t="s">
        <v>1056</v>
      </c>
      <c r="B52" s="2" t="s">
        <v>1176</v>
      </c>
      <c r="C52" s="2" t="s">
        <v>1060</v>
      </c>
      <c r="D52" s="2" t="s">
        <v>1062</v>
      </c>
    </row>
    <row r="53">
      <c r="A53" s="64" t="s">
        <v>1056</v>
      </c>
      <c r="B53" s="2" t="s">
        <v>1178</v>
      </c>
      <c r="C53" s="2" t="s">
        <v>1060</v>
      </c>
      <c r="D53" s="2" t="s">
        <v>1062</v>
      </c>
    </row>
    <row r="54">
      <c r="A54" s="64" t="s">
        <v>1056</v>
      </c>
      <c r="B54" s="2" t="s">
        <v>1180</v>
      </c>
      <c r="C54" s="2" t="s">
        <v>1060</v>
      </c>
      <c r="D54" s="2" t="s">
        <v>1062</v>
      </c>
    </row>
    <row r="55">
      <c r="A55" s="64" t="s">
        <v>1056</v>
      </c>
      <c r="B55" s="2" t="s">
        <v>1182</v>
      </c>
      <c r="C55" s="2" t="s">
        <v>1060</v>
      </c>
      <c r="D55" s="2" t="s">
        <v>1062</v>
      </c>
    </row>
    <row r="56">
      <c r="A56" s="64" t="s">
        <v>1056</v>
      </c>
      <c r="B56" s="2" t="s">
        <v>1185</v>
      </c>
      <c r="C56" s="2" t="s">
        <v>1060</v>
      </c>
      <c r="D56" s="2" t="s">
        <v>1062</v>
      </c>
    </row>
    <row r="57">
      <c r="A57" s="64" t="s">
        <v>1056</v>
      </c>
      <c r="B57" s="2" t="s">
        <v>1187</v>
      </c>
      <c r="C57" s="2" t="s">
        <v>1060</v>
      </c>
      <c r="D57" s="2" t="s">
        <v>1062</v>
      </c>
    </row>
    <row r="58">
      <c r="A58" s="64" t="s">
        <v>1056</v>
      </c>
      <c r="B58" s="2" t="s">
        <v>1188</v>
      </c>
      <c r="C58" s="2" t="s">
        <v>1060</v>
      </c>
      <c r="D58" s="2" t="s">
        <v>1062</v>
      </c>
    </row>
    <row r="59">
      <c r="A59" s="64" t="s">
        <v>1056</v>
      </c>
      <c r="B59" s="2" t="s">
        <v>1190</v>
      </c>
      <c r="C59" s="2" t="s">
        <v>1060</v>
      </c>
      <c r="D59" s="2" t="s">
        <v>1062</v>
      </c>
    </row>
    <row r="60">
      <c r="A60" s="64" t="s">
        <v>1056</v>
      </c>
      <c r="B60" s="2" t="s">
        <v>1192</v>
      </c>
      <c r="C60" s="2" t="s">
        <v>1060</v>
      </c>
      <c r="D60" s="2" t="s">
        <v>1062</v>
      </c>
    </row>
    <row r="61">
      <c r="A61" s="64" t="s">
        <v>1056</v>
      </c>
      <c r="B61" s="2" t="s">
        <v>1193</v>
      </c>
      <c r="C61" s="2" t="s">
        <v>1060</v>
      </c>
      <c r="D61" s="2" t="s">
        <v>1062</v>
      </c>
    </row>
    <row r="62">
      <c r="A62" s="64" t="s">
        <v>1056</v>
      </c>
      <c r="B62" s="2" t="s">
        <v>1196</v>
      </c>
      <c r="C62" s="2" t="s">
        <v>1060</v>
      </c>
      <c r="D62" s="2" t="s">
        <v>1062</v>
      </c>
    </row>
    <row r="63">
      <c r="A63" s="64" t="s">
        <v>1056</v>
      </c>
      <c r="B63" s="2" t="s">
        <v>1199</v>
      </c>
      <c r="C63" s="2" t="s">
        <v>1060</v>
      </c>
      <c r="D63" s="2" t="s">
        <v>1062</v>
      </c>
    </row>
    <row r="64">
      <c r="A64" s="64" t="s">
        <v>1056</v>
      </c>
      <c r="B64" s="2" t="s">
        <v>1200</v>
      </c>
      <c r="C64" s="2" t="s">
        <v>1060</v>
      </c>
      <c r="D64" s="2" t="s">
        <v>1062</v>
      </c>
    </row>
    <row r="65">
      <c r="A65" s="64" t="s">
        <v>1056</v>
      </c>
      <c r="B65" s="2" t="s">
        <v>1201</v>
      </c>
      <c r="C65" s="2" t="s">
        <v>1060</v>
      </c>
      <c r="D65" s="2" t="s">
        <v>1062</v>
      </c>
    </row>
    <row r="66">
      <c r="A66" s="64" t="s">
        <v>1056</v>
      </c>
      <c r="B66" s="2" t="s">
        <v>1204</v>
      </c>
      <c r="C66" s="2" t="s">
        <v>1060</v>
      </c>
      <c r="D66" s="2" t="s">
        <v>1062</v>
      </c>
    </row>
    <row r="67">
      <c r="A67" s="64" t="s">
        <v>1056</v>
      </c>
      <c r="B67" s="2" t="s">
        <v>1207</v>
      </c>
      <c r="C67" s="2" t="s">
        <v>1060</v>
      </c>
      <c r="D67" s="2" t="s">
        <v>1062</v>
      </c>
    </row>
    <row r="68">
      <c r="A68" s="64" t="s">
        <v>1056</v>
      </c>
      <c r="B68" s="2" t="s">
        <v>1208</v>
      </c>
      <c r="C68" s="2" t="s">
        <v>1060</v>
      </c>
      <c r="D68" s="2" t="s">
        <v>1062</v>
      </c>
    </row>
    <row r="69">
      <c r="A69" s="64" t="s">
        <v>1056</v>
      </c>
      <c r="B69" s="2" t="s">
        <v>1209</v>
      </c>
      <c r="C69" s="2" t="s">
        <v>1060</v>
      </c>
      <c r="D69" s="2" t="s">
        <v>1062</v>
      </c>
    </row>
    <row r="70">
      <c r="A70" s="64" t="s">
        <v>1056</v>
      </c>
      <c r="B70" s="2" t="s">
        <v>1214</v>
      </c>
      <c r="C70" s="2" t="s">
        <v>1060</v>
      </c>
      <c r="D70" s="2" t="s">
        <v>1062</v>
      </c>
    </row>
    <row r="71">
      <c r="A71" s="64" t="s">
        <v>1056</v>
      </c>
      <c r="B71" s="2" t="s">
        <v>1217</v>
      </c>
      <c r="C71" s="2" t="s">
        <v>1060</v>
      </c>
      <c r="D71" s="2" t="s">
        <v>1062</v>
      </c>
    </row>
    <row r="72">
      <c r="A72" s="64" t="s">
        <v>1056</v>
      </c>
      <c r="B72" s="2" t="s">
        <v>1218</v>
      </c>
      <c r="C72" s="2" t="s">
        <v>1060</v>
      </c>
      <c r="D72" s="2" t="s">
        <v>1062</v>
      </c>
    </row>
    <row r="73">
      <c r="A73" s="64" t="s">
        <v>1056</v>
      </c>
      <c r="B73" s="2" t="s">
        <v>1219</v>
      </c>
      <c r="C73" s="2" t="s">
        <v>1060</v>
      </c>
      <c r="D73" s="2" t="s">
        <v>1062</v>
      </c>
    </row>
    <row r="74">
      <c r="A74" s="64" t="s">
        <v>1056</v>
      </c>
      <c r="B74" s="2" t="s">
        <v>1224</v>
      </c>
      <c r="C74" s="2" t="s">
        <v>1060</v>
      </c>
      <c r="D74" s="2" t="s">
        <v>1062</v>
      </c>
    </row>
    <row r="75">
      <c r="A75" s="64" t="s">
        <v>1056</v>
      </c>
      <c r="B75" s="2" t="s">
        <v>1226</v>
      </c>
      <c r="C75" s="2" t="s">
        <v>1060</v>
      </c>
      <c r="D75" s="2" t="s">
        <v>1062</v>
      </c>
    </row>
    <row r="76">
      <c r="A76" s="64" t="s">
        <v>1056</v>
      </c>
      <c r="B76" s="2" t="s">
        <v>1227</v>
      </c>
      <c r="C76" s="2" t="s">
        <v>1060</v>
      </c>
      <c r="D76" s="2" t="s">
        <v>1062</v>
      </c>
    </row>
    <row r="77">
      <c r="A77" s="64" t="s">
        <v>1056</v>
      </c>
      <c r="B77" s="2" t="s">
        <v>1230</v>
      </c>
      <c r="C77" s="2" t="s">
        <v>1060</v>
      </c>
      <c r="D77" s="2" t="s">
        <v>1062</v>
      </c>
    </row>
    <row r="78">
      <c r="A78" s="64" t="s">
        <v>1056</v>
      </c>
      <c r="B78" s="2" t="s">
        <v>1231</v>
      </c>
      <c r="C78" s="2" t="s">
        <v>1060</v>
      </c>
      <c r="D78" s="2" t="s">
        <v>1062</v>
      </c>
    </row>
    <row r="79">
      <c r="A79" s="64" t="s">
        <v>1056</v>
      </c>
      <c r="B79" s="2" t="s">
        <v>1233</v>
      </c>
      <c r="C79" s="2" t="s">
        <v>1060</v>
      </c>
      <c r="D79" s="2" t="s">
        <v>1062</v>
      </c>
    </row>
    <row r="80">
      <c r="A80" s="64" t="s">
        <v>1056</v>
      </c>
      <c r="B80" s="2" t="s">
        <v>1234</v>
      </c>
      <c r="C80" s="2" t="s">
        <v>1060</v>
      </c>
      <c r="D80" s="2" t="s">
        <v>1062</v>
      </c>
    </row>
    <row r="81">
      <c r="A81" s="64" t="s">
        <v>1056</v>
      </c>
      <c r="B81" s="2" t="s">
        <v>1235</v>
      </c>
      <c r="C81" s="2" t="s">
        <v>1060</v>
      </c>
      <c r="D81" s="2" t="s">
        <v>1062</v>
      </c>
    </row>
    <row r="82">
      <c r="A82" s="64" t="s">
        <v>1056</v>
      </c>
      <c r="B82" s="2" t="s">
        <v>1236</v>
      </c>
      <c r="C82" s="2" t="s">
        <v>1060</v>
      </c>
      <c r="D82" s="2" t="s">
        <v>1062</v>
      </c>
    </row>
    <row r="83">
      <c r="A83" s="64" t="s">
        <v>1056</v>
      </c>
      <c r="B83" s="2" t="s">
        <v>1237</v>
      </c>
      <c r="C83" s="2" t="s">
        <v>1060</v>
      </c>
      <c r="D83" s="2" t="s">
        <v>1062</v>
      </c>
    </row>
    <row r="84">
      <c r="A84" s="64" t="s">
        <v>1056</v>
      </c>
      <c r="B84" s="2" t="s">
        <v>1240</v>
      </c>
      <c r="C84" s="2" t="s">
        <v>1060</v>
      </c>
      <c r="D84" s="2" t="s">
        <v>1062</v>
      </c>
    </row>
    <row r="85">
      <c r="A85" s="64" t="s">
        <v>1056</v>
      </c>
      <c r="B85" s="2" t="s">
        <v>1242</v>
      </c>
      <c r="C85" s="2" t="s">
        <v>1060</v>
      </c>
      <c r="D85" s="2" t="s">
        <v>1062</v>
      </c>
    </row>
    <row r="86">
      <c r="A86" s="64" t="s">
        <v>1056</v>
      </c>
      <c r="B86" s="2" t="s">
        <v>1245</v>
      </c>
      <c r="C86" s="2" t="s">
        <v>1060</v>
      </c>
      <c r="D86" s="2" t="s">
        <v>1062</v>
      </c>
    </row>
    <row r="87">
      <c r="A87" s="64" t="s">
        <v>1056</v>
      </c>
      <c r="B87" s="2" t="s">
        <v>1248</v>
      </c>
      <c r="C87" s="2" t="s">
        <v>1060</v>
      </c>
      <c r="D87" s="2" t="s">
        <v>1062</v>
      </c>
    </row>
    <row r="88">
      <c r="A88" s="64" t="s">
        <v>1056</v>
      </c>
      <c r="B88" s="2" t="s">
        <v>1250</v>
      </c>
      <c r="C88" s="2" t="s">
        <v>1060</v>
      </c>
      <c r="D88" s="2" t="s">
        <v>1062</v>
      </c>
    </row>
    <row r="89">
      <c r="A89" s="64" t="s">
        <v>1056</v>
      </c>
      <c r="B89" s="2" t="s">
        <v>1253</v>
      </c>
      <c r="C89" s="2" t="s">
        <v>1060</v>
      </c>
      <c r="D89" s="2" t="s">
        <v>1062</v>
      </c>
    </row>
    <row r="90">
      <c r="A90" s="64" t="s">
        <v>1056</v>
      </c>
      <c r="B90" s="2" t="s">
        <v>1255</v>
      </c>
      <c r="C90" s="2" t="s">
        <v>1060</v>
      </c>
      <c r="D90" s="2" t="s">
        <v>1062</v>
      </c>
    </row>
    <row r="91">
      <c r="A91" s="64" t="s">
        <v>1056</v>
      </c>
      <c r="B91" s="2" t="s">
        <v>1258</v>
      </c>
      <c r="C91" s="2" t="s">
        <v>1060</v>
      </c>
      <c r="D91" s="2" t="s">
        <v>1062</v>
      </c>
    </row>
    <row r="92">
      <c r="A92" s="64" t="s">
        <v>1056</v>
      </c>
      <c r="B92" s="2" t="s">
        <v>1262</v>
      </c>
      <c r="C92" s="2" t="s">
        <v>1060</v>
      </c>
      <c r="D92" s="2" t="s">
        <v>1062</v>
      </c>
    </row>
    <row r="93">
      <c r="A93" s="64" t="s">
        <v>1056</v>
      </c>
      <c r="B93" s="2" t="s">
        <v>1263</v>
      </c>
      <c r="C93" s="2" t="s">
        <v>1060</v>
      </c>
      <c r="D93" s="2" t="s">
        <v>1062</v>
      </c>
    </row>
    <row r="94">
      <c r="A94" s="64" t="s">
        <v>1056</v>
      </c>
      <c r="B94" s="2" t="s">
        <v>1264</v>
      </c>
      <c r="C94" s="2" t="s">
        <v>1060</v>
      </c>
      <c r="D94" s="2" t="s">
        <v>1062</v>
      </c>
    </row>
    <row r="95">
      <c r="A95" s="64" t="s">
        <v>1056</v>
      </c>
      <c r="B95" s="2" t="s">
        <v>1265</v>
      </c>
      <c r="C95" s="2" t="s">
        <v>1060</v>
      </c>
      <c r="D95" s="2" t="s">
        <v>1062</v>
      </c>
    </row>
    <row r="96">
      <c r="A96" s="64" t="s">
        <v>1056</v>
      </c>
      <c r="B96" s="2" t="s">
        <v>1266</v>
      </c>
      <c r="C96" s="2" t="s">
        <v>1060</v>
      </c>
      <c r="D96" s="2" t="s">
        <v>1062</v>
      </c>
    </row>
    <row r="97">
      <c r="A97" s="64" t="s">
        <v>1056</v>
      </c>
      <c r="B97" s="2" t="s">
        <v>1267</v>
      </c>
      <c r="C97" s="2" t="s">
        <v>1060</v>
      </c>
      <c r="D97" s="2" t="s">
        <v>1062</v>
      </c>
    </row>
    <row r="98">
      <c r="A98" s="64" t="s">
        <v>1056</v>
      </c>
      <c r="B98" s="2" t="s">
        <v>1268</v>
      </c>
      <c r="C98" s="2" t="s">
        <v>1060</v>
      </c>
      <c r="D98" s="2" t="s">
        <v>1062</v>
      </c>
    </row>
    <row r="99">
      <c r="A99" s="64" t="s">
        <v>1056</v>
      </c>
      <c r="B99" s="2" t="s">
        <v>1272</v>
      </c>
      <c r="C99" s="2" t="s">
        <v>1060</v>
      </c>
      <c r="D99" s="2" t="s">
        <v>1062</v>
      </c>
    </row>
    <row r="100">
      <c r="A100" s="64" t="s">
        <v>1056</v>
      </c>
      <c r="B100" s="2" t="s">
        <v>1273</v>
      </c>
      <c r="C100" s="2" t="s">
        <v>1060</v>
      </c>
      <c r="D100" s="2" t="s">
        <v>1062</v>
      </c>
    </row>
    <row r="101">
      <c r="A101" s="64" t="s">
        <v>1056</v>
      </c>
      <c r="B101" s="2" t="s">
        <v>1274</v>
      </c>
      <c r="C101" s="2" t="s">
        <v>1060</v>
      </c>
      <c r="D101" s="2" t="s">
        <v>1062</v>
      </c>
    </row>
    <row r="102">
      <c r="A102" s="64" t="s">
        <v>1056</v>
      </c>
      <c r="B102" s="2" t="s">
        <v>1275</v>
      </c>
      <c r="C102" s="2" t="s">
        <v>1060</v>
      </c>
      <c r="D102" s="2" t="s">
        <v>1062</v>
      </c>
    </row>
    <row r="103">
      <c r="A103" s="64" t="s">
        <v>1056</v>
      </c>
      <c r="B103" s="2" t="s">
        <v>1278</v>
      </c>
      <c r="C103" s="2" t="s">
        <v>1060</v>
      </c>
      <c r="D103" s="2" t="s">
        <v>1062</v>
      </c>
    </row>
    <row r="104">
      <c r="A104" s="64" t="s">
        <v>1056</v>
      </c>
      <c r="B104" s="2" t="s">
        <v>1280</v>
      </c>
      <c r="C104" s="2" t="s">
        <v>1060</v>
      </c>
      <c r="D104" s="2" t="s">
        <v>1062</v>
      </c>
    </row>
    <row r="105">
      <c r="A105" s="64" t="s">
        <v>1056</v>
      </c>
      <c r="B105" s="2" t="s">
        <v>1283</v>
      </c>
      <c r="C105" s="2" t="s">
        <v>1060</v>
      </c>
      <c r="D105" s="2" t="s">
        <v>1062</v>
      </c>
    </row>
    <row r="106">
      <c r="A106" s="64" t="s">
        <v>1056</v>
      </c>
      <c r="B106" s="2" t="s">
        <v>1286</v>
      </c>
      <c r="C106" s="2" t="s">
        <v>1060</v>
      </c>
      <c r="D106" s="2" t="s">
        <v>1062</v>
      </c>
    </row>
    <row r="107">
      <c r="A107" s="64" t="s">
        <v>1056</v>
      </c>
      <c r="B107" s="2" t="s">
        <v>1288</v>
      </c>
      <c r="C107" s="2" t="s">
        <v>1060</v>
      </c>
      <c r="D107" s="2" t="s">
        <v>1062</v>
      </c>
    </row>
    <row r="108">
      <c r="A108" s="64" t="s">
        <v>1056</v>
      </c>
      <c r="B108" s="2" t="s">
        <v>1289</v>
      </c>
      <c r="C108" s="2" t="s">
        <v>1060</v>
      </c>
      <c r="D108" s="2" t="s">
        <v>1062</v>
      </c>
    </row>
    <row r="109">
      <c r="A109" s="64" t="s">
        <v>1056</v>
      </c>
      <c r="B109" s="2" t="s">
        <v>1290</v>
      </c>
      <c r="C109" s="2" t="s">
        <v>1060</v>
      </c>
      <c r="D109" s="2" t="s">
        <v>1062</v>
      </c>
    </row>
    <row r="110">
      <c r="A110" s="64" t="s">
        <v>1056</v>
      </c>
      <c r="B110" s="2" t="s">
        <v>1292</v>
      </c>
      <c r="C110" s="2" t="s">
        <v>1060</v>
      </c>
      <c r="D110" s="2" t="s">
        <v>1062</v>
      </c>
    </row>
    <row r="111">
      <c r="A111" s="64" t="s">
        <v>1056</v>
      </c>
      <c r="B111" s="2" t="s">
        <v>1293</v>
      </c>
      <c r="C111" s="2" t="s">
        <v>1060</v>
      </c>
      <c r="D111" s="2" t="s">
        <v>1062</v>
      </c>
    </row>
    <row r="112">
      <c r="A112" s="64" t="s">
        <v>1056</v>
      </c>
      <c r="B112" s="2" t="s">
        <v>1297</v>
      </c>
      <c r="C112" s="2" t="s">
        <v>1060</v>
      </c>
      <c r="D112" s="2" t="s">
        <v>1062</v>
      </c>
    </row>
    <row r="113">
      <c r="A113" s="64" t="s">
        <v>1056</v>
      </c>
      <c r="B113" s="2" t="s">
        <v>1298</v>
      </c>
      <c r="C113" s="2" t="s">
        <v>1060</v>
      </c>
      <c r="D113" s="2" t="s">
        <v>1062</v>
      </c>
    </row>
    <row r="114">
      <c r="A114" s="64" t="s">
        <v>1056</v>
      </c>
      <c r="B114" s="2" t="s">
        <v>1300</v>
      </c>
      <c r="C114" s="2" t="s">
        <v>1060</v>
      </c>
      <c r="D114" s="2" t="s">
        <v>1062</v>
      </c>
    </row>
    <row r="115">
      <c r="A115" s="64" t="s">
        <v>1056</v>
      </c>
      <c r="B115" s="2" t="s">
        <v>1303</v>
      </c>
      <c r="C115" s="2" t="s">
        <v>1060</v>
      </c>
      <c r="D115" s="2" t="s">
        <v>1062</v>
      </c>
    </row>
    <row r="116">
      <c r="A116" s="64" t="s">
        <v>1056</v>
      </c>
      <c r="B116" s="2" t="s">
        <v>1304</v>
      </c>
      <c r="C116" s="2" t="s">
        <v>1060</v>
      </c>
      <c r="D116" s="2" t="s">
        <v>1062</v>
      </c>
    </row>
    <row r="117">
      <c r="A117" s="64" t="s">
        <v>1056</v>
      </c>
      <c r="B117" s="2" t="s">
        <v>1305</v>
      </c>
      <c r="C117" s="2" t="s">
        <v>1060</v>
      </c>
      <c r="D117" s="2" t="s">
        <v>1062</v>
      </c>
    </row>
    <row r="118">
      <c r="A118" s="64" t="s">
        <v>1056</v>
      </c>
      <c r="B118" s="2" t="s">
        <v>1306</v>
      </c>
      <c r="C118" s="2" t="s">
        <v>1060</v>
      </c>
      <c r="D118" s="2" t="s">
        <v>1062</v>
      </c>
    </row>
    <row r="119">
      <c r="A119" s="64" t="s">
        <v>1056</v>
      </c>
      <c r="B119" s="2" t="s">
        <v>1307</v>
      </c>
      <c r="C119" s="2" t="s">
        <v>1060</v>
      </c>
      <c r="D119" s="2" t="s">
        <v>1062</v>
      </c>
    </row>
    <row r="120">
      <c r="A120" s="64" t="s">
        <v>1056</v>
      </c>
      <c r="B120" s="2" t="s">
        <v>1308</v>
      </c>
      <c r="C120" s="2" t="s">
        <v>1060</v>
      </c>
      <c r="D120" s="2" t="s">
        <v>1062</v>
      </c>
    </row>
    <row r="121">
      <c r="A121" s="64" t="s">
        <v>1056</v>
      </c>
      <c r="B121" s="2" t="s">
        <v>1309</v>
      </c>
      <c r="C121" s="2" t="s">
        <v>1060</v>
      </c>
      <c r="D121" s="2" t="s">
        <v>1062</v>
      </c>
    </row>
    <row r="122">
      <c r="A122" s="64" t="s">
        <v>1056</v>
      </c>
      <c r="B122" s="2" t="s">
        <v>1311</v>
      </c>
      <c r="C122" s="2" t="s">
        <v>1060</v>
      </c>
      <c r="D122" s="2" t="s">
        <v>1062</v>
      </c>
    </row>
    <row r="123">
      <c r="A123" s="64" t="s">
        <v>1056</v>
      </c>
      <c r="B123" s="2" t="s">
        <v>1312</v>
      </c>
      <c r="C123" s="2" t="s">
        <v>1060</v>
      </c>
      <c r="D123" s="2" t="s">
        <v>1062</v>
      </c>
    </row>
    <row r="124">
      <c r="A124" s="64" t="s">
        <v>1056</v>
      </c>
      <c r="B124" s="2" t="s">
        <v>1313</v>
      </c>
      <c r="C124" s="2" t="s">
        <v>1060</v>
      </c>
      <c r="D124" s="2" t="s">
        <v>1062</v>
      </c>
    </row>
    <row r="125">
      <c r="A125" s="64" t="s">
        <v>1056</v>
      </c>
      <c r="B125" s="2" t="s">
        <v>1314</v>
      </c>
      <c r="C125" s="2" t="s">
        <v>1060</v>
      </c>
      <c r="D125" s="2" t="s">
        <v>1062</v>
      </c>
    </row>
    <row r="126">
      <c r="A126" s="64" t="s">
        <v>1056</v>
      </c>
      <c r="B126" s="2" t="s">
        <v>1316</v>
      </c>
      <c r="C126" s="2" t="s">
        <v>1060</v>
      </c>
      <c r="D126" s="2" t="s">
        <v>1062</v>
      </c>
    </row>
    <row r="127">
      <c r="A127" s="64" t="s">
        <v>1056</v>
      </c>
      <c r="B127" s="2" t="s">
        <v>1317</v>
      </c>
      <c r="C127" s="2" t="s">
        <v>1060</v>
      </c>
      <c r="D127" s="2" t="s">
        <v>1062</v>
      </c>
    </row>
    <row r="128">
      <c r="A128" s="64" t="s">
        <v>1056</v>
      </c>
      <c r="B128" s="2" t="s">
        <v>1318</v>
      </c>
      <c r="C128" s="2" t="s">
        <v>1060</v>
      </c>
      <c r="D128" s="2" t="s">
        <v>1062</v>
      </c>
    </row>
    <row r="129">
      <c r="A129" s="64" t="s">
        <v>1056</v>
      </c>
      <c r="B129" s="2" t="s">
        <v>1320</v>
      </c>
      <c r="C129" s="2" t="s">
        <v>1060</v>
      </c>
      <c r="D129" s="2" t="s">
        <v>1062</v>
      </c>
    </row>
    <row r="130">
      <c r="A130" s="64" t="s">
        <v>1056</v>
      </c>
      <c r="B130" s="2" t="s">
        <v>1323</v>
      </c>
      <c r="C130" s="2" t="s">
        <v>1060</v>
      </c>
      <c r="D130" s="2" t="s">
        <v>1062</v>
      </c>
    </row>
    <row r="131">
      <c r="A131" s="64" t="s">
        <v>1056</v>
      </c>
      <c r="B131" s="2" t="s">
        <v>1324</v>
      </c>
      <c r="C131" s="2" t="s">
        <v>1060</v>
      </c>
      <c r="D131" s="2" t="s">
        <v>1062</v>
      </c>
    </row>
    <row r="132">
      <c r="A132" s="64" t="s">
        <v>1056</v>
      </c>
      <c r="B132" s="2" t="s">
        <v>1325</v>
      </c>
      <c r="C132" s="2" t="s">
        <v>1060</v>
      </c>
      <c r="D132" s="2" t="s">
        <v>1062</v>
      </c>
    </row>
    <row r="133">
      <c r="A133" s="64" t="s">
        <v>1056</v>
      </c>
      <c r="B133" s="2" t="s">
        <v>1326</v>
      </c>
      <c r="C133" s="2" t="s">
        <v>1060</v>
      </c>
      <c r="D133" s="2" t="s">
        <v>1062</v>
      </c>
    </row>
    <row r="134">
      <c r="A134" s="64" t="s">
        <v>1056</v>
      </c>
      <c r="B134" s="2" t="s">
        <v>1327</v>
      </c>
      <c r="C134" s="2" t="s">
        <v>1060</v>
      </c>
      <c r="D134" s="2" t="s">
        <v>1062</v>
      </c>
    </row>
    <row r="135">
      <c r="A135" s="64" t="s">
        <v>1056</v>
      </c>
      <c r="B135" s="2" t="s">
        <v>1330</v>
      </c>
      <c r="C135" s="2" t="s">
        <v>1060</v>
      </c>
      <c r="D135" s="2" t="s">
        <v>1062</v>
      </c>
    </row>
    <row r="136">
      <c r="A136" s="64" t="s">
        <v>1056</v>
      </c>
      <c r="B136" s="2" t="s">
        <v>1331</v>
      </c>
      <c r="C136" s="2" t="s">
        <v>1060</v>
      </c>
      <c r="D136" s="2" t="s">
        <v>1062</v>
      </c>
    </row>
    <row r="137">
      <c r="A137" s="64" t="s">
        <v>1056</v>
      </c>
      <c r="B137" s="2" t="s">
        <v>1333</v>
      </c>
      <c r="C137" s="2" t="s">
        <v>1060</v>
      </c>
      <c r="D137" s="2" t="s">
        <v>1062</v>
      </c>
    </row>
    <row r="138">
      <c r="A138" s="64" t="s">
        <v>1056</v>
      </c>
      <c r="B138" s="2" t="s">
        <v>1334</v>
      </c>
      <c r="C138" s="2" t="s">
        <v>1060</v>
      </c>
      <c r="D138" s="2" t="s">
        <v>1062</v>
      </c>
    </row>
    <row r="139">
      <c r="A139" s="64" t="s">
        <v>1056</v>
      </c>
      <c r="B139" s="2" t="s">
        <v>1335</v>
      </c>
      <c r="C139" s="2" t="s">
        <v>1060</v>
      </c>
      <c r="D139" s="2" t="s">
        <v>1062</v>
      </c>
    </row>
    <row r="140">
      <c r="A140" s="64" t="s">
        <v>1056</v>
      </c>
      <c r="B140" s="2" t="s">
        <v>1337</v>
      </c>
      <c r="C140" s="2" t="s">
        <v>1060</v>
      </c>
      <c r="D140" s="2" t="s">
        <v>1062</v>
      </c>
    </row>
    <row r="141">
      <c r="A141" s="64" t="s">
        <v>1056</v>
      </c>
      <c r="B141" s="2" t="s">
        <v>1338</v>
      </c>
      <c r="C141" s="2" t="s">
        <v>1060</v>
      </c>
      <c r="D141" s="2" t="s">
        <v>1062</v>
      </c>
    </row>
    <row r="142">
      <c r="A142" s="64" t="s">
        <v>1056</v>
      </c>
      <c r="B142" s="2" t="s">
        <v>1339</v>
      </c>
      <c r="C142" s="2" t="s">
        <v>1060</v>
      </c>
      <c r="D142" s="2" t="s">
        <v>1062</v>
      </c>
    </row>
    <row r="143">
      <c r="A143" s="64" t="s">
        <v>1056</v>
      </c>
      <c r="B143" s="2" t="s">
        <v>1340</v>
      </c>
      <c r="C143" s="2" t="s">
        <v>1060</v>
      </c>
      <c r="D143" s="2" t="s">
        <v>1062</v>
      </c>
    </row>
    <row r="144">
      <c r="A144" s="64" t="s">
        <v>1056</v>
      </c>
      <c r="B144" s="2" t="s">
        <v>1341</v>
      </c>
      <c r="C144" s="2" t="s">
        <v>1060</v>
      </c>
      <c r="D144" s="2" t="s">
        <v>1062</v>
      </c>
    </row>
    <row r="145">
      <c r="A145" s="64" t="s">
        <v>1056</v>
      </c>
      <c r="B145" s="2" t="s">
        <v>1343</v>
      </c>
      <c r="C145" s="2" t="s">
        <v>1060</v>
      </c>
      <c r="D145" s="2" t="s">
        <v>1062</v>
      </c>
    </row>
    <row r="146">
      <c r="A146" s="64" t="s">
        <v>1056</v>
      </c>
      <c r="B146" s="2" t="s">
        <v>1344</v>
      </c>
      <c r="C146" s="2" t="s">
        <v>1060</v>
      </c>
      <c r="D146" s="2" t="s">
        <v>1062</v>
      </c>
    </row>
    <row r="147">
      <c r="A147" s="64" t="s">
        <v>1056</v>
      </c>
      <c r="B147" s="2" t="s">
        <v>1345</v>
      </c>
      <c r="C147" s="2" t="s">
        <v>1060</v>
      </c>
      <c r="D147" s="2" t="s">
        <v>1062</v>
      </c>
    </row>
    <row r="148">
      <c r="A148" s="64" t="s">
        <v>1056</v>
      </c>
      <c r="B148" s="2" t="s">
        <v>1346</v>
      </c>
      <c r="C148" s="2" t="s">
        <v>1060</v>
      </c>
      <c r="D148" s="2" t="s">
        <v>1062</v>
      </c>
    </row>
    <row r="149">
      <c r="A149" s="64" t="s">
        <v>1056</v>
      </c>
      <c r="B149" s="2" t="s">
        <v>1347</v>
      </c>
      <c r="C149" s="2" t="s">
        <v>1060</v>
      </c>
      <c r="D149" s="2" t="s">
        <v>1062</v>
      </c>
    </row>
    <row r="150">
      <c r="A150" s="64" t="s">
        <v>1056</v>
      </c>
      <c r="B150" s="2" t="s">
        <v>1349</v>
      </c>
      <c r="C150" s="2" t="s">
        <v>1060</v>
      </c>
      <c r="D150" s="2" t="s">
        <v>1062</v>
      </c>
    </row>
    <row r="151">
      <c r="A151" s="64" t="s">
        <v>1056</v>
      </c>
      <c r="B151" s="2" t="s">
        <v>1351</v>
      </c>
      <c r="C151" s="2" t="s">
        <v>1060</v>
      </c>
      <c r="D151" s="2" t="s">
        <v>1062</v>
      </c>
    </row>
    <row r="152">
      <c r="A152" s="64" t="s">
        <v>1056</v>
      </c>
      <c r="B152" s="2" t="s">
        <v>1352</v>
      </c>
      <c r="C152" s="2" t="s">
        <v>1060</v>
      </c>
      <c r="D152" s="2" t="s">
        <v>1062</v>
      </c>
    </row>
    <row r="153">
      <c r="A153" s="64" t="s">
        <v>1056</v>
      </c>
      <c r="B153" s="2" t="s">
        <v>1353</v>
      </c>
      <c r="C153" s="2" t="s">
        <v>1060</v>
      </c>
      <c r="D153" s="2" t="s">
        <v>1062</v>
      </c>
    </row>
    <row r="154">
      <c r="A154" s="64" t="s">
        <v>1056</v>
      </c>
      <c r="B154" s="2" t="s">
        <v>1354</v>
      </c>
      <c r="C154" s="2" t="s">
        <v>1060</v>
      </c>
      <c r="D154" s="2" t="s">
        <v>1062</v>
      </c>
    </row>
    <row r="155">
      <c r="A155" s="64" t="s">
        <v>1056</v>
      </c>
      <c r="B155" s="2" t="s">
        <v>1356</v>
      </c>
      <c r="C155" s="2" t="s">
        <v>1060</v>
      </c>
      <c r="D155" s="2" t="s">
        <v>1062</v>
      </c>
    </row>
    <row r="156">
      <c r="A156" s="64" t="s">
        <v>1056</v>
      </c>
      <c r="B156" s="2" t="s">
        <v>1357</v>
      </c>
      <c r="C156" s="2" t="s">
        <v>1060</v>
      </c>
      <c r="D156" s="2" t="s">
        <v>1062</v>
      </c>
    </row>
    <row r="157">
      <c r="A157" s="64" t="s">
        <v>1056</v>
      </c>
      <c r="B157" s="2" t="s">
        <v>1358</v>
      </c>
      <c r="C157" s="2" t="s">
        <v>1060</v>
      </c>
      <c r="D157" s="2" t="s">
        <v>1062</v>
      </c>
    </row>
    <row r="158">
      <c r="A158" s="64" t="s">
        <v>1056</v>
      </c>
      <c r="B158" s="2" t="s">
        <v>1359</v>
      </c>
      <c r="C158" s="2" t="s">
        <v>1060</v>
      </c>
      <c r="D158" s="2" t="s">
        <v>1062</v>
      </c>
    </row>
    <row r="159">
      <c r="A159" s="64" t="s">
        <v>1056</v>
      </c>
      <c r="B159" s="2" t="s">
        <v>1360</v>
      </c>
      <c r="C159" s="2" t="s">
        <v>1060</v>
      </c>
      <c r="D159" s="2" t="s">
        <v>1062</v>
      </c>
    </row>
    <row r="160">
      <c r="A160" s="64" t="s">
        <v>1056</v>
      </c>
      <c r="B160" s="2" t="s">
        <v>1361</v>
      </c>
      <c r="C160" s="2" t="s">
        <v>1060</v>
      </c>
      <c r="D160" s="2" t="s">
        <v>1062</v>
      </c>
    </row>
    <row r="161">
      <c r="A161" s="64" t="s">
        <v>1056</v>
      </c>
      <c r="B161" s="2" t="s">
        <v>1364</v>
      </c>
      <c r="C161" s="2" t="s">
        <v>1060</v>
      </c>
      <c r="D161" s="2" t="s">
        <v>1062</v>
      </c>
    </row>
    <row r="162">
      <c r="A162" s="64" t="s">
        <v>1056</v>
      </c>
      <c r="B162" s="2" t="s">
        <v>1366</v>
      </c>
      <c r="C162" s="2" t="s">
        <v>1060</v>
      </c>
      <c r="D162" s="2" t="s">
        <v>1062</v>
      </c>
    </row>
    <row r="163">
      <c r="A163" s="64" t="s">
        <v>1056</v>
      </c>
      <c r="B163" s="2" t="s">
        <v>1367</v>
      </c>
      <c r="C163" s="2" t="s">
        <v>1060</v>
      </c>
      <c r="D163" s="2" t="s">
        <v>1062</v>
      </c>
    </row>
    <row r="164">
      <c r="A164" s="64" t="s">
        <v>1056</v>
      </c>
      <c r="B164" s="2" t="s">
        <v>1368</v>
      </c>
      <c r="C164" s="2" t="s">
        <v>1060</v>
      </c>
      <c r="D164" s="2" t="s">
        <v>1062</v>
      </c>
    </row>
    <row r="165">
      <c r="A165" s="64" t="s">
        <v>1056</v>
      </c>
      <c r="B165" s="2" t="s">
        <v>1369</v>
      </c>
      <c r="C165" s="2" t="s">
        <v>1060</v>
      </c>
      <c r="D165" s="2" t="s">
        <v>1062</v>
      </c>
    </row>
    <row r="166">
      <c r="A166" s="64" t="s">
        <v>1056</v>
      </c>
      <c r="B166" s="2" t="s">
        <v>1371</v>
      </c>
      <c r="C166" s="2" t="s">
        <v>1060</v>
      </c>
      <c r="D166" s="2" t="s">
        <v>1062</v>
      </c>
    </row>
    <row r="167">
      <c r="A167" s="64" t="s">
        <v>1056</v>
      </c>
      <c r="B167" s="2" t="s">
        <v>1372</v>
      </c>
      <c r="C167" s="2" t="s">
        <v>1060</v>
      </c>
      <c r="D167" s="2" t="s">
        <v>1062</v>
      </c>
    </row>
    <row r="168">
      <c r="A168" s="64" t="s">
        <v>1056</v>
      </c>
      <c r="B168" s="2" t="s">
        <v>1373</v>
      </c>
      <c r="C168" s="2" t="s">
        <v>1060</v>
      </c>
      <c r="D168" s="2" t="s">
        <v>1062</v>
      </c>
    </row>
    <row r="169">
      <c r="A169" s="64" t="s">
        <v>1056</v>
      </c>
      <c r="B169" s="2" t="s">
        <v>1374</v>
      </c>
      <c r="C169" s="2" t="s">
        <v>1060</v>
      </c>
      <c r="D169" s="2" t="s">
        <v>1062</v>
      </c>
    </row>
    <row r="170">
      <c r="A170" s="64" t="s">
        <v>1056</v>
      </c>
      <c r="B170" s="2" t="s">
        <v>1375</v>
      </c>
      <c r="C170" s="2" t="s">
        <v>1060</v>
      </c>
      <c r="D170" s="2" t="s">
        <v>1062</v>
      </c>
    </row>
    <row r="171">
      <c r="A171" s="64" t="s">
        <v>1056</v>
      </c>
      <c r="B171" s="2" t="s">
        <v>1376</v>
      </c>
      <c r="C171" s="2" t="s">
        <v>1060</v>
      </c>
      <c r="D171" s="2" t="s">
        <v>1062</v>
      </c>
    </row>
    <row r="172">
      <c r="A172" s="64" t="s">
        <v>1056</v>
      </c>
      <c r="B172" s="2" t="s">
        <v>1377</v>
      </c>
      <c r="C172" s="2" t="s">
        <v>1060</v>
      </c>
      <c r="D172" s="2" t="s">
        <v>1062</v>
      </c>
    </row>
    <row r="173">
      <c r="A173" s="64" t="s">
        <v>1056</v>
      </c>
      <c r="B173" s="2" t="s">
        <v>1379</v>
      </c>
      <c r="C173" s="2" t="s">
        <v>1060</v>
      </c>
      <c r="D173" s="2" t="s">
        <v>1062</v>
      </c>
    </row>
    <row r="174">
      <c r="A174" s="64" t="s">
        <v>1056</v>
      </c>
      <c r="B174" s="2" t="s">
        <v>1380</v>
      </c>
      <c r="C174" s="2" t="s">
        <v>1060</v>
      </c>
      <c r="D174" s="2" t="s">
        <v>1062</v>
      </c>
    </row>
    <row r="175">
      <c r="A175" s="64" t="s">
        <v>1056</v>
      </c>
      <c r="B175" s="2" t="s">
        <v>1381</v>
      </c>
      <c r="C175" s="2" t="s">
        <v>1060</v>
      </c>
      <c r="D175" s="2" t="s">
        <v>1062</v>
      </c>
    </row>
    <row r="176">
      <c r="A176" s="64" t="s">
        <v>1056</v>
      </c>
      <c r="B176" s="2" t="s">
        <v>1382</v>
      </c>
      <c r="C176" s="2" t="s">
        <v>1060</v>
      </c>
      <c r="D176" s="2" t="s">
        <v>1062</v>
      </c>
    </row>
    <row r="177">
      <c r="A177" s="64" t="s">
        <v>1056</v>
      </c>
      <c r="B177" s="2" t="s">
        <v>1383</v>
      </c>
      <c r="C177" s="2" t="s">
        <v>1060</v>
      </c>
      <c r="D177" s="2" t="s">
        <v>1062</v>
      </c>
    </row>
    <row r="178">
      <c r="A178" s="64" t="s">
        <v>1056</v>
      </c>
      <c r="B178" s="2" t="s">
        <v>1386</v>
      </c>
      <c r="C178" s="2" t="s">
        <v>1060</v>
      </c>
      <c r="D178" s="2" t="s">
        <v>1062</v>
      </c>
    </row>
    <row r="179">
      <c r="A179" s="64" t="s">
        <v>1056</v>
      </c>
      <c r="B179" s="2" t="s">
        <v>1387</v>
      </c>
      <c r="C179" s="2" t="s">
        <v>1060</v>
      </c>
      <c r="D179" s="2" t="s">
        <v>1062</v>
      </c>
    </row>
    <row r="180">
      <c r="A180" s="64" t="s">
        <v>1056</v>
      </c>
      <c r="B180" s="2" t="s">
        <v>1388</v>
      </c>
      <c r="C180" s="2" t="s">
        <v>1060</v>
      </c>
      <c r="D180" s="2" t="s">
        <v>1062</v>
      </c>
    </row>
    <row r="181">
      <c r="A181" s="64" t="s">
        <v>1056</v>
      </c>
      <c r="B181" s="2" t="s">
        <v>1389</v>
      </c>
      <c r="C181" s="2" t="s">
        <v>1060</v>
      </c>
      <c r="D181" s="2" t="s">
        <v>1062</v>
      </c>
    </row>
    <row r="182">
      <c r="A182" s="64" t="s">
        <v>1056</v>
      </c>
      <c r="B182" s="2" t="s">
        <v>1390</v>
      </c>
      <c r="C182" s="2" t="s">
        <v>1060</v>
      </c>
      <c r="D182" s="2" t="s">
        <v>1062</v>
      </c>
    </row>
    <row r="183">
      <c r="A183" s="64" t="s">
        <v>1056</v>
      </c>
      <c r="B183" s="2" t="s">
        <v>1394</v>
      </c>
      <c r="C183" s="2" t="s">
        <v>1060</v>
      </c>
      <c r="D183" s="2" t="s">
        <v>1062</v>
      </c>
    </row>
    <row r="184">
      <c r="A184" s="64" t="s">
        <v>1056</v>
      </c>
      <c r="B184" s="2" t="s">
        <v>1395</v>
      </c>
      <c r="C184" s="2" t="s">
        <v>1060</v>
      </c>
      <c r="D184" s="2" t="s">
        <v>1062</v>
      </c>
    </row>
    <row r="185">
      <c r="A185" s="64" t="s">
        <v>1056</v>
      </c>
      <c r="B185" s="2" t="s">
        <v>1396</v>
      </c>
      <c r="C185" s="2" t="s">
        <v>1060</v>
      </c>
      <c r="D185" s="2" t="s">
        <v>1062</v>
      </c>
    </row>
    <row r="186">
      <c r="A186" s="64" t="s">
        <v>1056</v>
      </c>
      <c r="B186" s="2" t="s">
        <v>1397</v>
      </c>
      <c r="C186" s="2" t="s">
        <v>1060</v>
      </c>
      <c r="D186" s="2" t="s">
        <v>1062</v>
      </c>
    </row>
    <row r="187">
      <c r="A187" s="64" t="s">
        <v>1056</v>
      </c>
      <c r="B187" s="2" t="s">
        <v>1399</v>
      </c>
      <c r="C187" s="2" t="s">
        <v>1060</v>
      </c>
      <c r="D187" s="2" t="s">
        <v>1062</v>
      </c>
    </row>
    <row r="188">
      <c r="A188" s="64" t="s">
        <v>1056</v>
      </c>
      <c r="B188" s="2" t="s">
        <v>1400</v>
      </c>
      <c r="C188" s="2" t="s">
        <v>1060</v>
      </c>
      <c r="D188" s="2" t="s">
        <v>1062</v>
      </c>
    </row>
    <row r="189">
      <c r="A189" s="64" t="s">
        <v>1056</v>
      </c>
      <c r="B189" s="2" t="s">
        <v>1401</v>
      </c>
      <c r="C189" s="2" t="s">
        <v>1060</v>
      </c>
      <c r="D189" s="2" t="s">
        <v>1062</v>
      </c>
    </row>
    <row r="190">
      <c r="A190" s="64" t="s">
        <v>1056</v>
      </c>
      <c r="B190" s="2" t="s">
        <v>1402</v>
      </c>
      <c r="C190" s="2" t="s">
        <v>1060</v>
      </c>
      <c r="D190" s="2" t="s">
        <v>1062</v>
      </c>
    </row>
    <row r="191">
      <c r="A191" s="64" t="s">
        <v>1056</v>
      </c>
      <c r="B191" s="2" t="s">
        <v>1403</v>
      </c>
      <c r="C191" s="2" t="s">
        <v>1060</v>
      </c>
      <c r="D191" s="2" t="s">
        <v>1062</v>
      </c>
    </row>
    <row r="192">
      <c r="A192" s="64" t="s">
        <v>1056</v>
      </c>
      <c r="B192" s="2" t="s">
        <v>1404</v>
      </c>
      <c r="C192" s="2" t="s">
        <v>1060</v>
      </c>
      <c r="D192" s="2" t="s">
        <v>1062</v>
      </c>
    </row>
    <row r="193">
      <c r="A193" s="64" t="s">
        <v>1056</v>
      </c>
      <c r="B193" s="2" t="s">
        <v>1405</v>
      </c>
      <c r="C193" s="2" t="s">
        <v>1060</v>
      </c>
      <c r="D193" s="2" t="s">
        <v>1062</v>
      </c>
    </row>
    <row r="194">
      <c r="A194" s="64" t="s">
        <v>1056</v>
      </c>
      <c r="B194" s="2" t="s">
        <v>1406</v>
      </c>
      <c r="C194" s="2" t="s">
        <v>1060</v>
      </c>
      <c r="D194" s="2" t="s">
        <v>1062</v>
      </c>
    </row>
    <row r="195">
      <c r="A195" s="64" t="s">
        <v>1056</v>
      </c>
      <c r="B195" s="2" t="s">
        <v>1407</v>
      </c>
      <c r="C195" s="2" t="s">
        <v>1060</v>
      </c>
      <c r="D195" s="2" t="s">
        <v>1062</v>
      </c>
    </row>
    <row r="196">
      <c r="A196" s="64" t="s">
        <v>1056</v>
      </c>
      <c r="B196" s="2" t="s">
        <v>1408</v>
      </c>
      <c r="C196" s="2" t="s">
        <v>1060</v>
      </c>
      <c r="D196" s="2" t="s">
        <v>1062</v>
      </c>
    </row>
    <row r="197">
      <c r="A197" s="64" t="s">
        <v>1056</v>
      </c>
      <c r="B197" s="2" t="s">
        <v>1409</v>
      </c>
      <c r="C197" s="2" t="s">
        <v>1060</v>
      </c>
      <c r="D197" s="2" t="s">
        <v>1062</v>
      </c>
    </row>
    <row r="198">
      <c r="A198" s="64" t="s">
        <v>1056</v>
      </c>
      <c r="B198" s="2" t="s">
        <v>1410</v>
      </c>
      <c r="C198" s="2" t="s">
        <v>1060</v>
      </c>
      <c r="D198" s="2" t="s">
        <v>1062</v>
      </c>
    </row>
    <row r="199">
      <c r="A199" s="64" t="s">
        <v>1056</v>
      </c>
      <c r="B199" s="2" t="s">
        <v>1412</v>
      </c>
      <c r="C199" s="2" t="s">
        <v>1060</v>
      </c>
      <c r="D199" s="2" t="s">
        <v>1062</v>
      </c>
    </row>
    <row r="200">
      <c r="A200" s="64" t="s">
        <v>1056</v>
      </c>
      <c r="B200" s="2" t="s">
        <v>1413</v>
      </c>
      <c r="C200" s="2" t="s">
        <v>1060</v>
      </c>
      <c r="D200" s="2" t="s">
        <v>1062</v>
      </c>
    </row>
    <row r="201">
      <c r="A201" s="64" t="s">
        <v>1056</v>
      </c>
      <c r="B201" s="2" t="s">
        <v>1414</v>
      </c>
      <c r="C201" s="2" t="s">
        <v>1060</v>
      </c>
      <c r="D201" s="2" t="s">
        <v>1062</v>
      </c>
    </row>
    <row r="202">
      <c r="A202" s="64" t="s">
        <v>1056</v>
      </c>
      <c r="B202" s="2" t="s">
        <v>1415</v>
      </c>
      <c r="C202" s="2" t="s">
        <v>1060</v>
      </c>
      <c r="D202" s="2" t="s">
        <v>1062</v>
      </c>
    </row>
    <row r="203">
      <c r="A203" s="64" t="s">
        <v>1056</v>
      </c>
      <c r="B203" s="2" t="s">
        <v>1416</v>
      </c>
      <c r="C203" s="2" t="s">
        <v>1060</v>
      </c>
      <c r="D203" s="2" t="s">
        <v>1062</v>
      </c>
    </row>
    <row r="204">
      <c r="A204" s="64" t="s">
        <v>1056</v>
      </c>
      <c r="B204" s="2" t="s">
        <v>1417</v>
      </c>
      <c r="C204" s="2" t="s">
        <v>1060</v>
      </c>
      <c r="D204" s="2" t="s">
        <v>1062</v>
      </c>
    </row>
    <row r="205">
      <c r="A205" s="64" t="s">
        <v>1056</v>
      </c>
      <c r="B205" s="2" t="s">
        <v>1418</v>
      </c>
      <c r="C205" s="2" t="s">
        <v>1060</v>
      </c>
      <c r="D205" s="2" t="s">
        <v>1062</v>
      </c>
    </row>
    <row r="206">
      <c r="A206" s="64" t="s">
        <v>1056</v>
      </c>
      <c r="B206" s="2" t="s">
        <v>1420</v>
      </c>
      <c r="C206" s="2" t="s">
        <v>1060</v>
      </c>
      <c r="D206" s="2" t="s">
        <v>1062</v>
      </c>
    </row>
    <row r="207">
      <c r="A207" s="64" t="s">
        <v>1056</v>
      </c>
      <c r="B207" s="2" t="s">
        <v>1422</v>
      </c>
      <c r="C207" s="2" t="s">
        <v>1060</v>
      </c>
      <c r="D207" s="2" t="s">
        <v>1062</v>
      </c>
    </row>
    <row r="208">
      <c r="A208" s="64" t="s">
        <v>1056</v>
      </c>
      <c r="B208" s="2" t="s">
        <v>1423</v>
      </c>
      <c r="C208" s="2" t="s">
        <v>1060</v>
      </c>
      <c r="D208" s="2" t="s">
        <v>1062</v>
      </c>
    </row>
    <row r="209">
      <c r="A209" s="64" t="s">
        <v>1056</v>
      </c>
      <c r="B209" s="2" t="s">
        <v>1424</v>
      </c>
      <c r="C209" s="2" t="s">
        <v>1060</v>
      </c>
      <c r="D209" s="2" t="s">
        <v>1062</v>
      </c>
    </row>
    <row r="210">
      <c r="A210" s="64" t="s">
        <v>1056</v>
      </c>
      <c r="B210" s="2" t="s">
        <v>1425</v>
      </c>
      <c r="C210" s="2" t="s">
        <v>1060</v>
      </c>
      <c r="D210" s="2" t="s">
        <v>1062</v>
      </c>
    </row>
    <row r="211">
      <c r="A211" s="64" t="s">
        <v>1056</v>
      </c>
      <c r="B211" s="2" t="s">
        <v>1426</v>
      </c>
      <c r="C211" s="2" t="s">
        <v>1060</v>
      </c>
      <c r="D211" s="2" t="s">
        <v>1062</v>
      </c>
    </row>
    <row r="212">
      <c r="A212" s="64" t="s">
        <v>1056</v>
      </c>
      <c r="B212" s="2" t="s">
        <v>1427</v>
      </c>
      <c r="C212" s="2" t="s">
        <v>1060</v>
      </c>
      <c r="D212" s="2" t="s">
        <v>1062</v>
      </c>
    </row>
    <row r="213">
      <c r="A213" s="64" t="s">
        <v>1056</v>
      </c>
      <c r="B213" s="2" t="s">
        <v>1428</v>
      </c>
      <c r="C213" s="2" t="s">
        <v>1060</v>
      </c>
      <c r="D213" s="2" t="s">
        <v>1062</v>
      </c>
    </row>
    <row r="214">
      <c r="A214" s="64" t="s">
        <v>1056</v>
      </c>
      <c r="B214" s="2" t="s">
        <v>1429</v>
      </c>
      <c r="C214" s="2" t="s">
        <v>1060</v>
      </c>
      <c r="D214" s="2" t="s">
        <v>1062</v>
      </c>
    </row>
    <row r="215">
      <c r="A215" s="64" t="s">
        <v>1056</v>
      </c>
      <c r="B215" s="2" t="s">
        <v>1430</v>
      </c>
      <c r="C215" s="2" t="s">
        <v>1060</v>
      </c>
      <c r="D215" s="2" t="s">
        <v>1062</v>
      </c>
    </row>
    <row r="216">
      <c r="A216" s="64" t="s">
        <v>1056</v>
      </c>
      <c r="B216" s="2" t="s">
        <v>1431</v>
      </c>
      <c r="C216" s="2" t="s">
        <v>1060</v>
      </c>
      <c r="D216" s="2" t="s">
        <v>1062</v>
      </c>
    </row>
    <row r="217">
      <c r="A217" s="64" t="s">
        <v>1056</v>
      </c>
      <c r="B217" s="2" t="s">
        <v>1432</v>
      </c>
      <c r="C217" s="2" t="s">
        <v>1060</v>
      </c>
      <c r="D217" s="2" t="s">
        <v>1062</v>
      </c>
    </row>
    <row r="218">
      <c r="A218" s="64" t="s">
        <v>1056</v>
      </c>
      <c r="B218" s="2" t="s">
        <v>1433</v>
      </c>
      <c r="C218" s="2" t="s">
        <v>1060</v>
      </c>
      <c r="D218" s="2" t="s">
        <v>1062</v>
      </c>
    </row>
    <row r="219">
      <c r="A219" s="64" t="s">
        <v>1056</v>
      </c>
      <c r="B219" s="2" t="s">
        <v>1434</v>
      </c>
      <c r="C219" s="2" t="s">
        <v>1060</v>
      </c>
      <c r="D219" s="2" t="s">
        <v>1062</v>
      </c>
    </row>
    <row r="220">
      <c r="A220" s="64" t="s">
        <v>1056</v>
      </c>
      <c r="B220" s="2" t="s">
        <v>1435</v>
      </c>
      <c r="C220" s="2" t="s">
        <v>1060</v>
      </c>
      <c r="D220" s="2" t="s">
        <v>1062</v>
      </c>
    </row>
    <row r="221">
      <c r="A221" s="64" t="s">
        <v>1056</v>
      </c>
      <c r="B221" s="2" t="s">
        <v>1437</v>
      </c>
      <c r="C221" s="2" t="s">
        <v>1060</v>
      </c>
      <c r="D221" s="2" t="s">
        <v>1062</v>
      </c>
    </row>
    <row r="222">
      <c r="A222" s="64" t="s">
        <v>1056</v>
      </c>
      <c r="B222" s="2" t="s">
        <v>1438</v>
      </c>
      <c r="C222" s="2" t="s">
        <v>1060</v>
      </c>
      <c r="D222" s="2" t="s">
        <v>1062</v>
      </c>
    </row>
    <row r="223">
      <c r="A223" s="64" t="s">
        <v>1056</v>
      </c>
      <c r="B223" s="2" t="s">
        <v>1439</v>
      </c>
      <c r="C223" s="2" t="s">
        <v>1060</v>
      </c>
      <c r="D223" s="2" t="s">
        <v>1062</v>
      </c>
    </row>
    <row r="224">
      <c r="A224" s="64" t="s">
        <v>1056</v>
      </c>
      <c r="B224" s="2" t="s">
        <v>1440</v>
      </c>
      <c r="C224" s="2" t="s">
        <v>1060</v>
      </c>
      <c r="D224" s="2" t="s">
        <v>1062</v>
      </c>
    </row>
    <row r="225">
      <c r="A225" s="64" t="s">
        <v>1056</v>
      </c>
      <c r="B225" s="2" t="s">
        <v>1441</v>
      </c>
      <c r="C225" s="2" t="s">
        <v>1060</v>
      </c>
      <c r="D225" s="2" t="s">
        <v>1062</v>
      </c>
    </row>
    <row r="226">
      <c r="A226" s="64" t="s">
        <v>1056</v>
      </c>
      <c r="B226" s="2" t="s">
        <v>1444</v>
      </c>
      <c r="C226" s="2" t="s">
        <v>1060</v>
      </c>
      <c r="D226" s="2" t="s">
        <v>1062</v>
      </c>
    </row>
    <row r="227">
      <c r="A227" s="64" t="s">
        <v>1056</v>
      </c>
      <c r="B227" s="2" t="s">
        <v>1445</v>
      </c>
      <c r="C227" s="2" t="s">
        <v>1060</v>
      </c>
      <c r="D227" s="2" t="s">
        <v>1062</v>
      </c>
    </row>
    <row r="228">
      <c r="A228" s="64" t="s">
        <v>1056</v>
      </c>
      <c r="B228" s="2" t="s">
        <v>1446</v>
      </c>
      <c r="C228" s="2" t="s">
        <v>1060</v>
      </c>
      <c r="D228" s="2" t="s">
        <v>1062</v>
      </c>
    </row>
    <row r="229">
      <c r="A229" s="64" t="s">
        <v>1056</v>
      </c>
      <c r="B229" s="2" t="s">
        <v>1447</v>
      </c>
      <c r="C229" s="2" t="s">
        <v>1060</v>
      </c>
      <c r="D229" s="2" t="s">
        <v>1062</v>
      </c>
    </row>
    <row r="230">
      <c r="A230" s="64" t="s">
        <v>1056</v>
      </c>
      <c r="B230" s="2" t="s">
        <v>1448</v>
      </c>
      <c r="C230" s="2" t="s">
        <v>1060</v>
      </c>
      <c r="D230" s="2" t="s">
        <v>1062</v>
      </c>
    </row>
    <row r="231">
      <c r="A231" s="64" t="s">
        <v>1056</v>
      </c>
      <c r="B231" s="2" t="s">
        <v>1449</v>
      </c>
      <c r="C231" s="2" t="s">
        <v>1060</v>
      </c>
      <c r="D231" s="2" t="s">
        <v>1062</v>
      </c>
    </row>
    <row r="232">
      <c r="A232" s="64" t="s">
        <v>1056</v>
      </c>
      <c r="B232" s="2" t="s">
        <v>1450</v>
      </c>
      <c r="C232" s="2" t="s">
        <v>1060</v>
      </c>
      <c r="D232" s="2" t="s">
        <v>1062</v>
      </c>
    </row>
    <row r="233">
      <c r="A233" s="64" t="s">
        <v>1056</v>
      </c>
      <c r="B233" s="2" t="s">
        <v>1451</v>
      </c>
      <c r="C233" s="2" t="s">
        <v>1060</v>
      </c>
      <c r="D233" s="2" t="s">
        <v>1062</v>
      </c>
    </row>
    <row r="234">
      <c r="A234" s="64" t="s">
        <v>1056</v>
      </c>
      <c r="B234" s="2" t="s">
        <v>1453</v>
      </c>
      <c r="C234" s="2" t="s">
        <v>1060</v>
      </c>
      <c r="D234" s="2" t="s">
        <v>1062</v>
      </c>
    </row>
    <row r="235">
      <c r="A235" s="64" t="s">
        <v>1056</v>
      </c>
      <c r="B235" s="2" t="s">
        <v>1454</v>
      </c>
      <c r="C235" s="2" t="s">
        <v>1060</v>
      </c>
      <c r="D235" s="2" t="s">
        <v>1062</v>
      </c>
    </row>
    <row r="236">
      <c r="A236" s="64" t="s">
        <v>1056</v>
      </c>
      <c r="B236" s="2" t="s">
        <v>1455</v>
      </c>
      <c r="C236" s="2" t="s">
        <v>1060</v>
      </c>
      <c r="D236" s="2" t="s">
        <v>1062</v>
      </c>
    </row>
    <row r="237">
      <c r="A237" s="64" t="s">
        <v>1056</v>
      </c>
      <c r="B237" s="2" t="s">
        <v>1456</v>
      </c>
      <c r="C237" s="2" t="s">
        <v>1060</v>
      </c>
      <c r="D237" s="2" t="s">
        <v>1062</v>
      </c>
    </row>
    <row r="238">
      <c r="A238" s="64" t="s">
        <v>1056</v>
      </c>
      <c r="B238" s="2" t="s">
        <v>1457</v>
      </c>
      <c r="C238" s="2" t="s">
        <v>1060</v>
      </c>
      <c r="D238" s="2" t="s">
        <v>1062</v>
      </c>
    </row>
    <row r="239">
      <c r="A239" s="64" t="s">
        <v>1056</v>
      </c>
      <c r="B239" s="2" t="s">
        <v>1458</v>
      </c>
      <c r="C239" s="2" t="s">
        <v>1060</v>
      </c>
      <c r="D239" s="2" t="s">
        <v>1062</v>
      </c>
    </row>
    <row r="240">
      <c r="A240" s="64" t="s">
        <v>1056</v>
      </c>
      <c r="B240" s="2" t="s">
        <v>1459</v>
      </c>
      <c r="C240" s="2" t="s">
        <v>1060</v>
      </c>
      <c r="D240" s="2" t="s">
        <v>1062</v>
      </c>
    </row>
    <row r="241">
      <c r="A241" s="64" t="s">
        <v>1056</v>
      </c>
      <c r="B241" s="2" t="s">
        <v>1460</v>
      </c>
      <c r="C241" s="2" t="s">
        <v>1060</v>
      </c>
      <c r="D241" s="2" t="s">
        <v>1062</v>
      </c>
    </row>
    <row r="242">
      <c r="A242" s="64" t="s">
        <v>1056</v>
      </c>
      <c r="B242" s="2" t="s">
        <v>1461</v>
      </c>
      <c r="C242" s="2" t="s">
        <v>1060</v>
      </c>
      <c r="D242" s="2" t="s">
        <v>1062</v>
      </c>
    </row>
    <row r="243">
      <c r="A243" s="64" t="s">
        <v>1056</v>
      </c>
      <c r="B243" s="2" t="s">
        <v>1462</v>
      </c>
      <c r="C243" s="2" t="s">
        <v>1060</v>
      </c>
      <c r="D243" s="2" t="s">
        <v>1062</v>
      </c>
    </row>
    <row r="244">
      <c r="A244" s="64" t="s">
        <v>1056</v>
      </c>
      <c r="B244" s="2" t="s">
        <v>1463</v>
      </c>
      <c r="C244" s="2" t="s">
        <v>1060</v>
      </c>
      <c r="D244" s="2" t="s">
        <v>1062</v>
      </c>
    </row>
    <row r="245">
      <c r="A245" s="64" t="s">
        <v>1056</v>
      </c>
      <c r="B245" s="2" t="s">
        <v>1464</v>
      </c>
      <c r="C245" s="2" t="s">
        <v>1060</v>
      </c>
      <c r="D245" s="2" t="s">
        <v>1062</v>
      </c>
    </row>
    <row r="246">
      <c r="A246" s="64" t="s">
        <v>1056</v>
      </c>
      <c r="B246" s="2" t="s">
        <v>1465</v>
      </c>
      <c r="C246" s="2" t="s">
        <v>1060</v>
      </c>
      <c r="D246" s="2" t="s">
        <v>1062</v>
      </c>
    </row>
    <row r="247">
      <c r="A247" s="64" t="s">
        <v>1056</v>
      </c>
      <c r="B247" s="2" t="s">
        <v>1466</v>
      </c>
      <c r="C247" s="2" t="s">
        <v>1060</v>
      </c>
      <c r="D247" s="2" t="s">
        <v>1062</v>
      </c>
    </row>
    <row r="248">
      <c r="A248" s="64" t="s">
        <v>1056</v>
      </c>
      <c r="B248" s="2" t="s">
        <v>1467</v>
      </c>
      <c r="C248" s="2" t="s">
        <v>1060</v>
      </c>
      <c r="D248" s="2" t="s">
        <v>1062</v>
      </c>
    </row>
    <row r="249">
      <c r="A249" s="64" t="s">
        <v>1056</v>
      </c>
      <c r="B249" s="2" t="s">
        <v>1468</v>
      </c>
      <c r="C249" s="2" t="s">
        <v>1060</v>
      </c>
      <c r="D249" s="2" t="s">
        <v>1062</v>
      </c>
    </row>
    <row r="250">
      <c r="A250" s="64" t="s">
        <v>1056</v>
      </c>
      <c r="B250" s="2" t="s">
        <v>1469</v>
      </c>
      <c r="C250" s="2" t="s">
        <v>1060</v>
      </c>
      <c r="D250" s="2" t="s">
        <v>1062</v>
      </c>
    </row>
    <row r="251">
      <c r="A251" s="64" t="s">
        <v>1056</v>
      </c>
      <c r="B251" s="2" t="s">
        <v>1470</v>
      </c>
      <c r="C251" s="2" t="s">
        <v>1060</v>
      </c>
      <c r="D251" s="2" t="s">
        <v>1062</v>
      </c>
    </row>
    <row r="252">
      <c r="A252" s="64" t="s">
        <v>1056</v>
      </c>
      <c r="B252" s="2" t="s">
        <v>1471</v>
      </c>
      <c r="C252" s="2" t="s">
        <v>1060</v>
      </c>
      <c r="D252" s="2" t="s">
        <v>1062</v>
      </c>
    </row>
    <row r="253">
      <c r="A253" s="64" t="s">
        <v>1056</v>
      </c>
      <c r="B253" s="2" t="s">
        <v>1472</v>
      </c>
      <c r="C253" s="2" t="s">
        <v>1060</v>
      </c>
      <c r="D253" s="2" t="s">
        <v>1062</v>
      </c>
    </row>
    <row r="254">
      <c r="A254" s="64" t="s">
        <v>1056</v>
      </c>
      <c r="B254" s="2" t="s">
        <v>1473</v>
      </c>
      <c r="C254" s="2" t="s">
        <v>1060</v>
      </c>
      <c r="D254" s="2" t="s">
        <v>1062</v>
      </c>
    </row>
    <row r="255">
      <c r="A255" s="64" t="s">
        <v>1056</v>
      </c>
      <c r="B255" s="2" t="s">
        <v>1475</v>
      </c>
      <c r="C255" s="2" t="s">
        <v>1060</v>
      </c>
      <c r="D255" s="2" t="s">
        <v>1062</v>
      </c>
    </row>
    <row r="256">
      <c r="A256" s="64" t="s">
        <v>1056</v>
      </c>
      <c r="B256" s="2" t="s">
        <v>1476</v>
      </c>
      <c r="C256" s="2" t="s">
        <v>1060</v>
      </c>
      <c r="D256" s="2" t="s">
        <v>1062</v>
      </c>
    </row>
    <row r="257">
      <c r="A257" s="64" t="s">
        <v>1056</v>
      </c>
      <c r="B257" s="2" t="s">
        <v>1477</v>
      </c>
      <c r="C257" s="2" t="s">
        <v>1060</v>
      </c>
      <c r="D257" s="2" t="s">
        <v>1062</v>
      </c>
    </row>
    <row r="258">
      <c r="A258" s="64" t="s">
        <v>1056</v>
      </c>
      <c r="B258" s="2" t="s">
        <v>1460</v>
      </c>
      <c r="C258" s="2" t="s">
        <v>1060</v>
      </c>
      <c r="D258" s="2" t="s">
        <v>1062</v>
      </c>
    </row>
    <row r="259">
      <c r="A259" s="64" t="s">
        <v>1056</v>
      </c>
      <c r="B259" s="2" t="s">
        <v>1461</v>
      </c>
      <c r="C259" s="2" t="s">
        <v>1060</v>
      </c>
      <c r="D259" s="2" t="s">
        <v>1062</v>
      </c>
    </row>
    <row r="260">
      <c r="A260" s="64" t="s">
        <v>1056</v>
      </c>
      <c r="B260" s="2" t="s">
        <v>1462</v>
      </c>
      <c r="C260" s="2" t="s">
        <v>1060</v>
      </c>
      <c r="D260" s="2" t="s">
        <v>1062</v>
      </c>
    </row>
    <row r="261">
      <c r="A261" s="64" t="s">
        <v>1056</v>
      </c>
      <c r="B261" s="2" t="s">
        <v>1463</v>
      </c>
      <c r="C261" s="2" t="s">
        <v>1060</v>
      </c>
      <c r="D261" s="2" t="s">
        <v>1062</v>
      </c>
    </row>
    <row r="262">
      <c r="A262" s="64" t="s">
        <v>1056</v>
      </c>
      <c r="B262" s="2" t="s">
        <v>1464</v>
      </c>
      <c r="C262" s="2" t="s">
        <v>1060</v>
      </c>
      <c r="D262" s="2" t="s">
        <v>1062</v>
      </c>
    </row>
    <row r="263">
      <c r="A263" s="64" t="s">
        <v>1056</v>
      </c>
      <c r="B263" s="2" t="s">
        <v>1465</v>
      </c>
      <c r="C263" s="2" t="s">
        <v>1060</v>
      </c>
      <c r="D263" s="2" t="s">
        <v>1062</v>
      </c>
    </row>
    <row r="264">
      <c r="A264" s="64" t="s">
        <v>1056</v>
      </c>
      <c r="B264" s="2" t="s">
        <v>1466</v>
      </c>
      <c r="C264" s="2" t="s">
        <v>1060</v>
      </c>
      <c r="D264" s="2" t="s">
        <v>1062</v>
      </c>
    </row>
    <row r="265">
      <c r="A265" s="64" t="s">
        <v>1056</v>
      </c>
      <c r="B265" s="2" t="s">
        <v>1467</v>
      </c>
      <c r="C265" s="2" t="s">
        <v>1060</v>
      </c>
      <c r="D265" s="2" t="s">
        <v>1062</v>
      </c>
    </row>
    <row r="266">
      <c r="A266" s="64" t="s">
        <v>1056</v>
      </c>
      <c r="B266" s="2" t="s">
        <v>1468</v>
      </c>
      <c r="C266" s="2" t="s">
        <v>1060</v>
      </c>
      <c r="D266" s="2" t="s">
        <v>1062</v>
      </c>
    </row>
    <row r="267">
      <c r="A267" s="64" t="s">
        <v>1056</v>
      </c>
      <c r="B267" s="2" t="s">
        <v>1469</v>
      </c>
      <c r="C267" s="2" t="s">
        <v>1060</v>
      </c>
      <c r="D267" s="2" t="s">
        <v>1062</v>
      </c>
    </row>
    <row r="268">
      <c r="A268" s="64" t="s">
        <v>1056</v>
      </c>
      <c r="B268" s="2" t="s">
        <v>1470</v>
      </c>
      <c r="C268" s="2" t="s">
        <v>1060</v>
      </c>
      <c r="D268" s="2" t="s">
        <v>1062</v>
      </c>
    </row>
    <row r="269">
      <c r="A269" s="64" t="s">
        <v>1056</v>
      </c>
      <c r="B269" s="2" t="s">
        <v>1471</v>
      </c>
      <c r="C269" s="2" t="s">
        <v>1060</v>
      </c>
      <c r="D269" s="2" t="s">
        <v>1062</v>
      </c>
    </row>
    <row r="270">
      <c r="A270" s="64" t="s">
        <v>1056</v>
      </c>
      <c r="B270" s="2" t="s">
        <v>1472</v>
      </c>
      <c r="C270" s="2" t="s">
        <v>1060</v>
      </c>
      <c r="D270" s="2" t="s">
        <v>1062</v>
      </c>
    </row>
    <row r="271">
      <c r="A271" s="64" t="s">
        <v>1056</v>
      </c>
      <c r="B271" s="2" t="s">
        <v>1473</v>
      </c>
      <c r="C271" s="2" t="s">
        <v>1060</v>
      </c>
      <c r="D271" s="2" t="s">
        <v>1062</v>
      </c>
    </row>
    <row r="272">
      <c r="A272" s="64" t="s">
        <v>1056</v>
      </c>
      <c r="B272" s="2" t="s">
        <v>1475</v>
      </c>
      <c r="C272" s="2" t="s">
        <v>1060</v>
      </c>
      <c r="D272" s="2" t="s">
        <v>1062</v>
      </c>
    </row>
    <row r="273">
      <c r="A273" s="64" t="s">
        <v>1056</v>
      </c>
      <c r="B273" s="2" t="s">
        <v>1476</v>
      </c>
      <c r="C273" s="2" t="s">
        <v>1060</v>
      </c>
      <c r="D273" s="2" t="s">
        <v>1062</v>
      </c>
    </row>
    <row r="274">
      <c r="A274" s="64" t="s">
        <v>1056</v>
      </c>
      <c r="B274" s="2" t="s">
        <v>1477</v>
      </c>
      <c r="C274" s="2" t="s">
        <v>1060</v>
      </c>
      <c r="D274" s="2" t="s">
        <v>1062</v>
      </c>
    </row>
    <row r="275">
      <c r="A275" s="2" t="s">
        <v>1484</v>
      </c>
      <c r="B275" s="2" t="s">
        <v>1485</v>
      </c>
      <c r="D275" s="2" t="s">
        <v>1487</v>
      </c>
      <c r="E275" s="2"/>
      <c r="F275" s="2" t="s">
        <v>1489</v>
      </c>
    </row>
    <row r="276">
      <c r="A276" s="2" t="s">
        <v>1484</v>
      </c>
      <c r="B276" s="2" t="s">
        <v>1491</v>
      </c>
      <c r="D276" s="2" t="s">
        <v>1487</v>
      </c>
      <c r="E276" s="2"/>
      <c r="F276" s="2" t="s">
        <v>1489</v>
      </c>
    </row>
    <row r="277">
      <c r="A277" s="2" t="s">
        <v>1484</v>
      </c>
      <c r="B277" s="2" t="s">
        <v>1493</v>
      </c>
      <c r="D277" s="2" t="s">
        <v>1487</v>
      </c>
      <c r="E277" s="2"/>
      <c r="F277" s="2" t="s">
        <v>1489</v>
      </c>
    </row>
    <row r="278">
      <c r="A278" s="2" t="s">
        <v>1484</v>
      </c>
      <c r="B278" s="2" t="s">
        <v>1494</v>
      </c>
      <c r="D278" s="2" t="s">
        <v>1487</v>
      </c>
      <c r="E278" s="2"/>
      <c r="F278" s="2" t="s">
        <v>1489</v>
      </c>
    </row>
    <row r="279">
      <c r="A279" s="2" t="s">
        <v>1484</v>
      </c>
      <c r="B279" s="2" t="s">
        <v>1496</v>
      </c>
      <c r="D279" s="2" t="s">
        <v>1487</v>
      </c>
      <c r="E279" s="2"/>
      <c r="F279" s="2" t="s">
        <v>1489</v>
      </c>
    </row>
    <row r="280">
      <c r="A280" s="2" t="s">
        <v>1484</v>
      </c>
      <c r="B280" s="2" t="s">
        <v>1497</v>
      </c>
      <c r="D280" s="2" t="s">
        <v>1487</v>
      </c>
      <c r="E280" s="2"/>
      <c r="F280" s="2" t="s">
        <v>1489</v>
      </c>
    </row>
    <row r="281">
      <c r="A281" s="2" t="s">
        <v>1484</v>
      </c>
      <c r="B281" s="2" t="s">
        <v>1499</v>
      </c>
      <c r="D281" s="2" t="s">
        <v>1487</v>
      </c>
      <c r="E281" s="2"/>
      <c r="F281" s="2" t="s">
        <v>1489</v>
      </c>
    </row>
    <row r="282">
      <c r="A282" s="2" t="s">
        <v>1484</v>
      </c>
      <c r="B282" s="2" t="s">
        <v>1500</v>
      </c>
      <c r="D282" s="2" t="s">
        <v>1487</v>
      </c>
      <c r="E282" s="2"/>
      <c r="F282" s="2" t="s">
        <v>1489</v>
      </c>
    </row>
    <row r="283">
      <c r="A283" s="2" t="s">
        <v>1484</v>
      </c>
      <c r="B283" s="2" t="s">
        <v>1501</v>
      </c>
      <c r="D283" s="2" t="s">
        <v>1487</v>
      </c>
      <c r="E283" s="2"/>
      <c r="F283" s="2" t="s">
        <v>1489</v>
      </c>
    </row>
    <row r="284">
      <c r="A284" s="2" t="s">
        <v>1484</v>
      </c>
      <c r="B284" s="2" t="s">
        <v>1502</v>
      </c>
      <c r="D284" s="2" t="s">
        <v>1487</v>
      </c>
      <c r="E284" s="2"/>
      <c r="F284" s="2" t="s">
        <v>1489</v>
      </c>
    </row>
    <row r="285">
      <c r="A285" s="2" t="s">
        <v>1484</v>
      </c>
      <c r="B285" s="2" t="s">
        <v>1504</v>
      </c>
      <c r="D285" s="2" t="s">
        <v>1487</v>
      </c>
      <c r="E285" s="2"/>
      <c r="F285" s="2" t="s">
        <v>1489</v>
      </c>
    </row>
    <row r="286">
      <c r="A286" s="2" t="s">
        <v>1484</v>
      </c>
      <c r="B286" s="2" t="s">
        <v>1506</v>
      </c>
      <c r="D286" s="2" t="s">
        <v>1487</v>
      </c>
      <c r="E286" s="2"/>
      <c r="F286" s="2" t="s">
        <v>1489</v>
      </c>
    </row>
    <row r="287">
      <c r="A287" s="2" t="s">
        <v>1484</v>
      </c>
      <c r="B287" s="2" t="s">
        <v>1507</v>
      </c>
      <c r="D287" s="2" t="s">
        <v>1487</v>
      </c>
      <c r="E287" s="2"/>
      <c r="F287" s="2" t="s">
        <v>1489</v>
      </c>
    </row>
    <row r="288">
      <c r="A288" s="2" t="s">
        <v>1484</v>
      </c>
      <c r="B288" s="2" t="s">
        <v>1508</v>
      </c>
      <c r="D288" s="2" t="s">
        <v>1487</v>
      </c>
      <c r="E288" s="2"/>
      <c r="F288" s="2" t="s">
        <v>1489</v>
      </c>
    </row>
    <row r="289">
      <c r="A289" s="2" t="s">
        <v>1484</v>
      </c>
      <c r="B289" s="2" t="s">
        <v>1509</v>
      </c>
      <c r="D289" s="2" t="s">
        <v>1487</v>
      </c>
      <c r="E289" s="2"/>
      <c r="F289" s="2" t="s">
        <v>1489</v>
      </c>
    </row>
    <row r="290">
      <c r="A290" s="2" t="s">
        <v>1484</v>
      </c>
      <c r="B290" s="2" t="s">
        <v>1510</v>
      </c>
      <c r="D290" s="2" t="s">
        <v>1487</v>
      </c>
      <c r="E290" s="2"/>
      <c r="F290" s="2" t="s">
        <v>1489</v>
      </c>
    </row>
    <row r="291">
      <c r="A291" s="2" t="s">
        <v>1484</v>
      </c>
      <c r="B291" s="2" t="s">
        <v>1511</v>
      </c>
      <c r="D291" s="2" t="s">
        <v>1487</v>
      </c>
      <c r="E291" s="2"/>
      <c r="F291" s="2" t="s">
        <v>1489</v>
      </c>
    </row>
    <row r="292">
      <c r="A292" s="2" t="s">
        <v>1484</v>
      </c>
      <c r="B292" s="2" t="s">
        <v>1512</v>
      </c>
      <c r="D292" s="2" t="s">
        <v>1487</v>
      </c>
      <c r="E292" s="2"/>
      <c r="F292" s="2" t="s">
        <v>1489</v>
      </c>
    </row>
    <row r="293">
      <c r="A293" s="2" t="s">
        <v>1484</v>
      </c>
      <c r="B293" s="2" t="s">
        <v>1513</v>
      </c>
      <c r="D293" s="2" t="s">
        <v>1487</v>
      </c>
      <c r="E293" s="2"/>
      <c r="F293" s="2" t="s">
        <v>1489</v>
      </c>
    </row>
    <row r="294">
      <c r="A294" s="2" t="s">
        <v>1484</v>
      </c>
      <c r="B294" s="2" t="s">
        <v>1514</v>
      </c>
      <c r="D294" s="2" t="s">
        <v>1487</v>
      </c>
      <c r="E294" s="2"/>
      <c r="F294" s="2" t="s">
        <v>1489</v>
      </c>
    </row>
    <row r="295">
      <c r="A295" s="2" t="s">
        <v>1484</v>
      </c>
      <c r="B295" s="2" t="s">
        <v>1516</v>
      </c>
      <c r="D295" s="2" t="s">
        <v>1487</v>
      </c>
      <c r="E295" s="2"/>
      <c r="F295" s="2" t="s">
        <v>1489</v>
      </c>
    </row>
    <row r="296">
      <c r="A296" s="2" t="s">
        <v>1484</v>
      </c>
      <c r="B296" s="2" t="s">
        <v>1517</v>
      </c>
      <c r="D296" s="2" t="s">
        <v>1487</v>
      </c>
      <c r="E296" s="2"/>
      <c r="F296" s="2" t="s">
        <v>1489</v>
      </c>
    </row>
    <row r="297">
      <c r="A297" s="2" t="s">
        <v>1484</v>
      </c>
      <c r="B297" s="2" t="s">
        <v>1518</v>
      </c>
      <c r="D297" s="2" t="s">
        <v>1487</v>
      </c>
      <c r="E297" s="2"/>
      <c r="F297" s="2" t="s">
        <v>1489</v>
      </c>
    </row>
    <row r="298">
      <c r="A298" s="2" t="s">
        <v>1484</v>
      </c>
      <c r="B298" s="2" t="s">
        <v>1520</v>
      </c>
      <c r="D298" s="2" t="s">
        <v>1487</v>
      </c>
      <c r="E298" s="2"/>
      <c r="F298" s="2" t="s">
        <v>1489</v>
      </c>
    </row>
    <row r="299">
      <c r="A299" s="2" t="s">
        <v>1484</v>
      </c>
      <c r="B299" s="2" t="s">
        <v>1522</v>
      </c>
      <c r="D299" s="2" t="s">
        <v>1487</v>
      </c>
      <c r="E299" s="2"/>
      <c r="F299" s="2" t="s">
        <v>1489</v>
      </c>
    </row>
    <row r="300">
      <c r="A300" s="2" t="s">
        <v>1484</v>
      </c>
      <c r="B300" s="2" t="s">
        <v>1524</v>
      </c>
      <c r="D300" s="2" t="s">
        <v>1487</v>
      </c>
      <c r="E300" s="2"/>
      <c r="F300" s="2" t="s">
        <v>1489</v>
      </c>
    </row>
    <row r="301">
      <c r="A301" s="2" t="s">
        <v>1484</v>
      </c>
      <c r="B301" s="2" t="s">
        <v>1525</v>
      </c>
      <c r="D301" s="2" t="s">
        <v>1487</v>
      </c>
      <c r="E301" s="2"/>
      <c r="F301" s="2" t="s">
        <v>1489</v>
      </c>
    </row>
    <row r="302">
      <c r="A302" s="2" t="s">
        <v>1484</v>
      </c>
      <c r="B302" s="2" t="s">
        <v>1526</v>
      </c>
      <c r="D302" s="2" t="s">
        <v>1487</v>
      </c>
      <c r="E302" s="2"/>
      <c r="F302" s="2" t="s">
        <v>1489</v>
      </c>
    </row>
    <row r="303">
      <c r="A303" s="2" t="s">
        <v>1484</v>
      </c>
      <c r="B303" s="2" t="s">
        <v>1527</v>
      </c>
      <c r="D303" s="2" t="s">
        <v>1487</v>
      </c>
      <c r="E303" s="2"/>
      <c r="F303" s="2" t="s">
        <v>1489</v>
      </c>
    </row>
    <row r="304">
      <c r="A304" s="2" t="s">
        <v>1484</v>
      </c>
      <c r="B304" s="2" t="s">
        <v>1528</v>
      </c>
      <c r="D304" s="2" t="s">
        <v>1487</v>
      </c>
      <c r="E304" s="2"/>
      <c r="F304" s="2" t="s">
        <v>1489</v>
      </c>
    </row>
    <row r="305">
      <c r="A305" s="2" t="s">
        <v>1484</v>
      </c>
      <c r="B305" s="2" t="s">
        <v>1529</v>
      </c>
      <c r="D305" s="2" t="s">
        <v>1487</v>
      </c>
      <c r="E305" s="2"/>
      <c r="F305" s="2" t="s">
        <v>1489</v>
      </c>
    </row>
    <row r="306">
      <c r="A306" s="2" t="s">
        <v>1484</v>
      </c>
      <c r="B306" s="2" t="s">
        <v>1530</v>
      </c>
      <c r="D306" s="2" t="s">
        <v>1487</v>
      </c>
      <c r="E306" s="2"/>
      <c r="F306" s="2" t="s">
        <v>1489</v>
      </c>
    </row>
    <row r="307">
      <c r="A307" s="2" t="s">
        <v>1484</v>
      </c>
      <c r="B307" s="2" t="s">
        <v>1531</v>
      </c>
      <c r="D307" s="2" t="s">
        <v>1487</v>
      </c>
      <c r="E307" s="2"/>
      <c r="F307" s="2" t="s">
        <v>1489</v>
      </c>
    </row>
    <row r="308">
      <c r="A308" s="2" t="s">
        <v>1484</v>
      </c>
      <c r="B308" s="2" t="s">
        <v>1532</v>
      </c>
      <c r="D308" s="2" t="s">
        <v>1487</v>
      </c>
      <c r="E308" s="2"/>
      <c r="F308" s="2" t="s">
        <v>1489</v>
      </c>
    </row>
    <row r="309">
      <c r="A309" s="2" t="s">
        <v>1484</v>
      </c>
      <c r="B309" s="2" t="s">
        <v>1533</v>
      </c>
      <c r="D309" s="2" t="s">
        <v>1487</v>
      </c>
      <c r="E309" s="2"/>
      <c r="F309" s="2" t="s">
        <v>1489</v>
      </c>
    </row>
    <row r="310">
      <c r="A310" s="2" t="s">
        <v>1484</v>
      </c>
      <c r="B310" s="2" t="s">
        <v>1534</v>
      </c>
      <c r="D310" s="2" t="s">
        <v>1487</v>
      </c>
      <c r="E310" s="2"/>
      <c r="F310" s="2" t="s">
        <v>1489</v>
      </c>
    </row>
    <row r="311">
      <c r="A311" s="2" t="s">
        <v>1484</v>
      </c>
      <c r="B311" s="2" t="s">
        <v>1535</v>
      </c>
      <c r="D311" s="2" t="s">
        <v>1487</v>
      </c>
      <c r="E311" s="2"/>
      <c r="F311" s="2" t="s">
        <v>1489</v>
      </c>
    </row>
    <row r="312">
      <c r="A312" s="2" t="s">
        <v>1484</v>
      </c>
      <c r="B312" s="2" t="s">
        <v>1536</v>
      </c>
      <c r="D312" s="2" t="s">
        <v>1487</v>
      </c>
      <c r="E312" s="2"/>
      <c r="F312" s="2" t="s">
        <v>1489</v>
      </c>
    </row>
    <row r="313">
      <c r="A313" s="2" t="s">
        <v>1484</v>
      </c>
      <c r="B313" s="2" t="s">
        <v>1537</v>
      </c>
      <c r="D313" s="2" t="s">
        <v>1487</v>
      </c>
      <c r="E313" s="2"/>
      <c r="F313" s="2" t="s">
        <v>1489</v>
      </c>
    </row>
    <row r="314">
      <c r="A314" s="2" t="s">
        <v>1484</v>
      </c>
      <c r="B314" s="2" t="s">
        <v>1539</v>
      </c>
      <c r="D314" s="2" t="s">
        <v>1487</v>
      </c>
      <c r="E314" s="2"/>
      <c r="F314" s="2" t="s">
        <v>1489</v>
      </c>
    </row>
    <row r="315">
      <c r="A315" s="2" t="s">
        <v>1484</v>
      </c>
      <c r="B315" s="2" t="s">
        <v>1540</v>
      </c>
      <c r="D315" s="2" t="s">
        <v>1487</v>
      </c>
      <c r="E315" s="2"/>
      <c r="F315" s="2" t="s">
        <v>1489</v>
      </c>
    </row>
    <row r="316">
      <c r="A316" s="2" t="s">
        <v>1484</v>
      </c>
      <c r="B316" s="2" t="s">
        <v>1541</v>
      </c>
      <c r="D316" s="2" t="s">
        <v>1487</v>
      </c>
      <c r="E316" s="2"/>
      <c r="F316" s="2" t="s">
        <v>1489</v>
      </c>
    </row>
    <row r="317">
      <c r="A317" s="2" t="s">
        <v>1484</v>
      </c>
      <c r="B317" s="2" t="s">
        <v>1543</v>
      </c>
      <c r="D317" s="2" t="s">
        <v>1487</v>
      </c>
      <c r="E317" s="2"/>
      <c r="F317" s="2" t="s">
        <v>1489</v>
      </c>
    </row>
    <row r="318">
      <c r="A318" s="2" t="s">
        <v>1484</v>
      </c>
      <c r="B318" s="2" t="s">
        <v>1544</v>
      </c>
      <c r="D318" s="2" t="s">
        <v>1487</v>
      </c>
      <c r="E318" s="2"/>
      <c r="F318" s="2" t="s">
        <v>1489</v>
      </c>
    </row>
    <row r="319">
      <c r="A319" s="2" t="s">
        <v>1484</v>
      </c>
      <c r="B319" s="2" t="s">
        <v>1545</v>
      </c>
      <c r="D319" s="2" t="s">
        <v>1487</v>
      </c>
      <c r="E319" s="2"/>
      <c r="F319" s="2" t="s">
        <v>1489</v>
      </c>
    </row>
    <row r="320">
      <c r="A320" s="2" t="s">
        <v>1484</v>
      </c>
      <c r="B320" s="2" t="s">
        <v>1514</v>
      </c>
      <c r="C320" s="2" t="s">
        <v>1546</v>
      </c>
      <c r="D320" s="2" t="s">
        <v>1547</v>
      </c>
    </row>
    <row r="321">
      <c r="A321" s="2" t="s">
        <v>1484</v>
      </c>
      <c r="B321" s="2" t="s">
        <v>1516</v>
      </c>
      <c r="C321" s="2" t="s">
        <v>1546</v>
      </c>
      <c r="D321" s="2" t="s">
        <v>1547</v>
      </c>
    </row>
    <row r="322">
      <c r="A322" s="2" t="s">
        <v>1484</v>
      </c>
      <c r="B322" s="2" t="s">
        <v>1548</v>
      </c>
      <c r="C322" s="2" t="s">
        <v>1546</v>
      </c>
      <c r="D322" s="2" t="s">
        <v>1547</v>
      </c>
    </row>
    <row r="323">
      <c r="A323" s="2" t="s">
        <v>1484</v>
      </c>
      <c r="B323" s="2" t="s">
        <v>1549</v>
      </c>
      <c r="C323" s="2" t="s">
        <v>1546</v>
      </c>
      <c r="D323" s="2" t="s">
        <v>1547</v>
      </c>
    </row>
    <row r="324">
      <c r="A324" s="2" t="s">
        <v>1484</v>
      </c>
      <c r="B324" s="2" t="s">
        <v>1551</v>
      </c>
      <c r="C324" s="2" t="s">
        <v>1546</v>
      </c>
      <c r="D324" s="2" t="s">
        <v>1547</v>
      </c>
    </row>
    <row r="325">
      <c r="A325" s="2" t="s">
        <v>1484</v>
      </c>
      <c r="B325" s="2" t="s">
        <v>1552</v>
      </c>
      <c r="C325" s="2" t="s">
        <v>1546</v>
      </c>
      <c r="D325" s="2" t="s">
        <v>1547</v>
      </c>
    </row>
    <row r="326">
      <c r="A326" s="2" t="s">
        <v>1484</v>
      </c>
      <c r="B326" s="2" t="s">
        <v>1553</v>
      </c>
      <c r="C326" s="2" t="s">
        <v>1546</v>
      </c>
      <c r="D326" s="2" t="s">
        <v>1547</v>
      </c>
    </row>
    <row r="327">
      <c r="A327" s="2" t="s">
        <v>1484</v>
      </c>
      <c r="B327" s="2" t="s">
        <v>1554</v>
      </c>
      <c r="C327" s="2" t="s">
        <v>1546</v>
      </c>
      <c r="D327" s="2" t="s">
        <v>1547</v>
      </c>
    </row>
    <row r="328">
      <c r="A328" s="2" t="s">
        <v>1484</v>
      </c>
      <c r="B328" s="2" t="s">
        <v>1556</v>
      </c>
      <c r="C328" s="2" t="s">
        <v>1546</v>
      </c>
      <c r="D328" s="2" t="s">
        <v>1547</v>
      </c>
    </row>
    <row r="329">
      <c r="A329" s="2" t="s">
        <v>1484</v>
      </c>
      <c r="B329" s="2" t="s">
        <v>1557</v>
      </c>
      <c r="C329" s="2" t="s">
        <v>1546</v>
      </c>
      <c r="D329" s="2" t="s">
        <v>1547</v>
      </c>
    </row>
    <row r="330">
      <c r="A330" s="2" t="s">
        <v>1484</v>
      </c>
      <c r="B330" s="2" t="s">
        <v>1558</v>
      </c>
      <c r="C330" s="2" t="s">
        <v>1546</v>
      </c>
      <c r="D330" s="2" t="s">
        <v>1547</v>
      </c>
    </row>
    <row r="331">
      <c r="A331" s="2" t="s">
        <v>1484</v>
      </c>
      <c r="B331" s="2" t="s">
        <v>1559</v>
      </c>
      <c r="C331" s="2" t="s">
        <v>1546</v>
      </c>
      <c r="D331" s="2" t="s">
        <v>1547</v>
      </c>
    </row>
    <row r="332">
      <c r="A332" s="2" t="s">
        <v>1484</v>
      </c>
      <c r="B332" s="2" t="s">
        <v>1560</v>
      </c>
      <c r="C332" s="2" t="s">
        <v>1546</v>
      </c>
      <c r="D332" s="2" t="s">
        <v>1547</v>
      </c>
    </row>
    <row r="333">
      <c r="A333" s="2" t="s">
        <v>1484</v>
      </c>
      <c r="B333" s="2" t="s">
        <v>1561</v>
      </c>
      <c r="C333" s="2" t="s">
        <v>1546</v>
      </c>
      <c r="D333" s="2" t="s">
        <v>1547</v>
      </c>
    </row>
    <row r="334">
      <c r="A334" s="2" t="s">
        <v>1484</v>
      </c>
      <c r="B334" s="2" t="s">
        <v>1562</v>
      </c>
      <c r="C334" s="2" t="s">
        <v>1546</v>
      </c>
      <c r="D334" s="2" t="s">
        <v>1547</v>
      </c>
    </row>
    <row r="335">
      <c r="A335" s="2" t="s">
        <v>1484</v>
      </c>
      <c r="B335" s="2" t="s">
        <v>1563</v>
      </c>
      <c r="C335" s="2" t="s">
        <v>1546</v>
      </c>
      <c r="D335" s="2" t="s">
        <v>1547</v>
      </c>
    </row>
    <row r="336">
      <c r="A336" s="2" t="s">
        <v>1484</v>
      </c>
      <c r="B336" s="2" t="s">
        <v>1514</v>
      </c>
      <c r="C336" s="2" t="s">
        <v>1546</v>
      </c>
      <c r="D336" s="2" t="s">
        <v>1547</v>
      </c>
    </row>
    <row r="337">
      <c r="A337" s="2" t="s">
        <v>1484</v>
      </c>
      <c r="B337" s="2" t="s">
        <v>1516</v>
      </c>
      <c r="C337" s="2" t="s">
        <v>1546</v>
      </c>
      <c r="D337" s="2" t="s">
        <v>1547</v>
      </c>
    </row>
    <row r="338">
      <c r="A338" s="2" t="s">
        <v>1484</v>
      </c>
      <c r="B338" s="2" t="s">
        <v>1548</v>
      </c>
      <c r="C338" s="2" t="s">
        <v>1546</v>
      </c>
      <c r="D338" s="2" t="s">
        <v>1547</v>
      </c>
    </row>
    <row r="339">
      <c r="A339" s="2" t="s">
        <v>1484</v>
      </c>
      <c r="B339" s="2" t="s">
        <v>1549</v>
      </c>
      <c r="C339" s="2" t="s">
        <v>1546</v>
      </c>
      <c r="D339" s="2" t="s">
        <v>1547</v>
      </c>
    </row>
    <row r="340">
      <c r="A340" s="2" t="s">
        <v>1484</v>
      </c>
      <c r="B340" s="2" t="s">
        <v>1551</v>
      </c>
      <c r="C340" s="2" t="s">
        <v>1546</v>
      </c>
      <c r="D340" s="2" t="s">
        <v>1547</v>
      </c>
    </row>
    <row r="341">
      <c r="A341" s="2" t="s">
        <v>1484</v>
      </c>
      <c r="B341" s="2" t="s">
        <v>1552</v>
      </c>
      <c r="C341" s="2" t="s">
        <v>1546</v>
      </c>
      <c r="D341" s="2" t="s">
        <v>1547</v>
      </c>
    </row>
    <row r="342">
      <c r="A342" s="2" t="s">
        <v>1484</v>
      </c>
      <c r="B342" s="2" t="s">
        <v>1553</v>
      </c>
      <c r="C342" s="2" t="s">
        <v>1546</v>
      </c>
      <c r="D342" s="2" t="s">
        <v>1547</v>
      </c>
    </row>
    <row r="343">
      <c r="A343" s="2" t="s">
        <v>1484</v>
      </c>
      <c r="B343" s="2" t="s">
        <v>1554</v>
      </c>
      <c r="C343" s="2" t="s">
        <v>1546</v>
      </c>
      <c r="D343" s="2" t="s">
        <v>1547</v>
      </c>
    </row>
    <row r="344">
      <c r="A344" s="2" t="s">
        <v>1484</v>
      </c>
      <c r="B344" s="2" t="s">
        <v>1556</v>
      </c>
      <c r="C344" s="2" t="s">
        <v>1546</v>
      </c>
      <c r="D344" s="2" t="s">
        <v>1547</v>
      </c>
    </row>
    <row r="345">
      <c r="A345" s="2" t="s">
        <v>1484</v>
      </c>
      <c r="B345" s="2" t="s">
        <v>1557</v>
      </c>
      <c r="C345" s="2" t="s">
        <v>1546</v>
      </c>
      <c r="D345" s="2" t="s">
        <v>1547</v>
      </c>
    </row>
    <row r="346">
      <c r="A346" s="2" t="s">
        <v>1484</v>
      </c>
      <c r="B346" s="2" t="s">
        <v>1558</v>
      </c>
      <c r="C346" s="2" t="s">
        <v>1546</v>
      </c>
      <c r="D346" s="2" t="s">
        <v>1547</v>
      </c>
    </row>
    <row r="347">
      <c r="A347" s="2" t="s">
        <v>1484</v>
      </c>
      <c r="B347" s="2" t="s">
        <v>1559</v>
      </c>
      <c r="C347" s="2" t="s">
        <v>1546</v>
      </c>
      <c r="D347" s="2" t="s">
        <v>1547</v>
      </c>
    </row>
    <row r="348">
      <c r="A348" s="2" t="s">
        <v>1484</v>
      </c>
      <c r="B348" s="2" t="s">
        <v>1560</v>
      </c>
      <c r="C348" s="2" t="s">
        <v>1546</v>
      </c>
      <c r="D348" s="2" t="s">
        <v>1547</v>
      </c>
    </row>
    <row r="349">
      <c r="A349" s="2" t="s">
        <v>1484</v>
      </c>
      <c r="B349" s="2" t="s">
        <v>1561</v>
      </c>
      <c r="C349" s="2" t="s">
        <v>1546</v>
      </c>
      <c r="D349" s="2" t="s">
        <v>1547</v>
      </c>
    </row>
    <row r="350">
      <c r="A350" s="2" t="s">
        <v>1484</v>
      </c>
      <c r="B350" s="2" t="s">
        <v>1562</v>
      </c>
      <c r="C350" s="2" t="s">
        <v>1546</v>
      </c>
      <c r="D350" s="2" t="s">
        <v>1547</v>
      </c>
    </row>
    <row r="351">
      <c r="A351" s="2" t="s">
        <v>1484</v>
      </c>
      <c r="B351" s="2" t="s">
        <v>1563</v>
      </c>
      <c r="C351" s="2" t="s">
        <v>1546</v>
      </c>
      <c r="D351" s="2" t="s">
        <v>1547</v>
      </c>
    </row>
    <row r="352">
      <c r="A352" s="2" t="s">
        <v>1484</v>
      </c>
      <c r="B352" s="2" t="s">
        <v>1565</v>
      </c>
      <c r="C352" s="2" t="s">
        <v>1546</v>
      </c>
      <c r="D352" s="2" t="s">
        <v>1547</v>
      </c>
    </row>
    <row r="353">
      <c r="A353" s="2" t="s">
        <v>1484</v>
      </c>
      <c r="B353" s="2" t="s">
        <v>1567</v>
      </c>
      <c r="C353" s="2" t="s">
        <v>1546</v>
      </c>
      <c r="D353" s="2" t="s">
        <v>1547</v>
      </c>
    </row>
    <row r="354">
      <c r="A354" s="2" t="s">
        <v>1484</v>
      </c>
      <c r="B354" s="2" t="s">
        <v>1568</v>
      </c>
      <c r="C354" s="2" t="s">
        <v>1546</v>
      </c>
      <c r="D354" s="2" t="s">
        <v>1547</v>
      </c>
    </row>
    <row r="355">
      <c r="A355" s="2" t="s">
        <v>1484</v>
      </c>
      <c r="B355" s="2" t="s">
        <v>1569</v>
      </c>
      <c r="C355" s="2" t="s">
        <v>1546</v>
      </c>
      <c r="D355" s="2" t="s">
        <v>1547</v>
      </c>
    </row>
    <row r="356">
      <c r="A356" s="2" t="s">
        <v>1484</v>
      </c>
      <c r="B356" s="2" t="s">
        <v>1570</v>
      </c>
      <c r="C356" s="2" t="s">
        <v>1546</v>
      </c>
      <c r="D356" s="2" t="s">
        <v>1547</v>
      </c>
    </row>
    <row r="357">
      <c r="A357" s="2" t="s">
        <v>1484</v>
      </c>
      <c r="B357" s="2" t="s">
        <v>1572</v>
      </c>
      <c r="C357" s="2" t="s">
        <v>1546</v>
      </c>
      <c r="D357" s="2" t="s">
        <v>1547</v>
      </c>
    </row>
    <row r="358">
      <c r="A358" s="2" t="s">
        <v>1484</v>
      </c>
      <c r="B358" s="2" t="s">
        <v>1574</v>
      </c>
      <c r="C358" s="2" t="s">
        <v>1546</v>
      </c>
      <c r="D358" s="2" t="s">
        <v>1547</v>
      </c>
    </row>
    <row r="359">
      <c r="A359" s="2" t="s">
        <v>1484</v>
      </c>
      <c r="B359" s="2" t="s">
        <v>1575</v>
      </c>
      <c r="C359" s="2" t="s">
        <v>1546</v>
      </c>
      <c r="D359" s="2" t="s">
        <v>1547</v>
      </c>
    </row>
    <row r="360">
      <c r="A360" s="2" t="s">
        <v>1484</v>
      </c>
      <c r="B360" s="2" t="s">
        <v>1577</v>
      </c>
      <c r="C360" s="2" t="s">
        <v>1546</v>
      </c>
      <c r="D360" s="2" t="s">
        <v>1547</v>
      </c>
    </row>
    <row r="361">
      <c r="A361" s="2" t="s">
        <v>1484</v>
      </c>
      <c r="B361" s="2" t="s">
        <v>1579</v>
      </c>
      <c r="C361" s="2" t="s">
        <v>1546</v>
      </c>
      <c r="D361" s="2" t="s">
        <v>1547</v>
      </c>
    </row>
    <row r="362">
      <c r="A362" s="2" t="s">
        <v>1484</v>
      </c>
      <c r="B362" s="2" t="s">
        <v>1580</v>
      </c>
      <c r="C362" s="2" t="s">
        <v>1546</v>
      </c>
      <c r="D362" s="2" t="s">
        <v>1547</v>
      </c>
    </row>
    <row r="363">
      <c r="A363" s="2" t="s">
        <v>1484</v>
      </c>
      <c r="B363" s="2" t="s">
        <v>1581</v>
      </c>
      <c r="C363" s="2" t="s">
        <v>1546</v>
      </c>
      <c r="D363" s="2" t="s">
        <v>1547</v>
      </c>
    </row>
    <row r="364">
      <c r="A364" s="2" t="s">
        <v>1484</v>
      </c>
      <c r="B364" s="2" t="s">
        <v>1582</v>
      </c>
      <c r="C364" s="2" t="s">
        <v>1546</v>
      </c>
      <c r="D364" s="2" t="s">
        <v>1547</v>
      </c>
    </row>
    <row r="365">
      <c r="A365" s="2" t="s">
        <v>1484</v>
      </c>
      <c r="B365" s="2" t="s">
        <v>1583</v>
      </c>
      <c r="C365" s="2" t="s">
        <v>1546</v>
      </c>
      <c r="D365" s="2" t="s">
        <v>1547</v>
      </c>
    </row>
    <row r="366">
      <c r="A366" s="2" t="s">
        <v>1484</v>
      </c>
      <c r="B366" s="2" t="s">
        <v>1584</v>
      </c>
      <c r="C366" s="2" t="s">
        <v>1546</v>
      </c>
      <c r="D366" s="2" t="s">
        <v>1547</v>
      </c>
    </row>
    <row r="367">
      <c r="A367" s="2" t="s">
        <v>1484</v>
      </c>
      <c r="B367" s="2" t="s">
        <v>1585</v>
      </c>
      <c r="C367" s="2" t="s">
        <v>1546</v>
      </c>
      <c r="D367" s="2" t="s">
        <v>1547</v>
      </c>
    </row>
    <row r="368">
      <c r="A368" s="2" t="s">
        <v>1484</v>
      </c>
      <c r="B368" s="2" t="s">
        <v>1586</v>
      </c>
      <c r="C368" s="2" t="s">
        <v>1546</v>
      </c>
      <c r="D368" s="2" t="s">
        <v>1547</v>
      </c>
    </row>
    <row r="369">
      <c r="A369" s="2" t="s">
        <v>1484</v>
      </c>
      <c r="B369" s="2" t="s">
        <v>1587</v>
      </c>
      <c r="C369" s="2" t="s">
        <v>1546</v>
      </c>
      <c r="D369" s="2" t="s">
        <v>1547</v>
      </c>
    </row>
    <row r="370">
      <c r="A370" s="2" t="s">
        <v>1484</v>
      </c>
      <c r="B370" s="2" t="s">
        <v>1588</v>
      </c>
      <c r="C370" s="2" t="s">
        <v>1546</v>
      </c>
      <c r="D370" s="2" t="s">
        <v>1547</v>
      </c>
    </row>
    <row r="371">
      <c r="A371" s="2" t="s">
        <v>1484</v>
      </c>
      <c r="B371" s="2" t="s">
        <v>1590</v>
      </c>
      <c r="C371" s="2" t="s">
        <v>1546</v>
      </c>
      <c r="D371" s="2" t="s">
        <v>1547</v>
      </c>
    </row>
    <row r="372">
      <c r="A372" s="2" t="s">
        <v>1484</v>
      </c>
      <c r="B372" s="2" t="s">
        <v>1591</v>
      </c>
      <c r="C372" s="2" t="s">
        <v>1546</v>
      </c>
      <c r="D372" s="2" t="s">
        <v>1547</v>
      </c>
    </row>
    <row r="373">
      <c r="A373" s="2" t="s">
        <v>1484</v>
      </c>
      <c r="B373" s="2" t="s">
        <v>1592</v>
      </c>
      <c r="C373" s="2" t="s">
        <v>1546</v>
      </c>
      <c r="D373" s="2" t="s">
        <v>1547</v>
      </c>
    </row>
    <row r="374">
      <c r="A374" s="2" t="s">
        <v>1484</v>
      </c>
      <c r="B374" s="2" t="s">
        <v>1593</v>
      </c>
      <c r="C374" s="2" t="s">
        <v>1546</v>
      </c>
      <c r="D374" s="2" t="s">
        <v>1547</v>
      </c>
    </row>
    <row r="375">
      <c r="A375" s="2" t="s">
        <v>1484</v>
      </c>
      <c r="B375" s="2" t="s">
        <v>1594</v>
      </c>
      <c r="C375" s="2" t="s">
        <v>1546</v>
      </c>
      <c r="D375" s="2" t="s">
        <v>1547</v>
      </c>
    </row>
    <row r="376">
      <c r="A376" s="2" t="s">
        <v>1484</v>
      </c>
      <c r="B376" s="2" t="s">
        <v>1595</v>
      </c>
      <c r="C376" s="2" t="s">
        <v>1546</v>
      </c>
      <c r="D376" s="2" t="s">
        <v>1547</v>
      </c>
    </row>
    <row r="377">
      <c r="A377" s="2" t="s">
        <v>1484</v>
      </c>
      <c r="B377" s="2" t="s">
        <v>1596</v>
      </c>
      <c r="C377" s="2" t="s">
        <v>1546</v>
      </c>
      <c r="D377" s="2" t="s">
        <v>1547</v>
      </c>
    </row>
    <row r="378">
      <c r="A378" s="2" t="s">
        <v>1484</v>
      </c>
      <c r="B378" s="2" t="s">
        <v>1597</v>
      </c>
      <c r="C378" s="2" t="s">
        <v>1546</v>
      </c>
      <c r="D378" s="2" t="s">
        <v>1547</v>
      </c>
    </row>
    <row r="379">
      <c r="A379" s="2" t="s">
        <v>1484</v>
      </c>
      <c r="B379" s="2" t="s">
        <v>1600</v>
      </c>
      <c r="C379" s="2" t="s">
        <v>1546</v>
      </c>
      <c r="D379" s="2" t="s">
        <v>1547</v>
      </c>
    </row>
    <row r="380">
      <c r="A380" s="2" t="s">
        <v>1484</v>
      </c>
      <c r="B380" s="2" t="s">
        <v>1602</v>
      </c>
      <c r="C380" s="2" t="s">
        <v>1546</v>
      </c>
      <c r="D380" s="2" t="s">
        <v>1547</v>
      </c>
    </row>
    <row r="381">
      <c r="A381" s="2" t="s">
        <v>1484</v>
      </c>
      <c r="B381" s="2" t="s">
        <v>1603</v>
      </c>
      <c r="C381" s="2" t="s">
        <v>1546</v>
      </c>
      <c r="D381" s="2" t="s">
        <v>1547</v>
      </c>
    </row>
    <row r="382">
      <c r="A382" s="2" t="s">
        <v>1484</v>
      </c>
      <c r="B382" s="2" t="s">
        <v>1604</v>
      </c>
      <c r="C382" s="2" t="s">
        <v>1605</v>
      </c>
      <c r="D382" s="2" t="s">
        <v>1606</v>
      </c>
    </row>
    <row r="383">
      <c r="A383" s="2" t="s">
        <v>1484</v>
      </c>
      <c r="B383" s="2" t="s">
        <v>1607</v>
      </c>
      <c r="C383" s="2" t="s">
        <v>1605</v>
      </c>
      <c r="D383" s="2" t="s">
        <v>1606</v>
      </c>
    </row>
    <row r="384">
      <c r="A384" s="2" t="s">
        <v>1484</v>
      </c>
      <c r="B384" s="2" t="s">
        <v>1608</v>
      </c>
      <c r="C384" s="2" t="s">
        <v>1605</v>
      </c>
      <c r="D384" s="2" t="s">
        <v>1606</v>
      </c>
    </row>
    <row r="385">
      <c r="A385" s="2" t="s">
        <v>1484</v>
      </c>
      <c r="B385" s="2" t="s">
        <v>1611</v>
      </c>
      <c r="C385" s="2" t="s">
        <v>1605</v>
      </c>
      <c r="D385" s="2" t="s">
        <v>1606</v>
      </c>
    </row>
    <row r="386">
      <c r="A386" s="2" t="s">
        <v>1484</v>
      </c>
      <c r="B386" s="2" t="s">
        <v>1612</v>
      </c>
      <c r="C386" s="2" t="s">
        <v>1605</v>
      </c>
      <c r="D386" s="2" t="s">
        <v>1606</v>
      </c>
    </row>
    <row r="387">
      <c r="A387" s="2" t="s">
        <v>1484</v>
      </c>
      <c r="B387" s="2" t="s">
        <v>1613</v>
      </c>
      <c r="C387" s="2" t="s">
        <v>1605</v>
      </c>
      <c r="D387" s="2" t="s">
        <v>1606</v>
      </c>
    </row>
    <row r="388">
      <c r="A388" s="2" t="s">
        <v>1484</v>
      </c>
      <c r="B388" s="2" t="s">
        <v>1614</v>
      </c>
      <c r="C388" s="2" t="s">
        <v>1605</v>
      </c>
      <c r="D388" s="2" t="s">
        <v>1606</v>
      </c>
    </row>
    <row r="389">
      <c r="A389" s="2" t="s">
        <v>1484</v>
      </c>
      <c r="B389" s="2" t="s">
        <v>1615</v>
      </c>
      <c r="C389" s="2" t="s">
        <v>1605</v>
      </c>
      <c r="D389" s="2" t="s">
        <v>1606</v>
      </c>
    </row>
    <row r="390">
      <c r="A390" s="2" t="s">
        <v>1484</v>
      </c>
      <c r="B390" s="2" t="s">
        <v>1616</v>
      </c>
      <c r="C390" s="2" t="s">
        <v>1605</v>
      </c>
      <c r="D390" s="2" t="s">
        <v>1606</v>
      </c>
    </row>
    <row r="391">
      <c r="A391" s="2" t="s">
        <v>1484</v>
      </c>
      <c r="B391" s="2" t="s">
        <v>1617</v>
      </c>
      <c r="C391" s="2" t="s">
        <v>1605</v>
      </c>
      <c r="D391" s="2" t="s">
        <v>1606</v>
      </c>
    </row>
    <row r="392">
      <c r="A392" s="2" t="s">
        <v>1484</v>
      </c>
      <c r="B392" s="2" t="s">
        <v>1618</v>
      </c>
      <c r="C392" s="2" t="s">
        <v>1605</v>
      </c>
      <c r="D392" s="2" t="s">
        <v>1606</v>
      </c>
    </row>
    <row r="393">
      <c r="A393" s="2" t="s">
        <v>1484</v>
      </c>
      <c r="B393" s="2" t="s">
        <v>1619</v>
      </c>
      <c r="C393" s="2" t="s">
        <v>1605</v>
      </c>
      <c r="D393" s="2" t="s">
        <v>1606</v>
      </c>
    </row>
    <row r="394">
      <c r="A394" s="2" t="s">
        <v>1484</v>
      </c>
      <c r="B394" s="2" t="s">
        <v>1620</v>
      </c>
      <c r="C394" s="2" t="s">
        <v>1605</v>
      </c>
      <c r="D394" s="2" t="s">
        <v>1606</v>
      </c>
    </row>
    <row r="395">
      <c r="A395" s="2" t="s">
        <v>1484</v>
      </c>
      <c r="B395" s="2" t="s">
        <v>1622</v>
      </c>
      <c r="C395" s="2" t="s">
        <v>1605</v>
      </c>
      <c r="D395" s="2" t="s">
        <v>1606</v>
      </c>
    </row>
    <row r="396">
      <c r="A396" s="2" t="s">
        <v>1484</v>
      </c>
      <c r="B396" s="2" t="s">
        <v>1623</v>
      </c>
      <c r="C396" s="2" t="s">
        <v>1605</v>
      </c>
      <c r="D396" s="2" t="s">
        <v>1606</v>
      </c>
    </row>
    <row r="397">
      <c r="A397" s="2" t="s">
        <v>1484</v>
      </c>
      <c r="B397" s="2" t="s">
        <v>1624</v>
      </c>
      <c r="C397" s="2" t="s">
        <v>1605</v>
      </c>
      <c r="D397" s="2" t="s">
        <v>1606</v>
      </c>
    </row>
    <row r="398">
      <c r="A398" s="2" t="s">
        <v>1484</v>
      </c>
      <c r="B398" s="2" t="s">
        <v>1626</v>
      </c>
      <c r="C398" s="2" t="s">
        <v>1605</v>
      </c>
      <c r="D398" s="2" t="s">
        <v>1606</v>
      </c>
    </row>
    <row r="399">
      <c r="A399" s="2" t="s">
        <v>1484</v>
      </c>
      <c r="B399" s="2" t="s">
        <v>1628</v>
      </c>
      <c r="C399" s="2" t="s">
        <v>1605</v>
      </c>
      <c r="D399" s="2" t="s">
        <v>1606</v>
      </c>
    </row>
    <row r="400">
      <c r="A400" s="2" t="s">
        <v>1484</v>
      </c>
      <c r="B400" s="2" t="s">
        <v>1629</v>
      </c>
      <c r="C400" s="2" t="s">
        <v>1605</v>
      </c>
      <c r="D400" s="2" t="s">
        <v>1606</v>
      </c>
    </row>
    <row r="401">
      <c r="A401" s="2" t="s">
        <v>1484</v>
      </c>
      <c r="B401" s="2" t="s">
        <v>1630</v>
      </c>
      <c r="C401" s="2" t="s">
        <v>1605</v>
      </c>
      <c r="D401" s="2" t="s">
        <v>1606</v>
      </c>
    </row>
    <row r="402">
      <c r="A402" s="2" t="s">
        <v>1484</v>
      </c>
      <c r="B402" s="2" t="s">
        <v>1631</v>
      </c>
      <c r="C402" s="2" t="s">
        <v>1605</v>
      </c>
      <c r="D402" s="2" t="s">
        <v>1606</v>
      </c>
    </row>
    <row r="403">
      <c r="A403" s="2" t="s">
        <v>1484</v>
      </c>
      <c r="B403" s="2" t="s">
        <v>1632</v>
      </c>
      <c r="C403" s="2" t="s">
        <v>1605</v>
      </c>
      <c r="D403" s="2" t="s">
        <v>1606</v>
      </c>
    </row>
    <row r="404">
      <c r="A404" s="2" t="s">
        <v>1484</v>
      </c>
      <c r="B404" s="2" t="s">
        <v>1633</v>
      </c>
      <c r="C404" s="2" t="s">
        <v>1605</v>
      </c>
      <c r="D404" s="2" t="s">
        <v>1606</v>
      </c>
    </row>
    <row r="405">
      <c r="A405" s="2" t="s">
        <v>1484</v>
      </c>
      <c r="B405" s="2" t="s">
        <v>1635</v>
      </c>
      <c r="C405" s="2" t="s">
        <v>1605</v>
      </c>
      <c r="D405" s="2" t="s">
        <v>1606</v>
      </c>
    </row>
    <row r="406">
      <c r="A406" s="2" t="s">
        <v>1484</v>
      </c>
      <c r="B406" s="2" t="s">
        <v>1636</v>
      </c>
      <c r="C406" s="2" t="s">
        <v>1605</v>
      </c>
      <c r="D406" s="2" t="s">
        <v>1606</v>
      </c>
    </row>
    <row r="407">
      <c r="A407" s="2" t="s">
        <v>1484</v>
      </c>
      <c r="B407" s="2" t="s">
        <v>1637</v>
      </c>
      <c r="C407" s="2" t="s">
        <v>1605</v>
      </c>
      <c r="D407" s="2" t="s">
        <v>1606</v>
      </c>
    </row>
    <row r="408">
      <c r="A408" s="2" t="s">
        <v>1484</v>
      </c>
      <c r="B408" s="2" t="s">
        <v>1638</v>
      </c>
      <c r="C408" s="2" t="s">
        <v>1605</v>
      </c>
      <c r="D408" s="2" t="s">
        <v>1606</v>
      </c>
    </row>
    <row r="409">
      <c r="A409" s="2" t="s">
        <v>1484</v>
      </c>
      <c r="B409" s="2" t="s">
        <v>1639</v>
      </c>
      <c r="C409" s="2" t="s">
        <v>1605</v>
      </c>
      <c r="D409" s="2" t="s">
        <v>1606</v>
      </c>
    </row>
    <row r="410">
      <c r="A410" s="2" t="s">
        <v>1484</v>
      </c>
      <c r="B410" s="2" t="s">
        <v>1640</v>
      </c>
      <c r="C410" s="2" t="s">
        <v>1605</v>
      </c>
      <c r="D410" s="2" t="s">
        <v>1606</v>
      </c>
    </row>
    <row r="411">
      <c r="A411" s="2" t="s">
        <v>1484</v>
      </c>
      <c r="B411" s="2" t="s">
        <v>1642</v>
      </c>
      <c r="C411" s="2" t="s">
        <v>1605</v>
      </c>
      <c r="D411" s="2" t="s">
        <v>1606</v>
      </c>
    </row>
    <row r="412">
      <c r="A412" s="2" t="s">
        <v>1484</v>
      </c>
      <c r="B412" s="2" t="s">
        <v>1643</v>
      </c>
      <c r="C412" s="2" t="s">
        <v>1605</v>
      </c>
      <c r="D412" s="2" t="s">
        <v>1606</v>
      </c>
    </row>
    <row r="413">
      <c r="A413" s="2" t="s">
        <v>1484</v>
      </c>
      <c r="B413" s="2" t="s">
        <v>1644</v>
      </c>
      <c r="C413" s="2" t="s">
        <v>1605</v>
      </c>
      <c r="D413" s="2" t="s">
        <v>1606</v>
      </c>
    </row>
    <row r="414">
      <c r="A414" s="2" t="s">
        <v>1484</v>
      </c>
      <c r="B414" s="2" t="s">
        <v>1603</v>
      </c>
      <c r="C414" s="2" t="s">
        <v>1605</v>
      </c>
      <c r="D414" s="2" t="s">
        <v>1606</v>
      </c>
    </row>
    <row r="415">
      <c r="A415" s="2" t="s">
        <v>1484</v>
      </c>
      <c r="B415" s="2" t="s">
        <v>1645</v>
      </c>
      <c r="C415" s="2" t="s">
        <v>1605</v>
      </c>
      <c r="D415" s="2" t="s">
        <v>1606</v>
      </c>
    </row>
    <row r="416">
      <c r="A416" s="2" t="s">
        <v>1484</v>
      </c>
      <c r="B416" s="2" t="s">
        <v>1646</v>
      </c>
      <c r="C416" s="2" t="s">
        <v>1605</v>
      </c>
      <c r="D416" s="2" t="s">
        <v>1606</v>
      </c>
    </row>
    <row r="417">
      <c r="A417" s="2" t="s">
        <v>1484</v>
      </c>
      <c r="B417" s="2" t="s">
        <v>1648</v>
      </c>
      <c r="C417" s="2" t="s">
        <v>1605</v>
      </c>
      <c r="D417" s="2" t="s">
        <v>1606</v>
      </c>
    </row>
    <row r="418">
      <c r="A418" s="2" t="s">
        <v>1484</v>
      </c>
      <c r="B418" s="2" t="s">
        <v>1649</v>
      </c>
      <c r="C418" s="2" t="s">
        <v>1605</v>
      </c>
      <c r="D418" s="2" t="s">
        <v>1606</v>
      </c>
    </row>
    <row r="419">
      <c r="A419" s="2" t="s">
        <v>1484</v>
      </c>
      <c r="B419" s="2" t="s">
        <v>1650</v>
      </c>
      <c r="C419" s="2" t="s">
        <v>1605</v>
      </c>
      <c r="D419" s="2" t="s">
        <v>1606</v>
      </c>
    </row>
    <row r="420">
      <c r="A420" s="2" t="s">
        <v>1651</v>
      </c>
      <c r="B420" s="2" t="s">
        <v>1652</v>
      </c>
      <c r="G420" s="2" t="s">
        <v>1653</v>
      </c>
    </row>
    <row r="421">
      <c r="A421" s="2" t="s">
        <v>1655</v>
      </c>
      <c r="B421" s="2" t="s">
        <v>1656</v>
      </c>
      <c r="C421" s="2" t="s">
        <v>1657</v>
      </c>
      <c r="D421" s="2" t="s">
        <v>1658</v>
      </c>
    </row>
    <row r="422">
      <c r="A422" s="2" t="s">
        <v>1655</v>
      </c>
      <c r="B422" s="2" t="s">
        <v>1659</v>
      </c>
      <c r="C422" s="2" t="s">
        <v>1657</v>
      </c>
      <c r="D422" s="2" t="s">
        <v>1658</v>
      </c>
    </row>
    <row r="423">
      <c r="A423" s="2" t="s">
        <v>1655</v>
      </c>
      <c r="B423" s="2" t="s">
        <v>1660</v>
      </c>
      <c r="C423" s="2" t="s">
        <v>1657</v>
      </c>
      <c r="D423" s="2" t="s">
        <v>1658</v>
      </c>
    </row>
    <row r="424">
      <c r="A424" s="2" t="s">
        <v>1655</v>
      </c>
      <c r="B424" s="2" t="s">
        <v>1661</v>
      </c>
      <c r="C424" s="2" t="s">
        <v>1657</v>
      </c>
      <c r="D424" s="2" t="s">
        <v>1658</v>
      </c>
    </row>
    <row r="425">
      <c r="A425" s="2" t="s">
        <v>1655</v>
      </c>
      <c r="B425" s="2" t="s">
        <v>1662</v>
      </c>
      <c r="C425" s="2" t="s">
        <v>1657</v>
      </c>
      <c r="D425" s="2" t="s">
        <v>1658</v>
      </c>
    </row>
    <row r="426">
      <c r="A426" s="2" t="s">
        <v>1655</v>
      </c>
      <c r="B426" s="2" t="s">
        <v>1663</v>
      </c>
      <c r="C426" s="2" t="s">
        <v>1657</v>
      </c>
      <c r="D426" s="2" t="s">
        <v>1658</v>
      </c>
    </row>
    <row r="427">
      <c r="A427" s="2" t="s">
        <v>1655</v>
      </c>
      <c r="B427" s="2" t="s">
        <v>1664</v>
      </c>
      <c r="C427" s="2" t="s">
        <v>1657</v>
      </c>
      <c r="D427" s="2" t="s">
        <v>1658</v>
      </c>
    </row>
    <row r="428">
      <c r="A428" s="2" t="s">
        <v>1655</v>
      </c>
      <c r="B428" s="2" t="s">
        <v>1666</v>
      </c>
      <c r="C428" s="2" t="s">
        <v>1657</v>
      </c>
      <c r="D428" s="2" t="s">
        <v>1658</v>
      </c>
    </row>
    <row r="429">
      <c r="A429" s="2" t="s">
        <v>1655</v>
      </c>
      <c r="B429" s="2" t="s">
        <v>1667</v>
      </c>
      <c r="C429" s="2" t="s">
        <v>1657</v>
      </c>
      <c r="D429" s="2" t="s">
        <v>1658</v>
      </c>
    </row>
    <row r="430">
      <c r="A430" s="2" t="s">
        <v>1655</v>
      </c>
      <c r="B430" s="2" t="s">
        <v>1669</v>
      </c>
      <c r="C430" s="2" t="s">
        <v>1657</v>
      </c>
      <c r="D430" s="2" t="s">
        <v>1658</v>
      </c>
    </row>
    <row r="431">
      <c r="A431" s="2" t="s">
        <v>1655</v>
      </c>
      <c r="B431" s="2" t="s">
        <v>1670</v>
      </c>
      <c r="C431" s="2" t="s">
        <v>1657</v>
      </c>
      <c r="D431" s="2" t="s">
        <v>1658</v>
      </c>
    </row>
    <row r="432">
      <c r="A432" s="2" t="s">
        <v>1655</v>
      </c>
      <c r="B432" s="2" t="s">
        <v>1671</v>
      </c>
      <c r="C432" s="2" t="s">
        <v>1657</v>
      </c>
      <c r="D432" s="2" t="s">
        <v>1658</v>
      </c>
    </row>
    <row r="433">
      <c r="A433" s="2" t="s">
        <v>1655</v>
      </c>
      <c r="B433" s="2" t="s">
        <v>1672</v>
      </c>
      <c r="C433" s="2" t="s">
        <v>1657</v>
      </c>
      <c r="D433" s="2" t="s">
        <v>1658</v>
      </c>
    </row>
    <row r="434">
      <c r="A434" s="2" t="s">
        <v>1655</v>
      </c>
      <c r="B434" s="2" t="s">
        <v>1673</v>
      </c>
      <c r="C434" s="2" t="s">
        <v>1657</v>
      </c>
      <c r="D434" s="2" t="s">
        <v>1658</v>
      </c>
    </row>
    <row r="435">
      <c r="A435" s="2" t="s">
        <v>1655</v>
      </c>
      <c r="B435" s="2" t="s">
        <v>1675</v>
      </c>
      <c r="C435" s="2" t="s">
        <v>1657</v>
      </c>
      <c r="D435" s="2" t="s">
        <v>1658</v>
      </c>
    </row>
    <row r="436">
      <c r="A436" s="2" t="s">
        <v>1655</v>
      </c>
      <c r="B436" s="2" t="s">
        <v>1676</v>
      </c>
      <c r="C436" s="2" t="s">
        <v>1657</v>
      </c>
      <c r="D436" s="2" t="s">
        <v>1658</v>
      </c>
    </row>
    <row r="437">
      <c r="A437" s="2" t="s">
        <v>1655</v>
      </c>
      <c r="B437" s="2" t="s">
        <v>1677</v>
      </c>
      <c r="C437" s="2" t="s">
        <v>1657</v>
      </c>
      <c r="D437" s="2" t="s">
        <v>1658</v>
      </c>
    </row>
    <row r="438">
      <c r="A438" s="2" t="s">
        <v>1655</v>
      </c>
      <c r="B438" s="2" t="s">
        <v>1678</v>
      </c>
      <c r="C438" s="2" t="s">
        <v>1657</v>
      </c>
      <c r="D438" s="2" t="s">
        <v>1658</v>
      </c>
    </row>
    <row r="439">
      <c r="A439" s="2" t="s">
        <v>1655</v>
      </c>
      <c r="B439" s="2" t="s">
        <v>1679</v>
      </c>
      <c r="C439" s="2" t="s">
        <v>1657</v>
      </c>
      <c r="D439" s="2" t="s">
        <v>1658</v>
      </c>
    </row>
    <row r="440">
      <c r="A440" s="2" t="s">
        <v>1655</v>
      </c>
      <c r="B440" s="2" t="s">
        <v>1680</v>
      </c>
      <c r="C440" s="2" t="s">
        <v>1657</v>
      </c>
      <c r="D440" s="2" t="s">
        <v>1658</v>
      </c>
    </row>
    <row r="441">
      <c r="A441" s="2" t="s">
        <v>1655</v>
      </c>
      <c r="B441" s="2" t="s">
        <v>1681</v>
      </c>
      <c r="C441" s="2" t="s">
        <v>1657</v>
      </c>
      <c r="D441" s="2" t="s">
        <v>1658</v>
      </c>
    </row>
    <row r="442">
      <c r="A442" s="2" t="s">
        <v>1655</v>
      </c>
      <c r="B442" s="2" t="s">
        <v>1682</v>
      </c>
      <c r="C442" s="2" t="s">
        <v>1657</v>
      </c>
      <c r="D442" s="2" t="s">
        <v>1658</v>
      </c>
    </row>
    <row r="443">
      <c r="A443" s="2" t="s">
        <v>1655</v>
      </c>
      <c r="B443" s="2" t="s">
        <v>1683</v>
      </c>
      <c r="C443" s="2" t="s">
        <v>1657</v>
      </c>
      <c r="D443" s="2" t="s">
        <v>1658</v>
      </c>
    </row>
    <row r="444">
      <c r="A444" s="2" t="s">
        <v>1655</v>
      </c>
      <c r="B444" s="2" t="s">
        <v>1684</v>
      </c>
      <c r="C444" s="2" t="s">
        <v>1657</v>
      </c>
      <c r="D444" s="2" t="s">
        <v>1658</v>
      </c>
    </row>
    <row r="445">
      <c r="A445" s="2" t="s">
        <v>1655</v>
      </c>
      <c r="B445" s="2" t="s">
        <v>1686</v>
      </c>
      <c r="C445" s="2" t="s">
        <v>1657</v>
      </c>
      <c r="D445" s="2" t="s">
        <v>1658</v>
      </c>
    </row>
    <row r="446">
      <c r="A446" s="2" t="s">
        <v>1655</v>
      </c>
      <c r="B446" s="2" t="s">
        <v>1687</v>
      </c>
      <c r="C446" s="2" t="s">
        <v>1657</v>
      </c>
      <c r="D446" s="2" t="s">
        <v>1658</v>
      </c>
    </row>
    <row r="447">
      <c r="A447" s="2" t="s">
        <v>1655</v>
      </c>
      <c r="B447" s="2" t="s">
        <v>1688</v>
      </c>
      <c r="C447" s="2" t="s">
        <v>1657</v>
      </c>
      <c r="D447" s="2" t="s">
        <v>1658</v>
      </c>
    </row>
    <row r="448">
      <c r="A448" s="2" t="s">
        <v>1655</v>
      </c>
      <c r="B448" s="2" t="s">
        <v>1689</v>
      </c>
      <c r="C448" s="2" t="s">
        <v>1657</v>
      </c>
      <c r="D448" s="2" t="s">
        <v>1658</v>
      </c>
    </row>
    <row r="449">
      <c r="A449" s="2" t="s">
        <v>1655</v>
      </c>
      <c r="B449" s="2" t="s">
        <v>1690</v>
      </c>
      <c r="C449" s="2" t="s">
        <v>1657</v>
      </c>
      <c r="D449" s="2" t="s">
        <v>1658</v>
      </c>
    </row>
    <row r="450">
      <c r="A450" s="2" t="s">
        <v>1655</v>
      </c>
      <c r="B450" s="2" t="s">
        <v>1691</v>
      </c>
      <c r="C450" s="2" t="s">
        <v>1657</v>
      </c>
      <c r="D450" s="2" t="s">
        <v>1658</v>
      </c>
    </row>
    <row r="451">
      <c r="A451" s="2" t="s">
        <v>1655</v>
      </c>
      <c r="B451" s="2" t="s">
        <v>1692</v>
      </c>
      <c r="C451" s="2" t="s">
        <v>1657</v>
      </c>
      <c r="D451" s="2" t="s">
        <v>1658</v>
      </c>
    </row>
    <row r="452">
      <c r="A452" s="2" t="s">
        <v>1655</v>
      </c>
      <c r="B452" s="2" t="s">
        <v>1695</v>
      </c>
      <c r="C452" s="2" t="s">
        <v>1657</v>
      </c>
      <c r="D452" s="2" t="s">
        <v>1658</v>
      </c>
    </row>
    <row r="453">
      <c r="A453" s="2" t="s">
        <v>1655</v>
      </c>
      <c r="B453" s="2" t="s">
        <v>1696</v>
      </c>
      <c r="C453" s="2" t="s">
        <v>1657</v>
      </c>
      <c r="D453" s="2" t="s">
        <v>1658</v>
      </c>
    </row>
    <row r="454">
      <c r="A454" s="2" t="s">
        <v>1655</v>
      </c>
      <c r="B454" s="2" t="s">
        <v>1697</v>
      </c>
      <c r="C454" s="2" t="s">
        <v>1657</v>
      </c>
      <c r="D454" s="2" t="s">
        <v>1658</v>
      </c>
    </row>
    <row r="455">
      <c r="A455" s="2" t="s">
        <v>1655</v>
      </c>
      <c r="B455" s="2" t="s">
        <v>1698</v>
      </c>
      <c r="C455" s="2" t="s">
        <v>1657</v>
      </c>
      <c r="D455" s="2" t="s">
        <v>1658</v>
      </c>
    </row>
    <row r="456">
      <c r="A456" s="2" t="s">
        <v>1655</v>
      </c>
      <c r="B456" s="2" t="s">
        <v>1699</v>
      </c>
      <c r="C456" s="2" t="s">
        <v>1657</v>
      </c>
      <c r="D456" s="2" t="s">
        <v>1658</v>
      </c>
    </row>
    <row r="457">
      <c r="A457" s="2" t="s">
        <v>1655</v>
      </c>
      <c r="B457" s="2" t="s">
        <v>1700</v>
      </c>
      <c r="C457" s="2" t="s">
        <v>1657</v>
      </c>
      <c r="D457" s="2" t="s">
        <v>1658</v>
      </c>
    </row>
    <row r="458">
      <c r="A458" s="2" t="s">
        <v>1655</v>
      </c>
      <c r="B458" s="2" t="s">
        <v>1702</v>
      </c>
      <c r="C458" s="2" t="s">
        <v>1657</v>
      </c>
      <c r="D458" s="2" t="s">
        <v>1658</v>
      </c>
    </row>
    <row r="459">
      <c r="A459" s="2" t="s">
        <v>1655</v>
      </c>
      <c r="B459" s="2" t="s">
        <v>1703</v>
      </c>
      <c r="C459" s="2" t="s">
        <v>1657</v>
      </c>
      <c r="D459" s="2" t="s">
        <v>1658</v>
      </c>
    </row>
    <row r="460">
      <c r="A460" s="2" t="s">
        <v>1655</v>
      </c>
      <c r="B460" s="2" t="s">
        <v>1704</v>
      </c>
      <c r="C460" s="2" t="s">
        <v>1657</v>
      </c>
      <c r="D460" s="2" t="s">
        <v>1658</v>
      </c>
    </row>
    <row r="461">
      <c r="A461" s="2" t="s">
        <v>1655</v>
      </c>
      <c r="B461" s="2" t="s">
        <v>1705</v>
      </c>
      <c r="C461" s="2" t="s">
        <v>1657</v>
      </c>
      <c r="D461" s="2" t="s">
        <v>1658</v>
      </c>
    </row>
    <row r="462">
      <c r="A462" s="2" t="s">
        <v>1655</v>
      </c>
      <c r="B462" s="2" t="s">
        <v>1706</v>
      </c>
      <c r="C462" s="2" t="s">
        <v>1657</v>
      </c>
      <c r="D462" s="2" t="s">
        <v>1658</v>
      </c>
    </row>
    <row r="463">
      <c r="A463" s="2" t="s">
        <v>1655</v>
      </c>
      <c r="B463" s="2" t="s">
        <v>1707</v>
      </c>
      <c r="C463" s="2" t="s">
        <v>1657</v>
      </c>
      <c r="D463" s="2" t="s">
        <v>1658</v>
      </c>
    </row>
    <row r="464">
      <c r="A464" s="2" t="s">
        <v>1655</v>
      </c>
      <c r="B464" s="2" t="s">
        <v>1708</v>
      </c>
      <c r="C464" s="2" t="s">
        <v>1657</v>
      </c>
      <c r="D464" s="2" t="s">
        <v>1658</v>
      </c>
    </row>
    <row r="465">
      <c r="A465" s="2" t="s">
        <v>1655</v>
      </c>
      <c r="B465" s="2" t="s">
        <v>1709</v>
      </c>
      <c r="C465" s="2" t="s">
        <v>1657</v>
      </c>
      <c r="D465" s="2" t="s">
        <v>1658</v>
      </c>
    </row>
    <row r="466">
      <c r="A466" s="2" t="s">
        <v>1655</v>
      </c>
      <c r="B466" s="2" t="s">
        <v>1710</v>
      </c>
      <c r="C466" s="2" t="s">
        <v>1657</v>
      </c>
      <c r="D466" s="2" t="s">
        <v>1658</v>
      </c>
    </row>
    <row r="467">
      <c r="A467" s="2" t="s">
        <v>1655</v>
      </c>
      <c r="B467" s="2" t="s">
        <v>1711</v>
      </c>
      <c r="C467" s="2" t="s">
        <v>1657</v>
      </c>
      <c r="D467" s="2" t="s">
        <v>1658</v>
      </c>
    </row>
    <row r="468">
      <c r="A468" s="2" t="s">
        <v>1655</v>
      </c>
      <c r="B468" s="2" t="s">
        <v>1712</v>
      </c>
      <c r="C468" s="2" t="s">
        <v>1657</v>
      </c>
      <c r="D468" s="2" t="s">
        <v>1658</v>
      </c>
    </row>
    <row r="469">
      <c r="A469" s="2" t="s">
        <v>1655</v>
      </c>
      <c r="B469" s="2" t="s">
        <v>1713</v>
      </c>
      <c r="C469" s="2" t="s">
        <v>1657</v>
      </c>
      <c r="D469" s="2" t="s">
        <v>1658</v>
      </c>
    </row>
    <row r="470">
      <c r="A470" s="2" t="s">
        <v>1655</v>
      </c>
      <c r="B470" s="2" t="s">
        <v>1714</v>
      </c>
      <c r="C470" s="2" t="s">
        <v>1657</v>
      </c>
      <c r="D470" s="2" t="s">
        <v>1658</v>
      </c>
    </row>
    <row r="471">
      <c r="A471" s="2" t="s">
        <v>1655</v>
      </c>
      <c r="B471" s="2" t="s">
        <v>1717</v>
      </c>
      <c r="C471" s="2" t="s">
        <v>1657</v>
      </c>
      <c r="D471" s="2" t="s">
        <v>1658</v>
      </c>
    </row>
    <row r="472">
      <c r="A472" s="2" t="s">
        <v>1655</v>
      </c>
      <c r="B472" s="2" t="s">
        <v>1718</v>
      </c>
      <c r="C472" s="2" t="s">
        <v>1657</v>
      </c>
      <c r="D472" s="2" t="s">
        <v>1658</v>
      </c>
    </row>
    <row r="473">
      <c r="A473" s="2" t="s">
        <v>1655</v>
      </c>
      <c r="B473" s="2" t="s">
        <v>1719</v>
      </c>
      <c r="C473" s="2" t="s">
        <v>1657</v>
      </c>
      <c r="D473" s="2" t="s">
        <v>1658</v>
      </c>
    </row>
    <row r="474">
      <c r="A474" s="2" t="s">
        <v>1655</v>
      </c>
      <c r="B474" s="2" t="s">
        <v>1720</v>
      </c>
      <c r="C474" s="2" t="s">
        <v>1657</v>
      </c>
      <c r="D474" s="2" t="s">
        <v>1658</v>
      </c>
    </row>
    <row r="475">
      <c r="A475" s="2" t="s">
        <v>1655</v>
      </c>
      <c r="B475" s="2" t="s">
        <v>1721</v>
      </c>
      <c r="C475" s="2" t="s">
        <v>1657</v>
      </c>
      <c r="D475" s="2" t="s">
        <v>1658</v>
      </c>
    </row>
    <row r="476">
      <c r="A476" s="2" t="s">
        <v>1655</v>
      </c>
      <c r="B476" s="2" t="s">
        <v>1723</v>
      </c>
      <c r="C476" s="2" t="s">
        <v>1657</v>
      </c>
      <c r="D476" s="2" t="s">
        <v>1658</v>
      </c>
    </row>
    <row r="477">
      <c r="A477" s="2" t="s">
        <v>1655</v>
      </c>
      <c r="B477" s="2" t="s">
        <v>1725</v>
      </c>
      <c r="C477" s="2" t="s">
        <v>1657</v>
      </c>
      <c r="D477" s="2" t="s">
        <v>1658</v>
      </c>
    </row>
    <row r="478">
      <c r="A478" s="2" t="s">
        <v>1655</v>
      </c>
      <c r="B478" s="2" t="s">
        <v>1727</v>
      </c>
      <c r="C478" s="2" t="s">
        <v>1657</v>
      </c>
      <c r="D478" s="2" t="s">
        <v>1658</v>
      </c>
    </row>
    <row r="479">
      <c r="A479" s="2" t="s">
        <v>1655</v>
      </c>
      <c r="B479" s="2" t="s">
        <v>1728</v>
      </c>
      <c r="C479" s="2" t="s">
        <v>1657</v>
      </c>
      <c r="D479" s="2" t="s">
        <v>1658</v>
      </c>
    </row>
    <row r="480">
      <c r="A480" s="2" t="s">
        <v>1655</v>
      </c>
      <c r="B480" s="2" t="s">
        <v>1729</v>
      </c>
      <c r="C480" s="2" t="s">
        <v>1657</v>
      </c>
      <c r="D480" s="2" t="s">
        <v>1658</v>
      </c>
    </row>
    <row r="481">
      <c r="A481" s="2" t="s">
        <v>1655</v>
      </c>
      <c r="B481" s="2" t="s">
        <v>1730</v>
      </c>
      <c r="C481" s="2" t="s">
        <v>1657</v>
      </c>
      <c r="D481" s="2" t="s">
        <v>1658</v>
      </c>
    </row>
    <row r="482">
      <c r="A482" s="2" t="s">
        <v>1655</v>
      </c>
      <c r="B482" s="2" t="s">
        <v>1731</v>
      </c>
      <c r="C482" s="2" t="s">
        <v>1657</v>
      </c>
      <c r="D482" s="2" t="s">
        <v>1658</v>
      </c>
    </row>
    <row r="483">
      <c r="A483" s="2" t="s">
        <v>1655</v>
      </c>
      <c r="B483" s="2" t="s">
        <v>1732</v>
      </c>
      <c r="C483" s="2" t="s">
        <v>1657</v>
      </c>
      <c r="D483" s="2" t="s">
        <v>1658</v>
      </c>
    </row>
    <row r="484">
      <c r="A484" s="2" t="s">
        <v>1655</v>
      </c>
      <c r="B484" s="2" t="s">
        <v>1733</v>
      </c>
      <c r="C484" s="2" t="s">
        <v>1657</v>
      </c>
      <c r="D484" s="2" t="s">
        <v>1658</v>
      </c>
    </row>
    <row r="485">
      <c r="A485" s="2" t="s">
        <v>1655</v>
      </c>
      <c r="B485" s="2" t="s">
        <v>1734</v>
      </c>
      <c r="C485" s="2" t="s">
        <v>1657</v>
      </c>
      <c r="D485" s="2" t="s">
        <v>1658</v>
      </c>
    </row>
    <row r="486">
      <c r="A486" s="2" t="s">
        <v>1655</v>
      </c>
      <c r="B486" s="2" t="s">
        <v>1735</v>
      </c>
      <c r="C486" s="2" t="s">
        <v>1657</v>
      </c>
      <c r="D486" s="2" t="s">
        <v>1658</v>
      </c>
    </row>
    <row r="487">
      <c r="A487" s="2" t="s">
        <v>1655</v>
      </c>
      <c r="B487" s="2" t="s">
        <v>1736</v>
      </c>
      <c r="C487" s="2" t="s">
        <v>1657</v>
      </c>
      <c r="D487" s="2" t="s">
        <v>1658</v>
      </c>
    </row>
    <row r="488">
      <c r="A488" s="2" t="s">
        <v>1655</v>
      </c>
      <c r="B488" s="2" t="s">
        <v>1737</v>
      </c>
      <c r="C488" s="2" t="s">
        <v>1657</v>
      </c>
      <c r="D488" s="2" t="s">
        <v>1658</v>
      </c>
    </row>
    <row r="489">
      <c r="A489" s="2" t="s">
        <v>1739</v>
      </c>
      <c r="B489" s="2" t="s">
        <v>1740</v>
      </c>
      <c r="C489" s="2" t="s">
        <v>1741</v>
      </c>
      <c r="D489" s="2" t="s">
        <v>1742</v>
      </c>
    </row>
    <row r="490">
      <c r="A490" s="2" t="s">
        <v>1739</v>
      </c>
      <c r="B490" s="2" t="s">
        <v>1743</v>
      </c>
      <c r="C490" s="2" t="s">
        <v>1741</v>
      </c>
      <c r="D490" s="2" t="s">
        <v>1742</v>
      </c>
    </row>
    <row r="491">
      <c r="A491" s="2" t="s">
        <v>1739</v>
      </c>
      <c r="B491" s="2" t="s">
        <v>1744</v>
      </c>
      <c r="C491" s="2" t="s">
        <v>1741</v>
      </c>
      <c r="D491" s="2" t="s">
        <v>1742</v>
      </c>
    </row>
    <row r="492">
      <c r="A492" s="2" t="s">
        <v>1739</v>
      </c>
      <c r="B492" s="2" t="s">
        <v>1745</v>
      </c>
      <c r="C492" s="2" t="s">
        <v>1741</v>
      </c>
      <c r="D492" s="2" t="s">
        <v>1742</v>
      </c>
    </row>
    <row r="493">
      <c r="A493" s="2" t="s">
        <v>1739</v>
      </c>
      <c r="B493" s="2" t="s">
        <v>1746</v>
      </c>
      <c r="C493" s="2" t="s">
        <v>1741</v>
      </c>
      <c r="D493" s="2" t="s">
        <v>1742</v>
      </c>
    </row>
    <row r="494">
      <c r="A494" s="2" t="s">
        <v>1739</v>
      </c>
      <c r="B494" s="2" t="s">
        <v>1748</v>
      </c>
      <c r="C494" s="2" t="s">
        <v>1741</v>
      </c>
      <c r="D494" s="2" t="s">
        <v>1742</v>
      </c>
    </row>
    <row r="495">
      <c r="A495" s="2" t="s">
        <v>1739</v>
      </c>
      <c r="B495" s="2" t="s">
        <v>1749</v>
      </c>
      <c r="C495" s="2" t="s">
        <v>1741</v>
      </c>
      <c r="D495" s="2" t="s">
        <v>1742</v>
      </c>
    </row>
    <row r="496">
      <c r="A496" s="2" t="s">
        <v>1739</v>
      </c>
      <c r="B496" s="2" t="s">
        <v>1751</v>
      </c>
      <c r="C496" s="2" t="s">
        <v>1741</v>
      </c>
      <c r="D496" s="2" t="s">
        <v>1742</v>
      </c>
    </row>
    <row r="497">
      <c r="A497" s="2" t="s">
        <v>1739</v>
      </c>
      <c r="B497" s="2" t="s">
        <v>1752</v>
      </c>
      <c r="C497" s="2" t="s">
        <v>1741</v>
      </c>
      <c r="D497" s="2" t="s">
        <v>1742</v>
      </c>
    </row>
    <row r="498">
      <c r="A498" s="2" t="s">
        <v>1739</v>
      </c>
      <c r="B498" s="2" t="s">
        <v>1753</v>
      </c>
      <c r="C498" s="2" t="s">
        <v>1741</v>
      </c>
      <c r="D498" s="2" t="s">
        <v>1742</v>
      </c>
    </row>
    <row r="499">
      <c r="A499" s="2" t="s">
        <v>1739</v>
      </c>
      <c r="B499" s="2" t="s">
        <v>1754</v>
      </c>
      <c r="C499" s="2" t="s">
        <v>1741</v>
      </c>
      <c r="D499" s="2" t="s">
        <v>1742</v>
      </c>
    </row>
    <row r="500">
      <c r="A500" s="2" t="s">
        <v>1739</v>
      </c>
      <c r="B500" s="2" t="s">
        <v>1755</v>
      </c>
      <c r="C500" s="2" t="s">
        <v>1741</v>
      </c>
      <c r="D500" s="2" t="s">
        <v>1742</v>
      </c>
    </row>
    <row r="501">
      <c r="A501" s="2" t="s">
        <v>1739</v>
      </c>
      <c r="B501" s="2" t="s">
        <v>1756</v>
      </c>
      <c r="C501" s="2" t="s">
        <v>1741</v>
      </c>
      <c r="D501" s="2" t="s">
        <v>1742</v>
      </c>
    </row>
    <row r="502">
      <c r="A502" s="2" t="s">
        <v>1739</v>
      </c>
      <c r="B502" s="2" t="s">
        <v>1758</v>
      </c>
      <c r="C502" s="2" t="s">
        <v>1741</v>
      </c>
      <c r="D502" s="2" t="s">
        <v>1742</v>
      </c>
    </row>
    <row r="503">
      <c r="A503" s="2" t="s">
        <v>1739</v>
      </c>
      <c r="B503" s="2" t="s">
        <v>1759</v>
      </c>
      <c r="C503" s="2" t="s">
        <v>1741</v>
      </c>
      <c r="D503" s="2" t="s">
        <v>1742</v>
      </c>
    </row>
    <row r="504">
      <c r="A504" s="2" t="s">
        <v>1739</v>
      </c>
      <c r="B504" s="2" t="s">
        <v>1760</v>
      </c>
      <c r="C504" s="2" t="s">
        <v>1741</v>
      </c>
      <c r="D504" s="2" t="s">
        <v>1742</v>
      </c>
    </row>
    <row r="505">
      <c r="A505" s="2" t="s">
        <v>1739</v>
      </c>
      <c r="B505" s="2" t="s">
        <v>1761</v>
      </c>
      <c r="C505" s="2" t="s">
        <v>1741</v>
      </c>
      <c r="D505" s="2" t="s">
        <v>1742</v>
      </c>
    </row>
    <row r="506">
      <c r="A506" s="2" t="s">
        <v>1739</v>
      </c>
      <c r="B506" s="2" t="s">
        <v>1762</v>
      </c>
      <c r="C506" s="2" t="s">
        <v>1741</v>
      </c>
      <c r="D506" s="2" t="s">
        <v>1742</v>
      </c>
    </row>
    <row r="507">
      <c r="A507" s="2" t="s">
        <v>1739</v>
      </c>
      <c r="B507" s="2" t="s">
        <v>1764</v>
      </c>
      <c r="C507" s="2" t="s">
        <v>1741</v>
      </c>
      <c r="D507" s="2" t="s">
        <v>1742</v>
      </c>
    </row>
    <row r="508">
      <c r="A508" s="2" t="s">
        <v>1739</v>
      </c>
      <c r="B508" s="2" t="s">
        <v>1765</v>
      </c>
      <c r="C508" s="2" t="s">
        <v>1741</v>
      </c>
      <c r="D508" s="2" t="s">
        <v>1742</v>
      </c>
    </row>
    <row r="509">
      <c r="A509" s="2" t="s">
        <v>1739</v>
      </c>
      <c r="B509" s="2" t="s">
        <v>1766</v>
      </c>
      <c r="C509" s="2" t="s">
        <v>1741</v>
      </c>
      <c r="D509" s="2" t="s">
        <v>1742</v>
      </c>
    </row>
    <row r="510">
      <c r="A510" s="2" t="s">
        <v>1739</v>
      </c>
      <c r="B510" s="2" t="s">
        <v>1767</v>
      </c>
      <c r="C510" s="2" t="s">
        <v>1741</v>
      </c>
      <c r="D510" s="2" t="s">
        <v>1742</v>
      </c>
    </row>
    <row r="511">
      <c r="A511" s="2" t="s">
        <v>1739</v>
      </c>
      <c r="B511" s="2" t="s">
        <v>1768</v>
      </c>
      <c r="C511" s="2" t="s">
        <v>1741</v>
      </c>
      <c r="D511" s="2" t="s">
        <v>1742</v>
      </c>
    </row>
    <row r="512">
      <c r="A512" s="2" t="s">
        <v>1739</v>
      </c>
      <c r="B512" s="2" t="s">
        <v>1769</v>
      </c>
      <c r="C512" s="2" t="s">
        <v>1741</v>
      </c>
      <c r="D512" s="2" t="s">
        <v>1742</v>
      </c>
    </row>
    <row r="513">
      <c r="A513" s="2" t="s">
        <v>1739</v>
      </c>
      <c r="B513" s="2" t="s">
        <v>1771</v>
      </c>
      <c r="C513" s="2" t="s">
        <v>1741</v>
      </c>
      <c r="D513" s="2" t="s">
        <v>1742</v>
      </c>
    </row>
    <row r="514">
      <c r="A514" s="2" t="s">
        <v>1739</v>
      </c>
      <c r="B514" s="2" t="s">
        <v>1772</v>
      </c>
      <c r="C514" s="2" t="s">
        <v>1741</v>
      </c>
      <c r="D514" s="2" t="s">
        <v>1742</v>
      </c>
    </row>
    <row r="515">
      <c r="A515" s="2" t="s">
        <v>1739</v>
      </c>
      <c r="B515" s="2" t="s">
        <v>1773</v>
      </c>
      <c r="C515" s="2" t="s">
        <v>1741</v>
      </c>
      <c r="D515" s="2" t="s">
        <v>1742</v>
      </c>
    </row>
    <row r="516">
      <c r="A516" s="2" t="s">
        <v>1739</v>
      </c>
      <c r="B516" s="2" t="s">
        <v>1774</v>
      </c>
      <c r="C516" s="2" t="s">
        <v>1741</v>
      </c>
      <c r="D516" s="2" t="s">
        <v>1742</v>
      </c>
    </row>
    <row r="517">
      <c r="A517" s="2" t="s">
        <v>1739</v>
      </c>
      <c r="B517" s="2" t="s">
        <v>1775</v>
      </c>
      <c r="C517" s="2" t="s">
        <v>1741</v>
      </c>
      <c r="D517" s="2" t="s">
        <v>1742</v>
      </c>
    </row>
    <row r="518">
      <c r="A518" s="2" t="s">
        <v>1739</v>
      </c>
      <c r="B518" s="2" t="s">
        <v>1776</v>
      </c>
      <c r="C518" s="2" t="s">
        <v>1741</v>
      </c>
      <c r="D518" s="2" t="s">
        <v>1742</v>
      </c>
    </row>
    <row r="519">
      <c r="A519" s="2" t="s">
        <v>1739</v>
      </c>
      <c r="B519" s="2" t="s">
        <v>1778</v>
      </c>
      <c r="C519" s="2" t="s">
        <v>1741</v>
      </c>
      <c r="D519" s="2" t="s">
        <v>1742</v>
      </c>
    </row>
    <row r="520">
      <c r="A520" s="2" t="s">
        <v>1739</v>
      </c>
      <c r="B520" s="2" t="s">
        <v>1779</v>
      </c>
      <c r="C520" s="2" t="s">
        <v>1741</v>
      </c>
      <c r="D520" s="2" t="s">
        <v>1742</v>
      </c>
    </row>
    <row r="521">
      <c r="A521" s="2" t="s">
        <v>1739</v>
      </c>
      <c r="B521" s="2" t="s">
        <v>1780</v>
      </c>
      <c r="C521" s="2" t="s">
        <v>1741</v>
      </c>
      <c r="D521" s="2" t="s">
        <v>1742</v>
      </c>
    </row>
    <row r="522">
      <c r="A522" s="2" t="s">
        <v>1739</v>
      </c>
      <c r="B522" s="2" t="s">
        <v>1781</v>
      </c>
      <c r="C522" s="2" t="s">
        <v>1741</v>
      </c>
      <c r="D522" s="2" t="s">
        <v>1742</v>
      </c>
    </row>
    <row r="523">
      <c r="A523" s="2" t="s">
        <v>1739</v>
      </c>
      <c r="B523" s="2" t="s">
        <v>1782</v>
      </c>
      <c r="C523" s="2" t="s">
        <v>1741</v>
      </c>
      <c r="D523" s="2" t="s">
        <v>1742</v>
      </c>
    </row>
    <row r="524">
      <c r="A524" s="2" t="s">
        <v>1739</v>
      </c>
      <c r="B524" s="2" t="s">
        <v>1783</v>
      </c>
      <c r="C524" s="2" t="s">
        <v>1741</v>
      </c>
      <c r="D524" s="2" t="s">
        <v>1742</v>
      </c>
    </row>
    <row r="525">
      <c r="A525" s="2" t="s">
        <v>1739</v>
      </c>
      <c r="B525" s="2" t="s">
        <v>1786</v>
      </c>
      <c r="C525" s="2" t="s">
        <v>1741</v>
      </c>
      <c r="D525" s="2" t="s">
        <v>1742</v>
      </c>
    </row>
    <row r="526">
      <c r="A526" s="2" t="s">
        <v>1739</v>
      </c>
      <c r="B526" s="2" t="s">
        <v>1787</v>
      </c>
      <c r="C526" s="2" t="s">
        <v>1741</v>
      </c>
      <c r="D526" s="2" t="s">
        <v>1742</v>
      </c>
    </row>
    <row r="527">
      <c r="A527" s="2" t="s">
        <v>1739</v>
      </c>
      <c r="B527" s="2" t="s">
        <v>1788</v>
      </c>
      <c r="C527" s="2" t="s">
        <v>1741</v>
      </c>
      <c r="D527" s="2" t="s">
        <v>1742</v>
      </c>
    </row>
    <row r="528">
      <c r="A528" s="2" t="s">
        <v>1739</v>
      </c>
      <c r="B528" s="2" t="s">
        <v>1789</v>
      </c>
      <c r="C528" s="2" t="s">
        <v>1741</v>
      </c>
      <c r="D528" s="2" t="s">
        <v>1742</v>
      </c>
    </row>
    <row r="529">
      <c r="A529" s="2" t="s">
        <v>1739</v>
      </c>
      <c r="B529" s="2" t="s">
        <v>1790</v>
      </c>
      <c r="C529" s="2" t="s">
        <v>1741</v>
      </c>
      <c r="D529" s="2" t="s">
        <v>1742</v>
      </c>
    </row>
    <row r="530">
      <c r="A530" s="2" t="s">
        <v>1739</v>
      </c>
      <c r="B530" s="2" t="s">
        <v>1792</v>
      </c>
      <c r="C530" s="2" t="s">
        <v>1741</v>
      </c>
      <c r="D530" s="2" t="s">
        <v>1742</v>
      </c>
    </row>
    <row r="531">
      <c r="A531" s="2" t="s">
        <v>1739</v>
      </c>
      <c r="B531" s="2" t="s">
        <v>1793</v>
      </c>
      <c r="C531" s="2" t="s">
        <v>1741</v>
      </c>
      <c r="D531" s="2" t="s">
        <v>1742</v>
      </c>
    </row>
    <row r="532">
      <c r="A532" s="2" t="s">
        <v>1739</v>
      </c>
      <c r="B532" s="2" t="s">
        <v>1794</v>
      </c>
      <c r="C532" s="2" t="s">
        <v>1741</v>
      </c>
      <c r="D532" s="2" t="s">
        <v>1742</v>
      </c>
    </row>
    <row r="533">
      <c r="A533" s="2" t="s">
        <v>1739</v>
      </c>
      <c r="B533" s="2" t="s">
        <v>1795</v>
      </c>
      <c r="C533" s="2" t="s">
        <v>1741</v>
      </c>
      <c r="D533" s="2" t="s">
        <v>1742</v>
      </c>
    </row>
    <row r="534">
      <c r="A534" s="2" t="s">
        <v>1739</v>
      </c>
      <c r="B534" s="2" t="s">
        <v>1796</v>
      </c>
      <c r="C534" s="2" t="s">
        <v>1741</v>
      </c>
      <c r="D534" s="2" t="s">
        <v>1742</v>
      </c>
    </row>
    <row r="535">
      <c r="A535" s="2" t="s">
        <v>1739</v>
      </c>
      <c r="B535" s="2" t="s">
        <v>1797</v>
      </c>
      <c r="C535" s="2" t="s">
        <v>1741</v>
      </c>
      <c r="D535" s="2" t="s">
        <v>1742</v>
      </c>
    </row>
    <row r="536">
      <c r="A536" s="2" t="s">
        <v>1739</v>
      </c>
      <c r="B536" s="2" t="s">
        <v>1798</v>
      </c>
      <c r="C536" s="2" t="s">
        <v>1741</v>
      </c>
      <c r="D536" s="2" t="s">
        <v>1742</v>
      </c>
    </row>
    <row r="537">
      <c r="A537" s="2" t="s">
        <v>1739</v>
      </c>
      <c r="B537" s="2" t="s">
        <v>1799</v>
      </c>
      <c r="C537" s="2" t="s">
        <v>1741</v>
      </c>
      <c r="D537" s="2" t="s">
        <v>1742</v>
      </c>
    </row>
    <row r="538">
      <c r="A538" s="2" t="s">
        <v>1739</v>
      </c>
      <c r="B538" s="2" t="s">
        <v>1800</v>
      </c>
      <c r="C538" s="2" t="s">
        <v>1741</v>
      </c>
      <c r="D538" s="2" t="s">
        <v>1742</v>
      </c>
    </row>
    <row r="539">
      <c r="A539" s="2" t="s">
        <v>1739</v>
      </c>
      <c r="B539" s="2" t="s">
        <v>1801</v>
      </c>
      <c r="C539" s="2" t="s">
        <v>1741</v>
      </c>
      <c r="D539" s="2" t="s">
        <v>1742</v>
      </c>
    </row>
    <row r="540">
      <c r="A540" s="2" t="s">
        <v>1739</v>
      </c>
      <c r="B540" s="2" t="s">
        <v>1802</v>
      </c>
      <c r="C540" s="2" t="s">
        <v>1741</v>
      </c>
      <c r="D540" s="2" t="s">
        <v>1742</v>
      </c>
    </row>
    <row r="541">
      <c r="A541" s="2" t="s">
        <v>1739</v>
      </c>
      <c r="B541" s="2" t="s">
        <v>1803</v>
      </c>
      <c r="C541" s="2" t="s">
        <v>1741</v>
      </c>
      <c r="D541" s="2" t="s">
        <v>1742</v>
      </c>
    </row>
    <row r="542">
      <c r="A542" s="2" t="s">
        <v>1739</v>
      </c>
      <c r="B542" s="2" t="s">
        <v>1804</v>
      </c>
      <c r="C542" s="2" t="s">
        <v>1741</v>
      </c>
      <c r="D542" s="2" t="s">
        <v>1742</v>
      </c>
    </row>
    <row r="543">
      <c r="A543" s="2" t="s">
        <v>1739</v>
      </c>
      <c r="B543" s="2" t="s">
        <v>1807</v>
      </c>
      <c r="C543" s="2" t="s">
        <v>1741</v>
      </c>
      <c r="D543" s="2" t="s">
        <v>1742</v>
      </c>
    </row>
    <row r="544">
      <c r="A544" s="2" t="s">
        <v>1739</v>
      </c>
      <c r="B544" s="2" t="s">
        <v>1808</v>
      </c>
      <c r="C544" s="2" t="s">
        <v>1741</v>
      </c>
      <c r="D544" s="2" t="s">
        <v>1742</v>
      </c>
    </row>
    <row r="545">
      <c r="A545" s="2" t="s">
        <v>1739</v>
      </c>
      <c r="B545" s="2" t="s">
        <v>1809</v>
      </c>
      <c r="C545" s="2" t="s">
        <v>1741</v>
      </c>
      <c r="D545" s="2" t="s">
        <v>1742</v>
      </c>
    </row>
    <row r="546">
      <c r="A546" s="2" t="s">
        <v>1739</v>
      </c>
      <c r="B546" s="2" t="s">
        <v>1810</v>
      </c>
      <c r="C546" s="2" t="s">
        <v>1741</v>
      </c>
      <c r="D546" s="2" t="s">
        <v>1742</v>
      </c>
    </row>
    <row r="547">
      <c r="A547" s="2" t="s">
        <v>1739</v>
      </c>
      <c r="B547" s="2" t="s">
        <v>1811</v>
      </c>
      <c r="C547" s="2" t="s">
        <v>1741</v>
      </c>
      <c r="D547" s="2" t="s">
        <v>1742</v>
      </c>
    </row>
    <row r="548">
      <c r="A548" s="2" t="s">
        <v>1739</v>
      </c>
      <c r="B548" s="2" t="s">
        <v>1813</v>
      </c>
      <c r="C548" s="2" t="s">
        <v>1741</v>
      </c>
      <c r="D548" s="2" t="s">
        <v>1742</v>
      </c>
    </row>
    <row r="549">
      <c r="A549" s="2" t="s">
        <v>1739</v>
      </c>
      <c r="B549" s="2" t="s">
        <v>1816</v>
      </c>
      <c r="C549" s="2" t="s">
        <v>1741</v>
      </c>
      <c r="D549" s="2" t="s">
        <v>1742</v>
      </c>
    </row>
    <row r="550">
      <c r="A550" s="2" t="s">
        <v>1739</v>
      </c>
      <c r="B550" s="2" t="s">
        <v>1817</v>
      </c>
      <c r="C550" s="2" t="s">
        <v>1741</v>
      </c>
      <c r="D550" s="2" t="s">
        <v>1742</v>
      </c>
    </row>
    <row r="551">
      <c r="A551" s="2" t="s">
        <v>1739</v>
      </c>
      <c r="B551" s="2" t="s">
        <v>1818</v>
      </c>
      <c r="C551" s="2" t="s">
        <v>1741</v>
      </c>
      <c r="D551" s="2" t="s">
        <v>1742</v>
      </c>
    </row>
    <row r="552">
      <c r="A552" s="2" t="s">
        <v>1739</v>
      </c>
      <c r="B552" s="2" t="s">
        <v>1819</v>
      </c>
      <c r="C552" s="2" t="s">
        <v>1741</v>
      </c>
      <c r="D552" s="2" t="s">
        <v>1742</v>
      </c>
    </row>
    <row r="553">
      <c r="A553" s="2" t="s">
        <v>1739</v>
      </c>
      <c r="B553" s="2" t="s">
        <v>1820</v>
      </c>
      <c r="C553" s="2" t="s">
        <v>1741</v>
      </c>
      <c r="D553" s="2" t="s">
        <v>1742</v>
      </c>
    </row>
    <row r="554">
      <c r="A554" s="2" t="s">
        <v>1739</v>
      </c>
      <c r="B554" s="2" t="s">
        <v>1821</v>
      </c>
      <c r="C554" s="2" t="s">
        <v>1741</v>
      </c>
      <c r="D554" s="2" t="s">
        <v>1742</v>
      </c>
    </row>
    <row r="555">
      <c r="A555" s="2" t="s">
        <v>1739</v>
      </c>
      <c r="B555" s="2" t="s">
        <v>1822</v>
      </c>
      <c r="C555" s="2" t="s">
        <v>1741</v>
      </c>
      <c r="D555" s="2" t="s">
        <v>1742</v>
      </c>
    </row>
    <row r="556">
      <c r="A556" s="2" t="s">
        <v>1739</v>
      </c>
      <c r="B556" s="2" t="s">
        <v>1823</v>
      </c>
      <c r="C556" s="2" t="s">
        <v>1741</v>
      </c>
      <c r="D556" s="2" t="s">
        <v>1742</v>
      </c>
    </row>
    <row r="557">
      <c r="A557" s="2" t="s">
        <v>1739</v>
      </c>
      <c r="B557" s="2" t="s">
        <v>1824</v>
      </c>
      <c r="C557" s="2" t="s">
        <v>1741</v>
      </c>
      <c r="D557" s="2" t="s">
        <v>1742</v>
      </c>
    </row>
    <row r="558">
      <c r="A558" s="2" t="s">
        <v>1739</v>
      </c>
      <c r="B558" s="2" t="s">
        <v>1825</v>
      </c>
      <c r="C558" s="2" t="s">
        <v>1741</v>
      </c>
      <c r="D558" s="2" t="s">
        <v>1742</v>
      </c>
    </row>
    <row r="559">
      <c r="A559" s="2" t="s">
        <v>1739</v>
      </c>
      <c r="B559" s="2" t="s">
        <v>1826</v>
      </c>
      <c r="C559" s="2" t="s">
        <v>1741</v>
      </c>
      <c r="D559" s="2" t="s">
        <v>1742</v>
      </c>
    </row>
    <row r="560">
      <c r="A560" s="2" t="s">
        <v>1739</v>
      </c>
      <c r="B560" s="2" t="s">
        <v>1827</v>
      </c>
      <c r="C560" s="2" t="s">
        <v>1741</v>
      </c>
      <c r="D560" s="2" t="s">
        <v>1742</v>
      </c>
    </row>
    <row r="561">
      <c r="A561" s="2" t="s">
        <v>1739</v>
      </c>
      <c r="B561" s="2" t="s">
        <v>1828</v>
      </c>
      <c r="C561" s="2" t="s">
        <v>1741</v>
      </c>
      <c r="D561" s="2" t="s">
        <v>1742</v>
      </c>
    </row>
    <row r="562">
      <c r="A562" s="2" t="s">
        <v>1739</v>
      </c>
      <c r="B562" s="2" t="s">
        <v>1829</v>
      </c>
      <c r="C562" s="2" t="s">
        <v>1741</v>
      </c>
      <c r="D562" s="2" t="s">
        <v>1742</v>
      </c>
    </row>
    <row r="563">
      <c r="A563" s="2" t="s">
        <v>1739</v>
      </c>
      <c r="B563" s="2" t="s">
        <v>1830</v>
      </c>
      <c r="C563" s="2" t="s">
        <v>1741</v>
      </c>
      <c r="D563" s="2" t="s">
        <v>1742</v>
      </c>
    </row>
    <row r="564">
      <c r="A564" s="2" t="s">
        <v>1739</v>
      </c>
      <c r="B564" s="2" t="s">
        <v>1832</v>
      </c>
      <c r="C564" s="2" t="s">
        <v>1741</v>
      </c>
      <c r="D564" s="2" t="s">
        <v>1742</v>
      </c>
    </row>
    <row r="565">
      <c r="A565" s="2" t="s">
        <v>1739</v>
      </c>
      <c r="B565" s="2" t="s">
        <v>1833</v>
      </c>
      <c r="C565" s="2" t="s">
        <v>1741</v>
      </c>
      <c r="D565" s="2" t="s">
        <v>1742</v>
      </c>
    </row>
    <row r="566">
      <c r="A566" s="2" t="s">
        <v>1739</v>
      </c>
      <c r="B566" s="2" t="s">
        <v>1834</v>
      </c>
      <c r="C566" s="2" t="s">
        <v>1741</v>
      </c>
      <c r="D566" s="2" t="s">
        <v>1742</v>
      </c>
    </row>
    <row r="567">
      <c r="A567" s="2" t="s">
        <v>1739</v>
      </c>
      <c r="B567" s="2" t="s">
        <v>1835</v>
      </c>
      <c r="C567" s="2" t="s">
        <v>1741</v>
      </c>
      <c r="D567" s="2" t="s">
        <v>1742</v>
      </c>
    </row>
    <row r="568">
      <c r="A568" s="2" t="s">
        <v>1739</v>
      </c>
      <c r="B568" s="2" t="s">
        <v>1837</v>
      </c>
      <c r="C568" s="2" t="s">
        <v>1741</v>
      </c>
      <c r="D568" s="2" t="s">
        <v>1742</v>
      </c>
    </row>
    <row r="569">
      <c r="A569" s="2" t="s">
        <v>1739</v>
      </c>
      <c r="B569" s="2" t="s">
        <v>1839</v>
      </c>
      <c r="C569" s="2" t="s">
        <v>1741</v>
      </c>
      <c r="D569" s="2" t="s">
        <v>1742</v>
      </c>
    </row>
    <row r="570">
      <c r="A570" s="2" t="s">
        <v>1739</v>
      </c>
      <c r="B570" s="2" t="s">
        <v>1840</v>
      </c>
      <c r="C570" s="2" t="s">
        <v>1741</v>
      </c>
      <c r="D570" s="2" t="s">
        <v>1742</v>
      </c>
    </row>
    <row r="571">
      <c r="A571" s="2" t="s">
        <v>1739</v>
      </c>
      <c r="B571" s="2" t="s">
        <v>1841</v>
      </c>
      <c r="C571" s="2" t="s">
        <v>1741</v>
      </c>
      <c r="D571" s="2" t="s">
        <v>1742</v>
      </c>
    </row>
    <row r="572">
      <c r="A572" s="2" t="s">
        <v>1739</v>
      </c>
      <c r="B572" s="2" t="s">
        <v>1842</v>
      </c>
      <c r="C572" s="2" t="s">
        <v>1741</v>
      </c>
      <c r="D572" s="2" t="s">
        <v>1742</v>
      </c>
    </row>
    <row r="573">
      <c r="A573" s="2" t="s">
        <v>1739</v>
      </c>
      <c r="B573" s="2" t="s">
        <v>1843</v>
      </c>
      <c r="C573" s="2" t="s">
        <v>1741</v>
      </c>
      <c r="D573" s="2" t="s">
        <v>1742</v>
      </c>
    </row>
    <row r="574">
      <c r="A574" s="2" t="s">
        <v>1739</v>
      </c>
      <c r="B574" s="2" t="s">
        <v>1844</v>
      </c>
      <c r="C574" s="2" t="s">
        <v>1741</v>
      </c>
      <c r="D574" s="2" t="s">
        <v>1742</v>
      </c>
    </row>
    <row r="575">
      <c r="A575" s="2" t="s">
        <v>1739</v>
      </c>
      <c r="B575" s="2" t="s">
        <v>1845</v>
      </c>
      <c r="C575" s="2" t="s">
        <v>1741</v>
      </c>
      <c r="D575" s="2" t="s">
        <v>1742</v>
      </c>
    </row>
    <row r="576">
      <c r="A576" s="2" t="s">
        <v>1739</v>
      </c>
      <c r="B576" s="2" t="s">
        <v>1846</v>
      </c>
      <c r="C576" s="2" t="s">
        <v>1741</v>
      </c>
      <c r="D576" s="2" t="s">
        <v>1742</v>
      </c>
    </row>
    <row r="577">
      <c r="A577" s="2" t="s">
        <v>1739</v>
      </c>
      <c r="B577" s="2" t="s">
        <v>1847</v>
      </c>
      <c r="C577" s="2" t="s">
        <v>1741</v>
      </c>
      <c r="D577" s="2" t="s">
        <v>1742</v>
      </c>
    </row>
    <row r="578">
      <c r="A578" s="2" t="s">
        <v>1739</v>
      </c>
      <c r="B578" s="2" t="s">
        <v>1848</v>
      </c>
      <c r="C578" s="2" t="s">
        <v>1741</v>
      </c>
      <c r="D578" s="2" t="s">
        <v>1742</v>
      </c>
    </row>
    <row r="579">
      <c r="A579" s="2" t="s">
        <v>1739</v>
      </c>
      <c r="B579" s="2" t="s">
        <v>1849</v>
      </c>
      <c r="C579" s="2" t="s">
        <v>1741</v>
      </c>
      <c r="D579" s="2" t="s">
        <v>1742</v>
      </c>
    </row>
    <row r="580">
      <c r="A580" s="2" t="s">
        <v>1739</v>
      </c>
      <c r="B580" s="2" t="s">
        <v>1850</v>
      </c>
      <c r="C580" s="2" t="s">
        <v>1741</v>
      </c>
      <c r="D580" s="2" t="s">
        <v>1742</v>
      </c>
    </row>
    <row r="581">
      <c r="A581" s="2" t="s">
        <v>1739</v>
      </c>
      <c r="B581" s="2" t="s">
        <v>1851</v>
      </c>
      <c r="C581" s="2" t="s">
        <v>1741</v>
      </c>
      <c r="D581" s="2" t="s">
        <v>1742</v>
      </c>
    </row>
    <row r="582">
      <c r="A582" s="2" t="s">
        <v>1739</v>
      </c>
      <c r="B582" s="2" t="s">
        <v>1852</v>
      </c>
      <c r="C582" s="2" t="s">
        <v>1741</v>
      </c>
      <c r="D582" s="2" t="s">
        <v>1742</v>
      </c>
    </row>
    <row r="583">
      <c r="A583" s="2" t="s">
        <v>1739</v>
      </c>
      <c r="B583" s="2" t="s">
        <v>1854</v>
      </c>
      <c r="C583" s="2" t="s">
        <v>1741</v>
      </c>
      <c r="D583" s="2" t="s">
        <v>1742</v>
      </c>
    </row>
    <row r="584">
      <c r="A584" s="2" t="s">
        <v>1739</v>
      </c>
      <c r="B584" s="2" t="s">
        <v>1855</v>
      </c>
      <c r="C584" s="2" t="s">
        <v>1741</v>
      </c>
      <c r="D584" s="2" t="s">
        <v>1742</v>
      </c>
    </row>
    <row r="585">
      <c r="A585" s="2" t="s">
        <v>1739</v>
      </c>
      <c r="B585" s="2" t="s">
        <v>1856</v>
      </c>
      <c r="C585" s="2" t="s">
        <v>1741</v>
      </c>
      <c r="D585" s="2" t="s">
        <v>1742</v>
      </c>
    </row>
    <row r="586">
      <c r="A586" s="2" t="s">
        <v>1739</v>
      </c>
      <c r="B586" s="2" t="s">
        <v>1857</v>
      </c>
      <c r="C586" s="2" t="s">
        <v>1741</v>
      </c>
      <c r="D586" s="2" t="s">
        <v>1742</v>
      </c>
    </row>
    <row r="587">
      <c r="A587" s="2" t="s">
        <v>1739</v>
      </c>
      <c r="B587" s="2" t="s">
        <v>1858</v>
      </c>
      <c r="C587" s="2" t="s">
        <v>1741</v>
      </c>
      <c r="D587" s="2" t="s">
        <v>1742</v>
      </c>
    </row>
    <row r="588">
      <c r="A588" s="2" t="s">
        <v>1739</v>
      </c>
      <c r="B588" s="2" t="s">
        <v>1859</v>
      </c>
      <c r="C588" s="2" t="s">
        <v>1741</v>
      </c>
      <c r="D588" s="2" t="s">
        <v>1742</v>
      </c>
    </row>
    <row r="589">
      <c r="A589" s="2" t="s">
        <v>1739</v>
      </c>
      <c r="B589" s="2" t="s">
        <v>1860</v>
      </c>
      <c r="G589" s="2" t="s">
        <v>1862</v>
      </c>
    </row>
    <row r="590">
      <c r="A590" s="2" t="s">
        <v>1739</v>
      </c>
      <c r="B590" s="2" t="s">
        <v>1863</v>
      </c>
      <c r="G590" s="2" t="s">
        <v>1862</v>
      </c>
    </row>
    <row r="591">
      <c r="A591" s="2" t="s">
        <v>1739</v>
      </c>
      <c r="B591" s="2" t="s">
        <v>1864</v>
      </c>
      <c r="G591" s="2" t="s">
        <v>1862</v>
      </c>
    </row>
    <row r="592">
      <c r="A592" s="2" t="s">
        <v>1739</v>
      </c>
      <c r="B592" s="2" t="s">
        <v>1866</v>
      </c>
      <c r="G592" s="2" t="s">
        <v>1862</v>
      </c>
    </row>
    <row r="593">
      <c r="A593" s="2" t="s">
        <v>1739</v>
      </c>
      <c r="B593" s="2" t="s">
        <v>1867</v>
      </c>
      <c r="G593" s="2" t="s">
        <v>1862</v>
      </c>
    </row>
    <row r="594">
      <c r="A594" s="2" t="s">
        <v>1739</v>
      </c>
      <c r="B594" s="2" t="s">
        <v>1868</v>
      </c>
      <c r="G594" s="2" t="s">
        <v>1862</v>
      </c>
    </row>
    <row r="595">
      <c r="A595" s="2" t="s">
        <v>1739</v>
      </c>
      <c r="B595" s="2" t="s">
        <v>1869</v>
      </c>
      <c r="G595" s="2" t="s">
        <v>1862</v>
      </c>
    </row>
    <row r="596">
      <c r="A596" s="2" t="s">
        <v>1739</v>
      </c>
      <c r="B596" s="2" t="s">
        <v>1870</v>
      </c>
      <c r="G596" s="2" t="s">
        <v>1862</v>
      </c>
    </row>
    <row r="597">
      <c r="A597" s="2" t="s">
        <v>1739</v>
      </c>
      <c r="B597" s="2" t="s">
        <v>1871</v>
      </c>
      <c r="G597" s="2" t="s">
        <v>1862</v>
      </c>
    </row>
    <row r="598">
      <c r="A598" s="2" t="s">
        <v>1739</v>
      </c>
      <c r="B598" s="2" t="s">
        <v>1872</v>
      </c>
      <c r="G598" s="2" t="s">
        <v>1862</v>
      </c>
    </row>
    <row r="599">
      <c r="A599" s="2" t="s">
        <v>1739</v>
      </c>
      <c r="B599" s="2" t="s">
        <v>1873</v>
      </c>
      <c r="G599" s="2" t="s">
        <v>1862</v>
      </c>
    </row>
    <row r="600">
      <c r="A600" s="2" t="s">
        <v>1739</v>
      </c>
      <c r="B600" s="2" t="s">
        <v>1874</v>
      </c>
      <c r="G600" s="2" t="s">
        <v>1862</v>
      </c>
    </row>
    <row r="601">
      <c r="A601" s="2" t="s">
        <v>1739</v>
      </c>
      <c r="B601" s="2" t="s">
        <v>1875</v>
      </c>
      <c r="G601" s="2" t="s">
        <v>1862</v>
      </c>
    </row>
    <row r="602">
      <c r="A602" s="2" t="s">
        <v>1739</v>
      </c>
      <c r="B602" s="2" t="s">
        <v>1876</v>
      </c>
      <c r="G602" s="2" t="s">
        <v>1862</v>
      </c>
    </row>
    <row r="603">
      <c r="A603" s="2" t="s">
        <v>1739</v>
      </c>
      <c r="B603" s="2" t="s">
        <v>1877</v>
      </c>
      <c r="G603" s="2" t="s">
        <v>1862</v>
      </c>
    </row>
    <row r="604">
      <c r="A604" s="2" t="s">
        <v>1739</v>
      </c>
      <c r="B604" s="2" t="s">
        <v>1879</v>
      </c>
      <c r="G604" s="2" t="s">
        <v>1862</v>
      </c>
    </row>
    <row r="605">
      <c r="A605" s="2" t="s">
        <v>1739</v>
      </c>
      <c r="B605" s="2" t="s">
        <v>1880</v>
      </c>
      <c r="G605" s="2" t="s">
        <v>1862</v>
      </c>
    </row>
    <row r="606">
      <c r="A606" s="2" t="s">
        <v>1739</v>
      </c>
      <c r="B606" s="2" t="s">
        <v>1881</v>
      </c>
      <c r="G606" s="2" t="s">
        <v>1862</v>
      </c>
    </row>
    <row r="607">
      <c r="A607" s="2" t="s">
        <v>1739</v>
      </c>
      <c r="B607" s="2" t="s">
        <v>1882</v>
      </c>
      <c r="G607" s="2" t="s">
        <v>1862</v>
      </c>
    </row>
    <row r="608">
      <c r="A608" s="2" t="s">
        <v>1739</v>
      </c>
      <c r="B608" s="2" t="s">
        <v>1883</v>
      </c>
      <c r="G608" s="2" t="s">
        <v>1862</v>
      </c>
    </row>
    <row r="609">
      <c r="A609" s="2" t="s">
        <v>1739</v>
      </c>
      <c r="B609" s="2" t="s">
        <v>1885</v>
      </c>
      <c r="G609" s="2" t="s">
        <v>1862</v>
      </c>
    </row>
    <row r="610">
      <c r="A610" s="2" t="s">
        <v>1739</v>
      </c>
      <c r="B610" s="2" t="s">
        <v>1886</v>
      </c>
      <c r="G610" s="2" t="s">
        <v>1862</v>
      </c>
    </row>
    <row r="611">
      <c r="A611" s="2" t="s">
        <v>1739</v>
      </c>
      <c r="B611" s="2" t="s">
        <v>1887</v>
      </c>
      <c r="G611" s="2" t="s">
        <v>1862</v>
      </c>
    </row>
    <row r="612">
      <c r="A612" s="2" t="s">
        <v>1739</v>
      </c>
      <c r="B612" s="2" t="s">
        <v>1888</v>
      </c>
      <c r="G612" s="2" t="s">
        <v>1862</v>
      </c>
    </row>
    <row r="613">
      <c r="A613" s="2" t="s">
        <v>1739</v>
      </c>
      <c r="B613" s="2" t="s">
        <v>1889</v>
      </c>
      <c r="G613" s="2" t="s">
        <v>1862</v>
      </c>
    </row>
    <row r="614">
      <c r="A614" s="2" t="s">
        <v>1739</v>
      </c>
      <c r="B614" s="2" t="s">
        <v>1891</v>
      </c>
      <c r="G614" s="2" t="s">
        <v>1862</v>
      </c>
    </row>
    <row r="615">
      <c r="A615" s="2" t="s">
        <v>1739</v>
      </c>
      <c r="B615" s="2" t="s">
        <v>1892</v>
      </c>
      <c r="G615" s="2" t="s">
        <v>1862</v>
      </c>
    </row>
    <row r="616">
      <c r="A616" s="2" t="s">
        <v>1739</v>
      </c>
      <c r="B616" s="2" t="s">
        <v>1893</v>
      </c>
      <c r="G616" s="2" t="s">
        <v>1862</v>
      </c>
    </row>
    <row r="617">
      <c r="A617" s="2" t="s">
        <v>1739</v>
      </c>
      <c r="B617" s="2" t="s">
        <v>1894</v>
      </c>
      <c r="G617" s="2" t="s">
        <v>1862</v>
      </c>
    </row>
    <row r="618">
      <c r="A618" s="2" t="s">
        <v>1739</v>
      </c>
      <c r="B618" s="2" t="s">
        <v>1895</v>
      </c>
      <c r="G618" s="2" t="s">
        <v>1862</v>
      </c>
    </row>
    <row r="619">
      <c r="A619" s="2" t="s">
        <v>1739</v>
      </c>
      <c r="B619" s="2" t="s">
        <v>1896</v>
      </c>
      <c r="G619" s="2" t="s">
        <v>1862</v>
      </c>
    </row>
    <row r="620">
      <c r="A620" s="2" t="s">
        <v>1739</v>
      </c>
      <c r="B620" s="2" t="s">
        <v>1898</v>
      </c>
      <c r="G620" s="2" t="s">
        <v>1862</v>
      </c>
    </row>
    <row r="621">
      <c r="A621" s="2" t="s">
        <v>1739</v>
      </c>
      <c r="B621" s="2" t="s">
        <v>1899</v>
      </c>
      <c r="G621" s="2" t="s">
        <v>1862</v>
      </c>
    </row>
    <row r="622">
      <c r="A622" s="2" t="s">
        <v>1739</v>
      </c>
      <c r="B622" s="2" t="s">
        <v>1900</v>
      </c>
      <c r="G622" s="2" t="s">
        <v>1862</v>
      </c>
    </row>
    <row r="623">
      <c r="A623" s="2" t="s">
        <v>1739</v>
      </c>
      <c r="B623" s="2" t="s">
        <v>1901</v>
      </c>
      <c r="G623" s="2" t="s">
        <v>1862</v>
      </c>
    </row>
    <row r="624">
      <c r="A624" s="2" t="s">
        <v>1739</v>
      </c>
      <c r="B624" s="2" t="s">
        <v>1902</v>
      </c>
      <c r="G624" s="2" t="s">
        <v>1862</v>
      </c>
    </row>
    <row r="625">
      <c r="A625" s="2" t="s">
        <v>1739</v>
      </c>
      <c r="B625" s="2" t="s">
        <v>1903</v>
      </c>
      <c r="G625" s="2" t="s">
        <v>1862</v>
      </c>
    </row>
    <row r="626">
      <c r="A626" s="2" t="s">
        <v>1739</v>
      </c>
      <c r="B626" s="2" t="s">
        <v>1904</v>
      </c>
      <c r="G626" s="2" t="s">
        <v>1862</v>
      </c>
    </row>
    <row r="627">
      <c r="A627" s="2" t="s">
        <v>1739</v>
      </c>
      <c r="B627" s="2" t="s">
        <v>1905</v>
      </c>
      <c r="G627" s="2" t="s">
        <v>1862</v>
      </c>
    </row>
    <row r="628">
      <c r="A628" s="2" t="s">
        <v>1739</v>
      </c>
      <c r="B628" s="2" t="s">
        <v>1906</v>
      </c>
      <c r="G628" s="2" t="s">
        <v>1862</v>
      </c>
    </row>
    <row r="629">
      <c r="A629" s="2" t="s">
        <v>1739</v>
      </c>
      <c r="B629" s="2" t="s">
        <v>1907</v>
      </c>
      <c r="G629" s="2" t="s">
        <v>1862</v>
      </c>
    </row>
    <row r="630">
      <c r="A630" s="2" t="s">
        <v>1739</v>
      </c>
      <c r="B630" s="2" t="s">
        <v>1908</v>
      </c>
      <c r="G630" s="2" t="s">
        <v>1862</v>
      </c>
    </row>
    <row r="631">
      <c r="A631" s="2" t="s">
        <v>1739</v>
      </c>
      <c r="B631" s="2" t="s">
        <v>1910</v>
      </c>
      <c r="G631" s="2" t="s">
        <v>1862</v>
      </c>
    </row>
    <row r="632">
      <c r="A632" s="2" t="s">
        <v>1739</v>
      </c>
      <c r="B632" s="2" t="s">
        <v>1911</v>
      </c>
      <c r="G632" s="2" t="s">
        <v>1862</v>
      </c>
    </row>
    <row r="633">
      <c r="A633" s="2" t="s">
        <v>1739</v>
      </c>
      <c r="B633" s="2" t="s">
        <v>1912</v>
      </c>
      <c r="G633" s="2" t="s">
        <v>1862</v>
      </c>
    </row>
    <row r="634">
      <c r="A634" s="2" t="s">
        <v>1739</v>
      </c>
      <c r="B634" s="2" t="s">
        <v>1913</v>
      </c>
      <c r="G634" s="2" t="s">
        <v>1862</v>
      </c>
    </row>
    <row r="635">
      <c r="A635" s="2" t="s">
        <v>1739</v>
      </c>
      <c r="B635" s="2" t="s">
        <v>1914</v>
      </c>
      <c r="G635" s="2" t="s">
        <v>1862</v>
      </c>
    </row>
    <row r="636">
      <c r="A636" s="2" t="s">
        <v>1739</v>
      </c>
      <c r="B636" s="2" t="s">
        <v>1916</v>
      </c>
      <c r="G636" s="2" t="s">
        <v>1862</v>
      </c>
    </row>
    <row r="637">
      <c r="A637" s="2" t="s">
        <v>1739</v>
      </c>
      <c r="B637" s="2" t="s">
        <v>1917</v>
      </c>
      <c r="G637" s="2" t="s">
        <v>1862</v>
      </c>
    </row>
    <row r="638">
      <c r="A638" s="2" t="s">
        <v>1739</v>
      </c>
      <c r="B638" s="2" t="s">
        <v>1918</v>
      </c>
      <c r="G638" s="2" t="s">
        <v>1862</v>
      </c>
    </row>
    <row r="639">
      <c r="A639" s="2" t="s">
        <v>1739</v>
      </c>
      <c r="B639" s="2" t="s">
        <v>1919</v>
      </c>
      <c r="G639" s="2" t="s">
        <v>1862</v>
      </c>
    </row>
    <row r="640">
      <c r="A640" s="2" t="s">
        <v>1739</v>
      </c>
      <c r="B640" s="2" t="s">
        <v>1920</v>
      </c>
      <c r="G640" s="2" t="s">
        <v>1862</v>
      </c>
    </row>
    <row r="641">
      <c r="A641" s="2" t="s">
        <v>1739</v>
      </c>
      <c r="B641" s="2" t="s">
        <v>1922</v>
      </c>
      <c r="G641" s="2" t="s">
        <v>1862</v>
      </c>
    </row>
    <row r="642">
      <c r="A642" s="2" t="s">
        <v>1739</v>
      </c>
      <c r="B642" s="2" t="s">
        <v>1923</v>
      </c>
      <c r="G642" s="2" t="s">
        <v>1862</v>
      </c>
    </row>
    <row r="643">
      <c r="A643" s="2" t="s">
        <v>1739</v>
      </c>
      <c r="B643" s="2" t="s">
        <v>1924</v>
      </c>
      <c r="G643" s="2" t="s">
        <v>1862</v>
      </c>
    </row>
    <row r="644">
      <c r="A644" s="2" t="s">
        <v>1739</v>
      </c>
      <c r="B644" s="2" t="s">
        <v>1925</v>
      </c>
      <c r="G644" s="2" t="s">
        <v>1862</v>
      </c>
    </row>
    <row r="645">
      <c r="A645" s="2" t="s">
        <v>1739</v>
      </c>
      <c r="B645" s="2" t="s">
        <v>1926</v>
      </c>
      <c r="G645" s="2" t="s">
        <v>1862</v>
      </c>
    </row>
    <row r="646">
      <c r="A646" s="2" t="s">
        <v>1739</v>
      </c>
      <c r="B646" s="2" t="s">
        <v>1927</v>
      </c>
      <c r="G646" s="2" t="s">
        <v>1862</v>
      </c>
    </row>
    <row r="647">
      <c r="A647" s="2" t="s">
        <v>1739</v>
      </c>
      <c r="B647" s="2" t="s">
        <v>1928</v>
      </c>
      <c r="G647" s="2" t="s">
        <v>1862</v>
      </c>
    </row>
    <row r="648">
      <c r="A648" s="2" t="s">
        <v>1739</v>
      </c>
      <c r="B648" s="2" t="s">
        <v>1929</v>
      </c>
      <c r="G648" s="2" t="s">
        <v>1862</v>
      </c>
    </row>
    <row r="649">
      <c r="A649" s="2" t="s">
        <v>1739</v>
      </c>
      <c r="B649" s="2" t="s">
        <v>1930</v>
      </c>
      <c r="G649" s="2" t="s">
        <v>1862</v>
      </c>
    </row>
    <row r="650">
      <c r="A650" s="2" t="s">
        <v>1739</v>
      </c>
      <c r="B650" s="2" t="s">
        <v>1931</v>
      </c>
      <c r="G650" s="2" t="s">
        <v>1862</v>
      </c>
    </row>
    <row r="651">
      <c r="A651" s="2" t="s">
        <v>1739</v>
      </c>
      <c r="B651" s="2" t="s">
        <v>1932</v>
      </c>
      <c r="G651" s="2" t="s">
        <v>1862</v>
      </c>
    </row>
    <row r="652">
      <c r="A652" s="2" t="s">
        <v>1739</v>
      </c>
      <c r="B652" s="2" t="s">
        <v>1935</v>
      </c>
      <c r="G652" s="2" t="s">
        <v>1862</v>
      </c>
    </row>
    <row r="653">
      <c r="A653" s="2" t="s">
        <v>1739</v>
      </c>
      <c r="B653" s="2" t="s">
        <v>1936</v>
      </c>
      <c r="G653" s="2" t="s">
        <v>1862</v>
      </c>
    </row>
    <row r="654">
      <c r="A654" s="2" t="s">
        <v>1739</v>
      </c>
      <c r="B654" s="2" t="s">
        <v>1937</v>
      </c>
      <c r="G654" s="2" t="s">
        <v>1862</v>
      </c>
    </row>
    <row r="655">
      <c r="A655" s="2" t="s">
        <v>1739</v>
      </c>
      <c r="B655" s="2" t="s">
        <v>1938</v>
      </c>
      <c r="G655" s="2" t="s">
        <v>1862</v>
      </c>
    </row>
    <row r="656">
      <c r="A656" s="2" t="s">
        <v>1739</v>
      </c>
      <c r="B656" s="2" t="s">
        <v>1940</v>
      </c>
      <c r="G656" s="2" t="s">
        <v>1862</v>
      </c>
    </row>
    <row r="657">
      <c r="A657" s="2" t="s">
        <v>1739</v>
      </c>
      <c r="B657" s="2" t="s">
        <v>1941</v>
      </c>
      <c r="G657" s="2" t="s">
        <v>1862</v>
      </c>
    </row>
    <row r="658">
      <c r="A658" s="2" t="s">
        <v>1739</v>
      </c>
      <c r="B658" s="2" t="s">
        <v>1942</v>
      </c>
      <c r="G658" s="2" t="s">
        <v>1862</v>
      </c>
    </row>
    <row r="659">
      <c r="A659" s="2" t="s">
        <v>1739</v>
      </c>
      <c r="B659" s="2" t="s">
        <v>1943</v>
      </c>
      <c r="G659" s="2" t="s">
        <v>1862</v>
      </c>
    </row>
    <row r="660">
      <c r="A660" s="2" t="s">
        <v>1739</v>
      </c>
      <c r="B660" s="2" t="s">
        <v>1944</v>
      </c>
      <c r="G660" s="2" t="s">
        <v>1862</v>
      </c>
    </row>
    <row r="661">
      <c r="A661" s="2" t="s">
        <v>1739</v>
      </c>
      <c r="B661" s="2" t="s">
        <v>1945</v>
      </c>
      <c r="G661" s="2" t="s">
        <v>1862</v>
      </c>
    </row>
    <row r="662">
      <c r="A662" s="2" t="s">
        <v>1739</v>
      </c>
      <c r="B662" s="2" t="s">
        <v>1946</v>
      </c>
      <c r="G662" s="2" t="s">
        <v>1862</v>
      </c>
    </row>
    <row r="663">
      <c r="A663" s="2" t="s">
        <v>1739</v>
      </c>
      <c r="B663" s="2" t="s">
        <v>1947</v>
      </c>
      <c r="G663" s="2" t="s">
        <v>1862</v>
      </c>
    </row>
    <row r="664">
      <c r="A664" s="2" t="s">
        <v>1739</v>
      </c>
      <c r="B664" s="2" t="s">
        <v>1948</v>
      </c>
      <c r="G664" s="2" t="s">
        <v>1862</v>
      </c>
    </row>
    <row r="665">
      <c r="A665" s="2" t="s">
        <v>1739</v>
      </c>
      <c r="B665" s="2" t="s">
        <v>1949</v>
      </c>
      <c r="G665" s="2" t="s">
        <v>1862</v>
      </c>
    </row>
    <row r="666">
      <c r="A666" s="2" t="s">
        <v>1739</v>
      </c>
      <c r="B666" s="2" t="s">
        <v>1950</v>
      </c>
      <c r="G666" s="2" t="s">
        <v>1862</v>
      </c>
    </row>
    <row r="667">
      <c r="A667" s="2" t="s">
        <v>1739</v>
      </c>
      <c r="B667" s="2" t="s">
        <v>1952</v>
      </c>
      <c r="G667" s="2" t="s">
        <v>1862</v>
      </c>
    </row>
    <row r="668">
      <c r="A668" s="2" t="s">
        <v>1739</v>
      </c>
      <c r="B668" s="2" t="s">
        <v>1954</v>
      </c>
      <c r="G668" s="2" t="s">
        <v>1862</v>
      </c>
    </row>
    <row r="669">
      <c r="A669" s="2" t="s">
        <v>1739</v>
      </c>
      <c r="B669" s="2" t="s">
        <v>1955</v>
      </c>
      <c r="G669" s="2" t="s">
        <v>1862</v>
      </c>
    </row>
    <row r="670">
      <c r="A670" s="2" t="s">
        <v>1739</v>
      </c>
      <c r="B670" s="2" t="s">
        <v>1956</v>
      </c>
      <c r="G670" s="2" t="s">
        <v>1862</v>
      </c>
    </row>
    <row r="671">
      <c r="A671" s="2" t="s">
        <v>1739</v>
      </c>
      <c r="B671" s="2" t="s">
        <v>1957</v>
      </c>
      <c r="G671" s="2" t="s">
        <v>1862</v>
      </c>
    </row>
    <row r="672">
      <c r="A672" s="2" t="s">
        <v>1739</v>
      </c>
      <c r="B672" s="2" t="s">
        <v>1958</v>
      </c>
      <c r="G672" s="2" t="s">
        <v>1862</v>
      </c>
    </row>
    <row r="673">
      <c r="A673" s="2" t="s">
        <v>1739</v>
      </c>
      <c r="B673" s="2" t="s">
        <v>1961</v>
      </c>
      <c r="G673" s="2" t="s">
        <v>1862</v>
      </c>
    </row>
    <row r="674">
      <c r="A674" s="2" t="s">
        <v>1739</v>
      </c>
      <c r="B674" s="2" t="s">
        <v>1962</v>
      </c>
      <c r="G674" s="2" t="s">
        <v>1862</v>
      </c>
    </row>
    <row r="675">
      <c r="A675" s="2" t="s">
        <v>1739</v>
      </c>
      <c r="B675" s="2" t="s">
        <v>1963</v>
      </c>
      <c r="G675" s="2" t="s">
        <v>1862</v>
      </c>
    </row>
    <row r="676">
      <c r="A676" s="2" t="s">
        <v>1739</v>
      </c>
      <c r="B676" s="2" t="s">
        <v>1964</v>
      </c>
      <c r="G676" s="2" t="s">
        <v>1862</v>
      </c>
    </row>
    <row r="677">
      <c r="A677" s="2" t="s">
        <v>1739</v>
      </c>
      <c r="B677" s="2" t="s">
        <v>1965</v>
      </c>
      <c r="G677" s="2" t="s">
        <v>1862</v>
      </c>
    </row>
    <row r="678">
      <c r="A678" s="2" t="s">
        <v>1739</v>
      </c>
      <c r="B678" s="2" t="s">
        <v>1966</v>
      </c>
      <c r="G678" s="2" t="s">
        <v>1862</v>
      </c>
    </row>
    <row r="679">
      <c r="A679" s="2" t="s">
        <v>1739</v>
      </c>
      <c r="B679" s="2" t="s">
        <v>1967</v>
      </c>
      <c r="G679" s="2" t="s">
        <v>1862</v>
      </c>
    </row>
    <row r="680">
      <c r="A680" s="2" t="s">
        <v>1739</v>
      </c>
      <c r="B680" s="2" t="s">
        <v>1968</v>
      </c>
      <c r="G680" s="2" t="s">
        <v>1862</v>
      </c>
    </row>
    <row r="681">
      <c r="A681" s="2" t="s">
        <v>1739</v>
      </c>
      <c r="B681" s="2" t="s">
        <v>1970</v>
      </c>
      <c r="G681" s="2" t="s">
        <v>1862</v>
      </c>
    </row>
    <row r="682">
      <c r="A682" s="2" t="s">
        <v>1739</v>
      </c>
      <c r="B682" s="2" t="s">
        <v>1971</v>
      </c>
      <c r="G682" s="2" t="s">
        <v>1862</v>
      </c>
    </row>
    <row r="683">
      <c r="A683" s="2" t="s">
        <v>1739</v>
      </c>
      <c r="B683" s="2" t="s">
        <v>1972</v>
      </c>
      <c r="G683" s="2" t="s">
        <v>1862</v>
      </c>
    </row>
    <row r="684">
      <c r="A684" s="2" t="s">
        <v>1739</v>
      </c>
      <c r="B684" s="2" t="s">
        <v>1973</v>
      </c>
      <c r="G684" s="2" t="s">
        <v>1862</v>
      </c>
    </row>
    <row r="685">
      <c r="A685" s="2" t="s">
        <v>1739</v>
      </c>
      <c r="B685" s="2" t="s">
        <v>1974</v>
      </c>
      <c r="G685" s="2" t="s">
        <v>1862</v>
      </c>
    </row>
    <row r="686">
      <c r="A686" s="2" t="s">
        <v>1739</v>
      </c>
      <c r="B686" s="2" t="s">
        <v>1975</v>
      </c>
      <c r="G686" s="2" t="s">
        <v>1862</v>
      </c>
    </row>
    <row r="687">
      <c r="A687" s="2" t="s">
        <v>1739</v>
      </c>
      <c r="B687" s="2" t="s">
        <v>1977</v>
      </c>
      <c r="G687" s="2" t="s">
        <v>1862</v>
      </c>
    </row>
    <row r="688">
      <c r="A688" s="2" t="s">
        <v>1739</v>
      </c>
      <c r="B688" s="2" t="s">
        <v>1978</v>
      </c>
      <c r="G688" s="2" t="s">
        <v>1862</v>
      </c>
    </row>
    <row r="689">
      <c r="A689" s="2" t="s">
        <v>1739</v>
      </c>
      <c r="B689" s="2" t="s">
        <v>1979</v>
      </c>
      <c r="G689" s="2" t="s">
        <v>1862</v>
      </c>
    </row>
    <row r="690">
      <c r="A690" s="2" t="s">
        <v>1739</v>
      </c>
      <c r="B690" s="2" t="s">
        <v>1980</v>
      </c>
      <c r="G690" s="2" t="s">
        <v>1862</v>
      </c>
    </row>
    <row r="691">
      <c r="A691" s="2" t="s">
        <v>1739</v>
      </c>
      <c r="B691" s="2" t="s">
        <v>1981</v>
      </c>
      <c r="G691" s="2" t="s">
        <v>1862</v>
      </c>
    </row>
    <row r="692">
      <c r="A692" s="2" t="s">
        <v>1739</v>
      </c>
      <c r="B692" s="2" t="s">
        <v>1982</v>
      </c>
      <c r="G692" s="2" t="s">
        <v>1862</v>
      </c>
    </row>
    <row r="693">
      <c r="A693" s="2" t="s">
        <v>1739</v>
      </c>
      <c r="B693" s="2" t="s">
        <v>1984</v>
      </c>
      <c r="G693" s="2" t="s">
        <v>1862</v>
      </c>
    </row>
    <row r="694">
      <c r="A694" s="2" t="s">
        <v>1739</v>
      </c>
      <c r="B694" s="2" t="s">
        <v>1986</v>
      </c>
      <c r="G694" s="2" t="s">
        <v>1862</v>
      </c>
    </row>
    <row r="695">
      <c r="A695" s="2" t="s">
        <v>1739</v>
      </c>
      <c r="B695" s="2" t="s">
        <v>1987</v>
      </c>
      <c r="G695" s="2" t="s">
        <v>1862</v>
      </c>
    </row>
    <row r="696">
      <c r="A696" s="2" t="s">
        <v>1739</v>
      </c>
      <c r="B696" s="2" t="s">
        <v>1989</v>
      </c>
      <c r="G696" s="2" t="s">
        <v>1862</v>
      </c>
    </row>
    <row r="697">
      <c r="A697" s="2" t="s">
        <v>1739</v>
      </c>
      <c r="B697" s="2" t="s">
        <v>1990</v>
      </c>
      <c r="G697" s="2" t="s">
        <v>1862</v>
      </c>
    </row>
    <row r="698">
      <c r="A698" s="2" t="s">
        <v>1739</v>
      </c>
      <c r="B698" s="2" t="s">
        <v>1991</v>
      </c>
      <c r="G698" s="2" t="s">
        <v>1862</v>
      </c>
    </row>
    <row r="699">
      <c r="A699" s="2" t="s">
        <v>1739</v>
      </c>
      <c r="B699" s="2" t="s">
        <v>1992</v>
      </c>
      <c r="G699" s="2" t="s">
        <v>1862</v>
      </c>
    </row>
    <row r="700">
      <c r="A700" s="2" t="s">
        <v>1739</v>
      </c>
      <c r="B700" s="2" t="s">
        <v>1994</v>
      </c>
      <c r="G700" s="2" t="s">
        <v>1862</v>
      </c>
    </row>
    <row r="701">
      <c r="A701" s="2" t="s">
        <v>1739</v>
      </c>
      <c r="B701" s="2" t="s">
        <v>1995</v>
      </c>
      <c r="G701" s="2" t="s">
        <v>1862</v>
      </c>
    </row>
    <row r="702">
      <c r="A702" s="2" t="s">
        <v>1739</v>
      </c>
      <c r="B702" s="2" t="s">
        <v>1996</v>
      </c>
      <c r="G702" s="2" t="s">
        <v>1862</v>
      </c>
    </row>
    <row r="703">
      <c r="A703" s="2" t="s">
        <v>1739</v>
      </c>
      <c r="B703" s="2" t="s">
        <v>1997</v>
      </c>
      <c r="G703" s="2" t="s">
        <v>1862</v>
      </c>
    </row>
    <row r="704">
      <c r="A704" s="2" t="s">
        <v>1739</v>
      </c>
      <c r="B704" s="2" t="s">
        <v>1998</v>
      </c>
      <c r="G704" s="2" t="s">
        <v>1862</v>
      </c>
    </row>
    <row r="705">
      <c r="A705" s="2" t="s">
        <v>1739</v>
      </c>
      <c r="B705" s="2" t="s">
        <v>1999</v>
      </c>
      <c r="G705" s="2" t="s">
        <v>1862</v>
      </c>
    </row>
    <row r="706">
      <c r="A706" s="2" t="s">
        <v>1739</v>
      </c>
      <c r="B706" s="2" t="s">
        <v>2000</v>
      </c>
      <c r="G706" s="2" t="s">
        <v>1862</v>
      </c>
    </row>
    <row r="707">
      <c r="A707" s="2" t="s">
        <v>1739</v>
      </c>
      <c r="B707" s="2" t="s">
        <v>2001</v>
      </c>
      <c r="G707" s="2" t="s">
        <v>1862</v>
      </c>
    </row>
    <row r="708">
      <c r="A708" s="2" t="s">
        <v>1739</v>
      </c>
      <c r="B708" s="2" t="s">
        <v>2002</v>
      </c>
      <c r="G708" s="2" t="s">
        <v>1862</v>
      </c>
    </row>
    <row r="709">
      <c r="A709" s="2" t="s">
        <v>1739</v>
      </c>
      <c r="B709" s="2" t="s">
        <v>2003</v>
      </c>
      <c r="G709" s="2" t="s">
        <v>1862</v>
      </c>
    </row>
    <row r="710">
      <c r="A710" s="2" t="s">
        <v>1739</v>
      </c>
      <c r="B710" s="2" t="s">
        <v>2004</v>
      </c>
      <c r="G710" s="2" t="s">
        <v>1862</v>
      </c>
    </row>
    <row r="711">
      <c r="A711" s="2" t="s">
        <v>1739</v>
      </c>
      <c r="B711" s="2" t="s">
        <v>2006</v>
      </c>
      <c r="G711" s="2" t="s">
        <v>1862</v>
      </c>
    </row>
    <row r="712">
      <c r="A712" s="2" t="s">
        <v>1739</v>
      </c>
      <c r="B712" s="2" t="s">
        <v>2007</v>
      </c>
      <c r="G712" s="2" t="s">
        <v>1862</v>
      </c>
    </row>
    <row r="713">
      <c r="A713" s="2" t="s">
        <v>1739</v>
      </c>
      <c r="B713" s="2" t="s">
        <v>2008</v>
      </c>
      <c r="G713" s="2" t="s">
        <v>1862</v>
      </c>
    </row>
    <row r="714">
      <c r="A714" s="2" t="s">
        <v>1739</v>
      </c>
      <c r="B714" s="2" t="s">
        <v>2009</v>
      </c>
      <c r="G714" s="2" t="s">
        <v>1862</v>
      </c>
    </row>
    <row r="715">
      <c r="A715" s="2" t="s">
        <v>1739</v>
      </c>
      <c r="B715" s="2" t="s">
        <v>2010</v>
      </c>
      <c r="G715" s="2" t="s">
        <v>1862</v>
      </c>
    </row>
    <row r="716">
      <c r="A716" s="2" t="s">
        <v>1739</v>
      </c>
      <c r="B716" s="2" t="s">
        <v>2012</v>
      </c>
      <c r="G716" s="2" t="s">
        <v>1862</v>
      </c>
    </row>
    <row r="717">
      <c r="A717" s="2" t="s">
        <v>1739</v>
      </c>
      <c r="B717" s="2" t="s">
        <v>2013</v>
      </c>
      <c r="G717" s="2" t="s">
        <v>1862</v>
      </c>
    </row>
    <row r="718">
      <c r="A718" s="2" t="s">
        <v>1739</v>
      </c>
      <c r="B718" s="2" t="s">
        <v>2014</v>
      </c>
      <c r="G718" s="2" t="s">
        <v>1862</v>
      </c>
    </row>
    <row r="719">
      <c r="A719" s="2" t="s">
        <v>1739</v>
      </c>
      <c r="B719" s="2" t="s">
        <v>2015</v>
      </c>
      <c r="G719" s="2" t="s">
        <v>1862</v>
      </c>
    </row>
    <row r="720">
      <c r="A720" s="2" t="s">
        <v>1739</v>
      </c>
      <c r="B720" s="2" t="s">
        <v>2016</v>
      </c>
      <c r="G720" s="2" t="s">
        <v>1862</v>
      </c>
    </row>
    <row r="721">
      <c r="A721" s="2" t="s">
        <v>1739</v>
      </c>
      <c r="B721" s="2" t="s">
        <v>2017</v>
      </c>
      <c r="G721" s="2" t="s">
        <v>1862</v>
      </c>
    </row>
    <row r="722">
      <c r="A722" s="2" t="s">
        <v>1739</v>
      </c>
      <c r="B722" s="2" t="s">
        <v>2018</v>
      </c>
      <c r="G722" s="2" t="s">
        <v>1862</v>
      </c>
    </row>
    <row r="723">
      <c r="A723" s="2" t="s">
        <v>1739</v>
      </c>
      <c r="B723" s="2" t="s">
        <v>2019</v>
      </c>
      <c r="G723" s="2" t="s">
        <v>1862</v>
      </c>
    </row>
    <row r="724">
      <c r="A724" s="2" t="s">
        <v>1739</v>
      </c>
      <c r="B724" s="2" t="s">
        <v>2020</v>
      </c>
      <c r="G724" s="2" t="s">
        <v>1862</v>
      </c>
    </row>
    <row r="725">
      <c r="A725" s="2" t="s">
        <v>1739</v>
      </c>
      <c r="B725" s="2" t="s">
        <v>2021</v>
      </c>
      <c r="G725" s="2" t="s">
        <v>1862</v>
      </c>
    </row>
    <row r="726">
      <c r="A726" s="2" t="s">
        <v>1739</v>
      </c>
      <c r="B726" s="2" t="s">
        <v>2023</v>
      </c>
      <c r="G726" s="2" t="s">
        <v>1862</v>
      </c>
    </row>
    <row r="727">
      <c r="A727" s="2" t="s">
        <v>1739</v>
      </c>
      <c r="B727" s="2" t="s">
        <v>2024</v>
      </c>
      <c r="G727" s="2" t="s">
        <v>1862</v>
      </c>
    </row>
    <row r="728">
      <c r="A728" s="2" t="s">
        <v>1739</v>
      </c>
      <c r="B728" s="2" t="s">
        <v>2025</v>
      </c>
      <c r="G728" s="2" t="s">
        <v>1862</v>
      </c>
    </row>
    <row r="729">
      <c r="A729" s="2" t="s">
        <v>1739</v>
      </c>
      <c r="B729" s="2" t="s">
        <v>2026</v>
      </c>
      <c r="G729" s="2" t="s">
        <v>1862</v>
      </c>
    </row>
    <row r="730">
      <c r="A730" s="2" t="s">
        <v>1739</v>
      </c>
      <c r="B730" s="2" t="s">
        <v>2027</v>
      </c>
      <c r="G730" s="2" t="s">
        <v>1862</v>
      </c>
    </row>
    <row r="731">
      <c r="A731" s="2" t="s">
        <v>1739</v>
      </c>
      <c r="B731" s="2" t="s">
        <v>2028</v>
      </c>
      <c r="G731" s="2" t="s">
        <v>1862</v>
      </c>
    </row>
    <row r="732">
      <c r="A732" s="2" t="s">
        <v>1739</v>
      </c>
      <c r="B732" s="2" t="s">
        <v>2029</v>
      </c>
      <c r="G732" s="2" t="s">
        <v>1862</v>
      </c>
    </row>
    <row r="733">
      <c r="A733" s="2" t="s">
        <v>1739</v>
      </c>
      <c r="B733" s="2" t="s">
        <v>2030</v>
      </c>
      <c r="G733" s="2" t="s">
        <v>1862</v>
      </c>
    </row>
    <row r="734">
      <c r="A734" s="2" t="s">
        <v>1739</v>
      </c>
      <c r="B734" s="2" t="s">
        <v>2031</v>
      </c>
      <c r="G734" s="2" t="s">
        <v>1862</v>
      </c>
    </row>
    <row r="735">
      <c r="A735" s="2" t="s">
        <v>1739</v>
      </c>
      <c r="B735" s="2" t="s">
        <v>2032</v>
      </c>
      <c r="G735" s="2" t="s">
        <v>1862</v>
      </c>
    </row>
    <row r="736">
      <c r="A736" s="2" t="s">
        <v>1739</v>
      </c>
      <c r="B736" s="2" t="s">
        <v>2033</v>
      </c>
      <c r="G736" s="2" t="s">
        <v>1862</v>
      </c>
    </row>
    <row r="737">
      <c r="A737" s="2" t="s">
        <v>1739</v>
      </c>
      <c r="B737" s="2" t="s">
        <v>2034</v>
      </c>
      <c r="G737" s="2" t="s">
        <v>1862</v>
      </c>
    </row>
    <row r="738">
      <c r="A738" s="2" t="s">
        <v>1739</v>
      </c>
      <c r="B738" s="2" t="s">
        <v>2035</v>
      </c>
      <c r="G738" s="2" t="s">
        <v>1862</v>
      </c>
    </row>
    <row r="739">
      <c r="A739" s="2" t="s">
        <v>1739</v>
      </c>
      <c r="B739" s="2" t="s">
        <v>2036</v>
      </c>
      <c r="G739" s="2" t="s">
        <v>1862</v>
      </c>
    </row>
    <row r="740">
      <c r="A740" s="2" t="s">
        <v>1739</v>
      </c>
      <c r="B740" s="2" t="s">
        <v>2038</v>
      </c>
      <c r="G740" s="2" t="s">
        <v>1862</v>
      </c>
    </row>
    <row r="741">
      <c r="A741" s="2" t="s">
        <v>1739</v>
      </c>
      <c r="B741" s="2" t="s">
        <v>2039</v>
      </c>
      <c r="G741" s="2" t="s">
        <v>1862</v>
      </c>
    </row>
    <row r="742">
      <c r="A742" s="2" t="s">
        <v>1739</v>
      </c>
      <c r="B742" s="2" t="s">
        <v>2040</v>
      </c>
      <c r="G742" s="2" t="s">
        <v>1862</v>
      </c>
    </row>
    <row r="743">
      <c r="A743" s="2" t="s">
        <v>1739</v>
      </c>
      <c r="B743" s="2" t="s">
        <v>2041</v>
      </c>
      <c r="G743" s="2" t="s">
        <v>1862</v>
      </c>
    </row>
    <row r="744">
      <c r="A744" s="2" t="s">
        <v>1739</v>
      </c>
      <c r="B744" s="2" t="s">
        <v>2042</v>
      </c>
      <c r="G744" s="2" t="s">
        <v>1862</v>
      </c>
    </row>
    <row r="745">
      <c r="A745" s="2" t="s">
        <v>1739</v>
      </c>
      <c r="B745" s="2" t="s">
        <v>2043</v>
      </c>
      <c r="G745" s="2" t="s">
        <v>1862</v>
      </c>
    </row>
    <row r="746">
      <c r="A746" s="2" t="s">
        <v>1739</v>
      </c>
      <c r="B746" s="2" t="s">
        <v>2044</v>
      </c>
      <c r="G746" s="2" t="s">
        <v>1862</v>
      </c>
    </row>
    <row r="747">
      <c r="A747" s="2" t="s">
        <v>1739</v>
      </c>
      <c r="B747" s="2" t="s">
        <v>2045</v>
      </c>
      <c r="G747" s="2" t="s">
        <v>1862</v>
      </c>
    </row>
    <row r="748">
      <c r="A748" s="2" t="s">
        <v>1739</v>
      </c>
      <c r="B748" s="2" t="s">
        <v>2046</v>
      </c>
      <c r="G748" s="2" t="s">
        <v>1862</v>
      </c>
    </row>
    <row r="749">
      <c r="A749" s="2" t="s">
        <v>1739</v>
      </c>
      <c r="B749" s="2" t="s">
        <v>2047</v>
      </c>
      <c r="G749" s="2" t="s">
        <v>1862</v>
      </c>
    </row>
    <row r="750">
      <c r="A750" s="2" t="s">
        <v>1739</v>
      </c>
      <c r="B750" s="2" t="s">
        <v>2048</v>
      </c>
      <c r="G750" s="2" t="s">
        <v>1862</v>
      </c>
    </row>
    <row r="751">
      <c r="A751" s="2" t="s">
        <v>1739</v>
      </c>
      <c r="B751" s="2" t="s">
        <v>2049</v>
      </c>
      <c r="G751" s="2" t="s">
        <v>1862</v>
      </c>
    </row>
    <row r="752">
      <c r="A752" s="2" t="s">
        <v>1739</v>
      </c>
      <c r="B752" s="2" t="s">
        <v>2050</v>
      </c>
      <c r="G752" s="2" t="s">
        <v>1862</v>
      </c>
    </row>
    <row r="753">
      <c r="A753" s="2" t="s">
        <v>1739</v>
      </c>
      <c r="B753" s="2" t="s">
        <v>2052</v>
      </c>
      <c r="G753" s="2" t="s">
        <v>1862</v>
      </c>
    </row>
    <row r="754">
      <c r="A754" s="2" t="s">
        <v>1739</v>
      </c>
      <c r="B754" s="2" t="s">
        <v>2053</v>
      </c>
      <c r="G754" s="2" t="s">
        <v>1862</v>
      </c>
    </row>
    <row r="755">
      <c r="A755" s="2" t="s">
        <v>1739</v>
      </c>
      <c r="B755" s="2" t="s">
        <v>2054</v>
      </c>
      <c r="G755" s="2" t="s">
        <v>1862</v>
      </c>
    </row>
    <row r="756">
      <c r="A756" s="2" t="s">
        <v>1739</v>
      </c>
      <c r="B756" s="2" t="s">
        <v>2055</v>
      </c>
      <c r="G756" s="2" t="s">
        <v>1862</v>
      </c>
    </row>
    <row r="757">
      <c r="A757" s="2" t="s">
        <v>1739</v>
      </c>
      <c r="B757" s="2" t="s">
        <v>2056</v>
      </c>
      <c r="G757" s="2" t="s">
        <v>1862</v>
      </c>
    </row>
    <row r="758">
      <c r="A758" s="2" t="s">
        <v>1739</v>
      </c>
      <c r="B758" s="2" t="s">
        <v>2058</v>
      </c>
      <c r="G758" s="2" t="s">
        <v>1862</v>
      </c>
    </row>
    <row r="759">
      <c r="A759" s="2" t="s">
        <v>1739</v>
      </c>
      <c r="B759" s="2" t="s">
        <v>2059</v>
      </c>
      <c r="G759" s="2" t="s">
        <v>1862</v>
      </c>
    </row>
    <row r="760">
      <c r="A760" s="2" t="s">
        <v>1739</v>
      </c>
      <c r="B760" s="2" t="s">
        <v>2060</v>
      </c>
      <c r="G760" s="2" t="s">
        <v>1862</v>
      </c>
    </row>
    <row r="761">
      <c r="A761" s="2" t="s">
        <v>1739</v>
      </c>
      <c r="B761" s="2" t="s">
        <v>2061</v>
      </c>
      <c r="G761" s="2" t="s">
        <v>1862</v>
      </c>
    </row>
    <row r="762">
      <c r="A762" s="2" t="s">
        <v>1739</v>
      </c>
      <c r="B762" s="2" t="s">
        <v>2062</v>
      </c>
      <c r="G762" s="2" t="s">
        <v>1862</v>
      </c>
    </row>
    <row r="763">
      <c r="A763" s="2" t="s">
        <v>1739</v>
      </c>
      <c r="B763" s="2" t="s">
        <v>2063</v>
      </c>
      <c r="G763" s="2" t="s">
        <v>1862</v>
      </c>
    </row>
    <row r="764">
      <c r="A764" s="2" t="s">
        <v>1739</v>
      </c>
      <c r="B764" s="2" t="s">
        <v>2064</v>
      </c>
      <c r="G764" s="2" t="s">
        <v>1862</v>
      </c>
    </row>
    <row r="765">
      <c r="A765" s="2" t="s">
        <v>1739</v>
      </c>
      <c r="B765" s="2" t="s">
        <v>2065</v>
      </c>
      <c r="G765" s="2" t="s">
        <v>1862</v>
      </c>
    </row>
    <row r="766">
      <c r="A766" s="2" t="s">
        <v>1739</v>
      </c>
      <c r="B766" s="2" t="s">
        <v>2066</v>
      </c>
      <c r="G766" s="2" t="s">
        <v>1862</v>
      </c>
    </row>
    <row r="767">
      <c r="A767" s="2" t="s">
        <v>1739</v>
      </c>
      <c r="B767" s="2" t="s">
        <v>2067</v>
      </c>
      <c r="G767" s="2" t="s">
        <v>1862</v>
      </c>
    </row>
    <row r="768">
      <c r="A768" s="2" t="s">
        <v>1739</v>
      </c>
      <c r="B768" s="2" t="s">
        <v>2068</v>
      </c>
      <c r="G768" s="2" t="s">
        <v>1862</v>
      </c>
    </row>
    <row r="769">
      <c r="A769" s="2" t="s">
        <v>1739</v>
      </c>
      <c r="B769" s="2" t="s">
        <v>2070</v>
      </c>
      <c r="G769" s="2" t="s">
        <v>1862</v>
      </c>
    </row>
    <row r="770">
      <c r="A770" s="2" t="s">
        <v>1739</v>
      </c>
      <c r="B770" s="2" t="s">
        <v>2071</v>
      </c>
      <c r="G770" s="2" t="s">
        <v>1862</v>
      </c>
    </row>
    <row r="771">
      <c r="A771" s="2" t="s">
        <v>1739</v>
      </c>
      <c r="B771" s="2" t="s">
        <v>2072</v>
      </c>
      <c r="G771" s="2" t="s">
        <v>1862</v>
      </c>
    </row>
    <row r="772">
      <c r="A772" s="2" t="s">
        <v>1739</v>
      </c>
      <c r="B772" s="2" t="s">
        <v>2073</v>
      </c>
      <c r="G772" s="2" t="s">
        <v>1862</v>
      </c>
    </row>
    <row r="773">
      <c r="A773" s="2" t="s">
        <v>1739</v>
      </c>
      <c r="B773" s="2" t="s">
        <v>2075</v>
      </c>
      <c r="G773" s="2" t="s">
        <v>1862</v>
      </c>
    </row>
    <row r="774">
      <c r="A774" s="2" t="s">
        <v>1739</v>
      </c>
      <c r="B774" s="2" t="s">
        <v>2076</v>
      </c>
      <c r="G774" s="2" t="s">
        <v>1862</v>
      </c>
    </row>
    <row r="775">
      <c r="A775" s="2" t="s">
        <v>1739</v>
      </c>
      <c r="B775" s="2" t="s">
        <v>2077</v>
      </c>
      <c r="G775" s="2" t="s">
        <v>1862</v>
      </c>
    </row>
    <row r="776">
      <c r="A776" s="2" t="s">
        <v>1739</v>
      </c>
      <c r="B776" s="2" t="s">
        <v>2078</v>
      </c>
      <c r="G776" s="2" t="s">
        <v>1862</v>
      </c>
    </row>
    <row r="777">
      <c r="A777" s="2" t="s">
        <v>1739</v>
      </c>
      <c r="B777" s="2" t="s">
        <v>2079</v>
      </c>
      <c r="G777" s="2" t="s">
        <v>1862</v>
      </c>
    </row>
    <row r="778">
      <c r="A778" s="2" t="s">
        <v>1739</v>
      </c>
      <c r="B778" s="2" t="s">
        <v>2080</v>
      </c>
      <c r="G778" s="2" t="s">
        <v>1862</v>
      </c>
    </row>
    <row r="779">
      <c r="A779" s="2" t="s">
        <v>1739</v>
      </c>
      <c r="B779" s="2" t="s">
        <v>2081</v>
      </c>
      <c r="G779" s="2" t="s">
        <v>1862</v>
      </c>
    </row>
    <row r="780">
      <c r="A780" s="2" t="s">
        <v>1739</v>
      </c>
      <c r="B780" s="2" t="s">
        <v>2082</v>
      </c>
      <c r="G780" s="2" t="s">
        <v>1862</v>
      </c>
    </row>
    <row r="781">
      <c r="A781" s="2" t="s">
        <v>1739</v>
      </c>
      <c r="B781" s="2" t="s">
        <v>2083</v>
      </c>
      <c r="G781" s="2" t="s">
        <v>1862</v>
      </c>
    </row>
    <row r="782">
      <c r="A782" s="2" t="s">
        <v>1739</v>
      </c>
      <c r="B782" s="2" t="s">
        <v>2084</v>
      </c>
      <c r="G782" s="2" t="s">
        <v>1862</v>
      </c>
    </row>
    <row r="783">
      <c r="A783" s="2" t="s">
        <v>1739</v>
      </c>
      <c r="B783" s="2" t="s">
        <v>2086</v>
      </c>
      <c r="G783" s="2" t="s">
        <v>1862</v>
      </c>
    </row>
    <row r="784">
      <c r="A784" s="2" t="s">
        <v>1739</v>
      </c>
      <c r="B784" s="2" t="s">
        <v>2087</v>
      </c>
      <c r="G784" s="2" t="s">
        <v>1862</v>
      </c>
    </row>
    <row r="785">
      <c r="A785" s="2" t="s">
        <v>1739</v>
      </c>
      <c r="B785" s="2" t="s">
        <v>2088</v>
      </c>
      <c r="G785" s="2" t="s">
        <v>1862</v>
      </c>
    </row>
    <row r="786">
      <c r="A786" s="2" t="s">
        <v>1739</v>
      </c>
      <c r="B786" s="2" t="s">
        <v>2089</v>
      </c>
      <c r="G786" s="2" t="s">
        <v>1862</v>
      </c>
    </row>
    <row r="787">
      <c r="A787" s="2" t="s">
        <v>1739</v>
      </c>
      <c r="B787" s="2" t="s">
        <v>2090</v>
      </c>
      <c r="G787" s="2" t="s">
        <v>1862</v>
      </c>
    </row>
    <row r="788">
      <c r="A788" s="2" t="s">
        <v>1739</v>
      </c>
      <c r="B788" s="2" t="s">
        <v>2091</v>
      </c>
      <c r="G788" s="2" t="s">
        <v>1862</v>
      </c>
    </row>
    <row r="789">
      <c r="A789" s="2" t="s">
        <v>1739</v>
      </c>
      <c r="B789" s="2" t="s">
        <v>2092</v>
      </c>
      <c r="G789" s="2" t="s">
        <v>1862</v>
      </c>
    </row>
    <row r="790">
      <c r="A790" s="64" t="s">
        <v>2093</v>
      </c>
      <c r="B790" s="2" t="s">
        <v>2094</v>
      </c>
      <c r="C790" s="2" t="s">
        <v>2095</v>
      </c>
      <c r="D790" s="2" t="s">
        <v>2096</v>
      </c>
    </row>
    <row r="791">
      <c r="A791" s="64" t="s">
        <v>2093</v>
      </c>
      <c r="B791" s="2" t="s">
        <v>2097</v>
      </c>
      <c r="C791" s="2" t="s">
        <v>2095</v>
      </c>
      <c r="D791" s="2" t="s">
        <v>2096</v>
      </c>
    </row>
    <row r="792">
      <c r="A792" s="64" t="s">
        <v>2093</v>
      </c>
      <c r="B792" s="2" t="s">
        <v>2098</v>
      </c>
      <c r="C792" s="2" t="s">
        <v>2095</v>
      </c>
      <c r="D792" s="2" t="s">
        <v>2096</v>
      </c>
    </row>
    <row r="793">
      <c r="A793" s="64" t="s">
        <v>2093</v>
      </c>
      <c r="B793" s="2" t="s">
        <v>2099</v>
      </c>
      <c r="C793" s="2" t="s">
        <v>2095</v>
      </c>
      <c r="D793" s="2" t="s">
        <v>2096</v>
      </c>
    </row>
    <row r="794">
      <c r="A794" s="64" t="s">
        <v>2093</v>
      </c>
      <c r="B794" s="2" t="s">
        <v>2100</v>
      </c>
      <c r="C794" s="2" t="s">
        <v>2095</v>
      </c>
      <c r="D794" s="2" t="s">
        <v>2096</v>
      </c>
    </row>
    <row r="795">
      <c r="A795" s="64" t="s">
        <v>2093</v>
      </c>
      <c r="B795" s="2" t="s">
        <v>2102</v>
      </c>
      <c r="C795" s="2" t="s">
        <v>2095</v>
      </c>
      <c r="D795" s="2" t="s">
        <v>2096</v>
      </c>
    </row>
    <row r="796">
      <c r="A796" s="64" t="s">
        <v>2093</v>
      </c>
      <c r="B796" s="2" t="s">
        <v>2103</v>
      </c>
      <c r="C796" s="2" t="s">
        <v>2095</v>
      </c>
      <c r="D796" s="2" t="s">
        <v>2096</v>
      </c>
    </row>
    <row r="797">
      <c r="A797" s="64" t="s">
        <v>2093</v>
      </c>
      <c r="B797" s="2" t="s">
        <v>2104</v>
      </c>
      <c r="C797" s="2" t="s">
        <v>2095</v>
      </c>
      <c r="D797" s="2" t="s">
        <v>2096</v>
      </c>
    </row>
    <row r="798">
      <c r="A798" s="64" t="s">
        <v>2093</v>
      </c>
      <c r="B798" s="2" t="s">
        <v>2105</v>
      </c>
      <c r="C798" s="2" t="s">
        <v>2095</v>
      </c>
      <c r="D798" s="2" t="s">
        <v>2096</v>
      </c>
    </row>
    <row r="799">
      <c r="A799" s="64" t="s">
        <v>2093</v>
      </c>
      <c r="B799" s="2" t="s">
        <v>2106</v>
      </c>
      <c r="C799" s="2" t="s">
        <v>2095</v>
      </c>
      <c r="D799" s="2" t="s">
        <v>2096</v>
      </c>
    </row>
    <row r="800">
      <c r="A800" s="64" t="s">
        <v>2093</v>
      </c>
      <c r="B800" s="2" t="s">
        <v>2107</v>
      </c>
      <c r="C800" s="2" t="s">
        <v>2095</v>
      </c>
      <c r="D800" s="2" t="s">
        <v>2096</v>
      </c>
    </row>
    <row r="801">
      <c r="A801" s="64" t="s">
        <v>2093</v>
      </c>
      <c r="B801" s="2" t="s">
        <v>2108</v>
      </c>
      <c r="C801" s="2" t="s">
        <v>2095</v>
      </c>
      <c r="D801" s="2" t="s">
        <v>2096</v>
      </c>
    </row>
    <row r="802">
      <c r="A802" s="64" t="s">
        <v>2093</v>
      </c>
      <c r="B802" s="2" t="s">
        <v>2109</v>
      </c>
      <c r="C802" s="2" t="s">
        <v>2095</v>
      </c>
      <c r="D802" s="2" t="s">
        <v>2096</v>
      </c>
    </row>
    <row r="803">
      <c r="A803" s="64" t="s">
        <v>2093</v>
      </c>
      <c r="B803" s="2" t="s">
        <v>2110</v>
      </c>
      <c r="C803" s="2" t="s">
        <v>2095</v>
      </c>
      <c r="D803" s="2" t="s">
        <v>2096</v>
      </c>
    </row>
    <row r="804">
      <c r="A804" s="64" t="s">
        <v>2093</v>
      </c>
      <c r="B804" s="2" t="s">
        <v>2111</v>
      </c>
      <c r="C804" s="2" t="s">
        <v>2095</v>
      </c>
      <c r="D804" s="2" t="s">
        <v>2096</v>
      </c>
    </row>
    <row r="805">
      <c r="A805" s="64" t="s">
        <v>2093</v>
      </c>
      <c r="B805" s="2" t="s">
        <v>2112</v>
      </c>
      <c r="C805" s="2" t="s">
        <v>2095</v>
      </c>
      <c r="D805" s="2" t="s">
        <v>2096</v>
      </c>
    </row>
    <row r="806">
      <c r="A806" s="64" t="s">
        <v>2093</v>
      </c>
      <c r="B806" s="2" t="s">
        <v>2114</v>
      </c>
      <c r="C806" s="2" t="s">
        <v>2095</v>
      </c>
      <c r="D806" s="2" t="s">
        <v>2096</v>
      </c>
    </row>
    <row r="807">
      <c r="A807" s="64" t="s">
        <v>2093</v>
      </c>
      <c r="B807" s="2" t="s">
        <v>2115</v>
      </c>
      <c r="C807" s="2" t="s">
        <v>2095</v>
      </c>
      <c r="D807" s="2" t="s">
        <v>2096</v>
      </c>
    </row>
    <row r="808">
      <c r="A808" s="64" t="s">
        <v>2093</v>
      </c>
      <c r="B808" s="2" t="s">
        <v>2116</v>
      </c>
      <c r="C808" s="2" t="s">
        <v>2095</v>
      </c>
      <c r="D808" s="2" t="s">
        <v>2096</v>
      </c>
    </row>
    <row r="809">
      <c r="A809" s="64" t="s">
        <v>2093</v>
      </c>
      <c r="B809" s="2" t="s">
        <v>2117</v>
      </c>
      <c r="C809" s="2" t="s">
        <v>2095</v>
      </c>
      <c r="D809" s="2" t="s">
        <v>2096</v>
      </c>
    </row>
    <row r="810">
      <c r="A810" s="64" t="s">
        <v>2093</v>
      </c>
      <c r="B810" s="2" t="s">
        <v>2118</v>
      </c>
      <c r="C810" s="2" t="s">
        <v>2095</v>
      </c>
      <c r="D810" s="2" t="s">
        <v>2096</v>
      </c>
    </row>
    <row r="811">
      <c r="A811" s="64" t="s">
        <v>2093</v>
      </c>
      <c r="B811" s="2" t="s">
        <v>2119</v>
      </c>
      <c r="C811" s="2" t="s">
        <v>2095</v>
      </c>
      <c r="D811" s="2" t="s">
        <v>2096</v>
      </c>
    </row>
    <row r="812">
      <c r="A812" s="64" t="s">
        <v>2093</v>
      </c>
      <c r="B812" s="2" t="s">
        <v>2120</v>
      </c>
      <c r="C812" s="2" t="s">
        <v>2095</v>
      </c>
      <c r="D812" s="2" t="s">
        <v>2096</v>
      </c>
    </row>
    <row r="813">
      <c r="A813" s="64" t="s">
        <v>2093</v>
      </c>
      <c r="B813" s="2" t="s">
        <v>2121</v>
      </c>
      <c r="C813" s="2" t="s">
        <v>2095</v>
      </c>
      <c r="D813" s="2" t="s">
        <v>2096</v>
      </c>
    </row>
    <row r="814">
      <c r="A814" s="64" t="s">
        <v>2093</v>
      </c>
      <c r="B814" s="2" t="s">
        <v>2122</v>
      </c>
      <c r="C814" s="2" t="s">
        <v>2095</v>
      </c>
      <c r="D814" s="2" t="s">
        <v>2096</v>
      </c>
    </row>
    <row r="815">
      <c r="A815" s="64" t="s">
        <v>2093</v>
      </c>
      <c r="B815" s="2" t="s">
        <v>2123</v>
      </c>
      <c r="C815" s="2" t="s">
        <v>2095</v>
      </c>
      <c r="D815" s="2" t="s">
        <v>2096</v>
      </c>
    </row>
    <row r="816">
      <c r="A816" s="64" t="s">
        <v>2093</v>
      </c>
      <c r="B816" s="2" t="s">
        <v>2124</v>
      </c>
      <c r="C816" s="2" t="s">
        <v>2095</v>
      </c>
      <c r="D816" s="2" t="s">
        <v>2096</v>
      </c>
    </row>
    <row r="817">
      <c r="A817" s="64" t="s">
        <v>2093</v>
      </c>
      <c r="B817" s="2" t="s">
        <v>2125</v>
      </c>
      <c r="C817" s="2" t="s">
        <v>2095</v>
      </c>
      <c r="D817" s="2" t="s">
        <v>2096</v>
      </c>
    </row>
    <row r="818">
      <c r="A818" s="64" t="s">
        <v>2093</v>
      </c>
      <c r="B818" s="2" t="s">
        <v>2127</v>
      </c>
      <c r="C818" s="2" t="s">
        <v>2095</v>
      </c>
      <c r="D818" s="2" t="s">
        <v>2096</v>
      </c>
    </row>
    <row r="819">
      <c r="A819" s="64" t="s">
        <v>2093</v>
      </c>
      <c r="B819" s="2" t="s">
        <v>2128</v>
      </c>
      <c r="C819" s="2" t="s">
        <v>2095</v>
      </c>
      <c r="D819" s="2" t="s">
        <v>2096</v>
      </c>
    </row>
    <row r="820">
      <c r="A820" s="64" t="s">
        <v>2093</v>
      </c>
      <c r="B820" s="2" t="s">
        <v>2129</v>
      </c>
      <c r="C820" s="2" t="s">
        <v>2095</v>
      </c>
      <c r="D820" s="2" t="s">
        <v>2096</v>
      </c>
    </row>
    <row r="821">
      <c r="A821" s="2" t="s">
        <v>2130</v>
      </c>
      <c r="B821" s="2" t="s">
        <v>2131</v>
      </c>
      <c r="C821" s="2" t="s">
        <v>2132</v>
      </c>
      <c r="D821" s="2" t="s">
        <v>2133</v>
      </c>
    </row>
    <row r="822">
      <c r="A822" s="2" t="s">
        <v>2130</v>
      </c>
      <c r="B822" s="2" t="s">
        <v>2135</v>
      </c>
      <c r="C822" s="2" t="s">
        <v>2132</v>
      </c>
      <c r="D822" s="2" t="s">
        <v>2133</v>
      </c>
    </row>
    <row r="823">
      <c r="A823" s="2" t="s">
        <v>2130</v>
      </c>
      <c r="B823" s="2" t="s">
        <v>2136</v>
      </c>
      <c r="C823" s="2" t="s">
        <v>2132</v>
      </c>
      <c r="D823" s="2" t="s">
        <v>2133</v>
      </c>
    </row>
    <row r="824">
      <c r="A824" s="2" t="s">
        <v>2130</v>
      </c>
      <c r="B824" s="2" t="s">
        <v>2137</v>
      </c>
      <c r="C824" s="2" t="s">
        <v>2132</v>
      </c>
      <c r="D824" s="2" t="s">
        <v>2133</v>
      </c>
    </row>
    <row r="825">
      <c r="A825" s="2" t="s">
        <v>2130</v>
      </c>
      <c r="B825" s="2" t="s">
        <v>2138</v>
      </c>
      <c r="C825" s="2" t="s">
        <v>2132</v>
      </c>
      <c r="D825" s="2" t="s">
        <v>2133</v>
      </c>
    </row>
    <row r="826">
      <c r="A826" s="2" t="s">
        <v>2130</v>
      </c>
      <c r="B826" s="2" t="s">
        <v>2139</v>
      </c>
      <c r="C826" s="2" t="s">
        <v>2132</v>
      </c>
      <c r="D826" s="2" t="s">
        <v>2133</v>
      </c>
    </row>
    <row r="827">
      <c r="A827" s="2" t="s">
        <v>2130</v>
      </c>
      <c r="B827" s="2" t="s">
        <v>2140</v>
      </c>
      <c r="C827" s="2" t="s">
        <v>2132</v>
      </c>
      <c r="D827" s="2" t="s">
        <v>2133</v>
      </c>
    </row>
    <row r="828">
      <c r="A828" s="2" t="s">
        <v>2130</v>
      </c>
      <c r="B828" s="2" t="s">
        <v>2141</v>
      </c>
      <c r="C828" s="2" t="s">
        <v>2132</v>
      </c>
      <c r="D828" s="2" t="s">
        <v>2133</v>
      </c>
    </row>
    <row r="829">
      <c r="A829" s="2" t="s">
        <v>2130</v>
      </c>
      <c r="B829" s="2" t="s">
        <v>2142</v>
      </c>
      <c r="C829" s="2" t="s">
        <v>2132</v>
      </c>
      <c r="D829" s="2" t="s">
        <v>2133</v>
      </c>
    </row>
    <row r="830">
      <c r="A830" s="2" t="s">
        <v>2130</v>
      </c>
      <c r="B830" s="2" t="s">
        <v>2143</v>
      </c>
      <c r="C830" s="2" t="s">
        <v>2132</v>
      </c>
      <c r="D830" s="2" t="s">
        <v>2133</v>
      </c>
    </row>
    <row r="831">
      <c r="A831" s="2" t="s">
        <v>2130</v>
      </c>
      <c r="B831" s="2" t="s">
        <v>2144</v>
      </c>
      <c r="C831" s="2" t="s">
        <v>2132</v>
      </c>
      <c r="D831" s="2" t="s">
        <v>2133</v>
      </c>
    </row>
    <row r="832">
      <c r="A832" s="2" t="s">
        <v>2130</v>
      </c>
      <c r="B832" s="2" t="s">
        <v>2146</v>
      </c>
      <c r="C832" s="2" t="s">
        <v>2132</v>
      </c>
      <c r="D832" s="2" t="s">
        <v>2133</v>
      </c>
    </row>
    <row r="833">
      <c r="A833" s="2" t="s">
        <v>2130</v>
      </c>
      <c r="B833" s="2" t="s">
        <v>2147</v>
      </c>
      <c r="C833" s="2" t="s">
        <v>2132</v>
      </c>
      <c r="D833" s="2" t="s">
        <v>2133</v>
      </c>
    </row>
    <row r="834">
      <c r="A834" s="2" t="s">
        <v>2130</v>
      </c>
      <c r="B834" s="2" t="s">
        <v>2148</v>
      </c>
      <c r="C834" s="2" t="s">
        <v>2132</v>
      </c>
      <c r="D834" s="2" t="s">
        <v>2133</v>
      </c>
    </row>
    <row r="835">
      <c r="A835" s="2" t="s">
        <v>2130</v>
      </c>
      <c r="B835" s="2" t="s">
        <v>2150</v>
      </c>
      <c r="C835" s="2" t="s">
        <v>2132</v>
      </c>
      <c r="D835" s="2" t="s">
        <v>2133</v>
      </c>
    </row>
    <row r="836">
      <c r="A836" s="2" t="s">
        <v>2130</v>
      </c>
      <c r="B836" s="2" t="s">
        <v>2150</v>
      </c>
      <c r="C836" s="2" t="s">
        <v>2132</v>
      </c>
      <c r="D836" s="2" t="s">
        <v>2133</v>
      </c>
    </row>
    <row r="837">
      <c r="A837" s="2" t="s">
        <v>2130</v>
      </c>
      <c r="B837" s="2" t="s">
        <v>2151</v>
      </c>
      <c r="C837" s="2" t="s">
        <v>2132</v>
      </c>
      <c r="D837" s="2" t="s">
        <v>2133</v>
      </c>
    </row>
    <row r="838">
      <c r="A838" s="2" t="s">
        <v>2130</v>
      </c>
      <c r="B838" s="2" t="s">
        <v>2152</v>
      </c>
      <c r="C838" s="2" t="s">
        <v>2132</v>
      </c>
      <c r="D838" s="2" t="s">
        <v>2133</v>
      </c>
    </row>
    <row r="839">
      <c r="A839" s="2" t="s">
        <v>2130</v>
      </c>
      <c r="B839" s="2" t="s">
        <v>2153</v>
      </c>
      <c r="C839" s="2" t="s">
        <v>2132</v>
      </c>
      <c r="D839" s="2" t="s">
        <v>2133</v>
      </c>
    </row>
    <row r="840">
      <c r="A840" s="2" t="s">
        <v>2130</v>
      </c>
      <c r="B840" s="2" t="s">
        <v>2154</v>
      </c>
      <c r="C840" s="2" t="s">
        <v>2132</v>
      </c>
      <c r="D840" s="2" t="s">
        <v>2133</v>
      </c>
    </row>
    <row r="841">
      <c r="A841" s="2" t="s">
        <v>2130</v>
      </c>
      <c r="B841" s="2" t="s">
        <v>2155</v>
      </c>
      <c r="C841" s="2" t="s">
        <v>2132</v>
      </c>
      <c r="D841" s="2" t="s">
        <v>2133</v>
      </c>
    </row>
    <row r="842">
      <c r="A842" s="2" t="s">
        <v>2130</v>
      </c>
      <c r="B842" s="2" t="s">
        <v>2156</v>
      </c>
      <c r="C842" s="2" t="s">
        <v>2132</v>
      </c>
      <c r="D842" s="2" t="s">
        <v>2133</v>
      </c>
    </row>
    <row r="843">
      <c r="A843" s="2" t="s">
        <v>2130</v>
      </c>
      <c r="B843" s="2" t="s">
        <v>2158</v>
      </c>
      <c r="C843" s="2" t="s">
        <v>2132</v>
      </c>
      <c r="D843" s="2" t="s">
        <v>2133</v>
      </c>
    </row>
    <row r="844">
      <c r="A844" s="2" t="s">
        <v>2130</v>
      </c>
      <c r="B844" s="2" t="s">
        <v>2159</v>
      </c>
      <c r="C844" s="2" t="s">
        <v>2132</v>
      </c>
      <c r="D844" s="2" t="s">
        <v>2133</v>
      </c>
    </row>
    <row r="845">
      <c r="A845" s="2" t="s">
        <v>2130</v>
      </c>
      <c r="B845" s="2" t="s">
        <v>2160</v>
      </c>
      <c r="C845" s="2" t="s">
        <v>2132</v>
      </c>
      <c r="D845" s="2" t="s">
        <v>2133</v>
      </c>
    </row>
    <row r="846">
      <c r="A846" s="2" t="s">
        <v>2130</v>
      </c>
      <c r="B846" s="2" t="s">
        <v>2161</v>
      </c>
      <c r="C846" s="2" t="s">
        <v>2132</v>
      </c>
      <c r="D846" s="2" t="s">
        <v>2133</v>
      </c>
    </row>
    <row r="847">
      <c r="A847" s="2" t="s">
        <v>2130</v>
      </c>
      <c r="B847" s="2" t="s">
        <v>2162</v>
      </c>
      <c r="C847" s="2" t="s">
        <v>2132</v>
      </c>
      <c r="D847" s="2" t="s">
        <v>2133</v>
      </c>
    </row>
    <row r="848">
      <c r="A848" s="2" t="s">
        <v>2130</v>
      </c>
      <c r="B848" s="2" t="s">
        <v>2163</v>
      </c>
      <c r="C848" s="2" t="s">
        <v>2132</v>
      </c>
      <c r="D848" s="2" t="s">
        <v>2133</v>
      </c>
    </row>
    <row r="849">
      <c r="A849" s="2" t="s">
        <v>2130</v>
      </c>
      <c r="B849" s="2" t="s">
        <v>2164</v>
      </c>
      <c r="C849" s="2" t="s">
        <v>2132</v>
      </c>
      <c r="D849" s="2" t="s">
        <v>2133</v>
      </c>
    </row>
    <row r="850">
      <c r="A850" s="2" t="s">
        <v>2130</v>
      </c>
      <c r="B850" s="2" t="s">
        <v>2165</v>
      </c>
      <c r="C850" s="2" t="s">
        <v>2132</v>
      </c>
      <c r="D850" s="2" t="s">
        <v>2133</v>
      </c>
    </row>
    <row r="851">
      <c r="A851" s="2" t="s">
        <v>2166</v>
      </c>
      <c r="B851" s="2" t="s">
        <v>2167</v>
      </c>
      <c r="G851" s="2" t="s">
        <v>2168</v>
      </c>
    </row>
    <row r="852">
      <c r="A852" s="2" t="s">
        <v>2166</v>
      </c>
      <c r="B852" s="2" t="s">
        <v>2169</v>
      </c>
      <c r="G852" s="2" t="s">
        <v>2168</v>
      </c>
    </row>
    <row r="853">
      <c r="A853" s="2" t="s">
        <v>2166</v>
      </c>
      <c r="B853" s="2" t="s">
        <v>2170</v>
      </c>
      <c r="G853" s="2" t="s">
        <v>2168</v>
      </c>
    </row>
    <row r="854">
      <c r="A854" s="2" t="s">
        <v>2166</v>
      </c>
      <c r="B854" s="2" t="s">
        <v>2171</v>
      </c>
      <c r="G854" s="2" t="s">
        <v>2168</v>
      </c>
    </row>
    <row r="855">
      <c r="A855" s="2" t="s">
        <v>2166</v>
      </c>
      <c r="B855" s="2" t="s">
        <v>2173</v>
      </c>
      <c r="G855" s="2" t="s">
        <v>2168</v>
      </c>
    </row>
    <row r="856">
      <c r="A856" s="2" t="s">
        <v>2166</v>
      </c>
      <c r="B856" s="2" t="s">
        <v>2174</v>
      </c>
      <c r="G856" s="2" t="s">
        <v>2168</v>
      </c>
    </row>
    <row r="857">
      <c r="A857" s="2" t="s">
        <v>2166</v>
      </c>
      <c r="B857" s="2" t="s">
        <v>2175</v>
      </c>
      <c r="G857" s="2" t="s">
        <v>2168</v>
      </c>
    </row>
    <row r="858">
      <c r="A858" s="2" t="s">
        <v>2166</v>
      </c>
      <c r="B858" s="2" t="s">
        <v>2176</v>
      </c>
      <c r="G858" s="2" t="s">
        <v>2168</v>
      </c>
    </row>
    <row r="859">
      <c r="A859" s="2" t="s">
        <v>2166</v>
      </c>
      <c r="B859" s="2" t="s">
        <v>2178</v>
      </c>
      <c r="G859" s="2" t="s">
        <v>2168</v>
      </c>
    </row>
    <row r="860">
      <c r="A860" s="2" t="s">
        <v>2166</v>
      </c>
      <c r="B860" s="2" t="s">
        <v>2179</v>
      </c>
      <c r="G860" s="2" t="s">
        <v>2168</v>
      </c>
    </row>
    <row r="861">
      <c r="A861" s="2" t="s">
        <v>2166</v>
      </c>
      <c r="B861" s="2" t="s">
        <v>2180</v>
      </c>
      <c r="G861" s="2" t="s">
        <v>2168</v>
      </c>
    </row>
    <row r="862">
      <c r="A862" s="2" t="s">
        <v>2166</v>
      </c>
      <c r="B862" s="2" t="s">
        <v>2181</v>
      </c>
      <c r="G862" s="2" t="s">
        <v>2168</v>
      </c>
    </row>
    <row r="863">
      <c r="A863" s="2" t="s">
        <v>2166</v>
      </c>
      <c r="B863" s="2" t="s">
        <v>2182</v>
      </c>
      <c r="G863" s="2" t="s">
        <v>2168</v>
      </c>
    </row>
    <row r="864">
      <c r="A864" s="2" t="s">
        <v>2166</v>
      </c>
      <c r="B864" s="2" t="s">
        <v>2183</v>
      </c>
      <c r="G864" s="2" t="s">
        <v>2168</v>
      </c>
    </row>
    <row r="865">
      <c r="A865" s="2" t="s">
        <v>2166</v>
      </c>
      <c r="B865" s="2" t="s">
        <v>2184</v>
      </c>
      <c r="G865" s="2" t="s">
        <v>2168</v>
      </c>
    </row>
    <row r="866">
      <c r="A866" s="2" t="s">
        <v>2166</v>
      </c>
      <c r="B866" s="2" t="s">
        <v>2185</v>
      </c>
      <c r="G866" s="2" t="s">
        <v>2168</v>
      </c>
    </row>
    <row r="867">
      <c r="A867" s="2" t="s">
        <v>2166</v>
      </c>
      <c r="B867" s="2" t="s">
        <v>2186</v>
      </c>
      <c r="G867" s="2" t="s">
        <v>2168</v>
      </c>
    </row>
    <row r="868">
      <c r="A868" s="2" t="s">
        <v>2166</v>
      </c>
      <c r="B868" s="2" t="s">
        <v>2187</v>
      </c>
      <c r="G868" s="2" t="s">
        <v>2168</v>
      </c>
    </row>
    <row r="869">
      <c r="A869" s="2" t="s">
        <v>2166</v>
      </c>
      <c r="B869" s="2" t="s">
        <v>2189</v>
      </c>
      <c r="G869" s="2" t="s">
        <v>2168</v>
      </c>
    </row>
    <row r="870">
      <c r="A870" s="2" t="s">
        <v>2166</v>
      </c>
      <c r="B870" s="2" t="s">
        <v>2190</v>
      </c>
      <c r="G870" s="2" t="s">
        <v>2168</v>
      </c>
    </row>
    <row r="871">
      <c r="A871" s="2" t="s">
        <v>2166</v>
      </c>
      <c r="B871" s="2" t="s">
        <v>2191</v>
      </c>
      <c r="G871" s="2" t="s">
        <v>2168</v>
      </c>
    </row>
    <row r="872">
      <c r="A872" s="2" t="s">
        <v>2166</v>
      </c>
      <c r="B872" s="2" t="s">
        <v>2192</v>
      </c>
      <c r="G872" s="2" t="s">
        <v>2168</v>
      </c>
    </row>
    <row r="873">
      <c r="A873" s="2" t="s">
        <v>2166</v>
      </c>
      <c r="B873" s="2" t="s">
        <v>2193</v>
      </c>
      <c r="G873" s="2" t="s">
        <v>2168</v>
      </c>
    </row>
    <row r="874">
      <c r="A874" s="2" t="s">
        <v>2166</v>
      </c>
      <c r="B874" s="2" t="s">
        <v>2194</v>
      </c>
      <c r="G874" s="2" t="s">
        <v>2168</v>
      </c>
    </row>
    <row r="875">
      <c r="A875" s="2" t="s">
        <v>2166</v>
      </c>
      <c r="B875" s="2" t="s">
        <v>2195</v>
      </c>
      <c r="G875" s="2" t="s">
        <v>2168</v>
      </c>
    </row>
    <row r="876">
      <c r="A876" s="2" t="s">
        <v>2166</v>
      </c>
      <c r="B876" s="2" t="s">
        <v>2196</v>
      </c>
      <c r="G876" s="2" t="s">
        <v>2168</v>
      </c>
    </row>
    <row r="877">
      <c r="A877" s="2" t="s">
        <v>2166</v>
      </c>
      <c r="B877" s="2" t="s">
        <v>2197</v>
      </c>
      <c r="G877" s="2" t="s">
        <v>2168</v>
      </c>
    </row>
    <row r="878">
      <c r="A878" s="2" t="s">
        <v>2166</v>
      </c>
      <c r="B878" s="2" t="s">
        <v>2198</v>
      </c>
      <c r="G878" s="2" t="s">
        <v>2168</v>
      </c>
    </row>
    <row r="879">
      <c r="A879" s="2" t="s">
        <v>2166</v>
      </c>
      <c r="B879" s="2" t="s">
        <v>2199</v>
      </c>
      <c r="G879" s="2" t="s">
        <v>2168</v>
      </c>
    </row>
    <row r="880">
      <c r="A880" s="2" t="s">
        <v>2166</v>
      </c>
      <c r="B880" s="2" t="s">
        <v>2200</v>
      </c>
      <c r="G880" s="2" t="s">
        <v>2168</v>
      </c>
    </row>
    <row r="881">
      <c r="A881" s="2" t="s">
        <v>2166</v>
      </c>
      <c r="B881" s="2" t="s">
        <v>2201</v>
      </c>
      <c r="G881" s="2" t="s">
        <v>2168</v>
      </c>
    </row>
    <row r="882">
      <c r="A882" s="2" t="s">
        <v>2166</v>
      </c>
      <c r="B882" s="2" t="s">
        <v>2202</v>
      </c>
      <c r="G882" s="2" t="s">
        <v>2168</v>
      </c>
    </row>
    <row r="883">
      <c r="A883" s="2" t="s">
        <v>2166</v>
      </c>
      <c r="B883" s="2" t="s">
        <v>2203</v>
      </c>
      <c r="G883" s="2" t="s">
        <v>2168</v>
      </c>
    </row>
    <row r="884">
      <c r="A884" s="2" t="s">
        <v>2166</v>
      </c>
      <c r="B884" s="2" t="s">
        <v>2205</v>
      </c>
      <c r="G884" s="2" t="s">
        <v>2168</v>
      </c>
    </row>
    <row r="885">
      <c r="A885" s="2" t="s">
        <v>2166</v>
      </c>
      <c r="B885" s="2" t="s">
        <v>2206</v>
      </c>
      <c r="G885" s="2" t="s">
        <v>2168</v>
      </c>
    </row>
    <row r="886">
      <c r="A886" s="2" t="s">
        <v>2166</v>
      </c>
      <c r="B886" s="2" t="s">
        <v>2207</v>
      </c>
      <c r="G886" s="2" t="s">
        <v>2168</v>
      </c>
    </row>
    <row r="887">
      <c r="A887" s="2" t="s">
        <v>2208</v>
      </c>
      <c r="B887" s="2" t="s">
        <v>2209</v>
      </c>
      <c r="G887" s="2" t="s">
        <v>2210</v>
      </c>
    </row>
    <row r="888">
      <c r="A888" s="2" t="s">
        <v>2208</v>
      </c>
      <c r="B888" s="2" t="s">
        <v>2211</v>
      </c>
      <c r="G888" s="2" t="s">
        <v>2210</v>
      </c>
    </row>
    <row r="889">
      <c r="A889" s="2" t="s">
        <v>2208</v>
      </c>
      <c r="B889" s="2" t="s">
        <v>2214</v>
      </c>
      <c r="G889" s="2" t="s">
        <v>2210</v>
      </c>
    </row>
    <row r="890">
      <c r="A890" s="2" t="s">
        <v>2208</v>
      </c>
      <c r="B890" s="2" t="s">
        <v>2215</v>
      </c>
      <c r="G890" s="2" t="s">
        <v>2210</v>
      </c>
    </row>
    <row r="891">
      <c r="A891" s="2" t="s">
        <v>2208</v>
      </c>
      <c r="B891" s="2" t="s">
        <v>2216</v>
      </c>
      <c r="G891" s="2" t="s">
        <v>2210</v>
      </c>
    </row>
    <row r="892">
      <c r="A892" s="2" t="s">
        <v>2208</v>
      </c>
      <c r="B892" s="2" t="s">
        <v>2217</v>
      </c>
      <c r="G892" s="2" t="s">
        <v>2210</v>
      </c>
    </row>
    <row r="893">
      <c r="A893" s="2" t="s">
        <v>2208</v>
      </c>
      <c r="B893" s="2" t="s">
        <v>2218</v>
      </c>
      <c r="G893" s="2" t="s">
        <v>2210</v>
      </c>
    </row>
    <row r="894">
      <c r="A894" s="2" t="s">
        <v>2208</v>
      </c>
      <c r="B894" s="2" t="s">
        <v>2219</v>
      </c>
      <c r="G894" s="2" t="s">
        <v>2210</v>
      </c>
    </row>
    <row r="895">
      <c r="A895" s="2" t="s">
        <v>2208</v>
      </c>
      <c r="B895" s="2" t="s">
        <v>2220</v>
      </c>
      <c r="G895" s="2" t="s">
        <v>2210</v>
      </c>
    </row>
    <row r="896">
      <c r="A896" s="2" t="s">
        <v>2208</v>
      </c>
      <c r="B896" s="2" t="s">
        <v>2221</v>
      </c>
      <c r="G896" s="2" t="s">
        <v>2210</v>
      </c>
    </row>
    <row r="897">
      <c r="A897" s="2" t="s">
        <v>2208</v>
      </c>
      <c r="B897" s="2" t="s">
        <v>2222</v>
      </c>
      <c r="G897" s="2" t="s">
        <v>2210</v>
      </c>
    </row>
    <row r="898">
      <c r="A898" s="2" t="s">
        <v>2208</v>
      </c>
      <c r="B898" s="2" t="s">
        <v>2223</v>
      </c>
      <c r="G898" s="2" t="s">
        <v>2210</v>
      </c>
    </row>
    <row r="899">
      <c r="A899" s="2" t="s">
        <v>2208</v>
      </c>
      <c r="B899" s="2" t="s">
        <v>2225</v>
      </c>
      <c r="G899" s="2" t="s">
        <v>2210</v>
      </c>
    </row>
    <row r="900">
      <c r="A900" s="2" t="s">
        <v>2208</v>
      </c>
      <c r="B900" s="2" t="s">
        <v>2226</v>
      </c>
      <c r="G900" s="2" t="s">
        <v>2210</v>
      </c>
    </row>
    <row r="901">
      <c r="A901" s="2" t="s">
        <v>2208</v>
      </c>
      <c r="B901" s="2" t="s">
        <v>2227</v>
      </c>
      <c r="G901" s="2" t="s">
        <v>2210</v>
      </c>
    </row>
    <row r="902">
      <c r="A902" s="2" t="s">
        <v>2208</v>
      </c>
      <c r="B902" s="2" t="s">
        <v>2228</v>
      </c>
      <c r="G902" s="2" t="s">
        <v>2210</v>
      </c>
    </row>
    <row r="903">
      <c r="A903" s="2" t="s">
        <v>2229</v>
      </c>
      <c r="B903" s="2" t="s">
        <v>2230</v>
      </c>
      <c r="C903" s="2" t="s">
        <v>2231</v>
      </c>
      <c r="D903" s="2" t="s">
        <v>2232</v>
      </c>
    </row>
    <row r="904">
      <c r="A904" s="2" t="s">
        <v>2229</v>
      </c>
      <c r="B904" s="2" t="s">
        <v>2233</v>
      </c>
      <c r="C904" s="2" t="s">
        <v>2231</v>
      </c>
      <c r="D904" s="2" t="s">
        <v>2234</v>
      </c>
    </row>
    <row r="905">
      <c r="A905" s="2" t="s">
        <v>2229</v>
      </c>
      <c r="B905" s="2" t="s">
        <v>2235</v>
      </c>
      <c r="C905" s="2" t="s">
        <v>2231</v>
      </c>
      <c r="D905" s="2" t="s">
        <v>2234</v>
      </c>
    </row>
    <row r="906">
      <c r="A906" s="2" t="s">
        <v>2229</v>
      </c>
      <c r="B906" s="2" t="s">
        <v>2236</v>
      </c>
      <c r="C906" s="2" t="s">
        <v>2231</v>
      </c>
      <c r="D906" s="2" t="s">
        <v>2234</v>
      </c>
    </row>
    <row r="907">
      <c r="A907" s="2" t="s">
        <v>2229</v>
      </c>
      <c r="B907" s="2" t="s">
        <v>2237</v>
      </c>
      <c r="C907" s="2" t="s">
        <v>2231</v>
      </c>
      <c r="D907" s="2" t="s">
        <v>2234</v>
      </c>
    </row>
    <row r="908">
      <c r="A908" s="2" t="s">
        <v>2229</v>
      </c>
      <c r="B908" s="2" t="s">
        <v>2238</v>
      </c>
      <c r="C908" s="2" t="s">
        <v>2231</v>
      </c>
      <c r="D908" s="2" t="s">
        <v>2234</v>
      </c>
    </row>
    <row r="909">
      <c r="A909" s="2" t="s">
        <v>2229</v>
      </c>
      <c r="B909" s="2" t="s">
        <v>2239</v>
      </c>
      <c r="C909" s="2" t="s">
        <v>2231</v>
      </c>
      <c r="D909" s="2" t="s">
        <v>2234</v>
      </c>
    </row>
    <row r="910">
      <c r="A910" s="2" t="s">
        <v>2229</v>
      </c>
      <c r="B910" s="2" t="s">
        <v>2240</v>
      </c>
      <c r="C910" s="2" t="s">
        <v>2231</v>
      </c>
      <c r="D910" s="2" t="s">
        <v>2234</v>
      </c>
    </row>
    <row r="911">
      <c r="A911" s="2" t="s">
        <v>2229</v>
      </c>
      <c r="B911" s="2" t="s">
        <v>2241</v>
      </c>
      <c r="C911" s="2" t="s">
        <v>2231</v>
      </c>
      <c r="D911" s="2" t="s">
        <v>2234</v>
      </c>
    </row>
    <row r="912">
      <c r="A912" s="2" t="s">
        <v>2229</v>
      </c>
      <c r="B912" s="2" t="s">
        <v>2242</v>
      </c>
      <c r="C912" s="2" t="s">
        <v>2231</v>
      </c>
      <c r="D912" s="2" t="s">
        <v>2234</v>
      </c>
    </row>
    <row r="913">
      <c r="A913" s="2" t="s">
        <v>2243</v>
      </c>
      <c r="B913" s="2" t="s">
        <v>2244</v>
      </c>
      <c r="G913" s="2" t="s">
        <v>2245</v>
      </c>
    </row>
    <row r="914">
      <c r="A914" s="2" t="s">
        <v>2243</v>
      </c>
      <c r="B914" s="2" t="s">
        <v>2246</v>
      </c>
      <c r="G914" s="2" t="s">
        <v>2245</v>
      </c>
    </row>
    <row r="915">
      <c r="A915" s="2" t="s">
        <v>2243</v>
      </c>
      <c r="B915" s="2" t="s">
        <v>2248</v>
      </c>
      <c r="G915" s="2" t="s">
        <v>2245</v>
      </c>
    </row>
    <row r="916">
      <c r="A916" s="2" t="s">
        <v>2243</v>
      </c>
      <c r="B916" s="2" t="s">
        <v>2249</v>
      </c>
      <c r="G916" s="2" t="s">
        <v>2245</v>
      </c>
    </row>
    <row r="917">
      <c r="A917" s="2" t="s">
        <v>2243</v>
      </c>
      <c r="B917" s="2" t="s">
        <v>2250</v>
      </c>
      <c r="G917" s="2" t="s">
        <v>2245</v>
      </c>
    </row>
    <row r="918">
      <c r="A918" s="2" t="s">
        <v>2243</v>
      </c>
      <c r="B918" s="2" t="s">
        <v>2251</v>
      </c>
      <c r="G918" s="2" t="s">
        <v>2245</v>
      </c>
    </row>
    <row r="919">
      <c r="A919" s="2" t="s">
        <v>2243</v>
      </c>
      <c r="B919" s="2" t="s">
        <v>2252</v>
      </c>
      <c r="G919" s="2" t="s">
        <v>2245</v>
      </c>
    </row>
    <row r="920">
      <c r="A920" s="2" t="s">
        <v>2243</v>
      </c>
      <c r="B920" s="2" t="s">
        <v>2253</v>
      </c>
      <c r="G920" s="2" t="s">
        <v>2245</v>
      </c>
    </row>
    <row r="921">
      <c r="A921" s="2" t="s">
        <v>2243</v>
      </c>
      <c r="B921" s="2" t="s">
        <v>2254</v>
      </c>
      <c r="G921" s="2" t="s">
        <v>2245</v>
      </c>
    </row>
    <row r="922">
      <c r="A922" s="2" t="s">
        <v>2243</v>
      </c>
      <c r="B922" s="2" t="s">
        <v>2255</v>
      </c>
      <c r="G922" s="2" t="s">
        <v>2245</v>
      </c>
    </row>
    <row r="923">
      <c r="A923" s="2" t="s">
        <v>2243</v>
      </c>
      <c r="B923" s="2" t="s">
        <v>2256</v>
      </c>
      <c r="G923" s="2" t="s">
        <v>2245</v>
      </c>
    </row>
    <row r="924">
      <c r="A924" s="2" t="s">
        <v>2243</v>
      </c>
      <c r="B924" s="2" t="s">
        <v>2257</v>
      </c>
      <c r="G924" s="2" t="s">
        <v>2245</v>
      </c>
    </row>
    <row r="925">
      <c r="A925" s="2" t="s">
        <v>2243</v>
      </c>
      <c r="B925" s="2" t="s">
        <v>2258</v>
      </c>
      <c r="G925" s="2" t="s">
        <v>2245</v>
      </c>
    </row>
    <row r="926">
      <c r="A926" s="2" t="s">
        <v>2243</v>
      </c>
      <c r="B926" s="2" t="s">
        <v>2258</v>
      </c>
      <c r="G926" s="2" t="s">
        <v>2245</v>
      </c>
    </row>
    <row r="927">
      <c r="A927" s="2" t="s">
        <v>2243</v>
      </c>
      <c r="B927" s="2" t="s">
        <v>2259</v>
      </c>
      <c r="G927" s="2" t="s">
        <v>2245</v>
      </c>
    </row>
    <row r="928">
      <c r="A928" s="2" t="s">
        <v>2243</v>
      </c>
      <c r="B928" s="2" t="s">
        <v>2261</v>
      </c>
      <c r="G928" s="2" t="s">
        <v>2245</v>
      </c>
    </row>
    <row r="929">
      <c r="A929" s="2" t="s">
        <v>2243</v>
      </c>
      <c r="B929" s="2" t="s">
        <v>2262</v>
      </c>
      <c r="G929" s="2" t="s">
        <v>2245</v>
      </c>
    </row>
    <row r="930">
      <c r="A930" s="2" t="s">
        <v>2243</v>
      </c>
      <c r="B930" s="2" t="s">
        <v>2263</v>
      </c>
      <c r="G930" s="2" t="s">
        <v>2245</v>
      </c>
    </row>
    <row r="931">
      <c r="A931" s="2" t="s">
        <v>2243</v>
      </c>
      <c r="B931" s="2" t="s">
        <v>2264</v>
      </c>
      <c r="G931" s="2" t="s">
        <v>2245</v>
      </c>
    </row>
    <row r="932">
      <c r="A932" s="2" t="s">
        <v>2243</v>
      </c>
      <c r="B932" s="2" t="s">
        <v>2265</v>
      </c>
      <c r="G932" s="2" t="s">
        <v>2245</v>
      </c>
    </row>
    <row r="933">
      <c r="A933" s="2" t="s">
        <v>2243</v>
      </c>
      <c r="B933" s="2" t="s">
        <v>2266</v>
      </c>
      <c r="G933" s="2" t="s">
        <v>2245</v>
      </c>
    </row>
    <row r="934">
      <c r="A934" s="2" t="s">
        <v>2243</v>
      </c>
      <c r="B934" s="2" t="s">
        <v>2267</v>
      </c>
      <c r="G934" s="2" t="s">
        <v>2245</v>
      </c>
    </row>
    <row r="935">
      <c r="A935" s="2" t="s">
        <v>2243</v>
      </c>
      <c r="B935" s="2" t="s">
        <v>2268</v>
      </c>
      <c r="G935" s="2" t="s">
        <v>2245</v>
      </c>
    </row>
    <row r="936">
      <c r="A936" s="2" t="s">
        <v>2243</v>
      </c>
      <c r="B936" s="2" t="s">
        <v>2269</v>
      </c>
      <c r="G936" s="2" t="s">
        <v>2245</v>
      </c>
    </row>
    <row r="937">
      <c r="A937" s="2" t="s">
        <v>2243</v>
      </c>
      <c r="B937" s="2" t="s">
        <v>2270</v>
      </c>
      <c r="G937" s="2" t="s">
        <v>2245</v>
      </c>
    </row>
    <row r="938">
      <c r="A938" s="2" t="s">
        <v>2243</v>
      </c>
      <c r="B938" s="2" t="s">
        <v>2271</v>
      </c>
      <c r="G938" s="2" t="s">
        <v>2245</v>
      </c>
    </row>
    <row r="939">
      <c r="A939" s="2" t="s">
        <v>2243</v>
      </c>
      <c r="B939" s="2" t="s">
        <v>2272</v>
      </c>
      <c r="G939" s="2" t="s">
        <v>2245</v>
      </c>
    </row>
    <row r="940">
      <c r="A940" s="2" t="s">
        <v>2243</v>
      </c>
      <c r="B940" s="2" t="s">
        <v>2273</v>
      </c>
      <c r="G940" s="2" t="s">
        <v>2245</v>
      </c>
    </row>
    <row r="941">
      <c r="A941" s="2" t="s">
        <v>2243</v>
      </c>
      <c r="B941" s="2" t="s">
        <v>2274</v>
      </c>
      <c r="G941" s="2" t="s">
        <v>2245</v>
      </c>
    </row>
    <row r="942">
      <c r="A942" s="2" t="s">
        <v>2243</v>
      </c>
      <c r="B942" s="2" t="s">
        <v>2275</v>
      </c>
      <c r="G942" s="2" t="s">
        <v>2245</v>
      </c>
    </row>
    <row r="943">
      <c r="A943" s="2" t="s">
        <v>2243</v>
      </c>
      <c r="B943" s="2" t="s">
        <v>2276</v>
      </c>
      <c r="G943" s="2" t="s">
        <v>2245</v>
      </c>
    </row>
    <row r="944">
      <c r="A944" s="2" t="s">
        <v>2243</v>
      </c>
      <c r="B944" s="2" t="s">
        <v>2278</v>
      </c>
      <c r="G944" s="2" t="s">
        <v>2245</v>
      </c>
    </row>
    <row r="945">
      <c r="A945" s="2" t="s">
        <v>2243</v>
      </c>
      <c r="B945" s="2" t="s">
        <v>2279</v>
      </c>
      <c r="G945" s="2" t="s">
        <v>2245</v>
      </c>
    </row>
    <row r="946">
      <c r="A946" s="2" t="s">
        <v>2243</v>
      </c>
      <c r="B946" s="2" t="s">
        <v>2280</v>
      </c>
      <c r="G946" s="2" t="s">
        <v>2245</v>
      </c>
    </row>
    <row r="947">
      <c r="A947" s="2" t="s">
        <v>2243</v>
      </c>
      <c r="B947" s="2" t="s">
        <v>2281</v>
      </c>
      <c r="G947" s="2" t="s">
        <v>2245</v>
      </c>
    </row>
    <row r="948">
      <c r="A948" s="2" t="s">
        <v>2243</v>
      </c>
      <c r="B948" s="2" t="s">
        <v>2283</v>
      </c>
      <c r="G948" s="2" t="s">
        <v>2245</v>
      </c>
    </row>
    <row r="949">
      <c r="A949" s="2" t="s">
        <v>2243</v>
      </c>
      <c r="B949" s="2" t="s">
        <v>2284</v>
      </c>
      <c r="G949" s="2" t="s">
        <v>2245</v>
      </c>
    </row>
    <row r="950">
      <c r="A950" s="2" t="s">
        <v>2243</v>
      </c>
      <c r="B950" s="2" t="s">
        <v>2285</v>
      </c>
      <c r="G950" s="2" t="s">
        <v>2245</v>
      </c>
    </row>
    <row r="951">
      <c r="A951" s="2" t="s">
        <v>2243</v>
      </c>
      <c r="B951" s="2" t="s">
        <v>2286</v>
      </c>
      <c r="G951" s="2" t="s">
        <v>2245</v>
      </c>
    </row>
    <row r="952">
      <c r="A952" s="2" t="s">
        <v>2243</v>
      </c>
      <c r="B952" s="2" t="s">
        <v>2287</v>
      </c>
      <c r="G952" s="2" t="s">
        <v>2245</v>
      </c>
    </row>
    <row r="953">
      <c r="A953" s="2" t="s">
        <v>2243</v>
      </c>
      <c r="B953" s="2" t="s">
        <v>2288</v>
      </c>
      <c r="G953" s="2" t="s">
        <v>2245</v>
      </c>
    </row>
    <row r="954">
      <c r="A954" s="2" t="s">
        <v>2243</v>
      </c>
      <c r="B954" s="2" t="s">
        <v>2289</v>
      </c>
      <c r="G954" s="2" t="s">
        <v>2245</v>
      </c>
    </row>
    <row r="955">
      <c r="A955" s="2" t="s">
        <v>2290</v>
      </c>
      <c r="B955" s="2" t="s">
        <v>2291</v>
      </c>
      <c r="G955" s="2" t="s">
        <v>2292</v>
      </c>
    </row>
    <row r="956">
      <c r="A956" s="2" t="s">
        <v>2290</v>
      </c>
      <c r="B956" s="2" t="s">
        <v>2293</v>
      </c>
      <c r="G956" s="2" t="s">
        <v>2292</v>
      </c>
    </row>
    <row r="957">
      <c r="A957" s="2" t="s">
        <v>2290</v>
      </c>
      <c r="B957" s="2" t="s">
        <v>2294</v>
      </c>
      <c r="G957" s="2" t="s">
        <v>2292</v>
      </c>
    </row>
    <row r="958">
      <c r="A958" s="2" t="s">
        <v>2290</v>
      </c>
      <c r="B958" s="2" t="s">
        <v>2295</v>
      </c>
      <c r="G958" s="2" t="s">
        <v>2292</v>
      </c>
    </row>
    <row r="959">
      <c r="A959" s="2" t="s">
        <v>2290</v>
      </c>
      <c r="B959" s="2" t="s">
        <v>2296</v>
      </c>
      <c r="G959" s="2" t="s">
        <v>2292</v>
      </c>
    </row>
    <row r="960">
      <c r="A960" s="2" t="s">
        <v>2290</v>
      </c>
      <c r="B960" s="2" t="s">
        <v>2296</v>
      </c>
      <c r="G960" s="2" t="s">
        <v>2292</v>
      </c>
    </row>
    <row r="961">
      <c r="A961" s="2" t="s">
        <v>2290</v>
      </c>
      <c r="B961" s="2" t="s">
        <v>2297</v>
      </c>
      <c r="G961" s="2" t="s">
        <v>2292</v>
      </c>
    </row>
    <row r="962">
      <c r="A962" s="2" t="s">
        <v>2290</v>
      </c>
      <c r="B962" s="2" t="s">
        <v>2298</v>
      </c>
      <c r="G962" s="2" t="s">
        <v>2292</v>
      </c>
    </row>
    <row r="963">
      <c r="A963" s="2" t="s">
        <v>2290</v>
      </c>
      <c r="B963" s="2" t="s">
        <v>2299</v>
      </c>
      <c r="G963" s="2" t="s">
        <v>2292</v>
      </c>
    </row>
    <row r="964">
      <c r="A964" s="2" t="s">
        <v>2290</v>
      </c>
      <c r="B964" s="2" t="s">
        <v>2301</v>
      </c>
      <c r="G964" s="2" t="s">
        <v>2292</v>
      </c>
    </row>
    <row r="965">
      <c r="A965" s="2" t="s">
        <v>2290</v>
      </c>
      <c r="B965" s="2" t="s">
        <v>2302</v>
      </c>
      <c r="G965" s="2" t="s">
        <v>2292</v>
      </c>
    </row>
    <row r="966">
      <c r="A966" s="2" t="s">
        <v>2290</v>
      </c>
      <c r="B966" s="2" t="s">
        <v>2303</v>
      </c>
      <c r="G966" s="2" t="s">
        <v>2292</v>
      </c>
    </row>
    <row r="967">
      <c r="A967" s="2" t="s">
        <v>2290</v>
      </c>
      <c r="B967" s="2" t="s">
        <v>2304</v>
      </c>
      <c r="G967" s="2" t="s">
        <v>2292</v>
      </c>
    </row>
    <row r="968">
      <c r="A968" s="2" t="s">
        <v>2290</v>
      </c>
      <c r="B968" s="2" t="s">
        <v>2305</v>
      </c>
      <c r="G968" s="2" t="s">
        <v>2292</v>
      </c>
    </row>
    <row r="969">
      <c r="A969" s="2" t="s">
        <v>2290</v>
      </c>
      <c r="B969" s="2" t="s">
        <v>2306</v>
      </c>
      <c r="G969" s="2" t="s">
        <v>2292</v>
      </c>
    </row>
    <row r="970">
      <c r="A970" s="2" t="s">
        <v>2290</v>
      </c>
      <c r="B970" s="2" t="s">
        <v>2306</v>
      </c>
      <c r="G970" s="2" t="s">
        <v>2292</v>
      </c>
    </row>
    <row r="971">
      <c r="A971" s="2" t="s">
        <v>2290</v>
      </c>
      <c r="B971" s="2" t="s">
        <v>2307</v>
      </c>
      <c r="G971" s="2" t="s">
        <v>2292</v>
      </c>
    </row>
    <row r="972">
      <c r="A972" s="2" t="s">
        <v>2290</v>
      </c>
      <c r="B972" s="2" t="s">
        <v>2308</v>
      </c>
      <c r="G972" s="2" t="s">
        <v>2292</v>
      </c>
    </row>
    <row r="973">
      <c r="A973" s="2" t="s">
        <v>2290</v>
      </c>
      <c r="B973" s="2" t="s">
        <v>2309</v>
      </c>
      <c r="G973" s="2" t="s">
        <v>2292</v>
      </c>
    </row>
    <row r="974">
      <c r="A974" s="2" t="s">
        <v>2290</v>
      </c>
      <c r="B974" s="2" t="s">
        <v>2310</v>
      </c>
      <c r="G974" s="2" t="s">
        <v>2292</v>
      </c>
    </row>
    <row r="975">
      <c r="A975" s="2" t="s">
        <v>2290</v>
      </c>
      <c r="B975" s="2" t="s">
        <v>2311</v>
      </c>
      <c r="G975" s="2" t="s">
        <v>2292</v>
      </c>
    </row>
    <row r="976">
      <c r="A976" s="2" t="s">
        <v>2290</v>
      </c>
      <c r="B976" s="2" t="s">
        <v>2311</v>
      </c>
      <c r="G976" s="2" t="s">
        <v>2292</v>
      </c>
    </row>
    <row r="977">
      <c r="A977" s="2" t="s">
        <v>2290</v>
      </c>
      <c r="B977" s="2" t="s">
        <v>2312</v>
      </c>
      <c r="G977" s="2" t="s">
        <v>2292</v>
      </c>
    </row>
    <row r="978">
      <c r="A978" s="2" t="s">
        <v>2290</v>
      </c>
      <c r="B978" s="2" t="s">
        <v>2314</v>
      </c>
      <c r="G978" s="2" t="s">
        <v>2292</v>
      </c>
    </row>
    <row r="979">
      <c r="A979" s="2" t="s">
        <v>2290</v>
      </c>
      <c r="B979" s="2" t="s">
        <v>2315</v>
      </c>
      <c r="G979" s="2" t="s">
        <v>2292</v>
      </c>
    </row>
    <row r="980">
      <c r="A980" s="2" t="s">
        <v>2290</v>
      </c>
      <c r="B980" s="2" t="s">
        <v>2316</v>
      </c>
      <c r="G980" s="2" t="s">
        <v>2292</v>
      </c>
    </row>
    <row r="981">
      <c r="A981" s="2" t="s">
        <v>2290</v>
      </c>
      <c r="B981" s="2" t="s">
        <v>2317</v>
      </c>
      <c r="G981" s="2" t="s">
        <v>2292</v>
      </c>
    </row>
    <row r="982">
      <c r="A982" s="2" t="s">
        <v>2290</v>
      </c>
      <c r="B982" s="2" t="s">
        <v>2318</v>
      </c>
      <c r="G982" s="2" t="s">
        <v>2292</v>
      </c>
    </row>
    <row r="983">
      <c r="A983" s="2" t="s">
        <v>2290</v>
      </c>
      <c r="B983" s="2" t="s">
        <v>2319</v>
      </c>
      <c r="G983" s="2" t="s">
        <v>2292</v>
      </c>
    </row>
    <row r="984">
      <c r="A984" s="2" t="s">
        <v>2290</v>
      </c>
      <c r="B984" s="2" t="s">
        <v>2319</v>
      </c>
      <c r="G984" s="2" t="s">
        <v>2292</v>
      </c>
    </row>
    <row r="985">
      <c r="A985" s="2" t="s">
        <v>2290</v>
      </c>
      <c r="B985" s="2" t="s">
        <v>2320</v>
      </c>
      <c r="G985" s="2" t="s">
        <v>2292</v>
      </c>
    </row>
    <row r="986">
      <c r="A986" s="2" t="s">
        <v>2290</v>
      </c>
      <c r="B986" s="2" t="s">
        <v>2320</v>
      </c>
      <c r="G986" s="2" t="s">
        <v>2292</v>
      </c>
    </row>
    <row r="987">
      <c r="A987" s="2" t="s">
        <v>2290</v>
      </c>
      <c r="B987" s="2" t="s">
        <v>2321</v>
      </c>
      <c r="G987" s="2" t="s">
        <v>2292</v>
      </c>
    </row>
    <row r="988">
      <c r="A988" s="2" t="s">
        <v>2290</v>
      </c>
      <c r="B988" s="2" t="s">
        <v>2323</v>
      </c>
      <c r="G988" s="2" t="s">
        <v>2292</v>
      </c>
    </row>
    <row r="989">
      <c r="A989" s="2" t="s">
        <v>2290</v>
      </c>
      <c r="B989" s="2" t="s">
        <v>2324</v>
      </c>
      <c r="G989" s="2" t="s">
        <v>2292</v>
      </c>
    </row>
    <row r="990">
      <c r="A990" s="2" t="s">
        <v>2290</v>
      </c>
      <c r="B990" s="2" t="s">
        <v>2325</v>
      </c>
      <c r="G990" s="2" t="s">
        <v>2292</v>
      </c>
    </row>
    <row r="991">
      <c r="A991" s="2" t="s">
        <v>2290</v>
      </c>
      <c r="B991" s="2" t="s">
        <v>2326</v>
      </c>
      <c r="G991" s="2" t="s">
        <v>2292</v>
      </c>
    </row>
    <row r="992">
      <c r="A992" s="2" t="s">
        <v>2290</v>
      </c>
      <c r="B992" s="2" t="s">
        <v>2327</v>
      </c>
      <c r="G992" s="2" t="s">
        <v>2292</v>
      </c>
    </row>
    <row r="993">
      <c r="A993" s="2" t="s">
        <v>2290</v>
      </c>
      <c r="B993" s="2" t="s">
        <v>2329</v>
      </c>
      <c r="G993" s="2" t="s">
        <v>2292</v>
      </c>
    </row>
    <row r="994">
      <c r="A994" s="2" t="s">
        <v>2290</v>
      </c>
      <c r="B994" s="2" t="s">
        <v>2330</v>
      </c>
      <c r="G994" s="2" t="s">
        <v>2292</v>
      </c>
    </row>
    <row r="995">
      <c r="A995" s="2" t="s">
        <v>2290</v>
      </c>
      <c r="B995" s="2" t="s">
        <v>2331</v>
      </c>
      <c r="G995" s="2" t="s">
        <v>2292</v>
      </c>
    </row>
    <row r="996">
      <c r="A996" s="2" t="s">
        <v>2290</v>
      </c>
      <c r="B996" s="2" t="s">
        <v>2331</v>
      </c>
      <c r="G996" s="2" t="s">
        <v>2292</v>
      </c>
    </row>
    <row r="997">
      <c r="A997" s="2" t="s">
        <v>2290</v>
      </c>
      <c r="B997" s="2" t="s">
        <v>2332</v>
      </c>
      <c r="G997" s="2" t="s">
        <v>2292</v>
      </c>
    </row>
    <row r="998">
      <c r="A998" s="2" t="s">
        <v>2290</v>
      </c>
      <c r="B998" s="2" t="s">
        <v>2332</v>
      </c>
      <c r="G998" s="2" t="s">
        <v>2292</v>
      </c>
    </row>
    <row r="999">
      <c r="A999" s="2" t="s">
        <v>2290</v>
      </c>
      <c r="B999" s="2" t="s">
        <v>2333</v>
      </c>
      <c r="G999" s="2" t="s">
        <v>2292</v>
      </c>
    </row>
    <row r="1000">
      <c r="A1000" s="2" t="s">
        <v>2290</v>
      </c>
      <c r="B1000" s="2" t="s">
        <v>2333</v>
      </c>
      <c r="G1000" s="2" t="s">
        <v>2292</v>
      </c>
    </row>
    <row r="1001">
      <c r="A1001" s="2" t="s">
        <v>2290</v>
      </c>
      <c r="B1001" s="2" t="s">
        <v>2334</v>
      </c>
      <c r="G1001" s="2" t="s">
        <v>2292</v>
      </c>
    </row>
    <row r="1002">
      <c r="A1002" s="2" t="s">
        <v>2290</v>
      </c>
      <c r="B1002" s="2" t="s">
        <v>2335</v>
      </c>
      <c r="G1002" s="2" t="s">
        <v>2292</v>
      </c>
    </row>
    <row r="1003">
      <c r="A1003" s="2" t="s">
        <v>2290</v>
      </c>
      <c r="B1003" s="2" t="s">
        <v>2336</v>
      </c>
      <c r="G1003" s="2" t="s">
        <v>2292</v>
      </c>
    </row>
    <row r="1004">
      <c r="A1004" s="2" t="s">
        <v>2290</v>
      </c>
      <c r="B1004" s="2" t="s">
        <v>2338</v>
      </c>
      <c r="G1004" s="2" t="s">
        <v>2292</v>
      </c>
    </row>
    <row r="1005">
      <c r="A1005" s="2" t="s">
        <v>2290</v>
      </c>
      <c r="B1005" s="2" t="s">
        <v>2338</v>
      </c>
      <c r="G1005" s="2" t="s">
        <v>2292</v>
      </c>
    </row>
    <row r="1006">
      <c r="A1006" s="2" t="s">
        <v>2290</v>
      </c>
      <c r="B1006" s="2" t="s">
        <v>2338</v>
      </c>
      <c r="G1006" s="2" t="s">
        <v>2292</v>
      </c>
    </row>
    <row r="1007">
      <c r="A1007" s="2" t="s">
        <v>2290</v>
      </c>
      <c r="B1007" s="2" t="s">
        <v>2339</v>
      </c>
      <c r="G1007" s="2" t="s">
        <v>2292</v>
      </c>
    </row>
    <row r="1008">
      <c r="A1008" s="2" t="s">
        <v>2290</v>
      </c>
      <c r="B1008" s="2" t="s">
        <v>2340</v>
      </c>
      <c r="G1008" s="2" t="s">
        <v>2292</v>
      </c>
    </row>
    <row r="1009">
      <c r="A1009" s="2" t="s">
        <v>2290</v>
      </c>
      <c r="B1009" s="2" t="s">
        <v>2341</v>
      </c>
      <c r="G1009" s="2" t="s">
        <v>2292</v>
      </c>
    </row>
    <row r="1010">
      <c r="A1010" s="2" t="s">
        <v>2290</v>
      </c>
      <c r="B1010" s="2" t="s">
        <v>2344</v>
      </c>
      <c r="G1010" s="2" t="s">
        <v>2292</v>
      </c>
    </row>
    <row r="1011">
      <c r="A1011" s="2" t="s">
        <v>2290</v>
      </c>
      <c r="B1011" s="2" t="s">
        <v>2345</v>
      </c>
      <c r="G1011" s="2" t="s">
        <v>2292</v>
      </c>
    </row>
    <row r="1012">
      <c r="A1012" s="2" t="s">
        <v>2290</v>
      </c>
      <c r="B1012" s="2" t="s">
        <v>2346</v>
      </c>
      <c r="G1012" s="2" t="s">
        <v>2292</v>
      </c>
    </row>
    <row r="1013">
      <c r="A1013" s="2" t="s">
        <v>2290</v>
      </c>
      <c r="B1013" s="2" t="s">
        <v>2347</v>
      </c>
      <c r="G1013" s="2" t="s">
        <v>2292</v>
      </c>
    </row>
    <row r="1014">
      <c r="A1014" s="2" t="s">
        <v>2290</v>
      </c>
      <c r="B1014" s="2" t="s">
        <v>2348</v>
      </c>
      <c r="G1014" s="2" t="s">
        <v>2292</v>
      </c>
    </row>
    <row r="1015">
      <c r="A1015" s="2" t="s">
        <v>2290</v>
      </c>
      <c r="B1015" s="2" t="s">
        <v>2349</v>
      </c>
      <c r="G1015" s="2" t="s">
        <v>2292</v>
      </c>
    </row>
    <row r="1016">
      <c r="A1016" s="2" t="s">
        <v>2290</v>
      </c>
      <c r="B1016" s="2" t="s">
        <v>2350</v>
      </c>
      <c r="G1016" s="2" t="s">
        <v>2292</v>
      </c>
    </row>
    <row r="1017">
      <c r="A1017" s="2" t="s">
        <v>2290</v>
      </c>
      <c r="B1017" s="2" t="s">
        <v>2351</v>
      </c>
      <c r="G1017" s="2" t="s">
        <v>2292</v>
      </c>
    </row>
    <row r="1018">
      <c r="A1018" s="2" t="s">
        <v>2290</v>
      </c>
      <c r="B1018" s="2" t="s">
        <v>2352</v>
      </c>
      <c r="G1018" s="2" t="s">
        <v>2292</v>
      </c>
    </row>
    <row r="1019">
      <c r="A1019" s="2" t="s">
        <v>2290</v>
      </c>
      <c r="B1019" s="2" t="s">
        <v>2353</v>
      </c>
      <c r="G1019" s="2" t="s">
        <v>2292</v>
      </c>
    </row>
    <row r="1020">
      <c r="A1020" s="2" t="s">
        <v>2290</v>
      </c>
      <c r="B1020" s="2" t="s">
        <v>2353</v>
      </c>
      <c r="G1020" s="2" t="s">
        <v>2292</v>
      </c>
    </row>
    <row r="1021">
      <c r="A1021" s="2" t="s">
        <v>2290</v>
      </c>
      <c r="B1021" s="2" t="s">
        <v>2357</v>
      </c>
      <c r="G1021" s="2" t="s">
        <v>2292</v>
      </c>
    </row>
    <row r="1022">
      <c r="A1022" s="2" t="s">
        <v>2290</v>
      </c>
      <c r="B1022" s="2" t="s">
        <v>2358</v>
      </c>
      <c r="G1022" s="2" t="s">
        <v>2292</v>
      </c>
    </row>
    <row r="1023">
      <c r="A1023" s="2" t="s">
        <v>2290</v>
      </c>
      <c r="B1023" s="2" t="s">
        <v>2359</v>
      </c>
      <c r="G1023" s="2" t="s">
        <v>2292</v>
      </c>
    </row>
    <row r="1024">
      <c r="A1024" s="2" t="s">
        <v>2290</v>
      </c>
      <c r="B1024" s="2" t="s">
        <v>2360</v>
      </c>
      <c r="G1024" s="2" t="s">
        <v>2292</v>
      </c>
    </row>
    <row r="1025">
      <c r="A1025" s="2" t="s">
        <v>2290</v>
      </c>
      <c r="B1025" s="2" t="s">
        <v>2361</v>
      </c>
      <c r="G1025" s="2" t="s">
        <v>2292</v>
      </c>
    </row>
    <row r="1026">
      <c r="A1026" s="2" t="s">
        <v>2290</v>
      </c>
      <c r="B1026" s="2" t="s">
        <v>2361</v>
      </c>
      <c r="G1026" s="2" t="s">
        <v>2292</v>
      </c>
    </row>
    <row r="1027">
      <c r="A1027" s="2" t="s">
        <v>2290</v>
      </c>
      <c r="B1027" s="2" t="s">
        <v>2362</v>
      </c>
      <c r="G1027" s="2" t="s">
        <v>2292</v>
      </c>
    </row>
    <row r="1028">
      <c r="A1028" s="2" t="s">
        <v>2290</v>
      </c>
      <c r="B1028" s="2" t="s">
        <v>2363</v>
      </c>
      <c r="G1028" s="2" t="s">
        <v>2292</v>
      </c>
    </row>
    <row r="1029">
      <c r="A1029" s="2" t="s">
        <v>2290</v>
      </c>
      <c r="B1029" s="2" t="s">
        <v>2364</v>
      </c>
      <c r="G1029" s="2" t="s">
        <v>2292</v>
      </c>
    </row>
    <row r="1030">
      <c r="A1030" s="2" t="s">
        <v>2290</v>
      </c>
      <c r="B1030" s="2" t="s">
        <v>2364</v>
      </c>
      <c r="G1030" s="2" t="s">
        <v>2292</v>
      </c>
    </row>
    <row r="1031">
      <c r="A1031" s="2" t="s">
        <v>2290</v>
      </c>
      <c r="B1031" s="2" t="s">
        <v>2365</v>
      </c>
      <c r="G1031" s="2" t="s">
        <v>2292</v>
      </c>
    </row>
    <row r="1032">
      <c r="A1032" s="2" t="s">
        <v>2290</v>
      </c>
      <c r="B1032" s="2" t="s">
        <v>2366</v>
      </c>
      <c r="G1032" s="2" t="s">
        <v>2292</v>
      </c>
    </row>
    <row r="1033">
      <c r="A1033" s="2" t="s">
        <v>2290</v>
      </c>
      <c r="B1033" s="2" t="s">
        <v>2367</v>
      </c>
      <c r="G1033" s="2" t="s">
        <v>2292</v>
      </c>
    </row>
    <row r="1034">
      <c r="A1034" s="2" t="s">
        <v>2290</v>
      </c>
      <c r="B1034" s="2" t="s">
        <v>2368</v>
      </c>
      <c r="G1034" s="2" t="s">
        <v>2292</v>
      </c>
    </row>
    <row r="1035">
      <c r="A1035" s="2" t="s">
        <v>2290</v>
      </c>
      <c r="B1035" s="2" t="s">
        <v>2369</v>
      </c>
      <c r="G1035" s="2" t="s">
        <v>2292</v>
      </c>
    </row>
    <row r="1036">
      <c r="A1036" s="2" t="s">
        <v>2290</v>
      </c>
      <c r="B1036" s="2" t="s">
        <v>2370</v>
      </c>
      <c r="G1036" s="2" t="s">
        <v>2292</v>
      </c>
    </row>
    <row r="1037">
      <c r="A1037" s="2" t="s">
        <v>2290</v>
      </c>
      <c r="B1037" s="2" t="s">
        <v>2371</v>
      </c>
      <c r="G1037" s="2" t="s">
        <v>2292</v>
      </c>
    </row>
    <row r="1038">
      <c r="A1038" s="2" t="s">
        <v>2290</v>
      </c>
      <c r="B1038" s="2" t="s">
        <v>2373</v>
      </c>
      <c r="G1038" s="2" t="s">
        <v>2292</v>
      </c>
    </row>
    <row r="1039">
      <c r="A1039" s="2" t="s">
        <v>2290</v>
      </c>
      <c r="B1039" s="2" t="s">
        <v>2375</v>
      </c>
      <c r="G1039" s="2" t="s">
        <v>2292</v>
      </c>
    </row>
    <row r="1040">
      <c r="A1040" s="2" t="s">
        <v>2290</v>
      </c>
      <c r="B1040" s="2" t="s">
        <v>2376</v>
      </c>
      <c r="G1040" s="2" t="s">
        <v>2292</v>
      </c>
    </row>
    <row r="1041">
      <c r="A1041" s="2" t="s">
        <v>2290</v>
      </c>
      <c r="B1041" s="2" t="s">
        <v>2376</v>
      </c>
      <c r="G1041" s="2" t="s">
        <v>2292</v>
      </c>
    </row>
    <row r="1042">
      <c r="A1042" s="2" t="s">
        <v>2290</v>
      </c>
      <c r="B1042" s="2" t="s">
        <v>2377</v>
      </c>
      <c r="G1042" s="2" t="s">
        <v>2292</v>
      </c>
    </row>
    <row r="1043">
      <c r="A1043" s="2" t="s">
        <v>2290</v>
      </c>
      <c r="B1043" s="2" t="s">
        <v>2377</v>
      </c>
      <c r="G1043" s="2" t="s">
        <v>2292</v>
      </c>
    </row>
    <row r="1044">
      <c r="A1044" s="2" t="s">
        <v>2290</v>
      </c>
      <c r="B1044" s="2" t="s">
        <v>2378</v>
      </c>
      <c r="G1044" s="2" t="s">
        <v>2292</v>
      </c>
    </row>
    <row r="1045">
      <c r="A1045" s="2" t="s">
        <v>2290</v>
      </c>
      <c r="B1045" s="2" t="s">
        <v>2379</v>
      </c>
      <c r="G1045" s="2" t="s">
        <v>2292</v>
      </c>
    </row>
    <row r="1046">
      <c r="A1046" s="2" t="s">
        <v>2290</v>
      </c>
      <c r="B1046" s="2" t="s">
        <v>2379</v>
      </c>
      <c r="G1046" s="2" t="s">
        <v>2292</v>
      </c>
    </row>
    <row r="1047">
      <c r="A1047" s="2" t="s">
        <v>2290</v>
      </c>
      <c r="B1047" s="2" t="s">
        <v>2380</v>
      </c>
      <c r="G1047" s="2" t="s">
        <v>2292</v>
      </c>
    </row>
    <row r="1048">
      <c r="A1048" s="2" t="s">
        <v>2290</v>
      </c>
      <c r="B1048" s="2" t="s">
        <v>2380</v>
      </c>
      <c r="G1048" s="2" t="s">
        <v>2292</v>
      </c>
    </row>
    <row r="1049">
      <c r="A1049" s="2" t="s">
        <v>2290</v>
      </c>
      <c r="B1049" s="2" t="s">
        <v>2381</v>
      </c>
      <c r="G1049" s="2" t="s">
        <v>2292</v>
      </c>
    </row>
    <row r="1050">
      <c r="A1050" s="2" t="s">
        <v>2290</v>
      </c>
      <c r="B1050" s="2" t="s">
        <v>2381</v>
      </c>
      <c r="G1050" s="2" t="s">
        <v>2292</v>
      </c>
    </row>
    <row r="1051">
      <c r="A1051" s="2" t="s">
        <v>2290</v>
      </c>
      <c r="B1051" s="2" t="s">
        <v>2382</v>
      </c>
      <c r="G1051" s="2" t="s">
        <v>2292</v>
      </c>
    </row>
    <row r="1052">
      <c r="A1052" s="2" t="s">
        <v>2290</v>
      </c>
      <c r="B1052" s="2" t="s">
        <v>2382</v>
      </c>
      <c r="G1052" s="2" t="s">
        <v>2292</v>
      </c>
    </row>
    <row r="1053">
      <c r="A1053" s="2" t="s">
        <v>2290</v>
      </c>
      <c r="B1053" s="2" t="s">
        <v>2384</v>
      </c>
      <c r="G1053" s="2" t="s">
        <v>2292</v>
      </c>
    </row>
    <row r="1054">
      <c r="A1054" s="2" t="s">
        <v>2290</v>
      </c>
      <c r="B1054" s="2" t="s">
        <v>2384</v>
      </c>
      <c r="G1054" s="2" t="s">
        <v>2292</v>
      </c>
    </row>
    <row r="1055">
      <c r="A1055" s="2" t="s">
        <v>2290</v>
      </c>
      <c r="B1055" s="2" t="s">
        <v>2385</v>
      </c>
      <c r="G1055" s="2" t="s">
        <v>2292</v>
      </c>
    </row>
    <row r="1056">
      <c r="A1056" s="2" t="s">
        <v>2290</v>
      </c>
      <c r="B1056" s="2" t="s">
        <v>2386</v>
      </c>
      <c r="G1056" s="2" t="s">
        <v>2292</v>
      </c>
    </row>
    <row r="1057">
      <c r="A1057" s="2" t="s">
        <v>2290</v>
      </c>
      <c r="B1057" s="2" t="s">
        <v>2387</v>
      </c>
      <c r="G1057" s="2" t="s">
        <v>2292</v>
      </c>
    </row>
    <row r="1058">
      <c r="A1058" s="2" t="s">
        <v>2290</v>
      </c>
      <c r="B1058" s="2" t="s">
        <v>2387</v>
      </c>
      <c r="G1058" s="2" t="s">
        <v>2292</v>
      </c>
    </row>
    <row r="1059">
      <c r="A1059" s="2" t="s">
        <v>2290</v>
      </c>
      <c r="B1059" s="2" t="s">
        <v>2388</v>
      </c>
      <c r="G1059" s="2" t="s">
        <v>2292</v>
      </c>
    </row>
    <row r="1060">
      <c r="A1060" s="2" t="s">
        <v>2290</v>
      </c>
      <c r="B1060" s="2" t="s">
        <v>2388</v>
      </c>
      <c r="G1060" s="2" t="s">
        <v>2292</v>
      </c>
    </row>
    <row r="1061">
      <c r="A1061" s="2" t="s">
        <v>2290</v>
      </c>
      <c r="B1061" s="2" t="s">
        <v>2389</v>
      </c>
      <c r="G1061" s="2" t="s">
        <v>2292</v>
      </c>
    </row>
    <row r="1062">
      <c r="A1062" s="2" t="s">
        <v>2290</v>
      </c>
      <c r="B1062" s="2" t="s">
        <v>2389</v>
      </c>
      <c r="G1062" s="2" t="s">
        <v>2292</v>
      </c>
    </row>
    <row r="1063">
      <c r="A1063" s="2" t="s">
        <v>2290</v>
      </c>
      <c r="B1063" s="2" t="s">
        <v>2390</v>
      </c>
      <c r="G1063" s="2" t="s">
        <v>2292</v>
      </c>
    </row>
    <row r="1064">
      <c r="A1064" s="2" t="s">
        <v>2290</v>
      </c>
      <c r="B1064" s="2" t="s">
        <v>2390</v>
      </c>
      <c r="G1064" s="2" t="s">
        <v>2292</v>
      </c>
    </row>
    <row r="1065">
      <c r="A1065" s="2" t="s">
        <v>2290</v>
      </c>
      <c r="B1065" s="2" t="s">
        <v>2392</v>
      </c>
      <c r="G1065" s="2" t="s">
        <v>2292</v>
      </c>
    </row>
    <row r="1066">
      <c r="A1066" s="2" t="s">
        <v>2290</v>
      </c>
      <c r="B1066" s="2" t="s">
        <v>2393</v>
      </c>
      <c r="G1066" s="2" t="s">
        <v>2292</v>
      </c>
    </row>
    <row r="1067">
      <c r="A1067" s="2" t="s">
        <v>2290</v>
      </c>
      <c r="B1067" s="2" t="s">
        <v>2394</v>
      </c>
      <c r="G1067" s="2" t="s">
        <v>2292</v>
      </c>
    </row>
    <row r="1068">
      <c r="A1068" s="2" t="s">
        <v>2290</v>
      </c>
      <c r="B1068" s="2" t="s">
        <v>2395</v>
      </c>
      <c r="G1068" s="2" t="s">
        <v>2292</v>
      </c>
    </row>
    <row r="1069">
      <c r="A1069" s="2" t="s">
        <v>2290</v>
      </c>
      <c r="B1069" s="2" t="s">
        <v>2395</v>
      </c>
      <c r="G1069" s="2" t="s">
        <v>2292</v>
      </c>
    </row>
    <row r="1070">
      <c r="A1070" s="2" t="s">
        <v>2290</v>
      </c>
      <c r="B1070" s="2" t="s">
        <v>2396</v>
      </c>
      <c r="G1070" s="2" t="s">
        <v>2292</v>
      </c>
    </row>
    <row r="1071">
      <c r="A1071" s="2" t="s">
        <v>2290</v>
      </c>
      <c r="B1071" s="2" t="s">
        <v>2396</v>
      </c>
      <c r="G1071" s="2" t="s">
        <v>2292</v>
      </c>
    </row>
    <row r="1072">
      <c r="A1072" s="2" t="s">
        <v>2290</v>
      </c>
      <c r="B1072" s="2" t="s">
        <v>2397</v>
      </c>
      <c r="G1072" s="2" t="s">
        <v>2292</v>
      </c>
    </row>
    <row r="1073">
      <c r="A1073" s="2" t="s">
        <v>2290</v>
      </c>
      <c r="B1073" s="2" t="s">
        <v>2397</v>
      </c>
      <c r="G1073" s="2" t="s">
        <v>2292</v>
      </c>
    </row>
    <row r="1074">
      <c r="A1074" s="2" t="s">
        <v>2290</v>
      </c>
      <c r="B1074" s="2" t="s">
        <v>2397</v>
      </c>
      <c r="G1074" s="2" t="s">
        <v>2292</v>
      </c>
    </row>
    <row r="1075">
      <c r="A1075" s="2" t="s">
        <v>2290</v>
      </c>
      <c r="B1075" s="2" t="s">
        <v>2399</v>
      </c>
      <c r="G1075" s="2" t="s">
        <v>2292</v>
      </c>
    </row>
    <row r="1076">
      <c r="A1076" s="2" t="s">
        <v>2290</v>
      </c>
      <c r="B1076" s="2" t="s">
        <v>2399</v>
      </c>
      <c r="G1076" s="2" t="s">
        <v>2292</v>
      </c>
    </row>
    <row r="1077">
      <c r="A1077" s="2" t="s">
        <v>2290</v>
      </c>
      <c r="B1077" s="2" t="s">
        <v>2400</v>
      </c>
      <c r="G1077" s="2" t="s">
        <v>2292</v>
      </c>
    </row>
    <row r="1078">
      <c r="A1078" s="2" t="s">
        <v>2290</v>
      </c>
      <c r="B1078" s="2" t="s">
        <v>2400</v>
      </c>
      <c r="G1078" s="2" t="s">
        <v>2292</v>
      </c>
    </row>
    <row r="1079">
      <c r="A1079" s="2" t="s">
        <v>2290</v>
      </c>
      <c r="B1079" s="2" t="s">
        <v>2404</v>
      </c>
      <c r="G1079" s="2" t="s">
        <v>2292</v>
      </c>
    </row>
    <row r="1080">
      <c r="A1080" s="2" t="s">
        <v>2290</v>
      </c>
      <c r="B1080" s="2" t="s">
        <v>2404</v>
      </c>
      <c r="G1080" s="2" t="s">
        <v>2292</v>
      </c>
    </row>
    <row r="1081">
      <c r="A1081" s="2" t="s">
        <v>2290</v>
      </c>
      <c r="B1081" s="2" t="s">
        <v>2405</v>
      </c>
      <c r="G1081" s="2" t="s">
        <v>2292</v>
      </c>
    </row>
    <row r="1082">
      <c r="A1082" s="2" t="s">
        <v>2290</v>
      </c>
      <c r="B1082" s="2" t="s">
        <v>2405</v>
      </c>
      <c r="G1082" s="2" t="s">
        <v>2292</v>
      </c>
    </row>
    <row r="1083">
      <c r="A1083" s="2" t="s">
        <v>2290</v>
      </c>
      <c r="B1083" s="2" t="s">
        <v>2406</v>
      </c>
      <c r="G1083" s="2" t="s">
        <v>2292</v>
      </c>
    </row>
    <row r="1084">
      <c r="A1084" s="2" t="s">
        <v>2290</v>
      </c>
      <c r="B1084" s="2" t="s">
        <v>2406</v>
      </c>
      <c r="G1084" s="2" t="s">
        <v>2292</v>
      </c>
    </row>
    <row r="1085">
      <c r="A1085" s="2" t="s">
        <v>2290</v>
      </c>
      <c r="B1085" s="2" t="s">
        <v>2407</v>
      </c>
      <c r="G1085" s="2" t="s">
        <v>2292</v>
      </c>
    </row>
    <row r="1086">
      <c r="A1086" s="2" t="s">
        <v>2290</v>
      </c>
      <c r="B1086" s="2" t="s">
        <v>2407</v>
      </c>
      <c r="G1086" s="2" t="s">
        <v>2292</v>
      </c>
    </row>
    <row r="1087">
      <c r="A1087" s="2" t="s">
        <v>2290</v>
      </c>
      <c r="B1087" s="2" t="s">
        <v>2408</v>
      </c>
      <c r="G1087" s="2" t="s">
        <v>2292</v>
      </c>
    </row>
    <row r="1088">
      <c r="A1088" s="2" t="s">
        <v>2290</v>
      </c>
      <c r="B1088" s="2" t="s">
        <v>2408</v>
      </c>
      <c r="G1088" s="2" t="s">
        <v>2292</v>
      </c>
    </row>
    <row r="1089">
      <c r="A1089" s="2" t="s">
        <v>2290</v>
      </c>
      <c r="B1089" s="2" t="s">
        <v>2411</v>
      </c>
      <c r="G1089" s="2" t="s">
        <v>2292</v>
      </c>
    </row>
    <row r="1090">
      <c r="A1090" s="2" t="s">
        <v>2290</v>
      </c>
      <c r="B1090" s="2" t="s">
        <v>2411</v>
      </c>
      <c r="G1090" s="2" t="s">
        <v>2292</v>
      </c>
    </row>
    <row r="1091">
      <c r="A1091" s="2" t="s">
        <v>2290</v>
      </c>
      <c r="B1091" s="2" t="s">
        <v>2413</v>
      </c>
      <c r="G1091" s="2" t="s">
        <v>2292</v>
      </c>
    </row>
    <row r="1092">
      <c r="A1092" s="2" t="s">
        <v>2290</v>
      </c>
      <c r="B1092" s="2" t="s">
        <v>2414</v>
      </c>
      <c r="G1092" s="2" t="s">
        <v>2292</v>
      </c>
    </row>
    <row r="1093">
      <c r="A1093" s="2" t="s">
        <v>2290</v>
      </c>
      <c r="B1093" s="2" t="s">
        <v>2414</v>
      </c>
      <c r="G1093" s="2" t="s">
        <v>2292</v>
      </c>
    </row>
    <row r="1094">
      <c r="A1094" s="2" t="s">
        <v>2290</v>
      </c>
      <c r="B1094" s="2" t="s">
        <v>2415</v>
      </c>
      <c r="G1094" s="2" t="s">
        <v>2292</v>
      </c>
    </row>
    <row r="1095">
      <c r="A1095" s="2" t="s">
        <v>2290</v>
      </c>
      <c r="B1095" s="2" t="s">
        <v>2415</v>
      </c>
      <c r="G1095" s="2" t="s">
        <v>2292</v>
      </c>
    </row>
    <row r="1096">
      <c r="A1096" s="2" t="s">
        <v>2290</v>
      </c>
      <c r="B1096" s="2" t="s">
        <v>2416</v>
      </c>
      <c r="G1096" s="2" t="s">
        <v>2292</v>
      </c>
    </row>
    <row r="1097">
      <c r="A1097" s="2" t="s">
        <v>2290</v>
      </c>
      <c r="B1097" s="2" t="s">
        <v>2416</v>
      </c>
      <c r="G1097" s="2" t="s">
        <v>2292</v>
      </c>
    </row>
    <row r="1098">
      <c r="A1098" s="2" t="s">
        <v>2290</v>
      </c>
      <c r="B1098" s="2" t="s">
        <v>2417</v>
      </c>
      <c r="G1098" s="2" t="s">
        <v>2292</v>
      </c>
    </row>
    <row r="1099">
      <c r="A1099" s="2" t="s">
        <v>2290</v>
      </c>
      <c r="B1099" s="2" t="s">
        <v>2418</v>
      </c>
      <c r="G1099" s="2" t="s">
        <v>2292</v>
      </c>
    </row>
    <row r="1100">
      <c r="A1100" s="2" t="s">
        <v>2290</v>
      </c>
      <c r="B1100" s="2" t="s">
        <v>2419</v>
      </c>
      <c r="G1100" s="2" t="s">
        <v>2292</v>
      </c>
    </row>
    <row r="1101">
      <c r="A1101" s="2" t="s">
        <v>2290</v>
      </c>
      <c r="B1101" s="2" t="s">
        <v>2419</v>
      </c>
      <c r="G1101" s="2" t="s">
        <v>2292</v>
      </c>
    </row>
    <row r="1102">
      <c r="A1102" s="2" t="s">
        <v>2290</v>
      </c>
      <c r="B1102" s="2" t="s">
        <v>2420</v>
      </c>
      <c r="G1102" s="2" t="s">
        <v>2292</v>
      </c>
    </row>
    <row r="1103">
      <c r="A1103" s="2" t="s">
        <v>2290</v>
      </c>
      <c r="B1103" s="2" t="s">
        <v>2420</v>
      </c>
      <c r="G1103" s="2" t="s">
        <v>2292</v>
      </c>
    </row>
    <row r="1104">
      <c r="A1104" s="2" t="s">
        <v>2290</v>
      </c>
      <c r="B1104" s="2" t="s">
        <v>2422</v>
      </c>
      <c r="G1104" s="2" t="s">
        <v>2292</v>
      </c>
    </row>
    <row r="1105">
      <c r="A1105" s="2" t="s">
        <v>2290</v>
      </c>
      <c r="B1105" s="2" t="s">
        <v>2422</v>
      </c>
      <c r="G1105" s="2" t="s">
        <v>2292</v>
      </c>
    </row>
    <row r="1106">
      <c r="A1106" s="2" t="s">
        <v>2290</v>
      </c>
      <c r="B1106" s="2" t="s">
        <v>2423</v>
      </c>
      <c r="G1106" s="2" t="s">
        <v>2292</v>
      </c>
    </row>
    <row r="1107">
      <c r="A1107" s="2" t="s">
        <v>2290</v>
      </c>
      <c r="B1107" s="2" t="s">
        <v>2423</v>
      </c>
      <c r="G1107" s="2" t="s">
        <v>2292</v>
      </c>
    </row>
    <row r="1108">
      <c r="A1108" s="2" t="s">
        <v>2290</v>
      </c>
      <c r="B1108" s="2" t="s">
        <v>2423</v>
      </c>
      <c r="G1108" s="2" t="s">
        <v>2292</v>
      </c>
    </row>
    <row r="1109">
      <c r="A1109" s="2" t="s">
        <v>2290</v>
      </c>
      <c r="B1109" s="2" t="s">
        <v>2423</v>
      </c>
      <c r="G1109" s="2" t="s">
        <v>2292</v>
      </c>
    </row>
    <row r="1110">
      <c r="A1110" s="2" t="s">
        <v>2290</v>
      </c>
      <c r="B1110" s="2" t="s">
        <v>2424</v>
      </c>
      <c r="G1110" s="2" t="s">
        <v>2292</v>
      </c>
    </row>
    <row r="1111">
      <c r="A1111" s="2" t="s">
        <v>2290</v>
      </c>
      <c r="B1111" s="2" t="s">
        <v>2424</v>
      </c>
      <c r="G1111" s="2" t="s">
        <v>2292</v>
      </c>
    </row>
    <row r="1112">
      <c r="A1112" s="2" t="s">
        <v>2290</v>
      </c>
      <c r="B1112" s="2" t="s">
        <v>2425</v>
      </c>
      <c r="G1112" s="2" t="s">
        <v>2292</v>
      </c>
    </row>
    <row r="1113">
      <c r="A1113" s="2" t="s">
        <v>2290</v>
      </c>
      <c r="B1113" s="2" t="s">
        <v>2425</v>
      </c>
      <c r="G1113" s="2" t="s">
        <v>2292</v>
      </c>
    </row>
    <row r="1114">
      <c r="A1114" s="2" t="s">
        <v>2290</v>
      </c>
      <c r="B1114" s="2" t="s">
        <v>2427</v>
      </c>
      <c r="G1114" s="2" t="s">
        <v>2292</v>
      </c>
    </row>
    <row r="1115">
      <c r="A1115" s="2" t="s">
        <v>2290</v>
      </c>
      <c r="B1115" s="2" t="s">
        <v>2427</v>
      </c>
      <c r="G1115" s="2" t="s">
        <v>2292</v>
      </c>
    </row>
    <row r="1116">
      <c r="A1116" s="2" t="s">
        <v>2290</v>
      </c>
      <c r="B1116" s="2" t="s">
        <v>2430</v>
      </c>
      <c r="G1116" s="2" t="s">
        <v>2292</v>
      </c>
    </row>
    <row r="1117">
      <c r="A1117" s="2" t="s">
        <v>2290</v>
      </c>
      <c r="B1117" s="2" t="s">
        <v>2430</v>
      </c>
      <c r="G1117" s="2" t="s">
        <v>2292</v>
      </c>
    </row>
    <row r="1118">
      <c r="A1118" s="2" t="s">
        <v>2290</v>
      </c>
      <c r="B1118" s="2" t="s">
        <v>2431</v>
      </c>
      <c r="G1118" s="2" t="s">
        <v>2292</v>
      </c>
    </row>
    <row r="1119">
      <c r="A1119" s="2" t="s">
        <v>2290</v>
      </c>
      <c r="B1119" s="2" t="s">
        <v>2431</v>
      </c>
      <c r="G1119" s="2" t="s">
        <v>2292</v>
      </c>
    </row>
    <row r="1120">
      <c r="A1120" s="2" t="s">
        <v>2290</v>
      </c>
      <c r="B1120" s="2" t="s">
        <v>2432</v>
      </c>
      <c r="G1120" s="2" t="s">
        <v>2292</v>
      </c>
    </row>
    <row r="1121">
      <c r="A1121" s="2" t="s">
        <v>2290</v>
      </c>
      <c r="B1121" s="2" t="s">
        <v>2432</v>
      </c>
      <c r="G1121" s="2" t="s">
        <v>2292</v>
      </c>
    </row>
    <row r="1122">
      <c r="A1122" s="2" t="s">
        <v>2290</v>
      </c>
      <c r="B1122" s="2" t="s">
        <v>2433</v>
      </c>
      <c r="G1122" s="2" t="s">
        <v>2292</v>
      </c>
    </row>
    <row r="1123">
      <c r="A1123" s="2" t="s">
        <v>2290</v>
      </c>
      <c r="B1123" s="2" t="s">
        <v>2433</v>
      </c>
      <c r="G1123" s="2" t="s">
        <v>2292</v>
      </c>
    </row>
    <row r="1124">
      <c r="A1124" s="2" t="s">
        <v>2290</v>
      </c>
      <c r="B1124" s="2" t="s">
        <v>2434</v>
      </c>
      <c r="G1124" s="2" t="s">
        <v>2292</v>
      </c>
    </row>
    <row r="1125">
      <c r="A1125" s="2" t="s">
        <v>2290</v>
      </c>
      <c r="B1125" s="2" t="s">
        <v>2434</v>
      </c>
      <c r="G1125" s="2" t="s">
        <v>2292</v>
      </c>
    </row>
    <row r="1126">
      <c r="A1126" s="2" t="s">
        <v>2290</v>
      </c>
      <c r="B1126" s="2" t="s">
        <v>2434</v>
      </c>
      <c r="G1126" s="2" t="s">
        <v>2292</v>
      </c>
    </row>
    <row r="1127">
      <c r="A1127" s="2" t="s">
        <v>2290</v>
      </c>
      <c r="B1127" s="2" t="s">
        <v>2434</v>
      </c>
      <c r="G1127" s="2" t="s">
        <v>2292</v>
      </c>
    </row>
    <row r="1128">
      <c r="A1128" s="2" t="s">
        <v>2290</v>
      </c>
      <c r="B1128" s="2" t="s">
        <v>2397</v>
      </c>
      <c r="G1128" s="2" t="s">
        <v>2292</v>
      </c>
    </row>
    <row r="1129">
      <c r="A1129" s="2" t="s">
        <v>2290</v>
      </c>
      <c r="B1129" s="2" t="s">
        <v>2435</v>
      </c>
      <c r="G1129" s="2" t="s">
        <v>2292</v>
      </c>
    </row>
    <row r="1130">
      <c r="A1130" s="2" t="s">
        <v>2290</v>
      </c>
      <c r="B1130" s="2" t="s">
        <v>2436</v>
      </c>
      <c r="G1130" s="2" t="s">
        <v>2292</v>
      </c>
    </row>
    <row r="1131">
      <c r="A1131" s="2" t="s">
        <v>2290</v>
      </c>
      <c r="B1131" s="2" t="s">
        <v>2437</v>
      </c>
      <c r="G1131" s="2" t="s">
        <v>2292</v>
      </c>
    </row>
    <row r="1132">
      <c r="A1132" s="2" t="s">
        <v>2290</v>
      </c>
      <c r="B1132" s="2" t="s">
        <v>2439</v>
      </c>
      <c r="G1132" s="2" t="s">
        <v>2292</v>
      </c>
    </row>
    <row r="1133">
      <c r="A1133" s="2" t="s">
        <v>2290</v>
      </c>
      <c r="B1133" s="2" t="s">
        <v>2440</v>
      </c>
      <c r="G1133" s="2" t="s">
        <v>2292</v>
      </c>
    </row>
    <row r="1134">
      <c r="A1134" s="2" t="s">
        <v>2290</v>
      </c>
      <c r="B1134" s="2" t="s">
        <v>2441</v>
      </c>
      <c r="G1134" s="2" t="s">
        <v>2292</v>
      </c>
    </row>
    <row r="1135">
      <c r="A1135" s="2" t="s">
        <v>2290</v>
      </c>
      <c r="B1135" s="2" t="s">
        <v>2442</v>
      </c>
      <c r="G1135" s="2" t="s">
        <v>2292</v>
      </c>
    </row>
    <row r="1136">
      <c r="A1136" s="2" t="s">
        <v>2290</v>
      </c>
      <c r="B1136" s="2" t="s">
        <v>2443</v>
      </c>
      <c r="G1136" s="2" t="s">
        <v>2292</v>
      </c>
    </row>
    <row r="1137">
      <c r="A1137" s="2" t="s">
        <v>2290</v>
      </c>
      <c r="B1137" s="2" t="s">
        <v>2444</v>
      </c>
      <c r="G1137" s="2" t="s">
        <v>2292</v>
      </c>
    </row>
    <row r="1138">
      <c r="A1138" s="2" t="s">
        <v>2290</v>
      </c>
      <c r="B1138" s="2" t="s">
        <v>2445</v>
      </c>
      <c r="G1138" s="2" t="s">
        <v>2292</v>
      </c>
    </row>
    <row r="1139">
      <c r="A1139" s="2" t="s">
        <v>2290</v>
      </c>
      <c r="B1139" s="2" t="s">
        <v>2446</v>
      </c>
      <c r="G1139" s="2" t="s">
        <v>2292</v>
      </c>
    </row>
    <row r="1140">
      <c r="A1140" s="2" t="s">
        <v>2290</v>
      </c>
      <c r="B1140" s="2" t="s">
        <v>2447</v>
      </c>
      <c r="G1140" s="2" t="s">
        <v>2292</v>
      </c>
    </row>
    <row r="1141">
      <c r="A1141" s="2" t="s">
        <v>2290</v>
      </c>
      <c r="B1141" s="2" t="s">
        <v>2447</v>
      </c>
      <c r="G1141" s="2" t="s">
        <v>2292</v>
      </c>
    </row>
    <row r="1142">
      <c r="A1142" s="2" t="s">
        <v>2290</v>
      </c>
      <c r="B1142" s="2" t="s">
        <v>2449</v>
      </c>
      <c r="G1142" s="2" t="s">
        <v>2292</v>
      </c>
    </row>
    <row r="1143">
      <c r="A1143" s="2" t="s">
        <v>2290</v>
      </c>
      <c r="B1143" s="2" t="s">
        <v>2449</v>
      </c>
      <c r="G1143" s="2" t="s">
        <v>2292</v>
      </c>
    </row>
    <row r="1144">
      <c r="A1144" s="2" t="s">
        <v>2290</v>
      </c>
      <c r="B1144" s="2" t="s">
        <v>2450</v>
      </c>
      <c r="G1144" s="2" t="s">
        <v>2292</v>
      </c>
    </row>
    <row r="1145">
      <c r="A1145" s="2" t="s">
        <v>2290</v>
      </c>
      <c r="B1145" s="2" t="s">
        <v>2450</v>
      </c>
      <c r="G1145" s="2" t="s">
        <v>2292</v>
      </c>
    </row>
    <row r="1146">
      <c r="A1146" s="2" t="s">
        <v>2290</v>
      </c>
      <c r="B1146" s="2" t="s">
        <v>2451</v>
      </c>
      <c r="G1146" s="2" t="s">
        <v>2292</v>
      </c>
    </row>
    <row r="1147">
      <c r="A1147" s="2" t="s">
        <v>2290</v>
      </c>
      <c r="B1147" s="2" t="s">
        <v>2453</v>
      </c>
      <c r="G1147" s="2" t="s">
        <v>2292</v>
      </c>
    </row>
    <row r="1148">
      <c r="A1148" s="2" t="s">
        <v>2290</v>
      </c>
      <c r="B1148" s="2" t="s">
        <v>2453</v>
      </c>
      <c r="G1148" s="2" t="s">
        <v>2292</v>
      </c>
    </row>
    <row r="1149">
      <c r="A1149" s="2" t="s">
        <v>2290</v>
      </c>
      <c r="B1149" s="2" t="s">
        <v>2454</v>
      </c>
      <c r="G1149" s="2" t="s">
        <v>2292</v>
      </c>
    </row>
    <row r="1150">
      <c r="A1150" s="2" t="s">
        <v>2290</v>
      </c>
      <c r="B1150" s="2" t="s">
        <v>2455</v>
      </c>
      <c r="G1150" s="2" t="s">
        <v>2292</v>
      </c>
    </row>
    <row r="1151">
      <c r="A1151" s="2" t="s">
        <v>2290</v>
      </c>
      <c r="B1151" s="2" t="s">
        <v>2456</v>
      </c>
      <c r="G1151" s="2" t="s">
        <v>2292</v>
      </c>
    </row>
    <row r="1152">
      <c r="A1152" s="2" t="s">
        <v>2290</v>
      </c>
      <c r="B1152" s="2" t="s">
        <v>2457</v>
      </c>
      <c r="G1152" s="2" t="s">
        <v>2292</v>
      </c>
    </row>
    <row r="1153">
      <c r="A1153" s="2" t="s">
        <v>2290</v>
      </c>
      <c r="B1153" s="2" t="s">
        <v>2458</v>
      </c>
      <c r="G1153" s="2" t="s">
        <v>2292</v>
      </c>
    </row>
    <row r="1154">
      <c r="A1154" s="2" t="s">
        <v>2290</v>
      </c>
      <c r="B1154" s="2" t="s">
        <v>2459</v>
      </c>
      <c r="G1154" s="2" t="s">
        <v>2292</v>
      </c>
    </row>
    <row r="1155">
      <c r="A1155" s="2" t="s">
        <v>2290</v>
      </c>
      <c r="B1155" s="2" t="s">
        <v>2460</v>
      </c>
      <c r="G1155" s="2" t="s">
        <v>2292</v>
      </c>
    </row>
    <row r="1156">
      <c r="A1156" s="2" t="s">
        <v>2290</v>
      </c>
      <c r="B1156" s="2" t="s">
        <v>2462</v>
      </c>
      <c r="G1156" s="2" t="s">
        <v>2292</v>
      </c>
    </row>
    <row r="1157">
      <c r="A1157" s="2" t="s">
        <v>2290</v>
      </c>
      <c r="B1157" s="2" t="s">
        <v>2463</v>
      </c>
      <c r="G1157" s="2" t="s">
        <v>2292</v>
      </c>
    </row>
    <row r="1158">
      <c r="A1158" s="2" t="s">
        <v>2290</v>
      </c>
      <c r="B1158" s="2" t="s">
        <v>2464</v>
      </c>
      <c r="G1158" s="2" t="s">
        <v>2292</v>
      </c>
    </row>
    <row r="1159">
      <c r="A1159" s="2" t="s">
        <v>2290</v>
      </c>
      <c r="B1159" s="2" t="s">
        <v>2465</v>
      </c>
      <c r="G1159" s="2" t="s">
        <v>2292</v>
      </c>
    </row>
    <row r="1160">
      <c r="A1160" s="2" t="s">
        <v>2290</v>
      </c>
      <c r="B1160" s="2" t="s">
        <v>2466</v>
      </c>
      <c r="G1160" s="2" t="s">
        <v>2292</v>
      </c>
    </row>
    <row r="1161">
      <c r="A1161" s="2" t="s">
        <v>2290</v>
      </c>
      <c r="B1161" s="2" t="s">
        <v>2468</v>
      </c>
      <c r="G1161" s="2" t="s">
        <v>2292</v>
      </c>
    </row>
    <row r="1162">
      <c r="A1162" s="2" t="s">
        <v>2290</v>
      </c>
      <c r="B1162" s="2" t="s">
        <v>2469</v>
      </c>
      <c r="G1162" s="2" t="s">
        <v>2292</v>
      </c>
    </row>
    <row r="1163">
      <c r="A1163" s="2" t="s">
        <v>2290</v>
      </c>
      <c r="B1163" s="2" t="s">
        <v>2470</v>
      </c>
      <c r="G1163" s="2" t="s">
        <v>2471</v>
      </c>
    </row>
    <row r="1164">
      <c r="A1164" s="2" t="s">
        <v>2290</v>
      </c>
      <c r="B1164" s="2" t="s">
        <v>2472</v>
      </c>
      <c r="G1164" s="2" t="s">
        <v>2471</v>
      </c>
    </row>
    <row r="1165">
      <c r="A1165" s="2" t="s">
        <v>2290</v>
      </c>
      <c r="B1165" s="2" t="s">
        <v>2473</v>
      </c>
      <c r="G1165" s="2" t="s">
        <v>2471</v>
      </c>
    </row>
    <row r="1166">
      <c r="A1166" s="2" t="s">
        <v>2290</v>
      </c>
      <c r="B1166" s="2" t="s">
        <v>2474</v>
      </c>
      <c r="G1166" s="2" t="s">
        <v>2471</v>
      </c>
    </row>
    <row r="1167">
      <c r="A1167" s="2" t="s">
        <v>2290</v>
      </c>
      <c r="B1167" s="2" t="s">
        <v>2475</v>
      </c>
      <c r="G1167" s="2" t="s">
        <v>2471</v>
      </c>
    </row>
    <row r="1168">
      <c r="A1168" s="2" t="s">
        <v>2290</v>
      </c>
      <c r="B1168" s="2" t="s">
        <v>2476</v>
      </c>
      <c r="G1168" s="2" t="s">
        <v>2471</v>
      </c>
    </row>
    <row r="1169">
      <c r="A1169" s="2" t="s">
        <v>2290</v>
      </c>
      <c r="B1169" s="2" t="s">
        <v>2477</v>
      </c>
      <c r="G1169" s="2" t="s">
        <v>2471</v>
      </c>
    </row>
    <row r="1170">
      <c r="A1170" s="2" t="s">
        <v>2290</v>
      </c>
      <c r="B1170" s="2" t="s">
        <v>2479</v>
      </c>
      <c r="G1170" s="2" t="s">
        <v>2471</v>
      </c>
    </row>
    <row r="1171">
      <c r="A1171" s="2" t="s">
        <v>2290</v>
      </c>
      <c r="B1171" s="2" t="s">
        <v>2480</v>
      </c>
      <c r="G1171" s="2" t="s">
        <v>2471</v>
      </c>
    </row>
    <row r="1172">
      <c r="A1172" s="2" t="s">
        <v>2290</v>
      </c>
      <c r="B1172" s="2" t="s">
        <v>2481</v>
      </c>
      <c r="G1172" s="2" t="s">
        <v>2471</v>
      </c>
    </row>
    <row r="1173">
      <c r="A1173" s="2" t="s">
        <v>2290</v>
      </c>
      <c r="B1173" s="2" t="s">
        <v>2482</v>
      </c>
      <c r="G1173" s="2" t="s">
        <v>2471</v>
      </c>
    </row>
    <row r="1174">
      <c r="A1174" s="2" t="s">
        <v>2290</v>
      </c>
      <c r="B1174" s="2" t="s">
        <v>2483</v>
      </c>
      <c r="G1174" s="2" t="s">
        <v>2471</v>
      </c>
    </row>
    <row r="1175">
      <c r="A1175" s="2" t="s">
        <v>2290</v>
      </c>
      <c r="B1175" s="2" t="s">
        <v>2485</v>
      </c>
      <c r="G1175" s="2" t="s">
        <v>2471</v>
      </c>
    </row>
    <row r="1176">
      <c r="A1176" s="2" t="s">
        <v>2290</v>
      </c>
      <c r="B1176" s="2" t="s">
        <v>2486</v>
      </c>
      <c r="G1176" s="2" t="s">
        <v>2471</v>
      </c>
    </row>
    <row r="1177">
      <c r="A1177" s="2" t="s">
        <v>2290</v>
      </c>
      <c r="B1177" s="2" t="s">
        <v>2486</v>
      </c>
      <c r="G1177" s="2" t="s">
        <v>2471</v>
      </c>
    </row>
    <row r="1178">
      <c r="A1178" s="2" t="s">
        <v>2290</v>
      </c>
      <c r="B1178" s="2" t="s">
        <v>2487</v>
      </c>
      <c r="G1178" s="2" t="s">
        <v>2471</v>
      </c>
    </row>
    <row r="1179">
      <c r="A1179" s="2" t="s">
        <v>2290</v>
      </c>
      <c r="B1179" s="2" t="s">
        <v>2488</v>
      </c>
      <c r="G1179" s="2" t="s">
        <v>2471</v>
      </c>
    </row>
    <row r="1180">
      <c r="A1180" s="2" t="s">
        <v>2290</v>
      </c>
      <c r="B1180" s="2" t="s">
        <v>2488</v>
      </c>
      <c r="G1180" s="2" t="s">
        <v>2471</v>
      </c>
    </row>
    <row r="1181">
      <c r="A1181" s="2" t="s">
        <v>2290</v>
      </c>
      <c r="B1181" s="2" t="s">
        <v>2489</v>
      </c>
      <c r="G1181" s="2" t="s">
        <v>2471</v>
      </c>
    </row>
    <row r="1182">
      <c r="A1182" s="2" t="s">
        <v>2290</v>
      </c>
      <c r="B1182" s="2" t="s">
        <v>2489</v>
      </c>
      <c r="G1182" s="2" t="s">
        <v>2471</v>
      </c>
    </row>
    <row r="1183">
      <c r="A1183" s="2" t="s">
        <v>2290</v>
      </c>
      <c r="B1183" s="2" t="s">
        <v>2489</v>
      </c>
      <c r="G1183" s="2" t="s">
        <v>2471</v>
      </c>
    </row>
    <row r="1184">
      <c r="A1184" s="2" t="s">
        <v>2290</v>
      </c>
      <c r="B1184" s="2" t="s">
        <v>2491</v>
      </c>
      <c r="G1184" s="2" t="s">
        <v>2471</v>
      </c>
    </row>
    <row r="1185">
      <c r="A1185" s="2" t="s">
        <v>2290</v>
      </c>
      <c r="B1185" s="2" t="s">
        <v>2492</v>
      </c>
      <c r="G1185" s="2" t="s">
        <v>2471</v>
      </c>
    </row>
    <row r="1186">
      <c r="A1186" s="2" t="s">
        <v>2290</v>
      </c>
      <c r="B1186" s="2" t="s">
        <v>2494</v>
      </c>
      <c r="G1186" s="2" t="s">
        <v>2471</v>
      </c>
    </row>
    <row r="1187">
      <c r="A1187" s="2" t="s">
        <v>2290</v>
      </c>
      <c r="B1187" s="2" t="s">
        <v>2495</v>
      </c>
      <c r="G1187" s="2" t="s">
        <v>2471</v>
      </c>
    </row>
    <row r="1188">
      <c r="A1188" s="2" t="s">
        <v>2290</v>
      </c>
      <c r="B1188" s="2" t="s">
        <v>2495</v>
      </c>
      <c r="G1188" s="2" t="s">
        <v>2471</v>
      </c>
    </row>
    <row r="1189">
      <c r="A1189" s="2" t="s">
        <v>2290</v>
      </c>
      <c r="B1189" s="2" t="s">
        <v>2496</v>
      </c>
      <c r="G1189" s="2" t="s">
        <v>2471</v>
      </c>
    </row>
    <row r="1190">
      <c r="A1190" s="2" t="s">
        <v>2290</v>
      </c>
      <c r="B1190" s="2" t="s">
        <v>2497</v>
      </c>
      <c r="G1190" s="2" t="s">
        <v>2471</v>
      </c>
    </row>
    <row r="1191">
      <c r="A1191" s="2" t="s">
        <v>2290</v>
      </c>
      <c r="B1191" s="2" t="s">
        <v>2497</v>
      </c>
      <c r="G1191" s="2" t="s">
        <v>2471</v>
      </c>
    </row>
    <row r="1192">
      <c r="A1192" s="2" t="s">
        <v>2290</v>
      </c>
      <c r="B1192" s="2" t="s">
        <v>2498</v>
      </c>
      <c r="G1192" s="2" t="s">
        <v>2471</v>
      </c>
    </row>
    <row r="1193">
      <c r="A1193" s="2" t="s">
        <v>2290</v>
      </c>
      <c r="B1193" s="2" t="s">
        <v>2499</v>
      </c>
      <c r="G1193" s="2" t="s">
        <v>2471</v>
      </c>
    </row>
    <row r="1194">
      <c r="A1194" s="2" t="s">
        <v>2290</v>
      </c>
      <c r="B1194" s="2" t="s">
        <v>2500</v>
      </c>
      <c r="G1194" s="2" t="s">
        <v>2471</v>
      </c>
    </row>
    <row r="1195">
      <c r="A1195" s="2" t="s">
        <v>2290</v>
      </c>
      <c r="B1195" s="2" t="s">
        <v>2502</v>
      </c>
      <c r="G1195" s="2" t="s">
        <v>2471</v>
      </c>
    </row>
    <row r="1196">
      <c r="A1196" s="2" t="s">
        <v>2290</v>
      </c>
      <c r="B1196" s="2" t="s">
        <v>2504</v>
      </c>
      <c r="G1196" s="2" t="s">
        <v>2471</v>
      </c>
    </row>
    <row r="1197">
      <c r="A1197" s="2" t="s">
        <v>2290</v>
      </c>
      <c r="B1197" s="2" t="s">
        <v>2505</v>
      </c>
      <c r="G1197" s="2" t="s">
        <v>2471</v>
      </c>
    </row>
    <row r="1198">
      <c r="A1198" s="2" t="s">
        <v>2290</v>
      </c>
      <c r="B1198" s="2" t="s">
        <v>2470</v>
      </c>
      <c r="G1198" s="2" t="s">
        <v>2471</v>
      </c>
    </row>
    <row r="1199">
      <c r="A1199" s="2" t="s">
        <v>2290</v>
      </c>
      <c r="B1199" s="2" t="s">
        <v>2506</v>
      </c>
      <c r="G1199" s="2" t="s">
        <v>2471</v>
      </c>
    </row>
    <row r="1200">
      <c r="A1200" s="2" t="s">
        <v>2290</v>
      </c>
      <c r="B1200" s="2" t="s">
        <v>2507</v>
      </c>
      <c r="G1200" s="2" t="s">
        <v>2471</v>
      </c>
    </row>
    <row r="1201">
      <c r="A1201" s="2" t="s">
        <v>2290</v>
      </c>
      <c r="B1201" s="2" t="s">
        <v>2508</v>
      </c>
      <c r="G1201" s="2" t="s">
        <v>2471</v>
      </c>
    </row>
    <row r="1202">
      <c r="A1202" s="2" t="s">
        <v>2290</v>
      </c>
      <c r="B1202" s="2" t="s">
        <v>2509</v>
      </c>
      <c r="G1202" s="2" t="s">
        <v>2471</v>
      </c>
    </row>
    <row r="1203">
      <c r="A1203" s="2" t="s">
        <v>2290</v>
      </c>
      <c r="B1203" s="2" t="s">
        <v>2510</v>
      </c>
      <c r="G1203" s="2" t="s">
        <v>2471</v>
      </c>
    </row>
    <row r="1204">
      <c r="A1204" s="2" t="s">
        <v>2290</v>
      </c>
      <c r="B1204" s="2" t="s">
        <v>2511</v>
      </c>
      <c r="G1204" s="2" t="s">
        <v>2471</v>
      </c>
    </row>
    <row r="1205">
      <c r="A1205" s="2" t="s">
        <v>2290</v>
      </c>
      <c r="B1205" s="2" t="s">
        <v>2511</v>
      </c>
      <c r="G1205" s="2" t="s">
        <v>2471</v>
      </c>
    </row>
    <row r="1206">
      <c r="A1206" s="2" t="s">
        <v>2290</v>
      </c>
      <c r="B1206" s="2" t="s">
        <v>2511</v>
      </c>
      <c r="G1206" s="2" t="s">
        <v>2471</v>
      </c>
    </row>
    <row r="1207">
      <c r="A1207" s="2" t="s">
        <v>2290</v>
      </c>
      <c r="B1207" s="2" t="s">
        <v>2512</v>
      </c>
      <c r="G1207" s="2" t="s">
        <v>2471</v>
      </c>
    </row>
    <row r="1208">
      <c r="A1208" s="2" t="s">
        <v>2290</v>
      </c>
      <c r="B1208" s="2" t="s">
        <v>2512</v>
      </c>
      <c r="G1208" s="2" t="s">
        <v>2471</v>
      </c>
    </row>
    <row r="1209">
      <c r="A1209" s="2" t="s">
        <v>2290</v>
      </c>
      <c r="B1209" s="2" t="s">
        <v>2512</v>
      </c>
      <c r="G1209" s="2" t="s">
        <v>2471</v>
      </c>
    </row>
    <row r="1210">
      <c r="A1210" s="2" t="s">
        <v>2290</v>
      </c>
      <c r="B1210" s="2" t="s">
        <v>2513</v>
      </c>
      <c r="G1210" s="2" t="s">
        <v>2471</v>
      </c>
    </row>
    <row r="1211">
      <c r="A1211" s="2" t="s">
        <v>2290</v>
      </c>
      <c r="B1211" s="2" t="s">
        <v>2513</v>
      </c>
      <c r="G1211" s="2" t="s">
        <v>2471</v>
      </c>
    </row>
    <row r="1212">
      <c r="A1212" s="2" t="s">
        <v>2290</v>
      </c>
      <c r="B1212" s="2" t="s">
        <v>2513</v>
      </c>
      <c r="G1212" s="2" t="s">
        <v>2471</v>
      </c>
    </row>
    <row r="1213">
      <c r="A1213" s="2" t="s">
        <v>2290</v>
      </c>
      <c r="B1213" s="2" t="s">
        <v>2514</v>
      </c>
      <c r="G1213" s="2" t="s">
        <v>2471</v>
      </c>
    </row>
    <row r="1214">
      <c r="A1214" s="2" t="s">
        <v>2290</v>
      </c>
      <c r="B1214" s="2" t="s">
        <v>2514</v>
      </c>
      <c r="G1214" s="2" t="s">
        <v>2471</v>
      </c>
    </row>
    <row r="1215">
      <c r="A1215" s="2" t="s">
        <v>2290</v>
      </c>
      <c r="B1215" s="2" t="s">
        <v>2514</v>
      </c>
      <c r="G1215" s="2" t="s">
        <v>2471</v>
      </c>
    </row>
    <row r="1216">
      <c r="A1216" s="2" t="s">
        <v>2515</v>
      </c>
      <c r="B1216" s="2" t="s">
        <v>2516</v>
      </c>
      <c r="C1216" s="2" t="s">
        <v>2517</v>
      </c>
      <c r="D1216" s="2" t="s">
        <v>2518</v>
      </c>
    </row>
    <row r="1217">
      <c r="A1217" s="2" t="s">
        <v>2515</v>
      </c>
      <c r="B1217" s="2" t="s">
        <v>2519</v>
      </c>
      <c r="C1217" s="2" t="s">
        <v>2517</v>
      </c>
      <c r="D1217" s="2" t="s">
        <v>2518</v>
      </c>
    </row>
    <row r="1218">
      <c r="A1218" s="2" t="s">
        <v>2515</v>
      </c>
      <c r="B1218" s="2" t="s">
        <v>2520</v>
      </c>
      <c r="C1218" s="2" t="s">
        <v>2517</v>
      </c>
      <c r="D1218" s="2" t="s">
        <v>2518</v>
      </c>
    </row>
    <row r="1219">
      <c r="A1219" s="2" t="s">
        <v>2515</v>
      </c>
      <c r="B1219" s="2" t="s">
        <v>2521</v>
      </c>
      <c r="C1219" s="2" t="s">
        <v>2517</v>
      </c>
      <c r="D1219" s="2" t="s">
        <v>2518</v>
      </c>
    </row>
    <row r="1220">
      <c r="A1220" s="2" t="s">
        <v>2515</v>
      </c>
      <c r="B1220" s="2" t="s">
        <v>2522</v>
      </c>
      <c r="C1220" s="2" t="s">
        <v>2517</v>
      </c>
      <c r="D1220" s="2" t="s">
        <v>2518</v>
      </c>
    </row>
    <row r="1221">
      <c r="A1221" s="2" t="s">
        <v>2515</v>
      </c>
      <c r="B1221" s="2" t="s">
        <v>2525</v>
      </c>
      <c r="C1221" s="2" t="s">
        <v>2517</v>
      </c>
      <c r="D1221" s="2" t="s">
        <v>2518</v>
      </c>
    </row>
    <row r="1222">
      <c r="A1222" s="2" t="s">
        <v>2515</v>
      </c>
      <c r="B1222" s="2" t="s">
        <v>2528</v>
      </c>
      <c r="C1222" s="2" t="s">
        <v>2517</v>
      </c>
      <c r="D1222" s="2" t="s">
        <v>2518</v>
      </c>
    </row>
    <row r="1223">
      <c r="A1223" s="2" t="s">
        <v>2515</v>
      </c>
      <c r="B1223" s="2" t="s">
        <v>2529</v>
      </c>
      <c r="G1223" s="2" t="s">
        <v>2530</v>
      </c>
    </row>
    <row r="1224">
      <c r="A1224" s="2" t="s">
        <v>2515</v>
      </c>
      <c r="B1224" s="2" t="s">
        <v>2531</v>
      </c>
      <c r="G1224" s="2" t="s">
        <v>2530</v>
      </c>
    </row>
    <row r="1225">
      <c r="A1225" s="2" t="s">
        <v>2515</v>
      </c>
      <c r="B1225" s="2" t="s">
        <v>2532</v>
      </c>
      <c r="G1225" s="2" t="s">
        <v>2530</v>
      </c>
    </row>
    <row r="1226">
      <c r="A1226" s="2" t="s">
        <v>2515</v>
      </c>
      <c r="B1226" s="2" t="s">
        <v>2533</v>
      </c>
      <c r="G1226" s="2" t="s">
        <v>2530</v>
      </c>
    </row>
    <row r="1227">
      <c r="A1227" s="2" t="s">
        <v>2515</v>
      </c>
      <c r="B1227" s="2" t="s">
        <v>2534</v>
      </c>
      <c r="G1227" s="2" t="s">
        <v>2530</v>
      </c>
    </row>
    <row r="1228">
      <c r="A1228" s="2" t="s">
        <v>2515</v>
      </c>
      <c r="B1228" s="2" t="s">
        <v>2535</v>
      </c>
      <c r="G1228" s="2" t="s">
        <v>2530</v>
      </c>
    </row>
    <row r="1229">
      <c r="A1229" s="2" t="s">
        <v>2515</v>
      </c>
      <c r="B1229" s="2" t="s">
        <v>2536</v>
      </c>
      <c r="G1229" s="2" t="s">
        <v>2530</v>
      </c>
    </row>
    <row r="1230">
      <c r="A1230" s="2" t="s">
        <v>2515</v>
      </c>
      <c r="B1230" s="2" t="s">
        <v>2519</v>
      </c>
      <c r="G1230" s="2" t="s">
        <v>2530</v>
      </c>
    </row>
    <row r="1231">
      <c r="A1231" s="2" t="s">
        <v>2515</v>
      </c>
      <c r="B1231" s="2" t="s">
        <v>2538</v>
      </c>
      <c r="G1231" s="2" t="s">
        <v>2530</v>
      </c>
    </row>
    <row r="1232">
      <c r="A1232" s="2" t="s">
        <v>2515</v>
      </c>
      <c r="B1232" s="2" t="s">
        <v>2521</v>
      </c>
      <c r="G1232" s="2" t="s">
        <v>2530</v>
      </c>
    </row>
    <row r="1233">
      <c r="A1233" s="2" t="s">
        <v>2515</v>
      </c>
      <c r="B1233" s="2" t="s">
        <v>2522</v>
      </c>
      <c r="G1233" s="2" t="s">
        <v>2530</v>
      </c>
    </row>
    <row r="1234">
      <c r="A1234" s="2" t="s">
        <v>2515</v>
      </c>
      <c r="B1234" s="2" t="s">
        <v>2525</v>
      </c>
      <c r="G1234" s="2" t="s">
        <v>2530</v>
      </c>
    </row>
    <row r="1235">
      <c r="A1235" s="2" t="s">
        <v>2515</v>
      </c>
      <c r="B1235" s="2" t="s">
        <v>2539</v>
      </c>
      <c r="G1235" s="2" t="s">
        <v>2530</v>
      </c>
    </row>
    <row r="1236">
      <c r="A1236" s="2" t="s">
        <v>2515</v>
      </c>
      <c r="B1236" s="2" t="s">
        <v>2540</v>
      </c>
      <c r="G1236" s="2" t="s">
        <v>2530</v>
      </c>
    </row>
    <row r="1237">
      <c r="A1237" s="2" t="s">
        <v>2515</v>
      </c>
      <c r="B1237" s="2" t="s">
        <v>2541</v>
      </c>
      <c r="G1237" s="2" t="s">
        <v>2530</v>
      </c>
    </row>
    <row r="1238">
      <c r="A1238" s="2" t="s">
        <v>2515</v>
      </c>
      <c r="B1238" s="2" t="s">
        <v>2542</v>
      </c>
      <c r="G1238" s="2" t="s">
        <v>2530</v>
      </c>
    </row>
    <row r="1239">
      <c r="A1239" s="2" t="s">
        <v>2543</v>
      </c>
      <c r="B1239" s="2" t="s">
        <v>2544</v>
      </c>
      <c r="C1239" s="2" t="s">
        <v>2545</v>
      </c>
      <c r="D1239" s="2" t="s">
        <v>2546</v>
      </c>
    </row>
    <row r="1240">
      <c r="A1240" s="2" t="s">
        <v>2543</v>
      </c>
      <c r="B1240" s="2" t="s">
        <v>2547</v>
      </c>
      <c r="C1240" s="2" t="s">
        <v>2545</v>
      </c>
      <c r="D1240" s="2" t="s">
        <v>2546</v>
      </c>
    </row>
    <row r="1241">
      <c r="A1241" s="2" t="s">
        <v>2543</v>
      </c>
      <c r="B1241" s="2" t="s">
        <v>2548</v>
      </c>
      <c r="C1241" s="2" t="s">
        <v>2545</v>
      </c>
      <c r="D1241" s="2" t="s">
        <v>2546</v>
      </c>
    </row>
    <row r="1242">
      <c r="A1242" s="2" t="s">
        <v>2543</v>
      </c>
      <c r="B1242" s="2" t="s">
        <v>2549</v>
      </c>
      <c r="C1242" s="2" t="s">
        <v>2545</v>
      </c>
      <c r="D1242" s="2" t="s">
        <v>2546</v>
      </c>
    </row>
    <row r="1243">
      <c r="A1243" s="2" t="s">
        <v>2543</v>
      </c>
      <c r="B1243" s="2" t="s">
        <v>2550</v>
      </c>
      <c r="C1243" s="2" t="s">
        <v>2545</v>
      </c>
      <c r="D1243" s="2" t="s">
        <v>2546</v>
      </c>
    </row>
    <row r="1244">
      <c r="A1244" s="2" t="s">
        <v>2543</v>
      </c>
      <c r="B1244" s="2" t="s">
        <v>2551</v>
      </c>
      <c r="C1244" s="2" t="s">
        <v>2545</v>
      </c>
      <c r="D1244" s="2" t="s">
        <v>2546</v>
      </c>
    </row>
    <row r="1245">
      <c r="A1245" s="2" t="s">
        <v>2543</v>
      </c>
      <c r="B1245" s="2" t="s">
        <v>2553</v>
      </c>
      <c r="C1245" s="2" t="s">
        <v>2545</v>
      </c>
      <c r="D1245" s="2" t="s">
        <v>2546</v>
      </c>
    </row>
    <row r="1246">
      <c r="A1246" s="2" t="s">
        <v>2543</v>
      </c>
      <c r="B1246" s="2" t="s">
        <v>2554</v>
      </c>
      <c r="C1246" s="2" t="s">
        <v>2545</v>
      </c>
      <c r="D1246" s="2" t="s">
        <v>2546</v>
      </c>
    </row>
    <row r="1247">
      <c r="A1247" s="2" t="s">
        <v>2543</v>
      </c>
      <c r="B1247" s="2" t="s">
        <v>2555</v>
      </c>
      <c r="C1247" s="2" t="s">
        <v>2545</v>
      </c>
      <c r="D1247" s="2" t="s">
        <v>2546</v>
      </c>
    </row>
    <row r="1248">
      <c r="A1248" s="2" t="s">
        <v>2543</v>
      </c>
      <c r="B1248" s="2" t="s">
        <v>2556</v>
      </c>
      <c r="C1248" s="2" t="s">
        <v>2545</v>
      </c>
      <c r="D1248" s="2" t="s">
        <v>2546</v>
      </c>
    </row>
    <row r="1249">
      <c r="A1249" s="2" t="s">
        <v>2543</v>
      </c>
      <c r="B1249" s="2" t="s">
        <v>2557</v>
      </c>
      <c r="C1249" s="2" t="s">
        <v>2545</v>
      </c>
      <c r="D1249" s="2" t="s">
        <v>2546</v>
      </c>
    </row>
    <row r="1250">
      <c r="A1250" s="2" t="s">
        <v>2543</v>
      </c>
      <c r="B1250" s="2" t="s">
        <v>2558</v>
      </c>
      <c r="C1250" s="2" t="s">
        <v>2545</v>
      </c>
      <c r="D1250" s="2" t="s">
        <v>2546</v>
      </c>
    </row>
    <row r="1251">
      <c r="A1251" s="2" t="s">
        <v>2543</v>
      </c>
      <c r="B1251" s="2" t="s">
        <v>2559</v>
      </c>
      <c r="C1251" s="2" t="s">
        <v>2545</v>
      </c>
      <c r="D1251" s="2" t="s">
        <v>2546</v>
      </c>
    </row>
    <row r="1252">
      <c r="A1252" s="2" t="s">
        <v>2543</v>
      </c>
      <c r="B1252" s="2" t="s">
        <v>2560</v>
      </c>
      <c r="C1252" s="2" t="s">
        <v>2545</v>
      </c>
      <c r="D1252" s="2" t="s">
        <v>2546</v>
      </c>
    </row>
    <row r="1253">
      <c r="A1253" s="2" t="s">
        <v>2543</v>
      </c>
      <c r="B1253" s="2" t="s">
        <v>2562</v>
      </c>
      <c r="C1253" s="2" t="s">
        <v>2545</v>
      </c>
      <c r="D1253" s="2" t="s">
        <v>2546</v>
      </c>
    </row>
    <row r="1254">
      <c r="A1254" s="2" t="s">
        <v>2543</v>
      </c>
      <c r="B1254" s="2" t="s">
        <v>2563</v>
      </c>
      <c r="C1254" s="2" t="s">
        <v>2545</v>
      </c>
      <c r="D1254" s="2" t="s">
        <v>2546</v>
      </c>
    </row>
    <row r="1255">
      <c r="A1255" s="2" t="s">
        <v>2543</v>
      </c>
      <c r="B1255" s="2" t="s">
        <v>2564</v>
      </c>
      <c r="C1255" s="2" t="s">
        <v>2545</v>
      </c>
      <c r="D1255" s="2" t="s">
        <v>2546</v>
      </c>
    </row>
    <row r="1256">
      <c r="A1256" s="2" t="s">
        <v>2543</v>
      </c>
      <c r="B1256" s="2" t="s">
        <v>2565</v>
      </c>
      <c r="C1256" s="2" t="s">
        <v>2545</v>
      </c>
      <c r="D1256" s="2" t="s">
        <v>2546</v>
      </c>
    </row>
    <row r="1257">
      <c r="A1257" s="2" t="s">
        <v>2543</v>
      </c>
      <c r="B1257" s="2" t="s">
        <v>2566</v>
      </c>
      <c r="C1257" s="2" t="s">
        <v>2545</v>
      </c>
      <c r="D1257" s="2" t="s">
        <v>2546</v>
      </c>
    </row>
    <row r="1258">
      <c r="A1258" s="2" t="s">
        <v>2543</v>
      </c>
      <c r="B1258" s="2" t="s">
        <v>2568</v>
      </c>
      <c r="C1258" s="2" t="s">
        <v>2545</v>
      </c>
      <c r="D1258" s="2" t="s">
        <v>2546</v>
      </c>
    </row>
    <row r="1259">
      <c r="A1259" s="2" t="s">
        <v>2543</v>
      </c>
      <c r="B1259" s="2" t="s">
        <v>2569</v>
      </c>
      <c r="C1259" s="2" t="s">
        <v>2545</v>
      </c>
      <c r="D1259" s="2" t="s">
        <v>2546</v>
      </c>
    </row>
    <row r="1260">
      <c r="A1260" s="2" t="s">
        <v>2543</v>
      </c>
      <c r="B1260" s="2" t="s">
        <v>2570</v>
      </c>
      <c r="C1260" s="2" t="s">
        <v>2545</v>
      </c>
      <c r="D1260" s="2" t="s">
        <v>2546</v>
      </c>
    </row>
    <row r="1261">
      <c r="A1261" s="2" t="s">
        <v>2543</v>
      </c>
      <c r="B1261" s="2" t="s">
        <v>2571</v>
      </c>
      <c r="C1261" s="2" t="s">
        <v>2545</v>
      </c>
      <c r="D1261" s="2" t="s">
        <v>2546</v>
      </c>
    </row>
    <row r="1262">
      <c r="A1262" s="2" t="s">
        <v>2543</v>
      </c>
      <c r="B1262" s="2" t="s">
        <v>2572</v>
      </c>
      <c r="C1262" s="2" t="s">
        <v>2545</v>
      </c>
      <c r="D1262" s="2" t="s">
        <v>2546</v>
      </c>
    </row>
    <row r="1263">
      <c r="A1263" s="2" t="s">
        <v>2543</v>
      </c>
      <c r="B1263" s="2" t="s">
        <v>2573</v>
      </c>
      <c r="C1263" s="2" t="s">
        <v>2545</v>
      </c>
      <c r="D1263" s="2" t="s">
        <v>2546</v>
      </c>
    </row>
    <row r="1264">
      <c r="A1264" s="2" t="s">
        <v>2543</v>
      </c>
      <c r="B1264" s="2" t="s">
        <v>2574</v>
      </c>
      <c r="C1264" s="2" t="s">
        <v>2545</v>
      </c>
      <c r="D1264" s="2" t="s">
        <v>2546</v>
      </c>
    </row>
    <row r="1265">
      <c r="A1265" s="2" t="s">
        <v>2543</v>
      </c>
      <c r="B1265" s="2" t="s">
        <v>2575</v>
      </c>
      <c r="C1265" s="2" t="s">
        <v>2545</v>
      </c>
      <c r="D1265" s="2" t="s">
        <v>2546</v>
      </c>
    </row>
    <row r="1266">
      <c r="A1266" s="2" t="s">
        <v>2543</v>
      </c>
      <c r="B1266" s="2" t="s">
        <v>2578</v>
      </c>
      <c r="C1266" s="2" t="s">
        <v>2545</v>
      </c>
      <c r="D1266" s="2" t="s">
        <v>2546</v>
      </c>
    </row>
    <row r="1267">
      <c r="A1267" s="2" t="s">
        <v>2543</v>
      </c>
      <c r="B1267" s="2" t="s">
        <v>2580</v>
      </c>
      <c r="C1267" s="2" t="s">
        <v>2545</v>
      </c>
      <c r="D1267" s="2" t="s">
        <v>2546</v>
      </c>
    </row>
    <row r="1268">
      <c r="A1268" s="2" t="s">
        <v>2543</v>
      </c>
      <c r="B1268" s="2" t="s">
        <v>2582</v>
      </c>
      <c r="C1268" s="2" t="s">
        <v>2545</v>
      </c>
      <c r="D1268" s="2" t="s">
        <v>2546</v>
      </c>
    </row>
    <row r="1269">
      <c r="A1269" s="2" t="s">
        <v>2543</v>
      </c>
      <c r="B1269" s="2" t="s">
        <v>2583</v>
      </c>
      <c r="C1269" s="2" t="s">
        <v>2545</v>
      </c>
      <c r="D1269" s="2" t="s">
        <v>2546</v>
      </c>
    </row>
    <row r="1270">
      <c r="A1270" s="2" t="s">
        <v>2543</v>
      </c>
      <c r="B1270" s="2" t="s">
        <v>2584</v>
      </c>
      <c r="C1270" s="2" t="s">
        <v>2545</v>
      </c>
      <c r="D1270" s="2" t="s">
        <v>2546</v>
      </c>
    </row>
    <row r="1271">
      <c r="A1271" s="2" t="s">
        <v>2543</v>
      </c>
      <c r="B1271" s="2" t="s">
        <v>2585</v>
      </c>
      <c r="C1271" s="2" t="s">
        <v>2545</v>
      </c>
      <c r="D1271" s="2" t="s">
        <v>2546</v>
      </c>
    </row>
    <row r="1272">
      <c r="A1272" s="2" t="s">
        <v>2543</v>
      </c>
      <c r="B1272" s="2" t="s">
        <v>2586</v>
      </c>
      <c r="C1272" s="2" t="s">
        <v>2545</v>
      </c>
      <c r="D1272" s="2" t="s">
        <v>2546</v>
      </c>
    </row>
    <row r="1273">
      <c r="A1273" s="2" t="s">
        <v>2543</v>
      </c>
      <c r="B1273" s="2" t="s">
        <v>2587</v>
      </c>
      <c r="C1273" s="2" t="s">
        <v>2545</v>
      </c>
      <c r="D1273" s="2" t="s">
        <v>2546</v>
      </c>
    </row>
    <row r="1274">
      <c r="A1274" s="2" t="s">
        <v>2543</v>
      </c>
      <c r="B1274" s="2" t="s">
        <v>2588</v>
      </c>
      <c r="C1274" s="2" t="s">
        <v>2545</v>
      </c>
      <c r="D1274" s="2" t="s">
        <v>2546</v>
      </c>
    </row>
    <row r="1275">
      <c r="A1275" s="2" t="s">
        <v>2543</v>
      </c>
      <c r="B1275" s="2" t="s">
        <v>2589</v>
      </c>
      <c r="C1275" s="2" t="s">
        <v>2545</v>
      </c>
      <c r="D1275" s="2" t="s">
        <v>2546</v>
      </c>
    </row>
    <row r="1276">
      <c r="A1276" s="2" t="s">
        <v>2543</v>
      </c>
      <c r="B1276" s="2" t="s">
        <v>2590</v>
      </c>
      <c r="C1276" s="2" t="s">
        <v>2545</v>
      </c>
      <c r="D1276" s="2" t="s">
        <v>2546</v>
      </c>
    </row>
    <row r="1277">
      <c r="A1277" s="2" t="s">
        <v>2543</v>
      </c>
      <c r="B1277" s="2" t="s">
        <v>2591</v>
      </c>
      <c r="C1277" s="2" t="s">
        <v>2545</v>
      </c>
      <c r="D1277" s="2" t="s">
        <v>2546</v>
      </c>
    </row>
    <row r="1278">
      <c r="A1278" s="2" t="s">
        <v>2543</v>
      </c>
      <c r="B1278" s="2" t="s">
        <v>2592</v>
      </c>
      <c r="C1278" s="2" t="s">
        <v>2545</v>
      </c>
      <c r="D1278" s="2" t="s">
        <v>2546</v>
      </c>
    </row>
    <row r="1279">
      <c r="A1279" s="2" t="s">
        <v>2543</v>
      </c>
      <c r="B1279" s="2" t="s">
        <v>2594</v>
      </c>
      <c r="C1279" s="2" t="s">
        <v>2545</v>
      </c>
      <c r="D1279" s="2" t="s">
        <v>2546</v>
      </c>
    </row>
    <row r="1280">
      <c r="A1280" s="2" t="s">
        <v>2543</v>
      </c>
      <c r="B1280" s="2" t="s">
        <v>2596</v>
      </c>
      <c r="C1280" s="2" t="s">
        <v>2545</v>
      </c>
      <c r="D1280" s="2" t="s">
        <v>2546</v>
      </c>
    </row>
    <row r="1281">
      <c r="A1281" s="2" t="s">
        <v>2543</v>
      </c>
      <c r="B1281" s="2" t="s">
        <v>2597</v>
      </c>
      <c r="C1281" s="2" t="s">
        <v>2545</v>
      </c>
      <c r="D1281" s="2" t="s">
        <v>2546</v>
      </c>
    </row>
    <row r="1282">
      <c r="A1282" s="2" t="s">
        <v>2543</v>
      </c>
      <c r="B1282" s="2" t="s">
        <v>2598</v>
      </c>
      <c r="C1282" s="2" t="s">
        <v>2545</v>
      </c>
      <c r="D1282" s="2" t="s">
        <v>2546</v>
      </c>
    </row>
    <row r="1283">
      <c r="A1283" s="2" t="s">
        <v>2543</v>
      </c>
      <c r="B1283" s="2" t="s">
        <v>2599</v>
      </c>
      <c r="C1283" s="2" t="s">
        <v>2545</v>
      </c>
      <c r="D1283" s="2" t="s">
        <v>2546</v>
      </c>
    </row>
    <row r="1284">
      <c r="A1284" s="2" t="s">
        <v>2543</v>
      </c>
      <c r="B1284" s="2" t="s">
        <v>2600</v>
      </c>
      <c r="C1284" s="2" t="s">
        <v>2545</v>
      </c>
      <c r="D1284" s="2" t="s">
        <v>2546</v>
      </c>
    </row>
    <row r="1285">
      <c r="A1285" s="2" t="s">
        <v>2543</v>
      </c>
      <c r="B1285" s="2" t="s">
        <v>2601</v>
      </c>
      <c r="C1285" s="2" t="s">
        <v>2545</v>
      </c>
      <c r="D1285" s="2" t="s">
        <v>2546</v>
      </c>
    </row>
    <row r="1286">
      <c r="A1286" s="2" t="s">
        <v>2543</v>
      </c>
      <c r="B1286" s="2" t="s">
        <v>2602</v>
      </c>
      <c r="C1286" s="2" t="s">
        <v>2545</v>
      </c>
      <c r="D1286" s="2" t="s">
        <v>2546</v>
      </c>
    </row>
    <row r="1287">
      <c r="A1287" s="2" t="s">
        <v>2543</v>
      </c>
      <c r="B1287" s="2" t="s">
        <v>2604</v>
      </c>
      <c r="C1287" s="2" t="s">
        <v>2545</v>
      </c>
      <c r="D1287" s="2" t="s">
        <v>2546</v>
      </c>
    </row>
    <row r="1288">
      <c r="A1288" s="2" t="s">
        <v>2543</v>
      </c>
      <c r="B1288" s="2" t="s">
        <v>2605</v>
      </c>
      <c r="C1288" s="2" t="s">
        <v>2545</v>
      </c>
      <c r="D1288" s="2" t="s">
        <v>2546</v>
      </c>
    </row>
    <row r="1289">
      <c r="A1289" s="2" t="s">
        <v>2543</v>
      </c>
      <c r="B1289" s="2" t="s">
        <v>2606</v>
      </c>
      <c r="C1289" s="2" t="s">
        <v>2545</v>
      </c>
      <c r="D1289" s="2" t="s">
        <v>2546</v>
      </c>
    </row>
    <row r="1290">
      <c r="A1290" s="2" t="s">
        <v>2543</v>
      </c>
      <c r="B1290" s="2" t="s">
        <v>2607</v>
      </c>
      <c r="C1290" s="2" t="s">
        <v>2545</v>
      </c>
      <c r="D1290" s="2" t="s">
        <v>2546</v>
      </c>
    </row>
    <row r="1291">
      <c r="A1291" s="2" t="s">
        <v>2543</v>
      </c>
      <c r="B1291" s="2" t="s">
        <v>2609</v>
      </c>
      <c r="C1291" s="2" t="s">
        <v>2545</v>
      </c>
      <c r="D1291" s="2" t="s">
        <v>2546</v>
      </c>
    </row>
    <row r="1292">
      <c r="A1292" s="2" t="s">
        <v>2543</v>
      </c>
      <c r="B1292" s="2" t="s">
        <v>2610</v>
      </c>
      <c r="C1292" s="2" t="s">
        <v>2545</v>
      </c>
      <c r="D1292" s="2" t="s">
        <v>2546</v>
      </c>
    </row>
    <row r="1293">
      <c r="A1293" s="2" t="s">
        <v>2543</v>
      </c>
      <c r="B1293" s="2" t="s">
        <v>2611</v>
      </c>
      <c r="C1293" s="2" t="s">
        <v>2545</v>
      </c>
      <c r="D1293" s="2" t="s">
        <v>2546</v>
      </c>
    </row>
    <row r="1294">
      <c r="A1294" s="2" t="s">
        <v>2543</v>
      </c>
      <c r="B1294" s="2" t="s">
        <v>2612</v>
      </c>
      <c r="C1294" s="2" t="s">
        <v>2545</v>
      </c>
      <c r="D1294" s="2" t="s">
        <v>2546</v>
      </c>
    </row>
    <row r="1295">
      <c r="A1295" s="2" t="s">
        <v>2543</v>
      </c>
      <c r="B1295" s="2" t="s">
        <v>2613</v>
      </c>
      <c r="C1295" s="2" t="s">
        <v>2545</v>
      </c>
      <c r="D1295" s="2" t="s">
        <v>2546</v>
      </c>
    </row>
    <row r="1296">
      <c r="A1296" s="2" t="s">
        <v>2543</v>
      </c>
      <c r="B1296" s="2" t="s">
        <v>2614</v>
      </c>
      <c r="C1296" s="2" t="s">
        <v>2545</v>
      </c>
      <c r="D1296" s="2" t="s">
        <v>2546</v>
      </c>
    </row>
    <row r="1297">
      <c r="A1297" s="2" t="s">
        <v>2543</v>
      </c>
      <c r="B1297" s="2" t="s">
        <v>2615</v>
      </c>
      <c r="C1297" s="2" t="s">
        <v>2545</v>
      </c>
      <c r="D1297" s="2" t="s">
        <v>2546</v>
      </c>
    </row>
    <row r="1298">
      <c r="A1298" s="2" t="s">
        <v>2543</v>
      </c>
      <c r="B1298" s="2" t="s">
        <v>2617</v>
      </c>
      <c r="C1298" s="2" t="s">
        <v>2545</v>
      </c>
      <c r="D1298" s="2" t="s">
        <v>2546</v>
      </c>
    </row>
    <row r="1299">
      <c r="A1299" s="2" t="s">
        <v>2543</v>
      </c>
      <c r="B1299" s="2" t="s">
        <v>2619</v>
      </c>
      <c r="C1299" s="2" t="s">
        <v>2545</v>
      </c>
      <c r="D1299" s="2" t="s">
        <v>2546</v>
      </c>
    </row>
    <row r="1300">
      <c r="A1300" s="2" t="s">
        <v>2543</v>
      </c>
      <c r="B1300" s="2" t="s">
        <v>2620</v>
      </c>
      <c r="C1300" s="2" t="s">
        <v>2545</v>
      </c>
      <c r="D1300" s="2" t="s">
        <v>2546</v>
      </c>
    </row>
    <row r="1301">
      <c r="A1301" s="2" t="s">
        <v>2543</v>
      </c>
      <c r="B1301" s="2" t="s">
        <v>2621</v>
      </c>
      <c r="C1301" s="2" t="s">
        <v>2545</v>
      </c>
      <c r="D1301" s="2" t="s">
        <v>2546</v>
      </c>
    </row>
    <row r="1302">
      <c r="A1302" s="2" t="s">
        <v>2543</v>
      </c>
      <c r="B1302" s="2" t="s">
        <v>2622</v>
      </c>
      <c r="C1302" s="2" t="s">
        <v>2545</v>
      </c>
      <c r="D1302" s="2" t="s">
        <v>2546</v>
      </c>
    </row>
    <row r="1303">
      <c r="A1303" s="2" t="s">
        <v>2543</v>
      </c>
      <c r="B1303" s="2" t="s">
        <v>2623</v>
      </c>
      <c r="C1303" s="2" t="s">
        <v>2545</v>
      </c>
      <c r="D1303" s="2" t="s">
        <v>2546</v>
      </c>
    </row>
    <row r="1304">
      <c r="A1304" s="2" t="s">
        <v>2543</v>
      </c>
      <c r="B1304" s="2" t="s">
        <v>2624</v>
      </c>
      <c r="C1304" s="2" t="s">
        <v>2545</v>
      </c>
      <c r="D1304" s="2" t="s">
        <v>2546</v>
      </c>
    </row>
    <row r="1305">
      <c r="A1305" s="2" t="s">
        <v>2543</v>
      </c>
      <c r="B1305" s="2" t="s">
        <v>2625</v>
      </c>
      <c r="C1305" s="2" t="s">
        <v>2545</v>
      </c>
      <c r="D1305" s="2" t="s">
        <v>2546</v>
      </c>
    </row>
    <row r="1306">
      <c r="A1306" s="2" t="s">
        <v>2543</v>
      </c>
      <c r="B1306" s="2" t="s">
        <v>2626</v>
      </c>
      <c r="C1306" s="2" t="s">
        <v>2545</v>
      </c>
      <c r="D1306" s="2" t="s">
        <v>2546</v>
      </c>
    </row>
    <row r="1307">
      <c r="A1307" s="2" t="s">
        <v>2543</v>
      </c>
      <c r="B1307" s="2" t="s">
        <v>2627</v>
      </c>
      <c r="C1307" s="2" t="s">
        <v>2545</v>
      </c>
      <c r="D1307" s="2" t="s">
        <v>2546</v>
      </c>
    </row>
    <row r="1308">
      <c r="A1308" s="2" t="s">
        <v>2543</v>
      </c>
      <c r="B1308" s="2" t="s">
        <v>2628</v>
      </c>
      <c r="C1308" s="2" t="s">
        <v>2545</v>
      </c>
      <c r="D1308" s="2" t="s">
        <v>2546</v>
      </c>
    </row>
    <row r="1309">
      <c r="A1309" s="2" t="s">
        <v>2543</v>
      </c>
      <c r="B1309" s="2" t="s">
        <v>2629</v>
      </c>
      <c r="C1309" s="2" t="s">
        <v>2545</v>
      </c>
      <c r="D1309" s="2" t="s">
        <v>2546</v>
      </c>
    </row>
    <row r="1310">
      <c r="A1310" s="2" t="s">
        <v>2543</v>
      </c>
      <c r="B1310" s="2" t="s">
        <v>2631</v>
      </c>
      <c r="C1310" s="2" t="s">
        <v>2545</v>
      </c>
      <c r="D1310" s="2" t="s">
        <v>2546</v>
      </c>
    </row>
    <row r="1311">
      <c r="A1311" s="2" t="s">
        <v>2543</v>
      </c>
      <c r="B1311" s="2" t="s">
        <v>2632</v>
      </c>
      <c r="C1311" s="2" t="s">
        <v>2545</v>
      </c>
      <c r="D1311" s="2" t="s">
        <v>2546</v>
      </c>
    </row>
    <row r="1312">
      <c r="A1312" s="2" t="s">
        <v>2543</v>
      </c>
      <c r="B1312" s="2" t="s">
        <v>2633</v>
      </c>
      <c r="C1312" s="2" t="s">
        <v>2545</v>
      </c>
      <c r="D1312" s="2" t="s">
        <v>2546</v>
      </c>
    </row>
    <row r="1313">
      <c r="A1313" s="2" t="s">
        <v>2543</v>
      </c>
      <c r="B1313" s="2" t="s">
        <v>2634</v>
      </c>
      <c r="C1313" s="2" t="s">
        <v>2545</v>
      </c>
      <c r="D1313" s="2" t="s">
        <v>2546</v>
      </c>
    </row>
    <row r="1314">
      <c r="A1314" s="2" t="s">
        <v>2543</v>
      </c>
      <c r="B1314" s="2" t="s">
        <v>2635</v>
      </c>
      <c r="C1314" s="2" t="s">
        <v>2545</v>
      </c>
      <c r="D1314" s="2" t="s">
        <v>2546</v>
      </c>
    </row>
    <row r="1315">
      <c r="A1315" s="2" t="s">
        <v>2543</v>
      </c>
      <c r="B1315" s="2" t="s">
        <v>2636</v>
      </c>
      <c r="C1315" s="2" t="s">
        <v>2545</v>
      </c>
      <c r="D1315" s="2" t="s">
        <v>2546</v>
      </c>
    </row>
    <row r="1316">
      <c r="A1316" s="2" t="s">
        <v>2543</v>
      </c>
      <c r="B1316" s="2" t="s">
        <v>2637</v>
      </c>
      <c r="C1316" s="2" t="s">
        <v>2545</v>
      </c>
      <c r="D1316" s="2" t="s">
        <v>2546</v>
      </c>
    </row>
    <row r="1317">
      <c r="A1317" s="2" t="s">
        <v>2543</v>
      </c>
      <c r="B1317" s="2" t="s">
        <v>2638</v>
      </c>
      <c r="C1317" s="2" t="s">
        <v>2545</v>
      </c>
      <c r="D1317" s="2" t="s">
        <v>2546</v>
      </c>
    </row>
    <row r="1318">
      <c r="A1318" s="2" t="s">
        <v>2543</v>
      </c>
      <c r="B1318" s="2" t="s">
        <v>2640</v>
      </c>
      <c r="C1318" s="2" t="s">
        <v>2545</v>
      </c>
      <c r="D1318" s="2" t="s">
        <v>2546</v>
      </c>
    </row>
    <row r="1319">
      <c r="A1319" s="2" t="s">
        <v>2543</v>
      </c>
      <c r="B1319" s="2" t="s">
        <v>2641</v>
      </c>
      <c r="C1319" s="2" t="s">
        <v>2545</v>
      </c>
      <c r="D1319" s="2" t="s">
        <v>2546</v>
      </c>
    </row>
    <row r="1320">
      <c r="A1320" s="2" t="s">
        <v>2543</v>
      </c>
      <c r="B1320" s="2" t="s">
        <v>2642</v>
      </c>
      <c r="C1320" s="2" t="s">
        <v>2545</v>
      </c>
      <c r="D1320" s="2" t="s">
        <v>2546</v>
      </c>
    </row>
    <row r="1321">
      <c r="A1321" s="2" t="s">
        <v>2543</v>
      </c>
      <c r="B1321" s="2" t="s">
        <v>2643</v>
      </c>
      <c r="C1321" s="2" t="s">
        <v>2545</v>
      </c>
      <c r="D1321" s="2" t="s">
        <v>2546</v>
      </c>
    </row>
    <row r="1322">
      <c r="A1322" s="2" t="s">
        <v>2543</v>
      </c>
      <c r="B1322" s="2" t="s">
        <v>2644</v>
      </c>
      <c r="C1322" s="2" t="s">
        <v>2545</v>
      </c>
      <c r="D1322" s="2" t="s">
        <v>2546</v>
      </c>
    </row>
    <row r="1323">
      <c r="A1323" s="2" t="s">
        <v>2543</v>
      </c>
      <c r="B1323" s="2" t="s">
        <v>2646</v>
      </c>
      <c r="C1323" s="2" t="s">
        <v>2545</v>
      </c>
      <c r="D1323" s="2" t="s">
        <v>2546</v>
      </c>
    </row>
    <row r="1324">
      <c r="A1324" s="2" t="s">
        <v>2543</v>
      </c>
      <c r="B1324" s="2" t="s">
        <v>2647</v>
      </c>
      <c r="C1324" s="2" t="s">
        <v>2545</v>
      </c>
      <c r="D1324" s="2" t="s">
        <v>2546</v>
      </c>
    </row>
    <row r="1325">
      <c r="A1325" s="2" t="s">
        <v>2543</v>
      </c>
      <c r="B1325" s="2" t="s">
        <v>2648</v>
      </c>
      <c r="C1325" s="2" t="s">
        <v>2545</v>
      </c>
      <c r="D1325" s="2" t="s">
        <v>2546</v>
      </c>
    </row>
    <row r="1326">
      <c r="A1326" s="2" t="s">
        <v>2543</v>
      </c>
      <c r="B1326" s="2" t="s">
        <v>2649</v>
      </c>
      <c r="C1326" s="2" t="s">
        <v>2545</v>
      </c>
      <c r="D1326" s="2" t="s">
        <v>2546</v>
      </c>
    </row>
    <row r="1327">
      <c r="A1327" s="2" t="s">
        <v>2543</v>
      </c>
      <c r="B1327" s="2" t="s">
        <v>2650</v>
      </c>
      <c r="C1327" s="2" t="s">
        <v>2545</v>
      </c>
      <c r="D1327" s="2" t="s">
        <v>2546</v>
      </c>
    </row>
    <row r="1328">
      <c r="A1328" s="2" t="s">
        <v>2543</v>
      </c>
      <c r="B1328" s="2" t="s">
        <v>2651</v>
      </c>
      <c r="C1328" s="2" t="s">
        <v>2545</v>
      </c>
      <c r="D1328" s="2" t="s">
        <v>2546</v>
      </c>
    </row>
    <row r="1329">
      <c r="A1329" s="2" t="s">
        <v>2543</v>
      </c>
      <c r="B1329" s="2" t="s">
        <v>2652</v>
      </c>
      <c r="C1329" s="2" t="s">
        <v>2545</v>
      </c>
      <c r="D1329" s="2" t="s">
        <v>2546</v>
      </c>
    </row>
    <row r="1330">
      <c r="A1330" s="2" t="s">
        <v>2543</v>
      </c>
      <c r="B1330" s="2" t="s">
        <v>2653</v>
      </c>
      <c r="C1330" s="2" t="s">
        <v>2545</v>
      </c>
      <c r="D1330" s="2" t="s">
        <v>2546</v>
      </c>
    </row>
    <row r="1331">
      <c r="A1331" s="2" t="s">
        <v>2543</v>
      </c>
      <c r="B1331" s="2" t="s">
        <v>2655</v>
      </c>
      <c r="C1331" s="2" t="s">
        <v>2545</v>
      </c>
      <c r="D1331" s="2" t="s">
        <v>2546</v>
      </c>
    </row>
    <row r="1332">
      <c r="A1332" s="2" t="s">
        <v>2543</v>
      </c>
      <c r="B1332" s="2" t="s">
        <v>2656</v>
      </c>
      <c r="C1332" s="2" t="s">
        <v>2545</v>
      </c>
      <c r="D1332" s="2" t="s">
        <v>2546</v>
      </c>
    </row>
    <row r="1333">
      <c r="A1333" s="2" t="s">
        <v>2543</v>
      </c>
      <c r="B1333" s="2" t="s">
        <v>2657</v>
      </c>
      <c r="C1333" s="2" t="s">
        <v>2545</v>
      </c>
      <c r="D1333" s="2" t="s">
        <v>2546</v>
      </c>
    </row>
    <row r="1334">
      <c r="A1334" s="2" t="s">
        <v>2543</v>
      </c>
      <c r="B1334" s="2" t="s">
        <v>2658</v>
      </c>
      <c r="C1334" s="2" t="s">
        <v>2545</v>
      </c>
      <c r="D1334" s="2" t="s">
        <v>2546</v>
      </c>
    </row>
    <row r="1335">
      <c r="A1335" s="2" t="s">
        <v>2543</v>
      </c>
      <c r="B1335" s="2" t="s">
        <v>2659</v>
      </c>
      <c r="C1335" s="2" t="s">
        <v>2545</v>
      </c>
      <c r="D1335" s="2" t="s">
        <v>2546</v>
      </c>
    </row>
    <row r="1336">
      <c r="A1336" s="2" t="s">
        <v>2543</v>
      </c>
      <c r="B1336" s="2" t="s">
        <v>2661</v>
      </c>
      <c r="C1336" s="2" t="s">
        <v>2545</v>
      </c>
      <c r="D1336" s="2" t="s">
        <v>2546</v>
      </c>
    </row>
    <row r="1337">
      <c r="A1337" s="2" t="s">
        <v>2543</v>
      </c>
      <c r="B1337" s="2" t="s">
        <v>2662</v>
      </c>
      <c r="C1337" s="2" t="s">
        <v>2545</v>
      </c>
      <c r="D1337" s="2" t="s">
        <v>2546</v>
      </c>
    </row>
    <row r="1338">
      <c r="A1338" s="2" t="s">
        <v>2543</v>
      </c>
      <c r="B1338" s="2" t="s">
        <v>2663</v>
      </c>
      <c r="C1338" s="2" t="s">
        <v>2545</v>
      </c>
      <c r="D1338" s="2" t="s">
        <v>2546</v>
      </c>
    </row>
    <row r="1339">
      <c r="A1339" s="2" t="s">
        <v>2543</v>
      </c>
      <c r="B1339" s="2" t="s">
        <v>2664</v>
      </c>
      <c r="C1339" s="2" t="s">
        <v>2545</v>
      </c>
      <c r="D1339" s="2" t="s">
        <v>2546</v>
      </c>
    </row>
    <row r="1340">
      <c r="A1340" s="2" t="s">
        <v>2543</v>
      </c>
      <c r="B1340" s="2" t="s">
        <v>2665</v>
      </c>
      <c r="C1340" s="2" t="s">
        <v>2545</v>
      </c>
      <c r="D1340" s="2" t="s">
        <v>2546</v>
      </c>
    </row>
    <row r="1341">
      <c r="A1341" s="2" t="s">
        <v>2543</v>
      </c>
      <c r="B1341" s="2" t="s">
        <v>2666</v>
      </c>
      <c r="C1341" s="2" t="s">
        <v>2545</v>
      </c>
      <c r="D1341" s="2" t="s">
        <v>2546</v>
      </c>
    </row>
    <row r="1342">
      <c r="A1342" s="2" t="s">
        <v>2543</v>
      </c>
      <c r="B1342" s="2" t="s">
        <v>2667</v>
      </c>
      <c r="C1342" s="2" t="s">
        <v>2545</v>
      </c>
      <c r="D1342" s="2" t="s">
        <v>2546</v>
      </c>
    </row>
    <row r="1343">
      <c r="A1343" s="2" t="s">
        <v>2543</v>
      </c>
      <c r="B1343" s="2" t="s">
        <v>2668</v>
      </c>
      <c r="C1343" s="2" t="s">
        <v>2545</v>
      </c>
      <c r="D1343" s="2" t="s">
        <v>2546</v>
      </c>
    </row>
    <row r="1344">
      <c r="A1344" s="2" t="s">
        <v>2543</v>
      </c>
      <c r="B1344" s="2" t="s">
        <v>2669</v>
      </c>
      <c r="C1344" s="2" t="s">
        <v>2545</v>
      </c>
      <c r="D1344" s="2" t="s">
        <v>2546</v>
      </c>
    </row>
    <row r="1345">
      <c r="A1345" s="2" t="s">
        <v>2543</v>
      </c>
      <c r="B1345" s="2" t="s">
        <v>2670</v>
      </c>
      <c r="C1345" s="2" t="s">
        <v>2545</v>
      </c>
      <c r="D1345" s="2" t="s">
        <v>2546</v>
      </c>
    </row>
    <row r="1346">
      <c r="A1346" s="2" t="s">
        <v>2543</v>
      </c>
      <c r="B1346" s="2" t="s">
        <v>2671</v>
      </c>
      <c r="C1346" s="2" t="s">
        <v>2545</v>
      </c>
      <c r="D1346" s="2" t="s">
        <v>2546</v>
      </c>
    </row>
    <row r="1347">
      <c r="A1347" s="2" t="s">
        <v>2543</v>
      </c>
      <c r="B1347" s="2" t="s">
        <v>2673</v>
      </c>
      <c r="C1347" s="2" t="s">
        <v>2545</v>
      </c>
      <c r="D1347" s="2" t="s">
        <v>2546</v>
      </c>
    </row>
    <row r="1348">
      <c r="A1348" s="2" t="s">
        <v>2543</v>
      </c>
      <c r="B1348" s="2" t="s">
        <v>2674</v>
      </c>
      <c r="C1348" s="2" t="s">
        <v>2545</v>
      </c>
      <c r="D1348" s="2" t="s">
        <v>2546</v>
      </c>
    </row>
    <row r="1349">
      <c r="A1349" s="2" t="s">
        <v>2543</v>
      </c>
      <c r="B1349" s="2" t="s">
        <v>2675</v>
      </c>
      <c r="C1349" s="2" t="s">
        <v>2545</v>
      </c>
      <c r="D1349" s="2" t="s">
        <v>2546</v>
      </c>
    </row>
    <row r="1350">
      <c r="A1350" s="2" t="s">
        <v>2543</v>
      </c>
      <c r="B1350" s="2" t="s">
        <v>2676</v>
      </c>
      <c r="C1350" s="2" t="s">
        <v>2545</v>
      </c>
      <c r="D1350" s="2" t="s">
        <v>2546</v>
      </c>
    </row>
    <row r="1351">
      <c r="A1351" s="2" t="s">
        <v>2543</v>
      </c>
      <c r="B1351" s="2" t="s">
        <v>2677</v>
      </c>
      <c r="C1351" s="2" t="s">
        <v>2545</v>
      </c>
      <c r="D1351" s="2" t="s">
        <v>2546</v>
      </c>
    </row>
    <row r="1352">
      <c r="A1352" s="2" t="s">
        <v>2543</v>
      </c>
      <c r="B1352" s="2" t="s">
        <v>2678</v>
      </c>
      <c r="C1352" s="2" t="s">
        <v>2545</v>
      </c>
      <c r="D1352" s="2" t="s">
        <v>2546</v>
      </c>
    </row>
    <row r="1353">
      <c r="A1353" s="2" t="s">
        <v>2543</v>
      </c>
      <c r="B1353" s="2" t="s">
        <v>2679</v>
      </c>
      <c r="C1353" s="2" t="s">
        <v>2545</v>
      </c>
      <c r="D1353" s="2" t="s">
        <v>2546</v>
      </c>
    </row>
    <row r="1354">
      <c r="A1354" s="2" t="s">
        <v>2543</v>
      </c>
      <c r="B1354" s="2" t="s">
        <v>2680</v>
      </c>
      <c r="C1354" s="2" t="s">
        <v>2545</v>
      </c>
      <c r="D1354" s="2" t="s">
        <v>2546</v>
      </c>
    </row>
    <row r="1355">
      <c r="A1355" s="2" t="s">
        <v>2543</v>
      </c>
      <c r="B1355" s="2" t="s">
        <v>2681</v>
      </c>
      <c r="C1355" s="2" t="s">
        <v>2545</v>
      </c>
      <c r="D1355" s="2" t="s">
        <v>2546</v>
      </c>
    </row>
    <row r="1356">
      <c r="A1356" s="2" t="s">
        <v>2543</v>
      </c>
      <c r="B1356" s="2" t="s">
        <v>2682</v>
      </c>
      <c r="C1356" s="2" t="s">
        <v>2545</v>
      </c>
      <c r="D1356" s="2" t="s">
        <v>2546</v>
      </c>
    </row>
    <row r="1357">
      <c r="A1357" s="2" t="s">
        <v>2543</v>
      </c>
      <c r="B1357" s="2" t="s">
        <v>2683</v>
      </c>
      <c r="C1357" s="2" t="s">
        <v>2545</v>
      </c>
      <c r="D1357" s="2" t="s">
        <v>2546</v>
      </c>
    </row>
    <row r="1358">
      <c r="A1358" s="2" t="s">
        <v>2543</v>
      </c>
      <c r="B1358" s="2" t="s">
        <v>2685</v>
      </c>
      <c r="C1358" s="2" t="s">
        <v>2545</v>
      </c>
      <c r="D1358" s="2" t="s">
        <v>2546</v>
      </c>
    </row>
    <row r="1359">
      <c r="A1359" s="2" t="s">
        <v>2543</v>
      </c>
      <c r="B1359" s="2" t="s">
        <v>2686</v>
      </c>
      <c r="C1359" s="2" t="s">
        <v>2545</v>
      </c>
      <c r="D1359" s="2" t="s">
        <v>2546</v>
      </c>
    </row>
    <row r="1360">
      <c r="A1360" s="2" t="s">
        <v>2543</v>
      </c>
      <c r="B1360" s="2" t="s">
        <v>2687</v>
      </c>
      <c r="C1360" s="2" t="s">
        <v>2545</v>
      </c>
      <c r="D1360" s="2" t="s">
        <v>2546</v>
      </c>
    </row>
    <row r="1361">
      <c r="A1361" s="2" t="s">
        <v>2543</v>
      </c>
      <c r="B1361" s="2" t="s">
        <v>2688</v>
      </c>
      <c r="C1361" s="2" t="s">
        <v>2545</v>
      </c>
      <c r="D1361" s="2" t="s">
        <v>2546</v>
      </c>
    </row>
    <row r="1362">
      <c r="A1362" s="2" t="s">
        <v>2543</v>
      </c>
      <c r="B1362" s="2" t="s">
        <v>2689</v>
      </c>
      <c r="C1362" s="2" t="s">
        <v>2545</v>
      </c>
      <c r="D1362" s="2" t="s">
        <v>2546</v>
      </c>
    </row>
    <row r="1363">
      <c r="A1363" s="2" t="s">
        <v>2543</v>
      </c>
      <c r="B1363" s="2" t="s">
        <v>2691</v>
      </c>
      <c r="C1363" s="2" t="s">
        <v>2545</v>
      </c>
      <c r="D1363" s="2" t="s">
        <v>2546</v>
      </c>
    </row>
    <row r="1364">
      <c r="A1364" s="2" t="s">
        <v>2543</v>
      </c>
      <c r="B1364" s="2" t="s">
        <v>2692</v>
      </c>
      <c r="C1364" s="2" t="s">
        <v>2545</v>
      </c>
      <c r="D1364" s="2" t="s">
        <v>2546</v>
      </c>
    </row>
    <row r="1365">
      <c r="A1365" s="2" t="s">
        <v>2543</v>
      </c>
      <c r="B1365" s="2" t="s">
        <v>2693</v>
      </c>
      <c r="C1365" s="2" t="s">
        <v>2545</v>
      </c>
      <c r="D1365" s="2" t="s">
        <v>2546</v>
      </c>
    </row>
    <row r="1366">
      <c r="A1366" s="2" t="s">
        <v>2543</v>
      </c>
      <c r="B1366" s="2" t="s">
        <v>2694</v>
      </c>
      <c r="C1366" s="2" t="s">
        <v>2545</v>
      </c>
      <c r="D1366" s="2" t="s">
        <v>2546</v>
      </c>
    </row>
    <row r="1367">
      <c r="A1367" s="2" t="s">
        <v>2543</v>
      </c>
      <c r="B1367" s="2" t="s">
        <v>2695</v>
      </c>
      <c r="C1367" s="2" t="s">
        <v>2545</v>
      </c>
      <c r="D1367" s="2" t="s">
        <v>2546</v>
      </c>
    </row>
    <row r="1368">
      <c r="A1368" s="2" t="s">
        <v>2543</v>
      </c>
      <c r="B1368" s="2" t="s">
        <v>2696</v>
      </c>
      <c r="C1368" s="2" t="s">
        <v>2545</v>
      </c>
      <c r="D1368" s="2" t="s">
        <v>2546</v>
      </c>
    </row>
    <row r="1369">
      <c r="A1369" s="2" t="s">
        <v>2543</v>
      </c>
      <c r="B1369" s="2" t="s">
        <v>2697</v>
      </c>
      <c r="C1369" s="2" t="s">
        <v>2545</v>
      </c>
      <c r="D1369" s="2" t="s">
        <v>2546</v>
      </c>
    </row>
    <row r="1370">
      <c r="A1370" s="2" t="s">
        <v>2543</v>
      </c>
      <c r="B1370" s="2" t="s">
        <v>2698</v>
      </c>
      <c r="C1370" s="2" t="s">
        <v>2545</v>
      </c>
      <c r="D1370" s="2" t="s">
        <v>2546</v>
      </c>
    </row>
    <row r="1371">
      <c r="A1371" s="2" t="s">
        <v>2543</v>
      </c>
      <c r="B1371" s="2" t="s">
        <v>2699</v>
      </c>
      <c r="C1371" s="2" t="s">
        <v>2545</v>
      </c>
      <c r="D1371" s="2" t="s">
        <v>2546</v>
      </c>
    </row>
    <row r="1372">
      <c r="A1372" s="2" t="s">
        <v>2543</v>
      </c>
      <c r="B1372" s="2" t="s">
        <v>2700</v>
      </c>
      <c r="C1372" s="2" t="s">
        <v>2545</v>
      </c>
      <c r="D1372" s="2" t="s">
        <v>2546</v>
      </c>
    </row>
    <row r="1373">
      <c r="A1373" s="2" t="s">
        <v>2543</v>
      </c>
      <c r="B1373" s="2" t="s">
        <v>2701</v>
      </c>
      <c r="C1373" s="2" t="s">
        <v>2545</v>
      </c>
      <c r="D1373" s="2" t="s">
        <v>2546</v>
      </c>
    </row>
    <row r="1374">
      <c r="A1374" s="2" t="s">
        <v>2543</v>
      </c>
      <c r="B1374" s="2" t="s">
        <v>2702</v>
      </c>
      <c r="C1374" s="2" t="s">
        <v>2545</v>
      </c>
      <c r="D1374" s="2" t="s">
        <v>2546</v>
      </c>
    </row>
    <row r="1375">
      <c r="A1375" s="2" t="s">
        <v>2703</v>
      </c>
      <c r="B1375" s="2" t="s">
        <v>2704</v>
      </c>
      <c r="C1375" s="2" t="s">
        <v>2705</v>
      </c>
      <c r="D1375" s="2" t="s">
        <v>2706</v>
      </c>
    </row>
    <row r="1376">
      <c r="A1376" s="2" t="s">
        <v>2703</v>
      </c>
      <c r="B1376" s="2" t="s">
        <v>2707</v>
      </c>
      <c r="C1376" s="2" t="s">
        <v>2705</v>
      </c>
      <c r="D1376" s="2" t="s">
        <v>2706</v>
      </c>
    </row>
    <row r="1377">
      <c r="A1377" s="2" t="s">
        <v>2703</v>
      </c>
      <c r="B1377" s="2" t="s">
        <v>2708</v>
      </c>
      <c r="C1377" s="2" t="s">
        <v>2705</v>
      </c>
      <c r="D1377" s="2" t="s">
        <v>2706</v>
      </c>
    </row>
    <row r="1378">
      <c r="A1378" s="2" t="s">
        <v>2703</v>
      </c>
      <c r="B1378" s="2" t="s">
        <v>2709</v>
      </c>
      <c r="C1378" s="2" t="s">
        <v>2705</v>
      </c>
      <c r="D1378" s="2" t="s">
        <v>2706</v>
      </c>
    </row>
    <row r="1379">
      <c r="A1379" s="2" t="s">
        <v>2703</v>
      </c>
      <c r="B1379" s="2" t="s">
        <v>2711</v>
      </c>
      <c r="C1379" s="2" t="s">
        <v>2705</v>
      </c>
      <c r="D1379" s="2" t="s">
        <v>2706</v>
      </c>
    </row>
    <row r="1380">
      <c r="A1380" s="2" t="s">
        <v>2703</v>
      </c>
      <c r="B1380" s="2" t="s">
        <v>2712</v>
      </c>
      <c r="C1380" s="2" t="s">
        <v>2705</v>
      </c>
      <c r="D1380" s="2" t="s">
        <v>2706</v>
      </c>
    </row>
    <row r="1381">
      <c r="A1381" s="2" t="s">
        <v>2703</v>
      </c>
      <c r="B1381" s="2" t="s">
        <v>2713</v>
      </c>
      <c r="C1381" s="2" t="s">
        <v>2705</v>
      </c>
      <c r="D1381" s="2" t="s">
        <v>2706</v>
      </c>
    </row>
    <row r="1382">
      <c r="A1382" s="2" t="s">
        <v>2703</v>
      </c>
      <c r="B1382" s="2" t="s">
        <v>2714</v>
      </c>
      <c r="C1382" s="2" t="s">
        <v>2705</v>
      </c>
      <c r="D1382" s="2" t="s">
        <v>2706</v>
      </c>
    </row>
    <row r="1383">
      <c r="A1383" s="2" t="s">
        <v>2703</v>
      </c>
      <c r="B1383" s="2" t="s">
        <v>2715</v>
      </c>
      <c r="C1383" s="2" t="s">
        <v>2705</v>
      </c>
      <c r="D1383" s="2" t="s">
        <v>2706</v>
      </c>
    </row>
    <row r="1384">
      <c r="A1384" s="2" t="s">
        <v>2703</v>
      </c>
      <c r="B1384" s="2" t="s">
        <v>2716</v>
      </c>
      <c r="C1384" s="2" t="s">
        <v>2705</v>
      </c>
      <c r="D1384" s="2" t="s">
        <v>2706</v>
      </c>
    </row>
    <row r="1385">
      <c r="A1385" s="2" t="s">
        <v>2703</v>
      </c>
      <c r="B1385" s="2" t="s">
        <v>2717</v>
      </c>
      <c r="C1385" s="2" t="s">
        <v>2705</v>
      </c>
      <c r="D1385" s="2" t="s">
        <v>2706</v>
      </c>
    </row>
    <row r="1386">
      <c r="A1386" s="2" t="s">
        <v>2703</v>
      </c>
      <c r="B1386" s="2" t="s">
        <v>2718</v>
      </c>
      <c r="C1386" s="2" t="s">
        <v>2705</v>
      </c>
      <c r="D1386" s="2" t="s">
        <v>2706</v>
      </c>
    </row>
    <row r="1387">
      <c r="A1387" s="2" t="s">
        <v>2703</v>
      </c>
      <c r="B1387" s="2" t="s">
        <v>2719</v>
      </c>
      <c r="C1387" s="2" t="s">
        <v>2705</v>
      </c>
      <c r="D1387" s="2" t="s">
        <v>2706</v>
      </c>
    </row>
    <row r="1388">
      <c r="A1388" s="2" t="s">
        <v>2703</v>
      </c>
      <c r="B1388" s="2" t="s">
        <v>2721</v>
      </c>
      <c r="C1388" s="2" t="s">
        <v>2705</v>
      </c>
      <c r="D1388" s="2" t="s">
        <v>2706</v>
      </c>
    </row>
    <row r="1389">
      <c r="A1389" s="2" t="s">
        <v>2703</v>
      </c>
      <c r="B1389" s="2" t="s">
        <v>2722</v>
      </c>
      <c r="C1389" s="2" t="s">
        <v>2705</v>
      </c>
      <c r="D1389" s="2" t="s">
        <v>2706</v>
      </c>
    </row>
    <row r="1390">
      <c r="A1390" s="2" t="s">
        <v>2703</v>
      </c>
      <c r="B1390" s="2" t="s">
        <v>2723</v>
      </c>
      <c r="C1390" s="2" t="s">
        <v>2705</v>
      </c>
      <c r="D1390" s="2" t="s">
        <v>2706</v>
      </c>
    </row>
    <row r="1391">
      <c r="A1391" s="2" t="s">
        <v>2703</v>
      </c>
      <c r="B1391" s="2" t="s">
        <v>2724</v>
      </c>
      <c r="C1391" s="2" t="s">
        <v>2705</v>
      </c>
      <c r="D1391" s="2" t="s">
        <v>2706</v>
      </c>
    </row>
    <row r="1392">
      <c r="A1392" s="2" t="s">
        <v>2703</v>
      </c>
      <c r="B1392" s="2" t="s">
        <v>2725</v>
      </c>
      <c r="C1392" s="2" t="s">
        <v>2705</v>
      </c>
      <c r="D1392" s="2" t="s">
        <v>2706</v>
      </c>
    </row>
    <row r="1393">
      <c r="A1393" s="2" t="s">
        <v>2703</v>
      </c>
      <c r="B1393" s="2" t="s">
        <v>2727</v>
      </c>
      <c r="C1393" s="2" t="s">
        <v>2705</v>
      </c>
      <c r="D1393" s="2" t="s">
        <v>2706</v>
      </c>
    </row>
    <row r="1394">
      <c r="A1394" s="2" t="s">
        <v>2703</v>
      </c>
      <c r="B1394" s="2" t="s">
        <v>2728</v>
      </c>
      <c r="C1394" s="2" t="s">
        <v>2705</v>
      </c>
      <c r="D1394" s="2" t="s">
        <v>2706</v>
      </c>
    </row>
    <row r="1395">
      <c r="A1395" s="2" t="s">
        <v>2703</v>
      </c>
      <c r="B1395" s="2" t="s">
        <v>2729</v>
      </c>
      <c r="C1395" s="2" t="s">
        <v>2705</v>
      </c>
      <c r="D1395" s="2" t="s">
        <v>2706</v>
      </c>
    </row>
    <row r="1396">
      <c r="A1396" s="2" t="s">
        <v>2703</v>
      </c>
      <c r="B1396" s="2" t="s">
        <v>2730</v>
      </c>
      <c r="C1396" s="2" t="s">
        <v>2705</v>
      </c>
      <c r="D1396" s="2" t="s">
        <v>2706</v>
      </c>
    </row>
    <row r="1397">
      <c r="A1397" s="2" t="s">
        <v>2703</v>
      </c>
      <c r="B1397" s="2" t="s">
        <v>2731</v>
      </c>
      <c r="C1397" s="2" t="s">
        <v>2705</v>
      </c>
      <c r="D1397" s="2" t="s">
        <v>2706</v>
      </c>
    </row>
    <row r="1398">
      <c r="A1398" s="2" t="s">
        <v>2703</v>
      </c>
      <c r="B1398" s="2" t="s">
        <v>2732</v>
      </c>
      <c r="C1398" s="2" t="s">
        <v>2705</v>
      </c>
      <c r="D1398" s="2" t="s">
        <v>2706</v>
      </c>
    </row>
    <row r="1399">
      <c r="A1399" s="2" t="s">
        <v>2703</v>
      </c>
      <c r="B1399" s="2" t="s">
        <v>2733</v>
      </c>
      <c r="C1399" s="2" t="s">
        <v>2705</v>
      </c>
      <c r="D1399" s="2" t="s">
        <v>2706</v>
      </c>
    </row>
    <row r="1400">
      <c r="A1400" s="2" t="s">
        <v>2703</v>
      </c>
      <c r="B1400" s="2" t="s">
        <v>2734</v>
      </c>
      <c r="C1400" s="2" t="s">
        <v>2705</v>
      </c>
      <c r="D1400" s="2" t="s">
        <v>2706</v>
      </c>
    </row>
    <row r="1401">
      <c r="A1401" s="2" t="s">
        <v>2703</v>
      </c>
      <c r="B1401" s="2" t="s">
        <v>2736</v>
      </c>
      <c r="C1401" s="2" t="s">
        <v>2705</v>
      </c>
      <c r="D1401" s="2" t="s">
        <v>2706</v>
      </c>
    </row>
    <row r="1402">
      <c r="A1402" s="2" t="s">
        <v>2703</v>
      </c>
      <c r="B1402" s="2" t="s">
        <v>2737</v>
      </c>
      <c r="C1402" s="2" t="s">
        <v>2738</v>
      </c>
      <c r="D1402" s="2" t="s">
        <v>2739</v>
      </c>
    </row>
    <row r="1403">
      <c r="A1403" s="2" t="s">
        <v>2703</v>
      </c>
      <c r="B1403" s="2" t="s">
        <v>2740</v>
      </c>
      <c r="C1403" s="2" t="s">
        <v>2738</v>
      </c>
      <c r="D1403" s="2" t="s">
        <v>2739</v>
      </c>
    </row>
    <row r="1404">
      <c r="A1404" s="2" t="s">
        <v>2703</v>
      </c>
      <c r="B1404" s="2" t="s">
        <v>2741</v>
      </c>
      <c r="C1404" s="2" t="s">
        <v>2738</v>
      </c>
      <c r="D1404" s="2" t="s">
        <v>2739</v>
      </c>
    </row>
    <row r="1405">
      <c r="A1405" s="2" t="s">
        <v>2703</v>
      </c>
      <c r="B1405" s="2" t="s">
        <v>2743</v>
      </c>
      <c r="C1405" s="2" t="s">
        <v>2738</v>
      </c>
      <c r="D1405" s="2" t="s">
        <v>2739</v>
      </c>
    </row>
    <row r="1406">
      <c r="A1406" s="2" t="s">
        <v>2703</v>
      </c>
      <c r="B1406" s="2" t="s">
        <v>2744</v>
      </c>
      <c r="C1406" s="2" t="s">
        <v>2738</v>
      </c>
      <c r="D1406" s="2" t="s">
        <v>2739</v>
      </c>
    </row>
    <row r="1407">
      <c r="A1407" s="2" t="s">
        <v>2703</v>
      </c>
      <c r="B1407" s="2" t="s">
        <v>2721</v>
      </c>
      <c r="C1407" s="2" t="s">
        <v>2738</v>
      </c>
      <c r="D1407" s="2" t="s">
        <v>2739</v>
      </c>
    </row>
    <row r="1408">
      <c r="A1408" s="2" t="s">
        <v>2703</v>
      </c>
      <c r="B1408" s="2" t="s">
        <v>2745</v>
      </c>
      <c r="C1408" s="2" t="s">
        <v>2738</v>
      </c>
      <c r="D1408" s="2" t="s">
        <v>2739</v>
      </c>
    </row>
    <row r="1409">
      <c r="A1409" s="2" t="s">
        <v>2703</v>
      </c>
      <c r="B1409" s="2" t="s">
        <v>2746</v>
      </c>
      <c r="C1409" s="2" t="s">
        <v>2738</v>
      </c>
      <c r="D1409" s="2" t="s">
        <v>2739</v>
      </c>
    </row>
    <row r="1410">
      <c r="A1410" s="2" t="s">
        <v>2703</v>
      </c>
      <c r="B1410" s="2" t="s">
        <v>2747</v>
      </c>
      <c r="C1410" s="2" t="s">
        <v>2738</v>
      </c>
      <c r="D1410" s="2" t="s">
        <v>2739</v>
      </c>
    </row>
    <row r="1411">
      <c r="A1411" s="2" t="s">
        <v>2703</v>
      </c>
      <c r="B1411" s="2" t="s">
        <v>2748</v>
      </c>
      <c r="C1411" s="2" t="s">
        <v>2738</v>
      </c>
      <c r="D1411" s="2" t="s">
        <v>2739</v>
      </c>
    </row>
    <row r="1412">
      <c r="A1412" s="2" t="s">
        <v>2703</v>
      </c>
      <c r="B1412" s="2" t="s">
        <v>2749</v>
      </c>
      <c r="C1412" s="2" t="s">
        <v>2738</v>
      </c>
      <c r="D1412" s="2" t="s">
        <v>2739</v>
      </c>
    </row>
    <row r="1413">
      <c r="A1413" s="2" t="s">
        <v>2703</v>
      </c>
      <c r="B1413" s="2" t="s">
        <v>2751</v>
      </c>
      <c r="C1413" s="2" t="s">
        <v>2738</v>
      </c>
      <c r="D1413" s="2" t="s">
        <v>2739</v>
      </c>
    </row>
    <row r="1414">
      <c r="A1414" s="2" t="s">
        <v>2703</v>
      </c>
      <c r="B1414" s="2" t="s">
        <v>2752</v>
      </c>
      <c r="C1414" s="2" t="s">
        <v>2738</v>
      </c>
      <c r="D1414" s="2" t="s">
        <v>2739</v>
      </c>
    </row>
    <row r="1415">
      <c r="A1415" s="2" t="s">
        <v>2703</v>
      </c>
      <c r="B1415" s="2" t="s">
        <v>2753</v>
      </c>
      <c r="C1415" s="2" t="s">
        <v>2738</v>
      </c>
      <c r="D1415" s="2" t="s">
        <v>2739</v>
      </c>
    </row>
    <row r="1416">
      <c r="A1416" s="2" t="s">
        <v>2703</v>
      </c>
      <c r="B1416" s="2" t="s">
        <v>2731</v>
      </c>
      <c r="C1416" s="2" t="s">
        <v>2738</v>
      </c>
      <c r="D1416" s="2" t="s">
        <v>2739</v>
      </c>
    </row>
    <row r="1417">
      <c r="A1417" s="2" t="s">
        <v>2703</v>
      </c>
      <c r="B1417" s="2" t="s">
        <v>2754</v>
      </c>
      <c r="C1417" s="2" t="s">
        <v>2738</v>
      </c>
      <c r="D1417" s="2" t="s">
        <v>2739</v>
      </c>
    </row>
    <row r="1418">
      <c r="A1418" s="2" t="s">
        <v>2703</v>
      </c>
      <c r="B1418" s="2" t="s">
        <v>2732</v>
      </c>
      <c r="C1418" s="2" t="s">
        <v>2738</v>
      </c>
      <c r="D1418" s="2" t="s">
        <v>2739</v>
      </c>
    </row>
    <row r="1419">
      <c r="A1419" s="2" t="s">
        <v>2703</v>
      </c>
      <c r="B1419" s="2" t="s">
        <v>2733</v>
      </c>
      <c r="C1419" s="2" t="s">
        <v>2738</v>
      </c>
      <c r="D1419" s="2" t="s">
        <v>2739</v>
      </c>
    </row>
    <row r="1420">
      <c r="A1420" s="2" t="s">
        <v>2703</v>
      </c>
      <c r="B1420" s="2" t="s">
        <v>2734</v>
      </c>
      <c r="C1420" s="2" t="s">
        <v>2738</v>
      </c>
      <c r="D1420" s="2" t="s">
        <v>2739</v>
      </c>
    </row>
    <row r="1421">
      <c r="A1421" s="2" t="s">
        <v>2703</v>
      </c>
      <c r="B1421" s="2" t="s">
        <v>2755</v>
      </c>
      <c r="C1421" s="2" t="s">
        <v>2738</v>
      </c>
      <c r="D1421" s="2" t="s">
        <v>2739</v>
      </c>
    </row>
    <row r="1422">
      <c r="A1422" s="2" t="s">
        <v>2703</v>
      </c>
      <c r="B1422" s="2" t="s">
        <v>2756</v>
      </c>
      <c r="C1422" s="2" t="s">
        <v>2738</v>
      </c>
      <c r="D1422" s="2" t="s">
        <v>2739</v>
      </c>
    </row>
    <row r="1423">
      <c r="A1423" s="2" t="s">
        <v>2703</v>
      </c>
      <c r="B1423" s="2" t="s">
        <v>2758</v>
      </c>
      <c r="C1423" s="2" t="s">
        <v>2738</v>
      </c>
      <c r="D1423" s="2" t="s">
        <v>2739</v>
      </c>
    </row>
    <row r="1424">
      <c r="A1424" s="2" t="s">
        <v>2703</v>
      </c>
      <c r="B1424" s="2" t="s">
        <v>2760</v>
      </c>
      <c r="C1424" s="2" t="s">
        <v>2738</v>
      </c>
      <c r="D1424" s="2" t="s">
        <v>2739</v>
      </c>
    </row>
    <row r="1425">
      <c r="A1425" s="2" t="s">
        <v>2703</v>
      </c>
      <c r="B1425" s="2" t="s">
        <v>2761</v>
      </c>
      <c r="C1425" s="2" t="s">
        <v>2738</v>
      </c>
      <c r="D1425" s="2" t="s">
        <v>2739</v>
      </c>
    </row>
    <row r="1426">
      <c r="A1426" s="2" t="s">
        <v>2703</v>
      </c>
      <c r="B1426" s="2" t="s">
        <v>2762</v>
      </c>
      <c r="G1426" s="2" t="s">
        <v>2763</v>
      </c>
    </row>
    <row r="1427">
      <c r="A1427" s="2" t="s">
        <v>2703</v>
      </c>
      <c r="B1427" s="2" t="s">
        <v>2764</v>
      </c>
      <c r="G1427" s="2" t="s">
        <v>2763</v>
      </c>
    </row>
    <row r="1428">
      <c r="A1428" s="2" t="s">
        <v>2703</v>
      </c>
      <c r="B1428" s="2" t="s">
        <v>2765</v>
      </c>
      <c r="G1428" s="2" t="s">
        <v>2763</v>
      </c>
    </row>
    <row r="1429">
      <c r="A1429" s="2" t="s">
        <v>2703</v>
      </c>
      <c r="B1429" s="2" t="s">
        <v>2724</v>
      </c>
      <c r="G1429" s="2" t="s">
        <v>2763</v>
      </c>
    </row>
    <row r="1430">
      <c r="A1430" s="2" t="s">
        <v>2703</v>
      </c>
      <c r="B1430" s="2" t="s">
        <v>2766</v>
      </c>
      <c r="G1430" s="2" t="s">
        <v>2763</v>
      </c>
    </row>
    <row r="1431">
      <c r="A1431" s="2" t="s">
        <v>2703</v>
      </c>
      <c r="B1431" s="2" t="s">
        <v>2767</v>
      </c>
      <c r="G1431" s="2" t="s">
        <v>2763</v>
      </c>
    </row>
    <row r="1432">
      <c r="A1432" s="2" t="s">
        <v>2768</v>
      </c>
      <c r="B1432" s="2">
        <v>1172016.0</v>
      </c>
      <c r="C1432" s="2" t="s">
        <v>2769</v>
      </c>
      <c r="D1432" s="2" t="s">
        <v>2770</v>
      </c>
    </row>
    <row r="1433">
      <c r="A1433" s="2" t="s">
        <v>2768</v>
      </c>
      <c r="B1433" s="2">
        <v>1.2152015E7</v>
      </c>
      <c r="C1433" s="2" t="s">
        <v>2769</v>
      </c>
      <c r="D1433" s="2" t="s">
        <v>2770</v>
      </c>
    </row>
    <row r="1434">
      <c r="A1434" s="2" t="s">
        <v>2768</v>
      </c>
      <c r="B1434" s="2">
        <v>1.2292015E7</v>
      </c>
      <c r="C1434" s="2" t="s">
        <v>2769</v>
      </c>
      <c r="D1434" s="2" t="s">
        <v>2770</v>
      </c>
    </row>
    <row r="1435">
      <c r="A1435" s="2" t="s">
        <v>2768</v>
      </c>
      <c r="B1435" s="2" t="s">
        <v>2772</v>
      </c>
      <c r="C1435" s="2" t="s">
        <v>2769</v>
      </c>
      <c r="D1435" s="2" t="s">
        <v>2770</v>
      </c>
    </row>
    <row r="1436">
      <c r="A1436" s="2" t="s">
        <v>2768</v>
      </c>
      <c r="B1436" s="2">
        <v>1172016.0</v>
      </c>
      <c r="G1436" s="2" t="s">
        <v>2773</v>
      </c>
    </row>
    <row r="1437">
      <c r="A1437" s="2" t="s">
        <v>2768</v>
      </c>
      <c r="B1437" s="2">
        <v>1.2152015E7</v>
      </c>
      <c r="G1437" s="2" t="s">
        <v>2773</v>
      </c>
    </row>
    <row r="1438">
      <c r="A1438" s="2" t="s">
        <v>2768</v>
      </c>
      <c r="B1438" s="2">
        <v>1.2292015E7</v>
      </c>
      <c r="G1438" s="2" t="s">
        <v>2773</v>
      </c>
    </row>
    <row r="1439">
      <c r="A1439" s="2" t="s">
        <v>2768</v>
      </c>
      <c r="B1439" s="2" t="s">
        <v>2774</v>
      </c>
      <c r="G1439" s="2" t="s">
        <v>2773</v>
      </c>
    </row>
    <row r="1440">
      <c r="A1440" s="2" t="s">
        <v>2775</v>
      </c>
      <c r="B1440" s="2" t="s">
        <v>2776</v>
      </c>
      <c r="G1440" s="2" t="s">
        <v>2777</v>
      </c>
    </row>
    <row r="1441">
      <c r="A1441" s="2" t="s">
        <v>2775</v>
      </c>
      <c r="B1441" s="2" t="s">
        <v>2778</v>
      </c>
      <c r="G1441" s="2" t="s">
        <v>2777</v>
      </c>
    </row>
    <row r="1442">
      <c r="A1442" s="2" t="s">
        <v>2775</v>
      </c>
      <c r="B1442" s="2" t="s">
        <v>2779</v>
      </c>
      <c r="G1442" s="2" t="s">
        <v>2777</v>
      </c>
    </row>
    <row r="1443">
      <c r="A1443" s="2" t="s">
        <v>2775</v>
      </c>
      <c r="B1443" s="2" t="s">
        <v>2780</v>
      </c>
      <c r="G1443" s="2" t="s">
        <v>2777</v>
      </c>
    </row>
    <row r="1444">
      <c r="A1444" s="2" t="s">
        <v>2775</v>
      </c>
      <c r="B1444" s="2" t="s">
        <v>2781</v>
      </c>
      <c r="G1444" s="2" t="s">
        <v>2777</v>
      </c>
    </row>
    <row r="1445">
      <c r="A1445" s="2" t="s">
        <v>2775</v>
      </c>
      <c r="B1445" s="2" t="s">
        <v>2782</v>
      </c>
      <c r="G1445" s="2" t="s">
        <v>2777</v>
      </c>
    </row>
    <row r="1446">
      <c r="A1446" s="2" t="s">
        <v>2775</v>
      </c>
      <c r="B1446" s="2" t="s">
        <v>2783</v>
      </c>
      <c r="G1446" s="2" t="s">
        <v>2777</v>
      </c>
    </row>
    <row r="1447">
      <c r="A1447" s="2" t="s">
        <v>2775</v>
      </c>
      <c r="B1447" s="2" t="s">
        <v>2784</v>
      </c>
      <c r="G1447" s="2" t="s">
        <v>2777</v>
      </c>
    </row>
    <row r="1448">
      <c r="A1448" s="2" t="s">
        <v>2775</v>
      </c>
      <c r="B1448" s="2" t="s">
        <v>2785</v>
      </c>
      <c r="G1448" s="2" t="s">
        <v>2777</v>
      </c>
    </row>
    <row r="1449">
      <c r="A1449" s="2" t="s">
        <v>2775</v>
      </c>
      <c r="B1449" s="2" t="s">
        <v>2786</v>
      </c>
      <c r="G1449" s="2" t="s">
        <v>2777</v>
      </c>
    </row>
    <row r="1450">
      <c r="A1450" s="2" t="s">
        <v>2775</v>
      </c>
      <c r="B1450" s="2" t="s">
        <v>2787</v>
      </c>
      <c r="G1450" s="2" t="s">
        <v>2777</v>
      </c>
    </row>
    <row r="1451">
      <c r="A1451" s="2" t="s">
        <v>2788</v>
      </c>
      <c r="B1451" s="2" t="s">
        <v>2789</v>
      </c>
      <c r="C1451" s="2" t="s">
        <v>2790</v>
      </c>
      <c r="D1451" s="2" t="s">
        <v>2791</v>
      </c>
    </row>
    <row r="1452">
      <c r="A1452" s="2" t="s">
        <v>2788</v>
      </c>
      <c r="B1452" s="2" t="s">
        <v>2792</v>
      </c>
      <c r="C1452" s="2" t="s">
        <v>2790</v>
      </c>
      <c r="D1452" s="2" t="s">
        <v>2791</v>
      </c>
    </row>
    <row r="1453">
      <c r="A1453" s="2" t="s">
        <v>2788</v>
      </c>
      <c r="B1453" s="2" t="s">
        <v>2793</v>
      </c>
      <c r="C1453" s="2" t="s">
        <v>2790</v>
      </c>
      <c r="D1453" s="2" t="s">
        <v>2791</v>
      </c>
    </row>
    <row r="1454">
      <c r="A1454" s="2" t="s">
        <v>2788</v>
      </c>
      <c r="B1454" s="2" t="s">
        <v>2795</v>
      </c>
      <c r="C1454" s="2" t="s">
        <v>2790</v>
      </c>
      <c r="D1454" s="2" t="s">
        <v>2791</v>
      </c>
    </row>
    <row r="1455">
      <c r="A1455" s="2" t="s">
        <v>2788</v>
      </c>
      <c r="B1455" s="2" t="s">
        <v>2796</v>
      </c>
      <c r="C1455" s="2" t="s">
        <v>2790</v>
      </c>
      <c r="D1455" s="2" t="s">
        <v>2791</v>
      </c>
    </row>
    <row r="1456">
      <c r="A1456" s="2" t="s">
        <v>2788</v>
      </c>
      <c r="B1456" s="2" t="s">
        <v>2797</v>
      </c>
      <c r="C1456" s="2" t="s">
        <v>2790</v>
      </c>
      <c r="D1456" s="2" t="s">
        <v>2791</v>
      </c>
    </row>
    <row r="1457">
      <c r="A1457" s="2" t="s">
        <v>2788</v>
      </c>
      <c r="B1457" s="2" t="s">
        <v>2798</v>
      </c>
      <c r="C1457" s="2" t="s">
        <v>2790</v>
      </c>
      <c r="D1457" s="2" t="s">
        <v>2791</v>
      </c>
    </row>
    <row r="1458">
      <c r="A1458" s="2" t="s">
        <v>2788</v>
      </c>
      <c r="B1458" s="2" t="s">
        <v>2799</v>
      </c>
      <c r="C1458" s="2" t="s">
        <v>2790</v>
      </c>
      <c r="D1458" s="2" t="s">
        <v>2791</v>
      </c>
    </row>
    <row r="1459">
      <c r="A1459" s="2" t="s">
        <v>2788</v>
      </c>
      <c r="B1459" s="2" t="s">
        <v>2800</v>
      </c>
      <c r="C1459" s="2" t="s">
        <v>2790</v>
      </c>
      <c r="D1459" s="2" t="s">
        <v>2791</v>
      </c>
    </row>
    <row r="1460">
      <c r="A1460" s="2" t="s">
        <v>2788</v>
      </c>
      <c r="B1460" s="2" t="s">
        <v>2801</v>
      </c>
      <c r="C1460" s="2" t="s">
        <v>2790</v>
      </c>
      <c r="D1460" s="2" t="s">
        <v>2791</v>
      </c>
    </row>
    <row r="1461">
      <c r="A1461" s="2" t="s">
        <v>2788</v>
      </c>
      <c r="B1461" s="2" t="s">
        <v>2802</v>
      </c>
      <c r="C1461" s="2" t="s">
        <v>2790</v>
      </c>
      <c r="D1461" s="2" t="s">
        <v>2791</v>
      </c>
    </row>
    <row r="1462">
      <c r="A1462" s="2" t="s">
        <v>2788</v>
      </c>
      <c r="B1462" s="2" t="s">
        <v>2803</v>
      </c>
      <c r="C1462" s="2" t="s">
        <v>2790</v>
      </c>
      <c r="D1462" s="2" t="s">
        <v>2791</v>
      </c>
    </row>
    <row r="1463">
      <c r="A1463" s="2" t="s">
        <v>2788</v>
      </c>
      <c r="B1463" s="2" t="s">
        <v>2805</v>
      </c>
      <c r="C1463" s="2" t="s">
        <v>2790</v>
      </c>
      <c r="D1463" s="2" t="s">
        <v>2791</v>
      </c>
    </row>
    <row r="1464">
      <c r="A1464" s="2" t="s">
        <v>2788</v>
      </c>
      <c r="B1464" s="2" t="s">
        <v>2808</v>
      </c>
      <c r="C1464" s="2" t="s">
        <v>2790</v>
      </c>
      <c r="D1464" s="2" t="s">
        <v>2791</v>
      </c>
    </row>
    <row r="1465">
      <c r="A1465" s="2" t="s">
        <v>2788</v>
      </c>
      <c r="B1465" s="2" t="s">
        <v>2809</v>
      </c>
      <c r="C1465" s="2" t="s">
        <v>2790</v>
      </c>
      <c r="D1465" s="2" t="s">
        <v>2791</v>
      </c>
    </row>
    <row r="1466">
      <c r="A1466" s="2" t="s">
        <v>2788</v>
      </c>
      <c r="B1466" s="2" t="s">
        <v>2810</v>
      </c>
      <c r="C1466" s="2" t="s">
        <v>2790</v>
      </c>
      <c r="D1466" s="2" t="s">
        <v>2791</v>
      </c>
    </row>
    <row r="1467">
      <c r="A1467" s="2" t="s">
        <v>2788</v>
      </c>
      <c r="B1467" s="2" t="s">
        <v>2811</v>
      </c>
      <c r="C1467" s="2" t="s">
        <v>2790</v>
      </c>
      <c r="D1467" s="2" t="s">
        <v>2791</v>
      </c>
    </row>
    <row r="1468">
      <c r="A1468" s="2" t="s">
        <v>2788</v>
      </c>
      <c r="B1468" s="2" t="s">
        <v>2812</v>
      </c>
      <c r="C1468" s="2" t="s">
        <v>2790</v>
      </c>
      <c r="D1468" s="2" t="s">
        <v>2791</v>
      </c>
    </row>
    <row r="1469">
      <c r="A1469" s="2" t="s">
        <v>2788</v>
      </c>
      <c r="B1469" s="2" t="s">
        <v>2813</v>
      </c>
      <c r="C1469" s="2" t="s">
        <v>2790</v>
      </c>
      <c r="D1469" s="2" t="s">
        <v>2791</v>
      </c>
    </row>
    <row r="1470">
      <c r="A1470" s="2" t="s">
        <v>2788</v>
      </c>
      <c r="B1470" s="2" t="s">
        <v>2814</v>
      </c>
      <c r="C1470" s="2" t="s">
        <v>2790</v>
      </c>
      <c r="D1470" s="2" t="s">
        <v>2791</v>
      </c>
    </row>
    <row r="1471">
      <c r="A1471" s="2" t="s">
        <v>2788</v>
      </c>
      <c r="B1471" s="2" t="s">
        <v>2815</v>
      </c>
      <c r="C1471" s="2" t="s">
        <v>2790</v>
      </c>
      <c r="D1471" s="2" t="s">
        <v>2791</v>
      </c>
    </row>
    <row r="1472">
      <c r="A1472" s="2" t="s">
        <v>2788</v>
      </c>
      <c r="B1472" s="2" t="s">
        <v>2816</v>
      </c>
      <c r="C1472" s="2" t="s">
        <v>2790</v>
      </c>
      <c r="D1472" s="2" t="s">
        <v>2791</v>
      </c>
    </row>
    <row r="1473">
      <c r="A1473" s="2" t="s">
        <v>2788</v>
      </c>
      <c r="B1473" s="2" t="s">
        <v>2817</v>
      </c>
      <c r="C1473" s="2" t="s">
        <v>2790</v>
      </c>
      <c r="D1473" s="2" t="s">
        <v>2791</v>
      </c>
    </row>
    <row r="1474">
      <c r="A1474" s="2" t="s">
        <v>2788</v>
      </c>
      <c r="B1474" s="2" t="s">
        <v>2818</v>
      </c>
      <c r="C1474" s="2" t="s">
        <v>2790</v>
      </c>
      <c r="D1474" s="2" t="s">
        <v>2791</v>
      </c>
    </row>
    <row r="1475">
      <c r="A1475" s="2" t="s">
        <v>2788</v>
      </c>
      <c r="B1475" s="2" t="s">
        <v>2819</v>
      </c>
      <c r="C1475" s="2" t="s">
        <v>2790</v>
      </c>
      <c r="D1475" s="2" t="s">
        <v>2791</v>
      </c>
    </row>
    <row r="1476">
      <c r="A1476" s="2" t="s">
        <v>2788</v>
      </c>
      <c r="B1476" s="2" t="s">
        <v>2820</v>
      </c>
      <c r="C1476" s="2" t="s">
        <v>2790</v>
      </c>
      <c r="D1476" s="2" t="s">
        <v>2791</v>
      </c>
    </row>
    <row r="1477">
      <c r="A1477" s="2" t="s">
        <v>2788</v>
      </c>
      <c r="B1477" s="2" t="s">
        <v>2821</v>
      </c>
      <c r="C1477" s="2" t="s">
        <v>2790</v>
      </c>
      <c r="D1477" s="2" t="s">
        <v>2791</v>
      </c>
    </row>
    <row r="1478">
      <c r="A1478" s="2" t="s">
        <v>2788</v>
      </c>
      <c r="B1478" s="2" t="s">
        <v>2822</v>
      </c>
      <c r="C1478" s="2" t="s">
        <v>2790</v>
      </c>
      <c r="D1478" s="2" t="s">
        <v>2791</v>
      </c>
    </row>
    <row r="1479">
      <c r="A1479" s="2" t="s">
        <v>2788</v>
      </c>
      <c r="B1479" s="2" t="s">
        <v>2823</v>
      </c>
      <c r="C1479" s="2" t="s">
        <v>2790</v>
      </c>
      <c r="D1479" s="2" t="s">
        <v>2791</v>
      </c>
    </row>
    <row r="1480">
      <c r="A1480" s="2" t="s">
        <v>2788</v>
      </c>
      <c r="B1480" s="2" t="s">
        <v>2824</v>
      </c>
      <c r="C1480" s="2" t="s">
        <v>2790</v>
      </c>
      <c r="D1480" s="2" t="s">
        <v>2791</v>
      </c>
    </row>
    <row r="1481">
      <c r="A1481" s="2" t="s">
        <v>2788</v>
      </c>
      <c r="B1481" s="2" t="s">
        <v>2827</v>
      </c>
      <c r="C1481" s="2" t="s">
        <v>2790</v>
      </c>
      <c r="D1481" s="2" t="s">
        <v>2791</v>
      </c>
    </row>
    <row r="1482">
      <c r="A1482" s="2" t="s">
        <v>2788</v>
      </c>
      <c r="B1482" s="2" t="s">
        <v>2828</v>
      </c>
      <c r="C1482" s="2" t="s">
        <v>2790</v>
      </c>
      <c r="D1482" s="2" t="s">
        <v>2791</v>
      </c>
    </row>
    <row r="1483">
      <c r="A1483" s="2" t="s">
        <v>2788</v>
      </c>
      <c r="B1483" s="2" t="s">
        <v>2829</v>
      </c>
      <c r="C1483" s="2" t="s">
        <v>2790</v>
      </c>
      <c r="D1483" s="2" t="s">
        <v>2791</v>
      </c>
    </row>
    <row r="1484">
      <c r="A1484" s="2" t="s">
        <v>2788</v>
      </c>
      <c r="B1484" s="2" t="s">
        <v>2830</v>
      </c>
      <c r="C1484" s="2" t="s">
        <v>2790</v>
      </c>
      <c r="D1484" s="2" t="s">
        <v>2791</v>
      </c>
    </row>
    <row r="1485">
      <c r="A1485" s="2" t="s">
        <v>2788</v>
      </c>
      <c r="B1485" s="2" t="s">
        <v>2831</v>
      </c>
      <c r="C1485" s="2" t="s">
        <v>2790</v>
      </c>
      <c r="D1485" s="2" t="s">
        <v>2791</v>
      </c>
    </row>
    <row r="1486">
      <c r="A1486" s="2" t="s">
        <v>2788</v>
      </c>
      <c r="B1486" s="2" t="s">
        <v>2832</v>
      </c>
      <c r="C1486" s="2" t="s">
        <v>2790</v>
      </c>
      <c r="D1486" s="2" t="s">
        <v>2791</v>
      </c>
    </row>
    <row r="1487">
      <c r="A1487" s="2" t="s">
        <v>2788</v>
      </c>
      <c r="B1487" s="2" t="s">
        <v>2833</v>
      </c>
      <c r="C1487" s="2" t="s">
        <v>2790</v>
      </c>
      <c r="D1487" s="2" t="s">
        <v>2791</v>
      </c>
    </row>
    <row r="1488">
      <c r="A1488" s="2" t="s">
        <v>2788</v>
      </c>
      <c r="B1488" s="2" t="s">
        <v>2834</v>
      </c>
      <c r="C1488" s="2" t="s">
        <v>2790</v>
      </c>
      <c r="D1488" s="2" t="s">
        <v>2791</v>
      </c>
    </row>
    <row r="1489">
      <c r="A1489" s="2" t="s">
        <v>2788</v>
      </c>
      <c r="B1489" s="2" t="s">
        <v>2835</v>
      </c>
      <c r="C1489" s="2" t="s">
        <v>2790</v>
      </c>
      <c r="D1489" s="2" t="s">
        <v>2791</v>
      </c>
    </row>
    <row r="1490">
      <c r="A1490" s="2" t="s">
        <v>2788</v>
      </c>
      <c r="B1490" s="2" t="s">
        <v>2836</v>
      </c>
      <c r="C1490" s="2" t="s">
        <v>2790</v>
      </c>
      <c r="D1490" s="2" t="s">
        <v>2791</v>
      </c>
    </row>
    <row r="1491">
      <c r="A1491" s="2" t="s">
        <v>2788</v>
      </c>
      <c r="B1491" s="2" t="s">
        <v>2838</v>
      </c>
      <c r="C1491" s="2" t="s">
        <v>2790</v>
      </c>
      <c r="D1491" s="2" t="s">
        <v>2791</v>
      </c>
    </row>
    <row r="1492">
      <c r="A1492" s="2" t="s">
        <v>2788</v>
      </c>
      <c r="B1492" s="2" t="s">
        <v>2839</v>
      </c>
      <c r="C1492" s="2" t="s">
        <v>2790</v>
      </c>
      <c r="D1492" s="2" t="s">
        <v>2791</v>
      </c>
    </row>
    <row r="1493">
      <c r="A1493" s="2" t="s">
        <v>2788</v>
      </c>
      <c r="B1493" s="2" t="s">
        <v>2840</v>
      </c>
      <c r="C1493" s="2" t="s">
        <v>2790</v>
      </c>
      <c r="D1493" s="2" t="s">
        <v>2791</v>
      </c>
    </row>
    <row r="1494">
      <c r="A1494" s="2" t="s">
        <v>2788</v>
      </c>
      <c r="B1494" s="2" t="s">
        <v>2841</v>
      </c>
      <c r="C1494" s="2" t="s">
        <v>2790</v>
      </c>
      <c r="D1494" s="2" t="s">
        <v>2791</v>
      </c>
    </row>
    <row r="1495">
      <c r="A1495" s="2" t="s">
        <v>2788</v>
      </c>
      <c r="B1495" s="2" t="s">
        <v>2842</v>
      </c>
      <c r="C1495" s="2" t="s">
        <v>2790</v>
      </c>
      <c r="D1495" s="2" t="s">
        <v>2791</v>
      </c>
    </row>
    <row r="1496">
      <c r="A1496" s="2" t="s">
        <v>2788</v>
      </c>
      <c r="B1496" s="2" t="s">
        <v>2843</v>
      </c>
      <c r="C1496" s="2" t="s">
        <v>2790</v>
      </c>
      <c r="D1496" s="2" t="s">
        <v>2791</v>
      </c>
    </row>
    <row r="1497">
      <c r="A1497" s="2" t="s">
        <v>2788</v>
      </c>
      <c r="B1497" s="2" t="s">
        <v>2845</v>
      </c>
      <c r="C1497" s="2" t="s">
        <v>2790</v>
      </c>
      <c r="D1497" s="2" t="s">
        <v>2791</v>
      </c>
    </row>
    <row r="1498">
      <c r="A1498" s="2" t="s">
        <v>2788</v>
      </c>
      <c r="B1498" s="2" t="s">
        <v>2846</v>
      </c>
      <c r="C1498" s="2" t="s">
        <v>2790</v>
      </c>
      <c r="D1498" s="2" t="s">
        <v>2791</v>
      </c>
    </row>
    <row r="1499">
      <c r="A1499" s="2" t="s">
        <v>2788</v>
      </c>
      <c r="B1499" s="2" t="s">
        <v>2847</v>
      </c>
      <c r="C1499" s="2" t="s">
        <v>2790</v>
      </c>
      <c r="D1499" s="2" t="s">
        <v>2791</v>
      </c>
    </row>
    <row r="1500">
      <c r="A1500" s="2" t="s">
        <v>2788</v>
      </c>
      <c r="B1500" s="2" t="s">
        <v>2848</v>
      </c>
      <c r="C1500" s="2" t="s">
        <v>2790</v>
      </c>
      <c r="D1500" s="2" t="s">
        <v>2791</v>
      </c>
    </row>
    <row r="1501">
      <c r="A1501" s="2" t="s">
        <v>2788</v>
      </c>
      <c r="B1501" s="2" t="s">
        <v>2849</v>
      </c>
      <c r="C1501" s="2" t="s">
        <v>2790</v>
      </c>
      <c r="D1501" s="2" t="s">
        <v>2791</v>
      </c>
    </row>
    <row r="1502">
      <c r="A1502" s="2" t="s">
        <v>2788</v>
      </c>
      <c r="B1502" s="2" t="s">
        <v>2850</v>
      </c>
      <c r="C1502" s="2" t="s">
        <v>2790</v>
      </c>
      <c r="D1502" s="2" t="s">
        <v>2791</v>
      </c>
    </row>
    <row r="1503">
      <c r="A1503" s="2" t="s">
        <v>2788</v>
      </c>
      <c r="B1503" s="2" t="s">
        <v>2851</v>
      </c>
      <c r="C1503" s="2" t="s">
        <v>2790</v>
      </c>
      <c r="D1503" s="2" t="s">
        <v>2791</v>
      </c>
    </row>
    <row r="1504">
      <c r="A1504" s="2" t="s">
        <v>2788</v>
      </c>
      <c r="B1504" s="2" t="s">
        <v>2852</v>
      </c>
      <c r="C1504" s="2" t="s">
        <v>2790</v>
      </c>
      <c r="D1504" s="2" t="s">
        <v>2791</v>
      </c>
    </row>
    <row r="1505">
      <c r="A1505" s="2" t="s">
        <v>2788</v>
      </c>
      <c r="B1505" s="2" t="s">
        <v>2853</v>
      </c>
      <c r="C1505" s="2" t="s">
        <v>2790</v>
      </c>
      <c r="D1505" s="2" t="s">
        <v>2791</v>
      </c>
    </row>
    <row r="1506">
      <c r="A1506" s="2" t="s">
        <v>2788</v>
      </c>
      <c r="B1506" s="2" t="s">
        <v>2855</v>
      </c>
      <c r="C1506" s="2" t="s">
        <v>2790</v>
      </c>
      <c r="D1506" s="2" t="s">
        <v>2791</v>
      </c>
    </row>
    <row r="1507">
      <c r="A1507" s="2" t="s">
        <v>2788</v>
      </c>
      <c r="B1507" s="2" t="s">
        <v>2856</v>
      </c>
      <c r="C1507" s="2" t="s">
        <v>2790</v>
      </c>
      <c r="D1507" s="2" t="s">
        <v>2791</v>
      </c>
    </row>
    <row r="1508">
      <c r="A1508" s="2" t="s">
        <v>2788</v>
      </c>
      <c r="B1508" s="2" t="s">
        <v>2857</v>
      </c>
      <c r="C1508" s="2" t="s">
        <v>2790</v>
      </c>
      <c r="D1508" s="2" t="s">
        <v>2791</v>
      </c>
    </row>
    <row r="1509">
      <c r="A1509" s="2" t="s">
        <v>2788</v>
      </c>
      <c r="B1509" s="2" t="s">
        <v>2858</v>
      </c>
      <c r="C1509" s="2" t="s">
        <v>2790</v>
      </c>
      <c r="D1509" s="2" t="s">
        <v>2791</v>
      </c>
    </row>
    <row r="1510">
      <c r="A1510" s="2" t="s">
        <v>2788</v>
      </c>
      <c r="B1510" s="2" t="s">
        <v>2860</v>
      </c>
      <c r="C1510" s="2" t="s">
        <v>2790</v>
      </c>
      <c r="D1510" s="2" t="s">
        <v>2791</v>
      </c>
    </row>
    <row r="1511">
      <c r="A1511" s="2" t="s">
        <v>2788</v>
      </c>
      <c r="B1511" s="2" t="s">
        <v>2861</v>
      </c>
      <c r="C1511" s="2" t="s">
        <v>2790</v>
      </c>
      <c r="D1511" s="2" t="s">
        <v>2791</v>
      </c>
    </row>
    <row r="1512">
      <c r="A1512" s="2" t="s">
        <v>2788</v>
      </c>
      <c r="B1512" s="2" t="s">
        <v>2862</v>
      </c>
      <c r="C1512" s="2" t="s">
        <v>2790</v>
      </c>
      <c r="D1512" s="2" t="s">
        <v>2791</v>
      </c>
    </row>
    <row r="1513">
      <c r="A1513" s="2" t="s">
        <v>2788</v>
      </c>
      <c r="B1513" s="2" t="s">
        <v>2863</v>
      </c>
      <c r="C1513" s="2" t="s">
        <v>2790</v>
      </c>
      <c r="D1513" s="2" t="s">
        <v>2791</v>
      </c>
    </row>
    <row r="1514">
      <c r="A1514" s="2" t="s">
        <v>2788</v>
      </c>
      <c r="B1514" s="2" t="s">
        <v>2864</v>
      </c>
      <c r="C1514" s="2" t="s">
        <v>2790</v>
      </c>
      <c r="D1514" s="2" t="s">
        <v>2791</v>
      </c>
    </row>
    <row r="1515">
      <c r="A1515" s="2" t="s">
        <v>2788</v>
      </c>
      <c r="B1515" s="2" t="s">
        <v>2865</v>
      </c>
      <c r="C1515" s="2" t="s">
        <v>2790</v>
      </c>
      <c r="D1515" s="2" t="s">
        <v>2791</v>
      </c>
    </row>
    <row r="1516">
      <c r="A1516" s="2" t="s">
        <v>2788</v>
      </c>
      <c r="B1516" s="2" t="s">
        <v>2866</v>
      </c>
      <c r="C1516" s="2" t="s">
        <v>2790</v>
      </c>
      <c r="D1516" s="2" t="s">
        <v>2791</v>
      </c>
    </row>
    <row r="1517">
      <c r="A1517" s="2" t="s">
        <v>2788</v>
      </c>
      <c r="B1517" s="2" t="s">
        <v>2867</v>
      </c>
      <c r="C1517" s="2" t="s">
        <v>2790</v>
      </c>
      <c r="D1517" s="2" t="s">
        <v>2791</v>
      </c>
    </row>
    <row r="1518">
      <c r="A1518" s="2" t="s">
        <v>2788</v>
      </c>
      <c r="B1518" s="2" t="s">
        <v>2868</v>
      </c>
      <c r="C1518" s="2" t="s">
        <v>2790</v>
      </c>
      <c r="D1518" s="2" t="s">
        <v>2791</v>
      </c>
    </row>
    <row r="1519">
      <c r="A1519" s="2" t="s">
        <v>2788</v>
      </c>
      <c r="B1519" s="2" t="s">
        <v>2871</v>
      </c>
      <c r="C1519" s="2" t="s">
        <v>2790</v>
      </c>
      <c r="D1519" s="2" t="s">
        <v>2791</v>
      </c>
    </row>
    <row r="1520">
      <c r="A1520" s="2" t="s">
        <v>2788</v>
      </c>
      <c r="B1520" s="2" t="s">
        <v>2873</v>
      </c>
      <c r="C1520" s="2" t="s">
        <v>2790</v>
      </c>
      <c r="D1520" s="2" t="s">
        <v>2791</v>
      </c>
    </row>
    <row r="1521">
      <c r="A1521" s="2" t="s">
        <v>2788</v>
      </c>
      <c r="B1521" s="2" t="s">
        <v>2874</v>
      </c>
      <c r="C1521" s="2" t="s">
        <v>2790</v>
      </c>
      <c r="D1521" s="2" t="s">
        <v>2791</v>
      </c>
    </row>
    <row r="1522">
      <c r="A1522" s="2" t="s">
        <v>2788</v>
      </c>
      <c r="B1522" s="2" t="s">
        <v>2875</v>
      </c>
      <c r="C1522" s="2" t="s">
        <v>2790</v>
      </c>
      <c r="D1522" s="2" t="s">
        <v>2791</v>
      </c>
    </row>
    <row r="1523">
      <c r="A1523" s="2" t="s">
        <v>2788</v>
      </c>
      <c r="B1523" s="2" t="s">
        <v>2876</v>
      </c>
      <c r="C1523" s="2" t="s">
        <v>2790</v>
      </c>
      <c r="D1523" s="2" t="s">
        <v>2791</v>
      </c>
    </row>
    <row r="1524">
      <c r="A1524" s="2" t="s">
        <v>2788</v>
      </c>
      <c r="B1524" s="2" t="s">
        <v>2877</v>
      </c>
      <c r="C1524" s="2" t="s">
        <v>2790</v>
      </c>
      <c r="D1524" s="2" t="s">
        <v>2791</v>
      </c>
    </row>
    <row r="1525">
      <c r="A1525" s="2" t="s">
        <v>2788</v>
      </c>
      <c r="B1525" s="2" t="s">
        <v>2878</v>
      </c>
      <c r="C1525" s="2" t="s">
        <v>2790</v>
      </c>
      <c r="D1525" s="2" t="s">
        <v>2791</v>
      </c>
    </row>
    <row r="1526">
      <c r="A1526" s="2" t="s">
        <v>2788</v>
      </c>
      <c r="B1526" s="2" t="s">
        <v>2879</v>
      </c>
      <c r="G1526" s="2" t="s">
        <v>2880</v>
      </c>
    </row>
    <row r="1527">
      <c r="A1527" s="2" t="s">
        <v>2788</v>
      </c>
      <c r="B1527" s="2" t="s">
        <v>2881</v>
      </c>
      <c r="G1527" s="2" t="s">
        <v>2880</v>
      </c>
    </row>
    <row r="1528">
      <c r="A1528" s="2" t="s">
        <v>2788</v>
      </c>
      <c r="B1528" s="2" t="s">
        <v>2882</v>
      </c>
      <c r="G1528" s="2" t="s">
        <v>2880</v>
      </c>
    </row>
    <row r="1529">
      <c r="A1529" s="2" t="s">
        <v>2788</v>
      </c>
      <c r="B1529" s="2" t="s">
        <v>2796</v>
      </c>
      <c r="G1529" s="2" t="s">
        <v>2880</v>
      </c>
    </row>
    <row r="1530">
      <c r="A1530" s="2" t="s">
        <v>2788</v>
      </c>
      <c r="B1530" s="2" t="s">
        <v>2809</v>
      </c>
      <c r="G1530" s="2" t="s">
        <v>2880</v>
      </c>
    </row>
    <row r="1531">
      <c r="A1531" s="2" t="s">
        <v>2788</v>
      </c>
      <c r="B1531" s="2" t="s">
        <v>2810</v>
      </c>
      <c r="G1531" s="2" t="s">
        <v>2880</v>
      </c>
    </row>
    <row r="1532">
      <c r="A1532" s="2" t="s">
        <v>2788</v>
      </c>
      <c r="B1532" s="2" t="s">
        <v>2811</v>
      </c>
      <c r="G1532" s="2" t="s">
        <v>2880</v>
      </c>
    </row>
    <row r="1533">
      <c r="A1533" s="2" t="s">
        <v>2788</v>
      </c>
      <c r="B1533" s="2" t="s">
        <v>2818</v>
      </c>
      <c r="G1533" s="2" t="s">
        <v>2880</v>
      </c>
    </row>
    <row r="1534">
      <c r="A1534" s="2" t="s">
        <v>2788</v>
      </c>
      <c r="B1534" s="2" t="s">
        <v>2822</v>
      </c>
      <c r="G1534" s="2" t="s">
        <v>2880</v>
      </c>
    </row>
    <row r="1535">
      <c r="A1535" s="2" t="s">
        <v>2788</v>
      </c>
      <c r="B1535" s="2" t="s">
        <v>2884</v>
      </c>
      <c r="G1535" s="2" t="s">
        <v>2880</v>
      </c>
    </row>
    <row r="1536">
      <c r="A1536" s="2" t="s">
        <v>2788</v>
      </c>
      <c r="B1536" s="2" t="s">
        <v>2823</v>
      </c>
      <c r="G1536" s="2" t="s">
        <v>2880</v>
      </c>
    </row>
    <row r="1537">
      <c r="A1537" s="2" t="s">
        <v>2788</v>
      </c>
      <c r="B1537" s="2" t="s">
        <v>2827</v>
      </c>
      <c r="G1537" s="2" t="s">
        <v>2880</v>
      </c>
    </row>
    <row r="1538">
      <c r="A1538" s="2" t="s">
        <v>2788</v>
      </c>
      <c r="B1538" s="2" t="s">
        <v>2885</v>
      </c>
      <c r="G1538" s="2" t="s">
        <v>2880</v>
      </c>
    </row>
    <row r="1539">
      <c r="A1539" s="2" t="s">
        <v>2788</v>
      </c>
      <c r="B1539" s="2" t="s">
        <v>2832</v>
      </c>
      <c r="G1539" s="2" t="s">
        <v>2880</v>
      </c>
    </row>
    <row r="1540">
      <c r="A1540" s="2" t="s">
        <v>2788</v>
      </c>
      <c r="B1540" s="2" t="s">
        <v>2833</v>
      </c>
      <c r="G1540" s="2" t="s">
        <v>2880</v>
      </c>
    </row>
    <row r="1541">
      <c r="A1541" s="2" t="s">
        <v>2788</v>
      </c>
      <c r="B1541" s="2" t="s">
        <v>2886</v>
      </c>
      <c r="G1541" s="2" t="s">
        <v>2880</v>
      </c>
    </row>
    <row r="1542">
      <c r="A1542" s="2" t="s">
        <v>2788</v>
      </c>
      <c r="B1542" s="2" t="s">
        <v>2834</v>
      </c>
      <c r="G1542" s="2" t="s">
        <v>2880</v>
      </c>
    </row>
    <row r="1543">
      <c r="A1543" s="2" t="s">
        <v>2788</v>
      </c>
      <c r="B1543" s="2" t="s">
        <v>2887</v>
      </c>
      <c r="G1543" s="2" t="s">
        <v>2880</v>
      </c>
    </row>
    <row r="1544">
      <c r="A1544" s="2" t="s">
        <v>2788</v>
      </c>
      <c r="B1544" s="2" t="s">
        <v>2890</v>
      </c>
      <c r="G1544" s="2" t="s">
        <v>2880</v>
      </c>
    </row>
    <row r="1545">
      <c r="A1545" s="2" t="s">
        <v>2788</v>
      </c>
      <c r="B1545" s="2" t="s">
        <v>2892</v>
      </c>
      <c r="G1545" s="2" t="s">
        <v>2880</v>
      </c>
    </row>
    <row r="1546">
      <c r="A1546" s="2" t="s">
        <v>2788</v>
      </c>
      <c r="B1546" s="2" t="s">
        <v>2893</v>
      </c>
      <c r="G1546" s="2" t="s">
        <v>2880</v>
      </c>
    </row>
    <row r="1547">
      <c r="A1547" s="2" t="s">
        <v>2788</v>
      </c>
      <c r="B1547" s="2" t="s">
        <v>2894</v>
      </c>
      <c r="G1547" s="2" t="s">
        <v>2880</v>
      </c>
    </row>
    <row r="1548">
      <c r="A1548" s="2" t="s">
        <v>2788</v>
      </c>
      <c r="B1548" s="2" t="s">
        <v>2846</v>
      </c>
      <c r="G1548" s="2" t="s">
        <v>2880</v>
      </c>
    </row>
    <row r="1549">
      <c r="A1549" s="2" t="s">
        <v>2788</v>
      </c>
      <c r="B1549" s="2" t="s">
        <v>2895</v>
      </c>
      <c r="G1549" s="2" t="s">
        <v>2880</v>
      </c>
    </row>
    <row r="1550">
      <c r="A1550" s="2" t="s">
        <v>2788</v>
      </c>
      <c r="B1550" s="2" t="s">
        <v>2896</v>
      </c>
      <c r="G1550" s="2" t="s">
        <v>2880</v>
      </c>
    </row>
    <row r="1551">
      <c r="A1551" s="2" t="s">
        <v>2788</v>
      </c>
      <c r="B1551" s="2" t="s">
        <v>2897</v>
      </c>
      <c r="G1551" s="2" t="s">
        <v>2880</v>
      </c>
    </row>
    <row r="1552">
      <c r="A1552" s="2" t="s">
        <v>2788</v>
      </c>
      <c r="B1552" s="2" t="s">
        <v>2898</v>
      </c>
      <c r="G1552" s="2" t="s">
        <v>2880</v>
      </c>
    </row>
    <row r="1553">
      <c r="A1553" s="2" t="s">
        <v>2788</v>
      </c>
      <c r="B1553" s="2" t="s">
        <v>2899</v>
      </c>
      <c r="G1553" s="2" t="s">
        <v>2880</v>
      </c>
    </row>
    <row r="1554">
      <c r="A1554" s="2" t="s">
        <v>2788</v>
      </c>
      <c r="B1554" s="2" t="s">
        <v>2856</v>
      </c>
      <c r="G1554" s="2" t="s">
        <v>2880</v>
      </c>
    </row>
    <row r="1555">
      <c r="A1555" s="2" t="s">
        <v>2788</v>
      </c>
      <c r="B1555" s="2" t="s">
        <v>2863</v>
      </c>
      <c r="G1555" s="2" t="s">
        <v>2880</v>
      </c>
    </row>
    <row r="1556">
      <c r="A1556" s="2" t="s">
        <v>2788</v>
      </c>
      <c r="B1556" s="2" t="s">
        <v>2865</v>
      </c>
      <c r="G1556" s="2" t="s">
        <v>2880</v>
      </c>
    </row>
    <row r="1557">
      <c r="A1557" s="2" t="s">
        <v>2788</v>
      </c>
      <c r="B1557" s="2" t="s">
        <v>2902</v>
      </c>
      <c r="G1557" s="2" t="s">
        <v>2880</v>
      </c>
    </row>
    <row r="1558">
      <c r="A1558" s="2" t="s">
        <v>2788</v>
      </c>
      <c r="B1558" s="2" t="s">
        <v>2867</v>
      </c>
      <c r="G1558" s="2" t="s">
        <v>2880</v>
      </c>
    </row>
    <row r="1559">
      <c r="A1559" s="2" t="s">
        <v>2788</v>
      </c>
      <c r="B1559" s="2" t="s">
        <v>2874</v>
      </c>
      <c r="G1559" s="2" t="s">
        <v>2880</v>
      </c>
    </row>
    <row r="1560">
      <c r="A1560" s="2" t="s">
        <v>2788</v>
      </c>
      <c r="B1560" s="2" t="s">
        <v>2876</v>
      </c>
      <c r="G1560" s="2" t="s">
        <v>2880</v>
      </c>
    </row>
    <row r="1561">
      <c r="A1561" s="2" t="s">
        <v>2788</v>
      </c>
      <c r="B1561" s="2" t="s">
        <v>2903</v>
      </c>
      <c r="G1561" s="2" t="s">
        <v>2880</v>
      </c>
    </row>
    <row r="1562">
      <c r="A1562" s="2" t="s">
        <v>2788</v>
      </c>
      <c r="B1562" s="2" t="s">
        <v>2904</v>
      </c>
      <c r="G1562" s="2" t="s">
        <v>2880</v>
      </c>
    </row>
    <row r="1563">
      <c r="A1563" s="2" t="s">
        <v>2788</v>
      </c>
      <c r="B1563" s="163" t="s">
        <v>2878</v>
      </c>
      <c r="G1563" s="2" t="s">
        <v>2880</v>
      </c>
    </row>
    <row r="1564">
      <c r="A1564" s="2" t="s">
        <v>2905</v>
      </c>
      <c r="B1564" s="2" t="s">
        <v>2544</v>
      </c>
      <c r="C1564" s="2" t="s">
        <v>2545</v>
      </c>
      <c r="D1564" s="2" t="s">
        <v>2546</v>
      </c>
    </row>
    <row r="1565">
      <c r="A1565" s="2" t="s">
        <v>2905</v>
      </c>
      <c r="B1565" s="2" t="s">
        <v>2547</v>
      </c>
      <c r="C1565" s="2" t="s">
        <v>2545</v>
      </c>
      <c r="D1565" s="2" t="s">
        <v>2546</v>
      </c>
    </row>
    <row r="1566">
      <c r="A1566" s="2" t="s">
        <v>2905</v>
      </c>
      <c r="B1566" s="2" t="s">
        <v>2548</v>
      </c>
      <c r="C1566" s="2" t="s">
        <v>2545</v>
      </c>
      <c r="D1566" s="2" t="s">
        <v>2546</v>
      </c>
    </row>
    <row r="1567">
      <c r="A1567" s="2" t="s">
        <v>2905</v>
      </c>
      <c r="B1567" s="2" t="s">
        <v>2549</v>
      </c>
      <c r="C1567" s="2" t="s">
        <v>2545</v>
      </c>
      <c r="D1567" s="2" t="s">
        <v>2546</v>
      </c>
    </row>
    <row r="1568">
      <c r="A1568" s="2" t="s">
        <v>2905</v>
      </c>
      <c r="B1568" s="2" t="s">
        <v>2550</v>
      </c>
      <c r="C1568" s="2" t="s">
        <v>2545</v>
      </c>
      <c r="D1568" s="2" t="s">
        <v>2546</v>
      </c>
    </row>
    <row r="1569">
      <c r="A1569" s="2" t="s">
        <v>2905</v>
      </c>
      <c r="B1569" s="2" t="s">
        <v>2551</v>
      </c>
      <c r="C1569" s="2" t="s">
        <v>2545</v>
      </c>
      <c r="D1569" s="2" t="s">
        <v>2546</v>
      </c>
    </row>
    <row r="1570">
      <c r="A1570" s="2" t="s">
        <v>2905</v>
      </c>
      <c r="B1570" s="2" t="s">
        <v>2553</v>
      </c>
      <c r="C1570" s="2" t="s">
        <v>2545</v>
      </c>
      <c r="D1570" s="2" t="s">
        <v>2546</v>
      </c>
    </row>
    <row r="1571">
      <c r="A1571" s="2" t="s">
        <v>2905</v>
      </c>
      <c r="B1571" s="2" t="s">
        <v>2554</v>
      </c>
      <c r="C1571" s="2" t="s">
        <v>2545</v>
      </c>
      <c r="D1571" s="2" t="s">
        <v>2546</v>
      </c>
    </row>
    <row r="1572">
      <c r="A1572" s="2" t="s">
        <v>2905</v>
      </c>
      <c r="B1572" s="2" t="s">
        <v>2555</v>
      </c>
      <c r="C1572" s="2" t="s">
        <v>2545</v>
      </c>
      <c r="D1572" s="2" t="s">
        <v>2546</v>
      </c>
    </row>
    <row r="1573">
      <c r="A1573" s="2" t="s">
        <v>2905</v>
      </c>
      <c r="B1573" s="2" t="s">
        <v>2556</v>
      </c>
      <c r="C1573" s="2" t="s">
        <v>2545</v>
      </c>
      <c r="D1573" s="2" t="s">
        <v>2546</v>
      </c>
    </row>
    <row r="1574">
      <c r="A1574" s="2" t="s">
        <v>2905</v>
      </c>
      <c r="B1574" s="2" t="s">
        <v>2557</v>
      </c>
      <c r="C1574" s="2" t="s">
        <v>2545</v>
      </c>
      <c r="D1574" s="2" t="s">
        <v>2546</v>
      </c>
    </row>
    <row r="1575">
      <c r="A1575" s="2" t="s">
        <v>2905</v>
      </c>
      <c r="B1575" s="2" t="s">
        <v>2558</v>
      </c>
      <c r="C1575" s="2" t="s">
        <v>2545</v>
      </c>
      <c r="D1575" s="2" t="s">
        <v>2546</v>
      </c>
    </row>
    <row r="1576">
      <c r="A1576" s="2" t="s">
        <v>2905</v>
      </c>
      <c r="B1576" s="2" t="s">
        <v>2559</v>
      </c>
      <c r="C1576" s="2" t="s">
        <v>2545</v>
      </c>
      <c r="D1576" s="2" t="s">
        <v>2546</v>
      </c>
    </row>
    <row r="1577">
      <c r="A1577" s="2" t="s">
        <v>2905</v>
      </c>
      <c r="B1577" s="2" t="s">
        <v>2560</v>
      </c>
      <c r="C1577" s="2" t="s">
        <v>2545</v>
      </c>
      <c r="D1577" s="2" t="s">
        <v>2546</v>
      </c>
    </row>
    <row r="1578">
      <c r="A1578" s="2" t="s">
        <v>2905</v>
      </c>
      <c r="B1578" s="2" t="s">
        <v>2562</v>
      </c>
      <c r="C1578" s="2" t="s">
        <v>2545</v>
      </c>
      <c r="D1578" s="2" t="s">
        <v>2546</v>
      </c>
    </row>
    <row r="1579">
      <c r="A1579" s="2" t="s">
        <v>2905</v>
      </c>
      <c r="B1579" s="2" t="s">
        <v>2563</v>
      </c>
      <c r="C1579" s="2" t="s">
        <v>2545</v>
      </c>
      <c r="D1579" s="2" t="s">
        <v>2546</v>
      </c>
    </row>
    <row r="1580">
      <c r="A1580" s="2" t="s">
        <v>2905</v>
      </c>
      <c r="B1580" s="2" t="s">
        <v>2564</v>
      </c>
      <c r="C1580" s="2" t="s">
        <v>2545</v>
      </c>
      <c r="D1580" s="2" t="s">
        <v>2546</v>
      </c>
    </row>
    <row r="1581">
      <c r="A1581" s="2" t="s">
        <v>2905</v>
      </c>
      <c r="B1581" s="2" t="s">
        <v>2565</v>
      </c>
      <c r="C1581" s="2" t="s">
        <v>2545</v>
      </c>
      <c r="D1581" s="2" t="s">
        <v>2546</v>
      </c>
    </row>
    <row r="1582">
      <c r="A1582" s="2" t="s">
        <v>2905</v>
      </c>
      <c r="B1582" s="2" t="s">
        <v>2566</v>
      </c>
      <c r="C1582" s="2" t="s">
        <v>2545</v>
      </c>
      <c r="D1582" s="2" t="s">
        <v>2546</v>
      </c>
    </row>
    <row r="1583">
      <c r="A1583" s="2" t="s">
        <v>2905</v>
      </c>
      <c r="B1583" s="2" t="s">
        <v>2568</v>
      </c>
      <c r="C1583" s="2" t="s">
        <v>2545</v>
      </c>
      <c r="D1583" s="2" t="s">
        <v>2546</v>
      </c>
    </row>
    <row r="1584">
      <c r="A1584" s="2" t="s">
        <v>2905</v>
      </c>
      <c r="B1584" s="2" t="s">
        <v>2569</v>
      </c>
      <c r="C1584" s="2" t="s">
        <v>2545</v>
      </c>
      <c r="D1584" s="2" t="s">
        <v>2546</v>
      </c>
    </row>
    <row r="1585">
      <c r="A1585" s="2" t="s">
        <v>2905</v>
      </c>
      <c r="B1585" s="2" t="s">
        <v>2570</v>
      </c>
      <c r="C1585" s="2" t="s">
        <v>2545</v>
      </c>
      <c r="D1585" s="2" t="s">
        <v>2546</v>
      </c>
    </row>
    <row r="1586">
      <c r="A1586" s="2" t="s">
        <v>2905</v>
      </c>
      <c r="B1586" s="2" t="s">
        <v>2571</v>
      </c>
      <c r="C1586" s="2" t="s">
        <v>2545</v>
      </c>
      <c r="D1586" s="2" t="s">
        <v>2546</v>
      </c>
    </row>
    <row r="1587">
      <c r="A1587" s="2" t="s">
        <v>2905</v>
      </c>
      <c r="B1587" s="2" t="s">
        <v>2572</v>
      </c>
      <c r="C1587" s="2" t="s">
        <v>2545</v>
      </c>
      <c r="D1587" s="2" t="s">
        <v>2546</v>
      </c>
    </row>
    <row r="1588">
      <c r="A1588" s="2" t="s">
        <v>2905</v>
      </c>
      <c r="B1588" s="2" t="s">
        <v>2573</v>
      </c>
      <c r="C1588" s="2" t="s">
        <v>2545</v>
      </c>
      <c r="D1588" s="2" t="s">
        <v>2546</v>
      </c>
    </row>
    <row r="1589">
      <c r="A1589" s="2" t="s">
        <v>2905</v>
      </c>
      <c r="B1589" s="2" t="s">
        <v>2574</v>
      </c>
      <c r="C1589" s="2" t="s">
        <v>2545</v>
      </c>
      <c r="D1589" s="2" t="s">
        <v>2546</v>
      </c>
    </row>
    <row r="1590">
      <c r="A1590" s="2" t="s">
        <v>2905</v>
      </c>
      <c r="B1590" s="2" t="s">
        <v>2575</v>
      </c>
      <c r="C1590" s="2" t="s">
        <v>2545</v>
      </c>
      <c r="D1590" s="2" t="s">
        <v>2546</v>
      </c>
    </row>
    <row r="1591">
      <c r="A1591" s="2" t="s">
        <v>2905</v>
      </c>
      <c r="B1591" s="2" t="s">
        <v>2578</v>
      </c>
      <c r="C1591" s="2" t="s">
        <v>2545</v>
      </c>
      <c r="D1591" s="2" t="s">
        <v>2546</v>
      </c>
    </row>
    <row r="1592">
      <c r="A1592" s="2" t="s">
        <v>2905</v>
      </c>
      <c r="B1592" s="2" t="s">
        <v>2580</v>
      </c>
      <c r="C1592" s="2" t="s">
        <v>2545</v>
      </c>
      <c r="D1592" s="2" t="s">
        <v>2546</v>
      </c>
    </row>
    <row r="1593">
      <c r="A1593" s="2" t="s">
        <v>2905</v>
      </c>
      <c r="B1593" s="2" t="s">
        <v>2582</v>
      </c>
      <c r="C1593" s="2" t="s">
        <v>2545</v>
      </c>
      <c r="D1593" s="2" t="s">
        <v>2546</v>
      </c>
    </row>
    <row r="1594">
      <c r="A1594" s="2" t="s">
        <v>2905</v>
      </c>
      <c r="B1594" s="2" t="s">
        <v>2583</v>
      </c>
      <c r="C1594" s="2" t="s">
        <v>2545</v>
      </c>
      <c r="D1594" s="2" t="s">
        <v>2546</v>
      </c>
    </row>
    <row r="1595">
      <c r="A1595" s="2" t="s">
        <v>2905</v>
      </c>
      <c r="B1595" s="2" t="s">
        <v>2584</v>
      </c>
      <c r="C1595" s="2" t="s">
        <v>2545</v>
      </c>
      <c r="D1595" s="2" t="s">
        <v>2546</v>
      </c>
    </row>
    <row r="1596">
      <c r="A1596" s="2" t="s">
        <v>2905</v>
      </c>
      <c r="B1596" s="2" t="s">
        <v>2585</v>
      </c>
      <c r="C1596" s="2" t="s">
        <v>2545</v>
      </c>
      <c r="D1596" s="2" t="s">
        <v>2546</v>
      </c>
    </row>
    <row r="1597">
      <c r="A1597" s="2" t="s">
        <v>2905</v>
      </c>
      <c r="B1597" s="2" t="s">
        <v>2586</v>
      </c>
      <c r="C1597" s="2" t="s">
        <v>2545</v>
      </c>
      <c r="D1597" s="2" t="s">
        <v>2546</v>
      </c>
    </row>
    <row r="1598">
      <c r="A1598" s="2" t="s">
        <v>2905</v>
      </c>
      <c r="B1598" s="2" t="s">
        <v>2587</v>
      </c>
      <c r="C1598" s="2" t="s">
        <v>2545</v>
      </c>
      <c r="D1598" s="2" t="s">
        <v>2546</v>
      </c>
    </row>
    <row r="1599">
      <c r="A1599" s="2" t="s">
        <v>2905</v>
      </c>
      <c r="B1599" s="2" t="s">
        <v>2588</v>
      </c>
      <c r="C1599" s="2" t="s">
        <v>2545</v>
      </c>
      <c r="D1599" s="2" t="s">
        <v>2546</v>
      </c>
    </row>
    <row r="1600">
      <c r="A1600" s="2" t="s">
        <v>2905</v>
      </c>
      <c r="B1600" s="2" t="s">
        <v>2589</v>
      </c>
      <c r="C1600" s="2" t="s">
        <v>2545</v>
      </c>
      <c r="D1600" s="2" t="s">
        <v>2546</v>
      </c>
    </row>
    <row r="1601">
      <c r="A1601" s="2" t="s">
        <v>2905</v>
      </c>
      <c r="B1601" s="2" t="s">
        <v>2590</v>
      </c>
      <c r="C1601" s="2" t="s">
        <v>2545</v>
      </c>
      <c r="D1601" s="2" t="s">
        <v>2546</v>
      </c>
    </row>
    <row r="1602">
      <c r="A1602" s="2" t="s">
        <v>2905</v>
      </c>
      <c r="B1602" s="2" t="s">
        <v>2591</v>
      </c>
      <c r="C1602" s="2" t="s">
        <v>2545</v>
      </c>
      <c r="D1602" s="2" t="s">
        <v>2546</v>
      </c>
    </row>
    <row r="1603">
      <c r="A1603" s="2" t="s">
        <v>2905</v>
      </c>
      <c r="B1603" s="2" t="s">
        <v>2592</v>
      </c>
      <c r="C1603" s="2" t="s">
        <v>2545</v>
      </c>
      <c r="D1603" s="2" t="s">
        <v>2546</v>
      </c>
    </row>
    <row r="1604">
      <c r="A1604" s="2" t="s">
        <v>2905</v>
      </c>
      <c r="B1604" s="2" t="s">
        <v>2594</v>
      </c>
      <c r="C1604" s="2" t="s">
        <v>2545</v>
      </c>
      <c r="D1604" s="2" t="s">
        <v>2546</v>
      </c>
    </row>
    <row r="1605">
      <c r="A1605" s="2" t="s">
        <v>2905</v>
      </c>
      <c r="B1605" s="2" t="s">
        <v>2596</v>
      </c>
      <c r="C1605" s="2" t="s">
        <v>2545</v>
      </c>
      <c r="D1605" s="2" t="s">
        <v>2546</v>
      </c>
    </row>
    <row r="1606">
      <c r="A1606" s="2" t="s">
        <v>2905</v>
      </c>
      <c r="B1606" s="2" t="s">
        <v>2597</v>
      </c>
      <c r="C1606" s="2" t="s">
        <v>2545</v>
      </c>
      <c r="D1606" s="2" t="s">
        <v>2546</v>
      </c>
    </row>
    <row r="1607">
      <c r="A1607" s="2" t="s">
        <v>2905</v>
      </c>
      <c r="B1607" s="2" t="s">
        <v>2598</v>
      </c>
      <c r="C1607" s="2" t="s">
        <v>2545</v>
      </c>
      <c r="D1607" s="2" t="s">
        <v>2546</v>
      </c>
    </row>
    <row r="1608">
      <c r="A1608" s="2" t="s">
        <v>2905</v>
      </c>
      <c r="B1608" s="2" t="s">
        <v>2599</v>
      </c>
      <c r="C1608" s="2" t="s">
        <v>2545</v>
      </c>
      <c r="D1608" s="2" t="s">
        <v>2546</v>
      </c>
    </row>
    <row r="1609">
      <c r="A1609" s="2" t="s">
        <v>2905</v>
      </c>
      <c r="B1609" s="2" t="s">
        <v>2600</v>
      </c>
      <c r="C1609" s="2" t="s">
        <v>2545</v>
      </c>
      <c r="D1609" s="2" t="s">
        <v>2546</v>
      </c>
    </row>
    <row r="1610">
      <c r="A1610" s="2" t="s">
        <v>2905</v>
      </c>
      <c r="B1610" s="2" t="s">
        <v>2601</v>
      </c>
      <c r="C1610" s="2" t="s">
        <v>2545</v>
      </c>
      <c r="D1610" s="2" t="s">
        <v>2546</v>
      </c>
    </row>
    <row r="1611">
      <c r="A1611" s="2" t="s">
        <v>2905</v>
      </c>
      <c r="B1611" s="2" t="s">
        <v>2602</v>
      </c>
      <c r="C1611" s="2" t="s">
        <v>2545</v>
      </c>
      <c r="D1611" s="2" t="s">
        <v>2546</v>
      </c>
    </row>
    <row r="1612">
      <c r="A1612" s="2" t="s">
        <v>2905</v>
      </c>
      <c r="B1612" s="2" t="s">
        <v>2604</v>
      </c>
      <c r="C1612" s="2" t="s">
        <v>2545</v>
      </c>
      <c r="D1612" s="2" t="s">
        <v>2546</v>
      </c>
    </row>
    <row r="1613">
      <c r="A1613" s="2" t="s">
        <v>2905</v>
      </c>
      <c r="B1613" s="2" t="s">
        <v>2605</v>
      </c>
      <c r="C1613" s="2" t="s">
        <v>2545</v>
      </c>
      <c r="D1613" s="2" t="s">
        <v>2546</v>
      </c>
    </row>
    <row r="1614">
      <c r="A1614" s="2" t="s">
        <v>2905</v>
      </c>
      <c r="B1614" s="2" t="s">
        <v>2606</v>
      </c>
      <c r="C1614" s="2" t="s">
        <v>2545</v>
      </c>
      <c r="D1614" s="2" t="s">
        <v>2546</v>
      </c>
    </row>
    <row r="1615">
      <c r="A1615" s="2" t="s">
        <v>2905</v>
      </c>
      <c r="B1615" s="2" t="s">
        <v>2607</v>
      </c>
      <c r="C1615" s="2" t="s">
        <v>2545</v>
      </c>
      <c r="D1615" s="2" t="s">
        <v>2546</v>
      </c>
    </row>
    <row r="1616">
      <c r="A1616" s="2" t="s">
        <v>2905</v>
      </c>
      <c r="B1616" s="2" t="s">
        <v>2609</v>
      </c>
      <c r="C1616" s="2" t="s">
        <v>2545</v>
      </c>
      <c r="D1616" s="2" t="s">
        <v>2546</v>
      </c>
    </row>
    <row r="1617">
      <c r="A1617" s="2" t="s">
        <v>2905</v>
      </c>
      <c r="B1617" s="2" t="s">
        <v>2610</v>
      </c>
      <c r="C1617" s="2" t="s">
        <v>2545</v>
      </c>
      <c r="D1617" s="2" t="s">
        <v>2546</v>
      </c>
    </row>
    <row r="1618">
      <c r="A1618" s="2" t="s">
        <v>2905</v>
      </c>
      <c r="B1618" s="2" t="s">
        <v>2611</v>
      </c>
      <c r="C1618" s="2" t="s">
        <v>2545</v>
      </c>
      <c r="D1618" s="2" t="s">
        <v>2546</v>
      </c>
    </row>
    <row r="1619">
      <c r="A1619" s="2" t="s">
        <v>2905</v>
      </c>
      <c r="B1619" s="2" t="s">
        <v>2612</v>
      </c>
      <c r="C1619" s="2" t="s">
        <v>2545</v>
      </c>
      <c r="D1619" s="2" t="s">
        <v>2546</v>
      </c>
    </row>
    <row r="1620">
      <c r="A1620" s="2" t="s">
        <v>2905</v>
      </c>
      <c r="B1620" s="2" t="s">
        <v>2613</v>
      </c>
      <c r="C1620" s="2" t="s">
        <v>2545</v>
      </c>
      <c r="D1620" s="2" t="s">
        <v>2546</v>
      </c>
    </row>
    <row r="1621">
      <c r="A1621" s="2" t="s">
        <v>2905</v>
      </c>
      <c r="B1621" s="2" t="s">
        <v>2614</v>
      </c>
      <c r="C1621" s="2" t="s">
        <v>2545</v>
      </c>
      <c r="D1621" s="2" t="s">
        <v>2546</v>
      </c>
    </row>
    <row r="1622">
      <c r="A1622" s="2" t="s">
        <v>2905</v>
      </c>
      <c r="B1622" s="2" t="s">
        <v>2615</v>
      </c>
      <c r="C1622" s="2" t="s">
        <v>2545</v>
      </c>
      <c r="D1622" s="2" t="s">
        <v>2546</v>
      </c>
    </row>
    <row r="1623">
      <c r="A1623" s="2" t="s">
        <v>2905</v>
      </c>
      <c r="B1623" s="2" t="s">
        <v>2617</v>
      </c>
      <c r="C1623" s="2" t="s">
        <v>2545</v>
      </c>
      <c r="D1623" s="2" t="s">
        <v>2546</v>
      </c>
    </row>
    <row r="1624">
      <c r="A1624" s="2" t="s">
        <v>2905</v>
      </c>
      <c r="B1624" s="2" t="s">
        <v>2619</v>
      </c>
      <c r="C1624" s="2" t="s">
        <v>2545</v>
      </c>
      <c r="D1624" s="2" t="s">
        <v>2546</v>
      </c>
    </row>
    <row r="1625">
      <c r="A1625" s="2" t="s">
        <v>2905</v>
      </c>
      <c r="B1625" s="2" t="s">
        <v>2620</v>
      </c>
      <c r="C1625" s="2" t="s">
        <v>2545</v>
      </c>
      <c r="D1625" s="2" t="s">
        <v>2546</v>
      </c>
    </row>
    <row r="1626">
      <c r="A1626" s="2" t="s">
        <v>2905</v>
      </c>
      <c r="B1626" s="2" t="s">
        <v>2621</v>
      </c>
      <c r="C1626" s="2" t="s">
        <v>2545</v>
      </c>
      <c r="D1626" s="2" t="s">
        <v>2546</v>
      </c>
    </row>
    <row r="1627">
      <c r="A1627" s="2" t="s">
        <v>2905</v>
      </c>
      <c r="B1627" s="2" t="s">
        <v>2622</v>
      </c>
      <c r="C1627" s="2" t="s">
        <v>2545</v>
      </c>
      <c r="D1627" s="2" t="s">
        <v>2546</v>
      </c>
    </row>
    <row r="1628">
      <c r="A1628" s="2" t="s">
        <v>2905</v>
      </c>
      <c r="B1628" s="2" t="s">
        <v>2623</v>
      </c>
      <c r="C1628" s="2" t="s">
        <v>2545</v>
      </c>
      <c r="D1628" s="2" t="s">
        <v>2546</v>
      </c>
    </row>
    <row r="1629">
      <c r="A1629" s="2" t="s">
        <v>2905</v>
      </c>
      <c r="B1629" s="2" t="s">
        <v>2624</v>
      </c>
      <c r="C1629" s="2" t="s">
        <v>2545</v>
      </c>
      <c r="D1629" s="2" t="s">
        <v>2546</v>
      </c>
    </row>
    <row r="1630">
      <c r="A1630" s="2" t="s">
        <v>2905</v>
      </c>
      <c r="B1630" s="2" t="s">
        <v>2625</v>
      </c>
      <c r="C1630" s="2" t="s">
        <v>2545</v>
      </c>
      <c r="D1630" s="2" t="s">
        <v>2546</v>
      </c>
    </row>
    <row r="1631">
      <c r="A1631" s="2" t="s">
        <v>2905</v>
      </c>
      <c r="B1631" s="2" t="s">
        <v>2626</v>
      </c>
      <c r="C1631" s="2" t="s">
        <v>2545</v>
      </c>
      <c r="D1631" s="2" t="s">
        <v>2546</v>
      </c>
    </row>
    <row r="1632">
      <c r="A1632" s="2" t="s">
        <v>2905</v>
      </c>
      <c r="B1632" s="2" t="s">
        <v>2627</v>
      </c>
      <c r="C1632" s="2" t="s">
        <v>2545</v>
      </c>
      <c r="D1632" s="2" t="s">
        <v>2546</v>
      </c>
    </row>
    <row r="1633">
      <c r="A1633" s="2" t="s">
        <v>2905</v>
      </c>
      <c r="B1633" s="2" t="s">
        <v>2628</v>
      </c>
      <c r="C1633" s="2" t="s">
        <v>2545</v>
      </c>
      <c r="D1633" s="2" t="s">
        <v>2546</v>
      </c>
    </row>
    <row r="1634">
      <c r="A1634" s="2" t="s">
        <v>2905</v>
      </c>
      <c r="B1634" s="2" t="s">
        <v>2629</v>
      </c>
      <c r="C1634" s="2" t="s">
        <v>2545</v>
      </c>
      <c r="D1634" s="2" t="s">
        <v>2546</v>
      </c>
    </row>
    <row r="1635">
      <c r="A1635" s="2" t="s">
        <v>2905</v>
      </c>
      <c r="B1635" s="2" t="s">
        <v>2631</v>
      </c>
      <c r="C1635" s="2" t="s">
        <v>2545</v>
      </c>
      <c r="D1635" s="2" t="s">
        <v>2546</v>
      </c>
    </row>
    <row r="1636">
      <c r="A1636" s="2" t="s">
        <v>2905</v>
      </c>
      <c r="B1636" s="2" t="s">
        <v>2632</v>
      </c>
      <c r="C1636" s="2" t="s">
        <v>2545</v>
      </c>
      <c r="D1636" s="2" t="s">
        <v>2546</v>
      </c>
    </row>
    <row r="1637">
      <c r="A1637" s="2" t="s">
        <v>2905</v>
      </c>
      <c r="B1637" s="2" t="s">
        <v>2633</v>
      </c>
      <c r="C1637" s="2" t="s">
        <v>2545</v>
      </c>
      <c r="D1637" s="2" t="s">
        <v>2546</v>
      </c>
    </row>
    <row r="1638">
      <c r="A1638" s="2" t="s">
        <v>2905</v>
      </c>
      <c r="B1638" s="2" t="s">
        <v>2634</v>
      </c>
      <c r="C1638" s="2" t="s">
        <v>2545</v>
      </c>
      <c r="D1638" s="2" t="s">
        <v>2546</v>
      </c>
    </row>
    <row r="1639">
      <c r="A1639" s="2" t="s">
        <v>2905</v>
      </c>
      <c r="B1639" s="2" t="s">
        <v>2635</v>
      </c>
      <c r="C1639" s="2" t="s">
        <v>2545</v>
      </c>
      <c r="D1639" s="2" t="s">
        <v>2546</v>
      </c>
    </row>
    <row r="1640">
      <c r="A1640" s="2" t="s">
        <v>2905</v>
      </c>
      <c r="B1640" s="2" t="s">
        <v>2636</v>
      </c>
      <c r="C1640" s="2" t="s">
        <v>2545</v>
      </c>
      <c r="D1640" s="2" t="s">
        <v>2546</v>
      </c>
    </row>
    <row r="1641">
      <c r="A1641" s="2" t="s">
        <v>2905</v>
      </c>
      <c r="B1641" s="2" t="s">
        <v>2637</v>
      </c>
      <c r="C1641" s="2" t="s">
        <v>2545</v>
      </c>
      <c r="D1641" s="2" t="s">
        <v>2546</v>
      </c>
    </row>
    <row r="1642">
      <c r="A1642" s="2" t="s">
        <v>2905</v>
      </c>
      <c r="B1642" s="2" t="s">
        <v>2638</v>
      </c>
      <c r="C1642" s="2" t="s">
        <v>2545</v>
      </c>
      <c r="D1642" s="2" t="s">
        <v>2546</v>
      </c>
    </row>
    <row r="1643">
      <c r="A1643" s="2" t="s">
        <v>2905</v>
      </c>
      <c r="B1643" s="2" t="s">
        <v>2640</v>
      </c>
      <c r="C1643" s="2" t="s">
        <v>2545</v>
      </c>
      <c r="D1643" s="2" t="s">
        <v>2546</v>
      </c>
    </row>
    <row r="1644">
      <c r="A1644" s="2" t="s">
        <v>2905</v>
      </c>
      <c r="B1644" s="2" t="s">
        <v>2641</v>
      </c>
      <c r="C1644" s="2" t="s">
        <v>2545</v>
      </c>
      <c r="D1644" s="2" t="s">
        <v>2546</v>
      </c>
    </row>
    <row r="1645">
      <c r="A1645" s="2" t="s">
        <v>2905</v>
      </c>
      <c r="B1645" s="2" t="s">
        <v>2642</v>
      </c>
      <c r="C1645" s="2" t="s">
        <v>2545</v>
      </c>
      <c r="D1645" s="2" t="s">
        <v>2546</v>
      </c>
    </row>
    <row r="1646">
      <c r="A1646" s="2" t="s">
        <v>2905</v>
      </c>
      <c r="B1646" s="2" t="s">
        <v>2643</v>
      </c>
      <c r="C1646" s="2" t="s">
        <v>2545</v>
      </c>
      <c r="D1646" s="2" t="s">
        <v>2546</v>
      </c>
    </row>
    <row r="1647">
      <c r="A1647" s="2" t="s">
        <v>2905</v>
      </c>
      <c r="B1647" s="2" t="s">
        <v>2644</v>
      </c>
      <c r="C1647" s="2" t="s">
        <v>2545</v>
      </c>
      <c r="D1647" s="2" t="s">
        <v>2546</v>
      </c>
    </row>
    <row r="1648">
      <c r="A1648" s="2" t="s">
        <v>2905</v>
      </c>
      <c r="B1648" s="2" t="s">
        <v>2646</v>
      </c>
      <c r="C1648" s="2" t="s">
        <v>2545</v>
      </c>
      <c r="D1648" s="2" t="s">
        <v>2546</v>
      </c>
    </row>
    <row r="1649">
      <c r="A1649" s="2" t="s">
        <v>2905</v>
      </c>
      <c r="B1649" s="2" t="s">
        <v>2647</v>
      </c>
      <c r="C1649" s="2" t="s">
        <v>2545</v>
      </c>
      <c r="D1649" s="2" t="s">
        <v>2546</v>
      </c>
    </row>
    <row r="1650">
      <c r="A1650" s="2" t="s">
        <v>2905</v>
      </c>
      <c r="B1650" s="2" t="s">
        <v>2648</v>
      </c>
      <c r="C1650" s="2" t="s">
        <v>2545</v>
      </c>
      <c r="D1650" s="2" t="s">
        <v>2546</v>
      </c>
    </row>
    <row r="1651">
      <c r="A1651" s="2" t="s">
        <v>2905</v>
      </c>
      <c r="B1651" s="2" t="s">
        <v>2649</v>
      </c>
      <c r="C1651" s="2" t="s">
        <v>2545</v>
      </c>
      <c r="D1651" s="2" t="s">
        <v>2546</v>
      </c>
    </row>
    <row r="1652">
      <c r="A1652" s="2" t="s">
        <v>2905</v>
      </c>
      <c r="B1652" s="2" t="s">
        <v>2650</v>
      </c>
      <c r="C1652" s="2" t="s">
        <v>2545</v>
      </c>
      <c r="D1652" s="2" t="s">
        <v>2546</v>
      </c>
    </row>
    <row r="1653">
      <c r="A1653" s="2" t="s">
        <v>2905</v>
      </c>
      <c r="B1653" s="2" t="s">
        <v>2651</v>
      </c>
      <c r="C1653" s="2" t="s">
        <v>2545</v>
      </c>
      <c r="D1653" s="2" t="s">
        <v>2546</v>
      </c>
    </row>
    <row r="1654">
      <c r="A1654" s="2" t="s">
        <v>2905</v>
      </c>
      <c r="B1654" s="2" t="s">
        <v>2652</v>
      </c>
      <c r="C1654" s="2" t="s">
        <v>2545</v>
      </c>
      <c r="D1654" s="2" t="s">
        <v>2546</v>
      </c>
    </row>
    <row r="1655">
      <c r="A1655" s="2" t="s">
        <v>2905</v>
      </c>
      <c r="B1655" s="2" t="s">
        <v>2653</v>
      </c>
      <c r="C1655" s="2" t="s">
        <v>2545</v>
      </c>
      <c r="D1655" s="2" t="s">
        <v>2546</v>
      </c>
    </row>
    <row r="1656">
      <c r="A1656" s="2" t="s">
        <v>2905</v>
      </c>
      <c r="B1656" s="2" t="s">
        <v>2655</v>
      </c>
      <c r="C1656" s="2" t="s">
        <v>2545</v>
      </c>
      <c r="D1656" s="2" t="s">
        <v>2546</v>
      </c>
    </row>
    <row r="1657">
      <c r="A1657" s="2" t="s">
        <v>2905</v>
      </c>
      <c r="B1657" s="2" t="s">
        <v>2656</v>
      </c>
      <c r="C1657" s="2" t="s">
        <v>2545</v>
      </c>
      <c r="D1657" s="2" t="s">
        <v>2546</v>
      </c>
    </row>
    <row r="1658">
      <c r="A1658" s="2" t="s">
        <v>2905</v>
      </c>
      <c r="B1658" s="2" t="s">
        <v>2657</v>
      </c>
      <c r="C1658" s="2" t="s">
        <v>2545</v>
      </c>
      <c r="D1658" s="2" t="s">
        <v>2546</v>
      </c>
    </row>
    <row r="1659">
      <c r="A1659" s="2" t="s">
        <v>2905</v>
      </c>
      <c r="B1659" s="2" t="s">
        <v>2658</v>
      </c>
      <c r="C1659" s="2" t="s">
        <v>2545</v>
      </c>
      <c r="D1659" s="2" t="s">
        <v>2546</v>
      </c>
    </row>
    <row r="1660">
      <c r="A1660" s="2" t="s">
        <v>2905</v>
      </c>
      <c r="B1660" s="2" t="s">
        <v>2659</v>
      </c>
      <c r="C1660" s="2" t="s">
        <v>2545</v>
      </c>
      <c r="D1660" s="2" t="s">
        <v>2546</v>
      </c>
    </row>
    <row r="1661">
      <c r="A1661" s="2" t="s">
        <v>2905</v>
      </c>
      <c r="B1661" s="2" t="s">
        <v>2661</v>
      </c>
      <c r="C1661" s="2" t="s">
        <v>2545</v>
      </c>
      <c r="D1661" s="2" t="s">
        <v>2546</v>
      </c>
    </row>
    <row r="1662">
      <c r="A1662" s="2" t="s">
        <v>2905</v>
      </c>
      <c r="B1662" s="2" t="s">
        <v>2662</v>
      </c>
      <c r="C1662" s="2" t="s">
        <v>2545</v>
      </c>
      <c r="D1662" s="2" t="s">
        <v>2546</v>
      </c>
    </row>
    <row r="1663">
      <c r="A1663" s="2" t="s">
        <v>2905</v>
      </c>
      <c r="B1663" s="2" t="s">
        <v>2663</v>
      </c>
      <c r="C1663" s="2" t="s">
        <v>2545</v>
      </c>
      <c r="D1663" s="2" t="s">
        <v>2546</v>
      </c>
    </row>
    <row r="1664">
      <c r="A1664" s="2" t="s">
        <v>2905</v>
      </c>
      <c r="B1664" s="2" t="s">
        <v>2664</v>
      </c>
      <c r="C1664" s="2" t="s">
        <v>2545</v>
      </c>
      <c r="D1664" s="2" t="s">
        <v>2546</v>
      </c>
    </row>
    <row r="1665">
      <c r="A1665" s="2" t="s">
        <v>2905</v>
      </c>
      <c r="B1665" s="2" t="s">
        <v>2665</v>
      </c>
      <c r="C1665" s="2" t="s">
        <v>2545</v>
      </c>
      <c r="D1665" s="2" t="s">
        <v>2546</v>
      </c>
    </row>
    <row r="1666">
      <c r="A1666" s="2" t="s">
        <v>2905</v>
      </c>
      <c r="B1666" s="2" t="s">
        <v>2666</v>
      </c>
      <c r="C1666" s="2" t="s">
        <v>2545</v>
      </c>
      <c r="D1666" s="2" t="s">
        <v>2546</v>
      </c>
    </row>
    <row r="1667">
      <c r="A1667" s="2" t="s">
        <v>2905</v>
      </c>
      <c r="B1667" s="2" t="s">
        <v>2667</v>
      </c>
      <c r="C1667" s="2" t="s">
        <v>2545</v>
      </c>
      <c r="D1667" s="2" t="s">
        <v>2546</v>
      </c>
    </row>
    <row r="1668">
      <c r="A1668" s="2" t="s">
        <v>2905</v>
      </c>
      <c r="B1668" s="2" t="s">
        <v>2668</v>
      </c>
      <c r="C1668" s="2" t="s">
        <v>2545</v>
      </c>
      <c r="D1668" s="2" t="s">
        <v>2546</v>
      </c>
    </row>
    <row r="1669">
      <c r="A1669" s="2" t="s">
        <v>2905</v>
      </c>
      <c r="B1669" s="2" t="s">
        <v>2669</v>
      </c>
      <c r="C1669" s="2" t="s">
        <v>2545</v>
      </c>
      <c r="D1669" s="2" t="s">
        <v>2546</v>
      </c>
    </row>
    <row r="1670">
      <c r="A1670" s="2" t="s">
        <v>2905</v>
      </c>
      <c r="B1670" s="2" t="s">
        <v>2670</v>
      </c>
      <c r="C1670" s="2" t="s">
        <v>2545</v>
      </c>
      <c r="D1670" s="2" t="s">
        <v>2546</v>
      </c>
    </row>
    <row r="1671">
      <c r="A1671" s="2" t="s">
        <v>2905</v>
      </c>
      <c r="B1671" s="2" t="s">
        <v>2671</v>
      </c>
      <c r="C1671" s="2" t="s">
        <v>2545</v>
      </c>
      <c r="D1671" s="2" t="s">
        <v>2546</v>
      </c>
    </row>
    <row r="1672">
      <c r="A1672" s="2" t="s">
        <v>2905</v>
      </c>
      <c r="B1672" s="2" t="s">
        <v>2673</v>
      </c>
      <c r="C1672" s="2" t="s">
        <v>2545</v>
      </c>
      <c r="D1672" s="2" t="s">
        <v>2546</v>
      </c>
    </row>
    <row r="1673">
      <c r="A1673" s="2" t="s">
        <v>2905</v>
      </c>
      <c r="B1673" s="2" t="s">
        <v>2674</v>
      </c>
      <c r="C1673" s="2" t="s">
        <v>2545</v>
      </c>
      <c r="D1673" s="2" t="s">
        <v>2546</v>
      </c>
    </row>
    <row r="1674">
      <c r="A1674" s="2" t="s">
        <v>2905</v>
      </c>
      <c r="B1674" s="2" t="s">
        <v>2675</v>
      </c>
      <c r="C1674" s="2" t="s">
        <v>2545</v>
      </c>
      <c r="D1674" s="2" t="s">
        <v>2546</v>
      </c>
    </row>
    <row r="1675">
      <c r="A1675" s="2" t="s">
        <v>2905</v>
      </c>
      <c r="B1675" s="2" t="s">
        <v>2676</v>
      </c>
      <c r="C1675" s="2" t="s">
        <v>2545</v>
      </c>
      <c r="D1675" s="2" t="s">
        <v>2546</v>
      </c>
    </row>
    <row r="1676">
      <c r="A1676" s="2" t="s">
        <v>2905</v>
      </c>
      <c r="B1676" s="2" t="s">
        <v>2677</v>
      </c>
      <c r="C1676" s="2" t="s">
        <v>2545</v>
      </c>
      <c r="D1676" s="2" t="s">
        <v>2546</v>
      </c>
    </row>
    <row r="1677">
      <c r="A1677" s="2" t="s">
        <v>2905</v>
      </c>
      <c r="B1677" s="2" t="s">
        <v>2678</v>
      </c>
      <c r="C1677" s="2" t="s">
        <v>2545</v>
      </c>
      <c r="D1677" s="2" t="s">
        <v>2546</v>
      </c>
    </row>
    <row r="1678">
      <c r="A1678" s="2" t="s">
        <v>2905</v>
      </c>
      <c r="B1678" s="2" t="s">
        <v>2679</v>
      </c>
      <c r="C1678" s="2" t="s">
        <v>2545</v>
      </c>
      <c r="D1678" s="2" t="s">
        <v>2546</v>
      </c>
    </row>
    <row r="1679">
      <c r="A1679" s="2" t="s">
        <v>2905</v>
      </c>
      <c r="B1679" s="2" t="s">
        <v>2680</v>
      </c>
      <c r="C1679" s="2" t="s">
        <v>2545</v>
      </c>
      <c r="D1679" s="2" t="s">
        <v>2546</v>
      </c>
    </row>
    <row r="1680">
      <c r="A1680" s="2" t="s">
        <v>2905</v>
      </c>
      <c r="B1680" s="2" t="s">
        <v>2681</v>
      </c>
      <c r="C1680" s="2" t="s">
        <v>2545</v>
      </c>
      <c r="D1680" s="2" t="s">
        <v>2546</v>
      </c>
    </row>
    <row r="1681">
      <c r="A1681" s="2" t="s">
        <v>2905</v>
      </c>
      <c r="B1681" s="2" t="s">
        <v>2682</v>
      </c>
      <c r="C1681" s="2" t="s">
        <v>2545</v>
      </c>
      <c r="D1681" s="2" t="s">
        <v>2546</v>
      </c>
    </row>
    <row r="1682">
      <c r="A1682" s="2" t="s">
        <v>2905</v>
      </c>
      <c r="B1682" s="2" t="s">
        <v>2683</v>
      </c>
      <c r="C1682" s="2" t="s">
        <v>2545</v>
      </c>
      <c r="D1682" s="2" t="s">
        <v>2546</v>
      </c>
    </row>
    <row r="1683">
      <c r="A1683" s="2" t="s">
        <v>2905</v>
      </c>
      <c r="B1683" s="2" t="s">
        <v>2685</v>
      </c>
      <c r="C1683" s="2" t="s">
        <v>2545</v>
      </c>
      <c r="D1683" s="2" t="s">
        <v>2546</v>
      </c>
    </row>
    <row r="1684">
      <c r="A1684" s="2" t="s">
        <v>2905</v>
      </c>
      <c r="B1684" s="2" t="s">
        <v>2686</v>
      </c>
      <c r="C1684" s="2" t="s">
        <v>2545</v>
      </c>
      <c r="D1684" s="2" t="s">
        <v>2546</v>
      </c>
    </row>
    <row r="1685">
      <c r="A1685" s="2" t="s">
        <v>2905</v>
      </c>
      <c r="B1685" s="2" t="s">
        <v>2687</v>
      </c>
      <c r="C1685" s="2" t="s">
        <v>2545</v>
      </c>
      <c r="D1685" s="2" t="s">
        <v>2546</v>
      </c>
    </row>
    <row r="1686">
      <c r="A1686" s="2" t="s">
        <v>2905</v>
      </c>
      <c r="B1686" s="2" t="s">
        <v>2688</v>
      </c>
      <c r="C1686" s="2" t="s">
        <v>2545</v>
      </c>
      <c r="D1686" s="2" t="s">
        <v>2546</v>
      </c>
    </row>
    <row r="1687">
      <c r="A1687" s="2" t="s">
        <v>2905</v>
      </c>
      <c r="B1687" s="2" t="s">
        <v>2689</v>
      </c>
      <c r="C1687" s="2" t="s">
        <v>2545</v>
      </c>
      <c r="D1687" s="2" t="s">
        <v>2546</v>
      </c>
    </row>
    <row r="1688">
      <c r="A1688" s="2" t="s">
        <v>2905</v>
      </c>
      <c r="B1688" s="2" t="s">
        <v>2691</v>
      </c>
      <c r="C1688" s="2" t="s">
        <v>2545</v>
      </c>
      <c r="D1688" s="2" t="s">
        <v>2546</v>
      </c>
    </row>
    <row r="1689">
      <c r="A1689" s="2" t="s">
        <v>2905</v>
      </c>
      <c r="B1689" s="2" t="s">
        <v>2692</v>
      </c>
      <c r="C1689" s="2" t="s">
        <v>2545</v>
      </c>
      <c r="D1689" s="2" t="s">
        <v>2546</v>
      </c>
    </row>
    <row r="1690">
      <c r="A1690" s="2" t="s">
        <v>2905</v>
      </c>
      <c r="B1690" s="2" t="s">
        <v>2693</v>
      </c>
      <c r="C1690" s="2" t="s">
        <v>2545</v>
      </c>
      <c r="D1690" s="2" t="s">
        <v>2546</v>
      </c>
    </row>
    <row r="1691">
      <c r="A1691" s="2" t="s">
        <v>2905</v>
      </c>
      <c r="B1691" s="2" t="s">
        <v>2694</v>
      </c>
      <c r="C1691" s="2" t="s">
        <v>2545</v>
      </c>
      <c r="D1691" s="2" t="s">
        <v>2546</v>
      </c>
    </row>
    <row r="1692">
      <c r="A1692" s="2" t="s">
        <v>2905</v>
      </c>
      <c r="B1692" s="2" t="s">
        <v>2695</v>
      </c>
      <c r="C1692" s="2" t="s">
        <v>2545</v>
      </c>
      <c r="D1692" s="2" t="s">
        <v>2546</v>
      </c>
    </row>
    <row r="1693">
      <c r="A1693" s="2" t="s">
        <v>2905</v>
      </c>
      <c r="B1693" s="2" t="s">
        <v>2696</v>
      </c>
      <c r="C1693" s="2" t="s">
        <v>2545</v>
      </c>
      <c r="D1693" s="2" t="s">
        <v>2546</v>
      </c>
    </row>
    <row r="1694">
      <c r="A1694" s="2" t="s">
        <v>2905</v>
      </c>
      <c r="B1694" s="2" t="s">
        <v>2697</v>
      </c>
      <c r="C1694" s="2" t="s">
        <v>2545</v>
      </c>
      <c r="D1694" s="2" t="s">
        <v>2546</v>
      </c>
    </row>
    <row r="1695">
      <c r="A1695" s="2" t="s">
        <v>2905</v>
      </c>
      <c r="B1695" s="2" t="s">
        <v>2698</v>
      </c>
      <c r="C1695" s="2" t="s">
        <v>2545</v>
      </c>
      <c r="D1695" s="2" t="s">
        <v>2546</v>
      </c>
    </row>
    <row r="1696">
      <c r="A1696" s="2" t="s">
        <v>2905</v>
      </c>
      <c r="B1696" s="2" t="s">
        <v>2699</v>
      </c>
      <c r="C1696" s="2" t="s">
        <v>2545</v>
      </c>
      <c r="D1696" s="2" t="s">
        <v>2546</v>
      </c>
    </row>
    <row r="1697">
      <c r="A1697" s="2" t="s">
        <v>2905</v>
      </c>
      <c r="B1697" s="2" t="s">
        <v>2700</v>
      </c>
      <c r="C1697" s="2" t="s">
        <v>2545</v>
      </c>
      <c r="D1697" s="2" t="s">
        <v>2546</v>
      </c>
    </row>
    <row r="1698">
      <c r="A1698" s="2" t="s">
        <v>2905</v>
      </c>
      <c r="B1698" s="2" t="s">
        <v>2701</v>
      </c>
      <c r="C1698" s="2" t="s">
        <v>2545</v>
      </c>
      <c r="D1698" s="2" t="s">
        <v>2546</v>
      </c>
    </row>
    <row r="1699">
      <c r="A1699" s="2" t="s">
        <v>2905</v>
      </c>
      <c r="B1699" s="2" t="s">
        <v>2702</v>
      </c>
      <c r="C1699" s="2" t="s">
        <v>2545</v>
      </c>
      <c r="D1699" s="2" t="s">
        <v>2546</v>
      </c>
    </row>
    <row r="1700">
      <c r="A1700" s="2" t="s">
        <v>2925</v>
      </c>
      <c r="B1700" s="2" t="s">
        <v>2926</v>
      </c>
      <c r="C1700" s="2" t="s">
        <v>2927</v>
      </c>
      <c r="D1700" s="2" t="s">
        <v>2928</v>
      </c>
    </row>
    <row r="1701">
      <c r="A1701" s="2" t="s">
        <v>2929</v>
      </c>
      <c r="B1701" s="2" t="s">
        <v>2930</v>
      </c>
      <c r="C1701" s="2" t="s">
        <v>2931</v>
      </c>
      <c r="D1701" s="2" t="s">
        <v>2932</v>
      </c>
    </row>
    <row r="1702">
      <c r="A1702" s="2" t="s">
        <v>2929</v>
      </c>
      <c r="B1702" s="2" t="s">
        <v>2933</v>
      </c>
      <c r="C1702" s="2" t="s">
        <v>2931</v>
      </c>
      <c r="D1702" s="2" t="s">
        <v>2932</v>
      </c>
    </row>
    <row r="1703">
      <c r="A1703" s="2" t="s">
        <v>2929</v>
      </c>
      <c r="B1703" s="2" t="s">
        <v>2934</v>
      </c>
      <c r="C1703" s="2" t="s">
        <v>2931</v>
      </c>
      <c r="D1703" s="2" t="s">
        <v>2932</v>
      </c>
    </row>
    <row r="1704">
      <c r="A1704" s="2" t="s">
        <v>2929</v>
      </c>
      <c r="B1704" s="2" t="s">
        <v>2935</v>
      </c>
      <c r="C1704" s="2" t="s">
        <v>2931</v>
      </c>
      <c r="D1704" s="2" t="s">
        <v>2932</v>
      </c>
    </row>
    <row r="1705">
      <c r="A1705" s="2" t="s">
        <v>2929</v>
      </c>
      <c r="B1705" s="2" t="s">
        <v>2936</v>
      </c>
      <c r="C1705" s="2" t="s">
        <v>2931</v>
      </c>
      <c r="D1705" s="2" t="s">
        <v>2932</v>
      </c>
    </row>
    <row r="1706">
      <c r="A1706" s="2" t="s">
        <v>2929</v>
      </c>
      <c r="B1706" s="2" t="s">
        <v>2937</v>
      </c>
      <c r="C1706" s="2" t="s">
        <v>2931</v>
      </c>
      <c r="D1706" s="2" t="s">
        <v>2932</v>
      </c>
    </row>
    <row r="1707">
      <c r="A1707" s="2" t="s">
        <v>2929</v>
      </c>
      <c r="B1707" s="2" t="s">
        <v>2938</v>
      </c>
      <c r="C1707" s="2" t="s">
        <v>2931</v>
      </c>
      <c r="D1707" s="2" t="s">
        <v>2932</v>
      </c>
    </row>
    <row r="1708">
      <c r="A1708" s="2" t="s">
        <v>2929</v>
      </c>
      <c r="B1708" s="2" t="s">
        <v>2939</v>
      </c>
      <c r="C1708" s="2" t="s">
        <v>2931</v>
      </c>
      <c r="D1708" s="2" t="s">
        <v>2932</v>
      </c>
    </row>
    <row r="1709">
      <c r="A1709" s="2" t="s">
        <v>2929</v>
      </c>
      <c r="B1709" s="2" t="s">
        <v>2940</v>
      </c>
      <c r="C1709" s="2" t="s">
        <v>2931</v>
      </c>
      <c r="D1709" s="2" t="s">
        <v>2932</v>
      </c>
    </row>
    <row r="1710">
      <c r="A1710" s="2" t="s">
        <v>2929</v>
      </c>
      <c r="B1710" s="2" t="s">
        <v>2941</v>
      </c>
      <c r="C1710" s="2" t="s">
        <v>2931</v>
      </c>
      <c r="D1710" s="2" t="s">
        <v>2932</v>
      </c>
    </row>
    <row r="1711">
      <c r="A1711" s="2" t="s">
        <v>2929</v>
      </c>
      <c r="B1711" s="2" t="s">
        <v>2942</v>
      </c>
      <c r="C1711" s="2" t="s">
        <v>2931</v>
      </c>
      <c r="D1711" s="2" t="s">
        <v>2932</v>
      </c>
    </row>
    <row r="1712">
      <c r="A1712" s="2" t="s">
        <v>2929</v>
      </c>
      <c r="B1712" s="2" t="s">
        <v>2943</v>
      </c>
      <c r="C1712" s="2" t="s">
        <v>2931</v>
      </c>
      <c r="D1712" s="2" t="s">
        <v>2932</v>
      </c>
    </row>
    <row r="1713">
      <c r="A1713" s="2" t="s">
        <v>2929</v>
      </c>
      <c r="B1713" s="2" t="s">
        <v>2944</v>
      </c>
      <c r="C1713" s="2" t="s">
        <v>2931</v>
      </c>
      <c r="D1713" s="2" t="s">
        <v>2932</v>
      </c>
    </row>
    <row r="1714">
      <c r="A1714" s="2" t="s">
        <v>2929</v>
      </c>
      <c r="B1714" s="2" t="s">
        <v>2945</v>
      </c>
      <c r="C1714" s="2" t="s">
        <v>2931</v>
      </c>
      <c r="D1714" s="2" t="s">
        <v>2932</v>
      </c>
    </row>
    <row r="1715">
      <c r="A1715" s="2" t="s">
        <v>2929</v>
      </c>
      <c r="B1715" s="2" t="s">
        <v>2946</v>
      </c>
      <c r="C1715" s="2" t="s">
        <v>2931</v>
      </c>
      <c r="D1715" s="2" t="s">
        <v>2932</v>
      </c>
    </row>
    <row r="1716">
      <c r="A1716" s="2" t="s">
        <v>2929</v>
      </c>
      <c r="B1716" s="2" t="s">
        <v>2947</v>
      </c>
      <c r="C1716" s="2" t="s">
        <v>2931</v>
      </c>
      <c r="D1716" s="2" t="s">
        <v>2932</v>
      </c>
    </row>
    <row r="1717">
      <c r="A1717" s="2" t="s">
        <v>2929</v>
      </c>
      <c r="B1717" s="2" t="s">
        <v>2948</v>
      </c>
      <c r="C1717" s="2" t="s">
        <v>2931</v>
      </c>
      <c r="D1717" s="2" t="s">
        <v>2932</v>
      </c>
    </row>
    <row r="1718">
      <c r="A1718" s="2" t="s">
        <v>2929</v>
      </c>
      <c r="B1718" s="2" t="s">
        <v>2949</v>
      </c>
      <c r="C1718" s="2" t="s">
        <v>2931</v>
      </c>
      <c r="D1718" s="2" t="s">
        <v>2932</v>
      </c>
    </row>
    <row r="1719">
      <c r="A1719" s="2" t="s">
        <v>2929</v>
      </c>
      <c r="B1719" s="2" t="s">
        <v>2950</v>
      </c>
      <c r="C1719" s="2" t="s">
        <v>2931</v>
      </c>
      <c r="D1719" s="2" t="s">
        <v>2932</v>
      </c>
    </row>
    <row r="1720">
      <c r="A1720" s="2" t="s">
        <v>2929</v>
      </c>
      <c r="B1720" s="2" t="s">
        <v>2951</v>
      </c>
      <c r="C1720" s="2" t="s">
        <v>2931</v>
      </c>
      <c r="D1720" s="2" t="s">
        <v>2932</v>
      </c>
    </row>
    <row r="1721">
      <c r="A1721" s="2" t="s">
        <v>2929</v>
      </c>
      <c r="B1721" s="2" t="s">
        <v>2952</v>
      </c>
      <c r="C1721" s="2" t="s">
        <v>2931</v>
      </c>
      <c r="D1721" s="2" t="s">
        <v>2932</v>
      </c>
    </row>
    <row r="1722">
      <c r="A1722" s="2" t="s">
        <v>2929</v>
      </c>
      <c r="B1722" s="2" t="s">
        <v>2953</v>
      </c>
      <c r="C1722" s="2" t="s">
        <v>2931</v>
      </c>
      <c r="D1722" s="2" t="s">
        <v>2932</v>
      </c>
    </row>
    <row r="1723">
      <c r="A1723" s="2" t="s">
        <v>2929</v>
      </c>
      <c r="B1723" s="2" t="s">
        <v>2954</v>
      </c>
      <c r="C1723" s="2" t="s">
        <v>2931</v>
      </c>
      <c r="D1723" s="2" t="s">
        <v>2932</v>
      </c>
    </row>
    <row r="1724">
      <c r="A1724" s="2" t="s">
        <v>2929</v>
      </c>
      <c r="B1724" s="2" t="s">
        <v>2955</v>
      </c>
      <c r="C1724" s="2" t="s">
        <v>2931</v>
      </c>
      <c r="D1724" s="2" t="s">
        <v>2932</v>
      </c>
    </row>
    <row r="1725">
      <c r="A1725" s="2" t="s">
        <v>2929</v>
      </c>
      <c r="B1725" s="2" t="s">
        <v>2957</v>
      </c>
      <c r="C1725" s="2" t="s">
        <v>2931</v>
      </c>
      <c r="D1725" s="2" t="s">
        <v>2932</v>
      </c>
    </row>
    <row r="1726">
      <c r="A1726" s="2" t="s">
        <v>2929</v>
      </c>
      <c r="B1726" s="2" t="s">
        <v>2959</v>
      </c>
      <c r="C1726" s="2" t="s">
        <v>2931</v>
      </c>
      <c r="D1726" s="2" t="s">
        <v>2932</v>
      </c>
    </row>
    <row r="1727">
      <c r="A1727" s="2" t="s">
        <v>2929</v>
      </c>
      <c r="B1727" s="2" t="s">
        <v>2960</v>
      </c>
      <c r="C1727" s="2" t="s">
        <v>2931</v>
      </c>
      <c r="D1727" s="2" t="s">
        <v>2932</v>
      </c>
    </row>
    <row r="1728">
      <c r="A1728" s="2" t="s">
        <v>2929</v>
      </c>
      <c r="B1728" s="2" t="s">
        <v>2961</v>
      </c>
      <c r="C1728" s="2" t="s">
        <v>2931</v>
      </c>
      <c r="D1728" s="2" t="s">
        <v>2932</v>
      </c>
    </row>
    <row r="1729">
      <c r="A1729" s="2" t="s">
        <v>2929</v>
      </c>
      <c r="B1729" s="2" t="s">
        <v>2962</v>
      </c>
      <c r="C1729" s="2" t="s">
        <v>2931</v>
      </c>
      <c r="D1729" s="2" t="s">
        <v>2932</v>
      </c>
    </row>
    <row r="1730">
      <c r="A1730" s="2" t="s">
        <v>2929</v>
      </c>
      <c r="B1730" s="2" t="s">
        <v>2963</v>
      </c>
      <c r="C1730" s="2" t="s">
        <v>2931</v>
      </c>
      <c r="D1730" s="2" t="s">
        <v>2932</v>
      </c>
    </row>
    <row r="1731">
      <c r="A1731" s="2" t="s">
        <v>2929</v>
      </c>
      <c r="B1731" s="2" t="s">
        <v>2964</v>
      </c>
      <c r="C1731" s="2" t="s">
        <v>2931</v>
      </c>
      <c r="D1731" s="2" t="s">
        <v>2932</v>
      </c>
    </row>
    <row r="1732">
      <c r="A1732" s="2" t="s">
        <v>2929</v>
      </c>
      <c r="B1732" s="2" t="s">
        <v>2965</v>
      </c>
      <c r="C1732" s="2" t="s">
        <v>2931</v>
      </c>
      <c r="D1732" s="2" t="s">
        <v>2932</v>
      </c>
    </row>
    <row r="1733">
      <c r="A1733" s="2" t="s">
        <v>2929</v>
      </c>
      <c r="B1733" s="2" t="s">
        <v>2966</v>
      </c>
      <c r="C1733" s="2" t="s">
        <v>2931</v>
      </c>
      <c r="D1733" s="2" t="s">
        <v>2932</v>
      </c>
    </row>
    <row r="1734">
      <c r="A1734" s="2" t="s">
        <v>2929</v>
      </c>
      <c r="B1734" s="2" t="s">
        <v>2967</v>
      </c>
      <c r="C1734" s="2" t="s">
        <v>2931</v>
      </c>
      <c r="D1734" s="2" t="s">
        <v>2932</v>
      </c>
    </row>
    <row r="1735">
      <c r="A1735" s="2" t="s">
        <v>2929</v>
      </c>
      <c r="B1735" s="2" t="s">
        <v>2968</v>
      </c>
      <c r="C1735" s="2" t="s">
        <v>2931</v>
      </c>
      <c r="D1735" s="2" t="s">
        <v>2932</v>
      </c>
    </row>
    <row r="1736">
      <c r="A1736" s="2" t="s">
        <v>2929</v>
      </c>
      <c r="B1736" s="2" t="s">
        <v>2969</v>
      </c>
      <c r="C1736" s="2" t="s">
        <v>2931</v>
      </c>
      <c r="D1736" s="2" t="s">
        <v>2932</v>
      </c>
    </row>
    <row r="1737">
      <c r="A1737" s="2" t="s">
        <v>2929</v>
      </c>
      <c r="B1737" s="2" t="s">
        <v>2970</v>
      </c>
      <c r="C1737" s="2" t="s">
        <v>2931</v>
      </c>
      <c r="D1737" s="2" t="s">
        <v>2932</v>
      </c>
    </row>
    <row r="1738">
      <c r="A1738" s="2" t="s">
        <v>2929</v>
      </c>
      <c r="B1738" s="2" t="s">
        <v>2971</v>
      </c>
      <c r="C1738" s="2" t="s">
        <v>2931</v>
      </c>
      <c r="D1738" s="2" t="s">
        <v>2932</v>
      </c>
    </row>
    <row r="1739">
      <c r="A1739" s="2" t="s">
        <v>2929</v>
      </c>
      <c r="B1739" s="2" t="s">
        <v>2972</v>
      </c>
      <c r="C1739" s="2" t="s">
        <v>2931</v>
      </c>
      <c r="D1739" s="2" t="s">
        <v>2932</v>
      </c>
    </row>
    <row r="1740">
      <c r="A1740" s="2" t="s">
        <v>2929</v>
      </c>
      <c r="B1740" s="2" t="s">
        <v>2973</v>
      </c>
      <c r="C1740" s="2" t="s">
        <v>2931</v>
      </c>
      <c r="D1740" s="2" t="s">
        <v>2932</v>
      </c>
    </row>
    <row r="1741">
      <c r="A1741" s="2" t="s">
        <v>2929</v>
      </c>
      <c r="B1741" s="2" t="s">
        <v>2974</v>
      </c>
      <c r="C1741" s="2" t="s">
        <v>2931</v>
      </c>
      <c r="D1741" s="2" t="s">
        <v>2932</v>
      </c>
    </row>
    <row r="1742">
      <c r="A1742" s="2" t="s">
        <v>2929</v>
      </c>
      <c r="B1742" s="2" t="s">
        <v>2975</v>
      </c>
      <c r="C1742" s="2" t="s">
        <v>2931</v>
      </c>
      <c r="D1742" s="2" t="s">
        <v>2932</v>
      </c>
    </row>
    <row r="1743">
      <c r="A1743" s="2" t="s">
        <v>2929</v>
      </c>
      <c r="B1743" s="2" t="s">
        <v>2976</v>
      </c>
      <c r="C1743" s="2" t="s">
        <v>2931</v>
      </c>
      <c r="D1743" s="2" t="s">
        <v>2932</v>
      </c>
    </row>
    <row r="1744">
      <c r="A1744" s="2" t="s">
        <v>2929</v>
      </c>
      <c r="B1744" s="2" t="s">
        <v>2977</v>
      </c>
      <c r="C1744" s="2" t="s">
        <v>2931</v>
      </c>
      <c r="D1744" s="2" t="s">
        <v>2932</v>
      </c>
    </row>
    <row r="1745">
      <c r="A1745" s="2" t="s">
        <v>2929</v>
      </c>
      <c r="B1745" s="2" t="s">
        <v>2978</v>
      </c>
      <c r="C1745" s="2" t="s">
        <v>2931</v>
      </c>
      <c r="D1745" s="2" t="s">
        <v>2932</v>
      </c>
    </row>
    <row r="1746">
      <c r="A1746" s="2" t="s">
        <v>2929</v>
      </c>
      <c r="B1746" s="2" t="s">
        <v>2979</v>
      </c>
      <c r="C1746" s="2" t="s">
        <v>2931</v>
      </c>
      <c r="D1746" s="2" t="s">
        <v>2932</v>
      </c>
    </row>
    <row r="1747">
      <c r="A1747" s="2" t="s">
        <v>2929</v>
      </c>
      <c r="B1747" s="2" t="s">
        <v>2980</v>
      </c>
      <c r="C1747" s="2" t="s">
        <v>2931</v>
      </c>
      <c r="D1747" s="2" t="s">
        <v>2932</v>
      </c>
    </row>
    <row r="1748">
      <c r="A1748" s="2" t="s">
        <v>2929</v>
      </c>
      <c r="B1748" s="2" t="s">
        <v>2981</v>
      </c>
      <c r="C1748" s="2" t="s">
        <v>2931</v>
      </c>
      <c r="D1748" s="2" t="s">
        <v>2932</v>
      </c>
    </row>
    <row r="1749">
      <c r="A1749" s="2" t="s">
        <v>2929</v>
      </c>
      <c r="B1749" s="2" t="s">
        <v>2982</v>
      </c>
      <c r="C1749" s="2" t="s">
        <v>2931</v>
      </c>
      <c r="D1749" s="2" t="s">
        <v>2932</v>
      </c>
    </row>
    <row r="1750">
      <c r="A1750" s="2" t="s">
        <v>2929</v>
      </c>
      <c r="B1750" s="2" t="s">
        <v>2983</v>
      </c>
      <c r="C1750" s="2" t="s">
        <v>2931</v>
      </c>
      <c r="D1750" s="2" t="s">
        <v>2932</v>
      </c>
    </row>
    <row r="1751">
      <c r="A1751" s="2" t="s">
        <v>2929</v>
      </c>
      <c r="B1751" s="2" t="s">
        <v>2984</v>
      </c>
      <c r="C1751" s="2" t="s">
        <v>2931</v>
      </c>
      <c r="D1751" s="2" t="s">
        <v>2932</v>
      </c>
    </row>
    <row r="1752">
      <c r="A1752" s="2" t="s">
        <v>2929</v>
      </c>
      <c r="B1752" s="2" t="s">
        <v>2985</v>
      </c>
      <c r="C1752" s="2" t="s">
        <v>2931</v>
      </c>
      <c r="D1752" s="2" t="s">
        <v>2932</v>
      </c>
    </row>
    <row r="1753">
      <c r="A1753" s="2" t="s">
        <v>2929</v>
      </c>
      <c r="B1753" s="2" t="s">
        <v>2986</v>
      </c>
      <c r="C1753" s="2" t="s">
        <v>2931</v>
      </c>
      <c r="D1753" s="2" t="s">
        <v>2932</v>
      </c>
    </row>
    <row r="1754">
      <c r="A1754" s="2" t="s">
        <v>2929</v>
      </c>
      <c r="B1754" s="2" t="s">
        <v>2987</v>
      </c>
      <c r="C1754" s="2" t="s">
        <v>2931</v>
      </c>
      <c r="D1754" s="2" t="s">
        <v>2932</v>
      </c>
    </row>
    <row r="1755">
      <c r="A1755" s="2" t="s">
        <v>2929</v>
      </c>
      <c r="B1755" s="2" t="s">
        <v>2988</v>
      </c>
      <c r="C1755" s="2" t="s">
        <v>2931</v>
      </c>
      <c r="D1755" s="2" t="s">
        <v>2932</v>
      </c>
    </row>
    <row r="1756">
      <c r="A1756" s="2" t="s">
        <v>2929</v>
      </c>
      <c r="B1756" s="2" t="s">
        <v>2990</v>
      </c>
      <c r="C1756" s="2" t="s">
        <v>2931</v>
      </c>
      <c r="D1756" s="2" t="s">
        <v>2932</v>
      </c>
    </row>
    <row r="1757">
      <c r="A1757" s="2" t="s">
        <v>2929</v>
      </c>
      <c r="B1757" s="2" t="s">
        <v>2992</v>
      </c>
      <c r="C1757" s="2" t="s">
        <v>2931</v>
      </c>
      <c r="D1757" s="2" t="s">
        <v>2932</v>
      </c>
    </row>
    <row r="1758">
      <c r="A1758" s="2" t="s">
        <v>2929</v>
      </c>
      <c r="B1758" s="2" t="s">
        <v>2993</v>
      </c>
      <c r="C1758" s="2" t="s">
        <v>2931</v>
      </c>
      <c r="D1758" s="2" t="s">
        <v>2932</v>
      </c>
    </row>
    <row r="1759">
      <c r="A1759" s="2" t="s">
        <v>2929</v>
      </c>
      <c r="B1759" s="2" t="s">
        <v>2994</v>
      </c>
      <c r="C1759" s="2" t="s">
        <v>2931</v>
      </c>
      <c r="D1759" s="2" t="s">
        <v>2932</v>
      </c>
    </row>
    <row r="1760">
      <c r="A1760" s="2" t="s">
        <v>2929</v>
      </c>
      <c r="B1760" s="2" t="s">
        <v>2995</v>
      </c>
      <c r="C1760" s="2" t="s">
        <v>2931</v>
      </c>
      <c r="D1760" s="2" t="s">
        <v>2932</v>
      </c>
    </row>
    <row r="1761">
      <c r="A1761" s="2" t="s">
        <v>2929</v>
      </c>
      <c r="B1761" s="2" t="s">
        <v>2996</v>
      </c>
      <c r="C1761" s="2" t="s">
        <v>2931</v>
      </c>
      <c r="D1761" s="2" t="s">
        <v>2932</v>
      </c>
    </row>
    <row r="1762">
      <c r="A1762" s="2" t="s">
        <v>2929</v>
      </c>
      <c r="B1762" s="2" t="s">
        <v>2997</v>
      </c>
      <c r="C1762" s="2" t="s">
        <v>2931</v>
      </c>
      <c r="D1762" s="2" t="s">
        <v>2932</v>
      </c>
    </row>
    <row r="1763">
      <c r="A1763" s="2" t="s">
        <v>2929</v>
      </c>
      <c r="B1763" s="2" t="s">
        <v>2998</v>
      </c>
      <c r="C1763" s="2" t="s">
        <v>2931</v>
      </c>
      <c r="D1763" s="2" t="s">
        <v>2932</v>
      </c>
    </row>
    <row r="1764">
      <c r="A1764" s="2" t="s">
        <v>2929</v>
      </c>
      <c r="B1764" s="2" t="s">
        <v>2999</v>
      </c>
      <c r="C1764" s="2" t="s">
        <v>2931</v>
      </c>
      <c r="D1764" s="2" t="s">
        <v>2932</v>
      </c>
    </row>
    <row r="1765">
      <c r="A1765" s="2" t="s">
        <v>2929</v>
      </c>
      <c r="B1765" s="2" t="s">
        <v>3000</v>
      </c>
      <c r="C1765" s="2" t="s">
        <v>2931</v>
      </c>
      <c r="D1765" s="2" t="s">
        <v>2932</v>
      </c>
    </row>
    <row r="1766">
      <c r="A1766" s="2" t="s">
        <v>2929</v>
      </c>
      <c r="B1766" s="2" t="s">
        <v>3002</v>
      </c>
      <c r="C1766" s="2" t="s">
        <v>2931</v>
      </c>
      <c r="D1766" s="2" t="s">
        <v>2932</v>
      </c>
    </row>
    <row r="1767">
      <c r="A1767" s="2" t="s">
        <v>2929</v>
      </c>
      <c r="B1767" s="2" t="s">
        <v>3003</v>
      </c>
      <c r="C1767" s="2" t="s">
        <v>2931</v>
      </c>
      <c r="D1767" s="2" t="s">
        <v>2932</v>
      </c>
    </row>
    <row r="1768">
      <c r="A1768" s="2" t="s">
        <v>2929</v>
      </c>
      <c r="B1768" s="2" t="s">
        <v>3004</v>
      </c>
      <c r="C1768" s="2" t="s">
        <v>2931</v>
      </c>
      <c r="D1768" s="2" t="s">
        <v>2932</v>
      </c>
    </row>
    <row r="1769">
      <c r="A1769" s="2" t="s">
        <v>2929</v>
      </c>
      <c r="B1769" s="2" t="s">
        <v>3005</v>
      </c>
      <c r="C1769" s="2" t="s">
        <v>2931</v>
      </c>
      <c r="D1769" s="2" t="s">
        <v>2932</v>
      </c>
    </row>
    <row r="1770">
      <c r="A1770" s="2" t="s">
        <v>2929</v>
      </c>
      <c r="B1770" s="2" t="s">
        <v>3005</v>
      </c>
      <c r="C1770" s="2" t="s">
        <v>2931</v>
      </c>
      <c r="D1770" s="2" t="s">
        <v>2932</v>
      </c>
    </row>
    <row r="1771">
      <c r="A1771" s="2" t="s">
        <v>2929</v>
      </c>
      <c r="B1771" s="2" t="s">
        <v>3006</v>
      </c>
      <c r="C1771" s="2" t="s">
        <v>2931</v>
      </c>
      <c r="D1771" s="2" t="s">
        <v>2932</v>
      </c>
    </row>
    <row r="1772">
      <c r="A1772" s="2" t="s">
        <v>2929</v>
      </c>
      <c r="B1772" s="2" t="s">
        <v>3007</v>
      </c>
      <c r="C1772" s="2" t="s">
        <v>2931</v>
      </c>
      <c r="D1772" s="2" t="s">
        <v>2932</v>
      </c>
    </row>
    <row r="1773">
      <c r="A1773" s="2" t="s">
        <v>2929</v>
      </c>
      <c r="B1773" s="2" t="s">
        <v>3008</v>
      </c>
      <c r="C1773" s="2" t="s">
        <v>2931</v>
      </c>
      <c r="D1773" s="2" t="s">
        <v>2932</v>
      </c>
    </row>
    <row r="1774">
      <c r="A1774" s="2" t="s">
        <v>2929</v>
      </c>
      <c r="B1774" s="2" t="s">
        <v>3009</v>
      </c>
      <c r="C1774" s="2" t="s">
        <v>2931</v>
      </c>
      <c r="D1774" s="2" t="s">
        <v>2932</v>
      </c>
    </row>
    <row r="1775">
      <c r="A1775" s="2" t="s">
        <v>2929</v>
      </c>
      <c r="B1775" s="2" t="s">
        <v>3010</v>
      </c>
      <c r="C1775" s="2" t="s">
        <v>2931</v>
      </c>
      <c r="D1775" s="2" t="s">
        <v>2932</v>
      </c>
    </row>
    <row r="1776">
      <c r="A1776" s="2" t="s">
        <v>2929</v>
      </c>
      <c r="B1776" s="2" t="s">
        <v>3011</v>
      </c>
      <c r="C1776" s="2" t="s">
        <v>2931</v>
      </c>
      <c r="D1776" s="2" t="s">
        <v>2932</v>
      </c>
    </row>
    <row r="1777">
      <c r="A1777" s="2" t="s">
        <v>2929</v>
      </c>
      <c r="B1777" s="2" t="s">
        <v>3012</v>
      </c>
      <c r="C1777" s="2" t="s">
        <v>2931</v>
      </c>
      <c r="D1777" s="2" t="s">
        <v>2932</v>
      </c>
    </row>
    <row r="1778">
      <c r="A1778" s="2" t="s">
        <v>2929</v>
      </c>
      <c r="B1778" s="2" t="s">
        <v>3013</v>
      </c>
      <c r="C1778" s="2" t="s">
        <v>2931</v>
      </c>
      <c r="D1778" s="2" t="s">
        <v>2932</v>
      </c>
    </row>
    <row r="1779">
      <c r="A1779" s="2" t="s">
        <v>2929</v>
      </c>
      <c r="B1779" s="2" t="s">
        <v>3014</v>
      </c>
      <c r="C1779" s="2" t="s">
        <v>2931</v>
      </c>
      <c r="D1779" s="2" t="s">
        <v>2932</v>
      </c>
    </row>
    <row r="1780">
      <c r="A1780" s="2" t="s">
        <v>2929</v>
      </c>
      <c r="B1780" s="2" t="s">
        <v>3015</v>
      </c>
      <c r="C1780" s="2" t="s">
        <v>2931</v>
      </c>
      <c r="D1780" s="2" t="s">
        <v>2932</v>
      </c>
    </row>
    <row r="1781">
      <c r="A1781" s="2" t="s">
        <v>2929</v>
      </c>
      <c r="B1781" s="2" t="s">
        <v>3016</v>
      </c>
      <c r="C1781" s="2" t="s">
        <v>2931</v>
      </c>
      <c r="D1781" s="2" t="s">
        <v>2932</v>
      </c>
    </row>
    <row r="1782">
      <c r="A1782" s="2" t="s">
        <v>2929</v>
      </c>
      <c r="B1782" s="2" t="s">
        <v>3017</v>
      </c>
      <c r="C1782" s="2" t="s">
        <v>2931</v>
      </c>
      <c r="D1782" s="2" t="s">
        <v>2932</v>
      </c>
    </row>
    <row r="1783">
      <c r="A1783" s="2" t="s">
        <v>2929</v>
      </c>
      <c r="B1783" s="2" t="s">
        <v>3018</v>
      </c>
      <c r="C1783" s="2" t="s">
        <v>2931</v>
      </c>
      <c r="D1783" s="2" t="s">
        <v>2932</v>
      </c>
    </row>
    <row r="1784">
      <c r="A1784" s="2" t="s">
        <v>2929</v>
      </c>
      <c r="B1784" s="2" t="s">
        <v>3019</v>
      </c>
      <c r="C1784" s="2" t="s">
        <v>2931</v>
      </c>
      <c r="D1784" s="2" t="s">
        <v>2932</v>
      </c>
    </row>
    <row r="1785">
      <c r="A1785" s="2" t="s">
        <v>2929</v>
      </c>
      <c r="B1785" s="2" t="s">
        <v>3020</v>
      </c>
      <c r="C1785" s="2" t="s">
        <v>2931</v>
      </c>
      <c r="D1785" s="2" t="s">
        <v>2932</v>
      </c>
    </row>
    <row r="1786">
      <c r="A1786" s="2" t="s">
        <v>2929</v>
      </c>
      <c r="B1786" s="2" t="s">
        <v>3022</v>
      </c>
      <c r="C1786" s="2" t="s">
        <v>2931</v>
      </c>
      <c r="D1786" s="2" t="s">
        <v>2932</v>
      </c>
    </row>
    <row r="1787">
      <c r="A1787" s="2" t="s">
        <v>2929</v>
      </c>
      <c r="B1787" s="2" t="s">
        <v>3024</v>
      </c>
      <c r="C1787" s="2" t="s">
        <v>2931</v>
      </c>
      <c r="D1787" s="2" t="s">
        <v>2932</v>
      </c>
    </row>
    <row r="1788">
      <c r="A1788" s="2" t="s">
        <v>2929</v>
      </c>
      <c r="B1788" s="2" t="s">
        <v>3026</v>
      </c>
      <c r="C1788" s="2" t="s">
        <v>2931</v>
      </c>
      <c r="D1788" s="2" t="s">
        <v>2932</v>
      </c>
    </row>
    <row r="1789">
      <c r="A1789" s="2" t="s">
        <v>2929</v>
      </c>
      <c r="B1789" s="2" t="s">
        <v>3027</v>
      </c>
      <c r="C1789" s="2" t="s">
        <v>2931</v>
      </c>
      <c r="D1789" s="2" t="s">
        <v>2932</v>
      </c>
    </row>
    <row r="1790">
      <c r="A1790" s="2" t="s">
        <v>2929</v>
      </c>
      <c r="B1790" s="2" t="s">
        <v>3028</v>
      </c>
      <c r="C1790" s="2" t="s">
        <v>2931</v>
      </c>
      <c r="D1790" s="2" t="s">
        <v>2932</v>
      </c>
    </row>
    <row r="1791">
      <c r="A1791" s="2" t="s">
        <v>2929</v>
      </c>
      <c r="B1791" s="2" t="s">
        <v>3029</v>
      </c>
      <c r="C1791" s="2" t="s">
        <v>2931</v>
      </c>
      <c r="D1791" s="2" t="s">
        <v>2932</v>
      </c>
    </row>
    <row r="1792">
      <c r="A1792" s="2" t="s">
        <v>2929</v>
      </c>
      <c r="B1792" s="2" t="s">
        <v>3030</v>
      </c>
      <c r="C1792" s="2" t="s">
        <v>2931</v>
      </c>
      <c r="D1792" s="2" t="s">
        <v>2932</v>
      </c>
    </row>
    <row r="1793">
      <c r="A1793" s="2" t="s">
        <v>3031</v>
      </c>
      <c r="B1793" s="2" t="s">
        <v>3032</v>
      </c>
      <c r="G1793" s="2" t="s">
        <v>3033</v>
      </c>
    </row>
    <row r="1794">
      <c r="A1794" s="2" t="s">
        <v>3031</v>
      </c>
      <c r="B1794" s="2" t="s">
        <v>3034</v>
      </c>
      <c r="G1794" s="2" t="s">
        <v>3033</v>
      </c>
    </row>
    <row r="1795">
      <c r="A1795" s="2" t="s">
        <v>3031</v>
      </c>
      <c r="B1795" s="2" t="s">
        <v>3035</v>
      </c>
      <c r="G1795" s="2" t="s">
        <v>3033</v>
      </c>
    </row>
    <row r="1796">
      <c r="A1796" s="2" t="s">
        <v>3031</v>
      </c>
      <c r="B1796" s="2" t="s">
        <v>3036</v>
      </c>
      <c r="G1796" s="2" t="s">
        <v>3033</v>
      </c>
    </row>
    <row r="1797">
      <c r="A1797" s="2" t="s">
        <v>3031</v>
      </c>
      <c r="B1797" s="2" t="s">
        <v>3037</v>
      </c>
      <c r="G1797" s="2" t="s">
        <v>3033</v>
      </c>
    </row>
    <row r="1798">
      <c r="A1798" s="2" t="s">
        <v>3031</v>
      </c>
      <c r="B1798" s="2" t="s">
        <v>3038</v>
      </c>
      <c r="G1798" s="2" t="s">
        <v>3033</v>
      </c>
    </row>
    <row r="1799">
      <c r="A1799" s="2" t="s">
        <v>3031</v>
      </c>
      <c r="B1799" s="2" t="s">
        <v>3039</v>
      </c>
      <c r="G1799" s="2" t="s">
        <v>3033</v>
      </c>
    </row>
    <row r="1800">
      <c r="A1800" s="2" t="s">
        <v>3031</v>
      </c>
      <c r="B1800" s="2" t="s">
        <v>3040</v>
      </c>
      <c r="G1800" s="2" t="s">
        <v>3033</v>
      </c>
    </row>
    <row r="1801">
      <c r="A1801" s="2" t="s">
        <v>3031</v>
      </c>
      <c r="B1801" s="2" t="s">
        <v>3041</v>
      </c>
      <c r="G1801" s="2" t="s">
        <v>3033</v>
      </c>
    </row>
    <row r="1802">
      <c r="A1802" s="2" t="s">
        <v>3031</v>
      </c>
      <c r="B1802" s="2" t="s">
        <v>3043</v>
      </c>
      <c r="G1802" s="2" t="s">
        <v>3033</v>
      </c>
    </row>
    <row r="1803">
      <c r="A1803" s="2" t="s">
        <v>3031</v>
      </c>
      <c r="B1803" s="2" t="s">
        <v>3045</v>
      </c>
      <c r="G1803" s="2" t="s">
        <v>3033</v>
      </c>
    </row>
    <row r="1804">
      <c r="A1804" s="2" t="s">
        <v>3031</v>
      </c>
      <c r="B1804" s="2" t="s">
        <v>3046</v>
      </c>
      <c r="G1804" s="2" t="s">
        <v>3033</v>
      </c>
    </row>
    <row r="1805">
      <c r="A1805" s="2" t="s">
        <v>3031</v>
      </c>
      <c r="B1805" s="2" t="s">
        <v>3047</v>
      </c>
      <c r="G1805" s="2" t="s">
        <v>3033</v>
      </c>
    </row>
    <row r="1806">
      <c r="A1806" s="2" t="s">
        <v>3031</v>
      </c>
      <c r="B1806" s="2" t="s">
        <v>3048</v>
      </c>
      <c r="G1806" s="2" t="s">
        <v>3033</v>
      </c>
    </row>
    <row r="1807">
      <c r="A1807" s="2" t="s">
        <v>3031</v>
      </c>
      <c r="B1807" s="2" t="s">
        <v>3049</v>
      </c>
      <c r="G1807" s="2" t="s">
        <v>3033</v>
      </c>
    </row>
    <row r="1808">
      <c r="A1808" s="2" t="s">
        <v>3031</v>
      </c>
      <c r="B1808" s="2" t="s">
        <v>3050</v>
      </c>
      <c r="G1808" s="2" t="s">
        <v>3033</v>
      </c>
    </row>
    <row r="1809">
      <c r="A1809" s="2" t="s">
        <v>3031</v>
      </c>
      <c r="B1809" s="2" t="s">
        <v>3051</v>
      </c>
      <c r="G1809" s="2" t="s">
        <v>3033</v>
      </c>
    </row>
    <row r="1810">
      <c r="A1810" s="2" t="s">
        <v>3031</v>
      </c>
      <c r="B1810" s="2" t="s">
        <v>3052</v>
      </c>
      <c r="G1810" s="2" t="s">
        <v>3033</v>
      </c>
    </row>
    <row r="1811">
      <c r="A1811" s="2" t="s">
        <v>3031</v>
      </c>
      <c r="B1811" s="2" t="s">
        <v>3053</v>
      </c>
      <c r="G1811" s="2" t="s">
        <v>3033</v>
      </c>
    </row>
    <row r="1812">
      <c r="A1812" s="2" t="s">
        <v>3031</v>
      </c>
      <c r="B1812" s="2" t="s">
        <v>3054</v>
      </c>
      <c r="G1812" s="2" t="s">
        <v>3033</v>
      </c>
    </row>
    <row r="1813">
      <c r="A1813" s="2" t="s">
        <v>3031</v>
      </c>
      <c r="B1813" s="2" t="s">
        <v>3055</v>
      </c>
      <c r="G1813" s="2" t="s">
        <v>3033</v>
      </c>
    </row>
    <row r="1814">
      <c r="A1814" s="2" t="s">
        <v>3031</v>
      </c>
      <c r="B1814" s="2" t="s">
        <v>3056</v>
      </c>
      <c r="G1814" s="2" t="s">
        <v>3033</v>
      </c>
    </row>
    <row r="1815">
      <c r="A1815" s="2" t="s">
        <v>3031</v>
      </c>
      <c r="B1815" s="2" t="s">
        <v>3057</v>
      </c>
      <c r="G1815" s="2" t="s">
        <v>3033</v>
      </c>
    </row>
    <row r="1816">
      <c r="A1816" s="2" t="s">
        <v>3058</v>
      </c>
      <c r="B1816" s="182">
        <v>42352.0</v>
      </c>
      <c r="C1816" s="2" t="s">
        <v>3059</v>
      </c>
      <c r="D1816" s="2" t="s">
        <v>3060</v>
      </c>
    </row>
    <row r="1817">
      <c r="A1817" s="2" t="s">
        <v>3058</v>
      </c>
      <c r="B1817" s="182">
        <v>42355.0</v>
      </c>
      <c r="C1817" s="2" t="s">
        <v>3059</v>
      </c>
      <c r="D1817" s="2" t="s">
        <v>3060</v>
      </c>
    </row>
    <row r="1818">
      <c r="A1818" s="2" t="s">
        <v>3058</v>
      </c>
      <c r="B1818" s="182">
        <v>42361.0</v>
      </c>
      <c r="C1818" s="2" t="s">
        <v>3059</v>
      </c>
      <c r="D1818" s="2" t="s">
        <v>3060</v>
      </c>
    </row>
    <row r="1819">
      <c r="A1819" s="2" t="s">
        <v>3058</v>
      </c>
      <c r="B1819" s="182">
        <v>42369.0</v>
      </c>
      <c r="C1819" s="2" t="s">
        <v>3059</v>
      </c>
      <c r="D1819" s="2" t="s">
        <v>3060</v>
      </c>
    </row>
    <row r="1820">
      <c r="A1820" s="2" t="s">
        <v>3058</v>
      </c>
      <c r="B1820" s="183">
        <v>42375.0</v>
      </c>
      <c r="C1820" s="2" t="s">
        <v>3059</v>
      </c>
      <c r="D1820" s="2" t="s">
        <v>3060</v>
      </c>
    </row>
    <row r="1821">
      <c r="A1821" s="2" t="s">
        <v>3058</v>
      </c>
      <c r="B1821" s="183">
        <v>42381.0</v>
      </c>
      <c r="C1821" s="2" t="s">
        <v>3059</v>
      </c>
      <c r="D1821" s="2" t="s">
        <v>3060</v>
      </c>
    </row>
    <row r="1822">
      <c r="A1822" s="2" t="s">
        <v>3058</v>
      </c>
      <c r="B1822" s="183">
        <v>42384.0</v>
      </c>
      <c r="C1822" s="2" t="s">
        <v>3059</v>
      </c>
      <c r="D1822" s="2" t="s">
        <v>3060</v>
      </c>
    </row>
    <row r="1823">
      <c r="A1823" s="2" t="s">
        <v>3058</v>
      </c>
      <c r="B1823" s="183">
        <v>42396.0</v>
      </c>
      <c r="C1823" s="2" t="s">
        <v>3059</v>
      </c>
      <c r="D1823" s="2" t="s">
        <v>3060</v>
      </c>
    </row>
    <row r="1824">
      <c r="A1824" s="2" t="s">
        <v>3058</v>
      </c>
      <c r="B1824" s="183">
        <v>42398.0</v>
      </c>
      <c r="C1824" s="2" t="s">
        <v>3059</v>
      </c>
      <c r="D1824" s="2" t="s">
        <v>3060</v>
      </c>
    </row>
    <row r="1825">
      <c r="A1825" s="2" t="s">
        <v>3058</v>
      </c>
      <c r="B1825" s="183">
        <v>42404.0</v>
      </c>
      <c r="C1825" s="2" t="s">
        <v>3059</v>
      </c>
      <c r="D1825" s="2" t="s">
        <v>3060</v>
      </c>
    </row>
    <row r="1826">
      <c r="A1826" s="2" t="s">
        <v>3058</v>
      </c>
      <c r="B1826" s="183">
        <v>42422.0</v>
      </c>
      <c r="C1826" s="2" t="s">
        <v>3059</v>
      </c>
      <c r="D1826" s="2" t="s">
        <v>3060</v>
      </c>
    </row>
    <row r="1827">
      <c r="A1827" s="2" t="s">
        <v>3058</v>
      </c>
      <c r="B1827" s="183">
        <v>42431.0</v>
      </c>
      <c r="C1827" s="2" t="s">
        <v>3059</v>
      </c>
      <c r="D1827" s="2" t="s">
        <v>3060</v>
      </c>
    </row>
    <row r="1828">
      <c r="A1828" s="2" t="s">
        <v>3058</v>
      </c>
      <c r="B1828" s="183">
        <v>42436.0</v>
      </c>
      <c r="C1828" s="2" t="s">
        <v>3059</v>
      </c>
      <c r="D1828" s="2" t="s">
        <v>3060</v>
      </c>
    </row>
    <row r="1829">
      <c r="A1829" s="2" t="s">
        <v>3058</v>
      </c>
      <c r="B1829" s="183">
        <v>42439.0</v>
      </c>
      <c r="C1829" s="2" t="s">
        <v>3059</v>
      </c>
      <c r="D1829" s="2" t="s">
        <v>3060</v>
      </c>
    </row>
    <row r="1830">
      <c r="A1830" s="2" t="s">
        <v>3058</v>
      </c>
      <c r="B1830" s="183">
        <v>42450.0</v>
      </c>
      <c r="C1830" s="2" t="s">
        <v>3059</v>
      </c>
      <c r="D1830" s="2" t="s">
        <v>3060</v>
      </c>
    </row>
    <row r="1831">
      <c r="A1831" s="2" t="s">
        <v>3058</v>
      </c>
      <c r="B1831" s="183">
        <v>42454.0</v>
      </c>
      <c r="C1831" s="2" t="s">
        <v>3059</v>
      </c>
      <c r="D1831" s="2" t="s">
        <v>3060</v>
      </c>
    </row>
    <row r="1832">
      <c r="A1832" s="2" t="s">
        <v>3058</v>
      </c>
      <c r="B1832" s="183">
        <v>42464.0</v>
      </c>
      <c r="C1832" s="2" t="s">
        <v>3059</v>
      </c>
      <c r="D1832" s="2" t="s">
        <v>3060</v>
      </c>
    </row>
    <row r="1833">
      <c r="A1833" s="2" t="s">
        <v>3058</v>
      </c>
      <c r="B1833" s="183">
        <v>42468.0</v>
      </c>
      <c r="C1833" s="2" t="s">
        <v>3059</v>
      </c>
      <c r="D1833" s="2" t="s">
        <v>3060</v>
      </c>
    </row>
    <row r="1834">
      <c r="A1834" s="2" t="s">
        <v>3058</v>
      </c>
      <c r="B1834" s="183">
        <v>42471.0</v>
      </c>
      <c r="C1834" s="2" t="s">
        <v>3059</v>
      </c>
      <c r="D1834" s="2" t="s">
        <v>3060</v>
      </c>
    </row>
    <row r="1835">
      <c r="A1835" s="2" t="s">
        <v>3058</v>
      </c>
      <c r="B1835" s="183">
        <v>42489.0</v>
      </c>
      <c r="C1835" s="2" t="s">
        <v>3059</v>
      </c>
      <c r="D1835" s="2" t="s">
        <v>3060</v>
      </c>
    </row>
    <row r="1836">
      <c r="A1836" s="2" t="s">
        <v>3058</v>
      </c>
      <c r="B1836" s="183">
        <v>42495.0</v>
      </c>
      <c r="C1836" s="2" t="s">
        <v>3059</v>
      </c>
      <c r="D1836" s="2" t="s">
        <v>3060</v>
      </c>
    </row>
    <row r="1837">
      <c r="A1837" s="2" t="s">
        <v>3058</v>
      </c>
      <c r="B1837" s="2" t="s">
        <v>3062</v>
      </c>
      <c r="C1837" s="2" t="s">
        <v>3059</v>
      </c>
      <c r="D1837" s="2" t="s">
        <v>3063</v>
      </c>
    </row>
    <row r="1838">
      <c r="A1838" s="2" t="s">
        <v>3058</v>
      </c>
      <c r="B1838" s="2" t="s">
        <v>3064</v>
      </c>
      <c r="C1838" s="2" t="s">
        <v>3059</v>
      </c>
      <c r="D1838" s="2" t="s">
        <v>3063</v>
      </c>
    </row>
    <row r="1839">
      <c r="A1839" s="2" t="s">
        <v>3058</v>
      </c>
      <c r="B1839" s="2" t="s">
        <v>3066</v>
      </c>
      <c r="C1839" s="2" t="s">
        <v>3059</v>
      </c>
      <c r="D1839" s="2" t="s">
        <v>3063</v>
      </c>
    </row>
    <row r="1840">
      <c r="A1840" s="2" t="s">
        <v>3058</v>
      </c>
      <c r="B1840" s="2" t="s">
        <v>3067</v>
      </c>
      <c r="C1840" s="2" t="s">
        <v>3059</v>
      </c>
      <c r="D1840" s="2" t="s">
        <v>3063</v>
      </c>
    </row>
    <row r="1841">
      <c r="A1841" s="2" t="s">
        <v>3058</v>
      </c>
      <c r="B1841" s="2" t="s">
        <v>3068</v>
      </c>
      <c r="C1841" s="2" t="s">
        <v>3059</v>
      </c>
      <c r="D1841" s="2" t="s">
        <v>3063</v>
      </c>
    </row>
    <row r="1842">
      <c r="A1842" s="2" t="s">
        <v>3058</v>
      </c>
      <c r="B1842" s="2" t="s">
        <v>3069</v>
      </c>
      <c r="C1842" s="2" t="s">
        <v>3059</v>
      </c>
      <c r="D1842" s="2" t="s">
        <v>3063</v>
      </c>
    </row>
    <row r="1843">
      <c r="A1843" s="2" t="s">
        <v>3058</v>
      </c>
      <c r="B1843" s="2" t="s">
        <v>3070</v>
      </c>
      <c r="C1843" s="2" t="s">
        <v>3059</v>
      </c>
      <c r="D1843" s="2" t="s">
        <v>3063</v>
      </c>
    </row>
    <row r="1844">
      <c r="A1844" s="2" t="s">
        <v>3058</v>
      </c>
      <c r="B1844" s="2" t="s">
        <v>3071</v>
      </c>
      <c r="C1844" s="2" t="s">
        <v>3059</v>
      </c>
      <c r="D1844" s="2" t="s">
        <v>3063</v>
      </c>
    </row>
    <row r="1845">
      <c r="A1845" s="2" t="s">
        <v>3058</v>
      </c>
      <c r="B1845" s="2" t="s">
        <v>3072</v>
      </c>
      <c r="C1845" s="2" t="s">
        <v>3059</v>
      </c>
      <c r="D1845" s="2" t="s">
        <v>3063</v>
      </c>
    </row>
    <row r="1846">
      <c r="A1846" s="2" t="s">
        <v>3058</v>
      </c>
      <c r="B1846" s="2" t="s">
        <v>3074</v>
      </c>
      <c r="C1846" s="2" t="s">
        <v>3059</v>
      </c>
      <c r="D1846" s="2" t="s">
        <v>3063</v>
      </c>
    </row>
    <row r="1847">
      <c r="A1847" s="2" t="s">
        <v>3058</v>
      </c>
      <c r="B1847" s="2" t="s">
        <v>3075</v>
      </c>
      <c r="C1847" s="2" t="s">
        <v>3059</v>
      </c>
      <c r="D1847" s="2" t="s">
        <v>3063</v>
      </c>
    </row>
    <row r="1848">
      <c r="A1848" s="2" t="s">
        <v>3058</v>
      </c>
      <c r="B1848" s="2" t="s">
        <v>3076</v>
      </c>
      <c r="C1848" s="2" t="s">
        <v>3059</v>
      </c>
      <c r="D1848" s="2" t="s">
        <v>3063</v>
      </c>
    </row>
    <row r="1849">
      <c r="A1849" s="2" t="s">
        <v>3058</v>
      </c>
      <c r="B1849" s="2" t="s">
        <v>3077</v>
      </c>
      <c r="C1849" s="2" t="s">
        <v>3059</v>
      </c>
      <c r="D1849" s="2" t="s">
        <v>3063</v>
      </c>
    </row>
    <row r="1850">
      <c r="A1850" s="2" t="s">
        <v>3058</v>
      </c>
      <c r="B1850" s="2" t="s">
        <v>3078</v>
      </c>
      <c r="C1850" s="2" t="s">
        <v>3059</v>
      </c>
      <c r="D1850" s="2" t="s">
        <v>3063</v>
      </c>
    </row>
    <row r="1851">
      <c r="A1851" s="2" t="s">
        <v>3058</v>
      </c>
      <c r="B1851" s="2" t="s">
        <v>3079</v>
      </c>
      <c r="C1851" s="2" t="s">
        <v>3059</v>
      </c>
      <c r="D1851" s="2" t="s">
        <v>3063</v>
      </c>
    </row>
    <row r="1852">
      <c r="A1852" s="2" t="s">
        <v>3058</v>
      </c>
      <c r="B1852" s="2" t="s">
        <v>3080</v>
      </c>
      <c r="C1852" s="2" t="s">
        <v>3059</v>
      </c>
      <c r="D1852" s="2" t="s">
        <v>3063</v>
      </c>
    </row>
    <row r="1853">
      <c r="A1853" s="2" t="s">
        <v>3058</v>
      </c>
      <c r="B1853" s="2" t="s">
        <v>3081</v>
      </c>
      <c r="C1853" s="2" t="s">
        <v>3059</v>
      </c>
      <c r="D1853" s="2" t="s">
        <v>3063</v>
      </c>
    </row>
    <row r="1854">
      <c r="A1854" s="2" t="s">
        <v>3058</v>
      </c>
      <c r="B1854" s="2" t="s">
        <v>3082</v>
      </c>
      <c r="C1854" s="2" t="s">
        <v>3059</v>
      </c>
      <c r="D1854" s="2" t="s">
        <v>3063</v>
      </c>
    </row>
    <row r="1855">
      <c r="A1855" s="2" t="s">
        <v>3058</v>
      </c>
      <c r="B1855" s="2" t="s">
        <v>3083</v>
      </c>
      <c r="C1855" s="2" t="s">
        <v>3059</v>
      </c>
      <c r="D1855" s="2" t="s">
        <v>3063</v>
      </c>
    </row>
    <row r="1856">
      <c r="A1856" s="2" t="s">
        <v>3058</v>
      </c>
      <c r="B1856" s="2" t="s">
        <v>3083</v>
      </c>
      <c r="C1856" s="2" t="s">
        <v>3059</v>
      </c>
      <c r="D1856" s="2" t="s">
        <v>3063</v>
      </c>
    </row>
    <row r="1857">
      <c r="A1857" s="2" t="s">
        <v>3058</v>
      </c>
      <c r="B1857" s="2" t="s">
        <v>3084</v>
      </c>
      <c r="C1857" s="2" t="s">
        <v>3059</v>
      </c>
      <c r="D1857" s="2" t="s">
        <v>3063</v>
      </c>
    </row>
    <row r="1858">
      <c r="A1858" s="2" t="s">
        <v>3058</v>
      </c>
      <c r="B1858" s="2" t="s">
        <v>3085</v>
      </c>
      <c r="C1858" s="2" t="s">
        <v>3059</v>
      </c>
      <c r="D1858" s="2" t="s">
        <v>3063</v>
      </c>
    </row>
    <row r="1859">
      <c r="A1859" s="2" t="s">
        <v>3058</v>
      </c>
      <c r="B1859" s="2" t="s">
        <v>3086</v>
      </c>
      <c r="C1859" s="2" t="s">
        <v>3059</v>
      </c>
      <c r="D1859" s="2" t="s">
        <v>3063</v>
      </c>
    </row>
    <row r="1860">
      <c r="A1860" s="2" t="s">
        <v>3058</v>
      </c>
      <c r="B1860" s="2" t="s">
        <v>3087</v>
      </c>
      <c r="C1860" s="2" t="s">
        <v>3059</v>
      </c>
      <c r="D1860" s="2" t="s">
        <v>3063</v>
      </c>
    </row>
    <row r="1861">
      <c r="A1861" s="2" t="s">
        <v>3058</v>
      </c>
      <c r="B1861" s="2" t="s">
        <v>3088</v>
      </c>
      <c r="C1861" s="2" t="s">
        <v>3059</v>
      </c>
      <c r="D1861" s="2" t="s">
        <v>3063</v>
      </c>
    </row>
    <row r="1862">
      <c r="A1862" s="2" t="s">
        <v>3058</v>
      </c>
      <c r="B1862" s="2" t="s">
        <v>3089</v>
      </c>
      <c r="C1862" s="2" t="s">
        <v>3059</v>
      </c>
      <c r="D1862" s="2" t="s">
        <v>3063</v>
      </c>
    </row>
    <row r="1863">
      <c r="A1863" s="2" t="s">
        <v>3058</v>
      </c>
      <c r="B1863" s="2" t="s">
        <v>3090</v>
      </c>
      <c r="C1863" s="2" t="s">
        <v>3059</v>
      </c>
      <c r="D1863" s="2" t="s">
        <v>3063</v>
      </c>
    </row>
    <row r="1864">
      <c r="A1864" s="2" t="s">
        <v>3058</v>
      </c>
      <c r="B1864" s="2" t="s">
        <v>3092</v>
      </c>
      <c r="C1864" s="2" t="s">
        <v>3059</v>
      </c>
      <c r="D1864" s="2" t="s">
        <v>3063</v>
      </c>
    </row>
    <row r="1865">
      <c r="A1865" s="2" t="s">
        <v>3058</v>
      </c>
      <c r="B1865" s="2" t="s">
        <v>3094</v>
      </c>
      <c r="C1865" s="2" t="s">
        <v>3059</v>
      </c>
      <c r="D1865" s="2" t="s">
        <v>3063</v>
      </c>
    </row>
    <row r="1866">
      <c r="A1866" s="2" t="s">
        <v>3058</v>
      </c>
      <c r="B1866" s="2" t="s">
        <v>3095</v>
      </c>
      <c r="C1866" s="2" t="s">
        <v>3059</v>
      </c>
      <c r="D1866" s="2" t="s">
        <v>3063</v>
      </c>
    </row>
    <row r="1867">
      <c r="A1867" s="2" t="s">
        <v>3058</v>
      </c>
      <c r="B1867" s="2" t="s">
        <v>3096</v>
      </c>
      <c r="C1867" s="2" t="s">
        <v>3059</v>
      </c>
      <c r="D1867" s="2" t="s">
        <v>3063</v>
      </c>
    </row>
    <row r="1868">
      <c r="A1868" s="2" t="s">
        <v>3058</v>
      </c>
      <c r="B1868" s="2" t="s">
        <v>3097</v>
      </c>
      <c r="C1868" s="2" t="s">
        <v>3059</v>
      </c>
      <c r="D1868" s="2" t="s">
        <v>3063</v>
      </c>
    </row>
    <row r="1869">
      <c r="A1869" s="2" t="s">
        <v>3058</v>
      </c>
      <c r="B1869" s="2" t="s">
        <v>3098</v>
      </c>
      <c r="C1869" s="2" t="s">
        <v>3059</v>
      </c>
      <c r="D1869" s="2" t="s">
        <v>3063</v>
      </c>
    </row>
    <row r="1870">
      <c r="A1870" s="2" t="s">
        <v>3058</v>
      </c>
      <c r="B1870" s="2" t="s">
        <v>3099</v>
      </c>
      <c r="C1870" s="2" t="s">
        <v>3059</v>
      </c>
      <c r="D1870" s="2" t="s">
        <v>3063</v>
      </c>
    </row>
    <row r="1871">
      <c r="A1871" s="2" t="s">
        <v>3058</v>
      </c>
      <c r="B1871" s="2" t="s">
        <v>3100</v>
      </c>
      <c r="C1871" s="2" t="s">
        <v>3059</v>
      </c>
      <c r="D1871" s="2" t="s">
        <v>3063</v>
      </c>
    </row>
    <row r="1872">
      <c r="A1872" s="2" t="s">
        <v>3058</v>
      </c>
      <c r="B1872" s="2" t="s">
        <v>3101</v>
      </c>
      <c r="C1872" s="2" t="s">
        <v>3059</v>
      </c>
      <c r="D1872" s="2" t="s">
        <v>3063</v>
      </c>
    </row>
    <row r="1873">
      <c r="A1873" s="2" t="s">
        <v>3058</v>
      </c>
      <c r="B1873" s="2" t="s">
        <v>3102</v>
      </c>
      <c r="C1873" s="2" t="s">
        <v>3059</v>
      </c>
      <c r="D1873" s="2" t="s">
        <v>3063</v>
      </c>
    </row>
    <row r="1874">
      <c r="A1874" s="2" t="s">
        <v>3058</v>
      </c>
      <c r="B1874" s="2" t="s">
        <v>3104</v>
      </c>
      <c r="C1874" s="2" t="s">
        <v>3059</v>
      </c>
      <c r="D1874" s="2" t="s">
        <v>3063</v>
      </c>
    </row>
    <row r="1875">
      <c r="A1875" s="2" t="s">
        <v>3058</v>
      </c>
      <c r="B1875" s="2" t="s">
        <v>3106</v>
      </c>
      <c r="C1875" s="2" t="s">
        <v>3059</v>
      </c>
      <c r="D1875" s="2" t="s">
        <v>3063</v>
      </c>
    </row>
    <row r="1876">
      <c r="A1876" s="2" t="s">
        <v>3058</v>
      </c>
      <c r="B1876" s="2" t="s">
        <v>3107</v>
      </c>
      <c r="C1876" s="2" t="s">
        <v>3059</v>
      </c>
      <c r="D1876" s="2" t="s">
        <v>3063</v>
      </c>
    </row>
    <row r="1877">
      <c r="A1877" s="2" t="s">
        <v>3058</v>
      </c>
      <c r="B1877" s="2" t="s">
        <v>3108</v>
      </c>
      <c r="C1877" s="2" t="s">
        <v>3059</v>
      </c>
      <c r="D1877" s="2" t="s">
        <v>3063</v>
      </c>
    </row>
    <row r="1878">
      <c r="A1878" s="2" t="s">
        <v>3058</v>
      </c>
      <c r="B1878" s="2" t="s">
        <v>3109</v>
      </c>
      <c r="C1878" s="2" t="s">
        <v>3059</v>
      </c>
      <c r="D1878" s="2" t="s">
        <v>3063</v>
      </c>
    </row>
    <row r="1879">
      <c r="A1879" s="2" t="s">
        <v>3058</v>
      </c>
      <c r="B1879" s="2" t="s">
        <v>3110</v>
      </c>
      <c r="C1879" s="2" t="s">
        <v>3059</v>
      </c>
      <c r="D1879" s="2" t="s">
        <v>3063</v>
      </c>
    </row>
    <row r="1880">
      <c r="A1880" s="2" t="s">
        <v>3058</v>
      </c>
      <c r="B1880" s="2" t="s">
        <v>3111</v>
      </c>
      <c r="C1880" s="2" t="s">
        <v>3059</v>
      </c>
      <c r="D1880" s="2" t="s">
        <v>3063</v>
      </c>
    </row>
    <row r="1881">
      <c r="A1881" s="2" t="s">
        <v>3058</v>
      </c>
      <c r="B1881" s="2" t="s">
        <v>3112</v>
      </c>
      <c r="C1881" s="2" t="s">
        <v>3059</v>
      </c>
      <c r="D1881" s="2" t="s">
        <v>3063</v>
      </c>
    </row>
    <row r="1882">
      <c r="A1882" s="2" t="s">
        <v>3058</v>
      </c>
      <c r="B1882" s="2" t="s">
        <v>3113</v>
      </c>
      <c r="C1882" s="2" t="s">
        <v>3059</v>
      </c>
      <c r="D1882" s="2" t="s">
        <v>3063</v>
      </c>
    </row>
    <row r="1883">
      <c r="A1883" s="2" t="s">
        <v>3058</v>
      </c>
      <c r="B1883" s="2" t="s">
        <v>3113</v>
      </c>
      <c r="C1883" s="2" t="s">
        <v>3059</v>
      </c>
      <c r="D1883" s="2" t="s">
        <v>3063</v>
      </c>
    </row>
    <row r="1884">
      <c r="A1884" s="2" t="s">
        <v>3058</v>
      </c>
      <c r="B1884" s="2" t="s">
        <v>3113</v>
      </c>
      <c r="C1884" s="2" t="s">
        <v>3059</v>
      </c>
      <c r="D1884" s="2" t="s">
        <v>3063</v>
      </c>
    </row>
    <row r="1885">
      <c r="A1885" s="2" t="s">
        <v>3058</v>
      </c>
      <c r="B1885" s="2" t="s">
        <v>3114</v>
      </c>
      <c r="C1885" s="2" t="s">
        <v>3059</v>
      </c>
      <c r="D1885" s="2" t="s">
        <v>3063</v>
      </c>
    </row>
    <row r="1886">
      <c r="A1886" s="2" t="s">
        <v>3058</v>
      </c>
      <c r="B1886" s="2" t="s">
        <v>3115</v>
      </c>
      <c r="C1886" s="2" t="s">
        <v>3059</v>
      </c>
      <c r="D1886" s="2" t="s">
        <v>3063</v>
      </c>
    </row>
    <row r="1887">
      <c r="A1887" s="2" t="s">
        <v>3058</v>
      </c>
      <c r="B1887" s="2" t="s">
        <v>3115</v>
      </c>
      <c r="C1887" s="2" t="s">
        <v>3059</v>
      </c>
      <c r="D1887" s="2" t="s">
        <v>3063</v>
      </c>
    </row>
    <row r="1888">
      <c r="A1888" s="2" t="s">
        <v>3058</v>
      </c>
      <c r="B1888" s="2" t="s">
        <v>3116</v>
      </c>
      <c r="C1888" s="2" t="s">
        <v>3059</v>
      </c>
      <c r="D1888" s="2" t="s">
        <v>3063</v>
      </c>
    </row>
    <row r="1889">
      <c r="A1889" s="2" t="s">
        <v>3058</v>
      </c>
      <c r="B1889" s="2" t="s">
        <v>3117</v>
      </c>
      <c r="C1889" s="2" t="s">
        <v>3059</v>
      </c>
      <c r="D1889" s="2" t="s">
        <v>3063</v>
      </c>
    </row>
    <row r="1890">
      <c r="A1890" s="2" t="s">
        <v>3058</v>
      </c>
      <c r="B1890" s="2" t="s">
        <v>3118</v>
      </c>
      <c r="C1890" s="2" t="s">
        <v>3059</v>
      </c>
      <c r="D1890" s="2" t="s">
        <v>3063</v>
      </c>
    </row>
    <row r="1891">
      <c r="A1891" s="2" t="s">
        <v>3058</v>
      </c>
      <c r="B1891" s="2" t="s">
        <v>3119</v>
      </c>
      <c r="C1891" s="2" t="s">
        <v>3059</v>
      </c>
      <c r="D1891" s="2" t="s">
        <v>3063</v>
      </c>
    </row>
    <row r="1892">
      <c r="A1892" s="2" t="s">
        <v>3058</v>
      </c>
      <c r="B1892" s="2" t="s">
        <v>3120</v>
      </c>
      <c r="C1892" s="2" t="s">
        <v>3059</v>
      </c>
      <c r="D1892" s="2" t="s">
        <v>3063</v>
      </c>
    </row>
    <row r="1893">
      <c r="A1893" s="2" t="s">
        <v>3058</v>
      </c>
      <c r="B1893" s="2" t="s">
        <v>3121</v>
      </c>
      <c r="C1893" s="2" t="s">
        <v>3059</v>
      </c>
      <c r="D1893" s="2" t="s">
        <v>3063</v>
      </c>
    </row>
    <row r="1894">
      <c r="A1894" s="2" t="s">
        <v>3058</v>
      </c>
      <c r="B1894" s="2" t="s">
        <v>3122</v>
      </c>
      <c r="C1894" s="2" t="s">
        <v>3059</v>
      </c>
      <c r="D1894" s="2" t="s">
        <v>3063</v>
      </c>
    </row>
    <row r="1895">
      <c r="A1895" s="2" t="s">
        <v>3058</v>
      </c>
      <c r="B1895" s="2" t="s">
        <v>3123</v>
      </c>
      <c r="C1895" s="2" t="s">
        <v>3059</v>
      </c>
      <c r="D1895" s="2" t="s">
        <v>3063</v>
      </c>
    </row>
    <row r="1896">
      <c r="A1896" s="2" t="s">
        <v>3058</v>
      </c>
      <c r="B1896" s="182">
        <v>42013.0</v>
      </c>
      <c r="C1896" s="2" t="s">
        <v>3059</v>
      </c>
      <c r="D1896" s="2" t="s">
        <v>3063</v>
      </c>
    </row>
    <row r="1897">
      <c r="A1897" s="2" t="s">
        <v>3058</v>
      </c>
      <c r="B1897" s="184">
        <v>42065.0</v>
      </c>
      <c r="C1897" s="2" t="s">
        <v>3059</v>
      </c>
      <c r="D1897" s="2" t="s">
        <v>3063</v>
      </c>
    </row>
    <row r="1898">
      <c r="A1898" s="2" t="s">
        <v>3058</v>
      </c>
      <c r="B1898" s="184">
        <v>42068.0</v>
      </c>
      <c r="C1898" s="2" t="s">
        <v>3059</v>
      </c>
      <c r="D1898" s="2" t="s">
        <v>3063</v>
      </c>
    </row>
    <row r="1899">
      <c r="A1899" s="2" t="s">
        <v>3058</v>
      </c>
      <c r="B1899" s="184">
        <v>42072.0</v>
      </c>
      <c r="C1899" s="2" t="s">
        <v>3059</v>
      </c>
      <c r="D1899" s="2" t="s">
        <v>3063</v>
      </c>
    </row>
    <row r="1900">
      <c r="A1900" s="2" t="s">
        <v>3058</v>
      </c>
      <c r="B1900" s="184">
        <v>42074.0</v>
      </c>
      <c r="C1900" s="2" t="s">
        <v>3059</v>
      </c>
      <c r="D1900" s="2" t="s">
        <v>3063</v>
      </c>
    </row>
    <row r="1901">
      <c r="A1901" s="2" t="s">
        <v>3058</v>
      </c>
      <c r="B1901" s="184">
        <v>42076.0</v>
      </c>
      <c r="C1901" s="2" t="s">
        <v>3059</v>
      </c>
      <c r="D1901" s="2" t="s">
        <v>3063</v>
      </c>
    </row>
    <row r="1902">
      <c r="A1902" s="2" t="s">
        <v>3058</v>
      </c>
      <c r="B1902" s="184">
        <v>42077.0</v>
      </c>
      <c r="C1902" s="2" t="s">
        <v>3059</v>
      </c>
      <c r="D1902" s="2" t="s">
        <v>3063</v>
      </c>
    </row>
    <row r="1903">
      <c r="A1903" s="2" t="s">
        <v>3058</v>
      </c>
      <c r="B1903" s="184">
        <v>42080.0</v>
      </c>
      <c r="C1903" s="2" t="s">
        <v>3059</v>
      </c>
      <c r="D1903" s="2" t="s">
        <v>3063</v>
      </c>
    </row>
    <row r="1904">
      <c r="A1904" s="2" t="s">
        <v>3058</v>
      </c>
      <c r="B1904" s="184">
        <v>42082.0</v>
      </c>
      <c r="C1904" s="2" t="s">
        <v>3059</v>
      </c>
      <c r="D1904" s="2" t="s">
        <v>3063</v>
      </c>
    </row>
    <row r="1905">
      <c r="A1905" s="2" t="s">
        <v>3058</v>
      </c>
      <c r="B1905" s="184">
        <v>42084.0</v>
      </c>
      <c r="C1905" s="2" t="s">
        <v>3059</v>
      </c>
      <c r="D1905" s="2" t="s">
        <v>3063</v>
      </c>
    </row>
    <row r="1906">
      <c r="A1906" s="2" t="s">
        <v>3058</v>
      </c>
      <c r="B1906" s="184">
        <v>42087.0</v>
      </c>
      <c r="C1906" s="2" t="s">
        <v>3059</v>
      </c>
      <c r="D1906" s="2" t="s">
        <v>3063</v>
      </c>
    </row>
    <row r="1907">
      <c r="A1907" s="2" t="s">
        <v>3058</v>
      </c>
      <c r="B1907" s="184">
        <v>42089.0</v>
      </c>
      <c r="C1907" s="2" t="s">
        <v>3059</v>
      </c>
      <c r="D1907" s="2" t="s">
        <v>3063</v>
      </c>
    </row>
    <row r="1908">
      <c r="A1908" s="2" t="s">
        <v>3058</v>
      </c>
      <c r="B1908" s="184">
        <v>42094.0</v>
      </c>
      <c r="C1908" s="2" t="s">
        <v>3059</v>
      </c>
      <c r="D1908" s="2" t="s">
        <v>3063</v>
      </c>
    </row>
    <row r="1909">
      <c r="A1909" s="2" t="s">
        <v>3058</v>
      </c>
      <c r="B1909" s="183">
        <v>42229.0</v>
      </c>
      <c r="C1909" s="2" t="s">
        <v>3059</v>
      </c>
      <c r="D1909" s="2" t="s">
        <v>3063</v>
      </c>
    </row>
    <row r="1910">
      <c r="A1910" s="2" t="s">
        <v>3058</v>
      </c>
      <c r="B1910" s="1">
        <v>42380.0</v>
      </c>
      <c r="C1910" s="2" t="s">
        <v>3059</v>
      </c>
      <c r="D1910" s="2" t="s">
        <v>3063</v>
      </c>
    </row>
    <row r="1911">
      <c r="A1911" s="2" t="s">
        <v>3058</v>
      </c>
      <c r="B1911" s="1">
        <v>42382.0</v>
      </c>
      <c r="C1911" s="2" t="s">
        <v>3059</v>
      </c>
      <c r="D1911" s="2" t="s">
        <v>3063</v>
      </c>
    </row>
    <row r="1912">
      <c r="A1912" s="2" t="s">
        <v>3058</v>
      </c>
      <c r="B1912" s="1">
        <v>42384.0</v>
      </c>
      <c r="C1912" s="2" t="s">
        <v>3059</v>
      </c>
      <c r="D1912" s="2" t="s">
        <v>3063</v>
      </c>
    </row>
    <row r="1913">
      <c r="A1913" s="2" t="s">
        <v>3058</v>
      </c>
      <c r="B1913" s="1">
        <v>42020.0</v>
      </c>
      <c r="C1913" s="2" t="s">
        <v>3059</v>
      </c>
      <c r="D1913" s="2" t="s">
        <v>3063</v>
      </c>
    </row>
    <row r="1914">
      <c r="A1914" s="2" t="s">
        <v>3058</v>
      </c>
      <c r="B1914" s="1">
        <v>42391.0</v>
      </c>
      <c r="C1914" s="2" t="s">
        <v>3059</v>
      </c>
      <c r="D1914" s="2" t="s">
        <v>3063</v>
      </c>
    </row>
    <row r="1915">
      <c r="A1915" s="2" t="s">
        <v>3058</v>
      </c>
      <c r="B1915" s="1">
        <v>42392.0</v>
      </c>
      <c r="C1915" s="2" t="s">
        <v>3059</v>
      </c>
      <c r="D1915" s="2" t="s">
        <v>3063</v>
      </c>
    </row>
    <row r="1916">
      <c r="A1916" s="2" t="s">
        <v>3058</v>
      </c>
      <c r="B1916" s="1">
        <v>42393.0</v>
      </c>
      <c r="C1916" s="2" t="s">
        <v>3059</v>
      </c>
      <c r="D1916" s="2" t="s">
        <v>3063</v>
      </c>
    </row>
    <row r="1917">
      <c r="A1917" s="2" t="s">
        <v>3058</v>
      </c>
      <c r="B1917" s="1">
        <v>42398.0</v>
      </c>
      <c r="C1917" s="2" t="s">
        <v>3059</v>
      </c>
      <c r="D1917" s="2" t="s">
        <v>3063</v>
      </c>
    </row>
    <row r="1918">
      <c r="A1918" s="2" t="s">
        <v>3058</v>
      </c>
      <c r="B1918" s="1">
        <v>42374.0</v>
      </c>
      <c r="C1918" s="2" t="s">
        <v>3059</v>
      </c>
      <c r="D1918" s="2" t="s">
        <v>3063</v>
      </c>
    </row>
    <row r="1919">
      <c r="A1919" s="2" t="s">
        <v>3058</v>
      </c>
      <c r="B1919" s="1">
        <v>42375.0</v>
      </c>
      <c r="C1919" s="2" t="s">
        <v>3059</v>
      </c>
      <c r="D1919" s="2" t="s">
        <v>3063</v>
      </c>
    </row>
    <row r="1920">
      <c r="A1920" s="2" t="s">
        <v>3058</v>
      </c>
      <c r="B1920" s="1">
        <v>42377.0</v>
      </c>
      <c r="C1920" s="2" t="s">
        <v>3059</v>
      </c>
      <c r="D1920" s="2" t="s">
        <v>3063</v>
      </c>
    </row>
    <row r="1921">
      <c r="A1921" s="2" t="s">
        <v>3058</v>
      </c>
      <c r="B1921" s="1">
        <v>42290.0</v>
      </c>
      <c r="C1921" s="2" t="s">
        <v>3059</v>
      </c>
      <c r="D1921" s="2" t="s">
        <v>3063</v>
      </c>
    </row>
    <row r="1922">
      <c r="A1922" s="2" t="s">
        <v>3058</v>
      </c>
      <c r="B1922" s="1">
        <v>42292.0</v>
      </c>
      <c r="C1922" s="2" t="s">
        <v>3059</v>
      </c>
      <c r="D1922" s="2" t="s">
        <v>3063</v>
      </c>
    </row>
    <row r="1923">
      <c r="A1923" s="2" t="s">
        <v>3058</v>
      </c>
      <c r="B1923" s="182">
        <v>42301.0</v>
      </c>
      <c r="C1923" s="2" t="s">
        <v>3059</v>
      </c>
      <c r="D1923" s="2" t="s">
        <v>3063</v>
      </c>
    </row>
    <row r="1924">
      <c r="A1924" s="2" t="s">
        <v>3058</v>
      </c>
      <c r="B1924" s="1">
        <v>42303.0</v>
      </c>
      <c r="C1924" s="2" t="s">
        <v>3059</v>
      </c>
      <c r="D1924" s="2" t="s">
        <v>3063</v>
      </c>
    </row>
    <row r="1925">
      <c r="A1925" s="2" t="s">
        <v>3058</v>
      </c>
      <c r="B1925" s="1">
        <v>42304.0</v>
      </c>
      <c r="C1925" s="2" t="s">
        <v>3059</v>
      </c>
      <c r="D1925" s="2" t="s">
        <v>3063</v>
      </c>
    </row>
    <row r="1926">
      <c r="A1926" s="2" t="s">
        <v>3058</v>
      </c>
      <c r="B1926" s="1">
        <v>42306.0</v>
      </c>
      <c r="C1926" s="2" t="s">
        <v>3059</v>
      </c>
      <c r="D1926" s="2" t="s">
        <v>3063</v>
      </c>
    </row>
    <row r="1927">
      <c r="A1927" s="2" t="s">
        <v>3058</v>
      </c>
      <c r="B1927" s="1">
        <v>42307.0</v>
      </c>
      <c r="C1927" s="2" t="s">
        <v>3059</v>
      </c>
      <c r="D1927" s="2" t="s">
        <v>3063</v>
      </c>
    </row>
    <row r="1928">
      <c r="A1928" s="2" t="s">
        <v>3058</v>
      </c>
      <c r="B1928" s="1">
        <v>42283.0</v>
      </c>
      <c r="C1928" s="2" t="s">
        <v>3059</v>
      </c>
      <c r="D1928" s="2" t="s">
        <v>3063</v>
      </c>
    </row>
    <row r="1929">
      <c r="A1929" s="2" t="s">
        <v>3058</v>
      </c>
      <c r="B1929" s="1">
        <v>42318.0</v>
      </c>
      <c r="C1929" s="2" t="s">
        <v>3059</v>
      </c>
      <c r="D1929" s="2" t="s">
        <v>3063</v>
      </c>
    </row>
    <row r="1930">
      <c r="A1930" s="2" t="s">
        <v>3058</v>
      </c>
      <c r="B1930" s="1">
        <v>42320.0</v>
      </c>
      <c r="C1930" s="2" t="s">
        <v>3059</v>
      </c>
      <c r="D1930" s="2" t="s">
        <v>3063</v>
      </c>
    </row>
    <row r="1931">
      <c r="A1931" s="2" t="s">
        <v>3058</v>
      </c>
      <c r="B1931" s="1">
        <v>42323.0</v>
      </c>
      <c r="C1931" s="2" t="s">
        <v>3059</v>
      </c>
      <c r="D1931" s="2" t="s">
        <v>3063</v>
      </c>
    </row>
    <row r="1932">
      <c r="A1932" s="2" t="s">
        <v>3058</v>
      </c>
      <c r="B1932" s="1">
        <v>42324.0</v>
      </c>
      <c r="C1932" s="2" t="s">
        <v>3059</v>
      </c>
      <c r="D1932" s="2" t="s">
        <v>3063</v>
      </c>
    </row>
    <row r="1933">
      <c r="A1933" s="2" t="s">
        <v>3058</v>
      </c>
      <c r="B1933" s="1">
        <v>42326.0</v>
      </c>
      <c r="C1933" s="2" t="s">
        <v>3059</v>
      </c>
      <c r="D1933" s="2" t="s">
        <v>3063</v>
      </c>
    </row>
    <row r="1934">
      <c r="A1934" s="2" t="s">
        <v>3058</v>
      </c>
      <c r="B1934" s="1">
        <v>42310.0</v>
      </c>
      <c r="C1934" s="2" t="s">
        <v>3059</v>
      </c>
      <c r="D1934" s="2" t="s">
        <v>3063</v>
      </c>
    </row>
    <row r="1935">
      <c r="A1935" s="2" t="s">
        <v>3058</v>
      </c>
      <c r="B1935" s="1">
        <v>42328.0</v>
      </c>
      <c r="C1935" s="2" t="s">
        <v>3059</v>
      </c>
      <c r="D1935" s="2" t="s">
        <v>3063</v>
      </c>
    </row>
    <row r="1936">
      <c r="A1936" s="2" t="s">
        <v>3058</v>
      </c>
      <c r="B1936" s="1">
        <v>42332.0</v>
      </c>
      <c r="C1936" s="2" t="s">
        <v>3059</v>
      </c>
      <c r="D1936" s="2" t="s">
        <v>3063</v>
      </c>
    </row>
    <row r="1937">
      <c r="A1937" s="2" t="s">
        <v>3058</v>
      </c>
      <c r="B1937" s="1">
        <v>42333.0</v>
      </c>
      <c r="C1937" s="2" t="s">
        <v>3059</v>
      </c>
      <c r="D1937" s="2" t="s">
        <v>3063</v>
      </c>
    </row>
    <row r="1938">
      <c r="A1938" s="2" t="s">
        <v>3058</v>
      </c>
      <c r="B1938" s="1">
        <v>42311.0</v>
      </c>
      <c r="C1938" s="2" t="s">
        <v>3059</v>
      </c>
      <c r="D1938" s="2" t="s">
        <v>3063</v>
      </c>
    </row>
    <row r="1939">
      <c r="A1939" s="2" t="s">
        <v>3058</v>
      </c>
      <c r="B1939" s="1">
        <v>42338.0</v>
      </c>
      <c r="C1939" s="2" t="s">
        <v>3059</v>
      </c>
      <c r="D1939" s="2" t="s">
        <v>3063</v>
      </c>
    </row>
    <row r="1940">
      <c r="A1940" s="2" t="s">
        <v>3058</v>
      </c>
      <c r="B1940" s="1">
        <v>42312.0</v>
      </c>
      <c r="C1940" s="2" t="s">
        <v>3059</v>
      </c>
      <c r="D1940" s="2" t="s">
        <v>3063</v>
      </c>
    </row>
    <row r="1941">
      <c r="A1941" s="2" t="s">
        <v>3058</v>
      </c>
      <c r="B1941" s="1">
        <v>42349.0</v>
      </c>
      <c r="C1941" s="2" t="s">
        <v>3059</v>
      </c>
      <c r="D1941" s="2" t="s">
        <v>3063</v>
      </c>
    </row>
    <row r="1942">
      <c r="A1942" s="2" t="s">
        <v>3058</v>
      </c>
      <c r="B1942" s="1">
        <v>42357.0</v>
      </c>
      <c r="C1942" s="2" t="s">
        <v>3059</v>
      </c>
      <c r="D1942" s="2" t="s">
        <v>3063</v>
      </c>
    </row>
    <row r="1943">
      <c r="A1943" s="2" t="s">
        <v>3058</v>
      </c>
      <c r="B1943" s="1">
        <v>42340.0</v>
      </c>
      <c r="C1943" s="2" t="s">
        <v>3059</v>
      </c>
      <c r="D1943" s="2" t="s">
        <v>3063</v>
      </c>
    </row>
    <row r="1944">
      <c r="A1944" s="2" t="s">
        <v>3058</v>
      </c>
      <c r="B1944" s="1">
        <v>42358.0</v>
      </c>
      <c r="C1944" s="2" t="s">
        <v>3059</v>
      </c>
      <c r="D1944" s="2" t="s">
        <v>3063</v>
      </c>
    </row>
    <row r="1945">
      <c r="A1945" s="2" t="s">
        <v>3058</v>
      </c>
      <c r="B1945" s="1">
        <v>42359.0</v>
      </c>
      <c r="C1945" s="2" t="s">
        <v>3059</v>
      </c>
      <c r="D1945" s="2" t="s">
        <v>3063</v>
      </c>
    </row>
    <row r="1946">
      <c r="A1946" s="2" t="s">
        <v>3058</v>
      </c>
      <c r="B1946" s="2" t="s">
        <v>3133</v>
      </c>
      <c r="C1946" s="2" t="s">
        <v>3059</v>
      </c>
      <c r="D1946" s="2" t="s">
        <v>3063</v>
      </c>
    </row>
    <row r="1947">
      <c r="A1947" s="2" t="s">
        <v>3058</v>
      </c>
      <c r="B1947" s="2" t="s">
        <v>3136</v>
      </c>
      <c r="C1947" s="2" t="s">
        <v>3059</v>
      </c>
      <c r="D1947" s="2" t="s">
        <v>3063</v>
      </c>
    </row>
    <row r="1948">
      <c r="A1948" s="2" t="s">
        <v>3058</v>
      </c>
      <c r="B1948" s="182">
        <v>41996.0</v>
      </c>
      <c r="C1948" s="2" t="s">
        <v>3059</v>
      </c>
      <c r="D1948" s="2" t="s">
        <v>3063</v>
      </c>
    </row>
    <row r="1949">
      <c r="A1949" s="2" t="s">
        <v>3058</v>
      </c>
      <c r="B1949" s="1">
        <v>42364.0</v>
      </c>
      <c r="C1949" s="2" t="s">
        <v>3059</v>
      </c>
      <c r="D1949" s="2" t="s">
        <v>3063</v>
      </c>
    </row>
    <row r="1950">
      <c r="A1950" s="2" t="s">
        <v>3058</v>
      </c>
      <c r="B1950" s="1">
        <v>42365.0</v>
      </c>
      <c r="C1950" s="2" t="s">
        <v>3059</v>
      </c>
      <c r="D1950" s="2" t="s">
        <v>3063</v>
      </c>
    </row>
    <row r="1951">
      <c r="A1951" s="2" t="s">
        <v>3058</v>
      </c>
      <c r="B1951" s="1">
        <v>42366.0</v>
      </c>
      <c r="C1951" s="2" t="s">
        <v>3059</v>
      </c>
      <c r="D1951" s="2" t="s">
        <v>3063</v>
      </c>
    </row>
    <row r="1952">
      <c r="A1952" s="2" t="s">
        <v>3058</v>
      </c>
      <c r="B1952" s="188">
        <v>45655.0</v>
      </c>
      <c r="C1952" s="2" t="s">
        <v>3059</v>
      </c>
      <c r="D1952" s="2" t="s">
        <v>3063</v>
      </c>
    </row>
    <row r="1953">
      <c r="A1953" s="2" t="s">
        <v>3058</v>
      </c>
      <c r="B1953" s="1">
        <v>42368.0</v>
      </c>
      <c r="C1953" s="2" t="s">
        <v>3059</v>
      </c>
      <c r="D1953" s="2" t="s">
        <v>3063</v>
      </c>
    </row>
    <row r="1954">
      <c r="A1954" s="2" t="s">
        <v>3058</v>
      </c>
      <c r="B1954" s="1">
        <v>42342.0</v>
      </c>
      <c r="C1954" s="2" t="s">
        <v>3059</v>
      </c>
      <c r="D1954" s="2" t="s">
        <v>3063</v>
      </c>
    </row>
    <row r="1955">
      <c r="A1955" s="2" t="s">
        <v>3058</v>
      </c>
      <c r="B1955" s="1">
        <v>42346.0</v>
      </c>
      <c r="C1955" s="2" t="s">
        <v>3059</v>
      </c>
      <c r="D1955" s="2" t="s">
        <v>3063</v>
      </c>
    </row>
    <row r="1956">
      <c r="A1956" s="2" t="s">
        <v>3058</v>
      </c>
      <c r="B1956" s="1">
        <v>42410.0</v>
      </c>
      <c r="C1956" s="2" t="s">
        <v>3059</v>
      </c>
      <c r="D1956" s="2" t="s">
        <v>3063</v>
      </c>
    </row>
    <row r="1957">
      <c r="A1957" s="2" t="s">
        <v>3058</v>
      </c>
      <c r="B1957" s="1">
        <v>42411.0</v>
      </c>
      <c r="C1957" s="2" t="s">
        <v>3059</v>
      </c>
      <c r="D1957" s="2" t="s">
        <v>3063</v>
      </c>
    </row>
    <row r="1958">
      <c r="A1958" s="2" t="s">
        <v>3058</v>
      </c>
      <c r="B1958" s="1">
        <v>42412.0</v>
      </c>
      <c r="C1958" s="2" t="s">
        <v>3059</v>
      </c>
      <c r="D1958" s="2" t="s">
        <v>3063</v>
      </c>
    </row>
    <row r="1959">
      <c r="A1959" s="2" t="s">
        <v>3058</v>
      </c>
      <c r="B1959" s="1">
        <v>42413.0</v>
      </c>
      <c r="C1959" s="2" t="s">
        <v>3059</v>
      </c>
      <c r="D1959" s="2" t="s">
        <v>3063</v>
      </c>
    </row>
    <row r="1960">
      <c r="A1960" s="2" t="s">
        <v>3058</v>
      </c>
      <c r="B1960" s="1">
        <v>42415.0</v>
      </c>
      <c r="C1960" s="2" t="s">
        <v>3059</v>
      </c>
      <c r="D1960" s="2" t="s">
        <v>3063</v>
      </c>
    </row>
    <row r="1961">
      <c r="A1961" s="2" t="s">
        <v>3058</v>
      </c>
      <c r="B1961" s="1">
        <v>42416.0</v>
      </c>
      <c r="C1961" s="2" t="s">
        <v>3059</v>
      </c>
      <c r="D1961" s="2" t="s">
        <v>3063</v>
      </c>
    </row>
    <row r="1962">
      <c r="A1962" s="2" t="s">
        <v>3058</v>
      </c>
      <c r="B1962" s="1">
        <v>42417.0</v>
      </c>
      <c r="C1962" s="2" t="s">
        <v>3059</v>
      </c>
      <c r="D1962" s="2" t="s">
        <v>3063</v>
      </c>
    </row>
    <row r="1963">
      <c r="A1963" s="2" t="s">
        <v>3058</v>
      </c>
      <c r="B1963" s="1">
        <v>42402.0</v>
      </c>
      <c r="C1963" s="2" t="s">
        <v>3059</v>
      </c>
      <c r="D1963" s="2" t="s">
        <v>3063</v>
      </c>
    </row>
    <row r="1964">
      <c r="A1964" s="2" t="s">
        <v>3058</v>
      </c>
      <c r="B1964" s="1">
        <v>42429.0</v>
      </c>
      <c r="C1964" s="2" t="s">
        <v>3059</v>
      </c>
      <c r="D1964" s="2" t="s">
        <v>3063</v>
      </c>
    </row>
    <row r="1965">
      <c r="A1965" s="2" t="s">
        <v>3058</v>
      </c>
      <c r="B1965" s="1">
        <v>42408.0</v>
      </c>
      <c r="C1965" s="2" t="s">
        <v>3059</v>
      </c>
      <c r="D1965" s="2" t="s">
        <v>3063</v>
      </c>
    </row>
    <row r="1966">
      <c r="A1966" s="2" t="s">
        <v>3058</v>
      </c>
      <c r="B1966" s="2" t="s">
        <v>3139</v>
      </c>
      <c r="C1966" s="2" t="s">
        <v>3059</v>
      </c>
      <c r="D1966" s="2" t="s">
        <v>3063</v>
      </c>
    </row>
    <row r="1967">
      <c r="A1967" s="2" t="s">
        <v>3058</v>
      </c>
      <c r="B1967" s="2" t="s">
        <v>3140</v>
      </c>
      <c r="C1967" s="2" t="s">
        <v>3059</v>
      </c>
      <c r="D1967" s="2" t="s">
        <v>3063</v>
      </c>
    </row>
    <row r="1968">
      <c r="A1968" s="2" t="s">
        <v>3058</v>
      </c>
      <c r="B1968" s="2" t="s">
        <v>3141</v>
      </c>
      <c r="C1968" s="2" t="s">
        <v>3059</v>
      </c>
      <c r="D1968" s="2" t="s">
        <v>3063</v>
      </c>
    </row>
    <row r="1969">
      <c r="A1969" s="2" t="s">
        <v>3058</v>
      </c>
      <c r="B1969" s="2" t="s">
        <v>3142</v>
      </c>
      <c r="C1969" s="2" t="s">
        <v>3059</v>
      </c>
      <c r="D1969" s="2" t="s">
        <v>3063</v>
      </c>
    </row>
    <row r="1970">
      <c r="A1970" s="2" t="s">
        <v>3058</v>
      </c>
      <c r="B1970" s="2" t="s">
        <v>3143</v>
      </c>
      <c r="C1970" s="2" t="s">
        <v>3059</v>
      </c>
      <c r="D1970" s="2" t="s">
        <v>3063</v>
      </c>
    </row>
    <row r="1971">
      <c r="A1971" s="2" t="s">
        <v>3058</v>
      </c>
      <c r="B1971" s="1">
        <v>42440.0</v>
      </c>
      <c r="C1971" s="2" t="s">
        <v>3059</v>
      </c>
      <c r="D1971" s="2" t="s">
        <v>3063</v>
      </c>
    </row>
    <row r="1972">
      <c r="A1972" s="2" t="s">
        <v>3058</v>
      </c>
      <c r="B1972" s="1">
        <v>42447.0</v>
      </c>
      <c r="C1972" s="2" t="s">
        <v>3059</v>
      </c>
      <c r="D1972" s="2" t="s">
        <v>3063</v>
      </c>
    </row>
    <row r="1973">
      <c r="A1973" s="2" t="s">
        <v>3058</v>
      </c>
      <c r="B1973" s="1">
        <v>42448.0</v>
      </c>
      <c r="C1973" s="2" t="s">
        <v>3059</v>
      </c>
      <c r="D1973" s="2" t="s">
        <v>3063</v>
      </c>
    </row>
    <row r="1974">
      <c r="A1974" s="2" t="s">
        <v>3058</v>
      </c>
      <c r="B1974" s="1">
        <v>42087.0</v>
      </c>
      <c r="C1974" s="2" t="s">
        <v>3059</v>
      </c>
      <c r="D1974" s="2" t="s">
        <v>3063</v>
      </c>
    </row>
    <row r="1975">
      <c r="A1975" s="2" t="s">
        <v>3058</v>
      </c>
      <c r="B1975" s="1">
        <v>42454.0</v>
      </c>
      <c r="C1975" s="2" t="s">
        <v>3059</v>
      </c>
      <c r="D1975" s="2" t="s">
        <v>3063</v>
      </c>
    </row>
    <row r="1976">
      <c r="A1976" s="2" t="s">
        <v>3058</v>
      </c>
      <c r="B1976" s="184">
        <v>42101.0</v>
      </c>
      <c r="C1976" s="2" t="s">
        <v>3059</v>
      </c>
      <c r="D1976" s="2" t="s">
        <v>3063</v>
      </c>
    </row>
    <row r="1977">
      <c r="A1977" s="2" t="s">
        <v>3058</v>
      </c>
      <c r="B1977" s="184">
        <v>42102.0</v>
      </c>
      <c r="C1977" s="2" t="s">
        <v>3059</v>
      </c>
      <c r="D1977" s="2" t="s">
        <v>3063</v>
      </c>
    </row>
    <row r="1978">
      <c r="A1978" s="2" t="s">
        <v>3058</v>
      </c>
      <c r="B1978" s="1">
        <v>42461.0</v>
      </c>
      <c r="C1978" s="2" t="s">
        <v>3059</v>
      </c>
      <c r="D1978" s="2" t="s">
        <v>3063</v>
      </c>
    </row>
    <row r="1979">
      <c r="A1979" s="2" t="s">
        <v>3058</v>
      </c>
      <c r="B1979" s="1">
        <v>42104.0</v>
      </c>
      <c r="C1979" s="2" t="s">
        <v>3059</v>
      </c>
      <c r="D1979" s="2" t="s">
        <v>3063</v>
      </c>
    </row>
    <row r="1980">
      <c r="A1980" s="2" t="s">
        <v>3058</v>
      </c>
      <c r="B1980" s="1">
        <v>42470.0</v>
      </c>
      <c r="C1980" s="2" t="s">
        <v>3059</v>
      </c>
      <c r="D1980" s="2" t="s">
        <v>3063</v>
      </c>
    </row>
    <row r="1981">
      <c r="A1981" s="2" t="s">
        <v>3058</v>
      </c>
      <c r="B1981" s="1">
        <v>42107.0</v>
      </c>
      <c r="C1981" s="2" t="s">
        <v>3059</v>
      </c>
      <c r="D1981" s="2" t="s">
        <v>3063</v>
      </c>
    </row>
    <row r="1982">
      <c r="A1982" s="2" t="s">
        <v>3058</v>
      </c>
      <c r="B1982" s="1">
        <v>42108.0</v>
      </c>
      <c r="C1982" s="2" t="s">
        <v>3059</v>
      </c>
      <c r="D1982" s="2" t="s">
        <v>3063</v>
      </c>
    </row>
    <row r="1983">
      <c r="A1983" s="2" t="s">
        <v>3058</v>
      </c>
      <c r="B1983" s="1">
        <v>42480.0</v>
      </c>
      <c r="C1983" s="2" t="s">
        <v>3059</v>
      </c>
      <c r="D1983" s="2" t="s">
        <v>3063</v>
      </c>
    </row>
    <row r="1984">
      <c r="A1984" s="2" t="s">
        <v>3058</v>
      </c>
      <c r="B1984" s="1">
        <v>42116.0</v>
      </c>
      <c r="C1984" s="2" t="s">
        <v>3059</v>
      </c>
      <c r="D1984" s="2" t="s">
        <v>3063</v>
      </c>
    </row>
    <row r="1985">
      <c r="A1985" s="2" t="s">
        <v>3058</v>
      </c>
      <c r="B1985" s="1">
        <v>42121.0</v>
      </c>
      <c r="C1985" s="2" t="s">
        <v>3059</v>
      </c>
      <c r="D1985" s="2" t="s">
        <v>3063</v>
      </c>
    </row>
    <row r="1986">
      <c r="A1986" s="2" t="s">
        <v>3058</v>
      </c>
      <c r="B1986" s="1">
        <v>42122.0</v>
      </c>
      <c r="C1986" s="2" t="s">
        <v>3059</v>
      </c>
      <c r="D1986" s="2" t="s">
        <v>3063</v>
      </c>
    </row>
    <row r="1987">
      <c r="A1987" s="2" t="s">
        <v>3058</v>
      </c>
      <c r="B1987" s="184">
        <v>42128.0</v>
      </c>
      <c r="C1987" s="2" t="s">
        <v>3059</v>
      </c>
      <c r="D1987" s="2" t="s">
        <v>3063</v>
      </c>
    </row>
    <row r="1988">
      <c r="A1988" s="2" t="s">
        <v>3058</v>
      </c>
      <c r="B1988" s="1">
        <v>42137.0</v>
      </c>
      <c r="C1988" s="2" t="s">
        <v>3059</v>
      </c>
      <c r="D1988" s="2" t="s">
        <v>3063</v>
      </c>
    </row>
    <row r="1989">
      <c r="A1989" s="2" t="s">
        <v>3058</v>
      </c>
      <c r="B1989" s="1">
        <v>42139.0</v>
      </c>
      <c r="C1989" s="2" t="s">
        <v>3059</v>
      </c>
      <c r="D1989" s="2" t="s">
        <v>3063</v>
      </c>
    </row>
    <row r="1990">
      <c r="A1990" s="2" t="s">
        <v>3058</v>
      </c>
      <c r="B1990" s="1">
        <v>42144.0</v>
      </c>
      <c r="C1990" s="2" t="s">
        <v>3059</v>
      </c>
      <c r="D1990" s="2" t="s">
        <v>3063</v>
      </c>
    </row>
    <row r="1991">
      <c r="A1991" s="2" t="s">
        <v>3058</v>
      </c>
      <c r="B1991" s="1">
        <v>42146.0</v>
      </c>
      <c r="C1991" s="2" t="s">
        <v>3059</v>
      </c>
      <c r="D1991" s="2" t="s">
        <v>3063</v>
      </c>
    </row>
    <row r="1992">
      <c r="A1992" s="2" t="s">
        <v>3058</v>
      </c>
      <c r="B1992" s="1">
        <v>42149.0</v>
      </c>
      <c r="C1992" s="2" t="s">
        <v>3059</v>
      </c>
      <c r="D1992" s="2" t="s">
        <v>3063</v>
      </c>
    </row>
    <row r="1993">
      <c r="A1993" s="2" t="s">
        <v>3058</v>
      </c>
      <c r="B1993" s="1">
        <v>42151.0</v>
      </c>
      <c r="C1993" s="2" t="s">
        <v>3059</v>
      </c>
      <c r="D1993" s="2" t="s">
        <v>3063</v>
      </c>
    </row>
    <row r="1994">
      <c r="A1994" s="2" t="s">
        <v>3058</v>
      </c>
      <c r="B1994" s="1">
        <v>42153.0</v>
      </c>
      <c r="C1994" s="2" t="s">
        <v>3059</v>
      </c>
      <c r="D1994" s="2" t="s">
        <v>3063</v>
      </c>
    </row>
    <row r="1995">
      <c r="A1995" s="2" t="s">
        <v>3058</v>
      </c>
      <c r="B1995" s="1">
        <v>42154.0</v>
      </c>
      <c r="C1995" s="2" t="s">
        <v>3059</v>
      </c>
      <c r="D1995" s="2" t="s">
        <v>3063</v>
      </c>
    </row>
    <row r="1996">
      <c r="A1996" s="2" t="s">
        <v>3058</v>
      </c>
      <c r="B1996" s="1">
        <v>42128.0</v>
      </c>
      <c r="C1996" s="2" t="s">
        <v>3059</v>
      </c>
      <c r="D1996" s="2" t="s">
        <v>3063</v>
      </c>
    </row>
    <row r="1997">
      <c r="A1997" s="2" t="s">
        <v>3058</v>
      </c>
      <c r="B1997" s="1">
        <v>42131.0</v>
      </c>
      <c r="C1997" s="2" t="s">
        <v>3059</v>
      </c>
      <c r="D1997" s="2" t="s">
        <v>3063</v>
      </c>
    </row>
    <row r="1998">
      <c r="A1998" s="2" t="s">
        <v>3058</v>
      </c>
      <c r="B1998" s="190">
        <v>42129.0</v>
      </c>
      <c r="C1998" s="2" t="s">
        <v>3059</v>
      </c>
      <c r="D1998" s="2" t="s">
        <v>3063</v>
      </c>
    </row>
    <row r="1999">
      <c r="A1999" s="2" t="s">
        <v>3058</v>
      </c>
      <c r="B1999" s="1">
        <v>42167.0</v>
      </c>
      <c r="C1999" s="2" t="s">
        <v>3059</v>
      </c>
      <c r="D1999" s="2" t="s">
        <v>3063</v>
      </c>
    </row>
    <row r="2000">
      <c r="A2000" s="2" t="s">
        <v>3058</v>
      </c>
      <c r="B2000" s="1">
        <v>42171.0</v>
      </c>
      <c r="C2000" s="2" t="s">
        <v>3059</v>
      </c>
      <c r="D2000" s="2" t="s">
        <v>3063</v>
      </c>
    </row>
    <row r="2001">
      <c r="A2001" s="2" t="s">
        <v>3058</v>
      </c>
      <c r="B2001" s="1">
        <v>42174.0</v>
      </c>
      <c r="C2001" s="2" t="s">
        <v>3059</v>
      </c>
      <c r="D2001" s="2" t="s">
        <v>3063</v>
      </c>
    </row>
    <row r="2002">
      <c r="A2002" s="2" t="s">
        <v>3058</v>
      </c>
      <c r="B2002" s="1">
        <v>42174.0</v>
      </c>
      <c r="C2002" s="2" t="s">
        <v>3059</v>
      </c>
      <c r="D2002" s="2" t="s">
        <v>3063</v>
      </c>
    </row>
    <row r="2003">
      <c r="A2003" s="2" t="s">
        <v>3058</v>
      </c>
      <c r="B2003" s="1">
        <v>42177.0</v>
      </c>
      <c r="C2003" s="2" t="s">
        <v>3059</v>
      </c>
      <c r="D2003" s="2" t="s">
        <v>3063</v>
      </c>
    </row>
    <row r="2004">
      <c r="A2004" s="2" t="s">
        <v>3058</v>
      </c>
      <c r="B2004" s="1">
        <v>42179.0</v>
      </c>
      <c r="C2004" s="2" t="s">
        <v>3059</v>
      </c>
      <c r="D2004" s="2" t="s">
        <v>3063</v>
      </c>
    </row>
    <row r="2005">
      <c r="A2005" s="2" t="s">
        <v>3058</v>
      </c>
      <c r="B2005" s="1">
        <v>42181.0</v>
      </c>
      <c r="C2005" s="2" t="s">
        <v>3059</v>
      </c>
      <c r="D2005" s="2" t="s">
        <v>3063</v>
      </c>
    </row>
    <row r="2006">
      <c r="A2006" s="2" t="s">
        <v>3058</v>
      </c>
      <c r="B2006" s="1">
        <v>42184.0</v>
      </c>
      <c r="C2006" s="2" t="s">
        <v>3059</v>
      </c>
      <c r="D2006" s="2" t="s">
        <v>3063</v>
      </c>
    </row>
    <row r="2007">
      <c r="A2007" s="2" t="s">
        <v>3058</v>
      </c>
      <c r="B2007" s="1">
        <v>42158.0</v>
      </c>
      <c r="C2007" s="2" t="s">
        <v>3059</v>
      </c>
      <c r="D2007" s="2" t="s">
        <v>3063</v>
      </c>
    </row>
    <row r="2008">
      <c r="A2008" s="2" t="s">
        <v>3058</v>
      </c>
      <c r="B2008" s="1">
        <v>42159.0</v>
      </c>
      <c r="C2008" s="2" t="s">
        <v>3059</v>
      </c>
      <c r="D2008" s="2" t="s">
        <v>3063</v>
      </c>
    </row>
    <row r="2009">
      <c r="A2009" s="2" t="s">
        <v>3058</v>
      </c>
      <c r="B2009" s="1">
        <v>42160.0</v>
      </c>
      <c r="C2009" s="2" t="s">
        <v>3059</v>
      </c>
      <c r="D2009" s="2" t="s">
        <v>3063</v>
      </c>
    </row>
    <row r="2010">
      <c r="A2010" s="2" t="s">
        <v>3058</v>
      </c>
      <c r="B2010" s="1">
        <v>42163.0</v>
      </c>
      <c r="C2010" s="2" t="s">
        <v>3059</v>
      </c>
      <c r="D2010" s="2" t="s">
        <v>3063</v>
      </c>
    </row>
    <row r="2011">
      <c r="A2011" s="2" t="s">
        <v>3058</v>
      </c>
      <c r="B2011" s="1">
        <v>42164.0</v>
      </c>
      <c r="C2011" s="2" t="s">
        <v>3059</v>
      </c>
      <c r="D2011" s="2" t="s">
        <v>3063</v>
      </c>
    </row>
    <row r="2012">
      <c r="A2012" s="2" t="s">
        <v>3058</v>
      </c>
      <c r="B2012" s="1">
        <v>42186.0</v>
      </c>
      <c r="C2012" s="2" t="s">
        <v>3059</v>
      </c>
      <c r="D2012" s="2" t="s">
        <v>3063</v>
      </c>
    </row>
    <row r="2013">
      <c r="A2013" s="2" t="s">
        <v>3058</v>
      </c>
      <c r="B2013" s="1">
        <v>42195.0</v>
      </c>
      <c r="C2013" s="2" t="s">
        <v>3059</v>
      </c>
      <c r="D2013" s="2" t="s">
        <v>3063</v>
      </c>
    </row>
    <row r="2014">
      <c r="A2014" s="2" t="s">
        <v>3058</v>
      </c>
      <c r="B2014" s="1">
        <v>42199.0</v>
      </c>
      <c r="C2014" s="2" t="s">
        <v>3059</v>
      </c>
      <c r="D2014" s="2" t="s">
        <v>3063</v>
      </c>
    </row>
    <row r="2015">
      <c r="A2015" s="2" t="s">
        <v>3058</v>
      </c>
      <c r="B2015" s="1">
        <v>42201.0</v>
      </c>
      <c r="C2015" s="2" t="s">
        <v>3059</v>
      </c>
      <c r="D2015" s="2" t="s">
        <v>3063</v>
      </c>
    </row>
    <row r="2016">
      <c r="A2016" s="2" t="s">
        <v>3058</v>
      </c>
      <c r="B2016" s="1">
        <v>42208.0</v>
      </c>
      <c r="C2016" s="2" t="s">
        <v>3059</v>
      </c>
      <c r="D2016" s="2" t="s">
        <v>3063</v>
      </c>
    </row>
    <row r="2017">
      <c r="A2017" s="2" t="s">
        <v>3058</v>
      </c>
      <c r="B2017" s="1">
        <v>42214.0</v>
      </c>
      <c r="C2017" s="2" t="s">
        <v>3059</v>
      </c>
      <c r="D2017" s="2" t="s">
        <v>3063</v>
      </c>
    </row>
    <row r="2018">
      <c r="A2018" s="2" t="s">
        <v>3058</v>
      </c>
      <c r="B2018" s="1">
        <v>42188.0</v>
      </c>
      <c r="C2018" s="2" t="s">
        <v>3059</v>
      </c>
      <c r="D2018" s="2" t="s">
        <v>3063</v>
      </c>
    </row>
    <row r="2019">
      <c r="A2019" s="2" t="s">
        <v>3058</v>
      </c>
      <c r="B2019" s="1">
        <v>42191.0</v>
      </c>
      <c r="C2019" s="2" t="s">
        <v>3059</v>
      </c>
      <c r="D2019" s="2" t="s">
        <v>3063</v>
      </c>
    </row>
    <row r="2020">
      <c r="A2020" s="2" t="s">
        <v>3058</v>
      </c>
      <c r="B2020" s="182">
        <v>42194.0</v>
      </c>
      <c r="C2020" s="2" t="s">
        <v>3059</v>
      </c>
      <c r="D2020" s="2" t="s">
        <v>3063</v>
      </c>
    </row>
    <row r="2021">
      <c r="A2021" s="2" t="s">
        <v>3058</v>
      </c>
      <c r="B2021" s="1">
        <v>42194.0</v>
      </c>
      <c r="C2021" s="2" t="s">
        <v>3059</v>
      </c>
      <c r="D2021" s="2" t="s">
        <v>3063</v>
      </c>
    </row>
    <row r="2022">
      <c r="A2022" s="2" t="s">
        <v>3058</v>
      </c>
      <c r="B2022" s="1">
        <v>42226.0</v>
      </c>
      <c r="C2022" s="2" t="s">
        <v>3059</v>
      </c>
      <c r="D2022" s="2" t="s">
        <v>3063</v>
      </c>
    </row>
    <row r="2023">
      <c r="A2023" s="2" t="s">
        <v>3058</v>
      </c>
      <c r="B2023" s="1">
        <v>42227.0</v>
      </c>
      <c r="C2023" s="2" t="s">
        <v>3059</v>
      </c>
      <c r="D2023" s="2" t="s">
        <v>3063</v>
      </c>
    </row>
    <row r="2024">
      <c r="A2024" s="2" t="s">
        <v>3058</v>
      </c>
      <c r="B2024" s="1">
        <v>42229.0</v>
      </c>
      <c r="C2024" s="2" t="s">
        <v>3059</v>
      </c>
      <c r="D2024" s="2" t="s">
        <v>3063</v>
      </c>
    </row>
    <row r="2025">
      <c r="A2025" s="2" t="s">
        <v>3058</v>
      </c>
      <c r="B2025" s="1">
        <v>42230.0</v>
      </c>
      <c r="C2025" s="2" t="s">
        <v>3059</v>
      </c>
      <c r="D2025" s="2" t="s">
        <v>3063</v>
      </c>
    </row>
    <row r="2026">
      <c r="A2026" s="2" t="s">
        <v>3058</v>
      </c>
      <c r="B2026" s="1">
        <v>42234.0</v>
      </c>
      <c r="C2026" s="2" t="s">
        <v>3059</v>
      </c>
      <c r="D2026" s="2" t="s">
        <v>3063</v>
      </c>
    </row>
    <row r="2027">
      <c r="A2027" s="2" t="s">
        <v>3058</v>
      </c>
      <c r="B2027" s="1">
        <v>42235.0</v>
      </c>
      <c r="C2027" s="2" t="s">
        <v>3059</v>
      </c>
      <c r="D2027" s="2" t="s">
        <v>3063</v>
      </c>
    </row>
    <row r="2028">
      <c r="A2028" s="2" t="s">
        <v>3058</v>
      </c>
      <c r="B2028" s="1">
        <v>42242.0</v>
      </c>
      <c r="C2028" s="2" t="s">
        <v>3059</v>
      </c>
      <c r="D2028" s="2" t="s">
        <v>3063</v>
      </c>
    </row>
    <row r="2029">
      <c r="A2029" s="2" t="s">
        <v>3058</v>
      </c>
      <c r="B2029" s="1">
        <v>42243.0</v>
      </c>
      <c r="C2029" s="2" t="s">
        <v>3059</v>
      </c>
      <c r="D2029" s="2" t="s">
        <v>3063</v>
      </c>
    </row>
    <row r="2030">
      <c r="A2030" s="2" t="s">
        <v>3058</v>
      </c>
      <c r="B2030" s="1">
        <v>42219.0</v>
      </c>
      <c r="C2030" s="2" t="s">
        <v>3059</v>
      </c>
      <c r="D2030" s="2" t="s">
        <v>3063</v>
      </c>
    </row>
    <row r="2031">
      <c r="A2031" s="2" t="s">
        <v>3058</v>
      </c>
      <c r="B2031" s="1">
        <v>42247.0</v>
      </c>
      <c r="C2031" s="2" t="s">
        <v>3059</v>
      </c>
      <c r="D2031" s="2" t="s">
        <v>3063</v>
      </c>
    </row>
    <row r="2032">
      <c r="A2032" s="2" t="s">
        <v>3058</v>
      </c>
      <c r="B2032" s="1">
        <v>42220.0</v>
      </c>
      <c r="C2032" s="2" t="s">
        <v>3059</v>
      </c>
      <c r="D2032" s="2" t="s">
        <v>3063</v>
      </c>
    </row>
    <row r="2033">
      <c r="A2033" s="2" t="s">
        <v>3058</v>
      </c>
      <c r="B2033" s="1">
        <v>42221.0</v>
      </c>
      <c r="C2033" s="2" t="s">
        <v>3059</v>
      </c>
      <c r="D2033" s="2" t="s">
        <v>3063</v>
      </c>
    </row>
    <row r="2034">
      <c r="A2034" s="2" t="s">
        <v>3058</v>
      </c>
      <c r="B2034" s="1">
        <v>42222.0</v>
      </c>
      <c r="C2034" s="2" t="s">
        <v>3059</v>
      </c>
      <c r="D2034" s="2" t="s">
        <v>3063</v>
      </c>
    </row>
    <row r="2035">
      <c r="A2035" s="2" t="s">
        <v>3058</v>
      </c>
      <c r="B2035" s="1">
        <v>42262.0</v>
      </c>
      <c r="C2035" s="2" t="s">
        <v>3059</v>
      </c>
      <c r="D2035" s="2" t="s">
        <v>3063</v>
      </c>
    </row>
    <row r="2036">
      <c r="A2036" s="2" t="s">
        <v>3058</v>
      </c>
      <c r="B2036" s="182">
        <v>42264.0</v>
      </c>
      <c r="C2036" s="2" t="s">
        <v>3059</v>
      </c>
      <c r="D2036" s="2" t="s">
        <v>3063</v>
      </c>
    </row>
    <row r="2037">
      <c r="A2037" s="2" t="s">
        <v>3058</v>
      </c>
      <c r="B2037" s="1">
        <v>42270.0</v>
      </c>
      <c r="C2037" s="2" t="s">
        <v>3059</v>
      </c>
      <c r="D2037" s="2" t="s">
        <v>3063</v>
      </c>
    </row>
    <row r="2038">
      <c r="A2038" s="2" t="s">
        <v>3058</v>
      </c>
      <c r="B2038" s="1">
        <v>42272.0</v>
      </c>
      <c r="C2038" s="2" t="s">
        <v>3059</v>
      </c>
      <c r="D2038" s="2" t="s">
        <v>3063</v>
      </c>
    </row>
    <row r="2039">
      <c r="A2039" s="2" t="s">
        <v>3058</v>
      </c>
      <c r="B2039" s="1">
        <v>42274.0</v>
      </c>
      <c r="C2039" s="2" t="s">
        <v>3059</v>
      </c>
      <c r="D2039" s="2" t="s">
        <v>3063</v>
      </c>
    </row>
    <row r="2040">
      <c r="A2040" s="2" t="s">
        <v>3058</v>
      </c>
      <c r="B2040" s="1">
        <v>42250.0</v>
      </c>
      <c r="C2040" s="2" t="s">
        <v>3059</v>
      </c>
      <c r="D2040" s="2" t="s">
        <v>3063</v>
      </c>
    </row>
    <row r="2041">
      <c r="A2041" s="2" t="s">
        <v>3058</v>
      </c>
      <c r="B2041" s="1">
        <v>42254.0</v>
      </c>
      <c r="C2041" s="2" t="s">
        <v>3059</v>
      </c>
      <c r="D2041" s="2" t="s">
        <v>3063</v>
      </c>
    </row>
    <row r="2042">
      <c r="A2042" s="2" t="s">
        <v>3058</v>
      </c>
      <c r="B2042" s="1">
        <v>42256.0</v>
      </c>
      <c r="C2042" s="2" t="s">
        <v>3059</v>
      </c>
      <c r="D2042" s="2" t="s">
        <v>3063</v>
      </c>
    </row>
    <row r="2043">
      <c r="A2043" s="2" t="s">
        <v>3153</v>
      </c>
      <c r="B2043" s="2" t="s">
        <v>3154</v>
      </c>
      <c r="C2043" s="2" t="s">
        <v>3155</v>
      </c>
      <c r="D2043" s="2" t="s">
        <v>3156</v>
      </c>
    </row>
    <row r="2044">
      <c r="A2044" s="2" t="s">
        <v>3157</v>
      </c>
      <c r="B2044" s="2" t="s">
        <v>3158</v>
      </c>
      <c r="C2044" s="2" t="s">
        <v>3159</v>
      </c>
      <c r="D2044" s="2" t="s">
        <v>3160</v>
      </c>
    </row>
    <row r="2045">
      <c r="A2045" s="2" t="s">
        <v>3157</v>
      </c>
      <c r="B2045" s="2" t="s">
        <v>3162</v>
      </c>
      <c r="C2045" s="2" t="s">
        <v>3159</v>
      </c>
      <c r="D2045" s="2" t="s">
        <v>3160</v>
      </c>
    </row>
    <row r="2046">
      <c r="A2046" s="2" t="s">
        <v>3157</v>
      </c>
      <c r="B2046" s="2" t="s">
        <v>3163</v>
      </c>
      <c r="C2046" s="2" t="s">
        <v>3159</v>
      </c>
      <c r="D2046" s="2" t="s">
        <v>3160</v>
      </c>
    </row>
    <row r="2047">
      <c r="A2047" s="2" t="s">
        <v>3157</v>
      </c>
      <c r="B2047" s="2" t="s">
        <v>3164</v>
      </c>
      <c r="C2047" s="2" t="s">
        <v>3159</v>
      </c>
      <c r="D2047" s="2" t="s">
        <v>3160</v>
      </c>
    </row>
    <row r="2048">
      <c r="A2048" s="2" t="s">
        <v>3157</v>
      </c>
      <c r="B2048" s="2" t="s">
        <v>3165</v>
      </c>
      <c r="C2048" s="2" t="s">
        <v>3159</v>
      </c>
      <c r="D2048" s="2" t="s">
        <v>3160</v>
      </c>
    </row>
    <row r="2049">
      <c r="A2049" s="2" t="s">
        <v>3157</v>
      </c>
      <c r="B2049" s="2" t="s">
        <v>3166</v>
      </c>
      <c r="C2049" s="2" t="s">
        <v>3159</v>
      </c>
      <c r="D2049" s="2" t="s">
        <v>3160</v>
      </c>
    </row>
    <row r="2050">
      <c r="A2050" s="2" t="s">
        <v>3157</v>
      </c>
      <c r="B2050" s="2" t="s">
        <v>3167</v>
      </c>
      <c r="C2050" s="2" t="s">
        <v>3159</v>
      </c>
      <c r="D2050" s="2" t="s">
        <v>3160</v>
      </c>
    </row>
    <row r="2051">
      <c r="A2051" s="2" t="s">
        <v>3157</v>
      </c>
      <c r="B2051" s="2" t="s">
        <v>3168</v>
      </c>
      <c r="C2051" s="2" t="s">
        <v>3159</v>
      </c>
      <c r="D2051" s="2" t="s">
        <v>3160</v>
      </c>
    </row>
    <row r="2052">
      <c r="A2052" s="2" t="s">
        <v>3157</v>
      </c>
      <c r="B2052" s="2" t="s">
        <v>3169</v>
      </c>
      <c r="C2052" s="2" t="s">
        <v>3159</v>
      </c>
      <c r="D2052" s="2" t="s">
        <v>3160</v>
      </c>
    </row>
    <row r="2053">
      <c r="A2053" s="2" t="s">
        <v>3157</v>
      </c>
      <c r="B2053" s="2" t="s">
        <v>3170</v>
      </c>
      <c r="C2053" s="2" t="s">
        <v>3159</v>
      </c>
      <c r="D2053" s="2" t="s">
        <v>3160</v>
      </c>
    </row>
    <row r="2054">
      <c r="A2054" s="2" t="s">
        <v>3157</v>
      </c>
      <c r="B2054" s="2" t="s">
        <v>3172</v>
      </c>
      <c r="C2054" s="2" t="s">
        <v>3159</v>
      </c>
      <c r="D2054" s="2" t="s">
        <v>3160</v>
      </c>
    </row>
    <row r="2055">
      <c r="A2055" s="2" t="s">
        <v>3157</v>
      </c>
      <c r="B2055" s="2" t="s">
        <v>3173</v>
      </c>
      <c r="C2055" s="2" t="s">
        <v>3159</v>
      </c>
      <c r="D2055" s="2" t="s">
        <v>3160</v>
      </c>
    </row>
    <row r="2056">
      <c r="A2056" s="2" t="s">
        <v>3157</v>
      </c>
      <c r="B2056" s="2" t="s">
        <v>3174</v>
      </c>
      <c r="C2056" s="2" t="s">
        <v>3159</v>
      </c>
      <c r="D2056" s="2" t="s">
        <v>3160</v>
      </c>
    </row>
    <row r="2057">
      <c r="A2057" s="2" t="s">
        <v>3157</v>
      </c>
      <c r="B2057" s="2" t="s">
        <v>3176</v>
      </c>
      <c r="C2057" s="2" t="s">
        <v>3159</v>
      </c>
      <c r="D2057" s="2" t="s">
        <v>3160</v>
      </c>
    </row>
    <row r="2058">
      <c r="A2058" s="2" t="s">
        <v>3157</v>
      </c>
      <c r="B2058" s="2" t="s">
        <v>3177</v>
      </c>
      <c r="C2058" s="2" t="s">
        <v>3159</v>
      </c>
      <c r="D2058" s="2" t="s">
        <v>3160</v>
      </c>
    </row>
    <row r="2059">
      <c r="A2059" s="2" t="s">
        <v>3157</v>
      </c>
      <c r="B2059" s="2" t="s">
        <v>3178</v>
      </c>
      <c r="C2059" s="2" t="s">
        <v>3159</v>
      </c>
      <c r="D2059" s="2" t="s">
        <v>3160</v>
      </c>
    </row>
    <row r="2060">
      <c r="A2060" s="2" t="s">
        <v>3157</v>
      </c>
      <c r="B2060" s="2" t="s">
        <v>3179</v>
      </c>
      <c r="C2060" s="2" t="s">
        <v>3159</v>
      </c>
      <c r="D2060" s="2" t="s">
        <v>3160</v>
      </c>
    </row>
    <row r="2061">
      <c r="A2061" s="2" t="s">
        <v>3157</v>
      </c>
      <c r="B2061" s="2" t="s">
        <v>3180</v>
      </c>
      <c r="C2061" s="2" t="s">
        <v>3159</v>
      </c>
      <c r="D2061" s="2" t="s">
        <v>3160</v>
      </c>
    </row>
    <row r="2062">
      <c r="A2062" s="2" t="s">
        <v>3157</v>
      </c>
      <c r="B2062" s="2" t="s">
        <v>3181</v>
      </c>
      <c r="C2062" s="2" t="s">
        <v>3159</v>
      </c>
      <c r="D2062" s="2" t="s">
        <v>3160</v>
      </c>
    </row>
    <row r="2063">
      <c r="A2063" s="2" t="s">
        <v>3157</v>
      </c>
      <c r="B2063" s="2" t="s">
        <v>3182</v>
      </c>
      <c r="C2063" s="2" t="s">
        <v>3159</v>
      </c>
      <c r="D2063" s="2" t="s">
        <v>3160</v>
      </c>
    </row>
    <row r="2064">
      <c r="A2064" s="2" t="s">
        <v>3157</v>
      </c>
      <c r="B2064" s="2" t="s">
        <v>3183</v>
      </c>
      <c r="C2064" s="2" t="s">
        <v>3159</v>
      </c>
      <c r="D2064" s="2" t="s">
        <v>3160</v>
      </c>
    </row>
    <row r="2065">
      <c r="A2065" s="2" t="s">
        <v>3157</v>
      </c>
      <c r="B2065" s="2" t="s">
        <v>3185</v>
      </c>
      <c r="C2065" s="2" t="s">
        <v>3159</v>
      </c>
      <c r="D2065" s="2" t="s">
        <v>3160</v>
      </c>
    </row>
    <row r="2066">
      <c r="A2066" s="2" t="s">
        <v>3157</v>
      </c>
      <c r="B2066" s="2" t="s">
        <v>3186</v>
      </c>
      <c r="C2066" s="2" t="s">
        <v>3159</v>
      </c>
      <c r="D2066" s="2" t="s">
        <v>3160</v>
      </c>
    </row>
    <row r="2067">
      <c r="A2067" s="2" t="s">
        <v>3157</v>
      </c>
      <c r="B2067" s="2" t="s">
        <v>3187</v>
      </c>
      <c r="C2067" s="2" t="s">
        <v>3159</v>
      </c>
      <c r="D2067" s="2" t="s">
        <v>3160</v>
      </c>
    </row>
    <row r="2068">
      <c r="A2068" s="2" t="s">
        <v>3157</v>
      </c>
      <c r="B2068" s="2" t="s">
        <v>3188</v>
      </c>
      <c r="C2068" s="2" t="s">
        <v>3159</v>
      </c>
      <c r="D2068" s="2" t="s">
        <v>3160</v>
      </c>
    </row>
    <row r="2069">
      <c r="A2069" s="2" t="s">
        <v>3157</v>
      </c>
      <c r="B2069" s="2" t="s">
        <v>3189</v>
      </c>
      <c r="C2069" s="2" t="s">
        <v>3159</v>
      </c>
      <c r="D2069" s="2" t="s">
        <v>3160</v>
      </c>
    </row>
    <row r="2070">
      <c r="A2070" s="2" t="s">
        <v>3157</v>
      </c>
      <c r="B2070" s="2" t="s">
        <v>3190</v>
      </c>
      <c r="C2070" s="2" t="s">
        <v>3159</v>
      </c>
      <c r="D2070" s="2" t="s">
        <v>3160</v>
      </c>
    </row>
    <row r="2071">
      <c r="A2071" s="2" t="s">
        <v>3157</v>
      </c>
      <c r="B2071" s="2" t="s">
        <v>3191</v>
      </c>
      <c r="C2071" s="2" t="s">
        <v>3159</v>
      </c>
      <c r="D2071" s="2" t="s">
        <v>3160</v>
      </c>
    </row>
    <row r="2072">
      <c r="A2072" s="2" t="s">
        <v>3157</v>
      </c>
      <c r="B2072" s="2" t="s">
        <v>3192</v>
      </c>
      <c r="C2072" s="2" t="s">
        <v>3159</v>
      </c>
      <c r="D2072" s="2" t="s">
        <v>3160</v>
      </c>
    </row>
    <row r="2073">
      <c r="A2073" s="2" t="s">
        <v>3157</v>
      </c>
      <c r="B2073" s="2" t="s">
        <v>3193</v>
      </c>
      <c r="C2073" s="2" t="s">
        <v>3159</v>
      </c>
      <c r="D2073" s="2" t="s">
        <v>3160</v>
      </c>
    </row>
    <row r="2074">
      <c r="A2074" s="2" t="s">
        <v>3157</v>
      </c>
      <c r="B2074" s="2" t="s">
        <v>3194</v>
      </c>
      <c r="C2074" s="2" t="s">
        <v>3159</v>
      </c>
      <c r="D2074" s="2" t="s">
        <v>3160</v>
      </c>
    </row>
    <row r="2075">
      <c r="A2075" s="2" t="s">
        <v>3157</v>
      </c>
      <c r="B2075" s="2" t="s">
        <v>3195</v>
      </c>
      <c r="C2075" s="2" t="s">
        <v>3159</v>
      </c>
      <c r="D2075" s="2" t="s">
        <v>3160</v>
      </c>
    </row>
    <row r="2076">
      <c r="A2076" s="2" t="s">
        <v>3157</v>
      </c>
      <c r="B2076" s="2" t="s">
        <v>3196</v>
      </c>
      <c r="C2076" s="2" t="s">
        <v>3159</v>
      </c>
      <c r="D2076" s="2" t="s">
        <v>3160</v>
      </c>
    </row>
    <row r="2077">
      <c r="A2077" s="2" t="s">
        <v>3157</v>
      </c>
      <c r="B2077" s="2" t="s">
        <v>3197</v>
      </c>
      <c r="C2077" s="2" t="s">
        <v>3159</v>
      </c>
      <c r="D2077" s="2" t="s">
        <v>3160</v>
      </c>
    </row>
    <row r="2078">
      <c r="A2078" s="2" t="s">
        <v>3157</v>
      </c>
      <c r="B2078" s="2" t="s">
        <v>3198</v>
      </c>
      <c r="C2078" s="2" t="s">
        <v>3159</v>
      </c>
      <c r="D2078" s="2" t="s">
        <v>3160</v>
      </c>
    </row>
    <row r="2079">
      <c r="A2079" s="2" t="s">
        <v>3157</v>
      </c>
      <c r="B2079" s="2" t="s">
        <v>3199</v>
      </c>
      <c r="C2079" s="2" t="s">
        <v>3159</v>
      </c>
      <c r="D2079" s="2" t="s">
        <v>3160</v>
      </c>
    </row>
    <row r="2080">
      <c r="A2080" s="2" t="s">
        <v>3157</v>
      </c>
      <c r="B2080" s="2" t="s">
        <v>3200</v>
      </c>
      <c r="C2080" s="2" t="s">
        <v>3159</v>
      </c>
      <c r="D2080" s="2" t="s">
        <v>3160</v>
      </c>
    </row>
    <row r="2081">
      <c r="A2081" s="2" t="s">
        <v>3157</v>
      </c>
      <c r="B2081" s="2" t="s">
        <v>3201</v>
      </c>
      <c r="C2081" s="2" t="s">
        <v>3159</v>
      </c>
      <c r="D2081" s="2" t="s">
        <v>3160</v>
      </c>
    </row>
    <row r="2082">
      <c r="A2082" s="2" t="s">
        <v>3157</v>
      </c>
      <c r="B2082" s="2" t="s">
        <v>3202</v>
      </c>
      <c r="G2082" s="2" t="s">
        <v>3203</v>
      </c>
      <c r="H2082" s="2" t="s">
        <v>3204</v>
      </c>
    </row>
    <row r="2083">
      <c r="A2083" s="2" t="s">
        <v>3157</v>
      </c>
      <c r="B2083" s="2" t="s">
        <v>3205</v>
      </c>
      <c r="G2083" s="2" t="s">
        <v>3203</v>
      </c>
      <c r="H2083" s="2" t="s">
        <v>3204</v>
      </c>
    </row>
    <row r="2084">
      <c r="A2084" s="2" t="s">
        <v>3157</v>
      </c>
      <c r="B2084" s="2" t="s">
        <v>3172</v>
      </c>
      <c r="G2084" s="2" t="s">
        <v>3203</v>
      </c>
      <c r="H2084" s="2" t="s">
        <v>3204</v>
      </c>
    </row>
    <row r="2085">
      <c r="A2085" s="2" t="s">
        <v>3157</v>
      </c>
      <c r="B2085" s="2" t="s">
        <v>3206</v>
      </c>
      <c r="G2085" s="2" t="s">
        <v>3203</v>
      </c>
      <c r="H2085" s="2" t="s">
        <v>3204</v>
      </c>
    </row>
    <row r="2086">
      <c r="A2086" s="2" t="s">
        <v>3157</v>
      </c>
      <c r="B2086" s="2" t="s">
        <v>3207</v>
      </c>
      <c r="G2086" s="2" t="s">
        <v>3203</v>
      </c>
      <c r="H2086" s="2" t="s">
        <v>3204</v>
      </c>
    </row>
    <row r="2087">
      <c r="A2087" s="2" t="s">
        <v>3157</v>
      </c>
      <c r="B2087" s="2" t="s">
        <v>3179</v>
      </c>
      <c r="G2087" s="2" t="s">
        <v>3203</v>
      </c>
      <c r="H2087" s="2" t="s">
        <v>3204</v>
      </c>
    </row>
    <row r="2088">
      <c r="A2088" s="2" t="s">
        <v>3157</v>
      </c>
      <c r="B2088" s="2" t="s">
        <v>3208</v>
      </c>
      <c r="G2088" s="2" t="s">
        <v>3203</v>
      </c>
      <c r="H2088" s="2" t="s">
        <v>3204</v>
      </c>
    </row>
    <row r="2089">
      <c r="A2089" s="2" t="s">
        <v>3157</v>
      </c>
      <c r="B2089" s="2" t="s">
        <v>3209</v>
      </c>
      <c r="G2089" s="2" t="s">
        <v>3203</v>
      </c>
      <c r="H2089" s="2" t="s">
        <v>3204</v>
      </c>
    </row>
    <row r="2090">
      <c r="A2090" s="2" t="s">
        <v>3157</v>
      </c>
      <c r="B2090" s="2" t="s">
        <v>3210</v>
      </c>
      <c r="G2090" s="2" t="s">
        <v>3203</v>
      </c>
      <c r="H2090" s="2" t="s">
        <v>3204</v>
      </c>
    </row>
    <row r="2091">
      <c r="A2091" s="2" t="s">
        <v>3157</v>
      </c>
      <c r="B2091" s="2" t="s">
        <v>3211</v>
      </c>
      <c r="G2091" s="2" t="s">
        <v>3203</v>
      </c>
      <c r="H2091" s="2" t="s">
        <v>3204</v>
      </c>
    </row>
    <row r="2092">
      <c r="A2092" s="2" t="s">
        <v>3157</v>
      </c>
      <c r="B2092" s="2" t="s">
        <v>3212</v>
      </c>
      <c r="G2092" s="2" t="s">
        <v>3203</v>
      </c>
      <c r="H2092" s="2" t="s">
        <v>3204</v>
      </c>
    </row>
    <row r="2093">
      <c r="A2093" s="2" t="s">
        <v>3157</v>
      </c>
      <c r="B2093" s="2" t="s">
        <v>3213</v>
      </c>
      <c r="G2093" s="2" t="s">
        <v>3203</v>
      </c>
      <c r="H2093" s="2" t="s">
        <v>3204</v>
      </c>
    </row>
    <row r="2094">
      <c r="A2094" s="2" t="s">
        <v>3157</v>
      </c>
      <c r="B2094" s="2" t="s">
        <v>3214</v>
      </c>
      <c r="G2094" s="2" t="s">
        <v>3203</v>
      </c>
      <c r="H2094" s="2" t="s">
        <v>3204</v>
      </c>
    </row>
    <row r="2095">
      <c r="A2095" s="2" t="s">
        <v>3157</v>
      </c>
      <c r="B2095" s="2" t="s">
        <v>3215</v>
      </c>
      <c r="G2095" s="2" t="s">
        <v>3203</v>
      </c>
      <c r="H2095" s="2" t="s">
        <v>3204</v>
      </c>
    </row>
    <row r="2096">
      <c r="A2096" s="2" t="s">
        <v>3157</v>
      </c>
      <c r="B2096" s="2" t="s">
        <v>3216</v>
      </c>
      <c r="G2096" s="2" t="s">
        <v>3203</v>
      </c>
      <c r="H2096" s="2" t="s">
        <v>3204</v>
      </c>
    </row>
    <row r="2097">
      <c r="A2097" s="2" t="s">
        <v>3157</v>
      </c>
      <c r="B2097" s="2" t="s">
        <v>3217</v>
      </c>
      <c r="G2097" s="2" t="s">
        <v>3203</v>
      </c>
      <c r="H2097" s="2" t="s">
        <v>3204</v>
      </c>
    </row>
    <row r="2098">
      <c r="A2098" s="2" t="s">
        <v>3157</v>
      </c>
      <c r="B2098" s="2" t="s">
        <v>3218</v>
      </c>
      <c r="G2098" s="2" t="s">
        <v>3203</v>
      </c>
      <c r="H2098" s="2" t="s">
        <v>3204</v>
      </c>
    </row>
    <row r="2099">
      <c r="A2099" s="2" t="s">
        <v>3157</v>
      </c>
      <c r="B2099" s="2" t="s">
        <v>3219</v>
      </c>
      <c r="G2099" s="2" t="s">
        <v>3203</v>
      </c>
      <c r="H2099" s="2" t="s">
        <v>3204</v>
      </c>
    </row>
    <row r="2100">
      <c r="A2100" s="2" t="s">
        <v>3157</v>
      </c>
      <c r="B2100" s="2" t="s">
        <v>3220</v>
      </c>
      <c r="G2100" s="2" t="s">
        <v>3203</v>
      </c>
      <c r="H2100" s="2" t="s">
        <v>3204</v>
      </c>
    </row>
    <row r="2101">
      <c r="A2101" s="2" t="s">
        <v>3157</v>
      </c>
      <c r="B2101" s="2" t="s">
        <v>3186</v>
      </c>
      <c r="G2101" s="2" t="s">
        <v>3203</v>
      </c>
      <c r="H2101" s="2" t="s">
        <v>3204</v>
      </c>
    </row>
    <row r="2102">
      <c r="A2102" s="2" t="s">
        <v>3157</v>
      </c>
      <c r="B2102" s="2" t="s">
        <v>3187</v>
      </c>
      <c r="G2102" s="2" t="s">
        <v>3203</v>
      </c>
      <c r="H2102" s="2" t="s">
        <v>3204</v>
      </c>
    </row>
    <row r="2103">
      <c r="A2103" s="2" t="s">
        <v>3157</v>
      </c>
      <c r="B2103" s="2" t="s">
        <v>3221</v>
      </c>
      <c r="G2103" s="2" t="s">
        <v>3203</v>
      </c>
      <c r="H2103" s="2" t="s">
        <v>3204</v>
      </c>
    </row>
    <row r="2104">
      <c r="A2104" s="2" t="s">
        <v>3157</v>
      </c>
      <c r="B2104" s="2" t="s">
        <v>3222</v>
      </c>
      <c r="G2104" s="2" t="s">
        <v>3203</v>
      </c>
      <c r="H2104" s="2" t="s">
        <v>3204</v>
      </c>
    </row>
    <row r="2105">
      <c r="A2105" s="2" t="s">
        <v>3157</v>
      </c>
      <c r="B2105" s="2" t="s">
        <v>3223</v>
      </c>
      <c r="G2105" s="2" t="s">
        <v>3203</v>
      </c>
      <c r="H2105" s="2" t="s">
        <v>3204</v>
      </c>
    </row>
    <row r="2106">
      <c r="A2106" s="2" t="s">
        <v>3157</v>
      </c>
      <c r="B2106" s="2" t="s">
        <v>3224</v>
      </c>
      <c r="G2106" s="2" t="s">
        <v>3203</v>
      </c>
      <c r="H2106" s="2" t="s">
        <v>3204</v>
      </c>
    </row>
    <row r="2107">
      <c r="A2107" s="2" t="s">
        <v>3157</v>
      </c>
      <c r="B2107" s="2" t="s">
        <v>3192</v>
      </c>
      <c r="G2107" s="2" t="s">
        <v>3203</v>
      </c>
      <c r="H2107" s="2" t="s">
        <v>3204</v>
      </c>
    </row>
    <row r="2108">
      <c r="A2108" s="2" t="s">
        <v>3157</v>
      </c>
      <c r="B2108" s="2" t="s">
        <v>3193</v>
      </c>
      <c r="G2108" s="2" t="s">
        <v>3203</v>
      </c>
      <c r="H2108" s="2" t="s">
        <v>3204</v>
      </c>
    </row>
    <row r="2109">
      <c r="A2109" s="2" t="s">
        <v>3157</v>
      </c>
      <c r="B2109" s="2" t="s">
        <v>3194</v>
      </c>
      <c r="G2109" s="2" t="s">
        <v>3203</v>
      </c>
      <c r="H2109" s="2" t="s">
        <v>3204</v>
      </c>
    </row>
    <row r="2110">
      <c r="A2110" s="2" t="s">
        <v>3157</v>
      </c>
      <c r="B2110" s="2" t="s">
        <v>3195</v>
      </c>
      <c r="G2110" s="2" t="s">
        <v>3203</v>
      </c>
      <c r="H2110" s="2" t="s">
        <v>3204</v>
      </c>
    </row>
    <row r="2111">
      <c r="A2111" s="2" t="s">
        <v>3157</v>
      </c>
      <c r="B2111" s="2" t="s">
        <v>3225</v>
      </c>
      <c r="G2111" s="2" t="s">
        <v>3203</v>
      </c>
      <c r="H2111" s="2" t="s">
        <v>3204</v>
      </c>
    </row>
    <row r="2112">
      <c r="A2112" s="2" t="s">
        <v>3157</v>
      </c>
      <c r="B2112" s="2" t="s">
        <v>3226</v>
      </c>
      <c r="G2112" s="2" t="s">
        <v>3203</v>
      </c>
      <c r="H2112" s="2" t="s">
        <v>3204</v>
      </c>
    </row>
    <row r="2113">
      <c r="A2113" s="2" t="s">
        <v>3157</v>
      </c>
      <c r="B2113" s="2" t="s">
        <v>3196</v>
      </c>
      <c r="G2113" s="2" t="s">
        <v>3203</v>
      </c>
      <c r="H2113" s="2" t="s">
        <v>3204</v>
      </c>
    </row>
    <row r="2114">
      <c r="A2114" s="2" t="s">
        <v>3157</v>
      </c>
      <c r="B2114" s="2" t="s">
        <v>3197</v>
      </c>
      <c r="G2114" s="2" t="s">
        <v>3203</v>
      </c>
      <c r="H2114" s="2" t="s">
        <v>3204</v>
      </c>
    </row>
    <row r="2115">
      <c r="A2115" s="2" t="s">
        <v>3157</v>
      </c>
      <c r="B2115" s="2" t="s">
        <v>3227</v>
      </c>
      <c r="G2115" s="2" t="s">
        <v>3203</v>
      </c>
      <c r="H2115" s="2" t="s">
        <v>3204</v>
      </c>
    </row>
    <row r="2116">
      <c r="A2116" s="2" t="s">
        <v>3157</v>
      </c>
      <c r="B2116" s="2" t="s">
        <v>3228</v>
      </c>
      <c r="G2116" s="2" t="s">
        <v>3203</v>
      </c>
      <c r="H2116" s="2" t="s">
        <v>3204</v>
      </c>
    </row>
    <row r="2117">
      <c r="A2117" s="2" t="s">
        <v>3157</v>
      </c>
      <c r="B2117" s="2" t="s">
        <v>3229</v>
      </c>
      <c r="G2117" s="2" t="s">
        <v>3203</v>
      </c>
      <c r="H2117" s="2" t="s">
        <v>3204</v>
      </c>
    </row>
    <row r="2118">
      <c r="A2118" s="2" t="s">
        <v>3157</v>
      </c>
      <c r="B2118" s="2" t="s">
        <v>3230</v>
      </c>
      <c r="G2118" s="2" t="s">
        <v>3203</v>
      </c>
      <c r="H2118" s="2" t="s">
        <v>3204</v>
      </c>
    </row>
    <row r="2119">
      <c r="A2119" s="2" t="s">
        <v>3157</v>
      </c>
      <c r="B2119" s="2" t="s">
        <v>3231</v>
      </c>
      <c r="G2119" s="2" t="s">
        <v>3203</v>
      </c>
      <c r="H2119" s="2" t="s">
        <v>3204</v>
      </c>
    </row>
    <row r="2120">
      <c r="A2120" s="2" t="s">
        <v>3157</v>
      </c>
      <c r="B2120" s="2" t="s">
        <v>3232</v>
      </c>
      <c r="G2120" s="2" t="s">
        <v>3203</v>
      </c>
      <c r="H2120" s="2" t="s">
        <v>3204</v>
      </c>
    </row>
    <row r="2121">
      <c r="A2121" s="2" t="s">
        <v>3157</v>
      </c>
      <c r="B2121" s="2" t="s">
        <v>3233</v>
      </c>
      <c r="G2121" s="2" t="s">
        <v>3203</v>
      </c>
      <c r="H2121" s="2" t="s">
        <v>3204</v>
      </c>
    </row>
    <row r="2122">
      <c r="A2122" s="2" t="s">
        <v>3157</v>
      </c>
      <c r="B2122" s="2" t="s">
        <v>3234</v>
      </c>
      <c r="G2122" s="2" t="s">
        <v>3203</v>
      </c>
      <c r="H2122" s="2" t="s">
        <v>3204</v>
      </c>
    </row>
    <row r="2123">
      <c r="A2123" s="2" t="s">
        <v>3157</v>
      </c>
      <c r="B2123" s="2" t="s">
        <v>3235</v>
      </c>
      <c r="G2123" s="2" t="s">
        <v>3203</v>
      </c>
      <c r="H2123" s="2" t="s">
        <v>3204</v>
      </c>
    </row>
    <row r="2124">
      <c r="A2124" s="2" t="s">
        <v>3157</v>
      </c>
      <c r="B2124" s="2" t="s">
        <v>3236</v>
      </c>
      <c r="G2124" s="2" t="s">
        <v>3203</v>
      </c>
      <c r="H2124" s="2" t="s">
        <v>3204</v>
      </c>
    </row>
    <row r="2125">
      <c r="A2125" s="2" t="s">
        <v>3157</v>
      </c>
      <c r="B2125" s="2" t="s">
        <v>3237</v>
      </c>
      <c r="G2125" s="2" t="s">
        <v>3203</v>
      </c>
      <c r="H2125" s="2" t="s">
        <v>3204</v>
      </c>
    </row>
    <row r="2126">
      <c r="A2126" s="2" t="s">
        <v>3157</v>
      </c>
      <c r="B2126" s="2" t="s">
        <v>3238</v>
      </c>
      <c r="G2126" s="2" t="s">
        <v>3203</v>
      </c>
      <c r="H2126" s="2" t="s">
        <v>3204</v>
      </c>
    </row>
    <row r="2127">
      <c r="A2127" s="2" t="s">
        <v>3157</v>
      </c>
      <c r="B2127" s="2" t="s">
        <v>3239</v>
      </c>
      <c r="G2127" s="2" t="s">
        <v>3203</v>
      </c>
      <c r="H2127" s="2" t="s">
        <v>3204</v>
      </c>
    </row>
    <row r="2128">
      <c r="A2128" s="2" t="s">
        <v>3157</v>
      </c>
      <c r="B2128" s="2" t="s">
        <v>3240</v>
      </c>
      <c r="G2128" s="2" t="s">
        <v>3203</v>
      </c>
      <c r="H2128" s="2" t="s">
        <v>3204</v>
      </c>
    </row>
    <row r="2129">
      <c r="A2129" s="2" t="s">
        <v>3157</v>
      </c>
      <c r="B2129" s="2" t="s">
        <v>3241</v>
      </c>
      <c r="G2129" s="2" t="s">
        <v>3203</v>
      </c>
      <c r="H2129" s="2" t="s">
        <v>3204</v>
      </c>
    </row>
    <row r="2130">
      <c r="A2130" s="2" t="s">
        <v>3157</v>
      </c>
      <c r="B2130" s="2" t="s">
        <v>3242</v>
      </c>
      <c r="G2130" s="2" t="s">
        <v>3203</v>
      </c>
      <c r="H2130" s="2" t="s">
        <v>3204</v>
      </c>
    </row>
    <row r="2131">
      <c r="A2131" s="2" t="s">
        <v>3157</v>
      </c>
      <c r="B2131" s="2" t="s">
        <v>3243</v>
      </c>
      <c r="G2131" s="2" t="s">
        <v>3203</v>
      </c>
      <c r="H2131" s="2" t="s">
        <v>3204</v>
      </c>
    </row>
    <row r="2132">
      <c r="A2132" s="2" t="s">
        <v>3157</v>
      </c>
      <c r="B2132" s="2" t="s">
        <v>3244</v>
      </c>
      <c r="G2132" s="2" t="s">
        <v>3203</v>
      </c>
      <c r="H2132" s="2" t="s">
        <v>3204</v>
      </c>
    </row>
    <row r="2133">
      <c r="A2133" s="2" t="s">
        <v>3157</v>
      </c>
      <c r="B2133" s="2" t="s">
        <v>3245</v>
      </c>
      <c r="G2133" s="2" t="s">
        <v>3203</v>
      </c>
      <c r="H2133" s="2" t="s">
        <v>3204</v>
      </c>
    </row>
    <row r="2134">
      <c r="A2134" s="2" t="s">
        <v>3157</v>
      </c>
      <c r="B2134" s="2" t="s">
        <v>3246</v>
      </c>
      <c r="G2134" s="2" t="s">
        <v>3203</v>
      </c>
      <c r="H2134" s="2" t="s">
        <v>3204</v>
      </c>
    </row>
    <row r="2135">
      <c r="A2135" s="2" t="s">
        <v>3157</v>
      </c>
      <c r="B2135" s="2" t="s">
        <v>3247</v>
      </c>
      <c r="G2135" s="2" t="s">
        <v>3203</v>
      </c>
      <c r="H2135" s="2" t="s">
        <v>3204</v>
      </c>
    </row>
    <row r="2136">
      <c r="A2136" s="2" t="s">
        <v>3157</v>
      </c>
      <c r="B2136" s="2" t="s">
        <v>3248</v>
      </c>
      <c r="G2136" s="2" t="s">
        <v>3203</v>
      </c>
      <c r="H2136" s="2" t="s">
        <v>3204</v>
      </c>
    </row>
    <row r="2137">
      <c r="A2137" s="2" t="s">
        <v>3249</v>
      </c>
      <c r="B2137" s="2" t="s">
        <v>3250</v>
      </c>
      <c r="C2137" s="2" t="s">
        <v>3251</v>
      </c>
      <c r="D2137" s="2" t="s">
        <v>3252</v>
      </c>
    </row>
    <row r="2138">
      <c r="A2138" s="2" t="s">
        <v>3249</v>
      </c>
      <c r="B2138" s="2" t="s">
        <v>3253</v>
      </c>
      <c r="C2138" s="2" t="s">
        <v>3251</v>
      </c>
      <c r="D2138" s="2" t="s">
        <v>3252</v>
      </c>
    </row>
    <row r="2139">
      <c r="A2139" s="2" t="s">
        <v>3249</v>
      </c>
      <c r="B2139" s="2" t="s">
        <v>3253</v>
      </c>
      <c r="C2139" s="2" t="s">
        <v>3251</v>
      </c>
      <c r="D2139" s="2" t="s">
        <v>3252</v>
      </c>
    </row>
    <row r="2140">
      <c r="A2140" s="2" t="s">
        <v>3249</v>
      </c>
      <c r="B2140" s="2" t="s">
        <v>3254</v>
      </c>
      <c r="C2140" s="2" t="s">
        <v>3251</v>
      </c>
      <c r="D2140" s="2" t="s">
        <v>3252</v>
      </c>
    </row>
    <row r="2141">
      <c r="A2141" s="2" t="s">
        <v>3249</v>
      </c>
      <c r="B2141" s="2" t="s">
        <v>3255</v>
      </c>
      <c r="C2141" s="2" t="s">
        <v>3251</v>
      </c>
      <c r="D2141" s="2" t="s">
        <v>3252</v>
      </c>
    </row>
    <row r="2142">
      <c r="A2142" s="64" t="s">
        <v>3256</v>
      </c>
      <c r="B2142" s="2" t="s">
        <v>3257</v>
      </c>
      <c r="C2142" s="2" t="s">
        <v>3258</v>
      </c>
      <c r="D2142" s="2" t="s">
        <v>3259</v>
      </c>
    </row>
    <row r="2143">
      <c r="A2143" s="64" t="s">
        <v>3256</v>
      </c>
      <c r="B2143" s="2" t="s">
        <v>3260</v>
      </c>
      <c r="C2143" s="2" t="s">
        <v>3258</v>
      </c>
      <c r="D2143" s="2" t="s">
        <v>3259</v>
      </c>
    </row>
    <row r="2144">
      <c r="A2144" s="64" t="s">
        <v>3256</v>
      </c>
      <c r="B2144" s="2" t="s">
        <v>3261</v>
      </c>
      <c r="C2144" s="2" t="s">
        <v>3258</v>
      </c>
      <c r="D2144" s="2" t="s">
        <v>3259</v>
      </c>
    </row>
    <row r="2145">
      <c r="A2145" s="64" t="s">
        <v>3256</v>
      </c>
      <c r="B2145" s="2" t="s">
        <v>3262</v>
      </c>
      <c r="C2145" s="2" t="s">
        <v>3258</v>
      </c>
      <c r="D2145" s="2" t="s">
        <v>3259</v>
      </c>
    </row>
    <row r="2146">
      <c r="A2146" s="64" t="s">
        <v>3256</v>
      </c>
      <c r="B2146" s="2" t="s">
        <v>3263</v>
      </c>
      <c r="C2146" s="2" t="s">
        <v>3258</v>
      </c>
      <c r="D2146" s="2" t="s">
        <v>3259</v>
      </c>
    </row>
    <row r="2147">
      <c r="A2147" s="64" t="s">
        <v>3256</v>
      </c>
      <c r="B2147" s="2" t="s">
        <v>3264</v>
      </c>
      <c r="C2147" s="2" t="s">
        <v>3258</v>
      </c>
      <c r="D2147" s="2" t="s">
        <v>3259</v>
      </c>
    </row>
    <row r="2148">
      <c r="A2148" s="64" t="s">
        <v>3256</v>
      </c>
      <c r="B2148" s="2" t="s">
        <v>3265</v>
      </c>
      <c r="C2148" s="2" t="s">
        <v>3258</v>
      </c>
      <c r="D2148" s="2" t="s">
        <v>3259</v>
      </c>
    </row>
    <row r="2149">
      <c r="A2149" s="64" t="s">
        <v>3256</v>
      </c>
      <c r="B2149" s="2" t="s">
        <v>3266</v>
      </c>
      <c r="C2149" s="2" t="s">
        <v>3258</v>
      </c>
      <c r="D2149" s="2" t="s">
        <v>3259</v>
      </c>
    </row>
    <row r="2150">
      <c r="A2150" s="64" t="s">
        <v>3256</v>
      </c>
      <c r="B2150" s="2" t="s">
        <v>3267</v>
      </c>
      <c r="C2150" s="2" t="s">
        <v>3258</v>
      </c>
      <c r="D2150" s="2" t="s">
        <v>3259</v>
      </c>
    </row>
    <row r="2151">
      <c r="A2151" s="64" t="s">
        <v>3256</v>
      </c>
      <c r="B2151" s="2" t="s">
        <v>3268</v>
      </c>
      <c r="C2151" s="2" t="s">
        <v>3258</v>
      </c>
      <c r="D2151" s="2" t="s">
        <v>3259</v>
      </c>
    </row>
    <row r="2152">
      <c r="A2152" s="64" t="s">
        <v>3256</v>
      </c>
      <c r="B2152" s="2" t="s">
        <v>3269</v>
      </c>
      <c r="C2152" s="2" t="s">
        <v>3258</v>
      </c>
      <c r="D2152" s="2" t="s">
        <v>3259</v>
      </c>
    </row>
    <row r="2153">
      <c r="A2153" s="64" t="s">
        <v>3256</v>
      </c>
      <c r="B2153" s="2" t="s">
        <v>3270</v>
      </c>
      <c r="C2153" s="2" t="s">
        <v>3258</v>
      </c>
      <c r="D2153" s="2" t="s">
        <v>3259</v>
      </c>
    </row>
    <row r="2154">
      <c r="A2154" s="64" t="s">
        <v>3256</v>
      </c>
      <c r="B2154" s="2" t="s">
        <v>3271</v>
      </c>
      <c r="C2154" s="2" t="s">
        <v>3258</v>
      </c>
      <c r="D2154" s="2" t="s">
        <v>3259</v>
      </c>
    </row>
    <row r="2155">
      <c r="A2155" s="64" t="s">
        <v>3256</v>
      </c>
      <c r="B2155" s="2" t="s">
        <v>3272</v>
      </c>
      <c r="C2155" s="2" t="s">
        <v>3258</v>
      </c>
      <c r="D2155" s="2" t="s">
        <v>3259</v>
      </c>
    </row>
    <row r="2156">
      <c r="A2156" s="64" t="s">
        <v>3256</v>
      </c>
      <c r="B2156" s="2" t="s">
        <v>3273</v>
      </c>
      <c r="C2156" s="2" t="s">
        <v>3258</v>
      </c>
      <c r="D2156" s="2" t="s">
        <v>3259</v>
      </c>
    </row>
    <row r="2157">
      <c r="A2157" s="64" t="s">
        <v>3256</v>
      </c>
      <c r="B2157" s="2" t="s">
        <v>3274</v>
      </c>
      <c r="C2157" s="2" t="s">
        <v>3258</v>
      </c>
      <c r="D2157" s="2" t="s">
        <v>3259</v>
      </c>
    </row>
    <row r="2158">
      <c r="A2158" s="64" t="s">
        <v>3256</v>
      </c>
      <c r="B2158" s="2" t="s">
        <v>3275</v>
      </c>
      <c r="C2158" s="2" t="s">
        <v>3258</v>
      </c>
      <c r="D2158" s="2" t="s">
        <v>3259</v>
      </c>
    </row>
    <row r="2159">
      <c r="A2159" s="64" t="s">
        <v>3256</v>
      </c>
      <c r="B2159" s="2" t="s">
        <v>3276</v>
      </c>
      <c r="C2159" s="2" t="s">
        <v>3258</v>
      </c>
      <c r="D2159" s="2" t="s">
        <v>3259</v>
      </c>
    </row>
    <row r="2160">
      <c r="A2160" s="64" t="s">
        <v>3256</v>
      </c>
      <c r="B2160" s="2" t="s">
        <v>3277</v>
      </c>
      <c r="C2160" s="2" t="s">
        <v>3258</v>
      </c>
      <c r="D2160" s="2" t="s">
        <v>3259</v>
      </c>
    </row>
    <row r="2161">
      <c r="A2161" s="64" t="s">
        <v>3256</v>
      </c>
      <c r="B2161" s="2" t="s">
        <v>3278</v>
      </c>
      <c r="C2161" s="2" t="s">
        <v>3258</v>
      </c>
      <c r="D2161" s="2" t="s">
        <v>3259</v>
      </c>
    </row>
    <row r="2162">
      <c r="A2162" s="64" t="s">
        <v>3256</v>
      </c>
      <c r="B2162" s="2" t="s">
        <v>3279</v>
      </c>
      <c r="C2162" s="2" t="s">
        <v>3258</v>
      </c>
      <c r="D2162" s="2" t="s">
        <v>3259</v>
      </c>
    </row>
    <row r="2163">
      <c r="A2163" s="64" t="s">
        <v>3256</v>
      </c>
      <c r="B2163" s="2" t="s">
        <v>3280</v>
      </c>
      <c r="C2163" s="2" t="s">
        <v>3258</v>
      </c>
      <c r="D2163" s="2" t="s">
        <v>3259</v>
      </c>
    </row>
    <row r="2164">
      <c r="A2164" s="64" t="s">
        <v>3256</v>
      </c>
      <c r="B2164" s="2" t="s">
        <v>3281</v>
      </c>
      <c r="C2164" s="2" t="s">
        <v>3258</v>
      </c>
      <c r="D2164" s="2" t="s">
        <v>3259</v>
      </c>
    </row>
    <row r="2165">
      <c r="A2165" s="64" t="s">
        <v>3256</v>
      </c>
      <c r="B2165" s="2" t="s">
        <v>3282</v>
      </c>
      <c r="C2165" s="2" t="s">
        <v>3258</v>
      </c>
      <c r="D2165" s="2" t="s">
        <v>3259</v>
      </c>
    </row>
    <row r="2166">
      <c r="A2166" s="64" t="s">
        <v>3256</v>
      </c>
      <c r="B2166" s="2" t="s">
        <v>3283</v>
      </c>
      <c r="C2166" s="2" t="s">
        <v>3258</v>
      </c>
      <c r="D2166" s="2" t="s">
        <v>3259</v>
      </c>
    </row>
    <row r="2167">
      <c r="A2167" s="64" t="s">
        <v>3256</v>
      </c>
      <c r="B2167" s="2" t="s">
        <v>3284</v>
      </c>
      <c r="C2167" s="2" t="s">
        <v>3258</v>
      </c>
      <c r="D2167" s="2" t="s">
        <v>3259</v>
      </c>
    </row>
    <row r="2168">
      <c r="A2168" s="64" t="s">
        <v>3256</v>
      </c>
      <c r="B2168" s="2" t="s">
        <v>3285</v>
      </c>
      <c r="C2168" s="2" t="s">
        <v>3258</v>
      </c>
      <c r="D2168" s="2" t="s">
        <v>3259</v>
      </c>
    </row>
    <row r="2169">
      <c r="A2169" s="64" t="s">
        <v>3256</v>
      </c>
      <c r="B2169" s="2" t="s">
        <v>3286</v>
      </c>
      <c r="C2169" s="2" t="s">
        <v>3258</v>
      </c>
      <c r="D2169" s="2" t="s">
        <v>3259</v>
      </c>
    </row>
    <row r="2170">
      <c r="A2170" s="64" t="s">
        <v>3256</v>
      </c>
      <c r="B2170" s="2" t="s">
        <v>3287</v>
      </c>
      <c r="C2170" s="2" t="s">
        <v>3258</v>
      </c>
      <c r="D2170" s="2" t="s">
        <v>3259</v>
      </c>
    </row>
    <row r="2171">
      <c r="A2171" s="64" t="s">
        <v>3256</v>
      </c>
      <c r="B2171" s="2" t="s">
        <v>3288</v>
      </c>
      <c r="C2171" s="2" t="s">
        <v>3258</v>
      </c>
      <c r="D2171" s="2" t="s">
        <v>3259</v>
      </c>
    </row>
    <row r="2172">
      <c r="A2172" s="64" t="s">
        <v>3256</v>
      </c>
      <c r="B2172" s="2" t="s">
        <v>3289</v>
      </c>
      <c r="C2172" s="2" t="s">
        <v>3258</v>
      </c>
      <c r="D2172" s="2" t="s">
        <v>3259</v>
      </c>
    </row>
    <row r="2173">
      <c r="A2173" s="64" t="s">
        <v>3256</v>
      </c>
      <c r="B2173" s="2" t="s">
        <v>3290</v>
      </c>
      <c r="C2173" s="2" t="s">
        <v>3258</v>
      </c>
      <c r="D2173" s="2" t="s">
        <v>3259</v>
      </c>
    </row>
    <row r="2174">
      <c r="A2174" s="64" t="s">
        <v>3256</v>
      </c>
      <c r="B2174" s="2" t="s">
        <v>3291</v>
      </c>
      <c r="C2174" s="2" t="s">
        <v>3258</v>
      </c>
      <c r="D2174" s="2" t="s">
        <v>3259</v>
      </c>
    </row>
    <row r="2175">
      <c r="A2175" s="64" t="s">
        <v>3256</v>
      </c>
      <c r="B2175" s="2" t="s">
        <v>3292</v>
      </c>
      <c r="C2175" s="2" t="s">
        <v>3258</v>
      </c>
      <c r="D2175" s="2" t="s">
        <v>3259</v>
      </c>
    </row>
    <row r="2176">
      <c r="A2176" s="64" t="s">
        <v>3256</v>
      </c>
      <c r="B2176" s="2" t="s">
        <v>3293</v>
      </c>
      <c r="C2176" s="2" t="s">
        <v>3258</v>
      </c>
      <c r="D2176" s="2" t="s">
        <v>3259</v>
      </c>
    </row>
    <row r="2177">
      <c r="A2177" s="64" t="s">
        <v>3256</v>
      </c>
      <c r="B2177" s="2" t="s">
        <v>3294</v>
      </c>
      <c r="C2177" s="2" t="s">
        <v>3258</v>
      </c>
      <c r="D2177" s="2" t="s">
        <v>3259</v>
      </c>
    </row>
    <row r="2178">
      <c r="A2178" s="64" t="s">
        <v>3256</v>
      </c>
      <c r="B2178" s="2" t="s">
        <v>3295</v>
      </c>
      <c r="C2178" s="2" t="s">
        <v>3258</v>
      </c>
      <c r="D2178" s="2" t="s">
        <v>3259</v>
      </c>
    </row>
    <row r="2179">
      <c r="A2179" s="64" t="s">
        <v>3256</v>
      </c>
      <c r="B2179" s="2" t="s">
        <v>3296</v>
      </c>
      <c r="C2179" s="2" t="s">
        <v>3258</v>
      </c>
      <c r="D2179" s="2" t="s">
        <v>3259</v>
      </c>
    </row>
    <row r="2180">
      <c r="A2180" s="64" t="s">
        <v>3256</v>
      </c>
      <c r="B2180" s="2" t="s">
        <v>3297</v>
      </c>
      <c r="C2180" s="2" t="s">
        <v>3258</v>
      </c>
      <c r="D2180" s="2" t="s">
        <v>3259</v>
      </c>
    </row>
    <row r="2181">
      <c r="A2181" s="64" t="s">
        <v>3256</v>
      </c>
      <c r="B2181" s="2" t="s">
        <v>3298</v>
      </c>
      <c r="C2181" s="2" t="s">
        <v>3258</v>
      </c>
      <c r="D2181" s="2" t="s">
        <v>3259</v>
      </c>
    </row>
    <row r="2182">
      <c r="A2182" s="64" t="s">
        <v>3256</v>
      </c>
      <c r="B2182" s="2" t="s">
        <v>3299</v>
      </c>
      <c r="C2182" s="2" t="s">
        <v>3258</v>
      </c>
      <c r="D2182" s="2" t="s">
        <v>3259</v>
      </c>
    </row>
    <row r="2183">
      <c r="A2183" s="64" t="s">
        <v>3256</v>
      </c>
      <c r="B2183" s="2" t="s">
        <v>3300</v>
      </c>
      <c r="C2183" s="2" t="s">
        <v>3258</v>
      </c>
      <c r="D2183" s="2" t="s">
        <v>3259</v>
      </c>
    </row>
    <row r="2184">
      <c r="A2184" s="64" t="s">
        <v>3256</v>
      </c>
      <c r="B2184" s="2" t="s">
        <v>3301</v>
      </c>
      <c r="C2184" s="2" t="s">
        <v>3258</v>
      </c>
      <c r="D2184" s="2" t="s">
        <v>3259</v>
      </c>
    </row>
    <row r="2185">
      <c r="A2185" s="64" t="s">
        <v>3256</v>
      </c>
      <c r="B2185" s="2" t="s">
        <v>3302</v>
      </c>
      <c r="C2185" s="2" t="s">
        <v>3258</v>
      </c>
      <c r="D2185" s="2" t="s">
        <v>3259</v>
      </c>
    </row>
    <row r="2186">
      <c r="A2186" s="64" t="s">
        <v>3256</v>
      </c>
      <c r="B2186" s="2" t="s">
        <v>3303</v>
      </c>
      <c r="C2186" s="2" t="s">
        <v>3258</v>
      </c>
      <c r="D2186" s="2" t="s">
        <v>3259</v>
      </c>
    </row>
    <row r="2187">
      <c r="A2187" s="64" t="s">
        <v>3256</v>
      </c>
      <c r="B2187" s="2" t="s">
        <v>3304</v>
      </c>
      <c r="C2187" s="2" t="s">
        <v>3258</v>
      </c>
      <c r="D2187" s="2" t="s">
        <v>3259</v>
      </c>
    </row>
    <row r="2188">
      <c r="A2188" s="64" t="s">
        <v>3256</v>
      </c>
      <c r="B2188" s="2" t="s">
        <v>3305</v>
      </c>
      <c r="C2188" s="2" t="s">
        <v>3258</v>
      </c>
      <c r="D2188" s="2" t="s">
        <v>3259</v>
      </c>
    </row>
    <row r="2189">
      <c r="A2189" s="64" t="s">
        <v>3256</v>
      </c>
      <c r="B2189" s="2" t="s">
        <v>3306</v>
      </c>
      <c r="C2189" s="2" t="s">
        <v>3258</v>
      </c>
      <c r="D2189" s="2" t="s">
        <v>3259</v>
      </c>
    </row>
    <row r="2190">
      <c r="A2190" s="64" t="s">
        <v>3256</v>
      </c>
      <c r="B2190" s="2" t="s">
        <v>3307</v>
      </c>
      <c r="C2190" s="2" t="s">
        <v>3258</v>
      </c>
      <c r="D2190" s="2" t="s">
        <v>3259</v>
      </c>
    </row>
    <row r="2191">
      <c r="A2191" s="64" t="s">
        <v>3256</v>
      </c>
      <c r="B2191" s="2" t="s">
        <v>3308</v>
      </c>
      <c r="C2191" s="2" t="s">
        <v>3258</v>
      </c>
      <c r="D2191" s="2" t="s">
        <v>3259</v>
      </c>
    </row>
    <row r="2192">
      <c r="A2192" s="64" t="s">
        <v>3256</v>
      </c>
      <c r="B2192" s="2" t="s">
        <v>3309</v>
      </c>
      <c r="C2192" s="2" t="s">
        <v>3258</v>
      </c>
      <c r="D2192" s="2" t="s">
        <v>3259</v>
      </c>
    </row>
    <row r="2193">
      <c r="A2193" s="64" t="s">
        <v>3256</v>
      </c>
      <c r="B2193" s="2" t="s">
        <v>3310</v>
      </c>
      <c r="C2193" s="2" t="s">
        <v>3258</v>
      </c>
      <c r="D2193" s="2" t="s">
        <v>3259</v>
      </c>
    </row>
    <row r="2194">
      <c r="A2194" s="64" t="s">
        <v>3256</v>
      </c>
      <c r="B2194" s="2" t="s">
        <v>3311</v>
      </c>
      <c r="C2194" s="2" t="s">
        <v>3258</v>
      </c>
      <c r="D2194" s="2" t="s">
        <v>3259</v>
      </c>
    </row>
    <row r="2195">
      <c r="A2195" s="64" t="s">
        <v>3256</v>
      </c>
      <c r="B2195" s="2" t="s">
        <v>3312</v>
      </c>
      <c r="C2195" s="2" t="s">
        <v>3258</v>
      </c>
      <c r="D2195" s="2" t="s">
        <v>3259</v>
      </c>
    </row>
    <row r="2196">
      <c r="A2196" s="64" t="s">
        <v>3256</v>
      </c>
      <c r="B2196" s="2" t="s">
        <v>3313</v>
      </c>
      <c r="C2196" s="2" t="s">
        <v>3258</v>
      </c>
      <c r="D2196" s="2" t="s">
        <v>3259</v>
      </c>
    </row>
    <row r="2197">
      <c r="A2197" s="64" t="s">
        <v>3256</v>
      </c>
      <c r="B2197" s="2" t="s">
        <v>3314</v>
      </c>
      <c r="C2197" s="2" t="s">
        <v>3258</v>
      </c>
      <c r="D2197" s="2" t="s">
        <v>3259</v>
      </c>
    </row>
    <row r="2198">
      <c r="A2198" s="64" t="s">
        <v>3256</v>
      </c>
      <c r="B2198" s="2" t="s">
        <v>3315</v>
      </c>
      <c r="C2198" s="2" t="s">
        <v>3258</v>
      </c>
      <c r="D2198" s="2" t="s">
        <v>3259</v>
      </c>
    </row>
    <row r="2199">
      <c r="A2199" s="64" t="s">
        <v>3256</v>
      </c>
      <c r="B2199" s="2" t="s">
        <v>3316</v>
      </c>
      <c r="C2199" s="2" t="s">
        <v>3258</v>
      </c>
      <c r="D2199" s="2" t="s">
        <v>3259</v>
      </c>
    </row>
    <row r="2200">
      <c r="A2200" s="64" t="s">
        <v>3256</v>
      </c>
      <c r="B2200" s="2" t="s">
        <v>3317</v>
      </c>
      <c r="C2200" s="2" t="s">
        <v>3258</v>
      </c>
      <c r="D2200" s="2" t="s">
        <v>3259</v>
      </c>
    </row>
    <row r="2201">
      <c r="A2201" s="64" t="s">
        <v>3256</v>
      </c>
      <c r="B2201" s="2" t="s">
        <v>3318</v>
      </c>
      <c r="C2201" s="2" t="s">
        <v>3258</v>
      </c>
      <c r="D2201" s="2" t="s">
        <v>3259</v>
      </c>
    </row>
    <row r="2202">
      <c r="A2202" s="64" t="s">
        <v>3256</v>
      </c>
      <c r="B2202" s="2" t="s">
        <v>3319</v>
      </c>
      <c r="C2202" s="2" t="s">
        <v>3258</v>
      </c>
      <c r="D2202" s="2" t="s">
        <v>3259</v>
      </c>
    </row>
    <row r="2203">
      <c r="A2203" s="64" t="s">
        <v>3256</v>
      </c>
      <c r="B2203" s="2" t="s">
        <v>3320</v>
      </c>
      <c r="C2203" s="2" t="s">
        <v>3258</v>
      </c>
      <c r="D2203" s="2" t="s">
        <v>3259</v>
      </c>
    </row>
    <row r="2204">
      <c r="A2204" s="2" t="s">
        <v>3321</v>
      </c>
      <c r="B2204" s="2" t="s">
        <v>3322</v>
      </c>
      <c r="C2204" s="2" t="s">
        <v>3323</v>
      </c>
      <c r="D2204" s="2" t="s">
        <v>3324</v>
      </c>
    </row>
    <row r="2205">
      <c r="A2205" s="2" t="s">
        <v>3321</v>
      </c>
      <c r="B2205" s="2" t="s">
        <v>3325</v>
      </c>
      <c r="C2205" s="2" t="s">
        <v>3323</v>
      </c>
      <c r="D2205" s="2" t="s">
        <v>3324</v>
      </c>
    </row>
    <row r="2206">
      <c r="A2206" s="2" t="s">
        <v>3326</v>
      </c>
      <c r="B2206" s="2" t="s">
        <v>3327</v>
      </c>
      <c r="C2206" s="2" t="s">
        <v>3328</v>
      </c>
      <c r="D2206" s="2" t="s">
        <v>3329</v>
      </c>
    </row>
    <row r="2207">
      <c r="A2207" s="2" t="s">
        <v>3330</v>
      </c>
      <c r="B2207" s="2" t="s">
        <v>3331</v>
      </c>
      <c r="G2207" s="2" t="s">
        <v>3332</v>
      </c>
    </row>
    <row r="2208">
      <c r="A2208" s="2" t="s">
        <v>3330</v>
      </c>
      <c r="B2208" s="2" t="s">
        <v>3333</v>
      </c>
      <c r="G2208" s="2" t="s">
        <v>3332</v>
      </c>
    </row>
    <row r="2209">
      <c r="A2209" s="2" t="s">
        <v>3330</v>
      </c>
      <c r="B2209" s="2" t="s">
        <v>3334</v>
      </c>
      <c r="G2209" s="2" t="s">
        <v>3332</v>
      </c>
    </row>
    <row r="2210">
      <c r="A2210" s="2" t="s">
        <v>3330</v>
      </c>
      <c r="B2210" s="2" t="s">
        <v>3335</v>
      </c>
      <c r="G2210" s="2" t="s">
        <v>3332</v>
      </c>
    </row>
    <row r="2211">
      <c r="A2211" s="2" t="s">
        <v>3330</v>
      </c>
      <c r="B2211" s="2" t="s">
        <v>3336</v>
      </c>
      <c r="G2211" s="2" t="s">
        <v>3332</v>
      </c>
    </row>
    <row r="2212">
      <c r="A2212" s="2" t="s">
        <v>3330</v>
      </c>
      <c r="B2212" s="2" t="s">
        <v>3337</v>
      </c>
      <c r="G2212" s="2" t="s">
        <v>3332</v>
      </c>
    </row>
    <row r="2213">
      <c r="A2213" s="2" t="s">
        <v>3330</v>
      </c>
      <c r="B2213" s="2" t="s">
        <v>3338</v>
      </c>
      <c r="G2213" s="2" t="s">
        <v>3332</v>
      </c>
    </row>
    <row r="2214">
      <c r="A2214" s="2" t="s">
        <v>3330</v>
      </c>
      <c r="B2214" s="2" t="s">
        <v>3339</v>
      </c>
      <c r="G2214" s="2" t="s">
        <v>3332</v>
      </c>
    </row>
    <row r="2215">
      <c r="A2215" s="2" t="s">
        <v>3330</v>
      </c>
      <c r="B2215" s="2" t="s">
        <v>3340</v>
      </c>
      <c r="G2215" s="2" t="s">
        <v>3332</v>
      </c>
    </row>
    <row r="2216">
      <c r="A2216" s="2" t="s">
        <v>3330</v>
      </c>
      <c r="B2216" s="2" t="s">
        <v>3341</v>
      </c>
      <c r="G2216" s="2" t="s">
        <v>3332</v>
      </c>
    </row>
    <row r="2217">
      <c r="A2217" s="2" t="s">
        <v>3330</v>
      </c>
      <c r="B2217" s="2" t="s">
        <v>3342</v>
      </c>
      <c r="G2217" s="2" t="s">
        <v>3332</v>
      </c>
    </row>
    <row r="2218">
      <c r="A2218" s="2" t="s">
        <v>3330</v>
      </c>
      <c r="B2218" s="2" t="s">
        <v>3343</v>
      </c>
      <c r="G2218" s="2" t="s">
        <v>3332</v>
      </c>
    </row>
    <row r="2219">
      <c r="A2219" s="2" t="s">
        <v>3330</v>
      </c>
      <c r="B2219" s="2" t="s">
        <v>3344</v>
      </c>
      <c r="G2219" s="2" t="s">
        <v>3332</v>
      </c>
    </row>
    <row r="2220">
      <c r="A2220" s="2" t="s">
        <v>3345</v>
      </c>
      <c r="B2220" s="2" t="s">
        <v>3346</v>
      </c>
      <c r="C2220" s="2" t="s">
        <v>3347</v>
      </c>
      <c r="D2220" s="2" t="s">
        <v>3348</v>
      </c>
    </row>
    <row r="2221">
      <c r="A2221" s="2" t="s">
        <v>3345</v>
      </c>
      <c r="B2221" s="2" t="s">
        <v>3349</v>
      </c>
      <c r="C2221" s="2" t="s">
        <v>3347</v>
      </c>
      <c r="D2221" s="2" t="s">
        <v>3348</v>
      </c>
    </row>
    <row r="2222">
      <c r="A2222" s="2" t="s">
        <v>3345</v>
      </c>
      <c r="B2222" s="2" t="s">
        <v>3350</v>
      </c>
      <c r="C2222" s="2" t="s">
        <v>3347</v>
      </c>
      <c r="D2222" s="2" t="s">
        <v>3348</v>
      </c>
    </row>
    <row r="2223">
      <c r="A2223" s="2" t="s">
        <v>3345</v>
      </c>
      <c r="B2223" s="2" t="s">
        <v>3351</v>
      </c>
      <c r="C2223" s="2" t="s">
        <v>3347</v>
      </c>
      <c r="D2223" s="2" t="s">
        <v>3348</v>
      </c>
    </row>
    <row r="2224">
      <c r="A2224" s="2" t="s">
        <v>3345</v>
      </c>
      <c r="B2224" s="2" t="s">
        <v>3352</v>
      </c>
      <c r="C2224" s="2" t="s">
        <v>3347</v>
      </c>
      <c r="D2224" s="2" t="s">
        <v>3348</v>
      </c>
    </row>
    <row r="2225">
      <c r="A2225" s="2" t="s">
        <v>3345</v>
      </c>
      <c r="B2225" s="2" t="s">
        <v>3353</v>
      </c>
      <c r="C2225" s="2" t="s">
        <v>3347</v>
      </c>
      <c r="D2225" s="2" t="s">
        <v>3348</v>
      </c>
    </row>
    <row r="2226">
      <c r="A2226" s="2" t="s">
        <v>3345</v>
      </c>
      <c r="B2226" s="2" t="s">
        <v>3354</v>
      </c>
      <c r="C2226" s="2" t="s">
        <v>3347</v>
      </c>
      <c r="D2226" s="2" t="s">
        <v>3348</v>
      </c>
    </row>
    <row r="2227">
      <c r="A2227" s="2" t="s">
        <v>3345</v>
      </c>
      <c r="B2227" s="2" t="s">
        <v>3355</v>
      </c>
      <c r="C2227" s="2" t="s">
        <v>3347</v>
      </c>
      <c r="D2227" s="2" t="s">
        <v>3348</v>
      </c>
    </row>
    <row r="2228">
      <c r="A2228" s="2" t="s">
        <v>3345</v>
      </c>
      <c r="B2228" s="2" t="s">
        <v>3356</v>
      </c>
      <c r="C2228" s="2" t="s">
        <v>3347</v>
      </c>
      <c r="D2228" s="2" t="s">
        <v>3348</v>
      </c>
    </row>
    <row r="2229">
      <c r="A2229" s="2" t="s">
        <v>3345</v>
      </c>
      <c r="B2229" s="2" t="s">
        <v>3357</v>
      </c>
      <c r="C2229" s="2" t="s">
        <v>3347</v>
      </c>
      <c r="D2229" s="2" t="s">
        <v>3348</v>
      </c>
    </row>
    <row r="2230">
      <c r="A2230" s="2" t="s">
        <v>3345</v>
      </c>
      <c r="B2230" s="2" t="s">
        <v>3358</v>
      </c>
      <c r="C2230" s="2" t="s">
        <v>3347</v>
      </c>
      <c r="D2230" s="2" t="s">
        <v>3348</v>
      </c>
    </row>
    <row r="2231">
      <c r="A2231" s="2" t="s">
        <v>3345</v>
      </c>
      <c r="B2231" s="2" t="s">
        <v>3359</v>
      </c>
      <c r="C2231" s="2" t="s">
        <v>3347</v>
      </c>
      <c r="D2231" s="2" t="s">
        <v>3348</v>
      </c>
    </row>
    <row r="2232">
      <c r="A2232" s="2" t="s">
        <v>3345</v>
      </c>
      <c r="B2232" s="2" t="s">
        <v>3360</v>
      </c>
      <c r="C2232" s="2" t="s">
        <v>3347</v>
      </c>
      <c r="D2232" s="2" t="s">
        <v>3348</v>
      </c>
    </row>
    <row r="2233">
      <c r="A2233" s="2" t="s">
        <v>3345</v>
      </c>
      <c r="B2233" s="2" t="s">
        <v>3361</v>
      </c>
      <c r="C2233" s="2" t="s">
        <v>3347</v>
      </c>
      <c r="D2233" s="2" t="s">
        <v>3348</v>
      </c>
    </row>
    <row r="2234">
      <c r="A2234" s="2" t="s">
        <v>3345</v>
      </c>
      <c r="B2234" s="2" t="s">
        <v>3362</v>
      </c>
      <c r="C2234" s="2" t="s">
        <v>3347</v>
      </c>
      <c r="D2234" s="2" t="s">
        <v>3348</v>
      </c>
    </row>
    <row r="2235">
      <c r="A2235" s="2" t="s">
        <v>3345</v>
      </c>
      <c r="B2235" s="2" t="s">
        <v>3363</v>
      </c>
      <c r="C2235" s="2" t="s">
        <v>3347</v>
      </c>
      <c r="D2235" s="2" t="s">
        <v>3348</v>
      </c>
    </row>
    <row r="2236">
      <c r="A2236" s="2" t="s">
        <v>3345</v>
      </c>
      <c r="B2236" s="2" t="s">
        <v>3364</v>
      </c>
      <c r="C2236" s="2" t="s">
        <v>3347</v>
      </c>
      <c r="D2236" s="2" t="s">
        <v>3348</v>
      </c>
    </row>
    <row r="2237">
      <c r="A2237" s="2" t="s">
        <v>3345</v>
      </c>
      <c r="B2237" s="2" t="s">
        <v>3365</v>
      </c>
      <c r="C2237" s="2" t="s">
        <v>3347</v>
      </c>
      <c r="D2237" s="2" t="s">
        <v>3348</v>
      </c>
    </row>
    <row r="2238">
      <c r="A2238" s="2" t="s">
        <v>3345</v>
      </c>
      <c r="B2238" s="2" t="s">
        <v>3366</v>
      </c>
      <c r="C2238" s="2" t="s">
        <v>3347</v>
      </c>
      <c r="D2238" s="2" t="s">
        <v>3348</v>
      </c>
    </row>
    <row r="2239">
      <c r="A2239" s="2" t="s">
        <v>3345</v>
      </c>
      <c r="B2239" s="2" t="s">
        <v>3367</v>
      </c>
      <c r="C2239" s="2" t="s">
        <v>3347</v>
      </c>
      <c r="D2239" s="2" t="s">
        <v>3348</v>
      </c>
    </row>
    <row r="2240">
      <c r="A2240" s="2" t="s">
        <v>3345</v>
      </c>
      <c r="B2240" s="2" t="s">
        <v>3368</v>
      </c>
      <c r="C2240" s="2" t="s">
        <v>3347</v>
      </c>
      <c r="D2240" s="2" t="s">
        <v>3348</v>
      </c>
    </row>
    <row r="2241">
      <c r="A2241" s="2" t="s">
        <v>3345</v>
      </c>
      <c r="B2241" s="2" t="s">
        <v>3369</v>
      </c>
      <c r="C2241" s="2" t="s">
        <v>3347</v>
      </c>
      <c r="D2241" s="2" t="s">
        <v>3348</v>
      </c>
    </row>
    <row r="2242">
      <c r="A2242" s="2" t="s">
        <v>3345</v>
      </c>
      <c r="B2242" s="2" t="s">
        <v>3370</v>
      </c>
      <c r="C2242" s="2" t="s">
        <v>3347</v>
      </c>
      <c r="D2242" s="2" t="s">
        <v>3348</v>
      </c>
    </row>
    <row r="2243">
      <c r="A2243" s="2" t="s">
        <v>3345</v>
      </c>
      <c r="B2243" s="2" t="s">
        <v>3371</v>
      </c>
      <c r="C2243" s="2" t="s">
        <v>3347</v>
      </c>
      <c r="D2243" s="2" t="s">
        <v>3348</v>
      </c>
    </row>
    <row r="2244">
      <c r="A2244" s="2" t="s">
        <v>3345</v>
      </c>
      <c r="B2244" s="2" t="s">
        <v>3372</v>
      </c>
      <c r="C2244" s="2" t="s">
        <v>3347</v>
      </c>
      <c r="D2244" s="2" t="s">
        <v>3348</v>
      </c>
    </row>
    <row r="2245">
      <c r="A2245" s="2" t="s">
        <v>3345</v>
      </c>
      <c r="B2245" s="2" t="s">
        <v>3373</v>
      </c>
      <c r="C2245" s="2" t="s">
        <v>3347</v>
      </c>
      <c r="D2245" s="2" t="s">
        <v>3348</v>
      </c>
    </row>
    <row r="2246">
      <c r="A2246" s="2" t="s">
        <v>3345</v>
      </c>
      <c r="B2246" s="2" t="s">
        <v>3374</v>
      </c>
      <c r="C2246" s="2" t="s">
        <v>3347</v>
      </c>
      <c r="D2246" s="2" t="s">
        <v>3348</v>
      </c>
    </row>
    <row r="2247">
      <c r="A2247" s="2" t="s">
        <v>3345</v>
      </c>
      <c r="B2247" s="2" t="s">
        <v>3375</v>
      </c>
      <c r="C2247" s="2" t="s">
        <v>3347</v>
      </c>
      <c r="D2247" s="2" t="s">
        <v>3348</v>
      </c>
    </row>
    <row r="2248">
      <c r="A2248" s="2" t="s">
        <v>3345</v>
      </c>
      <c r="B2248" s="2" t="s">
        <v>3376</v>
      </c>
      <c r="C2248" s="2" t="s">
        <v>3347</v>
      </c>
      <c r="D2248" s="2" t="s">
        <v>3348</v>
      </c>
    </row>
    <row r="2249">
      <c r="A2249" s="2" t="s">
        <v>3345</v>
      </c>
      <c r="B2249" s="2" t="s">
        <v>3377</v>
      </c>
      <c r="C2249" s="2" t="s">
        <v>3347</v>
      </c>
      <c r="D2249" s="2" t="s">
        <v>3348</v>
      </c>
    </row>
    <row r="2250">
      <c r="A2250" s="2" t="s">
        <v>3345</v>
      </c>
      <c r="B2250" s="2" t="s">
        <v>3378</v>
      </c>
      <c r="C2250" s="2" t="s">
        <v>3347</v>
      </c>
      <c r="D2250" s="2" t="s">
        <v>3348</v>
      </c>
    </row>
    <row r="2251">
      <c r="A2251" s="2" t="s">
        <v>3379</v>
      </c>
      <c r="B2251" s="2" t="s">
        <v>3380</v>
      </c>
      <c r="C2251" s="2" t="s">
        <v>3381</v>
      </c>
      <c r="D2251" s="2" t="s">
        <v>3382</v>
      </c>
    </row>
    <row r="2252">
      <c r="A2252" s="2" t="s">
        <v>3379</v>
      </c>
      <c r="B2252" s="2" t="s">
        <v>3383</v>
      </c>
      <c r="C2252" s="2" t="s">
        <v>3381</v>
      </c>
      <c r="D2252" s="2" t="s">
        <v>3382</v>
      </c>
    </row>
    <row r="2253">
      <c r="A2253" s="2" t="s">
        <v>3379</v>
      </c>
      <c r="B2253" s="2" t="s">
        <v>3384</v>
      </c>
      <c r="C2253" s="2" t="s">
        <v>3381</v>
      </c>
      <c r="D2253" s="2" t="s">
        <v>3382</v>
      </c>
    </row>
    <row r="2254">
      <c r="A2254" s="2" t="s">
        <v>3385</v>
      </c>
      <c r="B2254" s="2" t="s">
        <v>3380</v>
      </c>
      <c r="C2254" s="2" t="s">
        <v>3386</v>
      </c>
      <c r="D2254" s="2" t="s">
        <v>3387</v>
      </c>
    </row>
    <row r="2255">
      <c r="A2255" s="2" t="s">
        <v>3385</v>
      </c>
      <c r="B2255" s="2" t="s">
        <v>3383</v>
      </c>
      <c r="C2255" s="2" t="s">
        <v>3386</v>
      </c>
      <c r="D2255" s="2" t="s">
        <v>3387</v>
      </c>
    </row>
    <row r="2256">
      <c r="A2256" s="2" t="s">
        <v>3385</v>
      </c>
      <c r="B2256" s="2" t="s">
        <v>3384</v>
      </c>
      <c r="C2256" s="2" t="s">
        <v>3386</v>
      </c>
      <c r="D2256" s="2" t="s">
        <v>3387</v>
      </c>
    </row>
    <row r="2257">
      <c r="A2257" s="2" t="s">
        <v>3388</v>
      </c>
      <c r="B2257" s="2" t="s">
        <v>3389</v>
      </c>
      <c r="C2257" s="2" t="s">
        <v>3390</v>
      </c>
      <c r="D2257" s="2" t="s">
        <v>3391</v>
      </c>
    </row>
    <row r="2258">
      <c r="A2258" s="2" t="s">
        <v>3388</v>
      </c>
      <c r="B2258" s="2" t="s">
        <v>3392</v>
      </c>
      <c r="C2258" s="2" t="s">
        <v>3390</v>
      </c>
      <c r="D2258" s="2" t="s">
        <v>3391</v>
      </c>
    </row>
    <row r="2259">
      <c r="A2259" s="2" t="s">
        <v>3388</v>
      </c>
      <c r="B2259" s="2" t="s">
        <v>3393</v>
      </c>
      <c r="C2259" s="2" t="s">
        <v>3390</v>
      </c>
      <c r="D2259" s="2" t="s">
        <v>3391</v>
      </c>
    </row>
    <row r="2260">
      <c r="A2260" s="2" t="s">
        <v>3388</v>
      </c>
      <c r="B2260" s="2" t="s">
        <v>3394</v>
      </c>
      <c r="C2260" s="2" t="s">
        <v>3390</v>
      </c>
      <c r="D2260" s="2" t="s">
        <v>3391</v>
      </c>
    </row>
    <row r="2261">
      <c r="A2261" s="2" t="s">
        <v>3388</v>
      </c>
      <c r="B2261" s="2" t="s">
        <v>3395</v>
      </c>
      <c r="C2261" s="2" t="s">
        <v>3390</v>
      </c>
      <c r="D2261" s="2" t="s">
        <v>3391</v>
      </c>
    </row>
    <row r="2262">
      <c r="A2262" s="2" t="s">
        <v>3388</v>
      </c>
      <c r="B2262" s="2" t="s">
        <v>3396</v>
      </c>
      <c r="C2262" s="2" t="s">
        <v>3390</v>
      </c>
      <c r="D2262" s="2" t="s">
        <v>3391</v>
      </c>
    </row>
    <row r="2263">
      <c r="A2263" s="2" t="s">
        <v>3388</v>
      </c>
      <c r="B2263" s="2" t="s">
        <v>3397</v>
      </c>
      <c r="C2263" s="2" t="s">
        <v>3390</v>
      </c>
      <c r="D2263" s="2" t="s">
        <v>3391</v>
      </c>
    </row>
    <row r="2264">
      <c r="A2264" s="2" t="s">
        <v>3388</v>
      </c>
      <c r="B2264" s="2" t="s">
        <v>3398</v>
      </c>
      <c r="C2264" s="2" t="s">
        <v>3390</v>
      </c>
      <c r="D2264" s="2" t="s">
        <v>3391</v>
      </c>
    </row>
    <row r="2265">
      <c r="A2265" s="2" t="s">
        <v>3388</v>
      </c>
      <c r="B2265" s="2" t="s">
        <v>3399</v>
      </c>
      <c r="C2265" s="2" t="s">
        <v>3390</v>
      </c>
      <c r="D2265" s="2" t="s">
        <v>3391</v>
      </c>
    </row>
    <row r="2266">
      <c r="A2266" s="2" t="s">
        <v>3388</v>
      </c>
      <c r="B2266" s="2" t="s">
        <v>3400</v>
      </c>
      <c r="C2266" s="2" t="s">
        <v>3390</v>
      </c>
      <c r="D2266" s="2" t="s">
        <v>3391</v>
      </c>
    </row>
    <row r="2267">
      <c r="A2267" s="2" t="s">
        <v>3388</v>
      </c>
      <c r="B2267" s="2" t="s">
        <v>3401</v>
      </c>
      <c r="C2267" s="2" t="s">
        <v>3390</v>
      </c>
      <c r="D2267" s="2" t="s">
        <v>3391</v>
      </c>
    </row>
    <row r="2268">
      <c r="A2268" s="2" t="s">
        <v>3388</v>
      </c>
      <c r="B2268" s="2" t="s">
        <v>3402</v>
      </c>
      <c r="C2268" s="2" t="s">
        <v>3390</v>
      </c>
      <c r="D2268" s="2" t="s">
        <v>3391</v>
      </c>
    </row>
    <row r="2269">
      <c r="A2269" s="2" t="s">
        <v>3388</v>
      </c>
      <c r="B2269" s="2" t="s">
        <v>3403</v>
      </c>
      <c r="C2269" s="2" t="s">
        <v>3390</v>
      </c>
      <c r="D2269" s="2" t="s">
        <v>3391</v>
      </c>
    </row>
    <row r="2270">
      <c r="A2270" s="2" t="s">
        <v>3388</v>
      </c>
      <c r="B2270" s="2" t="s">
        <v>3404</v>
      </c>
      <c r="C2270" s="2" t="s">
        <v>3390</v>
      </c>
      <c r="D2270" s="2" t="s">
        <v>3391</v>
      </c>
    </row>
    <row r="2271">
      <c r="A2271" s="2" t="s">
        <v>3405</v>
      </c>
      <c r="B2271" s="2" t="s">
        <v>3406</v>
      </c>
      <c r="C2271" s="2" t="s">
        <v>3407</v>
      </c>
      <c r="D2271" s="2" t="s">
        <v>3408</v>
      </c>
    </row>
    <row r="2272">
      <c r="A2272" s="2" t="s">
        <v>3405</v>
      </c>
      <c r="B2272" s="2" t="s">
        <v>3409</v>
      </c>
      <c r="C2272" s="2" t="s">
        <v>3407</v>
      </c>
      <c r="D2272" s="2" t="s">
        <v>3408</v>
      </c>
    </row>
    <row r="2273">
      <c r="A2273" s="2" t="s">
        <v>3405</v>
      </c>
      <c r="B2273" s="2" t="s">
        <v>3410</v>
      </c>
      <c r="C2273" s="2" t="s">
        <v>3407</v>
      </c>
      <c r="D2273" s="2" t="s">
        <v>3408</v>
      </c>
    </row>
    <row r="2274">
      <c r="A2274" s="2" t="s">
        <v>3405</v>
      </c>
      <c r="B2274" s="2" t="s">
        <v>3411</v>
      </c>
      <c r="C2274" s="2" t="s">
        <v>3407</v>
      </c>
      <c r="D2274" s="2" t="s">
        <v>3408</v>
      </c>
    </row>
    <row r="2275">
      <c r="A2275" s="2" t="s">
        <v>3405</v>
      </c>
      <c r="B2275" s="2" t="s">
        <v>3412</v>
      </c>
      <c r="C2275" s="2" t="s">
        <v>3407</v>
      </c>
      <c r="D2275" s="2" t="s">
        <v>3408</v>
      </c>
    </row>
    <row r="2276">
      <c r="A2276" s="2" t="s">
        <v>3405</v>
      </c>
      <c r="B2276" s="2" t="s">
        <v>3413</v>
      </c>
      <c r="C2276" s="2" t="s">
        <v>3407</v>
      </c>
      <c r="D2276" s="2" t="s">
        <v>3408</v>
      </c>
    </row>
    <row r="2277">
      <c r="A2277" s="2" t="s">
        <v>3405</v>
      </c>
      <c r="B2277" s="2" t="s">
        <v>3414</v>
      </c>
      <c r="C2277" s="2" t="s">
        <v>3407</v>
      </c>
      <c r="D2277" s="2" t="s">
        <v>3408</v>
      </c>
    </row>
    <row r="2278">
      <c r="A2278" s="2" t="s">
        <v>3415</v>
      </c>
      <c r="B2278" s="2" t="s">
        <v>3416</v>
      </c>
      <c r="C2278" s="2"/>
      <c r="D2278" s="2"/>
      <c r="G2278" s="2" t="s">
        <v>3417</v>
      </c>
    </row>
    <row r="2279">
      <c r="A2279" s="2" t="s">
        <v>3415</v>
      </c>
      <c r="B2279" s="2" t="s">
        <v>3418</v>
      </c>
      <c r="C2279" s="2"/>
      <c r="D2279" s="2"/>
      <c r="G2279" s="2" t="s">
        <v>3417</v>
      </c>
    </row>
    <row r="2280">
      <c r="A2280" s="2" t="s">
        <v>3419</v>
      </c>
      <c r="B2280" s="2" t="s">
        <v>3420</v>
      </c>
      <c r="C2280" s="2" t="s">
        <v>3421</v>
      </c>
      <c r="D2280" s="2" t="s">
        <v>3422</v>
      </c>
    </row>
    <row r="2281">
      <c r="A2281" s="2" t="s">
        <v>3419</v>
      </c>
      <c r="B2281" s="2" t="s">
        <v>3423</v>
      </c>
      <c r="C2281" s="2" t="s">
        <v>3421</v>
      </c>
      <c r="D2281" s="2" t="s">
        <v>3422</v>
      </c>
    </row>
    <row r="2282">
      <c r="A2282" s="2" t="s">
        <v>3419</v>
      </c>
      <c r="B2282" s="2" t="s">
        <v>3424</v>
      </c>
      <c r="C2282" s="2" t="s">
        <v>3421</v>
      </c>
      <c r="D2282" s="2" t="s">
        <v>3422</v>
      </c>
    </row>
    <row r="2283">
      <c r="A2283" s="2" t="s">
        <v>3419</v>
      </c>
      <c r="B2283" s="2" t="s">
        <v>3425</v>
      </c>
      <c r="C2283" s="2" t="s">
        <v>3421</v>
      </c>
      <c r="D2283" s="2" t="s">
        <v>3422</v>
      </c>
    </row>
    <row r="2284">
      <c r="A2284" s="2" t="s">
        <v>3419</v>
      </c>
      <c r="B2284" s="2" t="s">
        <v>3426</v>
      </c>
      <c r="C2284" s="2" t="s">
        <v>3421</v>
      </c>
      <c r="D2284" s="2" t="s">
        <v>3422</v>
      </c>
    </row>
    <row r="2285">
      <c r="A2285" s="2" t="s">
        <v>3419</v>
      </c>
      <c r="B2285" s="2" t="s">
        <v>3427</v>
      </c>
      <c r="C2285" s="2" t="s">
        <v>3421</v>
      </c>
      <c r="D2285" s="2" t="s">
        <v>3422</v>
      </c>
    </row>
    <row r="2286">
      <c r="A2286" s="2" t="s">
        <v>3419</v>
      </c>
      <c r="B2286" s="2" t="s">
        <v>3428</v>
      </c>
      <c r="C2286" s="2" t="s">
        <v>3421</v>
      </c>
      <c r="D2286" s="2" t="s">
        <v>3422</v>
      </c>
    </row>
    <row r="2287">
      <c r="A2287" s="2" t="s">
        <v>3419</v>
      </c>
      <c r="B2287" s="2" t="s">
        <v>3429</v>
      </c>
      <c r="C2287" s="2" t="s">
        <v>3421</v>
      </c>
      <c r="D2287" s="2" t="s">
        <v>3422</v>
      </c>
    </row>
    <row r="2288">
      <c r="A2288" s="2" t="s">
        <v>3419</v>
      </c>
      <c r="B2288" s="2" t="s">
        <v>3430</v>
      </c>
      <c r="C2288" s="2" t="s">
        <v>3421</v>
      </c>
      <c r="D2288" s="2" t="s">
        <v>3422</v>
      </c>
    </row>
    <row r="2289">
      <c r="A2289" s="2" t="s">
        <v>3419</v>
      </c>
      <c r="B2289" s="2" t="s">
        <v>3431</v>
      </c>
      <c r="C2289" s="2" t="s">
        <v>3421</v>
      </c>
      <c r="D2289" s="2" t="s">
        <v>3422</v>
      </c>
    </row>
    <row r="2290">
      <c r="A2290" s="2" t="s">
        <v>3419</v>
      </c>
      <c r="B2290" s="2" t="s">
        <v>3432</v>
      </c>
      <c r="C2290" s="2" t="s">
        <v>3421</v>
      </c>
      <c r="D2290" s="2" t="s">
        <v>3422</v>
      </c>
    </row>
    <row r="2291">
      <c r="A2291" s="2" t="s">
        <v>3419</v>
      </c>
      <c r="B2291" s="2" t="s">
        <v>3433</v>
      </c>
      <c r="C2291" s="2" t="s">
        <v>3421</v>
      </c>
      <c r="D2291" s="2" t="s">
        <v>3422</v>
      </c>
    </row>
    <row r="2292">
      <c r="A2292" s="2" t="s">
        <v>3419</v>
      </c>
      <c r="B2292" s="2" t="s">
        <v>3434</v>
      </c>
      <c r="C2292" s="2" t="s">
        <v>3421</v>
      </c>
      <c r="D2292" s="2" t="s">
        <v>3422</v>
      </c>
    </row>
    <row r="2293">
      <c r="A2293" s="2" t="s">
        <v>3419</v>
      </c>
      <c r="B2293" s="2" t="s">
        <v>3435</v>
      </c>
      <c r="C2293" s="2" t="s">
        <v>3421</v>
      </c>
      <c r="D2293" s="2" t="s">
        <v>3422</v>
      </c>
    </row>
    <row r="2294">
      <c r="A2294" s="2" t="s">
        <v>3419</v>
      </c>
      <c r="B2294" s="2" t="s">
        <v>3436</v>
      </c>
      <c r="C2294" s="2" t="s">
        <v>3421</v>
      </c>
      <c r="D2294" s="2" t="s">
        <v>3422</v>
      </c>
    </row>
    <row r="2295">
      <c r="A2295" s="2" t="s">
        <v>3419</v>
      </c>
      <c r="B2295" s="2" t="s">
        <v>3437</v>
      </c>
      <c r="C2295" s="2" t="s">
        <v>3421</v>
      </c>
      <c r="D2295" s="2" t="s">
        <v>3422</v>
      </c>
    </row>
    <row r="2296">
      <c r="A2296" s="2" t="s">
        <v>3419</v>
      </c>
      <c r="B2296" s="2" t="s">
        <v>3438</v>
      </c>
      <c r="C2296" s="2" t="s">
        <v>3421</v>
      </c>
      <c r="D2296" s="2" t="s">
        <v>3422</v>
      </c>
    </row>
    <row r="2297">
      <c r="A2297" s="2" t="s">
        <v>3419</v>
      </c>
      <c r="B2297" s="2" t="s">
        <v>3439</v>
      </c>
      <c r="C2297" s="2" t="s">
        <v>3421</v>
      </c>
      <c r="D2297" s="2" t="s">
        <v>3422</v>
      </c>
    </row>
    <row r="2298">
      <c r="A2298" s="2" t="s">
        <v>3419</v>
      </c>
      <c r="B2298" s="2" t="s">
        <v>3440</v>
      </c>
      <c r="C2298" s="2" t="s">
        <v>3421</v>
      </c>
      <c r="D2298" s="2" t="s">
        <v>3422</v>
      </c>
    </row>
    <row r="2299">
      <c r="A2299" s="2" t="s">
        <v>3419</v>
      </c>
      <c r="B2299" s="2" t="s">
        <v>3441</v>
      </c>
      <c r="C2299" s="2" t="s">
        <v>3421</v>
      </c>
      <c r="D2299" s="2" t="s">
        <v>3422</v>
      </c>
    </row>
    <row r="2300">
      <c r="A2300" s="2" t="s">
        <v>3419</v>
      </c>
      <c r="B2300" s="2" t="s">
        <v>3442</v>
      </c>
      <c r="C2300" s="2" t="s">
        <v>3421</v>
      </c>
      <c r="D2300" s="2" t="s">
        <v>3422</v>
      </c>
    </row>
    <row r="2301">
      <c r="A2301" s="2" t="s">
        <v>3419</v>
      </c>
      <c r="B2301" s="2" t="s">
        <v>3443</v>
      </c>
      <c r="C2301" s="2" t="s">
        <v>3421</v>
      </c>
      <c r="D2301" s="2" t="s">
        <v>3422</v>
      </c>
    </row>
    <row r="2302">
      <c r="A2302" s="2" t="s">
        <v>3419</v>
      </c>
      <c r="B2302" s="2" t="s">
        <v>3444</v>
      </c>
      <c r="C2302" s="2" t="s">
        <v>3421</v>
      </c>
      <c r="D2302" s="2" t="s">
        <v>3422</v>
      </c>
    </row>
    <row r="2303">
      <c r="A2303" s="2" t="s">
        <v>3419</v>
      </c>
      <c r="B2303" s="2" t="s">
        <v>3445</v>
      </c>
      <c r="C2303" s="2" t="s">
        <v>3421</v>
      </c>
      <c r="D2303" s="2" t="s">
        <v>3422</v>
      </c>
    </row>
    <row r="2304">
      <c r="A2304" s="2" t="s">
        <v>3419</v>
      </c>
      <c r="B2304" s="2" t="s">
        <v>3446</v>
      </c>
      <c r="C2304" s="2" t="s">
        <v>3421</v>
      </c>
      <c r="D2304" s="2" t="s">
        <v>3422</v>
      </c>
    </row>
    <row r="2305">
      <c r="A2305" s="2" t="s">
        <v>3419</v>
      </c>
      <c r="B2305" s="2" t="s">
        <v>3447</v>
      </c>
      <c r="C2305" s="2" t="s">
        <v>3421</v>
      </c>
      <c r="D2305" s="2" t="s">
        <v>3422</v>
      </c>
    </row>
    <row r="2306">
      <c r="A2306" s="2" t="s">
        <v>3419</v>
      </c>
      <c r="B2306" s="2" t="s">
        <v>3448</v>
      </c>
      <c r="C2306" s="2" t="s">
        <v>3421</v>
      </c>
      <c r="D2306" s="2" t="s">
        <v>3422</v>
      </c>
    </row>
    <row r="2307">
      <c r="A2307" s="2" t="s">
        <v>3419</v>
      </c>
      <c r="B2307" s="2" t="s">
        <v>3449</v>
      </c>
      <c r="C2307" s="2" t="s">
        <v>3421</v>
      </c>
      <c r="D2307" s="2" t="s">
        <v>3422</v>
      </c>
    </row>
    <row r="2308">
      <c r="A2308" s="2" t="s">
        <v>3419</v>
      </c>
      <c r="B2308" s="2" t="s">
        <v>3450</v>
      </c>
      <c r="C2308" s="2" t="s">
        <v>3421</v>
      </c>
      <c r="D2308" s="2" t="s">
        <v>3422</v>
      </c>
    </row>
    <row r="2309">
      <c r="A2309" s="2" t="s">
        <v>3419</v>
      </c>
      <c r="B2309" s="2" t="s">
        <v>3451</v>
      </c>
      <c r="C2309" s="2" t="s">
        <v>3421</v>
      </c>
      <c r="D2309" s="2" t="s">
        <v>3422</v>
      </c>
    </row>
    <row r="2310">
      <c r="A2310" s="2" t="s">
        <v>3419</v>
      </c>
      <c r="B2310" s="2" t="s">
        <v>3452</v>
      </c>
      <c r="C2310" s="2" t="s">
        <v>3421</v>
      </c>
      <c r="D2310" s="2" t="s">
        <v>3422</v>
      </c>
    </row>
    <row r="2311">
      <c r="A2311" s="2" t="s">
        <v>3419</v>
      </c>
      <c r="B2311" s="2" t="s">
        <v>3453</v>
      </c>
      <c r="C2311" s="2" t="s">
        <v>3421</v>
      </c>
      <c r="D2311" s="2" t="s">
        <v>3422</v>
      </c>
    </row>
    <row r="2312">
      <c r="A2312" s="2" t="s">
        <v>3419</v>
      </c>
      <c r="B2312" s="2" t="s">
        <v>3454</v>
      </c>
      <c r="C2312" s="2" t="s">
        <v>3421</v>
      </c>
      <c r="D2312" s="2" t="s">
        <v>3422</v>
      </c>
    </row>
    <row r="2313">
      <c r="A2313" s="2" t="s">
        <v>3419</v>
      </c>
      <c r="B2313" s="2" t="s">
        <v>3455</v>
      </c>
      <c r="C2313" s="2" t="s">
        <v>3421</v>
      </c>
      <c r="D2313" s="2" t="s">
        <v>3422</v>
      </c>
    </row>
    <row r="2314">
      <c r="A2314" s="2" t="s">
        <v>3419</v>
      </c>
      <c r="B2314" s="2" t="s">
        <v>3456</v>
      </c>
      <c r="C2314" s="2" t="s">
        <v>3421</v>
      </c>
      <c r="D2314" s="2" t="s">
        <v>3422</v>
      </c>
    </row>
    <row r="2315">
      <c r="A2315" s="2" t="s">
        <v>3419</v>
      </c>
      <c r="B2315" s="2" t="s">
        <v>3457</v>
      </c>
      <c r="C2315" s="2" t="s">
        <v>3421</v>
      </c>
      <c r="D2315" s="2" t="s">
        <v>3422</v>
      </c>
    </row>
    <row r="2316">
      <c r="A2316" s="2" t="s">
        <v>3419</v>
      </c>
      <c r="B2316" s="2" t="s">
        <v>3458</v>
      </c>
      <c r="C2316" s="2" t="s">
        <v>3421</v>
      </c>
      <c r="D2316" s="2" t="s">
        <v>3422</v>
      </c>
    </row>
    <row r="2317">
      <c r="A2317" s="2" t="s">
        <v>3419</v>
      </c>
      <c r="B2317" s="2" t="s">
        <v>3459</v>
      </c>
      <c r="C2317" s="2" t="s">
        <v>3421</v>
      </c>
      <c r="D2317" s="2" t="s">
        <v>3422</v>
      </c>
    </row>
    <row r="2318">
      <c r="A2318" s="2" t="s">
        <v>3419</v>
      </c>
      <c r="B2318" s="2" t="s">
        <v>3460</v>
      </c>
      <c r="C2318" s="2" t="s">
        <v>3421</v>
      </c>
      <c r="D2318" s="2" t="s">
        <v>3422</v>
      </c>
    </row>
    <row r="2319">
      <c r="A2319" s="2" t="s">
        <v>3419</v>
      </c>
      <c r="B2319" s="2" t="s">
        <v>3461</v>
      </c>
      <c r="C2319" s="2" t="s">
        <v>3421</v>
      </c>
      <c r="D2319" s="2" t="s">
        <v>3422</v>
      </c>
    </row>
    <row r="2320">
      <c r="A2320" s="2" t="s">
        <v>3419</v>
      </c>
      <c r="B2320" s="2" t="s">
        <v>3462</v>
      </c>
      <c r="C2320" s="2" t="s">
        <v>3421</v>
      </c>
      <c r="D2320" s="2" t="s">
        <v>3422</v>
      </c>
    </row>
    <row r="2321">
      <c r="A2321" s="2" t="s">
        <v>3419</v>
      </c>
      <c r="B2321" s="2" t="s">
        <v>3463</v>
      </c>
      <c r="C2321" s="2" t="s">
        <v>3421</v>
      </c>
      <c r="D2321" s="2" t="s">
        <v>3422</v>
      </c>
    </row>
    <row r="2322">
      <c r="A2322" s="2" t="s">
        <v>3419</v>
      </c>
      <c r="B2322" s="2" t="s">
        <v>3464</v>
      </c>
      <c r="C2322" s="2" t="s">
        <v>3421</v>
      </c>
      <c r="D2322" s="2" t="s">
        <v>3422</v>
      </c>
    </row>
    <row r="2323">
      <c r="A2323" s="2" t="s">
        <v>3419</v>
      </c>
      <c r="B2323" s="2" t="s">
        <v>3465</v>
      </c>
      <c r="C2323" s="2" t="s">
        <v>3421</v>
      </c>
      <c r="D2323" s="2" t="s">
        <v>3422</v>
      </c>
    </row>
    <row r="2324">
      <c r="A2324" s="2" t="s">
        <v>3419</v>
      </c>
      <c r="B2324" s="2" t="s">
        <v>3467</v>
      </c>
      <c r="C2324" s="2" t="s">
        <v>3421</v>
      </c>
      <c r="D2324" s="2" t="s">
        <v>3422</v>
      </c>
    </row>
    <row r="2325">
      <c r="A2325" s="2" t="s">
        <v>3419</v>
      </c>
      <c r="B2325" s="2" t="s">
        <v>3468</v>
      </c>
      <c r="C2325" s="2" t="s">
        <v>3421</v>
      </c>
      <c r="D2325" s="2" t="s">
        <v>3422</v>
      </c>
    </row>
    <row r="2326">
      <c r="A2326" s="2" t="s">
        <v>3419</v>
      </c>
      <c r="B2326" s="2" t="s">
        <v>3469</v>
      </c>
      <c r="C2326" s="2" t="s">
        <v>3421</v>
      </c>
      <c r="D2326" s="2" t="s">
        <v>3422</v>
      </c>
    </row>
    <row r="2327">
      <c r="A2327" s="2" t="s">
        <v>3419</v>
      </c>
      <c r="B2327" s="2" t="s">
        <v>3470</v>
      </c>
      <c r="C2327" s="2" t="s">
        <v>3421</v>
      </c>
      <c r="D2327" s="2" t="s">
        <v>3422</v>
      </c>
    </row>
    <row r="2328">
      <c r="A2328" s="2" t="s">
        <v>3419</v>
      </c>
      <c r="B2328" s="2" t="s">
        <v>3471</v>
      </c>
      <c r="C2328" s="2" t="s">
        <v>3421</v>
      </c>
      <c r="D2328" s="2" t="s">
        <v>3422</v>
      </c>
    </row>
    <row r="2329">
      <c r="A2329" s="2" t="s">
        <v>3419</v>
      </c>
      <c r="B2329" s="2" t="s">
        <v>3472</v>
      </c>
      <c r="C2329" s="2" t="s">
        <v>3421</v>
      </c>
      <c r="D2329" s="2" t="s">
        <v>3422</v>
      </c>
    </row>
    <row r="2330">
      <c r="A2330" s="2" t="s">
        <v>3419</v>
      </c>
      <c r="B2330" s="2" t="s">
        <v>3473</v>
      </c>
      <c r="C2330" s="2" t="s">
        <v>3421</v>
      </c>
      <c r="D2330" s="2" t="s">
        <v>3422</v>
      </c>
    </row>
    <row r="2331">
      <c r="A2331" s="2" t="s">
        <v>3419</v>
      </c>
      <c r="B2331" s="2" t="s">
        <v>3474</v>
      </c>
      <c r="C2331" s="2" t="s">
        <v>3421</v>
      </c>
      <c r="D2331" s="2" t="s">
        <v>3422</v>
      </c>
    </row>
    <row r="2332">
      <c r="A2332" s="2" t="s">
        <v>3419</v>
      </c>
      <c r="B2332" s="2" t="s">
        <v>3475</v>
      </c>
      <c r="C2332" s="2" t="s">
        <v>3421</v>
      </c>
      <c r="D2332" s="2" t="s">
        <v>3422</v>
      </c>
    </row>
    <row r="2333">
      <c r="A2333" s="2" t="s">
        <v>3419</v>
      </c>
      <c r="B2333" s="2" t="s">
        <v>3477</v>
      </c>
      <c r="C2333" s="2" t="s">
        <v>3421</v>
      </c>
      <c r="D2333" s="2" t="s">
        <v>3422</v>
      </c>
    </row>
    <row r="2334">
      <c r="A2334" s="2" t="s">
        <v>3419</v>
      </c>
      <c r="B2334" s="2" t="s">
        <v>3479</v>
      </c>
      <c r="C2334" s="2" t="s">
        <v>3421</v>
      </c>
      <c r="D2334" s="2" t="s">
        <v>3422</v>
      </c>
    </row>
    <row r="2335">
      <c r="A2335" s="2" t="s">
        <v>3419</v>
      </c>
      <c r="B2335" s="2" t="s">
        <v>3480</v>
      </c>
      <c r="C2335" s="2" t="s">
        <v>3421</v>
      </c>
      <c r="D2335" s="2" t="s">
        <v>3422</v>
      </c>
    </row>
    <row r="2336">
      <c r="A2336" s="2" t="s">
        <v>3419</v>
      </c>
      <c r="B2336" s="2" t="s">
        <v>3481</v>
      </c>
      <c r="C2336" s="2" t="s">
        <v>3421</v>
      </c>
      <c r="D2336" s="2" t="s">
        <v>3422</v>
      </c>
    </row>
    <row r="2337">
      <c r="A2337" s="2" t="s">
        <v>3419</v>
      </c>
      <c r="B2337" s="2" t="s">
        <v>3482</v>
      </c>
      <c r="C2337" s="2" t="s">
        <v>3421</v>
      </c>
      <c r="D2337" s="2" t="s">
        <v>3422</v>
      </c>
    </row>
    <row r="2338">
      <c r="A2338" s="2" t="s">
        <v>3419</v>
      </c>
      <c r="B2338" s="2" t="s">
        <v>3483</v>
      </c>
      <c r="C2338" s="2" t="s">
        <v>3421</v>
      </c>
      <c r="D2338" s="2" t="s">
        <v>3422</v>
      </c>
    </row>
    <row r="2339">
      <c r="A2339" s="2" t="s">
        <v>3419</v>
      </c>
      <c r="B2339" s="2" t="s">
        <v>3484</v>
      </c>
      <c r="C2339" s="2" t="s">
        <v>3421</v>
      </c>
      <c r="D2339" s="2" t="s">
        <v>3422</v>
      </c>
    </row>
    <row r="2340">
      <c r="A2340" s="2" t="s">
        <v>3419</v>
      </c>
      <c r="B2340" s="2" t="s">
        <v>3485</v>
      </c>
      <c r="C2340" s="2" t="s">
        <v>3421</v>
      </c>
      <c r="D2340" s="2" t="s">
        <v>3422</v>
      </c>
    </row>
    <row r="2341">
      <c r="A2341" s="2" t="s">
        <v>3419</v>
      </c>
      <c r="B2341" s="2" t="s">
        <v>3486</v>
      </c>
      <c r="C2341" s="2" t="s">
        <v>3421</v>
      </c>
      <c r="D2341" s="2" t="s">
        <v>3422</v>
      </c>
    </row>
    <row r="2342">
      <c r="A2342" s="2" t="s">
        <v>3419</v>
      </c>
      <c r="B2342" s="2" t="s">
        <v>3487</v>
      </c>
      <c r="C2342" s="2" t="s">
        <v>3421</v>
      </c>
      <c r="D2342" s="2" t="s">
        <v>3422</v>
      </c>
    </row>
    <row r="2343">
      <c r="A2343" s="2" t="s">
        <v>3488</v>
      </c>
      <c r="B2343" s="2" t="s">
        <v>3489</v>
      </c>
      <c r="G2343" s="2" t="s">
        <v>3490</v>
      </c>
    </row>
    <row r="2344">
      <c r="A2344" s="2" t="s">
        <v>3488</v>
      </c>
      <c r="B2344" s="2" t="s">
        <v>3491</v>
      </c>
      <c r="G2344" s="2" t="s">
        <v>3490</v>
      </c>
    </row>
    <row r="2345">
      <c r="A2345" s="2" t="s">
        <v>3488</v>
      </c>
      <c r="B2345" s="2" t="s">
        <v>3492</v>
      </c>
      <c r="G2345" s="2" t="s">
        <v>3490</v>
      </c>
    </row>
    <row r="2346">
      <c r="A2346" s="2" t="s">
        <v>3488</v>
      </c>
      <c r="B2346" s="2" t="s">
        <v>3493</v>
      </c>
      <c r="G2346" s="2" t="s">
        <v>3490</v>
      </c>
    </row>
    <row r="2347">
      <c r="A2347" s="2" t="s">
        <v>3488</v>
      </c>
      <c r="B2347" s="2" t="s">
        <v>3494</v>
      </c>
      <c r="G2347" s="2" t="s">
        <v>3490</v>
      </c>
    </row>
    <row r="2348">
      <c r="A2348" s="2" t="s">
        <v>3488</v>
      </c>
      <c r="B2348" s="2" t="s">
        <v>3495</v>
      </c>
      <c r="G2348" s="2" t="s">
        <v>3490</v>
      </c>
    </row>
    <row r="2349">
      <c r="A2349" s="2" t="s">
        <v>3488</v>
      </c>
      <c r="B2349" s="2" t="s">
        <v>3496</v>
      </c>
      <c r="G2349" s="2" t="s">
        <v>3490</v>
      </c>
    </row>
    <row r="2350">
      <c r="A2350" s="2" t="s">
        <v>3488</v>
      </c>
      <c r="B2350" s="2" t="s">
        <v>3497</v>
      </c>
      <c r="G2350" s="2" t="s">
        <v>3490</v>
      </c>
    </row>
    <row r="2351">
      <c r="A2351" s="2" t="s">
        <v>3488</v>
      </c>
      <c r="B2351" s="2" t="s">
        <v>3498</v>
      </c>
      <c r="G2351" s="2" t="s">
        <v>3490</v>
      </c>
    </row>
    <row r="2352">
      <c r="A2352" s="2" t="s">
        <v>3488</v>
      </c>
      <c r="B2352" s="2" t="s">
        <v>3499</v>
      </c>
      <c r="G2352" s="2" t="s">
        <v>3490</v>
      </c>
    </row>
    <row r="2353">
      <c r="A2353" s="2" t="s">
        <v>3500</v>
      </c>
      <c r="B2353" s="2" t="s">
        <v>3501</v>
      </c>
      <c r="C2353" s="2" t="s">
        <v>3502</v>
      </c>
      <c r="D2353" s="2" t="s">
        <v>3504</v>
      </c>
    </row>
    <row r="2354">
      <c r="A2354" s="2" t="s">
        <v>3500</v>
      </c>
      <c r="B2354" s="2" t="s">
        <v>3505</v>
      </c>
      <c r="C2354" s="2" t="s">
        <v>3502</v>
      </c>
      <c r="D2354" s="2" t="s">
        <v>3504</v>
      </c>
    </row>
    <row r="2355">
      <c r="A2355" s="2" t="s">
        <v>3500</v>
      </c>
      <c r="B2355" s="2" t="s">
        <v>3506</v>
      </c>
      <c r="C2355" s="2" t="s">
        <v>3502</v>
      </c>
      <c r="D2355" s="2" t="s">
        <v>3504</v>
      </c>
    </row>
    <row r="2356">
      <c r="A2356" s="2" t="s">
        <v>3500</v>
      </c>
      <c r="B2356" s="2" t="s">
        <v>3507</v>
      </c>
      <c r="C2356" s="2" t="s">
        <v>3502</v>
      </c>
      <c r="D2356" s="2" t="s">
        <v>3504</v>
      </c>
    </row>
    <row r="2357">
      <c r="A2357" s="2" t="s">
        <v>3500</v>
      </c>
      <c r="B2357" s="2" t="s">
        <v>3508</v>
      </c>
      <c r="C2357" s="2" t="s">
        <v>3502</v>
      </c>
      <c r="D2357" s="2" t="s">
        <v>3504</v>
      </c>
    </row>
    <row r="2358">
      <c r="A2358" s="2" t="s">
        <v>3500</v>
      </c>
      <c r="B2358" s="2" t="s">
        <v>3509</v>
      </c>
      <c r="C2358" s="2" t="s">
        <v>3502</v>
      </c>
      <c r="D2358" s="2" t="s">
        <v>3504</v>
      </c>
    </row>
    <row r="2359">
      <c r="A2359" s="2" t="s">
        <v>3500</v>
      </c>
      <c r="B2359" s="2" t="s">
        <v>3511</v>
      </c>
      <c r="C2359" s="2" t="s">
        <v>3502</v>
      </c>
      <c r="D2359" s="2" t="s">
        <v>3504</v>
      </c>
    </row>
    <row r="2360">
      <c r="A2360" s="2" t="s">
        <v>3500</v>
      </c>
      <c r="B2360" s="2" t="s">
        <v>3513</v>
      </c>
      <c r="C2360" s="2" t="s">
        <v>3502</v>
      </c>
      <c r="D2360" s="2" t="s">
        <v>3504</v>
      </c>
    </row>
    <row r="2361">
      <c r="A2361" s="2" t="s">
        <v>3500</v>
      </c>
      <c r="B2361" s="2" t="s">
        <v>3514</v>
      </c>
      <c r="C2361" s="2" t="s">
        <v>3502</v>
      </c>
      <c r="D2361" s="2" t="s">
        <v>3504</v>
      </c>
    </row>
    <row r="2362">
      <c r="A2362" s="2" t="s">
        <v>3500</v>
      </c>
      <c r="B2362" s="2" t="s">
        <v>3515</v>
      </c>
      <c r="C2362" s="2" t="s">
        <v>3502</v>
      </c>
      <c r="D2362" s="2" t="s">
        <v>3504</v>
      </c>
    </row>
    <row r="2363">
      <c r="A2363" s="2" t="s">
        <v>3500</v>
      </c>
      <c r="B2363" s="2" t="s">
        <v>3516</v>
      </c>
      <c r="C2363" s="2" t="s">
        <v>3502</v>
      </c>
      <c r="D2363" s="2" t="s">
        <v>3504</v>
      </c>
    </row>
    <row r="2364">
      <c r="A2364" s="2" t="s">
        <v>3500</v>
      </c>
      <c r="B2364" s="2" t="s">
        <v>3517</v>
      </c>
      <c r="C2364" s="2" t="s">
        <v>3502</v>
      </c>
      <c r="D2364" s="2" t="s">
        <v>3504</v>
      </c>
    </row>
    <row r="2365">
      <c r="A2365" s="2" t="s">
        <v>3500</v>
      </c>
      <c r="B2365" s="2" t="s">
        <v>3518</v>
      </c>
      <c r="C2365" s="2" t="s">
        <v>3502</v>
      </c>
      <c r="D2365" s="2" t="s">
        <v>3504</v>
      </c>
    </row>
    <row r="2366">
      <c r="A2366" s="2" t="s">
        <v>3519</v>
      </c>
      <c r="B2366" s="2">
        <v>19946.0</v>
      </c>
      <c r="G2366" s="2" t="s">
        <v>3520</v>
      </c>
    </row>
    <row r="2367">
      <c r="A2367" s="2" t="s">
        <v>3519</v>
      </c>
      <c r="B2367" s="2">
        <v>19942.0</v>
      </c>
      <c r="G2367" s="2" t="s">
        <v>3520</v>
      </c>
    </row>
    <row r="2368">
      <c r="A2368" s="2" t="s">
        <v>3519</v>
      </c>
      <c r="B2368" s="2">
        <v>20088.0</v>
      </c>
      <c r="G2368" s="2" t="s">
        <v>3520</v>
      </c>
    </row>
    <row r="2369">
      <c r="A2369" s="2" t="s">
        <v>3519</v>
      </c>
      <c r="B2369" s="2">
        <v>19948.0</v>
      </c>
      <c r="G2369" s="2" t="s">
        <v>3520</v>
      </c>
    </row>
    <row r="2370">
      <c r="A2370" s="2" t="s">
        <v>3521</v>
      </c>
      <c r="B2370" s="2" t="s">
        <v>3522</v>
      </c>
      <c r="C2370" s="2" t="s">
        <v>3523</v>
      </c>
      <c r="D2370" s="2" t="s">
        <v>3524</v>
      </c>
    </row>
    <row r="2371">
      <c r="A2371" s="2" t="s">
        <v>3521</v>
      </c>
      <c r="B2371" s="2" t="s">
        <v>3525</v>
      </c>
      <c r="C2371" s="2" t="s">
        <v>3523</v>
      </c>
      <c r="D2371" s="2" t="s">
        <v>3524</v>
      </c>
    </row>
    <row r="2372">
      <c r="A2372" s="2" t="s">
        <v>3521</v>
      </c>
      <c r="B2372" s="2" t="s">
        <v>3526</v>
      </c>
      <c r="C2372" s="2" t="s">
        <v>3523</v>
      </c>
      <c r="D2372" s="2" t="s">
        <v>3524</v>
      </c>
    </row>
    <row r="2373">
      <c r="A2373" s="2" t="s">
        <v>3521</v>
      </c>
      <c r="B2373" s="2" t="s">
        <v>3527</v>
      </c>
      <c r="C2373" s="2" t="s">
        <v>3523</v>
      </c>
      <c r="D2373" s="2" t="s">
        <v>3524</v>
      </c>
    </row>
    <row r="2374">
      <c r="A2374" s="2" t="s">
        <v>3521</v>
      </c>
      <c r="B2374" s="2" t="s">
        <v>3528</v>
      </c>
      <c r="C2374" s="2" t="s">
        <v>3523</v>
      </c>
      <c r="D2374" s="2" t="s">
        <v>3524</v>
      </c>
    </row>
    <row r="2375">
      <c r="A2375" s="2" t="s">
        <v>3521</v>
      </c>
      <c r="B2375" s="2" t="s">
        <v>3529</v>
      </c>
      <c r="C2375" s="2" t="s">
        <v>3523</v>
      </c>
      <c r="D2375" s="2" t="s">
        <v>3524</v>
      </c>
    </row>
    <row r="2376">
      <c r="A2376" s="2" t="s">
        <v>3521</v>
      </c>
      <c r="B2376" s="2" t="s">
        <v>3530</v>
      </c>
      <c r="C2376" s="2" t="s">
        <v>3523</v>
      </c>
      <c r="D2376" s="2" t="s">
        <v>3524</v>
      </c>
    </row>
    <row r="2377">
      <c r="A2377" s="2" t="s">
        <v>3521</v>
      </c>
      <c r="B2377" s="2" t="s">
        <v>3531</v>
      </c>
      <c r="C2377" s="2" t="s">
        <v>3523</v>
      </c>
      <c r="D2377" s="2" t="s">
        <v>3524</v>
      </c>
    </row>
    <row r="2378">
      <c r="A2378" s="2" t="s">
        <v>3521</v>
      </c>
      <c r="B2378" s="2" t="s">
        <v>3532</v>
      </c>
      <c r="C2378" s="2" t="s">
        <v>3523</v>
      </c>
      <c r="D2378" s="2" t="s">
        <v>3524</v>
      </c>
    </row>
    <row r="2379">
      <c r="A2379" s="2" t="s">
        <v>3521</v>
      </c>
      <c r="B2379" s="2" t="s">
        <v>3533</v>
      </c>
      <c r="C2379" s="2" t="s">
        <v>3523</v>
      </c>
      <c r="D2379" s="2" t="s">
        <v>3524</v>
      </c>
    </row>
    <row r="2380">
      <c r="A2380" s="2" t="s">
        <v>3521</v>
      </c>
      <c r="B2380" s="2" t="s">
        <v>3534</v>
      </c>
      <c r="C2380" s="2" t="s">
        <v>3523</v>
      </c>
      <c r="D2380" s="2" t="s">
        <v>3524</v>
      </c>
    </row>
    <row r="2381">
      <c r="A2381" s="2" t="s">
        <v>3521</v>
      </c>
      <c r="B2381" s="2" t="s">
        <v>3535</v>
      </c>
      <c r="C2381" s="2" t="s">
        <v>3523</v>
      </c>
      <c r="D2381" s="2" t="s">
        <v>3524</v>
      </c>
    </row>
    <row r="2382">
      <c r="A2382" s="2" t="s">
        <v>3521</v>
      </c>
      <c r="B2382" s="2" t="s">
        <v>3536</v>
      </c>
      <c r="C2382" s="2" t="s">
        <v>3523</v>
      </c>
      <c r="D2382" s="2" t="s">
        <v>3524</v>
      </c>
    </row>
    <row r="2383">
      <c r="A2383" s="2" t="s">
        <v>3521</v>
      </c>
      <c r="B2383" s="2" t="s">
        <v>3537</v>
      </c>
      <c r="C2383" s="2" t="s">
        <v>3523</v>
      </c>
      <c r="D2383" s="2" t="s">
        <v>3524</v>
      </c>
    </row>
    <row r="2384">
      <c r="A2384" s="2" t="s">
        <v>3521</v>
      </c>
      <c r="B2384" s="2" t="s">
        <v>3539</v>
      </c>
      <c r="C2384" s="2" t="s">
        <v>3523</v>
      </c>
      <c r="D2384" s="2" t="s">
        <v>3524</v>
      </c>
    </row>
    <row r="2385">
      <c r="A2385" s="2" t="s">
        <v>3521</v>
      </c>
      <c r="B2385" s="2" t="s">
        <v>3540</v>
      </c>
      <c r="C2385" s="2" t="s">
        <v>3523</v>
      </c>
      <c r="D2385" s="2" t="s">
        <v>3524</v>
      </c>
    </row>
    <row r="2386">
      <c r="A2386" s="2" t="s">
        <v>3521</v>
      </c>
      <c r="B2386" s="2" t="s">
        <v>3541</v>
      </c>
      <c r="C2386" s="2" t="s">
        <v>3523</v>
      </c>
      <c r="D2386" s="2" t="s">
        <v>3524</v>
      </c>
    </row>
    <row r="2387">
      <c r="A2387" s="2" t="s">
        <v>3521</v>
      </c>
      <c r="B2387" s="2" t="s">
        <v>3542</v>
      </c>
      <c r="C2387" s="2" t="s">
        <v>3523</v>
      </c>
      <c r="D2387" s="2" t="s">
        <v>3524</v>
      </c>
    </row>
    <row r="2388">
      <c r="A2388" s="2" t="s">
        <v>3521</v>
      </c>
      <c r="B2388" s="2" t="s">
        <v>3543</v>
      </c>
      <c r="C2388" s="2" t="s">
        <v>3523</v>
      </c>
      <c r="D2388" s="2" t="s">
        <v>3524</v>
      </c>
    </row>
    <row r="2389">
      <c r="A2389" s="2" t="s">
        <v>3521</v>
      </c>
      <c r="B2389" s="2" t="s">
        <v>3544</v>
      </c>
      <c r="C2389" s="2" t="s">
        <v>3523</v>
      </c>
      <c r="D2389" s="2" t="s">
        <v>3524</v>
      </c>
    </row>
    <row r="2390">
      <c r="A2390" s="2" t="s">
        <v>3521</v>
      </c>
      <c r="B2390" s="2" t="s">
        <v>3545</v>
      </c>
      <c r="C2390" s="2" t="s">
        <v>3523</v>
      </c>
      <c r="D2390" s="2" t="s">
        <v>3524</v>
      </c>
    </row>
    <row r="2391">
      <c r="A2391" s="2" t="s">
        <v>3521</v>
      </c>
      <c r="B2391" s="2" t="s">
        <v>3546</v>
      </c>
      <c r="C2391" s="2" t="s">
        <v>3523</v>
      </c>
      <c r="D2391" s="2" t="s">
        <v>3524</v>
      </c>
    </row>
    <row r="2392">
      <c r="A2392" s="2" t="s">
        <v>3521</v>
      </c>
      <c r="B2392" s="2" t="s">
        <v>3547</v>
      </c>
      <c r="C2392" s="2" t="s">
        <v>3523</v>
      </c>
      <c r="D2392" s="2" t="s">
        <v>3524</v>
      </c>
    </row>
    <row r="2393">
      <c r="A2393" s="2" t="s">
        <v>3521</v>
      </c>
      <c r="B2393" s="2" t="s">
        <v>3548</v>
      </c>
      <c r="C2393" s="2" t="s">
        <v>3523</v>
      </c>
      <c r="D2393" s="2" t="s">
        <v>3524</v>
      </c>
    </row>
    <row r="2394">
      <c r="A2394" s="2" t="s">
        <v>3521</v>
      </c>
      <c r="B2394" s="2" t="s">
        <v>3549</v>
      </c>
      <c r="C2394" s="2" t="s">
        <v>3523</v>
      </c>
      <c r="D2394" s="2" t="s">
        <v>3524</v>
      </c>
    </row>
    <row r="2395">
      <c r="A2395" s="2" t="s">
        <v>3521</v>
      </c>
      <c r="B2395" s="2" t="s">
        <v>3550</v>
      </c>
      <c r="C2395" s="2" t="s">
        <v>3523</v>
      </c>
      <c r="D2395" s="2" t="s">
        <v>3524</v>
      </c>
    </row>
    <row r="2396">
      <c r="A2396" s="2" t="s">
        <v>3521</v>
      </c>
      <c r="B2396" s="2" t="s">
        <v>3551</v>
      </c>
      <c r="C2396" s="2" t="s">
        <v>3523</v>
      </c>
      <c r="D2396" s="2" t="s">
        <v>3524</v>
      </c>
    </row>
    <row r="2397">
      <c r="A2397" s="2" t="s">
        <v>3521</v>
      </c>
      <c r="B2397" s="2" t="s">
        <v>3552</v>
      </c>
      <c r="C2397" s="2" t="s">
        <v>3523</v>
      </c>
      <c r="D2397" s="2" t="s">
        <v>3524</v>
      </c>
    </row>
    <row r="2398">
      <c r="A2398" s="2" t="s">
        <v>3521</v>
      </c>
      <c r="B2398" s="2" t="s">
        <v>3553</v>
      </c>
      <c r="C2398" s="2" t="s">
        <v>3523</v>
      </c>
      <c r="D2398" s="2" t="s">
        <v>3524</v>
      </c>
    </row>
    <row r="2399">
      <c r="A2399" s="2" t="s">
        <v>3521</v>
      </c>
      <c r="B2399" s="2" t="s">
        <v>3554</v>
      </c>
      <c r="C2399" s="2" t="s">
        <v>3523</v>
      </c>
      <c r="D2399" s="2" t="s">
        <v>3524</v>
      </c>
    </row>
    <row r="2400">
      <c r="A2400" s="2" t="s">
        <v>3521</v>
      </c>
      <c r="B2400" s="2" t="s">
        <v>3555</v>
      </c>
      <c r="C2400" s="2" t="s">
        <v>3523</v>
      </c>
      <c r="D2400" s="2" t="s">
        <v>3524</v>
      </c>
    </row>
    <row r="2401">
      <c r="A2401" s="2" t="s">
        <v>3521</v>
      </c>
      <c r="B2401" s="2" t="s">
        <v>3556</v>
      </c>
      <c r="C2401" s="2" t="s">
        <v>3523</v>
      </c>
      <c r="D2401" s="2" t="s">
        <v>3524</v>
      </c>
    </row>
    <row r="2402">
      <c r="A2402" s="2" t="s">
        <v>3521</v>
      </c>
      <c r="B2402" s="2" t="s">
        <v>3557</v>
      </c>
      <c r="C2402" s="2" t="s">
        <v>3523</v>
      </c>
      <c r="D2402" s="2" t="s">
        <v>3524</v>
      </c>
    </row>
    <row r="2403">
      <c r="A2403" s="2" t="s">
        <v>3521</v>
      </c>
      <c r="B2403" s="2" t="s">
        <v>3558</v>
      </c>
      <c r="C2403" s="2" t="s">
        <v>3523</v>
      </c>
      <c r="D2403" s="2" t="s">
        <v>3524</v>
      </c>
    </row>
    <row r="2404">
      <c r="A2404" s="2" t="s">
        <v>3521</v>
      </c>
      <c r="B2404" s="2" t="s">
        <v>3559</v>
      </c>
      <c r="C2404" s="2" t="s">
        <v>3523</v>
      </c>
      <c r="D2404" s="2" t="s">
        <v>3524</v>
      </c>
    </row>
    <row r="2405">
      <c r="A2405" s="2" t="s">
        <v>3521</v>
      </c>
      <c r="B2405" s="2" t="s">
        <v>3560</v>
      </c>
      <c r="C2405" s="2" t="s">
        <v>3523</v>
      </c>
      <c r="D2405" s="2" t="s">
        <v>3524</v>
      </c>
    </row>
    <row r="2406">
      <c r="A2406" s="2" t="s">
        <v>3521</v>
      </c>
      <c r="B2406" s="2" t="s">
        <v>3561</v>
      </c>
      <c r="C2406" s="2" t="s">
        <v>3523</v>
      </c>
      <c r="D2406" s="2" t="s">
        <v>3524</v>
      </c>
    </row>
    <row r="2407">
      <c r="A2407" s="2" t="s">
        <v>3521</v>
      </c>
      <c r="B2407" s="2" t="s">
        <v>3562</v>
      </c>
      <c r="C2407" s="2" t="s">
        <v>3523</v>
      </c>
      <c r="D2407" s="2" t="s">
        <v>3524</v>
      </c>
    </row>
    <row r="2408">
      <c r="A2408" s="2" t="s">
        <v>3521</v>
      </c>
      <c r="B2408" s="2" t="s">
        <v>3563</v>
      </c>
      <c r="C2408" s="2" t="s">
        <v>3523</v>
      </c>
      <c r="D2408" s="2" t="s">
        <v>3524</v>
      </c>
    </row>
    <row r="2409">
      <c r="A2409" s="2" t="s">
        <v>3521</v>
      </c>
      <c r="B2409" s="2" t="s">
        <v>3564</v>
      </c>
      <c r="C2409" s="2" t="s">
        <v>3523</v>
      </c>
      <c r="D2409" s="2" t="s">
        <v>3524</v>
      </c>
    </row>
    <row r="2410">
      <c r="A2410" s="2" t="s">
        <v>3521</v>
      </c>
      <c r="B2410" s="2" t="s">
        <v>3565</v>
      </c>
      <c r="C2410" s="2" t="s">
        <v>3523</v>
      </c>
      <c r="D2410" s="2" t="s">
        <v>3524</v>
      </c>
    </row>
    <row r="2411">
      <c r="A2411" s="2" t="s">
        <v>3521</v>
      </c>
      <c r="B2411" s="2" t="s">
        <v>3566</v>
      </c>
      <c r="C2411" s="2" t="s">
        <v>3523</v>
      </c>
      <c r="D2411" s="2" t="s">
        <v>3524</v>
      </c>
    </row>
    <row r="2412">
      <c r="A2412" s="2" t="s">
        <v>3521</v>
      </c>
      <c r="B2412" s="2" t="s">
        <v>3567</v>
      </c>
      <c r="C2412" s="2" t="s">
        <v>3523</v>
      </c>
      <c r="D2412" s="2" t="s">
        <v>3524</v>
      </c>
    </row>
    <row r="2413">
      <c r="A2413" s="2" t="s">
        <v>3521</v>
      </c>
      <c r="B2413" s="2" t="s">
        <v>3568</v>
      </c>
      <c r="C2413" s="2" t="s">
        <v>3523</v>
      </c>
      <c r="D2413" s="2" t="s">
        <v>3524</v>
      </c>
    </row>
    <row r="2414">
      <c r="A2414" s="2" t="s">
        <v>3521</v>
      </c>
      <c r="B2414" s="2" t="s">
        <v>3569</v>
      </c>
      <c r="C2414" s="2" t="s">
        <v>3523</v>
      </c>
      <c r="D2414" s="2" t="s">
        <v>3524</v>
      </c>
    </row>
    <row r="2415">
      <c r="A2415" s="2" t="s">
        <v>3521</v>
      </c>
      <c r="B2415" s="2" t="s">
        <v>3570</v>
      </c>
      <c r="C2415" s="2" t="s">
        <v>3523</v>
      </c>
      <c r="D2415" s="2" t="s">
        <v>3524</v>
      </c>
    </row>
    <row r="2416">
      <c r="A2416" s="2" t="s">
        <v>3521</v>
      </c>
      <c r="B2416" s="2" t="s">
        <v>3571</v>
      </c>
      <c r="C2416" s="2" t="s">
        <v>3523</v>
      </c>
      <c r="D2416" s="2" t="s">
        <v>3524</v>
      </c>
    </row>
    <row r="2417">
      <c r="A2417" s="2" t="s">
        <v>3521</v>
      </c>
      <c r="B2417" s="2" t="s">
        <v>3572</v>
      </c>
      <c r="C2417" s="2" t="s">
        <v>3523</v>
      </c>
      <c r="D2417" s="2" t="s">
        <v>3524</v>
      </c>
    </row>
    <row r="2418">
      <c r="A2418" s="2" t="s">
        <v>3521</v>
      </c>
      <c r="B2418" s="2" t="s">
        <v>3573</v>
      </c>
      <c r="C2418" s="2" t="s">
        <v>3523</v>
      </c>
      <c r="D2418" s="2" t="s">
        <v>3524</v>
      </c>
    </row>
    <row r="2419">
      <c r="A2419" s="2" t="s">
        <v>3521</v>
      </c>
      <c r="B2419" s="2" t="s">
        <v>3574</v>
      </c>
      <c r="C2419" s="2" t="s">
        <v>3523</v>
      </c>
      <c r="D2419" s="2" t="s">
        <v>3524</v>
      </c>
    </row>
    <row r="2420">
      <c r="A2420" s="2" t="s">
        <v>3521</v>
      </c>
      <c r="B2420" s="2" t="s">
        <v>3575</v>
      </c>
      <c r="C2420" s="2" t="s">
        <v>3523</v>
      </c>
      <c r="D2420" s="2" t="s">
        <v>3524</v>
      </c>
    </row>
    <row r="2421">
      <c r="A2421" s="2" t="s">
        <v>3521</v>
      </c>
      <c r="B2421" s="2" t="s">
        <v>3576</v>
      </c>
      <c r="C2421" s="2" t="s">
        <v>3523</v>
      </c>
      <c r="D2421" s="2" t="s">
        <v>3524</v>
      </c>
    </row>
    <row r="2422">
      <c r="A2422" s="2" t="s">
        <v>3521</v>
      </c>
      <c r="B2422" s="2" t="s">
        <v>3577</v>
      </c>
      <c r="C2422" s="2" t="s">
        <v>3523</v>
      </c>
      <c r="D2422" s="2" t="s">
        <v>3524</v>
      </c>
    </row>
    <row r="2423">
      <c r="A2423" s="2" t="s">
        <v>3521</v>
      </c>
      <c r="B2423" s="2" t="s">
        <v>3578</v>
      </c>
      <c r="C2423" s="2" t="s">
        <v>3523</v>
      </c>
      <c r="D2423" s="2" t="s">
        <v>3524</v>
      </c>
    </row>
    <row r="2424">
      <c r="A2424" s="2" t="s">
        <v>3521</v>
      </c>
      <c r="B2424" s="2" t="s">
        <v>3579</v>
      </c>
      <c r="C2424" s="2" t="s">
        <v>3523</v>
      </c>
      <c r="D2424" s="2" t="s">
        <v>3524</v>
      </c>
    </row>
    <row r="2425">
      <c r="A2425" s="2" t="s">
        <v>3521</v>
      </c>
      <c r="B2425" s="2" t="s">
        <v>3580</v>
      </c>
      <c r="C2425" s="2" t="s">
        <v>3523</v>
      </c>
      <c r="D2425" s="2" t="s">
        <v>3524</v>
      </c>
    </row>
    <row r="2426">
      <c r="A2426" s="2" t="s">
        <v>3521</v>
      </c>
      <c r="B2426" s="2" t="s">
        <v>3581</v>
      </c>
      <c r="C2426" s="2" t="s">
        <v>3523</v>
      </c>
      <c r="D2426" s="2" t="s">
        <v>3524</v>
      </c>
    </row>
    <row r="2427">
      <c r="A2427" s="2" t="s">
        <v>3521</v>
      </c>
      <c r="B2427" s="2" t="s">
        <v>3582</v>
      </c>
      <c r="C2427" s="2" t="s">
        <v>3523</v>
      </c>
      <c r="D2427" s="2" t="s">
        <v>3524</v>
      </c>
    </row>
    <row r="2428">
      <c r="A2428" s="2" t="s">
        <v>3521</v>
      </c>
      <c r="B2428" s="2" t="s">
        <v>3583</v>
      </c>
      <c r="C2428" s="2" t="s">
        <v>3523</v>
      </c>
      <c r="D2428" s="2" t="s">
        <v>3524</v>
      </c>
    </row>
    <row r="2429">
      <c r="A2429" s="2" t="s">
        <v>3521</v>
      </c>
      <c r="B2429" s="2" t="s">
        <v>3584</v>
      </c>
      <c r="C2429" s="2" t="s">
        <v>3523</v>
      </c>
      <c r="D2429" s="2" t="s">
        <v>3524</v>
      </c>
    </row>
    <row r="2430">
      <c r="A2430" s="2" t="s">
        <v>3521</v>
      </c>
      <c r="B2430" s="2" t="s">
        <v>3585</v>
      </c>
      <c r="C2430" s="2" t="s">
        <v>3523</v>
      </c>
      <c r="D2430" s="2" t="s">
        <v>3524</v>
      </c>
    </row>
    <row r="2431">
      <c r="A2431" s="2" t="s">
        <v>3521</v>
      </c>
      <c r="B2431" s="2" t="s">
        <v>3586</v>
      </c>
      <c r="C2431" s="2" t="s">
        <v>3523</v>
      </c>
      <c r="D2431" s="2" t="s">
        <v>3524</v>
      </c>
    </row>
    <row r="2432">
      <c r="A2432" s="2" t="s">
        <v>3521</v>
      </c>
      <c r="B2432" s="2" t="s">
        <v>3587</v>
      </c>
      <c r="C2432" s="2" t="s">
        <v>3523</v>
      </c>
      <c r="D2432" s="2" t="s">
        <v>3524</v>
      </c>
    </row>
    <row r="2433">
      <c r="A2433" s="2" t="s">
        <v>3521</v>
      </c>
      <c r="B2433" s="2" t="s">
        <v>3588</v>
      </c>
      <c r="C2433" s="2" t="s">
        <v>3523</v>
      </c>
      <c r="D2433" s="2" t="s">
        <v>3524</v>
      </c>
    </row>
    <row r="2434">
      <c r="A2434" s="2" t="s">
        <v>3521</v>
      </c>
      <c r="B2434" s="2" t="s">
        <v>3589</v>
      </c>
      <c r="C2434" s="2" t="s">
        <v>3523</v>
      </c>
      <c r="D2434" s="2" t="s">
        <v>3524</v>
      </c>
    </row>
    <row r="2435">
      <c r="A2435" s="2" t="s">
        <v>3521</v>
      </c>
      <c r="B2435" s="2" t="s">
        <v>3590</v>
      </c>
      <c r="C2435" s="2" t="s">
        <v>3523</v>
      </c>
      <c r="D2435" s="2" t="s">
        <v>3524</v>
      </c>
    </row>
    <row r="2436">
      <c r="A2436" s="2" t="s">
        <v>3521</v>
      </c>
      <c r="B2436" s="2" t="s">
        <v>3591</v>
      </c>
      <c r="C2436" s="2" t="s">
        <v>3523</v>
      </c>
      <c r="D2436" s="2" t="s">
        <v>3524</v>
      </c>
    </row>
    <row r="2437">
      <c r="A2437" s="2" t="s">
        <v>3521</v>
      </c>
      <c r="B2437" s="2" t="s">
        <v>3592</v>
      </c>
      <c r="C2437" s="2" t="s">
        <v>3523</v>
      </c>
      <c r="D2437" s="2" t="s">
        <v>3524</v>
      </c>
    </row>
    <row r="2438">
      <c r="A2438" s="64" t="s">
        <v>3593</v>
      </c>
      <c r="B2438" s="2" t="s">
        <v>3594</v>
      </c>
      <c r="C2438" s="2" t="s">
        <v>3595</v>
      </c>
      <c r="D2438" s="2" t="s">
        <v>3595</v>
      </c>
    </row>
    <row r="2439">
      <c r="A2439" s="64" t="s">
        <v>3593</v>
      </c>
      <c r="B2439" s="2" t="s">
        <v>3596</v>
      </c>
      <c r="C2439" s="2" t="s">
        <v>3595</v>
      </c>
      <c r="D2439" s="2" t="s">
        <v>3595</v>
      </c>
    </row>
    <row r="2440">
      <c r="A2440" s="64" t="s">
        <v>3593</v>
      </c>
      <c r="B2440" s="2" t="s">
        <v>3597</v>
      </c>
      <c r="C2440" s="2" t="s">
        <v>3595</v>
      </c>
      <c r="D2440" s="2" t="s">
        <v>3595</v>
      </c>
    </row>
    <row r="2441">
      <c r="A2441" s="64" t="s">
        <v>3593</v>
      </c>
      <c r="B2441" s="2" t="s">
        <v>3598</v>
      </c>
      <c r="C2441" s="2" t="s">
        <v>3595</v>
      </c>
      <c r="D2441" s="2" t="s">
        <v>3595</v>
      </c>
    </row>
    <row r="2442">
      <c r="A2442" s="64" t="s">
        <v>3593</v>
      </c>
      <c r="B2442" s="2" t="s">
        <v>3599</v>
      </c>
      <c r="C2442" s="2" t="s">
        <v>3595</v>
      </c>
      <c r="D2442" s="2" t="s">
        <v>3595</v>
      </c>
    </row>
    <row r="2443">
      <c r="A2443" s="64" t="s">
        <v>3593</v>
      </c>
      <c r="B2443" s="2" t="s">
        <v>3600</v>
      </c>
      <c r="C2443" s="2" t="s">
        <v>3595</v>
      </c>
      <c r="D2443" s="2" t="s">
        <v>3595</v>
      </c>
    </row>
    <row r="2444">
      <c r="A2444" s="2" t="s">
        <v>3601</v>
      </c>
      <c r="B2444" s="2" t="s">
        <v>3602</v>
      </c>
      <c r="C2444" s="2" t="s">
        <v>3603</v>
      </c>
      <c r="D2444" s="2" t="s">
        <v>3604</v>
      </c>
    </row>
    <row r="2445">
      <c r="A2445" s="2" t="s">
        <v>3601</v>
      </c>
      <c r="B2445" s="2" t="s">
        <v>3605</v>
      </c>
      <c r="C2445" s="2" t="s">
        <v>3603</v>
      </c>
      <c r="D2445" s="2" t="s">
        <v>3604</v>
      </c>
    </row>
    <row r="2446">
      <c r="A2446" s="2" t="s">
        <v>3601</v>
      </c>
      <c r="B2446" s="2" t="s">
        <v>3606</v>
      </c>
      <c r="G2446" s="2" t="s">
        <v>3607</v>
      </c>
    </row>
    <row r="2447">
      <c r="A2447" s="2" t="s">
        <v>3601</v>
      </c>
      <c r="B2447" s="2" t="s">
        <v>3608</v>
      </c>
      <c r="G2447" s="2" t="s">
        <v>3607</v>
      </c>
    </row>
    <row r="2448">
      <c r="A2448" s="2" t="s">
        <v>3601</v>
      </c>
      <c r="B2448" s="2" t="s">
        <v>3609</v>
      </c>
      <c r="G2448" s="2" t="s">
        <v>3607</v>
      </c>
    </row>
    <row r="2449">
      <c r="A2449" s="2" t="s">
        <v>3601</v>
      </c>
      <c r="B2449" s="2" t="s">
        <v>3610</v>
      </c>
      <c r="G2449" s="2" t="s">
        <v>3607</v>
      </c>
    </row>
    <row r="2450">
      <c r="A2450" s="2" t="s">
        <v>3601</v>
      </c>
      <c r="B2450" s="2" t="s">
        <v>3611</v>
      </c>
      <c r="G2450" s="2" t="s">
        <v>3607</v>
      </c>
    </row>
    <row r="2451">
      <c r="A2451" s="2" t="s">
        <v>3601</v>
      </c>
      <c r="B2451" s="2" t="s">
        <v>3612</v>
      </c>
      <c r="G2451" s="2" t="s">
        <v>3607</v>
      </c>
    </row>
    <row r="2452">
      <c r="A2452" s="2" t="s">
        <v>3601</v>
      </c>
      <c r="B2452" s="2" t="s">
        <v>3613</v>
      </c>
      <c r="G2452" s="2" t="s">
        <v>3607</v>
      </c>
    </row>
    <row r="2453">
      <c r="A2453" s="2" t="s">
        <v>3614</v>
      </c>
      <c r="B2453" s="2" t="s">
        <v>3615</v>
      </c>
      <c r="C2453" s="2" t="s">
        <v>3616</v>
      </c>
      <c r="D2453" s="2" t="s">
        <v>3617</v>
      </c>
    </row>
    <row r="2454">
      <c r="A2454" s="2" t="s">
        <v>3614</v>
      </c>
      <c r="B2454" s="2" t="s">
        <v>3618</v>
      </c>
      <c r="C2454" s="2" t="s">
        <v>3616</v>
      </c>
      <c r="D2454" s="2" t="s">
        <v>3617</v>
      </c>
    </row>
    <row r="2455">
      <c r="A2455" s="2" t="s">
        <v>3614</v>
      </c>
      <c r="B2455" s="2" t="s">
        <v>3619</v>
      </c>
      <c r="C2455" s="2" t="s">
        <v>3616</v>
      </c>
      <c r="D2455" s="2" t="s">
        <v>3617</v>
      </c>
    </row>
    <row r="2456">
      <c r="A2456" s="2" t="s">
        <v>3614</v>
      </c>
      <c r="B2456" s="2" t="s">
        <v>3620</v>
      </c>
      <c r="C2456" s="2" t="s">
        <v>3616</v>
      </c>
      <c r="D2456" s="2" t="s">
        <v>3617</v>
      </c>
    </row>
    <row r="2457">
      <c r="A2457" s="2" t="s">
        <v>3614</v>
      </c>
      <c r="B2457" s="2" t="s">
        <v>3621</v>
      </c>
      <c r="C2457" s="2" t="s">
        <v>3616</v>
      </c>
      <c r="D2457" s="2" t="s">
        <v>3617</v>
      </c>
    </row>
    <row r="2458">
      <c r="A2458" s="2" t="s">
        <v>3614</v>
      </c>
      <c r="B2458" s="2" t="s">
        <v>3622</v>
      </c>
      <c r="C2458" s="2" t="s">
        <v>3616</v>
      </c>
      <c r="D2458" s="2" t="s">
        <v>3617</v>
      </c>
    </row>
    <row r="2459">
      <c r="A2459" s="2" t="s">
        <v>3614</v>
      </c>
      <c r="B2459" s="2" t="s">
        <v>3624</v>
      </c>
      <c r="C2459" s="2" t="s">
        <v>3616</v>
      </c>
      <c r="D2459" s="2" t="s">
        <v>3617</v>
      </c>
    </row>
    <row r="2460">
      <c r="A2460" s="2" t="s">
        <v>3614</v>
      </c>
      <c r="B2460" s="2" t="s">
        <v>3625</v>
      </c>
      <c r="C2460" s="2" t="s">
        <v>3616</v>
      </c>
      <c r="D2460" s="2" t="s">
        <v>3617</v>
      </c>
    </row>
    <row r="2461">
      <c r="A2461" s="2" t="s">
        <v>3614</v>
      </c>
      <c r="B2461" s="2" t="s">
        <v>3626</v>
      </c>
      <c r="C2461" s="2" t="s">
        <v>3616</v>
      </c>
      <c r="D2461" s="2" t="s">
        <v>3617</v>
      </c>
    </row>
    <row r="2462">
      <c r="A2462" s="2" t="s">
        <v>3614</v>
      </c>
      <c r="B2462" s="2" t="s">
        <v>3627</v>
      </c>
      <c r="C2462" s="2" t="s">
        <v>3616</v>
      </c>
      <c r="D2462" s="2" t="s">
        <v>3617</v>
      </c>
    </row>
    <row r="2463">
      <c r="A2463" s="2" t="s">
        <v>3614</v>
      </c>
      <c r="B2463" s="2" t="s">
        <v>3628</v>
      </c>
      <c r="C2463" s="2" t="s">
        <v>3616</v>
      </c>
      <c r="D2463" s="2" t="s">
        <v>3617</v>
      </c>
    </row>
    <row r="2464">
      <c r="A2464" s="2" t="s">
        <v>3614</v>
      </c>
      <c r="B2464" s="2" t="s">
        <v>3629</v>
      </c>
      <c r="C2464" s="2" t="s">
        <v>3616</v>
      </c>
      <c r="D2464" s="2" t="s">
        <v>3617</v>
      </c>
    </row>
    <row r="2465">
      <c r="A2465" s="2" t="s">
        <v>3614</v>
      </c>
      <c r="B2465" s="2" t="s">
        <v>3630</v>
      </c>
      <c r="C2465" s="2" t="s">
        <v>3616</v>
      </c>
      <c r="D2465" s="2" t="s">
        <v>3617</v>
      </c>
    </row>
    <row r="2466">
      <c r="A2466" s="2" t="s">
        <v>3614</v>
      </c>
      <c r="B2466" s="2" t="s">
        <v>3631</v>
      </c>
      <c r="C2466" s="2" t="s">
        <v>3616</v>
      </c>
      <c r="D2466" s="2" t="s">
        <v>3617</v>
      </c>
    </row>
    <row r="2467">
      <c r="A2467" s="2" t="s">
        <v>3632</v>
      </c>
      <c r="B2467" s="2" t="s">
        <v>3633</v>
      </c>
      <c r="C2467" s="2" t="s">
        <v>3616</v>
      </c>
      <c r="D2467" s="2" t="s">
        <v>3617</v>
      </c>
    </row>
    <row r="2468">
      <c r="A2468" s="2" t="s">
        <v>3632</v>
      </c>
      <c r="B2468" s="2" t="s">
        <v>3634</v>
      </c>
      <c r="C2468" s="2" t="s">
        <v>3616</v>
      </c>
      <c r="D2468" s="2" t="s">
        <v>3617</v>
      </c>
    </row>
    <row r="2469">
      <c r="A2469" s="2" t="s">
        <v>3632</v>
      </c>
      <c r="B2469" s="2" t="s">
        <v>3635</v>
      </c>
      <c r="C2469" s="2" t="s">
        <v>3616</v>
      </c>
      <c r="D2469" s="2" t="s">
        <v>3617</v>
      </c>
    </row>
    <row r="2470">
      <c r="A2470" s="2" t="s">
        <v>3632</v>
      </c>
      <c r="B2470" s="2" t="s">
        <v>3636</v>
      </c>
      <c r="C2470" s="2" t="s">
        <v>3616</v>
      </c>
      <c r="D2470" s="2" t="s">
        <v>3617</v>
      </c>
    </row>
    <row r="2471">
      <c r="A2471" s="2" t="s">
        <v>3632</v>
      </c>
      <c r="B2471" s="2" t="s">
        <v>3637</v>
      </c>
      <c r="C2471" s="2" t="s">
        <v>3616</v>
      </c>
      <c r="D2471" s="2" t="s">
        <v>3617</v>
      </c>
    </row>
    <row r="2472">
      <c r="A2472" s="2" t="s">
        <v>3632</v>
      </c>
      <c r="B2472" s="2" t="s">
        <v>3638</v>
      </c>
      <c r="C2472" s="2" t="s">
        <v>3616</v>
      </c>
      <c r="D2472" s="2" t="s">
        <v>3617</v>
      </c>
    </row>
    <row r="2473">
      <c r="A2473" s="2" t="s">
        <v>3632</v>
      </c>
      <c r="B2473" s="2" t="s">
        <v>3639</v>
      </c>
      <c r="C2473" s="2" t="s">
        <v>3616</v>
      </c>
      <c r="D2473" s="2" t="s">
        <v>3617</v>
      </c>
    </row>
    <row r="2474">
      <c r="A2474" s="2" t="s">
        <v>3632</v>
      </c>
      <c r="B2474" s="2" t="s">
        <v>3640</v>
      </c>
      <c r="C2474" s="2" t="s">
        <v>3616</v>
      </c>
      <c r="D2474" s="2" t="s">
        <v>3617</v>
      </c>
    </row>
    <row r="2475">
      <c r="A2475" s="2" t="s">
        <v>3632</v>
      </c>
      <c r="B2475" s="2" t="s">
        <v>3641</v>
      </c>
      <c r="C2475" s="2" t="s">
        <v>3616</v>
      </c>
      <c r="D2475" s="2" t="s">
        <v>3617</v>
      </c>
    </row>
    <row r="2476">
      <c r="A2476" s="2" t="s">
        <v>3632</v>
      </c>
      <c r="B2476" s="2" t="s">
        <v>3642</v>
      </c>
      <c r="C2476" s="2" t="s">
        <v>3616</v>
      </c>
      <c r="D2476" s="2" t="s">
        <v>3617</v>
      </c>
    </row>
    <row r="2477">
      <c r="A2477" s="2" t="s">
        <v>3632</v>
      </c>
      <c r="B2477" s="2" t="s">
        <v>3643</v>
      </c>
      <c r="C2477" s="2" t="s">
        <v>3616</v>
      </c>
      <c r="D2477" s="2" t="s">
        <v>3617</v>
      </c>
    </row>
    <row r="2478">
      <c r="A2478" s="2" t="s">
        <v>3632</v>
      </c>
      <c r="B2478" s="2" t="s">
        <v>3644</v>
      </c>
      <c r="C2478" s="2" t="s">
        <v>3616</v>
      </c>
      <c r="D2478" s="2" t="s">
        <v>3617</v>
      </c>
    </row>
    <row r="2479">
      <c r="A2479" s="2" t="s">
        <v>3614</v>
      </c>
      <c r="B2479" s="2" t="s">
        <v>3645</v>
      </c>
      <c r="C2479" s="2" t="s">
        <v>3616</v>
      </c>
      <c r="D2479" s="2" t="s">
        <v>3617</v>
      </c>
    </row>
    <row r="2480">
      <c r="A2480" s="2" t="s">
        <v>3614</v>
      </c>
      <c r="B2480" s="2" t="s">
        <v>3646</v>
      </c>
      <c r="C2480" s="2" t="s">
        <v>3616</v>
      </c>
      <c r="D2480" s="2" t="s">
        <v>3617</v>
      </c>
    </row>
    <row r="2481">
      <c r="A2481" s="2" t="s">
        <v>3614</v>
      </c>
      <c r="B2481" s="2" t="s">
        <v>3647</v>
      </c>
      <c r="C2481" s="2" t="s">
        <v>3616</v>
      </c>
      <c r="D2481" s="2" t="s">
        <v>3617</v>
      </c>
    </row>
    <row r="2482">
      <c r="A2482" s="2" t="s">
        <v>3614</v>
      </c>
      <c r="B2482" s="2" t="s">
        <v>3648</v>
      </c>
      <c r="C2482" s="2" t="s">
        <v>3616</v>
      </c>
      <c r="D2482" s="2" t="s">
        <v>3617</v>
      </c>
    </row>
    <row r="2483">
      <c r="A2483" s="2" t="s">
        <v>3614</v>
      </c>
      <c r="B2483" s="2" t="s">
        <v>3649</v>
      </c>
      <c r="C2483" s="2" t="s">
        <v>3616</v>
      </c>
      <c r="D2483" s="2" t="s">
        <v>3617</v>
      </c>
    </row>
    <row r="2484">
      <c r="A2484" s="2" t="s">
        <v>3614</v>
      </c>
      <c r="B2484" s="2" t="s">
        <v>3618</v>
      </c>
      <c r="C2484" s="2" t="s">
        <v>3616</v>
      </c>
      <c r="D2484" s="2" t="s">
        <v>3617</v>
      </c>
    </row>
    <row r="2485">
      <c r="A2485" s="2" t="s">
        <v>3614</v>
      </c>
      <c r="B2485" s="2" t="s">
        <v>3619</v>
      </c>
      <c r="C2485" s="2" t="s">
        <v>3616</v>
      </c>
      <c r="D2485" s="2" t="s">
        <v>3617</v>
      </c>
    </row>
    <row r="2486">
      <c r="A2486" s="2" t="s">
        <v>3614</v>
      </c>
      <c r="B2486" s="2" t="s">
        <v>3650</v>
      </c>
      <c r="C2486" s="2" t="s">
        <v>3616</v>
      </c>
      <c r="D2486" s="2" t="s">
        <v>3617</v>
      </c>
    </row>
    <row r="2487">
      <c r="A2487" s="2" t="s">
        <v>3614</v>
      </c>
      <c r="B2487" s="2" t="s">
        <v>3651</v>
      </c>
      <c r="C2487" s="2" t="s">
        <v>3616</v>
      </c>
      <c r="D2487" s="2" t="s">
        <v>3617</v>
      </c>
    </row>
    <row r="2488">
      <c r="A2488" s="2" t="s">
        <v>3614</v>
      </c>
      <c r="B2488" s="2" t="s">
        <v>3652</v>
      </c>
      <c r="C2488" s="2" t="s">
        <v>3616</v>
      </c>
      <c r="D2488" s="2" t="s">
        <v>3617</v>
      </c>
    </row>
    <row r="2489">
      <c r="A2489" s="2" t="s">
        <v>3614</v>
      </c>
      <c r="B2489" s="2" t="s">
        <v>3653</v>
      </c>
      <c r="C2489" s="2" t="s">
        <v>3616</v>
      </c>
      <c r="D2489" s="2" t="s">
        <v>3617</v>
      </c>
    </row>
    <row r="2490">
      <c r="A2490" s="2" t="s">
        <v>3614</v>
      </c>
      <c r="B2490" s="2" t="s">
        <v>3654</v>
      </c>
      <c r="C2490" s="2" t="s">
        <v>3616</v>
      </c>
      <c r="D2490" s="2" t="s">
        <v>3617</v>
      </c>
    </row>
    <row r="2491">
      <c r="A2491" s="2" t="s">
        <v>3614</v>
      </c>
      <c r="B2491" s="2" t="s">
        <v>3655</v>
      </c>
      <c r="C2491" s="2" t="s">
        <v>3616</v>
      </c>
      <c r="D2491" s="2" t="s">
        <v>3617</v>
      </c>
    </row>
    <row r="2492">
      <c r="A2492" s="2" t="s">
        <v>3614</v>
      </c>
      <c r="B2492" s="2" t="s">
        <v>3656</v>
      </c>
      <c r="C2492" s="2" t="s">
        <v>3616</v>
      </c>
      <c r="D2492" s="2" t="s">
        <v>3617</v>
      </c>
    </row>
    <row r="2493">
      <c r="A2493" s="2" t="s">
        <v>3614</v>
      </c>
      <c r="B2493" s="2" t="s">
        <v>3657</v>
      </c>
      <c r="C2493" s="2" t="s">
        <v>3616</v>
      </c>
      <c r="D2493" s="2" t="s">
        <v>3617</v>
      </c>
    </row>
    <row r="2494">
      <c r="A2494" s="2" t="s">
        <v>3614</v>
      </c>
      <c r="B2494" s="2" t="s">
        <v>3658</v>
      </c>
      <c r="C2494" s="2" t="s">
        <v>3616</v>
      </c>
      <c r="D2494" s="2" t="s">
        <v>3617</v>
      </c>
    </row>
    <row r="2495">
      <c r="A2495" s="2" t="s">
        <v>3614</v>
      </c>
      <c r="B2495" s="2" t="s">
        <v>3659</v>
      </c>
      <c r="C2495" s="2" t="s">
        <v>3616</v>
      </c>
      <c r="D2495" s="2" t="s">
        <v>3617</v>
      </c>
    </row>
    <row r="2496">
      <c r="A2496" s="2" t="s">
        <v>3614</v>
      </c>
      <c r="B2496" s="2" t="s">
        <v>3660</v>
      </c>
      <c r="C2496" s="2" t="s">
        <v>3616</v>
      </c>
      <c r="D2496" s="2" t="s">
        <v>3617</v>
      </c>
    </row>
    <row r="2497">
      <c r="A2497" s="2" t="s">
        <v>3614</v>
      </c>
      <c r="B2497" s="2" t="s">
        <v>3661</v>
      </c>
      <c r="C2497" s="2" t="s">
        <v>3616</v>
      </c>
      <c r="D2497" s="2" t="s">
        <v>3617</v>
      </c>
    </row>
    <row r="2498">
      <c r="A2498" s="2" t="s">
        <v>3614</v>
      </c>
      <c r="B2498" s="2" t="s">
        <v>3662</v>
      </c>
      <c r="C2498" s="2" t="s">
        <v>3616</v>
      </c>
      <c r="D2498" s="2" t="s">
        <v>3617</v>
      </c>
    </row>
    <row r="2499">
      <c r="A2499" s="2" t="s">
        <v>3614</v>
      </c>
      <c r="B2499" s="2" t="s">
        <v>3663</v>
      </c>
      <c r="C2499" s="2" t="s">
        <v>3616</v>
      </c>
      <c r="D2499" s="2" t="s">
        <v>3617</v>
      </c>
    </row>
    <row r="2500">
      <c r="A2500" s="2" t="s">
        <v>3614</v>
      </c>
      <c r="B2500" s="2" t="s">
        <v>3626</v>
      </c>
      <c r="C2500" s="2" t="s">
        <v>3616</v>
      </c>
      <c r="D2500" s="2" t="s">
        <v>3617</v>
      </c>
    </row>
    <row r="2501">
      <c r="A2501" s="2" t="s">
        <v>3614</v>
      </c>
      <c r="B2501" s="2" t="s">
        <v>3664</v>
      </c>
      <c r="C2501" s="2" t="s">
        <v>3616</v>
      </c>
      <c r="D2501" s="2" t="s">
        <v>3617</v>
      </c>
    </row>
    <row r="2502">
      <c r="A2502" s="2" t="s">
        <v>3614</v>
      </c>
      <c r="B2502" s="2" t="s">
        <v>3665</v>
      </c>
      <c r="C2502" s="2" t="s">
        <v>3616</v>
      </c>
      <c r="D2502" s="2" t="s">
        <v>3617</v>
      </c>
    </row>
    <row r="2503">
      <c r="A2503" s="2" t="s">
        <v>3614</v>
      </c>
      <c r="B2503" s="2" t="s">
        <v>3628</v>
      </c>
      <c r="C2503" s="2" t="s">
        <v>3616</v>
      </c>
      <c r="D2503" s="2" t="s">
        <v>3617</v>
      </c>
    </row>
    <row r="2504">
      <c r="A2504" s="2" t="s">
        <v>3614</v>
      </c>
      <c r="B2504" s="2" t="s">
        <v>3666</v>
      </c>
      <c r="C2504" s="2" t="s">
        <v>3616</v>
      </c>
      <c r="D2504" s="2" t="s">
        <v>3617</v>
      </c>
    </row>
    <row r="2505">
      <c r="A2505" s="2" t="s">
        <v>3614</v>
      </c>
      <c r="B2505" s="2" t="s">
        <v>3667</v>
      </c>
      <c r="C2505" s="2" t="s">
        <v>3616</v>
      </c>
      <c r="D2505" s="2" t="s">
        <v>3617</v>
      </c>
    </row>
    <row r="2506">
      <c r="A2506" s="2" t="s">
        <v>3614</v>
      </c>
      <c r="B2506" s="2" t="s">
        <v>3668</v>
      </c>
      <c r="C2506" s="2" t="s">
        <v>3616</v>
      </c>
      <c r="D2506" s="2" t="s">
        <v>3617</v>
      </c>
    </row>
    <row r="2507">
      <c r="A2507" s="2" t="s">
        <v>3614</v>
      </c>
      <c r="B2507" s="2" t="s">
        <v>3669</v>
      </c>
      <c r="C2507" s="2" t="s">
        <v>3616</v>
      </c>
      <c r="D2507" s="2" t="s">
        <v>3617</v>
      </c>
    </row>
    <row r="2508">
      <c r="A2508" s="2" t="s">
        <v>3614</v>
      </c>
      <c r="B2508" s="2" t="s">
        <v>3670</v>
      </c>
      <c r="C2508" s="2" t="s">
        <v>3616</v>
      </c>
      <c r="D2508" s="2" t="s">
        <v>3617</v>
      </c>
    </row>
    <row r="2509">
      <c r="A2509" s="2" t="s">
        <v>3632</v>
      </c>
      <c r="B2509" s="2" t="s">
        <v>3671</v>
      </c>
      <c r="C2509" s="2" t="s">
        <v>3616</v>
      </c>
      <c r="D2509" s="2" t="s">
        <v>3617</v>
      </c>
    </row>
    <row r="2510">
      <c r="A2510" s="2" t="s">
        <v>3632</v>
      </c>
      <c r="B2510" s="2" t="s">
        <v>3672</v>
      </c>
      <c r="C2510" s="2" t="s">
        <v>3616</v>
      </c>
      <c r="D2510" s="2" t="s">
        <v>3617</v>
      </c>
    </row>
    <row r="2511">
      <c r="A2511" s="2" t="s">
        <v>3632</v>
      </c>
      <c r="B2511" s="2" t="s">
        <v>3673</v>
      </c>
      <c r="C2511" s="2" t="s">
        <v>3616</v>
      </c>
      <c r="D2511" s="2" t="s">
        <v>3617</v>
      </c>
    </row>
    <row r="2512">
      <c r="A2512" s="2" t="s">
        <v>3632</v>
      </c>
      <c r="B2512" s="2" t="s">
        <v>3674</v>
      </c>
      <c r="C2512" s="2" t="s">
        <v>3616</v>
      </c>
      <c r="D2512" s="2" t="s">
        <v>3617</v>
      </c>
    </row>
    <row r="2513">
      <c r="A2513" s="2" t="s">
        <v>3632</v>
      </c>
      <c r="B2513" s="2" t="s">
        <v>3675</v>
      </c>
      <c r="C2513" s="2" t="s">
        <v>3616</v>
      </c>
      <c r="D2513" s="2" t="s">
        <v>3617</v>
      </c>
    </row>
    <row r="2514">
      <c r="A2514" s="2" t="s">
        <v>3632</v>
      </c>
      <c r="B2514" s="2" t="s">
        <v>3676</v>
      </c>
      <c r="C2514" s="2" t="s">
        <v>3616</v>
      </c>
      <c r="D2514" s="2" t="s">
        <v>3617</v>
      </c>
    </row>
    <row r="2515">
      <c r="A2515" s="2" t="s">
        <v>3632</v>
      </c>
      <c r="B2515" s="2" t="s">
        <v>3677</v>
      </c>
      <c r="C2515" s="2" t="s">
        <v>3616</v>
      </c>
      <c r="D2515" s="2" t="s">
        <v>3617</v>
      </c>
    </row>
    <row r="2516">
      <c r="A2516" s="2" t="s">
        <v>3632</v>
      </c>
      <c r="B2516" s="2" t="s">
        <v>3678</v>
      </c>
      <c r="C2516" s="2" t="s">
        <v>3616</v>
      </c>
      <c r="D2516" s="2" t="s">
        <v>3617</v>
      </c>
    </row>
    <row r="2517">
      <c r="A2517" s="2" t="s">
        <v>3632</v>
      </c>
      <c r="B2517" s="2" t="s">
        <v>3679</v>
      </c>
      <c r="C2517" s="2" t="s">
        <v>3616</v>
      </c>
      <c r="D2517" s="2" t="s">
        <v>3617</v>
      </c>
    </row>
    <row r="2518">
      <c r="A2518" s="2" t="s">
        <v>3632</v>
      </c>
      <c r="B2518" s="2" t="s">
        <v>3680</v>
      </c>
      <c r="C2518" s="2" t="s">
        <v>3616</v>
      </c>
      <c r="D2518" s="2" t="s">
        <v>3617</v>
      </c>
    </row>
    <row r="2519">
      <c r="A2519" s="2" t="s">
        <v>3632</v>
      </c>
      <c r="B2519" s="2" t="s">
        <v>3681</v>
      </c>
      <c r="C2519" s="2" t="s">
        <v>3616</v>
      </c>
      <c r="D2519" s="2" t="s">
        <v>3617</v>
      </c>
    </row>
    <row r="2520">
      <c r="A2520" s="2" t="s">
        <v>3632</v>
      </c>
      <c r="B2520" s="2" t="s">
        <v>3682</v>
      </c>
      <c r="C2520" s="2" t="s">
        <v>3616</v>
      </c>
      <c r="D2520" s="2" t="s">
        <v>3617</v>
      </c>
    </row>
    <row r="2521">
      <c r="A2521" s="2" t="s">
        <v>3632</v>
      </c>
      <c r="B2521" s="2" t="s">
        <v>3683</v>
      </c>
      <c r="C2521" s="2" t="s">
        <v>3616</v>
      </c>
      <c r="D2521" s="2" t="s">
        <v>3617</v>
      </c>
    </row>
    <row r="2522">
      <c r="A2522" s="2" t="s">
        <v>3632</v>
      </c>
      <c r="B2522" s="2" t="s">
        <v>3684</v>
      </c>
      <c r="C2522" s="2" t="s">
        <v>3616</v>
      </c>
      <c r="D2522" s="2" t="s">
        <v>3617</v>
      </c>
    </row>
    <row r="2523">
      <c r="A2523" s="2" t="s">
        <v>3632</v>
      </c>
      <c r="B2523" s="2" t="s">
        <v>3685</v>
      </c>
      <c r="C2523" s="2" t="s">
        <v>3616</v>
      </c>
      <c r="D2523" s="2" t="s">
        <v>3617</v>
      </c>
    </row>
    <row r="2524">
      <c r="A2524" s="2" t="s">
        <v>3632</v>
      </c>
      <c r="B2524" s="2" t="s">
        <v>3686</v>
      </c>
      <c r="C2524" s="2" t="s">
        <v>3616</v>
      </c>
      <c r="D2524" s="2" t="s">
        <v>3617</v>
      </c>
    </row>
    <row r="2525">
      <c r="A2525" s="2" t="s">
        <v>3632</v>
      </c>
      <c r="B2525" s="2" t="s">
        <v>3687</v>
      </c>
      <c r="C2525" s="2" t="s">
        <v>3616</v>
      </c>
      <c r="D2525" s="2" t="s">
        <v>3617</v>
      </c>
    </row>
    <row r="2526">
      <c r="A2526" s="2" t="s">
        <v>3632</v>
      </c>
      <c r="B2526" s="2" t="s">
        <v>3688</v>
      </c>
      <c r="C2526" s="2" t="s">
        <v>3616</v>
      </c>
      <c r="D2526" s="2" t="s">
        <v>3617</v>
      </c>
    </row>
    <row r="2527">
      <c r="A2527" s="2" t="s">
        <v>3632</v>
      </c>
      <c r="B2527" s="2" t="s">
        <v>3689</v>
      </c>
      <c r="C2527" s="2" t="s">
        <v>3616</v>
      </c>
      <c r="D2527" s="2" t="s">
        <v>3617</v>
      </c>
    </row>
    <row r="2528">
      <c r="A2528" s="2" t="s">
        <v>3632</v>
      </c>
      <c r="B2528" s="2" t="s">
        <v>3690</v>
      </c>
      <c r="C2528" s="2" t="s">
        <v>3616</v>
      </c>
      <c r="D2528" s="2" t="s">
        <v>3617</v>
      </c>
    </row>
    <row r="2529">
      <c r="A2529" s="2" t="s">
        <v>3632</v>
      </c>
      <c r="B2529" s="2" t="s">
        <v>3691</v>
      </c>
      <c r="C2529" s="2" t="s">
        <v>3616</v>
      </c>
      <c r="D2529" s="2" t="s">
        <v>3617</v>
      </c>
    </row>
    <row r="2530">
      <c r="A2530" s="2" t="s">
        <v>3632</v>
      </c>
      <c r="B2530" s="2" t="s">
        <v>3692</v>
      </c>
      <c r="C2530" s="2" t="s">
        <v>3616</v>
      </c>
      <c r="D2530" s="2" t="s">
        <v>3617</v>
      </c>
    </row>
    <row r="2531">
      <c r="A2531" s="2" t="s">
        <v>3632</v>
      </c>
      <c r="B2531" s="2" t="s">
        <v>3693</v>
      </c>
      <c r="C2531" s="2" t="s">
        <v>3616</v>
      </c>
      <c r="D2531" s="2" t="s">
        <v>3617</v>
      </c>
    </row>
    <row r="2532">
      <c r="A2532" s="2" t="s">
        <v>3632</v>
      </c>
      <c r="B2532" s="2" t="s">
        <v>3694</v>
      </c>
      <c r="C2532" s="2" t="s">
        <v>3616</v>
      </c>
      <c r="D2532" s="2" t="s">
        <v>3617</v>
      </c>
    </row>
    <row r="2533">
      <c r="A2533" s="2" t="s">
        <v>3632</v>
      </c>
      <c r="B2533" s="2" t="s">
        <v>3695</v>
      </c>
      <c r="C2533" s="2" t="s">
        <v>3616</v>
      </c>
      <c r="D2533" s="2" t="s">
        <v>3617</v>
      </c>
    </row>
    <row r="2534">
      <c r="A2534" s="2" t="s">
        <v>3632</v>
      </c>
      <c r="B2534" s="2" t="s">
        <v>3696</v>
      </c>
      <c r="C2534" s="2" t="s">
        <v>3616</v>
      </c>
      <c r="D2534" s="2" t="s">
        <v>3617</v>
      </c>
    </row>
    <row r="2535">
      <c r="A2535" s="2" t="s">
        <v>3632</v>
      </c>
      <c r="B2535" s="2" t="s">
        <v>3697</v>
      </c>
      <c r="C2535" s="2" t="s">
        <v>3616</v>
      </c>
      <c r="D2535" s="2" t="s">
        <v>3617</v>
      </c>
    </row>
    <row r="2536">
      <c r="A2536" s="2" t="s">
        <v>3632</v>
      </c>
      <c r="B2536" s="2" t="s">
        <v>3698</v>
      </c>
      <c r="C2536" s="2" t="s">
        <v>3616</v>
      </c>
      <c r="D2536" s="2" t="s">
        <v>3617</v>
      </c>
    </row>
    <row r="2537">
      <c r="A2537" s="2" t="s">
        <v>3632</v>
      </c>
      <c r="B2537" s="2" t="s">
        <v>3699</v>
      </c>
      <c r="C2537" s="2" t="s">
        <v>3616</v>
      </c>
      <c r="D2537" s="2" t="s">
        <v>3617</v>
      </c>
    </row>
    <row r="2538">
      <c r="A2538" s="2" t="s">
        <v>3632</v>
      </c>
      <c r="B2538" s="2" t="s">
        <v>3700</v>
      </c>
      <c r="C2538" s="2" t="s">
        <v>3616</v>
      </c>
      <c r="D2538" s="2" t="s">
        <v>3617</v>
      </c>
    </row>
    <row r="2539">
      <c r="A2539" s="2" t="s">
        <v>3632</v>
      </c>
      <c r="B2539" s="2" t="s">
        <v>3701</v>
      </c>
      <c r="C2539" s="2" t="s">
        <v>3616</v>
      </c>
      <c r="D2539" s="2" t="s">
        <v>3617</v>
      </c>
    </row>
    <row r="2540">
      <c r="A2540" s="2" t="s">
        <v>3632</v>
      </c>
      <c r="B2540" s="2" t="s">
        <v>3702</v>
      </c>
      <c r="C2540" s="2" t="s">
        <v>3616</v>
      </c>
      <c r="D2540" s="2" t="s">
        <v>3617</v>
      </c>
    </row>
    <row r="2541">
      <c r="A2541" s="2" t="s">
        <v>3632</v>
      </c>
      <c r="B2541" s="2" t="s">
        <v>3703</v>
      </c>
      <c r="C2541" s="2" t="s">
        <v>3616</v>
      </c>
      <c r="D2541" s="2" t="s">
        <v>3617</v>
      </c>
    </row>
    <row r="2542">
      <c r="A2542" s="2" t="s">
        <v>3632</v>
      </c>
      <c r="B2542" s="2" t="s">
        <v>3704</v>
      </c>
      <c r="C2542" s="2" t="s">
        <v>3616</v>
      </c>
      <c r="D2542" s="2" t="s">
        <v>3617</v>
      </c>
    </row>
    <row r="2543">
      <c r="A2543" s="2" t="s">
        <v>3632</v>
      </c>
      <c r="B2543" s="2" t="s">
        <v>3705</v>
      </c>
      <c r="C2543" s="2" t="s">
        <v>3616</v>
      </c>
      <c r="D2543" s="2" t="s">
        <v>3617</v>
      </c>
    </row>
    <row r="2544">
      <c r="A2544" s="2" t="s">
        <v>3632</v>
      </c>
      <c r="B2544" s="2" t="s">
        <v>3706</v>
      </c>
      <c r="C2544" s="2" t="s">
        <v>3616</v>
      </c>
      <c r="D2544" s="2" t="s">
        <v>3617</v>
      </c>
    </row>
    <row r="2545">
      <c r="A2545" s="2" t="s">
        <v>3632</v>
      </c>
      <c r="B2545" s="2" t="s">
        <v>3707</v>
      </c>
      <c r="C2545" s="2" t="s">
        <v>3616</v>
      </c>
      <c r="D2545" s="2" t="s">
        <v>3617</v>
      </c>
    </row>
    <row r="2546">
      <c r="A2546" s="2" t="s">
        <v>3632</v>
      </c>
      <c r="B2546" s="2" t="s">
        <v>3708</v>
      </c>
      <c r="C2546" s="2" t="s">
        <v>3616</v>
      </c>
      <c r="D2546" s="2" t="s">
        <v>3617</v>
      </c>
    </row>
    <row r="2547">
      <c r="A2547" s="2" t="s">
        <v>3632</v>
      </c>
      <c r="B2547" s="2" t="s">
        <v>3709</v>
      </c>
      <c r="C2547" s="2" t="s">
        <v>3616</v>
      </c>
      <c r="D2547" s="2" t="s">
        <v>3617</v>
      </c>
    </row>
    <row r="2548">
      <c r="A2548" s="2" t="s">
        <v>3632</v>
      </c>
      <c r="B2548" s="2" t="s">
        <v>3710</v>
      </c>
      <c r="C2548" s="2" t="s">
        <v>3616</v>
      </c>
      <c r="D2548" s="2" t="s">
        <v>3617</v>
      </c>
    </row>
    <row r="2549">
      <c r="A2549" s="2" t="s">
        <v>3632</v>
      </c>
      <c r="B2549" s="2" t="s">
        <v>3711</v>
      </c>
      <c r="C2549" s="2" t="s">
        <v>3616</v>
      </c>
      <c r="D2549" s="2" t="s">
        <v>3617</v>
      </c>
    </row>
    <row r="2550">
      <c r="A2550" s="2" t="s">
        <v>3632</v>
      </c>
      <c r="B2550" s="2" t="s">
        <v>3712</v>
      </c>
      <c r="C2550" s="2" t="s">
        <v>3616</v>
      </c>
      <c r="D2550" s="2" t="s">
        <v>3617</v>
      </c>
    </row>
    <row r="2551">
      <c r="A2551" s="2" t="s">
        <v>3632</v>
      </c>
      <c r="B2551" s="2" t="s">
        <v>3713</v>
      </c>
      <c r="C2551" s="2" t="s">
        <v>3616</v>
      </c>
      <c r="D2551" s="2" t="s">
        <v>3617</v>
      </c>
    </row>
    <row r="2552">
      <c r="A2552" s="2" t="s">
        <v>3632</v>
      </c>
      <c r="B2552" s="2" t="s">
        <v>3714</v>
      </c>
      <c r="C2552" s="2" t="s">
        <v>3616</v>
      </c>
      <c r="D2552" s="2" t="s">
        <v>3617</v>
      </c>
    </row>
    <row r="2553">
      <c r="A2553" s="2" t="s">
        <v>3715</v>
      </c>
      <c r="B2553" s="2" t="s">
        <v>3716</v>
      </c>
      <c r="C2553" s="2" t="s">
        <v>3717</v>
      </c>
      <c r="D2553" s="2" t="s">
        <v>3718</v>
      </c>
    </row>
    <row r="2554">
      <c r="A2554" s="2" t="s">
        <v>3715</v>
      </c>
      <c r="B2554" s="2" t="s">
        <v>3716</v>
      </c>
      <c r="C2554" s="2" t="s">
        <v>3719</v>
      </c>
      <c r="D2554" s="2" t="s">
        <v>3718</v>
      </c>
    </row>
    <row r="2555">
      <c r="A2555" s="2" t="s">
        <v>3715</v>
      </c>
      <c r="B2555" s="2" t="s">
        <v>3720</v>
      </c>
      <c r="C2555" s="2" t="s">
        <v>3721</v>
      </c>
      <c r="D2555" s="2" t="s">
        <v>3722</v>
      </c>
    </row>
    <row r="2556">
      <c r="A2556" s="2" t="s">
        <v>3715</v>
      </c>
      <c r="B2556" s="2" t="s">
        <v>3720</v>
      </c>
      <c r="C2556" s="2" t="s">
        <v>3723</v>
      </c>
      <c r="D2556" s="2" t="s">
        <v>3722</v>
      </c>
    </row>
    <row r="2557">
      <c r="A2557" s="2" t="s">
        <v>3715</v>
      </c>
      <c r="B2557" s="2" t="s">
        <v>3724</v>
      </c>
      <c r="C2557" s="2" t="s">
        <v>3725</v>
      </c>
      <c r="D2557" s="2" t="s">
        <v>3726</v>
      </c>
    </row>
    <row r="2558">
      <c r="A2558" s="2" t="s">
        <v>3715</v>
      </c>
      <c r="B2558" s="2" t="s">
        <v>3727</v>
      </c>
      <c r="G2558" s="2" t="s">
        <v>3728</v>
      </c>
      <c r="H2558" s="2" t="s">
        <v>3729</v>
      </c>
    </row>
    <row r="2559">
      <c r="A2559" s="2" t="s">
        <v>3715</v>
      </c>
      <c r="B2559" s="2" t="s">
        <v>3730</v>
      </c>
      <c r="G2559" s="2" t="s">
        <v>3731</v>
      </c>
      <c r="H2559" s="2" t="s">
        <v>3732</v>
      </c>
    </row>
    <row r="2560">
      <c r="A2560" s="2" t="s">
        <v>3715</v>
      </c>
      <c r="B2560" s="2" t="s">
        <v>3733</v>
      </c>
      <c r="G2560" s="2" t="s">
        <v>3734</v>
      </c>
      <c r="H2560" s="2" t="s">
        <v>3735</v>
      </c>
    </row>
    <row r="2561">
      <c r="A2561" s="2" t="s">
        <v>3715</v>
      </c>
      <c r="B2561" s="2" t="s">
        <v>3733</v>
      </c>
      <c r="G2561" s="2" t="s">
        <v>3734</v>
      </c>
      <c r="H2561" s="2" t="s">
        <v>3736</v>
      </c>
    </row>
    <row r="2562">
      <c r="A2562" s="2" t="s">
        <v>3737</v>
      </c>
      <c r="B2562" s="2" t="s">
        <v>3738</v>
      </c>
      <c r="E2562" s="2"/>
      <c r="F2562" s="2" t="s">
        <v>3739</v>
      </c>
    </row>
    <row r="2563">
      <c r="A2563" s="2" t="s">
        <v>3737</v>
      </c>
      <c r="B2563" s="2" t="s">
        <v>3740</v>
      </c>
      <c r="E2563" s="2"/>
      <c r="F2563" s="2" t="s">
        <v>3741</v>
      </c>
    </row>
    <row r="2564">
      <c r="A2564" s="2" t="s">
        <v>3737</v>
      </c>
      <c r="B2564" s="2" t="s">
        <v>3742</v>
      </c>
      <c r="E2564" s="2"/>
      <c r="F2564" s="2" t="s">
        <v>3743</v>
      </c>
    </row>
    <row r="2565">
      <c r="A2565" s="2" t="s">
        <v>3737</v>
      </c>
      <c r="B2565" s="2" t="s">
        <v>3744</v>
      </c>
      <c r="E2565" s="2"/>
      <c r="F2565" s="2" t="s">
        <v>3745</v>
      </c>
    </row>
    <row r="2566">
      <c r="A2566" s="2" t="s">
        <v>3737</v>
      </c>
      <c r="B2566" s="2" t="s">
        <v>3746</v>
      </c>
      <c r="E2566" s="2"/>
      <c r="F2566" s="2" t="s">
        <v>3747</v>
      </c>
    </row>
    <row r="2567">
      <c r="A2567" s="2" t="s">
        <v>3737</v>
      </c>
      <c r="B2567" s="2" t="s">
        <v>3748</v>
      </c>
      <c r="E2567" s="2"/>
      <c r="F2567" s="2" t="s">
        <v>3747</v>
      </c>
    </row>
    <row r="2568">
      <c r="A2568" s="2" t="s">
        <v>3737</v>
      </c>
      <c r="B2568" s="2" t="s">
        <v>3749</v>
      </c>
      <c r="E2568" s="2"/>
      <c r="F2568" s="2" t="s">
        <v>3750</v>
      </c>
    </row>
    <row r="2569">
      <c r="A2569" s="2" t="s">
        <v>3737</v>
      </c>
      <c r="B2569" s="2" t="s">
        <v>3751</v>
      </c>
      <c r="E2569" s="2"/>
      <c r="F2569" s="2" t="s">
        <v>3750</v>
      </c>
    </row>
    <row r="2570">
      <c r="A2570" s="2" t="s">
        <v>3737</v>
      </c>
      <c r="B2570" s="2" t="s">
        <v>3752</v>
      </c>
      <c r="E2570" s="2"/>
      <c r="F2570" s="2" t="s">
        <v>3753</v>
      </c>
    </row>
    <row r="2571">
      <c r="A2571" s="2" t="s">
        <v>3737</v>
      </c>
      <c r="B2571" s="2" t="s">
        <v>3754</v>
      </c>
      <c r="E2571" s="2"/>
      <c r="F2571" s="2" t="s">
        <v>3755</v>
      </c>
    </row>
    <row r="2572">
      <c r="A2572" s="2" t="s">
        <v>3756</v>
      </c>
      <c r="B2572" s="2" t="s">
        <v>3757</v>
      </c>
      <c r="G2572" s="2" t="s">
        <v>3758</v>
      </c>
    </row>
    <row r="2573">
      <c r="A2573" s="2" t="s">
        <v>3756</v>
      </c>
      <c r="B2573" s="2" t="s">
        <v>3759</v>
      </c>
      <c r="G2573" s="2" t="s">
        <v>3758</v>
      </c>
    </row>
    <row r="2574">
      <c r="A2574" s="2" t="s">
        <v>3760</v>
      </c>
      <c r="B2574" s="2" t="s">
        <v>3761</v>
      </c>
      <c r="G2574" s="2" t="s">
        <v>3762</v>
      </c>
    </row>
    <row r="2575">
      <c r="A2575" s="2" t="s">
        <v>3760</v>
      </c>
      <c r="B2575" s="2" t="s">
        <v>3763</v>
      </c>
      <c r="G2575" s="2" t="s">
        <v>3762</v>
      </c>
    </row>
    <row r="2576">
      <c r="A2576" s="2" t="s">
        <v>3760</v>
      </c>
      <c r="B2576" s="2" t="s">
        <v>3764</v>
      </c>
      <c r="G2576" s="2" t="s">
        <v>3762</v>
      </c>
    </row>
    <row r="2577">
      <c r="A2577" s="2" t="s">
        <v>3760</v>
      </c>
      <c r="B2577" s="2" t="s">
        <v>3765</v>
      </c>
      <c r="G2577" s="2" t="s">
        <v>3762</v>
      </c>
    </row>
    <row r="2578">
      <c r="A2578" s="2" t="s">
        <v>3760</v>
      </c>
      <c r="B2578" s="2" t="s">
        <v>3766</v>
      </c>
      <c r="G2578" s="2" t="s">
        <v>3762</v>
      </c>
    </row>
    <row r="2579">
      <c r="A2579" s="2" t="s">
        <v>3760</v>
      </c>
      <c r="B2579" s="2" t="s">
        <v>3767</v>
      </c>
      <c r="G2579" s="2" t="s">
        <v>3762</v>
      </c>
    </row>
    <row r="2580">
      <c r="A2580" s="2" t="s">
        <v>3760</v>
      </c>
      <c r="B2580" s="2" t="s">
        <v>3768</v>
      </c>
      <c r="G2580" s="2" t="s">
        <v>3762</v>
      </c>
    </row>
    <row r="2581">
      <c r="A2581" s="2" t="s">
        <v>3760</v>
      </c>
      <c r="B2581" s="2" t="s">
        <v>3769</v>
      </c>
      <c r="G2581" s="2" t="s">
        <v>3762</v>
      </c>
    </row>
    <row r="2582">
      <c r="A2582" s="2" t="s">
        <v>3760</v>
      </c>
      <c r="B2582" s="2" t="s">
        <v>3770</v>
      </c>
      <c r="G2582" s="2" t="s">
        <v>3762</v>
      </c>
    </row>
    <row r="2583">
      <c r="A2583" s="2" t="s">
        <v>3760</v>
      </c>
      <c r="B2583" s="2" t="s">
        <v>3771</v>
      </c>
      <c r="G2583" s="2" t="s">
        <v>3762</v>
      </c>
    </row>
    <row r="2584">
      <c r="A2584" s="2" t="s">
        <v>3760</v>
      </c>
      <c r="B2584" s="2" t="s">
        <v>3772</v>
      </c>
      <c r="G2584" s="2" t="s">
        <v>3762</v>
      </c>
    </row>
    <row r="2585">
      <c r="A2585" s="2" t="s">
        <v>3760</v>
      </c>
      <c r="B2585" s="2" t="s">
        <v>3773</v>
      </c>
      <c r="G2585" s="2" t="s">
        <v>3762</v>
      </c>
    </row>
    <row r="2586">
      <c r="A2586" s="2" t="s">
        <v>3760</v>
      </c>
      <c r="B2586" s="2" t="s">
        <v>3768</v>
      </c>
      <c r="G2586" s="2" t="s">
        <v>3762</v>
      </c>
    </row>
    <row r="2587">
      <c r="A2587" s="2" t="s">
        <v>3760</v>
      </c>
      <c r="B2587" s="2" t="s">
        <v>3774</v>
      </c>
      <c r="G2587" s="2" t="s">
        <v>3762</v>
      </c>
    </row>
    <row r="2588">
      <c r="A2588" s="2" t="s">
        <v>3775</v>
      </c>
      <c r="B2588" s="2" t="s">
        <v>3776</v>
      </c>
      <c r="G2588" s="2" t="s">
        <v>3762</v>
      </c>
    </row>
    <row r="2589">
      <c r="A2589" s="2" t="s">
        <v>3775</v>
      </c>
      <c r="B2589" s="2" t="s">
        <v>3777</v>
      </c>
      <c r="G2589" s="2" t="s">
        <v>3762</v>
      </c>
    </row>
    <row r="2590">
      <c r="A2590" s="2" t="s">
        <v>3775</v>
      </c>
      <c r="B2590" s="2" t="s">
        <v>3778</v>
      </c>
      <c r="G2590" s="2" t="s">
        <v>3762</v>
      </c>
    </row>
    <row r="2591">
      <c r="A2591" s="2" t="s">
        <v>3775</v>
      </c>
      <c r="B2591" s="2" t="s">
        <v>3779</v>
      </c>
      <c r="G2591" s="2" t="s">
        <v>3762</v>
      </c>
    </row>
    <row r="2592">
      <c r="A2592" s="2" t="s">
        <v>3775</v>
      </c>
      <c r="B2592" s="2" t="s">
        <v>3780</v>
      </c>
      <c r="G2592" s="2" t="s">
        <v>3762</v>
      </c>
    </row>
    <row r="2593">
      <c r="A2593" s="2" t="s">
        <v>3775</v>
      </c>
      <c r="B2593" s="2" t="s">
        <v>3781</v>
      </c>
      <c r="G2593" s="2" t="s">
        <v>3762</v>
      </c>
    </row>
    <row r="2594">
      <c r="A2594" s="2" t="s">
        <v>3775</v>
      </c>
      <c r="B2594" s="2" t="s">
        <v>3782</v>
      </c>
      <c r="G2594" s="2" t="s">
        <v>3762</v>
      </c>
    </row>
    <row r="2595">
      <c r="A2595" s="2" t="s">
        <v>3775</v>
      </c>
      <c r="B2595" s="2" t="s">
        <v>3783</v>
      </c>
      <c r="G2595" s="2" t="s">
        <v>3762</v>
      </c>
    </row>
    <row r="2596">
      <c r="A2596" s="2" t="s">
        <v>3775</v>
      </c>
      <c r="B2596" s="2" t="s">
        <v>3784</v>
      </c>
      <c r="G2596" s="2" t="s">
        <v>3762</v>
      </c>
    </row>
    <row r="2597">
      <c r="A2597" s="2" t="s">
        <v>3775</v>
      </c>
      <c r="B2597" s="2" t="s">
        <v>3785</v>
      </c>
      <c r="G2597" s="2" t="s">
        <v>3762</v>
      </c>
    </row>
    <row r="2598">
      <c r="A2598" s="2" t="s">
        <v>3775</v>
      </c>
      <c r="B2598" s="2" t="s">
        <v>3786</v>
      </c>
      <c r="G2598" s="2" t="s">
        <v>3762</v>
      </c>
    </row>
    <row r="2599">
      <c r="A2599" s="2" t="s">
        <v>3775</v>
      </c>
      <c r="B2599" s="2" t="s">
        <v>3787</v>
      </c>
      <c r="G2599" s="2" t="s">
        <v>3762</v>
      </c>
    </row>
    <row r="2600">
      <c r="A2600" s="2" t="s">
        <v>3775</v>
      </c>
      <c r="B2600" s="2" t="s">
        <v>3788</v>
      </c>
      <c r="G2600" s="2" t="s">
        <v>3762</v>
      </c>
    </row>
    <row r="2601">
      <c r="A2601" s="2" t="s">
        <v>3775</v>
      </c>
      <c r="B2601" s="2" t="s">
        <v>3789</v>
      </c>
      <c r="G2601" s="2" t="s">
        <v>3762</v>
      </c>
    </row>
    <row r="2602">
      <c r="A2602" s="2" t="s">
        <v>3775</v>
      </c>
      <c r="B2602" s="2" t="s">
        <v>3790</v>
      </c>
      <c r="G2602" s="2" t="s">
        <v>3762</v>
      </c>
    </row>
    <row r="2603">
      <c r="A2603" s="2" t="s">
        <v>3775</v>
      </c>
      <c r="B2603" s="2" t="s">
        <v>3791</v>
      </c>
      <c r="G2603" s="2" t="s">
        <v>3762</v>
      </c>
    </row>
    <row r="2604">
      <c r="A2604" s="2" t="s">
        <v>3775</v>
      </c>
      <c r="B2604" s="2" t="s">
        <v>3792</v>
      </c>
      <c r="G2604" s="2" t="s">
        <v>3762</v>
      </c>
    </row>
    <row r="2605">
      <c r="A2605" s="2" t="s">
        <v>3775</v>
      </c>
      <c r="B2605" s="2" t="s">
        <v>3793</v>
      </c>
      <c r="G2605" s="2" t="s">
        <v>3762</v>
      </c>
    </row>
    <row r="2606">
      <c r="A2606" s="2" t="s">
        <v>3775</v>
      </c>
      <c r="B2606" s="2" t="s">
        <v>3794</v>
      </c>
      <c r="G2606" s="2" t="s">
        <v>3762</v>
      </c>
    </row>
    <row r="2607">
      <c r="A2607" s="2" t="s">
        <v>3775</v>
      </c>
      <c r="B2607" s="2" t="s">
        <v>3795</v>
      </c>
      <c r="G2607" s="2" t="s">
        <v>3762</v>
      </c>
    </row>
    <row r="2608">
      <c r="A2608" s="2" t="s">
        <v>3775</v>
      </c>
      <c r="B2608" s="2" t="s">
        <v>3796</v>
      </c>
      <c r="G2608" s="2" t="s">
        <v>3762</v>
      </c>
    </row>
    <row r="2609">
      <c r="A2609" s="2" t="s">
        <v>3775</v>
      </c>
      <c r="B2609" s="2" t="s">
        <v>3797</v>
      </c>
      <c r="G2609" s="2" t="s">
        <v>3762</v>
      </c>
    </row>
    <row r="2610">
      <c r="A2610" s="2" t="s">
        <v>3775</v>
      </c>
      <c r="B2610" s="2" t="s">
        <v>3798</v>
      </c>
      <c r="G2610" s="2" t="s">
        <v>3762</v>
      </c>
    </row>
    <row r="2611">
      <c r="A2611" s="2" t="s">
        <v>3775</v>
      </c>
      <c r="B2611" s="2" t="s">
        <v>3799</v>
      </c>
      <c r="G2611" s="2" t="s">
        <v>3762</v>
      </c>
    </row>
    <row r="2612">
      <c r="A2612" s="2" t="s">
        <v>3775</v>
      </c>
      <c r="B2612" s="2" t="s">
        <v>3800</v>
      </c>
      <c r="G2612" s="2" t="s">
        <v>3762</v>
      </c>
    </row>
    <row r="2613">
      <c r="A2613" s="2" t="s">
        <v>3775</v>
      </c>
      <c r="B2613" s="2" t="s">
        <v>3801</v>
      </c>
      <c r="G2613" s="2" t="s">
        <v>3762</v>
      </c>
    </row>
    <row r="2614">
      <c r="A2614" s="2" t="s">
        <v>3775</v>
      </c>
      <c r="B2614" s="2" t="s">
        <v>3802</v>
      </c>
      <c r="G2614" s="2" t="s">
        <v>3762</v>
      </c>
    </row>
    <row r="2615">
      <c r="A2615" s="2" t="s">
        <v>3775</v>
      </c>
      <c r="B2615" s="2" t="s">
        <v>3803</v>
      </c>
      <c r="G2615" s="2" t="s">
        <v>3762</v>
      </c>
    </row>
    <row r="2616">
      <c r="A2616" s="2" t="s">
        <v>3775</v>
      </c>
      <c r="B2616" s="2" t="s">
        <v>3804</v>
      </c>
      <c r="G2616" s="2" t="s">
        <v>3762</v>
      </c>
    </row>
    <row r="2617">
      <c r="A2617" s="2" t="s">
        <v>3775</v>
      </c>
      <c r="B2617" s="2" t="s">
        <v>3805</v>
      </c>
      <c r="G2617" s="2" t="s">
        <v>3762</v>
      </c>
    </row>
    <row r="2618">
      <c r="A2618" s="2" t="s">
        <v>3775</v>
      </c>
      <c r="B2618" s="2" t="s">
        <v>3806</v>
      </c>
      <c r="G2618" s="2" t="s">
        <v>3762</v>
      </c>
    </row>
    <row r="2619">
      <c r="A2619" s="2" t="s">
        <v>3775</v>
      </c>
      <c r="B2619" s="2" t="s">
        <v>3807</v>
      </c>
      <c r="G2619" s="2" t="s">
        <v>3762</v>
      </c>
    </row>
    <row r="2620">
      <c r="A2620" s="2" t="s">
        <v>3775</v>
      </c>
      <c r="B2620" s="2" t="s">
        <v>3808</v>
      </c>
      <c r="G2620" s="2" t="s">
        <v>3762</v>
      </c>
    </row>
    <row r="2621">
      <c r="A2621" s="2" t="s">
        <v>3775</v>
      </c>
      <c r="B2621" s="2" t="s">
        <v>3809</v>
      </c>
      <c r="G2621" s="2" t="s">
        <v>3762</v>
      </c>
    </row>
    <row r="2622">
      <c r="A2622" s="2" t="s">
        <v>3775</v>
      </c>
      <c r="B2622" s="2" t="s">
        <v>3810</v>
      </c>
      <c r="G2622" s="2" t="s">
        <v>3762</v>
      </c>
    </row>
    <row r="2623">
      <c r="A2623" s="2" t="s">
        <v>3775</v>
      </c>
      <c r="B2623" s="2" t="s">
        <v>3811</v>
      </c>
      <c r="G2623" s="2" t="s">
        <v>3762</v>
      </c>
    </row>
    <row r="2624">
      <c r="A2624" s="2" t="s">
        <v>3775</v>
      </c>
      <c r="B2624" s="2" t="s">
        <v>3812</v>
      </c>
      <c r="G2624" s="2" t="s">
        <v>3762</v>
      </c>
    </row>
    <row r="2625">
      <c r="A2625" s="2" t="s">
        <v>3775</v>
      </c>
      <c r="B2625" s="2" t="s">
        <v>3813</v>
      </c>
      <c r="G2625" s="2" t="s">
        <v>3762</v>
      </c>
    </row>
    <row r="2626">
      <c r="A2626" s="2" t="s">
        <v>3775</v>
      </c>
      <c r="B2626" s="2" t="s">
        <v>3814</v>
      </c>
      <c r="G2626" s="2" t="s">
        <v>3762</v>
      </c>
    </row>
    <row r="2627">
      <c r="A2627" s="2" t="s">
        <v>3775</v>
      </c>
      <c r="B2627" s="2" t="s">
        <v>3815</v>
      </c>
      <c r="G2627" s="2" t="s">
        <v>3762</v>
      </c>
    </row>
    <row r="2628">
      <c r="A2628" s="2" t="s">
        <v>3775</v>
      </c>
      <c r="B2628" s="2" t="s">
        <v>3816</v>
      </c>
      <c r="G2628" s="2" t="s">
        <v>3762</v>
      </c>
    </row>
    <row r="2629">
      <c r="A2629" s="2" t="s">
        <v>3775</v>
      </c>
      <c r="B2629" s="2" t="s">
        <v>3817</v>
      </c>
      <c r="G2629" s="2" t="s">
        <v>3762</v>
      </c>
    </row>
    <row r="2630">
      <c r="A2630" s="2" t="s">
        <v>3775</v>
      </c>
      <c r="B2630" s="2" t="s">
        <v>3818</v>
      </c>
      <c r="G2630" s="2" t="s">
        <v>3762</v>
      </c>
    </row>
    <row r="2631">
      <c r="A2631" s="2" t="s">
        <v>3775</v>
      </c>
      <c r="B2631" s="2" t="s">
        <v>3819</v>
      </c>
      <c r="G2631" s="2" t="s">
        <v>3762</v>
      </c>
    </row>
    <row r="2632">
      <c r="A2632" s="2" t="s">
        <v>3775</v>
      </c>
      <c r="B2632" s="2" t="s">
        <v>3820</v>
      </c>
      <c r="G2632" s="2" t="s">
        <v>3762</v>
      </c>
    </row>
    <row r="2633">
      <c r="A2633" s="2" t="s">
        <v>3775</v>
      </c>
      <c r="B2633" s="2" t="s">
        <v>3821</v>
      </c>
      <c r="G2633" s="2" t="s">
        <v>3762</v>
      </c>
    </row>
    <row r="2634">
      <c r="A2634" s="2" t="s">
        <v>3775</v>
      </c>
      <c r="B2634" s="2" t="s">
        <v>3822</v>
      </c>
      <c r="G2634" s="2" t="s">
        <v>3762</v>
      </c>
    </row>
    <row r="2635">
      <c r="A2635" s="2" t="s">
        <v>3775</v>
      </c>
      <c r="B2635" s="2" t="s">
        <v>3823</v>
      </c>
      <c r="G2635" s="2" t="s">
        <v>3762</v>
      </c>
    </row>
    <row r="2636">
      <c r="A2636" s="2" t="s">
        <v>3775</v>
      </c>
      <c r="B2636" s="2" t="s">
        <v>3824</v>
      </c>
      <c r="G2636" s="2" t="s">
        <v>3762</v>
      </c>
    </row>
    <row r="2637">
      <c r="A2637" s="2" t="s">
        <v>3775</v>
      </c>
      <c r="B2637" s="2" t="s">
        <v>3825</v>
      </c>
      <c r="G2637" s="2" t="s">
        <v>3762</v>
      </c>
    </row>
    <row r="2638">
      <c r="A2638" s="2" t="s">
        <v>3775</v>
      </c>
      <c r="B2638" s="2" t="s">
        <v>3826</v>
      </c>
      <c r="G2638" s="2" t="s">
        <v>3762</v>
      </c>
    </row>
    <row r="2639">
      <c r="A2639" s="2" t="s">
        <v>3775</v>
      </c>
      <c r="B2639" s="2" t="s">
        <v>3827</v>
      </c>
      <c r="G2639" s="2" t="s">
        <v>3762</v>
      </c>
    </row>
    <row r="2640">
      <c r="A2640" s="2" t="s">
        <v>3775</v>
      </c>
      <c r="B2640" s="2" t="s">
        <v>3828</v>
      </c>
      <c r="G2640" s="2" t="s">
        <v>3762</v>
      </c>
    </row>
    <row r="2641">
      <c r="A2641" s="2" t="s">
        <v>3775</v>
      </c>
      <c r="B2641" s="2" t="s">
        <v>3829</v>
      </c>
      <c r="G2641" s="2" t="s">
        <v>3762</v>
      </c>
    </row>
    <row r="2642">
      <c r="A2642" s="2" t="s">
        <v>3775</v>
      </c>
      <c r="B2642" s="2" t="s">
        <v>3830</v>
      </c>
      <c r="G2642" s="2" t="s">
        <v>3762</v>
      </c>
    </row>
    <row r="2643">
      <c r="A2643" s="2" t="s">
        <v>3775</v>
      </c>
      <c r="B2643" s="2" t="s">
        <v>3831</v>
      </c>
      <c r="G2643" s="2" t="s">
        <v>3762</v>
      </c>
    </row>
    <row r="2644">
      <c r="A2644" s="2" t="s">
        <v>3775</v>
      </c>
      <c r="B2644" s="2" t="s">
        <v>3832</v>
      </c>
      <c r="G2644" s="2" t="s">
        <v>3762</v>
      </c>
    </row>
    <row r="2645">
      <c r="A2645" s="2" t="s">
        <v>3775</v>
      </c>
      <c r="B2645" s="2" t="s">
        <v>3833</v>
      </c>
      <c r="G2645" s="2" t="s">
        <v>3762</v>
      </c>
    </row>
    <row r="2646">
      <c r="A2646" s="2" t="s">
        <v>3775</v>
      </c>
      <c r="B2646" s="2" t="s">
        <v>3834</v>
      </c>
      <c r="G2646" s="2" t="s">
        <v>3762</v>
      </c>
    </row>
    <row r="2647">
      <c r="A2647" s="2" t="s">
        <v>3775</v>
      </c>
      <c r="B2647" s="2" t="s">
        <v>3835</v>
      </c>
      <c r="G2647" s="2" t="s">
        <v>3762</v>
      </c>
    </row>
    <row r="2648">
      <c r="A2648" s="2" t="s">
        <v>3775</v>
      </c>
      <c r="B2648" s="2" t="s">
        <v>3836</v>
      </c>
      <c r="G2648" s="2" t="s">
        <v>3762</v>
      </c>
    </row>
    <row r="2649">
      <c r="A2649" s="2" t="s">
        <v>3775</v>
      </c>
      <c r="B2649" s="2" t="s">
        <v>3837</v>
      </c>
      <c r="G2649" s="2" t="s">
        <v>3762</v>
      </c>
    </row>
    <row r="2650">
      <c r="A2650" s="2" t="s">
        <v>3775</v>
      </c>
      <c r="B2650" s="2" t="s">
        <v>3838</v>
      </c>
      <c r="G2650" s="2" t="s">
        <v>3762</v>
      </c>
    </row>
    <row r="2651">
      <c r="A2651" s="2" t="s">
        <v>3775</v>
      </c>
      <c r="B2651" s="2" t="s">
        <v>3839</v>
      </c>
      <c r="G2651" s="2" t="s">
        <v>3762</v>
      </c>
    </row>
    <row r="2652">
      <c r="A2652" s="2" t="s">
        <v>3775</v>
      </c>
      <c r="B2652" s="2" t="s">
        <v>3840</v>
      </c>
      <c r="G2652" s="2" t="s">
        <v>3762</v>
      </c>
    </row>
    <row r="2653">
      <c r="A2653" s="2" t="s">
        <v>3775</v>
      </c>
      <c r="B2653" s="2" t="s">
        <v>3841</v>
      </c>
      <c r="G2653" s="2" t="s">
        <v>3762</v>
      </c>
    </row>
    <row r="2654">
      <c r="A2654" s="2" t="s">
        <v>3775</v>
      </c>
      <c r="B2654" s="2" t="s">
        <v>3842</v>
      </c>
      <c r="G2654" s="2" t="s">
        <v>3762</v>
      </c>
    </row>
    <row r="2655">
      <c r="A2655" s="2" t="s">
        <v>3775</v>
      </c>
      <c r="B2655" s="2" t="s">
        <v>3843</v>
      </c>
      <c r="G2655" s="2" t="s">
        <v>3762</v>
      </c>
    </row>
    <row r="2656">
      <c r="A2656" s="2" t="s">
        <v>3775</v>
      </c>
      <c r="B2656" s="2" t="s">
        <v>3844</v>
      </c>
      <c r="G2656" s="2" t="s">
        <v>3762</v>
      </c>
    </row>
    <row r="2657">
      <c r="A2657" s="2" t="s">
        <v>3775</v>
      </c>
      <c r="B2657" s="2" t="s">
        <v>3845</v>
      </c>
      <c r="G2657" s="2" t="s">
        <v>3762</v>
      </c>
    </row>
    <row r="2658">
      <c r="A2658" s="2" t="s">
        <v>3775</v>
      </c>
      <c r="B2658" s="2" t="s">
        <v>3846</v>
      </c>
      <c r="G2658" s="2" t="s">
        <v>3762</v>
      </c>
    </row>
    <row r="2659">
      <c r="A2659" s="2" t="s">
        <v>3775</v>
      </c>
      <c r="B2659" s="2" t="s">
        <v>3847</v>
      </c>
      <c r="G2659" s="2" t="s">
        <v>3762</v>
      </c>
    </row>
    <row r="2660">
      <c r="A2660" s="2" t="s">
        <v>3775</v>
      </c>
      <c r="B2660" s="2" t="s">
        <v>3848</v>
      </c>
      <c r="G2660" s="2" t="s">
        <v>3762</v>
      </c>
    </row>
    <row r="2661">
      <c r="A2661" s="2" t="s">
        <v>3775</v>
      </c>
      <c r="B2661" s="2" t="s">
        <v>3849</v>
      </c>
      <c r="G2661" s="2" t="s">
        <v>3762</v>
      </c>
    </row>
    <row r="2662">
      <c r="A2662" s="2" t="s">
        <v>3775</v>
      </c>
      <c r="B2662" s="2" t="s">
        <v>3850</v>
      </c>
      <c r="G2662" s="2" t="s">
        <v>3762</v>
      </c>
    </row>
    <row r="2663">
      <c r="A2663" s="2" t="s">
        <v>3775</v>
      </c>
      <c r="B2663" s="2" t="s">
        <v>3851</v>
      </c>
      <c r="G2663" s="2" t="s">
        <v>3762</v>
      </c>
    </row>
    <row r="2664">
      <c r="A2664" s="2" t="s">
        <v>3775</v>
      </c>
      <c r="B2664" s="2" t="s">
        <v>3852</v>
      </c>
      <c r="G2664" s="2" t="s">
        <v>3762</v>
      </c>
    </row>
    <row r="2665">
      <c r="A2665" s="2" t="s">
        <v>3775</v>
      </c>
      <c r="B2665" s="2" t="s">
        <v>3853</v>
      </c>
      <c r="G2665" s="2" t="s">
        <v>3762</v>
      </c>
    </row>
    <row r="2666">
      <c r="A2666" s="2" t="s">
        <v>3775</v>
      </c>
      <c r="B2666" s="2" t="s">
        <v>3854</v>
      </c>
      <c r="G2666" s="2" t="s">
        <v>3762</v>
      </c>
    </row>
    <row r="2667">
      <c r="A2667" s="2" t="s">
        <v>3775</v>
      </c>
      <c r="B2667" s="2" t="s">
        <v>3855</v>
      </c>
      <c r="G2667" s="2" t="s">
        <v>3762</v>
      </c>
    </row>
    <row r="2668">
      <c r="A2668" s="2" t="s">
        <v>3775</v>
      </c>
      <c r="B2668" s="2" t="s">
        <v>3856</v>
      </c>
      <c r="G2668" s="2" t="s">
        <v>3762</v>
      </c>
    </row>
    <row r="2669">
      <c r="A2669" s="2" t="s">
        <v>3775</v>
      </c>
      <c r="B2669" s="2" t="s">
        <v>3857</v>
      </c>
      <c r="G2669" s="2" t="s">
        <v>3762</v>
      </c>
    </row>
    <row r="2670">
      <c r="A2670" s="2" t="s">
        <v>3775</v>
      </c>
      <c r="B2670" s="2" t="s">
        <v>3858</v>
      </c>
      <c r="G2670" s="2" t="s">
        <v>3762</v>
      </c>
    </row>
    <row r="2671">
      <c r="A2671" s="2" t="s">
        <v>3775</v>
      </c>
      <c r="B2671" s="2" t="s">
        <v>3859</v>
      </c>
      <c r="G2671" s="2" t="s">
        <v>3762</v>
      </c>
    </row>
    <row r="2672">
      <c r="A2672" s="2" t="s">
        <v>3775</v>
      </c>
      <c r="B2672" s="2" t="s">
        <v>3860</v>
      </c>
      <c r="G2672" s="2" t="s">
        <v>3762</v>
      </c>
    </row>
    <row r="2673">
      <c r="A2673" s="2" t="s">
        <v>3775</v>
      </c>
      <c r="B2673" s="2" t="s">
        <v>3861</v>
      </c>
      <c r="G2673" s="2" t="s">
        <v>3762</v>
      </c>
    </row>
    <row r="2674">
      <c r="A2674" s="2" t="s">
        <v>3862</v>
      </c>
      <c r="B2674" s="2" t="s">
        <v>3863</v>
      </c>
      <c r="G2674" s="2" t="s">
        <v>3864</v>
      </c>
    </row>
    <row r="2675">
      <c r="A2675" s="2" t="s">
        <v>3862</v>
      </c>
      <c r="B2675" s="2" t="s">
        <v>3865</v>
      </c>
      <c r="G2675" s="2" t="s">
        <v>3864</v>
      </c>
    </row>
    <row r="2676">
      <c r="A2676" s="2" t="s">
        <v>3862</v>
      </c>
      <c r="B2676" s="2" t="s">
        <v>3866</v>
      </c>
      <c r="G2676" s="2" t="s">
        <v>3864</v>
      </c>
    </row>
    <row r="2677">
      <c r="A2677" s="2" t="s">
        <v>3862</v>
      </c>
      <c r="B2677" s="2" t="s">
        <v>3867</v>
      </c>
      <c r="G2677" s="2" t="s">
        <v>3864</v>
      </c>
    </row>
    <row r="2678">
      <c r="A2678" s="2" t="s">
        <v>3862</v>
      </c>
      <c r="B2678" s="2" t="s">
        <v>3868</v>
      </c>
      <c r="G2678" s="2" t="s">
        <v>3864</v>
      </c>
    </row>
    <row r="2679">
      <c r="A2679" s="2" t="s">
        <v>3862</v>
      </c>
      <c r="B2679" s="2" t="s">
        <v>3869</v>
      </c>
      <c r="G2679" s="2" t="s">
        <v>3864</v>
      </c>
    </row>
    <row r="2680">
      <c r="A2680" s="2" t="s">
        <v>3862</v>
      </c>
      <c r="B2680" s="2" t="s">
        <v>3870</v>
      </c>
      <c r="G2680" s="2" t="s">
        <v>3864</v>
      </c>
    </row>
    <row r="2681">
      <c r="A2681" s="2" t="s">
        <v>3862</v>
      </c>
      <c r="B2681" s="2" t="s">
        <v>3871</v>
      </c>
      <c r="G2681" s="2" t="s">
        <v>3864</v>
      </c>
    </row>
    <row r="2682">
      <c r="A2682" s="2" t="s">
        <v>3872</v>
      </c>
      <c r="B2682" s="2" t="s">
        <v>3873</v>
      </c>
      <c r="G2682" s="2" t="s">
        <v>3864</v>
      </c>
    </row>
    <row r="2683">
      <c r="A2683" s="2" t="s">
        <v>3872</v>
      </c>
      <c r="B2683" s="2" t="s">
        <v>3874</v>
      </c>
      <c r="G2683" s="2" t="s">
        <v>3864</v>
      </c>
    </row>
    <row r="2684">
      <c r="A2684" s="2" t="s">
        <v>3872</v>
      </c>
      <c r="B2684" s="2" t="s">
        <v>3866</v>
      </c>
      <c r="G2684" s="2" t="s">
        <v>3864</v>
      </c>
    </row>
    <row r="2685">
      <c r="A2685" s="2" t="s">
        <v>3875</v>
      </c>
      <c r="B2685" s="2" t="s">
        <v>3876</v>
      </c>
      <c r="D2685" s="2" t="s">
        <v>3877</v>
      </c>
    </row>
    <row r="2686">
      <c r="A2686" s="2" t="s">
        <v>3875</v>
      </c>
      <c r="B2686" s="2" t="s">
        <v>3878</v>
      </c>
      <c r="D2686" s="2" t="s">
        <v>3877</v>
      </c>
    </row>
    <row r="2687">
      <c r="A2687" s="2" t="s">
        <v>3875</v>
      </c>
      <c r="B2687" s="2" t="s">
        <v>3879</v>
      </c>
      <c r="D2687" s="2" t="s">
        <v>3877</v>
      </c>
    </row>
    <row r="2688">
      <c r="A2688" s="2" t="s">
        <v>3875</v>
      </c>
      <c r="B2688" s="2" t="s">
        <v>3880</v>
      </c>
      <c r="D2688" s="2" t="s">
        <v>3877</v>
      </c>
    </row>
    <row r="2689">
      <c r="A2689" s="2" t="s">
        <v>3881</v>
      </c>
      <c r="B2689" s="2" t="s">
        <v>3882</v>
      </c>
      <c r="G2689" s="2" t="s">
        <v>3883</v>
      </c>
    </row>
    <row r="2690">
      <c r="A2690" s="2" t="s">
        <v>3881</v>
      </c>
      <c r="B2690" s="2" t="s">
        <v>3884</v>
      </c>
      <c r="G2690" s="2" t="s">
        <v>3883</v>
      </c>
    </row>
    <row r="2691">
      <c r="A2691" s="2" t="s">
        <v>3885</v>
      </c>
      <c r="B2691" s="2" t="s">
        <v>3886</v>
      </c>
      <c r="I2691" s="2" t="s">
        <v>3887</v>
      </c>
    </row>
    <row r="2692">
      <c r="A2692" s="2" t="s">
        <v>3888</v>
      </c>
      <c r="B2692" s="2" t="s">
        <v>3889</v>
      </c>
      <c r="G2692" s="2" t="s">
        <v>3890</v>
      </c>
      <c r="H2692" s="2" t="s">
        <v>3891</v>
      </c>
    </row>
    <row r="2693">
      <c r="A2693" s="2" t="s">
        <v>3888</v>
      </c>
      <c r="B2693" s="2" t="s">
        <v>3892</v>
      </c>
      <c r="G2693" s="2" t="s">
        <v>3890</v>
      </c>
      <c r="H2693" s="2" t="s">
        <v>3891</v>
      </c>
    </row>
    <row r="2694">
      <c r="A2694" s="2" t="s">
        <v>3888</v>
      </c>
      <c r="B2694" s="2" t="s">
        <v>3893</v>
      </c>
      <c r="G2694" s="2" t="s">
        <v>3890</v>
      </c>
      <c r="H2694" s="2" t="s">
        <v>3891</v>
      </c>
    </row>
    <row r="2695">
      <c r="A2695" s="2" t="s">
        <v>3888</v>
      </c>
      <c r="B2695" s="2" t="s">
        <v>3894</v>
      </c>
      <c r="G2695" s="2" t="s">
        <v>3890</v>
      </c>
      <c r="H2695" s="2" t="s">
        <v>3891</v>
      </c>
    </row>
    <row r="2696">
      <c r="A2696" s="2" t="s">
        <v>3888</v>
      </c>
      <c r="B2696" s="2" t="s">
        <v>3895</v>
      </c>
      <c r="G2696" s="2" t="s">
        <v>3890</v>
      </c>
      <c r="H2696" s="2" t="s">
        <v>3891</v>
      </c>
    </row>
    <row r="2697">
      <c r="A2697" s="2" t="s">
        <v>3888</v>
      </c>
      <c r="B2697" s="2" t="s">
        <v>3896</v>
      </c>
      <c r="G2697" s="2" t="s">
        <v>3890</v>
      </c>
      <c r="H2697" s="2" t="s">
        <v>3891</v>
      </c>
    </row>
    <row r="2698">
      <c r="A2698" s="2" t="s">
        <v>3888</v>
      </c>
      <c r="B2698" s="2" t="s">
        <v>3897</v>
      </c>
      <c r="G2698" s="2" t="s">
        <v>3890</v>
      </c>
      <c r="H2698" s="2" t="s">
        <v>3891</v>
      </c>
    </row>
    <row r="2699">
      <c r="A2699" s="2" t="s">
        <v>3888</v>
      </c>
      <c r="B2699" s="2" t="s">
        <v>3898</v>
      </c>
      <c r="G2699" s="2" t="s">
        <v>3890</v>
      </c>
      <c r="H2699" s="2" t="s">
        <v>3891</v>
      </c>
    </row>
    <row r="2700">
      <c r="A2700" s="2" t="s">
        <v>3888</v>
      </c>
      <c r="B2700" s="163" t="s">
        <v>3899</v>
      </c>
      <c r="G2700" s="2" t="s">
        <v>3890</v>
      </c>
      <c r="H2700" s="2" t="s">
        <v>3891</v>
      </c>
    </row>
    <row r="2701">
      <c r="A2701" s="2" t="s">
        <v>3888</v>
      </c>
      <c r="B2701" s="163" t="s">
        <v>3900</v>
      </c>
      <c r="G2701" s="2" t="s">
        <v>3890</v>
      </c>
      <c r="H2701" s="2" t="s">
        <v>3891</v>
      </c>
    </row>
    <row r="2702">
      <c r="A2702" s="64" t="s">
        <v>3901</v>
      </c>
      <c r="B2702" s="2" t="s">
        <v>3902</v>
      </c>
      <c r="C2702" s="2" t="s">
        <v>3903</v>
      </c>
      <c r="D2702" s="2" t="s">
        <v>3904</v>
      </c>
    </row>
    <row r="2703">
      <c r="A2703" s="64" t="s">
        <v>3901</v>
      </c>
      <c r="B2703" s="2" t="s">
        <v>3905</v>
      </c>
      <c r="C2703" s="2" t="s">
        <v>3903</v>
      </c>
      <c r="D2703" s="2" t="s">
        <v>3904</v>
      </c>
    </row>
    <row r="2704">
      <c r="A2704" s="64" t="s">
        <v>3901</v>
      </c>
      <c r="B2704" s="2" t="s">
        <v>3906</v>
      </c>
      <c r="C2704" s="2" t="s">
        <v>3903</v>
      </c>
      <c r="D2704" s="2" t="s">
        <v>3904</v>
      </c>
    </row>
    <row r="2705">
      <c r="A2705" s="64" t="s">
        <v>3907</v>
      </c>
      <c r="B2705" s="2" t="s">
        <v>3902</v>
      </c>
      <c r="C2705" s="2" t="s">
        <v>3903</v>
      </c>
      <c r="D2705" s="2" t="s">
        <v>3904</v>
      </c>
    </row>
    <row r="2706">
      <c r="A2706" s="2" t="s">
        <v>3908</v>
      </c>
      <c r="B2706" s="2" t="s">
        <v>3909</v>
      </c>
      <c r="D2706" s="2" t="s">
        <v>3910</v>
      </c>
    </row>
    <row r="2707">
      <c r="A2707" s="2" t="s">
        <v>3908</v>
      </c>
      <c r="B2707" s="2" t="s">
        <v>3911</v>
      </c>
      <c r="D2707" s="2" t="s">
        <v>3910</v>
      </c>
    </row>
    <row r="2708">
      <c r="A2708" s="2" t="s">
        <v>3908</v>
      </c>
      <c r="B2708" s="2" t="s">
        <v>3912</v>
      </c>
      <c r="D2708" s="2" t="s">
        <v>3910</v>
      </c>
    </row>
    <row r="2709">
      <c r="A2709" s="2" t="s">
        <v>3908</v>
      </c>
      <c r="B2709" s="2" t="s">
        <v>3913</v>
      </c>
      <c r="D2709" s="2" t="s">
        <v>3910</v>
      </c>
    </row>
    <row r="2710">
      <c r="A2710" s="2" t="s">
        <v>3908</v>
      </c>
      <c r="B2710" s="2" t="s">
        <v>3914</v>
      </c>
      <c r="D2710" s="2" t="s">
        <v>3910</v>
      </c>
    </row>
    <row r="2711">
      <c r="A2711" s="2" t="s">
        <v>3908</v>
      </c>
      <c r="B2711" s="2" t="s">
        <v>3915</v>
      </c>
      <c r="D2711" s="2" t="s">
        <v>3910</v>
      </c>
    </row>
    <row r="2712">
      <c r="A2712" s="2" t="s">
        <v>3908</v>
      </c>
      <c r="B2712" s="2" t="s">
        <v>3916</v>
      </c>
      <c r="D2712" s="2" t="s">
        <v>3910</v>
      </c>
    </row>
    <row r="2713">
      <c r="A2713" s="2" t="s">
        <v>3908</v>
      </c>
      <c r="B2713" s="2" t="s">
        <v>3917</v>
      </c>
      <c r="G2713" s="2" t="s">
        <v>3918</v>
      </c>
    </row>
    <row r="2714">
      <c r="A2714" s="2" t="s">
        <v>3919</v>
      </c>
      <c r="B2714" s="2" t="s">
        <v>3920</v>
      </c>
      <c r="D2714" s="2" t="s">
        <v>3910</v>
      </c>
    </row>
    <row r="2715">
      <c r="A2715" s="2" t="s">
        <v>3921</v>
      </c>
      <c r="B2715" s="2" t="s">
        <v>3922</v>
      </c>
      <c r="D2715" s="2" t="s">
        <v>3910</v>
      </c>
    </row>
    <row r="2716">
      <c r="A2716" s="2" t="s">
        <v>3921</v>
      </c>
      <c r="B2716" s="2" t="s">
        <v>3924</v>
      </c>
      <c r="D2716" s="2" t="s">
        <v>3910</v>
      </c>
    </row>
    <row r="2717">
      <c r="A2717" s="2" t="s">
        <v>3921</v>
      </c>
      <c r="B2717" s="2" t="s">
        <v>3925</v>
      </c>
      <c r="D2717" s="2" t="s">
        <v>3910</v>
      </c>
    </row>
    <row r="2718">
      <c r="A2718" s="2" t="s">
        <v>3921</v>
      </c>
      <c r="B2718" s="2" t="s">
        <v>3926</v>
      </c>
      <c r="D2718" s="2" t="s">
        <v>3910</v>
      </c>
    </row>
    <row r="2719">
      <c r="A2719" s="2" t="s">
        <v>3921</v>
      </c>
      <c r="B2719" s="2" t="s">
        <v>3927</v>
      </c>
      <c r="D2719" s="2" t="s">
        <v>3910</v>
      </c>
    </row>
    <row r="2720">
      <c r="A2720" s="2" t="s">
        <v>3921</v>
      </c>
      <c r="B2720" s="2" t="s">
        <v>3928</v>
      </c>
      <c r="D2720" s="2" t="s">
        <v>3910</v>
      </c>
    </row>
    <row r="2721">
      <c r="A2721" s="2" t="s">
        <v>3921</v>
      </c>
      <c r="B2721" s="2" t="s">
        <v>3929</v>
      </c>
      <c r="D2721" s="2" t="s">
        <v>3910</v>
      </c>
    </row>
    <row r="2722">
      <c r="A2722" s="2" t="s">
        <v>3921</v>
      </c>
      <c r="B2722" s="2" t="s">
        <v>3930</v>
      </c>
      <c r="D2722" s="2" t="s">
        <v>3910</v>
      </c>
    </row>
    <row r="2723">
      <c r="A2723" s="2" t="s">
        <v>3921</v>
      </c>
      <c r="B2723" s="2" t="s">
        <v>3931</v>
      </c>
      <c r="D2723" s="2" t="s">
        <v>3910</v>
      </c>
    </row>
    <row r="2724">
      <c r="A2724" s="2" t="s">
        <v>3921</v>
      </c>
      <c r="B2724" s="2" t="s">
        <v>3932</v>
      </c>
      <c r="D2724" s="2" t="s">
        <v>3910</v>
      </c>
    </row>
    <row r="2725">
      <c r="A2725" s="2" t="s">
        <v>3921</v>
      </c>
      <c r="B2725" s="2" t="s">
        <v>3933</v>
      </c>
      <c r="D2725" s="2" t="s">
        <v>3910</v>
      </c>
    </row>
    <row r="2726">
      <c r="A2726" s="2" t="s">
        <v>3921</v>
      </c>
      <c r="B2726" s="2" t="s">
        <v>3934</v>
      </c>
      <c r="D2726" s="2" t="s">
        <v>3910</v>
      </c>
    </row>
    <row r="2727">
      <c r="A2727" s="2" t="s">
        <v>3921</v>
      </c>
      <c r="B2727" s="2" t="s">
        <v>3935</v>
      </c>
      <c r="D2727" s="2" t="s">
        <v>3910</v>
      </c>
    </row>
    <row r="2728">
      <c r="A2728" s="2" t="s">
        <v>3921</v>
      </c>
      <c r="B2728" s="2" t="s">
        <v>3936</v>
      </c>
      <c r="D2728" s="2" t="s">
        <v>3910</v>
      </c>
    </row>
    <row r="2729">
      <c r="A2729" s="2" t="s">
        <v>3921</v>
      </c>
      <c r="B2729" s="2" t="s">
        <v>3937</v>
      </c>
      <c r="D2729" s="2" t="s">
        <v>3910</v>
      </c>
    </row>
    <row r="2730">
      <c r="A2730" s="2" t="s">
        <v>3921</v>
      </c>
      <c r="B2730" s="2" t="s">
        <v>3938</v>
      </c>
      <c r="D2730" s="2" t="s">
        <v>3910</v>
      </c>
    </row>
    <row r="2731">
      <c r="A2731" s="2" t="s">
        <v>3921</v>
      </c>
      <c r="B2731" s="2" t="s">
        <v>3939</v>
      </c>
      <c r="D2731" s="2" t="s">
        <v>3910</v>
      </c>
    </row>
    <row r="2732">
      <c r="A2732" s="2" t="s">
        <v>3921</v>
      </c>
      <c r="B2732" s="2" t="s">
        <v>3940</v>
      </c>
      <c r="D2732" s="2" t="s">
        <v>3910</v>
      </c>
    </row>
    <row r="2733">
      <c r="A2733" s="2" t="s">
        <v>3921</v>
      </c>
      <c r="B2733" s="2" t="s">
        <v>3941</v>
      </c>
      <c r="D2733" s="2" t="s">
        <v>3910</v>
      </c>
    </row>
    <row r="2734">
      <c r="A2734" s="2" t="s">
        <v>3921</v>
      </c>
      <c r="B2734" s="2" t="s">
        <v>3942</v>
      </c>
      <c r="D2734" s="2" t="s">
        <v>3910</v>
      </c>
    </row>
    <row r="2735">
      <c r="A2735" s="2" t="s">
        <v>3921</v>
      </c>
      <c r="B2735" s="2" t="s">
        <v>3943</v>
      </c>
      <c r="D2735" s="2" t="s">
        <v>3910</v>
      </c>
    </row>
    <row r="2736">
      <c r="A2736" s="2" t="s">
        <v>3921</v>
      </c>
      <c r="B2736" s="2" t="s">
        <v>3944</v>
      </c>
      <c r="D2736" s="2" t="s">
        <v>3910</v>
      </c>
    </row>
    <row r="2737">
      <c r="A2737" s="2" t="s">
        <v>3921</v>
      </c>
      <c r="B2737" s="2" t="s">
        <v>3945</v>
      </c>
      <c r="D2737" s="2" t="s">
        <v>3910</v>
      </c>
    </row>
    <row r="2738">
      <c r="A2738" s="2" t="s">
        <v>3921</v>
      </c>
      <c r="B2738" s="2" t="s">
        <v>3946</v>
      </c>
      <c r="D2738" s="2" t="s">
        <v>3910</v>
      </c>
    </row>
    <row r="2739">
      <c r="A2739" s="2" t="s">
        <v>3921</v>
      </c>
      <c r="B2739" s="2" t="s">
        <v>3947</v>
      </c>
      <c r="D2739" s="2" t="s">
        <v>3910</v>
      </c>
    </row>
    <row r="2740">
      <c r="A2740" s="2" t="s">
        <v>3921</v>
      </c>
      <c r="B2740" s="2" t="s">
        <v>3948</v>
      </c>
      <c r="D2740" s="2" t="s">
        <v>3910</v>
      </c>
    </row>
    <row r="2741">
      <c r="A2741" s="2" t="s">
        <v>3921</v>
      </c>
      <c r="B2741" s="2" t="s">
        <v>3949</v>
      </c>
      <c r="D2741" s="2" t="s">
        <v>3910</v>
      </c>
    </row>
    <row r="2742">
      <c r="A2742" s="2" t="s">
        <v>3921</v>
      </c>
      <c r="B2742" s="2" t="s">
        <v>3922</v>
      </c>
      <c r="G2742" s="2" t="s">
        <v>3918</v>
      </c>
    </row>
    <row r="2743">
      <c r="A2743" s="2" t="s">
        <v>3921</v>
      </c>
      <c r="B2743" s="2" t="s">
        <v>3924</v>
      </c>
      <c r="G2743" s="2" t="s">
        <v>3918</v>
      </c>
    </row>
    <row r="2744">
      <c r="A2744" s="2" t="s">
        <v>3921</v>
      </c>
      <c r="B2744" s="2" t="s">
        <v>3925</v>
      </c>
      <c r="G2744" s="2" t="s">
        <v>3918</v>
      </c>
    </row>
    <row r="2745">
      <c r="A2745" s="2" t="s">
        <v>3921</v>
      </c>
      <c r="B2745" s="2" t="s">
        <v>3950</v>
      </c>
      <c r="G2745" s="2" t="s">
        <v>3918</v>
      </c>
    </row>
    <row r="2746">
      <c r="A2746" s="2" t="s">
        <v>3921</v>
      </c>
      <c r="B2746" s="2" t="s">
        <v>3927</v>
      </c>
      <c r="G2746" s="2" t="s">
        <v>3918</v>
      </c>
    </row>
    <row r="2747">
      <c r="A2747" s="2" t="s">
        <v>3921</v>
      </c>
      <c r="B2747" s="2" t="s">
        <v>3951</v>
      </c>
      <c r="G2747" s="2" t="s">
        <v>3918</v>
      </c>
    </row>
    <row r="2748">
      <c r="A2748" s="2" t="s">
        <v>3921</v>
      </c>
      <c r="B2748" s="2" t="s">
        <v>3929</v>
      </c>
      <c r="G2748" s="2" t="s">
        <v>3918</v>
      </c>
    </row>
    <row r="2749">
      <c r="A2749" s="2" t="s">
        <v>3921</v>
      </c>
      <c r="B2749" s="2" t="s">
        <v>3952</v>
      </c>
      <c r="G2749" s="2" t="s">
        <v>3918</v>
      </c>
    </row>
    <row r="2750">
      <c r="A2750" s="2" t="s">
        <v>3921</v>
      </c>
      <c r="B2750" s="2" t="s">
        <v>3909</v>
      </c>
      <c r="G2750" s="2" t="s">
        <v>3918</v>
      </c>
    </row>
    <row r="2751">
      <c r="A2751" s="2" t="s">
        <v>3921</v>
      </c>
      <c r="B2751" s="2" t="s">
        <v>3931</v>
      </c>
      <c r="G2751" s="2" t="s">
        <v>3918</v>
      </c>
    </row>
    <row r="2752">
      <c r="A2752" s="2" t="s">
        <v>3921</v>
      </c>
      <c r="B2752" s="2" t="s">
        <v>3938</v>
      </c>
      <c r="G2752" s="2" t="s">
        <v>3918</v>
      </c>
    </row>
    <row r="2753">
      <c r="A2753" s="2" t="s">
        <v>3921</v>
      </c>
      <c r="B2753" s="2" t="s">
        <v>3939</v>
      </c>
      <c r="G2753" s="2" t="s">
        <v>3918</v>
      </c>
    </row>
    <row r="2754">
      <c r="A2754" s="2" t="s">
        <v>3921</v>
      </c>
      <c r="B2754" s="2" t="s">
        <v>3953</v>
      </c>
      <c r="G2754" s="2" t="s">
        <v>3918</v>
      </c>
    </row>
    <row r="2755">
      <c r="A2755" s="2" t="s">
        <v>3921</v>
      </c>
      <c r="B2755" s="2" t="s">
        <v>3932</v>
      </c>
      <c r="G2755" s="2" t="s">
        <v>3918</v>
      </c>
    </row>
    <row r="2756">
      <c r="A2756" s="2" t="s">
        <v>3921</v>
      </c>
      <c r="B2756" s="2" t="s">
        <v>3934</v>
      </c>
      <c r="G2756" s="2" t="s">
        <v>3918</v>
      </c>
    </row>
    <row r="2757">
      <c r="A2757" s="2" t="s">
        <v>3921</v>
      </c>
      <c r="B2757" s="2" t="s">
        <v>3954</v>
      </c>
      <c r="G2757" s="2" t="s">
        <v>3918</v>
      </c>
    </row>
    <row r="2758">
      <c r="A2758" s="2" t="s">
        <v>3921</v>
      </c>
      <c r="B2758" s="2" t="s">
        <v>3936</v>
      </c>
      <c r="G2758" s="2" t="s">
        <v>3918</v>
      </c>
    </row>
    <row r="2759">
      <c r="A2759" s="2" t="s">
        <v>3921</v>
      </c>
      <c r="B2759" s="2" t="s">
        <v>3942</v>
      </c>
      <c r="G2759" s="2" t="s">
        <v>3918</v>
      </c>
    </row>
    <row r="2760">
      <c r="A2760" s="2" t="s">
        <v>3921</v>
      </c>
      <c r="B2760" s="2" t="s">
        <v>3912</v>
      </c>
      <c r="G2760" s="2" t="s">
        <v>3918</v>
      </c>
    </row>
    <row r="2761">
      <c r="A2761" s="2" t="s">
        <v>3921</v>
      </c>
      <c r="B2761" s="2" t="s">
        <v>3955</v>
      </c>
      <c r="G2761" s="2" t="s">
        <v>3918</v>
      </c>
    </row>
    <row r="2762">
      <c r="A2762" s="2" t="s">
        <v>3921</v>
      </c>
      <c r="B2762" s="2" t="s">
        <v>3913</v>
      </c>
      <c r="G2762" s="2" t="s">
        <v>3918</v>
      </c>
    </row>
    <row r="2763">
      <c r="A2763" s="2" t="s">
        <v>3921</v>
      </c>
      <c r="B2763" s="2" t="s">
        <v>3943</v>
      </c>
      <c r="G2763" s="2" t="s">
        <v>3918</v>
      </c>
    </row>
    <row r="2764">
      <c r="A2764" s="2" t="s">
        <v>3921</v>
      </c>
      <c r="B2764" s="2" t="s">
        <v>3944</v>
      </c>
      <c r="G2764" s="2" t="s">
        <v>3918</v>
      </c>
    </row>
    <row r="2765">
      <c r="A2765" s="2" t="s">
        <v>3921</v>
      </c>
      <c r="B2765" s="2" t="s">
        <v>3945</v>
      </c>
      <c r="G2765" s="2" t="s">
        <v>3918</v>
      </c>
    </row>
    <row r="2766">
      <c r="A2766" s="2" t="s">
        <v>3921</v>
      </c>
      <c r="B2766" s="2" t="s">
        <v>3956</v>
      </c>
      <c r="G2766" s="2" t="s">
        <v>3918</v>
      </c>
    </row>
    <row r="2767">
      <c r="A2767" s="2" t="s">
        <v>3921</v>
      </c>
      <c r="B2767" s="2" t="s">
        <v>3917</v>
      </c>
      <c r="G2767" s="2" t="s">
        <v>3918</v>
      </c>
    </row>
    <row r="2768">
      <c r="A2768" s="2" t="s">
        <v>3921</v>
      </c>
      <c r="B2768" s="2" t="s">
        <v>3920</v>
      </c>
      <c r="G2768" s="2" t="s">
        <v>3918</v>
      </c>
    </row>
    <row r="2769">
      <c r="A2769" s="2" t="s">
        <v>3921</v>
      </c>
      <c r="B2769" s="2" t="s">
        <v>3915</v>
      </c>
      <c r="G2769" s="2" t="s">
        <v>3918</v>
      </c>
    </row>
    <row r="2770">
      <c r="A2770" s="2" t="s">
        <v>3921</v>
      </c>
      <c r="B2770" s="2" t="s">
        <v>3957</v>
      </c>
      <c r="G2770" s="2" t="s">
        <v>3918</v>
      </c>
    </row>
    <row r="2771">
      <c r="A2771" s="2" t="s">
        <v>3921</v>
      </c>
      <c r="B2771" s="2" t="s">
        <v>3916</v>
      </c>
      <c r="G2771" s="2" t="s">
        <v>3918</v>
      </c>
    </row>
    <row r="2772">
      <c r="A2772" s="2" t="s">
        <v>3921</v>
      </c>
      <c r="B2772" s="2" t="s">
        <v>3946</v>
      </c>
      <c r="G2772" s="2" t="s">
        <v>3918</v>
      </c>
    </row>
    <row r="2773">
      <c r="A2773" s="2" t="s">
        <v>3921</v>
      </c>
      <c r="B2773" s="2" t="s">
        <v>3947</v>
      </c>
      <c r="G2773" s="2" t="s">
        <v>3918</v>
      </c>
    </row>
    <row r="2774">
      <c r="A2774" s="2" t="s">
        <v>3921</v>
      </c>
      <c r="B2774" s="2" t="s">
        <v>3948</v>
      </c>
      <c r="G2774" s="2" t="s">
        <v>3918</v>
      </c>
    </row>
    <row r="2775">
      <c r="A2775" s="2" t="s">
        <v>3958</v>
      </c>
      <c r="B2775" s="2" t="s">
        <v>3959</v>
      </c>
      <c r="D2775" s="2" t="s">
        <v>3960</v>
      </c>
    </row>
    <row r="2776">
      <c r="A2776" s="2" t="s">
        <v>3958</v>
      </c>
      <c r="B2776" s="2" t="s">
        <v>3961</v>
      </c>
      <c r="D2776" s="2" t="s">
        <v>3960</v>
      </c>
    </row>
    <row r="2777">
      <c r="A2777" s="2" t="s">
        <v>3958</v>
      </c>
      <c r="B2777" s="2" t="s">
        <v>3962</v>
      </c>
      <c r="D2777" s="2" t="s">
        <v>3960</v>
      </c>
    </row>
    <row r="2778">
      <c r="A2778" s="2" t="s">
        <v>3958</v>
      </c>
      <c r="B2778" s="2" t="s">
        <v>3963</v>
      </c>
      <c r="D2778" s="2" t="s">
        <v>3960</v>
      </c>
    </row>
    <row r="2779">
      <c r="A2779" s="2" t="s">
        <v>3958</v>
      </c>
      <c r="B2779" s="2" t="s">
        <v>3964</v>
      </c>
      <c r="D2779" s="2" t="s">
        <v>3960</v>
      </c>
    </row>
    <row r="2780">
      <c r="A2780" s="2" t="s">
        <v>3958</v>
      </c>
      <c r="B2780" s="2" t="s">
        <v>3965</v>
      </c>
      <c r="D2780" s="2" t="s">
        <v>3960</v>
      </c>
    </row>
    <row r="2781">
      <c r="A2781" s="2" t="s">
        <v>3958</v>
      </c>
      <c r="B2781" s="2" t="s">
        <v>3966</v>
      </c>
      <c r="D2781" s="2" t="s">
        <v>3960</v>
      </c>
    </row>
    <row r="2782">
      <c r="A2782" s="2" t="s">
        <v>3958</v>
      </c>
      <c r="B2782" s="2" t="s">
        <v>3967</v>
      </c>
      <c r="D2782" s="2" t="s">
        <v>3960</v>
      </c>
    </row>
    <row r="2783">
      <c r="A2783" s="2" t="s">
        <v>3958</v>
      </c>
      <c r="B2783" s="2" t="s">
        <v>3968</v>
      </c>
      <c r="D2783" s="2" t="s">
        <v>3960</v>
      </c>
    </row>
    <row r="2784">
      <c r="A2784" s="2" t="s">
        <v>3958</v>
      </c>
      <c r="B2784" s="2" t="s">
        <v>3969</v>
      </c>
      <c r="D2784" s="2" t="s">
        <v>3960</v>
      </c>
    </row>
    <row r="2785">
      <c r="A2785" s="2" t="s">
        <v>3958</v>
      </c>
      <c r="B2785" s="2" t="s">
        <v>3970</v>
      </c>
      <c r="D2785" s="2" t="s">
        <v>3960</v>
      </c>
    </row>
    <row r="2786">
      <c r="A2786" s="64" t="s">
        <v>3971</v>
      </c>
      <c r="B2786" s="2" t="s">
        <v>3972</v>
      </c>
      <c r="G2786" s="2" t="s">
        <v>3973</v>
      </c>
    </row>
    <row r="2787">
      <c r="A2787" s="64" t="s">
        <v>3971</v>
      </c>
      <c r="B2787" s="2" t="s">
        <v>3974</v>
      </c>
      <c r="G2787" s="2" t="s">
        <v>3973</v>
      </c>
    </row>
    <row r="2788">
      <c r="A2788" s="64" t="s">
        <v>3971</v>
      </c>
      <c r="B2788" s="2" t="s">
        <v>3975</v>
      </c>
      <c r="G2788" s="2" t="s">
        <v>3973</v>
      </c>
    </row>
    <row r="2789">
      <c r="A2789" s="64" t="s">
        <v>3971</v>
      </c>
      <c r="B2789" s="2" t="s">
        <v>3976</v>
      </c>
      <c r="G2789" s="2" t="s">
        <v>3973</v>
      </c>
    </row>
    <row r="2790">
      <c r="A2790" s="64" t="s">
        <v>3971</v>
      </c>
      <c r="B2790" s="2" t="s">
        <v>3977</v>
      </c>
      <c r="G2790" s="2" t="s">
        <v>3973</v>
      </c>
    </row>
    <row r="2791">
      <c r="A2791" s="64" t="s">
        <v>3971</v>
      </c>
      <c r="B2791" s="2" t="s">
        <v>3978</v>
      </c>
      <c r="G2791" s="2" t="s">
        <v>3973</v>
      </c>
    </row>
    <row r="2792">
      <c r="A2792" s="2" t="s">
        <v>3979</v>
      </c>
      <c r="B2792" s="2" t="s">
        <v>3980</v>
      </c>
      <c r="G2792" s="2" t="s">
        <v>3973</v>
      </c>
    </row>
    <row r="2793">
      <c r="A2793" s="2" t="s">
        <v>3979</v>
      </c>
      <c r="B2793" s="2" t="s">
        <v>3981</v>
      </c>
      <c r="G2793" s="2" t="s">
        <v>3973</v>
      </c>
    </row>
    <row r="2794">
      <c r="A2794" s="2" t="s">
        <v>3979</v>
      </c>
      <c r="B2794" s="2" t="s">
        <v>3982</v>
      </c>
      <c r="G2794" s="2" t="s">
        <v>3973</v>
      </c>
    </row>
    <row r="2795">
      <c r="A2795" s="2" t="s">
        <v>3979</v>
      </c>
      <c r="B2795" s="2" t="s">
        <v>3983</v>
      </c>
      <c r="G2795" s="2" t="s">
        <v>3973</v>
      </c>
    </row>
    <row r="2796">
      <c r="A2796" s="2" t="s">
        <v>3979</v>
      </c>
      <c r="B2796" s="2" t="s">
        <v>3984</v>
      </c>
      <c r="G2796" s="2" t="s">
        <v>3973</v>
      </c>
    </row>
    <row r="2797">
      <c r="A2797" s="2" t="s">
        <v>3979</v>
      </c>
      <c r="B2797" s="2" t="s">
        <v>3985</v>
      </c>
      <c r="G2797" s="2" t="s">
        <v>3973</v>
      </c>
    </row>
    <row r="2798">
      <c r="A2798" s="2" t="s">
        <v>3979</v>
      </c>
      <c r="B2798" s="2" t="s">
        <v>3986</v>
      </c>
      <c r="G2798" s="2" t="s">
        <v>3973</v>
      </c>
    </row>
    <row r="2799">
      <c r="A2799" s="2" t="s">
        <v>3979</v>
      </c>
      <c r="B2799" s="2" t="s">
        <v>3987</v>
      </c>
      <c r="G2799" s="2" t="s">
        <v>3973</v>
      </c>
    </row>
    <row r="2800">
      <c r="A2800" s="2" t="s">
        <v>3979</v>
      </c>
      <c r="B2800" s="2" t="s">
        <v>3988</v>
      </c>
      <c r="G2800" s="2" t="s">
        <v>3973</v>
      </c>
    </row>
    <row r="2801">
      <c r="A2801" s="2" t="s">
        <v>3979</v>
      </c>
      <c r="B2801" s="2" t="s">
        <v>3989</v>
      </c>
      <c r="G2801" s="2" t="s">
        <v>3973</v>
      </c>
    </row>
    <row r="2802">
      <c r="A2802" s="2" t="s">
        <v>3979</v>
      </c>
      <c r="B2802" s="2" t="s">
        <v>3990</v>
      </c>
      <c r="G2802" s="2" t="s">
        <v>3973</v>
      </c>
    </row>
    <row r="2803">
      <c r="A2803" s="2" t="s">
        <v>3979</v>
      </c>
      <c r="B2803" s="2" t="s">
        <v>3991</v>
      </c>
      <c r="G2803" s="2" t="s">
        <v>3973</v>
      </c>
    </row>
    <row r="2804">
      <c r="A2804" s="2" t="s">
        <v>3979</v>
      </c>
      <c r="B2804" s="2" t="s">
        <v>3992</v>
      </c>
      <c r="G2804" s="2" t="s">
        <v>3973</v>
      </c>
    </row>
    <row r="2805">
      <c r="A2805" s="2" t="s">
        <v>3979</v>
      </c>
      <c r="B2805" s="2" t="s">
        <v>3993</v>
      </c>
      <c r="G2805" s="2" t="s">
        <v>3973</v>
      </c>
    </row>
    <row r="2806">
      <c r="A2806" s="2" t="s">
        <v>3979</v>
      </c>
      <c r="B2806" s="2" t="s">
        <v>3994</v>
      </c>
      <c r="G2806" s="2" t="s">
        <v>3973</v>
      </c>
    </row>
    <row r="2807">
      <c r="A2807" s="2" t="s">
        <v>3979</v>
      </c>
      <c r="B2807" s="2" t="s">
        <v>3995</v>
      </c>
      <c r="G2807" s="2" t="s">
        <v>3973</v>
      </c>
    </row>
    <row r="2808">
      <c r="A2808" s="2" t="s">
        <v>3979</v>
      </c>
      <c r="B2808" s="2" t="s">
        <v>3996</v>
      </c>
      <c r="G2808" s="2" t="s">
        <v>3973</v>
      </c>
    </row>
    <row r="2809">
      <c r="A2809" s="2" t="s">
        <v>3979</v>
      </c>
      <c r="B2809" s="2" t="s">
        <v>3997</v>
      </c>
      <c r="G2809" s="2" t="s">
        <v>3973</v>
      </c>
    </row>
    <row r="2810">
      <c r="A2810" s="2" t="s">
        <v>3979</v>
      </c>
      <c r="B2810" s="2" t="s">
        <v>3998</v>
      </c>
      <c r="G2810" s="2" t="s">
        <v>3973</v>
      </c>
    </row>
    <row r="2811">
      <c r="A2811" s="2" t="s">
        <v>3979</v>
      </c>
      <c r="B2811" s="2" t="s">
        <v>3999</v>
      </c>
      <c r="G2811" s="2" t="s">
        <v>3973</v>
      </c>
    </row>
    <row r="2812">
      <c r="A2812" s="2" t="s">
        <v>3979</v>
      </c>
      <c r="B2812" s="2" t="s">
        <v>4000</v>
      </c>
      <c r="G2812" s="2" t="s">
        <v>3973</v>
      </c>
    </row>
    <row r="2813">
      <c r="A2813" s="2" t="s">
        <v>3979</v>
      </c>
      <c r="B2813" s="2" t="s">
        <v>4001</v>
      </c>
      <c r="G2813" s="2" t="s">
        <v>3973</v>
      </c>
    </row>
    <row r="2814">
      <c r="A2814" s="2" t="s">
        <v>3979</v>
      </c>
      <c r="B2814" s="2" t="s">
        <v>4002</v>
      </c>
      <c r="G2814" s="2" t="s">
        <v>3973</v>
      </c>
    </row>
    <row r="2815">
      <c r="A2815" s="2" t="s">
        <v>3979</v>
      </c>
      <c r="B2815" s="2" t="s">
        <v>4003</v>
      </c>
      <c r="G2815" s="2" t="s">
        <v>3973</v>
      </c>
    </row>
    <row r="2816">
      <c r="A2816" s="2" t="s">
        <v>3979</v>
      </c>
      <c r="B2816" s="2" t="s">
        <v>4004</v>
      </c>
      <c r="G2816" s="2" t="s">
        <v>3973</v>
      </c>
    </row>
    <row r="2817">
      <c r="A2817" s="2" t="s">
        <v>3979</v>
      </c>
      <c r="B2817" s="2" t="s">
        <v>4005</v>
      </c>
      <c r="G2817" s="2" t="s">
        <v>3973</v>
      </c>
    </row>
    <row r="2818">
      <c r="A2818" s="2" t="s">
        <v>3979</v>
      </c>
      <c r="B2818" s="2" t="s">
        <v>4006</v>
      </c>
      <c r="G2818" s="2" t="s">
        <v>3973</v>
      </c>
    </row>
    <row r="2819">
      <c r="A2819" s="2" t="s">
        <v>3979</v>
      </c>
      <c r="B2819" s="2" t="s">
        <v>4007</v>
      </c>
      <c r="G2819" s="2" t="s">
        <v>3973</v>
      </c>
    </row>
    <row r="2820">
      <c r="A2820" s="2" t="s">
        <v>3979</v>
      </c>
      <c r="B2820" s="2" t="s">
        <v>4008</v>
      </c>
      <c r="G2820" s="2" t="s">
        <v>3973</v>
      </c>
    </row>
    <row r="2821">
      <c r="A2821" s="2" t="s">
        <v>3979</v>
      </c>
      <c r="B2821" s="2" t="s">
        <v>4009</v>
      </c>
      <c r="G2821" s="2" t="s">
        <v>3973</v>
      </c>
    </row>
    <row r="2822">
      <c r="A2822" s="2" t="s">
        <v>3979</v>
      </c>
      <c r="B2822" s="2" t="s">
        <v>4010</v>
      </c>
      <c r="G2822" s="2" t="s">
        <v>3973</v>
      </c>
    </row>
    <row r="2823">
      <c r="A2823" s="2" t="s">
        <v>3979</v>
      </c>
      <c r="B2823" s="2" t="s">
        <v>4011</v>
      </c>
      <c r="G2823" s="2" t="s">
        <v>3973</v>
      </c>
    </row>
    <row r="2824">
      <c r="A2824" s="2" t="s">
        <v>3979</v>
      </c>
      <c r="B2824" s="2" t="s">
        <v>4012</v>
      </c>
      <c r="G2824" s="2" t="s">
        <v>3973</v>
      </c>
    </row>
    <row r="2825">
      <c r="A2825" s="2" t="s">
        <v>3979</v>
      </c>
      <c r="B2825" s="2" t="s">
        <v>4013</v>
      </c>
      <c r="G2825" s="2" t="s">
        <v>3973</v>
      </c>
    </row>
    <row r="2826">
      <c r="A2826" s="2" t="s">
        <v>3979</v>
      </c>
      <c r="B2826" s="2" t="s">
        <v>4014</v>
      </c>
      <c r="G2826" s="2" t="s">
        <v>3973</v>
      </c>
    </row>
    <row r="2827">
      <c r="A2827" s="2" t="s">
        <v>3979</v>
      </c>
      <c r="B2827" s="2" t="s">
        <v>4015</v>
      </c>
      <c r="G2827" s="2" t="s">
        <v>3973</v>
      </c>
    </row>
    <row r="2828">
      <c r="A2828" s="2" t="s">
        <v>3979</v>
      </c>
      <c r="B2828" s="2" t="s">
        <v>4016</v>
      </c>
      <c r="G2828" s="2" t="s">
        <v>3973</v>
      </c>
    </row>
    <row r="2829">
      <c r="A2829" s="2" t="s">
        <v>3979</v>
      </c>
      <c r="B2829" s="2" t="s">
        <v>4017</v>
      </c>
      <c r="G2829" s="2" t="s">
        <v>3973</v>
      </c>
    </row>
    <row r="2830">
      <c r="A2830" s="2" t="s">
        <v>3979</v>
      </c>
      <c r="B2830" s="2" t="s">
        <v>4018</v>
      </c>
      <c r="G2830" s="2" t="s">
        <v>3973</v>
      </c>
    </row>
    <row r="2831">
      <c r="A2831" s="2" t="s">
        <v>3979</v>
      </c>
      <c r="B2831" s="2" t="s">
        <v>4019</v>
      </c>
      <c r="G2831" s="2" t="s">
        <v>3973</v>
      </c>
    </row>
    <row r="2832">
      <c r="A2832" s="2" t="s">
        <v>3979</v>
      </c>
      <c r="B2832" s="2" t="s">
        <v>4020</v>
      </c>
      <c r="G2832" s="2" t="s">
        <v>3973</v>
      </c>
    </row>
    <row r="2833">
      <c r="A2833" s="2" t="s">
        <v>3979</v>
      </c>
      <c r="B2833" s="2" t="s">
        <v>4021</v>
      </c>
      <c r="G2833" s="2" t="s">
        <v>3973</v>
      </c>
    </row>
    <row r="2834">
      <c r="A2834" s="2" t="s">
        <v>3979</v>
      </c>
      <c r="B2834" s="2" t="s">
        <v>4022</v>
      </c>
      <c r="G2834" s="2" t="s">
        <v>3973</v>
      </c>
    </row>
    <row r="2835">
      <c r="A2835" s="2" t="s">
        <v>3979</v>
      </c>
      <c r="B2835" s="2" t="s">
        <v>4023</v>
      </c>
      <c r="G2835" s="2" t="s">
        <v>3973</v>
      </c>
    </row>
    <row r="2836">
      <c r="A2836" s="2" t="s">
        <v>3979</v>
      </c>
      <c r="B2836" s="2" t="s">
        <v>4024</v>
      </c>
      <c r="G2836" s="2" t="s">
        <v>3973</v>
      </c>
    </row>
    <row r="2837">
      <c r="A2837" s="2" t="s">
        <v>3979</v>
      </c>
      <c r="B2837" s="2" t="s">
        <v>4025</v>
      </c>
      <c r="G2837" s="2" t="s">
        <v>3973</v>
      </c>
    </row>
    <row r="2838">
      <c r="A2838" s="2" t="s">
        <v>3979</v>
      </c>
      <c r="B2838" s="2" t="s">
        <v>4026</v>
      </c>
      <c r="G2838" s="2" t="s">
        <v>3973</v>
      </c>
    </row>
    <row r="2839">
      <c r="A2839" s="2" t="s">
        <v>3979</v>
      </c>
      <c r="B2839" s="2" t="s">
        <v>4027</v>
      </c>
      <c r="G2839" s="2" t="s">
        <v>3973</v>
      </c>
    </row>
    <row r="2840">
      <c r="A2840" s="2" t="s">
        <v>3979</v>
      </c>
      <c r="B2840" s="2" t="s">
        <v>4028</v>
      </c>
      <c r="G2840" s="2" t="s">
        <v>3973</v>
      </c>
    </row>
    <row r="2841">
      <c r="A2841" s="2" t="s">
        <v>3979</v>
      </c>
      <c r="B2841" s="2" t="s">
        <v>4029</v>
      </c>
      <c r="G2841" s="2" t="s">
        <v>3973</v>
      </c>
    </row>
    <row r="2842">
      <c r="A2842" s="2" t="s">
        <v>3979</v>
      </c>
      <c r="B2842" s="2" t="s">
        <v>4030</v>
      </c>
      <c r="G2842" s="2" t="s">
        <v>3973</v>
      </c>
    </row>
    <row r="2843">
      <c r="A2843" s="2" t="s">
        <v>3979</v>
      </c>
      <c r="B2843" s="2" t="s">
        <v>4031</v>
      </c>
      <c r="G2843" s="2" t="s">
        <v>3973</v>
      </c>
    </row>
    <row r="2844">
      <c r="A2844" s="2" t="s">
        <v>3979</v>
      </c>
      <c r="B2844" s="2" t="s">
        <v>4032</v>
      </c>
      <c r="G2844" s="2" t="s">
        <v>3973</v>
      </c>
    </row>
    <row r="2845">
      <c r="A2845" s="2" t="s">
        <v>3979</v>
      </c>
      <c r="B2845" s="2" t="s">
        <v>4033</v>
      </c>
      <c r="G2845" s="2" t="s">
        <v>3973</v>
      </c>
    </row>
    <row r="2846">
      <c r="A2846" s="2" t="s">
        <v>3979</v>
      </c>
      <c r="B2846" s="2" t="s">
        <v>4034</v>
      </c>
      <c r="G2846" s="2" t="s">
        <v>3973</v>
      </c>
    </row>
    <row r="2847">
      <c r="A2847" s="2" t="s">
        <v>3979</v>
      </c>
      <c r="B2847" s="2" t="s">
        <v>4035</v>
      </c>
      <c r="G2847" s="2" t="s">
        <v>3973</v>
      </c>
    </row>
    <row r="2848">
      <c r="A2848" s="2" t="s">
        <v>3979</v>
      </c>
      <c r="B2848" s="2" t="s">
        <v>4036</v>
      </c>
      <c r="G2848" s="2" t="s">
        <v>3973</v>
      </c>
    </row>
    <row r="2849">
      <c r="A2849" s="2" t="s">
        <v>3979</v>
      </c>
      <c r="B2849" s="2" t="s">
        <v>4037</v>
      </c>
      <c r="G2849" s="2" t="s">
        <v>3973</v>
      </c>
    </row>
    <row r="2850">
      <c r="A2850" s="2" t="s">
        <v>3979</v>
      </c>
      <c r="B2850" s="2" t="s">
        <v>4038</v>
      </c>
      <c r="G2850" s="2" t="s">
        <v>3973</v>
      </c>
    </row>
    <row r="2851">
      <c r="A2851" s="2" t="s">
        <v>3979</v>
      </c>
      <c r="B2851" s="2" t="s">
        <v>4039</v>
      </c>
      <c r="G2851" s="2" t="s">
        <v>3973</v>
      </c>
    </row>
    <row r="2852">
      <c r="A2852" s="2" t="s">
        <v>3979</v>
      </c>
      <c r="B2852" s="2" t="s">
        <v>4040</v>
      </c>
      <c r="G2852" s="2" t="s">
        <v>3973</v>
      </c>
    </row>
    <row r="2853">
      <c r="A2853" s="2" t="s">
        <v>3979</v>
      </c>
      <c r="B2853" s="2" t="s">
        <v>4041</v>
      </c>
      <c r="G2853" s="2" t="s">
        <v>3973</v>
      </c>
    </row>
    <row r="2854">
      <c r="A2854" s="2" t="s">
        <v>3979</v>
      </c>
      <c r="B2854" s="2" t="s">
        <v>4042</v>
      </c>
      <c r="G2854" s="2" t="s">
        <v>3973</v>
      </c>
    </row>
    <row r="2855">
      <c r="A2855" s="2" t="s">
        <v>3979</v>
      </c>
      <c r="B2855" s="2" t="s">
        <v>4043</v>
      </c>
      <c r="G2855" s="2" t="s">
        <v>3973</v>
      </c>
    </row>
    <row r="2856">
      <c r="A2856" s="2" t="s">
        <v>3979</v>
      </c>
      <c r="B2856" s="2" t="s">
        <v>4044</v>
      </c>
      <c r="G2856" s="2" t="s">
        <v>3973</v>
      </c>
    </row>
    <row r="2857">
      <c r="A2857" s="2" t="s">
        <v>3979</v>
      </c>
      <c r="B2857" s="2" t="s">
        <v>4045</v>
      </c>
      <c r="G2857" s="2" t="s">
        <v>3973</v>
      </c>
    </row>
    <row r="2858">
      <c r="A2858" s="2" t="s">
        <v>3979</v>
      </c>
      <c r="B2858" s="2" t="s">
        <v>4046</v>
      </c>
      <c r="G2858" s="2" t="s">
        <v>3973</v>
      </c>
    </row>
    <row r="2859">
      <c r="A2859" s="2" t="s">
        <v>3979</v>
      </c>
      <c r="B2859" s="2" t="s">
        <v>4047</v>
      </c>
      <c r="G2859" s="2" t="s">
        <v>3973</v>
      </c>
    </row>
    <row r="2860">
      <c r="A2860" s="2" t="s">
        <v>3979</v>
      </c>
      <c r="B2860" s="2" t="s">
        <v>4048</v>
      </c>
      <c r="G2860" s="2" t="s">
        <v>3973</v>
      </c>
    </row>
    <row r="2861">
      <c r="A2861" s="2" t="s">
        <v>3979</v>
      </c>
      <c r="B2861" s="2" t="s">
        <v>4049</v>
      </c>
      <c r="G2861" s="2" t="s">
        <v>3973</v>
      </c>
    </row>
    <row r="2862">
      <c r="A2862" s="2" t="s">
        <v>3979</v>
      </c>
      <c r="B2862" s="2" t="s">
        <v>4050</v>
      </c>
      <c r="G2862" s="2" t="s">
        <v>3973</v>
      </c>
    </row>
    <row r="2863">
      <c r="A2863" s="2" t="s">
        <v>3979</v>
      </c>
      <c r="B2863" s="2" t="s">
        <v>4051</v>
      </c>
      <c r="G2863" s="2" t="s">
        <v>3973</v>
      </c>
    </row>
    <row r="2864">
      <c r="A2864" s="2" t="s">
        <v>3979</v>
      </c>
      <c r="B2864" s="2" t="s">
        <v>4052</v>
      </c>
      <c r="G2864" s="2" t="s">
        <v>3973</v>
      </c>
    </row>
    <row r="2865">
      <c r="A2865" s="2" t="s">
        <v>3979</v>
      </c>
      <c r="B2865" s="2" t="s">
        <v>4053</v>
      </c>
      <c r="G2865" s="2" t="s">
        <v>3973</v>
      </c>
    </row>
    <row r="2866">
      <c r="A2866" s="2" t="s">
        <v>3979</v>
      </c>
      <c r="B2866" s="2" t="s">
        <v>4054</v>
      </c>
      <c r="G2866" s="2" t="s">
        <v>3973</v>
      </c>
    </row>
    <row r="2867">
      <c r="A2867" s="2" t="s">
        <v>3979</v>
      </c>
      <c r="B2867" s="2" t="s">
        <v>4055</v>
      </c>
      <c r="G2867" s="2" t="s">
        <v>3973</v>
      </c>
    </row>
    <row r="2868">
      <c r="A2868" s="2" t="s">
        <v>3979</v>
      </c>
      <c r="B2868" s="2" t="s">
        <v>4056</v>
      </c>
      <c r="G2868" s="2" t="s">
        <v>3973</v>
      </c>
    </row>
    <row r="2869">
      <c r="A2869" s="2" t="s">
        <v>3979</v>
      </c>
      <c r="B2869" s="2" t="s">
        <v>4057</v>
      </c>
      <c r="G2869" s="2" t="s">
        <v>3973</v>
      </c>
    </row>
    <row r="2870">
      <c r="A2870" s="2" t="s">
        <v>3979</v>
      </c>
      <c r="B2870" s="2" t="s">
        <v>4058</v>
      </c>
      <c r="G2870" s="2" t="s">
        <v>3973</v>
      </c>
    </row>
    <row r="2871">
      <c r="A2871" s="2" t="s">
        <v>3979</v>
      </c>
      <c r="B2871" s="2" t="s">
        <v>4059</v>
      </c>
      <c r="G2871" s="2" t="s">
        <v>3973</v>
      </c>
    </row>
    <row r="2872">
      <c r="A2872" s="2" t="s">
        <v>3979</v>
      </c>
      <c r="B2872" s="2" t="s">
        <v>4060</v>
      </c>
      <c r="G2872" s="2" t="s">
        <v>3973</v>
      </c>
    </row>
    <row r="2873">
      <c r="A2873" s="2" t="s">
        <v>3979</v>
      </c>
      <c r="B2873" s="2" t="s">
        <v>4061</v>
      </c>
      <c r="G2873" s="2" t="s">
        <v>3973</v>
      </c>
    </row>
    <row r="2874">
      <c r="A2874" s="2" t="s">
        <v>3979</v>
      </c>
      <c r="B2874" s="2" t="s">
        <v>4062</v>
      </c>
      <c r="G2874" s="2" t="s">
        <v>3973</v>
      </c>
    </row>
    <row r="2875">
      <c r="A2875" s="2" t="s">
        <v>3979</v>
      </c>
      <c r="B2875" s="2" t="s">
        <v>4063</v>
      </c>
      <c r="G2875" s="2" t="s">
        <v>3973</v>
      </c>
    </row>
    <row r="2876">
      <c r="A2876" s="2" t="s">
        <v>3979</v>
      </c>
      <c r="B2876" s="2" t="s">
        <v>4064</v>
      </c>
      <c r="G2876" s="2" t="s">
        <v>3973</v>
      </c>
    </row>
    <row r="2877">
      <c r="A2877" s="2" t="s">
        <v>3979</v>
      </c>
      <c r="B2877" s="2" t="s">
        <v>4065</v>
      </c>
      <c r="G2877" s="2" t="s">
        <v>3973</v>
      </c>
    </row>
    <row r="2878">
      <c r="A2878" s="2" t="s">
        <v>3979</v>
      </c>
      <c r="B2878" s="2" t="s">
        <v>4066</v>
      </c>
      <c r="G2878" s="2" t="s">
        <v>3973</v>
      </c>
    </row>
    <row r="2879">
      <c r="A2879" s="2" t="s">
        <v>3979</v>
      </c>
      <c r="B2879" s="2" t="s">
        <v>4067</v>
      </c>
      <c r="G2879" s="2" t="s">
        <v>3973</v>
      </c>
    </row>
    <row r="2880">
      <c r="A2880" s="2" t="s">
        <v>3979</v>
      </c>
      <c r="B2880" s="2" t="s">
        <v>4068</v>
      </c>
      <c r="G2880" s="2" t="s">
        <v>3973</v>
      </c>
    </row>
    <row r="2881">
      <c r="A2881" s="2" t="s">
        <v>3979</v>
      </c>
      <c r="B2881" s="2" t="s">
        <v>4069</v>
      </c>
      <c r="G2881" s="2" t="s">
        <v>3973</v>
      </c>
    </row>
    <row r="2882">
      <c r="A2882" s="2" t="s">
        <v>3979</v>
      </c>
      <c r="B2882" s="2" t="s">
        <v>4070</v>
      </c>
      <c r="G2882" s="2" t="s">
        <v>3973</v>
      </c>
    </row>
    <row r="2883">
      <c r="A2883" s="2" t="s">
        <v>3979</v>
      </c>
      <c r="B2883" s="2" t="s">
        <v>4071</v>
      </c>
      <c r="G2883" s="2" t="s">
        <v>3973</v>
      </c>
    </row>
    <row r="2884">
      <c r="A2884" s="2" t="s">
        <v>3979</v>
      </c>
      <c r="B2884" s="2" t="s">
        <v>4072</v>
      </c>
      <c r="G2884" s="2" t="s">
        <v>3973</v>
      </c>
    </row>
    <row r="2885">
      <c r="A2885" s="2" t="s">
        <v>3979</v>
      </c>
      <c r="B2885" s="2" t="s">
        <v>4073</v>
      </c>
      <c r="G2885" s="2" t="s">
        <v>3973</v>
      </c>
    </row>
    <row r="2886">
      <c r="A2886" s="2" t="s">
        <v>3979</v>
      </c>
      <c r="B2886" s="2" t="s">
        <v>4074</v>
      </c>
      <c r="G2886" s="2" t="s">
        <v>3973</v>
      </c>
    </row>
    <row r="2887">
      <c r="A2887" s="2" t="s">
        <v>3979</v>
      </c>
      <c r="B2887" s="2" t="s">
        <v>4075</v>
      </c>
      <c r="G2887" s="2" t="s">
        <v>3973</v>
      </c>
    </row>
    <row r="2888">
      <c r="A2888" s="2" t="s">
        <v>3979</v>
      </c>
      <c r="B2888" s="2" t="s">
        <v>4003</v>
      </c>
      <c r="G2888" s="2" t="s">
        <v>3973</v>
      </c>
    </row>
    <row r="2889">
      <c r="A2889" s="2" t="s">
        <v>3979</v>
      </c>
      <c r="B2889" s="2" t="s">
        <v>4033</v>
      </c>
      <c r="G2889" s="2" t="s">
        <v>3973</v>
      </c>
    </row>
    <row r="2890">
      <c r="A2890" s="2" t="s">
        <v>3979</v>
      </c>
      <c r="B2890" s="2" t="s">
        <v>4004</v>
      </c>
      <c r="G2890" s="2" t="s">
        <v>3973</v>
      </c>
    </row>
    <row r="2891">
      <c r="A2891" s="2" t="s">
        <v>3979</v>
      </c>
      <c r="B2891" s="2" t="s">
        <v>4005</v>
      </c>
      <c r="G2891" s="2" t="s">
        <v>3973</v>
      </c>
    </row>
    <row r="2892">
      <c r="A2892" s="2" t="s">
        <v>3979</v>
      </c>
      <c r="B2892" s="2" t="s">
        <v>4006</v>
      </c>
      <c r="G2892" s="2" t="s">
        <v>3973</v>
      </c>
    </row>
    <row r="2893">
      <c r="A2893" s="2" t="s">
        <v>3979</v>
      </c>
      <c r="B2893" s="2" t="s">
        <v>4007</v>
      </c>
      <c r="G2893" s="2" t="s">
        <v>3973</v>
      </c>
    </row>
    <row r="2894">
      <c r="A2894" s="2" t="s">
        <v>3979</v>
      </c>
      <c r="B2894" s="2" t="s">
        <v>4008</v>
      </c>
      <c r="G2894" s="2" t="s">
        <v>3973</v>
      </c>
    </row>
    <row r="2895">
      <c r="A2895" s="2" t="s">
        <v>3979</v>
      </c>
      <c r="B2895" s="2" t="s">
        <v>4034</v>
      </c>
      <c r="G2895" s="2" t="s">
        <v>3973</v>
      </c>
    </row>
    <row r="2896">
      <c r="A2896" s="2" t="s">
        <v>3979</v>
      </c>
      <c r="B2896" s="2" t="s">
        <v>4035</v>
      </c>
      <c r="G2896" s="2" t="s">
        <v>3973</v>
      </c>
    </row>
    <row r="2897">
      <c r="A2897" s="2" t="s">
        <v>3979</v>
      </c>
      <c r="B2897" s="2" t="s">
        <v>4036</v>
      </c>
      <c r="G2897" s="2" t="s">
        <v>3973</v>
      </c>
    </row>
    <row r="2898">
      <c r="A2898" s="2" t="s">
        <v>3979</v>
      </c>
      <c r="B2898" s="2" t="s">
        <v>4048</v>
      </c>
      <c r="G2898" s="2" t="s">
        <v>3973</v>
      </c>
    </row>
    <row r="2899">
      <c r="A2899" s="2" t="s">
        <v>3979</v>
      </c>
      <c r="B2899" s="2" t="s">
        <v>4037</v>
      </c>
      <c r="G2899" s="2" t="s">
        <v>3973</v>
      </c>
    </row>
    <row r="2900">
      <c r="A2900" s="2" t="s">
        <v>3979</v>
      </c>
      <c r="B2900" s="2" t="s">
        <v>4042</v>
      </c>
      <c r="G2900" s="2" t="s">
        <v>3973</v>
      </c>
    </row>
    <row r="2901">
      <c r="A2901" s="2" t="s">
        <v>3979</v>
      </c>
      <c r="B2901" s="2" t="s">
        <v>4038</v>
      </c>
      <c r="G2901" s="2" t="s">
        <v>3973</v>
      </c>
    </row>
    <row r="2902">
      <c r="A2902" s="2" t="s">
        <v>3979</v>
      </c>
      <c r="B2902" s="2" t="s">
        <v>4076</v>
      </c>
      <c r="G2902" s="2" t="s">
        <v>3973</v>
      </c>
    </row>
    <row r="2903">
      <c r="A2903" s="2" t="s">
        <v>3979</v>
      </c>
      <c r="B2903" s="2" t="s">
        <v>4077</v>
      </c>
      <c r="G2903" s="2" t="s">
        <v>3973</v>
      </c>
    </row>
    <row r="2904">
      <c r="A2904" s="2" t="s">
        <v>3979</v>
      </c>
      <c r="B2904" s="2" t="s">
        <v>4010</v>
      </c>
      <c r="G2904" s="2" t="s">
        <v>3973</v>
      </c>
    </row>
    <row r="2905">
      <c r="A2905" s="2" t="s">
        <v>3979</v>
      </c>
      <c r="B2905" s="2" t="s">
        <v>4011</v>
      </c>
      <c r="G2905" s="2" t="s">
        <v>3973</v>
      </c>
    </row>
    <row r="2906">
      <c r="A2906" s="2" t="s">
        <v>3979</v>
      </c>
      <c r="B2906" s="2" t="s">
        <v>4049</v>
      </c>
      <c r="G2906" s="2" t="s">
        <v>3973</v>
      </c>
    </row>
    <row r="2907">
      <c r="A2907" s="2" t="s">
        <v>3979</v>
      </c>
      <c r="B2907" s="2" t="s">
        <v>4012</v>
      </c>
      <c r="G2907" s="2" t="s">
        <v>3973</v>
      </c>
    </row>
    <row r="2908">
      <c r="A2908" s="2" t="s">
        <v>3979</v>
      </c>
      <c r="B2908" s="2" t="s">
        <v>4039</v>
      </c>
      <c r="G2908" s="2" t="s">
        <v>3973</v>
      </c>
    </row>
    <row r="2909">
      <c r="A2909" s="2" t="s">
        <v>3979</v>
      </c>
      <c r="B2909" s="2" t="s">
        <v>4040</v>
      </c>
      <c r="G2909" s="2" t="s">
        <v>3973</v>
      </c>
    </row>
    <row r="2910">
      <c r="A2910" s="2" t="s">
        <v>3979</v>
      </c>
      <c r="B2910" s="2" t="s">
        <v>4043</v>
      </c>
      <c r="G2910" s="2" t="s">
        <v>3973</v>
      </c>
    </row>
    <row r="2911">
      <c r="A2911" s="2" t="s">
        <v>3979</v>
      </c>
      <c r="B2911" s="2" t="s">
        <v>4041</v>
      </c>
      <c r="G2911" s="2" t="s">
        <v>3973</v>
      </c>
    </row>
    <row r="2912">
      <c r="A2912" s="2" t="s">
        <v>3979</v>
      </c>
      <c r="B2912" s="2" t="s">
        <v>4044</v>
      </c>
      <c r="G2912" s="2" t="s">
        <v>3973</v>
      </c>
    </row>
    <row r="2913">
      <c r="A2913" s="2" t="s">
        <v>3979</v>
      </c>
      <c r="B2913" s="2" t="s">
        <v>4050</v>
      </c>
      <c r="G2913" s="2" t="s">
        <v>3973</v>
      </c>
    </row>
    <row r="2914">
      <c r="A2914" s="2" t="s">
        <v>3979</v>
      </c>
      <c r="B2914" s="2" t="s">
        <v>4051</v>
      </c>
      <c r="G2914" s="2" t="s">
        <v>3973</v>
      </c>
    </row>
    <row r="2915">
      <c r="A2915" s="2" t="s">
        <v>3979</v>
      </c>
      <c r="B2915" s="2" t="s">
        <v>4052</v>
      </c>
      <c r="G2915" s="2" t="s">
        <v>3973</v>
      </c>
    </row>
    <row r="2916">
      <c r="A2916" s="2" t="s">
        <v>3979</v>
      </c>
      <c r="B2916" s="2" t="s">
        <v>4045</v>
      </c>
      <c r="G2916" s="2" t="s">
        <v>3973</v>
      </c>
    </row>
    <row r="2917">
      <c r="A2917" s="2" t="s">
        <v>3979</v>
      </c>
      <c r="B2917" s="2" t="s">
        <v>4046</v>
      </c>
      <c r="G2917" s="2" t="s">
        <v>3973</v>
      </c>
    </row>
    <row r="2918">
      <c r="A2918" s="2" t="s">
        <v>3979</v>
      </c>
      <c r="B2918" s="2" t="s">
        <v>4053</v>
      </c>
      <c r="G2918" s="2" t="s">
        <v>3973</v>
      </c>
    </row>
    <row r="2919">
      <c r="A2919" s="2" t="s">
        <v>3979</v>
      </c>
      <c r="B2919" s="2" t="s">
        <v>4054</v>
      </c>
      <c r="G2919" s="2" t="s">
        <v>3973</v>
      </c>
    </row>
    <row r="2920">
      <c r="A2920" s="2" t="s">
        <v>3979</v>
      </c>
      <c r="B2920" s="2" t="s">
        <v>4055</v>
      </c>
      <c r="G2920" s="2" t="s">
        <v>3973</v>
      </c>
    </row>
    <row r="2921">
      <c r="A2921" s="2" t="s">
        <v>3979</v>
      </c>
      <c r="B2921" s="2" t="s">
        <v>4056</v>
      </c>
      <c r="G2921" s="2" t="s">
        <v>3973</v>
      </c>
    </row>
    <row r="2922">
      <c r="A2922" s="2" t="s">
        <v>3979</v>
      </c>
      <c r="B2922" s="2" t="s">
        <v>4070</v>
      </c>
      <c r="G2922" s="2" t="s">
        <v>3973</v>
      </c>
    </row>
    <row r="2923">
      <c r="A2923" s="2" t="s">
        <v>3979</v>
      </c>
      <c r="B2923" s="2" t="s">
        <v>4071</v>
      </c>
      <c r="G2923" s="2" t="s">
        <v>3973</v>
      </c>
    </row>
    <row r="2924">
      <c r="A2924" s="2" t="s">
        <v>3979</v>
      </c>
      <c r="B2924" s="2" t="s">
        <v>4072</v>
      </c>
      <c r="G2924" s="2" t="s">
        <v>3973</v>
      </c>
    </row>
    <row r="2925">
      <c r="A2925" s="2" t="s">
        <v>3979</v>
      </c>
      <c r="B2925" s="2" t="s">
        <v>4013</v>
      </c>
      <c r="G2925" s="2" t="s">
        <v>3973</v>
      </c>
    </row>
    <row r="2926">
      <c r="A2926" s="2" t="s">
        <v>3979</v>
      </c>
      <c r="B2926" s="2" t="s">
        <v>4014</v>
      </c>
      <c r="G2926" s="2" t="s">
        <v>3973</v>
      </c>
    </row>
    <row r="2927">
      <c r="A2927" s="2" t="s">
        <v>3979</v>
      </c>
      <c r="B2927" s="2" t="s">
        <v>4015</v>
      </c>
      <c r="G2927" s="2" t="s">
        <v>3973</v>
      </c>
    </row>
    <row r="2928">
      <c r="A2928" s="2" t="s">
        <v>3979</v>
      </c>
      <c r="B2928" s="2" t="s">
        <v>4016</v>
      </c>
      <c r="G2928" s="2" t="s">
        <v>3973</v>
      </c>
    </row>
    <row r="2929">
      <c r="A2929" s="2" t="s">
        <v>3979</v>
      </c>
      <c r="B2929" s="2" t="s">
        <v>4017</v>
      </c>
      <c r="G2929" s="2" t="s">
        <v>3973</v>
      </c>
    </row>
    <row r="2930">
      <c r="A2930" s="2" t="s">
        <v>3979</v>
      </c>
      <c r="B2930" s="2" t="s">
        <v>4018</v>
      </c>
      <c r="G2930" s="2" t="s">
        <v>3973</v>
      </c>
    </row>
    <row r="2931">
      <c r="A2931" s="2" t="s">
        <v>3979</v>
      </c>
      <c r="B2931" s="2" t="s">
        <v>4019</v>
      </c>
      <c r="G2931" s="2" t="s">
        <v>3973</v>
      </c>
    </row>
    <row r="2932">
      <c r="A2932" s="2" t="s">
        <v>3979</v>
      </c>
      <c r="B2932" s="2" t="s">
        <v>4020</v>
      </c>
      <c r="G2932" s="2" t="s">
        <v>3973</v>
      </c>
    </row>
    <row r="2933">
      <c r="A2933" s="2" t="s">
        <v>3979</v>
      </c>
      <c r="B2933" s="2" t="s">
        <v>4021</v>
      </c>
      <c r="G2933" s="2" t="s">
        <v>3973</v>
      </c>
    </row>
    <row r="2934">
      <c r="A2934" s="2" t="s">
        <v>3979</v>
      </c>
      <c r="B2934" s="2" t="s">
        <v>4022</v>
      </c>
      <c r="G2934" s="2" t="s">
        <v>3973</v>
      </c>
    </row>
    <row r="2935">
      <c r="A2935" s="2" t="s">
        <v>3979</v>
      </c>
      <c r="B2935" s="2" t="s">
        <v>4023</v>
      </c>
      <c r="G2935" s="2" t="s">
        <v>3973</v>
      </c>
    </row>
    <row r="2936">
      <c r="A2936" s="2" t="s">
        <v>3979</v>
      </c>
      <c r="B2936" s="2" t="s">
        <v>4024</v>
      </c>
      <c r="G2936" s="2" t="s">
        <v>3973</v>
      </c>
    </row>
    <row r="2937">
      <c r="A2937" s="2" t="s">
        <v>3979</v>
      </c>
      <c r="B2937" s="2" t="s">
        <v>4025</v>
      </c>
      <c r="G2937" s="2" t="s">
        <v>3973</v>
      </c>
    </row>
    <row r="2938">
      <c r="A2938" s="2" t="s">
        <v>3979</v>
      </c>
      <c r="B2938" s="2" t="s">
        <v>4026</v>
      </c>
      <c r="G2938" s="2" t="s">
        <v>3973</v>
      </c>
    </row>
    <row r="2939">
      <c r="A2939" s="2" t="s">
        <v>3979</v>
      </c>
      <c r="B2939" s="2" t="s">
        <v>4047</v>
      </c>
      <c r="G2939" s="2" t="s">
        <v>3973</v>
      </c>
    </row>
    <row r="2940">
      <c r="A2940" s="2" t="s">
        <v>3979</v>
      </c>
      <c r="B2940" s="2" t="s">
        <v>4057</v>
      </c>
      <c r="G2940" s="2" t="s">
        <v>3973</v>
      </c>
    </row>
    <row r="2941">
      <c r="A2941" s="2" t="s">
        <v>3979</v>
      </c>
      <c r="B2941" s="2" t="s">
        <v>4058</v>
      </c>
      <c r="G2941" s="2" t="s">
        <v>3973</v>
      </c>
    </row>
    <row r="2942">
      <c r="A2942" s="2" t="s">
        <v>3979</v>
      </c>
      <c r="B2942" s="2" t="s">
        <v>4059</v>
      </c>
      <c r="G2942" s="2" t="s">
        <v>3973</v>
      </c>
    </row>
    <row r="2943">
      <c r="A2943" s="2" t="s">
        <v>3979</v>
      </c>
      <c r="B2943" s="2" t="s">
        <v>4060</v>
      </c>
      <c r="G2943" s="2" t="s">
        <v>3973</v>
      </c>
    </row>
    <row r="2944">
      <c r="A2944" s="2" t="s">
        <v>3979</v>
      </c>
      <c r="B2944" s="2" t="s">
        <v>4061</v>
      </c>
      <c r="G2944" s="2" t="s">
        <v>3973</v>
      </c>
    </row>
    <row r="2945">
      <c r="A2945" s="2" t="s">
        <v>3979</v>
      </c>
      <c r="B2945" s="2" t="s">
        <v>4062</v>
      </c>
      <c r="G2945" s="2" t="s">
        <v>3973</v>
      </c>
    </row>
    <row r="2946">
      <c r="A2946" s="2" t="s">
        <v>3979</v>
      </c>
      <c r="B2946" s="2" t="s">
        <v>4063</v>
      </c>
      <c r="G2946" s="2" t="s">
        <v>3973</v>
      </c>
    </row>
    <row r="2947">
      <c r="A2947" s="2" t="s">
        <v>3979</v>
      </c>
      <c r="B2947" s="2" t="s">
        <v>4064</v>
      </c>
      <c r="G2947" s="2" t="s">
        <v>3973</v>
      </c>
    </row>
    <row r="2948">
      <c r="A2948" s="2" t="s">
        <v>3979</v>
      </c>
      <c r="B2948" s="2" t="s">
        <v>4065</v>
      </c>
      <c r="G2948" s="2" t="s">
        <v>3973</v>
      </c>
    </row>
    <row r="2949">
      <c r="A2949" s="2" t="s">
        <v>3979</v>
      </c>
      <c r="B2949" s="2" t="s">
        <v>4067</v>
      </c>
      <c r="G2949" s="2" t="s">
        <v>3973</v>
      </c>
    </row>
    <row r="2950">
      <c r="A2950" s="2" t="s">
        <v>3979</v>
      </c>
      <c r="B2950" s="2" t="s">
        <v>4068</v>
      </c>
      <c r="G2950" s="2" t="s">
        <v>3973</v>
      </c>
    </row>
    <row r="2951">
      <c r="A2951" s="2" t="s">
        <v>3979</v>
      </c>
      <c r="B2951" s="2" t="s">
        <v>4027</v>
      </c>
      <c r="G2951" s="2" t="s">
        <v>3973</v>
      </c>
    </row>
    <row r="2952">
      <c r="A2952" s="2" t="s">
        <v>3979</v>
      </c>
      <c r="B2952" s="2" t="s">
        <v>4028</v>
      </c>
      <c r="G2952" s="2" t="s">
        <v>3973</v>
      </c>
    </row>
    <row r="2953">
      <c r="A2953" s="2" t="s">
        <v>3979</v>
      </c>
      <c r="B2953" s="2" t="s">
        <v>4029</v>
      </c>
      <c r="G2953" s="2" t="s">
        <v>3973</v>
      </c>
    </row>
    <row r="2954">
      <c r="A2954" s="2" t="s">
        <v>3979</v>
      </c>
      <c r="B2954" s="2" t="s">
        <v>4030</v>
      </c>
      <c r="G2954" s="2" t="s">
        <v>3973</v>
      </c>
    </row>
    <row r="2955">
      <c r="A2955" s="2" t="s">
        <v>3979</v>
      </c>
      <c r="B2955" s="2" t="s">
        <v>4031</v>
      </c>
      <c r="G2955" s="2" t="s">
        <v>3973</v>
      </c>
    </row>
    <row r="2956">
      <c r="A2956" s="2" t="s">
        <v>3979</v>
      </c>
      <c r="B2956" s="2" t="s">
        <v>4032</v>
      </c>
      <c r="G2956" s="2" t="s">
        <v>3973</v>
      </c>
    </row>
    <row r="2957">
      <c r="A2957" s="2" t="s">
        <v>3979</v>
      </c>
      <c r="B2957" s="2" t="s">
        <v>4069</v>
      </c>
      <c r="G2957" s="2" t="s">
        <v>3973</v>
      </c>
    </row>
    <row r="2958">
      <c r="A2958" s="2" t="s">
        <v>3979</v>
      </c>
      <c r="B2958" s="2" t="s">
        <v>4073</v>
      </c>
      <c r="G2958" s="2" t="s">
        <v>3973</v>
      </c>
    </row>
    <row r="2959">
      <c r="A2959" s="2" t="s">
        <v>3979</v>
      </c>
      <c r="B2959" s="2" t="s">
        <v>4074</v>
      </c>
      <c r="G2959" s="2" t="s">
        <v>3973</v>
      </c>
    </row>
    <row r="2960">
      <c r="A2960" s="2" t="s">
        <v>3979</v>
      </c>
      <c r="B2960" s="2" t="s">
        <v>4075</v>
      </c>
      <c r="G2960" s="2" t="s">
        <v>3973</v>
      </c>
    </row>
    <row r="2961">
      <c r="A2961" s="2" t="s">
        <v>4079</v>
      </c>
      <c r="B2961" s="2" t="s">
        <v>4080</v>
      </c>
      <c r="E2961" s="2" t="s">
        <v>4081</v>
      </c>
    </row>
    <row r="2962">
      <c r="A2962" s="2" t="s">
        <v>4079</v>
      </c>
      <c r="B2962" s="2" t="s">
        <v>4080</v>
      </c>
      <c r="F2962" s="2" t="s">
        <v>4082</v>
      </c>
    </row>
    <row r="2963">
      <c r="A2963" s="2" t="s">
        <v>4079</v>
      </c>
      <c r="B2963" s="2" t="s">
        <v>4080</v>
      </c>
      <c r="F2963" s="2" t="s">
        <v>4083</v>
      </c>
    </row>
    <row r="2964">
      <c r="A2964" s="2" t="s">
        <v>4084</v>
      </c>
      <c r="B2964" s="2" t="s">
        <v>4085</v>
      </c>
      <c r="F2964" s="2" t="s">
        <v>4086</v>
      </c>
    </row>
    <row r="2965">
      <c r="A2965" s="2" t="s">
        <v>4084</v>
      </c>
      <c r="B2965" s="2" t="s">
        <v>4087</v>
      </c>
      <c r="F2965" s="2" t="s">
        <v>4086</v>
      </c>
    </row>
    <row r="2966">
      <c r="A2966" s="2" t="s">
        <v>4084</v>
      </c>
      <c r="B2966" s="2" t="s">
        <v>4088</v>
      </c>
      <c r="F2966" s="2" t="s">
        <v>4086</v>
      </c>
    </row>
    <row r="2967">
      <c r="A2967" s="2" t="s">
        <v>4084</v>
      </c>
      <c r="B2967" s="2" t="s">
        <v>4089</v>
      </c>
      <c r="F2967" s="2" t="s">
        <v>4086</v>
      </c>
    </row>
    <row r="2968">
      <c r="A2968" s="2" t="s">
        <v>4084</v>
      </c>
      <c r="B2968" s="2" t="s">
        <v>4090</v>
      </c>
      <c r="F2968" s="2" t="s">
        <v>4086</v>
      </c>
    </row>
    <row r="2969">
      <c r="A2969" s="2" t="s">
        <v>4084</v>
      </c>
      <c r="B2969" s="2" t="s">
        <v>4091</v>
      </c>
      <c r="F2969" s="2" t="s">
        <v>4086</v>
      </c>
    </row>
    <row r="2970">
      <c r="A2970" s="2" t="s">
        <v>4084</v>
      </c>
      <c r="B2970" s="2" t="s">
        <v>4092</v>
      </c>
      <c r="F2970" s="2" t="s">
        <v>4086</v>
      </c>
    </row>
    <row r="2971">
      <c r="A2971" s="2" t="s">
        <v>4084</v>
      </c>
      <c r="B2971" s="2" t="s">
        <v>4093</v>
      </c>
      <c r="F2971" s="2" t="s">
        <v>4086</v>
      </c>
    </row>
    <row r="2972">
      <c r="A2972" s="2" t="s">
        <v>4084</v>
      </c>
      <c r="B2972" s="2" t="s">
        <v>4095</v>
      </c>
      <c r="F2972" s="2" t="s">
        <v>4086</v>
      </c>
    </row>
    <row r="2973">
      <c r="A2973" s="2" t="s">
        <v>4084</v>
      </c>
      <c r="B2973" s="2" t="s">
        <v>4096</v>
      </c>
      <c r="F2973" s="2" t="s">
        <v>4086</v>
      </c>
    </row>
    <row r="2974">
      <c r="A2974" s="64" t="s">
        <v>4097</v>
      </c>
      <c r="B2974" s="2" t="s">
        <v>4096</v>
      </c>
      <c r="F2974" s="2" t="s">
        <v>4086</v>
      </c>
    </row>
    <row r="2975">
      <c r="A2975" s="64" t="s">
        <v>4097</v>
      </c>
      <c r="B2975" s="2" t="s">
        <v>4095</v>
      </c>
      <c r="F2975" s="2" t="s">
        <v>4086</v>
      </c>
    </row>
    <row r="2976">
      <c r="A2976" s="2" t="s">
        <v>4098</v>
      </c>
      <c r="B2976" s="2">
        <v>4546.0</v>
      </c>
      <c r="G2976" s="2" t="s">
        <v>4099</v>
      </c>
      <c r="H2976" s="2" t="s">
        <v>4100</v>
      </c>
    </row>
    <row r="2977">
      <c r="A2977" s="2" t="s">
        <v>4101</v>
      </c>
      <c r="B2977" s="2" t="s">
        <v>4102</v>
      </c>
      <c r="G2977" s="2" t="s">
        <v>4103</v>
      </c>
    </row>
    <row r="2978">
      <c r="A2978" s="2" t="s">
        <v>4104</v>
      </c>
      <c r="B2978" s="2" t="s">
        <v>4105</v>
      </c>
      <c r="G2978" s="2" t="s">
        <v>4106</v>
      </c>
    </row>
    <row r="2979">
      <c r="A2979" s="2" t="s">
        <v>4104</v>
      </c>
      <c r="B2979" s="2" t="s">
        <v>4107</v>
      </c>
      <c r="G2979" s="2" t="s">
        <v>4106</v>
      </c>
    </row>
    <row r="2980">
      <c r="A2980" s="2" t="s">
        <v>4104</v>
      </c>
      <c r="B2980" s="2" t="s">
        <v>4108</v>
      </c>
      <c r="G2980" s="2" t="s">
        <v>4106</v>
      </c>
    </row>
    <row r="2981">
      <c r="A2981" s="2" t="s">
        <v>4104</v>
      </c>
      <c r="B2981" s="2" t="s">
        <v>4109</v>
      </c>
      <c r="G2981" s="2" t="s">
        <v>4106</v>
      </c>
    </row>
    <row r="2982">
      <c r="A2982" s="2" t="s">
        <v>4104</v>
      </c>
      <c r="B2982" s="2" t="s">
        <v>4110</v>
      </c>
      <c r="G2982" s="2" t="s">
        <v>4106</v>
      </c>
    </row>
    <row r="2983">
      <c r="A2983" s="2" t="s">
        <v>4104</v>
      </c>
      <c r="B2983" s="2" t="s">
        <v>4111</v>
      </c>
      <c r="G2983" s="2" t="s">
        <v>4106</v>
      </c>
    </row>
    <row r="2984">
      <c r="A2984" s="2" t="s">
        <v>4104</v>
      </c>
      <c r="B2984" s="2" t="s">
        <v>4112</v>
      </c>
      <c r="G2984" s="2" t="s">
        <v>4106</v>
      </c>
    </row>
    <row r="2985">
      <c r="A2985" s="2" t="s">
        <v>4104</v>
      </c>
      <c r="B2985" s="2" t="s">
        <v>4113</v>
      </c>
      <c r="G2985" s="2" t="s">
        <v>4106</v>
      </c>
    </row>
    <row r="2986">
      <c r="A2986" s="2" t="s">
        <v>4104</v>
      </c>
      <c r="B2986" s="2" t="s">
        <v>4114</v>
      </c>
      <c r="G2986" s="2" t="s">
        <v>4106</v>
      </c>
    </row>
    <row r="2987">
      <c r="A2987" s="2" t="s">
        <v>4104</v>
      </c>
      <c r="B2987" s="2" t="s">
        <v>4115</v>
      </c>
      <c r="G2987" s="2" t="s">
        <v>4106</v>
      </c>
    </row>
    <row r="2988">
      <c r="A2988" s="2" t="s">
        <v>4104</v>
      </c>
      <c r="B2988" s="2" t="s">
        <v>4116</v>
      </c>
      <c r="G2988" s="2" t="s">
        <v>4106</v>
      </c>
    </row>
    <row r="2989">
      <c r="A2989" s="2" t="s">
        <v>4104</v>
      </c>
      <c r="B2989" s="2" t="s">
        <v>4117</v>
      </c>
      <c r="G2989" s="2" t="s">
        <v>4106</v>
      </c>
    </row>
    <row r="2990">
      <c r="A2990" s="2" t="s">
        <v>4104</v>
      </c>
      <c r="B2990" s="2" t="s">
        <v>4118</v>
      </c>
      <c r="G2990" s="2" t="s">
        <v>4106</v>
      </c>
    </row>
    <row r="2991">
      <c r="A2991" s="2" t="s">
        <v>4104</v>
      </c>
      <c r="B2991" s="2" t="s">
        <v>4119</v>
      </c>
      <c r="G2991" s="2" t="s">
        <v>4106</v>
      </c>
    </row>
    <row r="2992">
      <c r="A2992" s="2" t="s">
        <v>4104</v>
      </c>
      <c r="B2992" s="2" t="s">
        <v>4120</v>
      </c>
      <c r="G2992" s="2" t="s">
        <v>4106</v>
      </c>
    </row>
    <row r="2993">
      <c r="A2993" s="2" t="s">
        <v>4104</v>
      </c>
      <c r="B2993" s="2" t="s">
        <v>4121</v>
      </c>
      <c r="G2993" s="2" t="s">
        <v>4106</v>
      </c>
    </row>
    <row r="2994">
      <c r="A2994" s="2" t="s">
        <v>4104</v>
      </c>
      <c r="B2994" s="2" t="s">
        <v>4122</v>
      </c>
      <c r="G2994" s="2" t="s">
        <v>4106</v>
      </c>
    </row>
    <row r="2995">
      <c r="A2995" s="2" t="s">
        <v>4104</v>
      </c>
      <c r="B2995" s="2" t="s">
        <v>4123</v>
      </c>
      <c r="G2995" s="2" t="s">
        <v>4106</v>
      </c>
    </row>
    <row r="2996">
      <c r="A2996" s="2" t="s">
        <v>4104</v>
      </c>
      <c r="B2996" s="2" t="s">
        <v>4124</v>
      </c>
      <c r="G2996" s="2" t="s">
        <v>4106</v>
      </c>
    </row>
    <row r="2997">
      <c r="A2997" s="2" t="s">
        <v>4104</v>
      </c>
      <c r="B2997" s="2" t="s">
        <v>4125</v>
      </c>
      <c r="G2997" s="2" t="s">
        <v>4106</v>
      </c>
    </row>
    <row r="2998">
      <c r="A2998" s="2" t="s">
        <v>4104</v>
      </c>
      <c r="B2998" s="2" t="s">
        <v>4126</v>
      </c>
      <c r="G2998" s="2" t="s">
        <v>4106</v>
      </c>
    </row>
    <row r="2999">
      <c r="A2999" s="2" t="s">
        <v>4104</v>
      </c>
      <c r="B2999" s="2" t="s">
        <v>4127</v>
      </c>
      <c r="G2999" s="2" t="s">
        <v>4106</v>
      </c>
    </row>
    <row r="3000">
      <c r="A3000" s="2" t="s">
        <v>4104</v>
      </c>
      <c r="B3000" s="2" t="s">
        <v>4128</v>
      </c>
      <c r="G3000" s="2" t="s">
        <v>4106</v>
      </c>
    </row>
    <row r="3001">
      <c r="A3001" s="2" t="s">
        <v>4104</v>
      </c>
      <c r="B3001" s="2" t="s">
        <v>4129</v>
      </c>
      <c r="G3001" s="2" t="s">
        <v>4106</v>
      </c>
    </row>
    <row r="3002">
      <c r="A3002" s="2" t="s">
        <v>4104</v>
      </c>
      <c r="B3002" s="2" t="s">
        <v>4130</v>
      </c>
      <c r="G3002" s="2" t="s">
        <v>4106</v>
      </c>
    </row>
    <row r="3003">
      <c r="A3003" s="2" t="s">
        <v>4104</v>
      </c>
      <c r="B3003" s="2" t="s">
        <v>4131</v>
      </c>
      <c r="G3003" s="2" t="s">
        <v>4106</v>
      </c>
    </row>
    <row r="3004">
      <c r="A3004" s="2" t="s">
        <v>4104</v>
      </c>
      <c r="B3004" s="2" t="s">
        <v>4132</v>
      </c>
      <c r="G3004" s="2" t="s">
        <v>4106</v>
      </c>
    </row>
    <row r="3005">
      <c r="A3005" s="2" t="s">
        <v>4104</v>
      </c>
      <c r="B3005" s="2" t="s">
        <v>4133</v>
      </c>
      <c r="G3005" s="2" t="s">
        <v>4106</v>
      </c>
    </row>
    <row r="3006">
      <c r="A3006" s="2" t="s">
        <v>4104</v>
      </c>
      <c r="B3006" s="2" t="s">
        <v>4134</v>
      </c>
      <c r="G3006" s="2" t="s">
        <v>4106</v>
      </c>
    </row>
    <row r="3007">
      <c r="A3007" s="2" t="s">
        <v>4104</v>
      </c>
      <c r="B3007" s="2" t="s">
        <v>4135</v>
      </c>
      <c r="G3007" s="2" t="s">
        <v>4106</v>
      </c>
    </row>
    <row r="3008">
      <c r="A3008" s="2" t="s">
        <v>4104</v>
      </c>
      <c r="B3008" s="2" t="s">
        <v>4136</v>
      </c>
      <c r="G3008" s="2" t="s">
        <v>4106</v>
      </c>
    </row>
    <row r="3009">
      <c r="A3009" s="2" t="s">
        <v>4104</v>
      </c>
      <c r="B3009" s="2" t="s">
        <v>4137</v>
      </c>
      <c r="G3009" s="2" t="s">
        <v>4106</v>
      </c>
    </row>
    <row r="3010">
      <c r="A3010" s="2" t="s">
        <v>4104</v>
      </c>
      <c r="B3010" s="2" t="s">
        <v>4138</v>
      </c>
      <c r="G3010" s="2" t="s">
        <v>4106</v>
      </c>
    </row>
    <row r="3011">
      <c r="A3011" s="2" t="s">
        <v>4104</v>
      </c>
      <c r="B3011" s="2" t="s">
        <v>4139</v>
      </c>
      <c r="G3011" s="2" t="s">
        <v>4106</v>
      </c>
    </row>
    <row r="3012">
      <c r="A3012" s="2" t="s">
        <v>4104</v>
      </c>
      <c r="B3012" s="2" t="s">
        <v>4140</v>
      </c>
      <c r="G3012" s="2" t="s">
        <v>4106</v>
      </c>
    </row>
    <row r="3013">
      <c r="A3013" s="2" t="s">
        <v>4104</v>
      </c>
      <c r="B3013" s="2" t="s">
        <v>4141</v>
      </c>
      <c r="G3013" s="2" t="s">
        <v>4106</v>
      </c>
    </row>
    <row r="3014">
      <c r="A3014" s="64" t="s">
        <v>4142</v>
      </c>
      <c r="B3014" s="2" t="s">
        <v>4143</v>
      </c>
      <c r="C3014" s="2" t="s">
        <v>4144</v>
      </c>
    </row>
    <row r="3015">
      <c r="A3015" s="64" t="s">
        <v>4145</v>
      </c>
      <c r="B3015" s="2" t="s">
        <v>4146</v>
      </c>
      <c r="G3015" s="2" t="s">
        <v>4106</v>
      </c>
    </row>
    <row r="3016">
      <c r="A3016" s="2" t="s">
        <v>4147</v>
      </c>
      <c r="B3016" s="2" t="s">
        <v>4148</v>
      </c>
      <c r="G3016" s="2" t="s">
        <v>4149</v>
      </c>
    </row>
    <row r="3017">
      <c r="A3017" s="2" t="s">
        <v>4147</v>
      </c>
      <c r="B3017" s="34" t="s">
        <v>4150</v>
      </c>
      <c r="G3017" s="2" t="s">
        <v>4149</v>
      </c>
    </row>
    <row r="3018">
      <c r="A3018" s="2" t="s">
        <v>4147</v>
      </c>
      <c r="B3018" s="2" t="s">
        <v>4151</v>
      </c>
      <c r="G3018" s="2" t="s">
        <v>4149</v>
      </c>
    </row>
    <row r="3019">
      <c r="A3019" s="2" t="s">
        <v>4147</v>
      </c>
      <c r="B3019" s="34" t="s">
        <v>4152</v>
      </c>
      <c r="G3019" s="2" t="s">
        <v>4149</v>
      </c>
    </row>
    <row r="3020">
      <c r="A3020" s="2" t="s">
        <v>4147</v>
      </c>
      <c r="B3020" s="2" t="s">
        <v>4153</v>
      </c>
      <c r="G3020" s="2" t="s">
        <v>4149</v>
      </c>
    </row>
    <row r="3021">
      <c r="A3021" s="2" t="s">
        <v>4147</v>
      </c>
      <c r="B3021" s="34" t="s">
        <v>4154</v>
      </c>
      <c r="G3021" s="2" t="s">
        <v>4149</v>
      </c>
    </row>
    <row r="3022">
      <c r="A3022" s="2" t="s">
        <v>4147</v>
      </c>
      <c r="B3022" s="2" t="s">
        <v>4155</v>
      </c>
      <c r="G3022" s="2" t="s">
        <v>4149</v>
      </c>
    </row>
    <row r="3023">
      <c r="A3023" s="2" t="s">
        <v>4147</v>
      </c>
      <c r="B3023" s="2" t="s">
        <v>4156</v>
      </c>
      <c r="G3023" s="2" t="s">
        <v>4149</v>
      </c>
    </row>
    <row r="3024">
      <c r="A3024" s="2" t="s">
        <v>4147</v>
      </c>
      <c r="B3024" s="34" t="s">
        <v>4157</v>
      </c>
      <c r="G3024" s="2" t="s">
        <v>4149</v>
      </c>
    </row>
    <row r="3025">
      <c r="A3025" s="2" t="s">
        <v>4147</v>
      </c>
      <c r="B3025" s="34" t="s">
        <v>4158</v>
      </c>
      <c r="G3025" s="2" t="s">
        <v>4149</v>
      </c>
    </row>
    <row r="3026">
      <c r="A3026" s="2" t="s">
        <v>4147</v>
      </c>
      <c r="B3026" s="34" t="s">
        <v>4159</v>
      </c>
      <c r="G3026" s="2" t="s">
        <v>4149</v>
      </c>
    </row>
    <row r="3027">
      <c r="A3027" s="2" t="s">
        <v>4147</v>
      </c>
      <c r="B3027" s="34" t="s">
        <v>4160</v>
      </c>
      <c r="G3027" s="2" t="s">
        <v>4149</v>
      </c>
    </row>
    <row r="3028">
      <c r="A3028" s="2" t="s">
        <v>4147</v>
      </c>
      <c r="B3028" s="2" t="s">
        <v>4161</v>
      </c>
      <c r="G3028" s="2" t="s">
        <v>4149</v>
      </c>
    </row>
    <row r="3029">
      <c r="A3029" s="2" t="s">
        <v>4147</v>
      </c>
      <c r="B3029" s="34" t="s">
        <v>4162</v>
      </c>
      <c r="G3029" s="2" t="s">
        <v>4149</v>
      </c>
    </row>
    <row r="3030">
      <c r="A3030" s="2" t="s">
        <v>4147</v>
      </c>
      <c r="B3030" s="2" t="s">
        <v>4163</v>
      </c>
      <c r="G3030" s="2" t="s">
        <v>4149</v>
      </c>
    </row>
    <row r="3031">
      <c r="A3031" s="2" t="s">
        <v>4147</v>
      </c>
      <c r="B3031" s="2" t="s">
        <v>4164</v>
      </c>
      <c r="G3031" s="2" t="s">
        <v>4149</v>
      </c>
    </row>
    <row r="3032">
      <c r="A3032" s="2" t="s">
        <v>4147</v>
      </c>
      <c r="B3032" s="2" t="s">
        <v>4165</v>
      </c>
      <c r="G3032" s="2" t="s">
        <v>4149</v>
      </c>
    </row>
    <row r="3033">
      <c r="A3033" s="2" t="s">
        <v>4147</v>
      </c>
      <c r="B3033" s="34" t="s">
        <v>4166</v>
      </c>
      <c r="G3033" s="2" t="s">
        <v>4149</v>
      </c>
    </row>
    <row r="3034">
      <c r="A3034" s="2" t="s">
        <v>4147</v>
      </c>
      <c r="B3034" s="2" t="s">
        <v>4168</v>
      </c>
      <c r="G3034" s="2" t="s">
        <v>4149</v>
      </c>
    </row>
    <row r="3035">
      <c r="A3035" s="2" t="s">
        <v>4147</v>
      </c>
      <c r="B3035" s="2" t="s">
        <v>4169</v>
      </c>
      <c r="G3035" s="2" t="s">
        <v>4149</v>
      </c>
    </row>
    <row r="3036">
      <c r="A3036" s="2" t="s">
        <v>4147</v>
      </c>
      <c r="B3036" s="2" t="s">
        <v>4170</v>
      </c>
      <c r="G3036" s="2" t="s">
        <v>4149</v>
      </c>
    </row>
    <row r="3037">
      <c r="A3037" s="2" t="s">
        <v>4147</v>
      </c>
      <c r="B3037" s="2" t="s">
        <v>4171</v>
      </c>
      <c r="G3037" s="2" t="s">
        <v>4149</v>
      </c>
    </row>
    <row r="3038">
      <c r="A3038" s="2" t="s">
        <v>4147</v>
      </c>
      <c r="B3038" s="34" t="s">
        <v>4172</v>
      </c>
      <c r="G3038" s="2" t="s">
        <v>4149</v>
      </c>
    </row>
    <row r="3039">
      <c r="A3039" s="2" t="s">
        <v>4147</v>
      </c>
      <c r="B3039" s="34" t="s">
        <v>4175</v>
      </c>
      <c r="G3039" s="2" t="s">
        <v>4149</v>
      </c>
    </row>
    <row r="3040">
      <c r="A3040" s="2" t="s">
        <v>4147</v>
      </c>
      <c r="B3040" s="2" t="s">
        <v>4176</v>
      </c>
      <c r="G3040" s="2" t="s">
        <v>4149</v>
      </c>
    </row>
    <row r="3041">
      <c r="A3041" s="2" t="s">
        <v>4147</v>
      </c>
      <c r="B3041" s="34" t="s">
        <v>4177</v>
      </c>
      <c r="G3041" s="2" t="s">
        <v>4149</v>
      </c>
    </row>
    <row r="3042">
      <c r="A3042" s="2" t="s">
        <v>4147</v>
      </c>
      <c r="B3042" s="34" t="s">
        <v>4178</v>
      </c>
      <c r="G3042" s="2" t="s">
        <v>4149</v>
      </c>
    </row>
    <row r="3043">
      <c r="A3043" s="2" t="s">
        <v>4147</v>
      </c>
      <c r="B3043" s="34" t="s">
        <v>4179</v>
      </c>
      <c r="G3043" s="2" t="s">
        <v>4149</v>
      </c>
    </row>
    <row r="3044">
      <c r="A3044" s="2" t="s">
        <v>4147</v>
      </c>
      <c r="B3044" s="34" t="s">
        <v>4181</v>
      </c>
      <c r="G3044" s="2" t="s">
        <v>4149</v>
      </c>
    </row>
    <row r="3045">
      <c r="A3045" s="2" t="s">
        <v>4147</v>
      </c>
      <c r="B3045" s="2" t="s">
        <v>4182</v>
      </c>
      <c r="G3045" s="2" t="s">
        <v>4149</v>
      </c>
    </row>
    <row r="3046">
      <c r="A3046" s="2" t="s">
        <v>4147</v>
      </c>
      <c r="B3046" s="2" t="s">
        <v>4183</v>
      </c>
      <c r="G3046" s="2" t="s">
        <v>4149</v>
      </c>
    </row>
    <row r="3047">
      <c r="A3047" s="2" t="s">
        <v>4147</v>
      </c>
      <c r="B3047" s="2" t="s">
        <v>4184</v>
      </c>
      <c r="G3047" s="2" t="s">
        <v>4149</v>
      </c>
    </row>
    <row r="3048">
      <c r="A3048" s="2" t="s">
        <v>4147</v>
      </c>
      <c r="B3048" s="34" t="s">
        <v>4187</v>
      </c>
      <c r="G3048" s="2" t="s">
        <v>4149</v>
      </c>
    </row>
    <row r="3049">
      <c r="A3049" s="2" t="s">
        <v>4147</v>
      </c>
      <c r="B3049" s="34" t="s">
        <v>4188</v>
      </c>
      <c r="G3049" s="2" t="s">
        <v>4149</v>
      </c>
    </row>
    <row r="3050">
      <c r="A3050" s="2" t="s">
        <v>4147</v>
      </c>
      <c r="B3050" s="2" t="s">
        <v>4189</v>
      </c>
      <c r="G3050" s="2" t="s">
        <v>4149</v>
      </c>
    </row>
    <row r="3051">
      <c r="A3051" s="2" t="s">
        <v>4147</v>
      </c>
      <c r="B3051" s="34" t="s">
        <v>4190</v>
      </c>
      <c r="G3051" s="2" t="s">
        <v>4149</v>
      </c>
    </row>
    <row r="3052">
      <c r="A3052" s="2" t="s">
        <v>4147</v>
      </c>
      <c r="B3052" s="2" t="s">
        <v>4191</v>
      </c>
      <c r="G3052" s="2" t="s">
        <v>4149</v>
      </c>
    </row>
    <row r="3053">
      <c r="A3053" s="2" t="s">
        <v>4147</v>
      </c>
      <c r="B3053" s="34" t="s">
        <v>4192</v>
      </c>
      <c r="G3053" s="2" t="s">
        <v>4149</v>
      </c>
    </row>
    <row r="3054">
      <c r="A3054" s="2" t="s">
        <v>4147</v>
      </c>
      <c r="B3054" s="34" t="s">
        <v>4193</v>
      </c>
      <c r="G3054" s="2" t="s">
        <v>4149</v>
      </c>
    </row>
    <row r="3055">
      <c r="A3055" s="2" t="s">
        <v>4147</v>
      </c>
      <c r="B3055" s="34" t="s">
        <v>4195</v>
      </c>
      <c r="G3055" s="2" t="s">
        <v>4149</v>
      </c>
    </row>
    <row r="3056">
      <c r="A3056" s="2" t="s">
        <v>4147</v>
      </c>
      <c r="B3056" s="34" t="s">
        <v>4196</v>
      </c>
      <c r="G3056" s="2" t="s">
        <v>4149</v>
      </c>
    </row>
    <row r="3057">
      <c r="A3057" s="2" t="s">
        <v>4147</v>
      </c>
      <c r="B3057" s="2" t="s">
        <v>4198</v>
      </c>
      <c r="G3057" s="2" t="s">
        <v>4149</v>
      </c>
    </row>
    <row r="3058">
      <c r="A3058" s="2" t="s">
        <v>4147</v>
      </c>
      <c r="B3058" s="2" t="s">
        <v>4199</v>
      </c>
      <c r="G3058" s="2" t="s">
        <v>4149</v>
      </c>
    </row>
    <row r="3059">
      <c r="A3059" s="2" t="s">
        <v>4147</v>
      </c>
      <c r="B3059" s="34" t="s">
        <v>4200</v>
      </c>
      <c r="G3059" s="2" t="s">
        <v>4149</v>
      </c>
    </row>
    <row r="3060">
      <c r="A3060" s="2" t="s">
        <v>4147</v>
      </c>
      <c r="B3060" s="34" t="s">
        <v>4201</v>
      </c>
      <c r="G3060" s="2" t="s">
        <v>4149</v>
      </c>
    </row>
    <row r="3061">
      <c r="A3061" s="2" t="s">
        <v>4147</v>
      </c>
      <c r="B3061" s="34" t="s">
        <v>4202</v>
      </c>
      <c r="G3061" s="2" t="s">
        <v>4149</v>
      </c>
    </row>
    <row r="3062">
      <c r="A3062" s="2" t="s">
        <v>4147</v>
      </c>
      <c r="B3062" s="2" t="s">
        <v>4204</v>
      </c>
      <c r="G3062" s="2" t="s">
        <v>4149</v>
      </c>
    </row>
    <row r="3063">
      <c r="A3063" s="2" t="s">
        <v>4147</v>
      </c>
      <c r="B3063" s="34" t="s">
        <v>4205</v>
      </c>
      <c r="G3063" s="2" t="s">
        <v>4149</v>
      </c>
    </row>
    <row r="3064">
      <c r="A3064" s="2" t="s">
        <v>4147</v>
      </c>
      <c r="B3064" s="2" t="s">
        <v>4208</v>
      </c>
      <c r="G3064" s="2" t="s">
        <v>4149</v>
      </c>
    </row>
    <row r="3065">
      <c r="A3065" s="2" t="s">
        <v>4147</v>
      </c>
      <c r="B3065" s="2" t="s">
        <v>4209</v>
      </c>
      <c r="G3065" s="2" t="s">
        <v>4149</v>
      </c>
    </row>
    <row r="3066">
      <c r="A3066" s="2" t="s">
        <v>4147</v>
      </c>
      <c r="B3066" s="2" t="s">
        <v>4210</v>
      </c>
      <c r="G3066" s="2" t="s">
        <v>4149</v>
      </c>
    </row>
    <row r="3067">
      <c r="A3067" s="2" t="s">
        <v>4147</v>
      </c>
      <c r="B3067" s="34" t="s">
        <v>4211</v>
      </c>
      <c r="G3067" s="2" t="s">
        <v>4149</v>
      </c>
    </row>
    <row r="3068">
      <c r="A3068" s="2" t="s">
        <v>4147</v>
      </c>
      <c r="B3068" s="2" t="s">
        <v>4212</v>
      </c>
      <c r="G3068" s="2" t="s">
        <v>4149</v>
      </c>
    </row>
    <row r="3069">
      <c r="A3069" s="2" t="s">
        <v>4147</v>
      </c>
      <c r="B3069" s="2" t="s">
        <v>4213</v>
      </c>
      <c r="G3069" s="2" t="s">
        <v>4149</v>
      </c>
    </row>
    <row r="3070">
      <c r="A3070" s="2" t="s">
        <v>4147</v>
      </c>
      <c r="B3070" s="34" t="s">
        <v>4157</v>
      </c>
      <c r="G3070" s="2" t="s">
        <v>4149</v>
      </c>
    </row>
    <row r="3071">
      <c r="A3071" s="2" t="s">
        <v>4147</v>
      </c>
      <c r="B3071" s="34" t="s">
        <v>4214</v>
      </c>
      <c r="G3071" s="2" t="s">
        <v>4149</v>
      </c>
    </row>
    <row r="3072">
      <c r="A3072" s="2" t="s">
        <v>4147</v>
      </c>
      <c r="B3072" s="34" t="s">
        <v>4159</v>
      </c>
      <c r="G3072" s="2" t="s">
        <v>4149</v>
      </c>
    </row>
    <row r="3073">
      <c r="A3073" s="2" t="s">
        <v>4147</v>
      </c>
      <c r="B3073" s="2" t="s">
        <v>4163</v>
      </c>
      <c r="G3073" s="2" t="s">
        <v>4149</v>
      </c>
    </row>
    <row r="3074">
      <c r="A3074" s="2" t="s">
        <v>4147</v>
      </c>
      <c r="B3074" s="34" t="s">
        <v>4215</v>
      </c>
      <c r="G3074" s="2" t="s">
        <v>4149</v>
      </c>
    </row>
    <row r="3075">
      <c r="A3075" s="2" t="s">
        <v>4147</v>
      </c>
      <c r="B3075" s="2" t="s">
        <v>4161</v>
      </c>
      <c r="G3075" s="2" t="s">
        <v>4149</v>
      </c>
    </row>
    <row r="3076">
      <c r="A3076" s="2" t="s">
        <v>4147</v>
      </c>
      <c r="B3076" s="34" t="s">
        <v>4216</v>
      </c>
      <c r="G3076" s="2" t="s">
        <v>4149</v>
      </c>
    </row>
    <row r="3077">
      <c r="A3077" s="2" t="s">
        <v>4147</v>
      </c>
      <c r="B3077" s="34" t="s">
        <v>4217</v>
      </c>
      <c r="G3077" s="2" t="s">
        <v>4149</v>
      </c>
    </row>
    <row r="3078">
      <c r="A3078" s="2" t="s">
        <v>4147</v>
      </c>
      <c r="B3078" s="2" t="s">
        <v>4155</v>
      </c>
      <c r="G3078" s="2" t="s">
        <v>4149</v>
      </c>
    </row>
    <row r="3079">
      <c r="A3079" s="2" t="s">
        <v>4147</v>
      </c>
      <c r="B3079" s="2" t="s">
        <v>4170</v>
      </c>
      <c r="G3079" s="2" t="s">
        <v>4149</v>
      </c>
    </row>
    <row r="3080">
      <c r="A3080" s="2" t="s">
        <v>4147</v>
      </c>
      <c r="B3080" s="2" t="s">
        <v>4218</v>
      </c>
      <c r="G3080" s="2" t="s">
        <v>4149</v>
      </c>
    </row>
    <row r="3081">
      <c r="A3081" s="2" t="s">
        <v>4147</v>
      </c>
      <c r="B3081" s="2" t="s">
        <v>4219</v>
      </c>
      <c r="G3081" s="2" t="s">
        <v>4149</v>
      </c>
    </row>
    <row r="3082">
      <c r="A3082" s="2" t="s">
        <v>4147</v>
      </c>
      <c r="B3082" s="34" t="s">
        <v>4220</v>
      </c>
      <c r="G3082" s="2" t="s">
        <v>4149</v>
      </c>
    </row>
    <row r="3083">
      <c r="A3083" s="2" t="s">
        <v>4147</v>
      </c>
      <c r="B3083" s="34" t="s">
        <v>4221</v>
      </c>
      <c r="G3083" s="2" t="s">
        <v>4149</v>
      </c>
    </row>
    <row r="3084">
      <c r="A3084" s="2" t="s">
        <v>4147</v>
      </c>
      <c r="B3084" s="34" t="s">
        <v>4172</v>
      </c>
      <c r="G3084" s="2" t="s">
        <v>4149</v>
      </c>
    </row>
    <row r="3085">
      <c r="A3085" s="2" t="s">
        <v>4147</v>
      </c>
      <c r="B3085" s="34" t="s">
        <v>4222</v>
      </c>
      <c r="G3085" s="2" t="s">
        <v>4149</v>
      </c>
    </row>
    <row r="3086">
      <c r="A3086" s="2" t="s">
        <v>4147</v>
      </c>
      <c r="B3086" s="34" t="s">
        <v>4223</v>
      </c>
      <c r="G3086" s="2" t="s">
        <v>4149</v>
      </c>
    </row>
    <row r="3087">
      <c r="A3087" s="2" t="s">
        <v>4147</v>
      </c>
      <c r="B3087" s="2" t="s">
        <v>4153</v>
      </c>
      <c r="G3087" s="2" t="s">
        <v>4149</v>
      </c>
    </row>
    <row r="3088">
      <c r="A3088" s="2" t="s">
        <v>4147</v>
      </c>
      <c r="B3088" s="2" t="s">
        <v>4224</v>
      </c>
      <c r="G3088" s="2" t="s">
        <v>4149</v>
      </c>
    </row>
    <row r="3089">
      <c r="A3089" s="2" t="s">
        <v>4147</v>
      </c>
      <c r="B3089" s="2" t="s">
        <v>4151</v>
      </c>
      <c r="G3089" s="2" t="s">
        <v>4149</v>
      </c>
    </row>
    <row r="3090">
      <c r="A3090" s="2" t="s">
        <v>4147</v>
      </c>
      <c r="B3090" s="2" t="s">
        <v>4165</v>
      </c>
      <c r="G3090" s="2" t="s">
        <v>4149</v>
      </c>
    </row>
    <row r="3091">
      <c r="A3091" s="2" t="s">
        <v>4147</v>
      </c>
      <c r="B3091" s="34" t="s">
        <v>4225</v>
      </c>
      <c r="G3091" s="2" t="s">
        <v>4149</v>
      </c>
    </row>
    <row r="3092">
      <c r="A3092" s="2" t="s">
        <v>4147</v>
      </c>
      <c r="B3092" s="2" t="s">
        <v>4168</v>
      </c>
      <c r="G3092" s="2" t="s">
        <v>4149</v>
      </c>
    </row>
    <row r="3093">
      <c r="A3093" s="2" t="s">
        <v>4147</v>
      </c>
      <c r="B3093" s="34" t="s">
        <v>4226</v>
      </c>
      <c r="G3093" s="2" t="s">
        <v>4149</v>
      </c>
    </row>
    <row r="3094">
      <c r="A3094" s="64" t="s">
        <v>4227</v>
      </c>
      <c r="B3094" s="2" t="s">
        <v>4228</v>
      </c>
      <c r="I3094" s="2" t="s">
        <v>4229</v>
      </c>
    </row>
    <row r="3095">
      <c r="A3095" s="2" t="s">
        <v>4230</v>
      </c>
      <c r="B3095" s="2" t="s">
        <v>4231</v>
      </c>
      <c r="D3095" s="2" t="s">
        <v>4232</v>
      </c>
      <c r="G3095" s="2" t="s">
        <v>729</v>
      </c>
    </row>
    <row r="3096">
      <c r="A3096" s="64" t="s">
        <v>4233</v>
      </c>
      <c r="B3096" s="2" t="s">
        <v>4234</v>
      </c>
      <c r="C3096" s="2" t="s">
        <v>4235</v>
      </c>
      <c r="D3096" s="2" t="s">
        <v>4236</v>
      </c>
    </row>
    <row r="3097">
      <c r="A3097" s="64" t="s">
        <v>4233</v>
      </c>
      <c r="B3097" s="2" t="s">
        <v>4237</v>
      </c>
      <c r="C3097" s="2" t="s">
        <v>4235</v>
      </c>
      <c r="D3097" s="2" t="s">
        <v>4236</v>
      </c>
    </row>
    <row r="3098">
      <c r="A3098" s="64" t="s">
        <v>4233</v>
      </c>
      <c r="B3098" s="2" t="s">
        <v>4238</v>
      </c>
      <c r="C3098" s="2" t="s">
        <v>4235</v>
      </c>
      <c r="D3098" s="2" t="s">
        <v>4236</v>
      </c>
    </row>
    <row r="3099">
      <c r="A3099" s="64" t="s">
        <v>4233</v>
      </c>
      <c r="B3099" s="2" t="s">
        <v>4239</v>
      </c>
      <c r="C3099" s="2" t="s">
        <v>4235</v>
      </c>
      <c r="D3099" s="2" t="s">
        <v>4236</v>
      </c>
    </row>
    <row r="3100">
      <c r="A3100" s="64" t="s">
        <v>4233</v>
      </c>
      <c r="B3100" s="2" t="s">
        <v>4240</v>
      </c>
      <c r="C3100" s="2" t="s">
        <v>4235</v>
      </c>
      <c r="D3100" s="2" t="s">
        <v>4236</v>
      </c>
    </row>
    <row r="3101">
      <c r="A3101" s="64" t="s">
        <v>4233</v>
      </c>
      <c r="B3101" s="2" t="s">
        <v>4241</v>
      </c>
      <c r="C3101" s="2" t="s">
        <v>4235</v>
      </c>
      <c r="D3101" s="2" t="s">
        <v>4236</v>
      </c>
    </row>
    <row r="3102">
      <c r="A3102" s="64" t="s">
        <v>4233</v>
      </c>
      <c r="B3102" s="2" t="s">
        <v>4242</v>
      </c>
      <c r="C3102" s="2" t="s">
        <v>4235</v>
      </c>
      <c r="D3102" s="2" t="s">
        <v>4236</v>
      </c>
    </row>
    <row r="3103">
      <c r="A3103" s="64" t="s">
        <v>4233</v>
      </c>
      <c r="B3103" s="2" t="s">
        <v>4243</v>
      </c>
      <c r="C3103" s="2" t="s">
        <v>4235</v>
      </c>
      <c r="D3103" s="2" t="s">
        <v>4236</v>
      </c>
    </row>
    <row r="3104">
      <c r="A3104" s="64" t="s">
        <v>4233</v>
      </c>
      <c r="B3104" s="2" t="s">
        <v>4244</v>
      </c>
      <c r="C3104" s="2" t="s">
        <v>4235</v>
      </c>
      <c r="D3104" s="2" t="s">
        <v>4236</v>
      </c>
    </row>
    <row r="3105">
      <c r="A3105" s="2" t="s">
        <v>4245</v>
      </c>
      <c r="B3105" s="2" t="s">
        <v>4234</v>
      </c>
      <c r="C3105" s="2" t="s">
        <v>4235</v>
      </c>
      <c r="D3105" s="2" t="s">
        <v>4236</v>
      </c>
    </row>
    <row r="3106">
      <c r="A3106" s="2" t="s">
        <v>4245</v>
      </c>
      <c r="B3106" s="2" t="s">
        <v>4246</v>
      </c>
      <c r="C3106" s="2" t="s">
        <v>4235</v>
      </c>
      <c r="D3106" s="2" t="s">
        <v>4236</v>
      </c>
    </row>
    <row r="3107">
      <c r="A3107" s="2" t="s">
        <v>4245</v>
      </c>
      <c r="B3107" s="2" t="s">
        <v>4247</v>
      </c>
      <c r="C3107" s="2" t="s">
        <v>4235</v>
      </c>
      <c r="D3107" s="2" t="s">
        <v>4236</v>
      </c>
    </row>
    <row r="3108">
      <c r="A3108" s="2" t="s">
        <v>4245</v>
      </c>
      <c r="B3108" s="2" t="s">
        <v>4248</v>
      </c>
      <c r="C3108" s="2" t="s">
        <v>4235</v>
      </c>
      <c r="D3108" s="2" t="s">
        <v>4236</v>
      </c>
    </row>
    <row r="3109">
      <c r="A3109" s="2" t="s">
        <v>4245</v>
      </c>
      <c r="B3109" s="2" t="s">
        <v>4249</v>
      </c>
      <c r="C3109" s="2" t="s">
        <v>4235</v>
      </c>
      <c r="D3109" s="2" t="s">
        <v>4236</v>
      </c>
    </row>
    <row r="3110">
      <c r="A3110" s="2" t="s">
        <v>4245</v>
      </c>
      <c r="B3110" s="2" t="s">
        <v>4250</v>
      </c>
      <c r="C3110" s="2" t="s">
        <v>4235</v>
      </c>
      <c r="D3110" s="2" t="s">
        <v>4236</v>
      </c>
    </row>
    <row r="3111">
      <c r="A3111" s="2" t="s">
        <v>4245</v>
      </c>
      <c r="B3111" s="2" t="s">
        <v>4251</v>
      </c>
      <c r="C3111" s="2" t="s">
        <v>4235</v>
      </c>
      <c r="D3111" s="2" t="s">
        <v>4236</v>
      </c>
    </row>
    <row r="3112">
      <c r="A3112" s="2" t="s">
        <v>4245</v>
      </c>
      <c r="B3112" s="2" t="s">
        <v>4238</v>
      </c>
      <c r="C3112" s="2" t="s">
        <v>4235</v>
      </c>
      <c r="D3112" s="2" t="s">
        <v>4236</v>
      </c>
    </row>
    <row r="3113">
      <c r="A3113" s="2" t="s">
        <v>4245</v>
      </c>
      <c r="B3113" s="2" t="s">
        <v>4239</v>
      </c>
      <c r="C3113" s="2" t="s">
        <v>4235</v>
      </c>
      <c r="D3113" s="2" t="s">
        <v>4236</v>
      </c>
    </row>
    <row r="3114">
      <c r="A3114" s="2" t="s">
        <v>4245</v>
      </c>
      <c r="B3114" s="2" t="s">
        <v>4240</v>
      </c>
      <c r="C3114" s="2" t="s">
        <v>4235</v>
      </c>
      <c r="D3114" s="2" t="s">
        <v>4236</v>
      </c>
    </row>
    <row r="3115">
      <c r="A3115" s="2" t="s">
        <v>4245</v>
      </c>
      <c r="B3115" s="2" t="s">
        <v>4252</v>
      </c>
      <c r="C3115" s="2" t="s">
        <v>4235</v>
      </c>
      <c r="D3115" s="2" t="s">
        <v>4236</v>
      </c>
    </row>
    <row r="3116">
      <c r="A3116" s="2" t="s">
        <v>4245</v>
      </c>
      <c r="B3116" s="2" t="s">
        <v>4241</v>
      </c>
      <c r="C3116" s="2" t="s">
        <v>4235</v>
      </c>
      <c r="D3116" s="2" t="s">
        <v>4236</v>
      </c>
    </row>
    <row r="3117">
      <c r="A3117" s="2" t="s">
        <v>4245</v>
      </c>
      <c r="B3117" s="2" t="s">
        <v>4246</v>
      </c>
      <c r="C3117" s="2" t="s">
        <v>4235</v>
      </c>
      <c r="D3117" s="2" t="s">
        <v>4236</v>
      </c>
    </row>
    <row r="3118">
      <c r="A3118" s="2" t="s">
        <v>4245</v>
      </c>
      <c r="B3118" s="2" t="s">
        <v>4253</v>
      </c>
      <c r="C3118" s="2" t="s">
        <v>4235</v>
      </c>
      <c r="D3118" s="2" t="s">
        <v>4236</v>
      </c>
    </row>
    <row r="3119">
      <c r="A3119" s="2" t="s">
        <v>4245</v>
      </c>
      <c r="B3119" s="2" t="s">
        <v>4254</v>
      </c>
      <c r="C3119" s="2" t="s">
        <v>4235</v>
      </c>
      <c r="D3119" s="2" t="s">
        <v>4236</v>
      </c>
    </row>
    <row r="3120">
      <c r="A3120" s="2" t="s">
        <v>4245</v>
      </c>
      <c r="B3120" s="2" t="s">
        <v>4255</v>
      </c>
      <c r="C3120" s="2" t="s">
        <v>4235</v>
      </c>
      <c r="D3120" s="2" t="s">
        <v>4236</v>
      </c>
    </row>
    <row r="3121">
      <c r="A3121" s="2" t="s">
        <v>4245</v>
      </c>
      <c r="B3121" s="2" t="s">
        <v>4256</v>
      </c>
      <c r="C3121" s="2" t="s">
        <v>4235</v>
      </c>
      <c r="D3121" s="2" t="s">
        <v>4236</v>
      </c>
    </row>
    <row r="3122">
      <c r="A3122" s="2" t="s">
        <v>4245</v>
      </c>
      <c r="B3122" s="2" t="s">
        <v>4257</v>
      </c>
      <c r="C3122" s="2" t="s">
        <v>4235</v>
      </c>
      <c r="D3122" s="2" t="s">
        <v>4236</v>
      </c>
    </row>
    <row r="3123">
      <c r="A3123" s="2" t="s">
        <v>4245</v>
      </c>
      <c r="B3123" s="2" t="s">
        <v>4258</v>
      </c>
      <c r="C3123" s="2" t="s">
        <v>4235</v>
      </c>
      <c r="D3123" s="2" t="s">
        <v>4236</v>
      </c>
    </row>
    <row r="3124">
      <c r="A3124" s="64" t="s">
        <v>4259</v>
      </c>
      <c r="B3124" s="2" t="s">
        <v>4260</v>
      </c>
      <c r="C3124" s="2" t="s">
        <v>4235</v>
      </c>
      <c r="D3124" s="2" t="s">
        <v>4236</v>
      </c>
    </row>
    <row r="3125">
      <c r="A3125" s="64" t="s">
        <v>4259</v>
      </c>
      <c r="B3125" s="2" t="s">
        <v>4261</v>
      </c>
      <c r="C3125" s="2" t="s">
        <v>4235</v>
      </c>
      <c r="D3125" s="2" t="s">
        <v>4236</v>
      </c>
    </row>
    <row r="3126">
      <c r="A3126" s="64" t="s">
        <v>4259</v>
      </c>
      <c r="B3126" s="2" t="s">
        <v>4262</v>
      </c>
      <c r="C3126" s="2" t="s">
        <v>4235</v>
      </c>
      <c r="D3126" s="2" t="s">
        <v>4236</v>
      </c>
    </row>
    <row r="3127">
      <c r="A3127" s="64" t="s">
        <v>4259</v>
      </c>
      <c r="B3127" s="2" t="s">
        <v>4263</v>
      </c>
      <c r="C3127" s="2" t="s">
        <v>4235</v>
      </c>
      <c r="D3127" s="2" t="s">
        <v>4236</v>
      </c>
    </row>
    <row r="3128">
      <c r="A3128" s="64" t="s">
        <v>4259</v>
      </c>
      <c r="B3128" s="2" t="s">
        <v>4264</v>
      </c>
      <c r="C3128" s="2" t="s">
        <v>4235</v>
      </c>
      <c r="D3128" s="2" t="s">
        <v>4236</v>
      </c>
    </row>
    <row r="3129">
      <c r="A3129" s="64" t="s">
        <v>4259</v>
      </c>
      <c r="B3129" s="2" t="s">
        <v>4265</v>
      </c>
      <c r="C3129" s="2" t="s">
        <v>4235</v>
      </c>
      <c r="D3129" s="2" t="s">
        <v>4236</v>
      </c>
    </row>
    <row r="3130">
      <c r="A3130" s="64" t="s">
        <v>4259</v>
      </c>
      <c r="B3130" s="2" t="s">
        <v>4237</v>
      </c>
      <c r="C3130" s="2" t="s">
        <v>4235</v>
      </c>
      <c r="D3130" s="2" t="s">
        <v>4236</v>
      </c>
    </row>
    <row r="3131">
      <c r="A3131" s="64" t="s">
        <v>4259</v>
      </c>
      <c r="B3131" s="2" t="s">
        <v>4266</v>
      </c>
      <c r="C3131" s="2" t="s">
        <v>4235</v>
      </c>
      <c r="D3131" s="2" t="s">
        <v>4236</v>
      </c>
    </row>
    <row r="3132">
      <c r="A3132" s="64" t="s">
        <v>4259</v>
      </c>
      <c r="B3132" s="2" t="s">
        <v>4240</v>
      </c>
      <c r="C3132" s="2" t="s">
        <v>4235</v>
      </c>
      <c r="D3132" s="2" t="s">
        <v>4236</v>
      </c>
    </row>
    <row r="3133">
      <c r="A3133" s="64" t="s">
        <v>4259</v>
      </c>
      <c r="B3133" s="2" t="s">
        <v>4248</v>
      </c>
      <c r="C3133" s="2" t="s">
        <v>4235</v>
      </c>
      <c r="D3133" s="2" t="s">
        <v>4236</v>
      </c>
    </row>
    <row r="3134">
      <c r="A3134" s="64" t="s">
        <v>4259</v>
      </c>
      <c r="B3134" s="2" t="s">
        <v>4267</v>
      </c>
      <c r="C3134" s="2" t="s">
        <v>4235</v>
      </c>
      <c r="D3134" s="2" t="s">
        <v>4236</v>
      </c>
    </row>
    <row r="3135">
      <c r="A3135" s="64" t="s">
        <v>4259</v>
      </c>
      <c r="B3135" s="2" t="s">
        <v>4268</v>
      </c>
      <c r="C3135" s="2" t="s">
        <v>4235</v>
      </c>
      <c r="D3135" s="2" t="s">
        <v>4236</v>
      </c>
    </row>
    <row r="3136">
      <c r="A3136" s="64" t="s">
        <v>4259</v>
      </c>
      <c r="B3136" s="2" t="s">
        <v>4249</v>
      </c>
      <c r="C3136" s="2" t="s">
        <v>4235</v>
      </c>
      <c r="D3136" s="2" t="s">
        <v>4236</v>
      </c>
    </row>
    <row r="3137">
      <c r="A3137" s="64" t="s">
        <v>4259</v>
      </c>
      <c r="B3137" s="2" t="s">
        <v>4269</v>
      </c>
      <c r="C3137" s="2" t="s">
        <v>4235</v>
      </c>
      <c r="D3137" s="2" t="s">
        <v>4236</v>
      </c>
    </row>
    <row r="3138">
      <c r="A3138" s="64" t="s">
        <v>4259</v>
      </c>
      <c r="B3138" s="2" t="s">
        <v>4270</v>
      </c>
      <c r="C3138" s="2" t="s">
        <v>4235</v>
      </c>
      <c r="D3138" s="2" t="s">
        <v>4236</v>
      </c>
    </row>
    <row r="3139">
      <c r="A3139" s="64" t="s">
        <v>4259</v>
      </c>
      <c r="B3139" s="2" t="s">
        <v>4250</v>
      </c>
      <c r="C3139" s="2" t="s">
        <v>4235</v>
      </c>
      <c r="D3139" s="2" t="s">
        <v>4236</v>
      </c>
    </row>
    <row r="3140">
      <c r="A3140" s="64" t="s">
        <v>4259</v>
      </c>
      <c r="B3140" s="2" t="s">
        <v>4271</v>
      </c>
      <c r="C3140" s="2" t="s">
        <v>4235</v>
      </c>
      <c r="D3140" s="2" t="s">
        <v>4236</v>
      </c>
    </row>
    <row r="3141">
      <c r="A3141" s="64" t="s">
        <v>4259</v>
      </c>
      <c r="B3141" s="2" t="s">
        <v>4251</v>
      </c>
      <c r="C3141" s="2" t="s">
        <v>4235</v>
      </c>
      <c r="D3141" s="2" t="s">
        <v>4236</v>
      </c>
    </row>
    <row r="3142">
      <c r="A3142" s="64" t="s">
        <v>4259</v>
      </c>
      <c r="B3142" s="2" t="s">
        <v>4272</v>
      </c>
      <c r="C3142" s="2" t="s">
        <v>4235</v>
      </c>
      <c r="D3142" s="2" t="s">
        <v>4236</v>
      </c>
    </row>
    <row r="3143">
      <c r="A3143" s="64" t="s">
        <v>4259</v>
      </c>
      <c r="B3143" s="2" t="s">
        <v>4273</v>
      </c>
      <c r="C3143" s="2" t="s">
        <v>4235</v>
      </c>
      <c r="D3143" s="2" t="s">
        <v>4236</v>
      </c>
    </row>
    <row r="3144">
      <c r="A3144" s="64" t="s">
        <v>4259</v>
      </c>
      <c r="B3144" s="2" t="s">
        <v>4274</v>
      </c>
      <c r="C3144" s="2" t="s">
        <v>4235</v>
      </c>
      <c r="D3144" s="2" t="s">
        <v>4236</v>
      </c>
    </row>
    <row r="3145">
      <c r="A3145" s="64" t="s">
        <v>4259</v>
      </c>
      <c r="B3145" s="2" t="s">
        <v>4275</v>
      </c>
      <c r="C3145" s="2" t="s">
        <v>4235</v>
      </c>
      <c r="D3145" s="2" t="s">
        <v>4236</v>
      </c>
    </row>
    <row r="3146">
      <c r="A3146" s="64" t="s">
        <v>4259</v>
      </c>
      <c r="B3146" s="2" t="s">
        <v>4276</v>
      </c>
      <c r="C3146" s="2" t="s">
        <v>4235</v>
      </c>
      <c r="D3146" s="2" t="s">
        <v>4236</v>
      </c>
    </row>
    <row r="3147">
      <c r="A3147" s="64" t="s">
        <v>4259</v>
      </c>
      <c r="B3147" s="2" t="s">
        <v>4277</v>
      </c>
      <c r="C3147" s="2" t="s">
        <v>4235</v>
      </c>
      <c r="D3147" s="2" t="s">
        <v>4236</v>
      </c>
    </row>
    <row r="3148">
      <c r="A3148" s="64" t="s">
        <v>4259</v>
      </c>
      <c r="B3148" s="2" t="s">
        <v>4278</v>
      </c>
      <c r="C3148" s="2" t="s">
        <v>4235</v>
      </c>
      <c r="D3148" s="2" t="s">
        <v>4236</v>
      </c>
    </row>
    <row r="3149">
      <c r="A3149" s="64" t="s">
        <v>4259</v>
      </c>
      <c r="B3149" s="2" t="s">
        <v>4279</v>
      </c>
      <c r="C3149" s="2" t="s">
        <v>4235</v>
      </c>
      <c r="D3149" s="2" t="s">
        <v>4236</v>
      </c>
    </row>
    <row r="3150">
      <c r="A3150" s="64" t="s">
        <v>4259</v>
      </c>
      <c r="B3150" s="2" t="s">
        <v>4280</v>
      </c>
      <c r="C3150" s="2" t="s">
        <v>4235</v>
      </c>
      <c r="D3150" s="2" t="s">
        <v>4236</v>
      </c>
    </row>
    <row r="3151">
      <c r="A3151" s="64" t="s">
        <v>4259</v>
      </c>
      <c r="B3151" s="2" t="s">
        <v>4281</v>
      </c>
      <c r="C3151" s="2" t="s">
        <v>4235</v>
      </c>
      <c r="D3151" s="2" t="s">
        <v>4236</v>
      </c>
    </row>
    <row r="3152">
      <c r="A3152" s="64" t="s">
        <v>4259</v>
      </c>
      <c r="B3152" s="2" t="s">
        <v>4282</v>
      </c>
      <c r="C3152" s="2" t="s">
        <v>4235</v>
      </c>
      <c r="D3152" s="2" t="s">
        <v>4236</v>
      </c>
    </row>
    <row r="3153">
      <c r="A3153" s="64" t="s">
        <v>4259</v>
      </c>
      <c r="B3153" s="2" t="s">
        <v>4283</v>
      </c>
      <c r="C3153" s="2" t="s">
        <v>4235</v>
      </c>
      <c r="D3153" s="2" t="s">
        <v>4236</v>
      </c>
    </row>
    <row r="3154">
      <c r="A3154" s="64" t="s">
        <v>4259</v>
      </c>
      <c r="B3154" s="2" t="s">
        <v>4284</v>
      </c>
      <c r="C3154" s="2" t="s">
        <v>4235</v>
      </c>
      <c r="D3154" s="2" t="s">
        <v>4236</v>
      </c>
    </row>
    <row r="3155">
      <c r="A3155" s="64" t="s">
        <v>4259</v>
      </c>
      <c r="B3155" s="2" t="s">
        <v>4238</v>
      </c>
      <c r="C3155" s="2" t="s">
        <v>4235</v>
      </c>
      <c r="D3155" s="2" t="s">
        <v>4236</v>
      </c>
    </row>
    <row r="3156">
      <c r="A3156" s="64" t="s">
        <v>4259</v>
      </c>
      <c r="B3156" s="2" t="s">
        <v>4285</v>
      </c>
      <c r="C3156" s="2" t="s">
        <v>4235</v>
      </c>
      <c r="D3156" s="2" t="s">
        <v>4236</v>
      </c>
    </row>
    <row r="3157">
      <c r="A3157" s="64" t="s">
        <v>4259</v>
      </c>
      <c r="B3157" s="2" t="s">
        <v>4286</v>
      </c>
      <c r="C3157" s="2" t="s">
        <v>4235</v>
      </c>
      <c r="D3157" s="2" t="s">
        <v>4236</v>
      </c>
    </row>
    <row r="3158">
      <c r="A3158" s="64" t="s">
        <v>4259</v>
      </c>
      <c r="B3158" s="2" t="s">
        <v>4287</v>
      </c>
      <c r="C3158" s="2" t="s">
        <v>4235</v>
      </c>
      <c r="D3158" s="2" t="s">
        <v>4236</v>
      </c>
    </row>
    <row r="3159">
      <c r="A3159" s="64" t="s">
        <v>4259</v>
      </c>
      <c r="B3159" s="2" t="s">
        <v>4288</v>
      </c>
      <c r="C3159" s="2" t="s">
        <v>4235</v>
      </c>
      <c r="D3159" s="2" t="s">
        <v>4236</v>
      </c>
    </row>
    <row r="3160">
      <c r="A3160" s="64" t="s">
        <v>4259</v>
      </c>
      <c r="B3160" s="2" t="s">
        <v>4289</v>
      </c>
      <c r="C3160" s="2" t="s">
        <v>4235</v>
      </c>
      <c r="D3160" s="2" t="s">
        <v>4236</v>
      </c>
    </row>
    <row r="3161">
      <c r="A3161" s="64" t="s">
        <v>4259</v>
      </c>
      <c r="B3161" s="2" t="s">
        <v>4290</v>
      </c>
      <c r="C3161" s="2" t="s">
        <v>4235</v>
      </c>
      <c r="D3161" s="2" t="s">
        <v>4236</v>
      </c>
    </row>
    <row r="3162">
      <c r="A3162" s="64" t="s">
        <v>4259</v>
      </c>
      <c r="B3162" s="2" t="s">
        <v>4291</v>
      </c>
      <c r="C3162" s="2" t="s">
        <v>4235</v>
      </c>
      <c r="D3162" s="2" t="s">
        <v>4236</v>
      </c>
    </row>
    <row r="3163">
      <c r="A3163" s="64" t="s">
        <v>4259</v>
      </c>
      <c r="B3163" s="2" t="s">
        <v>4292</v>
      </c>
      <c r="C3163" s="2" t="s">
        <v>4235</v>
      </c>
      <c r="D3163" s="2" t="s">
        <v>4236</v>
      </c>
    </row>
    <row r="3164">
      <c r="A3164" s="64" t="s">
        <v>4259</v>
      </c>
      <c r="B3164" s="2" t="s">
        <v>4293</v>
      </c>
      <c r="C3164" s="2" t="s">
        <v>4235</v>
      </c>
      <c r="D3164" s="2" t="s">
        <v>4236</v>
      </c>
    </row>
    <row r="3165">
      <c r="A3165" s="64" t="s">
        <v>4259</v>
      </c>
      <c r="B3165" s="2" t="s">
        <v>4239</v>
      </c>
      <c r="C3165" s="2" t="s">
        <v>4235</v>
      </c>
      <c r="D3165" s="2" t="s">
        <v>4236</v>
      </c>
    </row>
    <row r="3166">
      <c r="A3166" s="64" t="s">
        <v>4259</v>
      </c>
      <c r="B3166" s="2" t="s">
        <v>4294</v>
      </c>
      <c r="C3166" s="2" t="s">
        <v>4235</v>
      </c>
      <c r="D3166" s="2" t="s">
        <v>4236</v>
      </c>
    </row>
    <row r="3167">
      <c r="A3167" s="64" t="s">
        <v>4259</v>
      </c>
      <c r="B3167" s="2" t="s">
        <v>4295</v>
      </c>
      <c r="C3167" s="2" t="s">
        <v>4235</v>
      </c>
      <c r="D3167" s="2" t="s">
        <v>4236</v>
      </c>
    </row>
    <row r="3168">
      <c r="A3168" s="64" t="s">
        <v>4259</v>
      </c>
      <c r="B3168" s="2" t="s">
        <v>4296</v>
      </c>
      <c r="C3168" s="2" t="s">
        <v>4235</v>
      </c>
      <c r="D3168" s="2" t="s">
        <v>4236</v>
      </c>
    </row>
    <row r="3169">
      <c r="A3169" s="64" t="s">
        <v>4259</v>
      </c>
      <c r="B3169" s="2" t="s">
        <v>4297</v>
      </c>
      <c r="C3169" s="2" t="s">
        <v>4235</v>
      </c>
      <c r="D3169" s="2" t="s">
        <v>4236</v>
      </c>
    </row>
    <row r="3170">
      <c r="A3170" s="64" t="s">
        <v>4259</v>
      </c>
      <c r="B3170" s="2" t="s">
        <v>4298</v>
      </c>
      <c r="C3170" s="2" t="s">
        <v>4235</v>
      </c>
      <c r="D3170" s="2" t="s">
        <v>4236</v>
      </c>
    </row>
    <row r="3171">
      <c r="A3171" s="64" t="s">
        <v>4259</v>
      </c>
      <c r="B3171" s="2" t="s">
        <v>4299</v>
      </c>
      <c r="C3171" s="2" t="s">
        <v>4235</v>
      </c>
      <c r="D3171" s="2" t="s">
        <v>4236</v>
      </c>
    </row>
    <row r="3172">
      <c r="A3172" s="64" t="s">
        <v>4259</v>
      </c>
      <c r="B3172" s="2" t="s">
        <v>4300</v>
      </c>
      <c r="C3172" s="2" t="s">
        <v>4235</v>
      </c>
      <c r="D3172" s="2" t="s">
        <v>4236</v>
      </c>
    </row>
    <row r="3173">
      <c r="A3173" s="64" t="s">
        <v>4259</v>
      </c>
      <c r="B3173" s="2" t="s">
        <v>4301</v>
      </c>
      <c r="C3173" s="2" t="s">
        <v>4235</v>
      </c>
      <c r="D3173" s="2" t="s">
        <v>4236</v>
      </c>
    </row>
    <row r="3174">
      <c r="A3174" s="64" t="s">
        <v>4259</v>
      </c>
      <c r="B3174" s="2" t="s">
        <v>4302</v>
      </c>
      <c r="C3174" s="2" t="s">
        <v>4235</v>
      </c>
      <c r="D3174" s="2" t="s">
        <v>4236</v>
      </c>
    </row>
    <row r="3175">
      <c r="A3175" s="64" t="s">
        <v>4259</v>
      </c>
      <c r="B3175" s="2" t="s">
        <v>4303</v>
      </c>
      <c r="C3175" s="2" t="s">
        <v>4235</v>
      </c>
      <c r="D3175" s="2" t="s">
        <v>4236</v>
      </c>
    </row>
    <row r="3176">
      <c r="A3176" s="64" t="s">
        <v>4259</v>
      </c>
      <c r="B3176" s="2" t="s">
        <v>4304</v>
      </c>
      <c r="C3176" s="2" t="s">
        <v>4235</v>
      </c>
      <c r="D3176" s="2" t="s">
        <v>4236</v>
      </c>
    </row>
    <row r="3177">
      <c r="A3177" s="64" t="s">
        <v>4259</v>
      </c>
      <c r="B3177" s="2" t="s">
        <v>4305</v>
      </c>
      <c r="C3177" s="2" t="s">
        <v>4235</v>
      </c>
      <c r="D3177" s="2" t="s">
        <v>4236</v>
      </c>
    </row>
    <row r="3178">
      <c r="A3178" s="64" t="s">
        <v>4259</v>
      </c>
      <c r="B3178" s="2" t="s">
        <v>4306</v>
      </c>
      <c r="C3178" s="2" t="s">
        <v>4235</v>
      </c>
      <c r="D3178" s="2" t="s">
        <v>4236</v>
      </c>
    </row>
    <row r="3179">
      <c r="A3179" s="64" t="s">
        <v>4259</v>
      </c>
      <c r="B3179" s="2" t="s">
        <v>4307</v>
      </c>
      <c r="C3179" s="2" t="s">
        <v>4235</v>
      </c>
      <c r="D3179" s="2" t="s">
        <v>4236</v>
      </c>
    </row>
    <row r="3180">
      <c r="A3180" s="64" t="s">
        <v>4259</v>
      </c>
      <c r="B3180" s="2" t="s">
        <v>4308</v>
      </c>
      <c r="C3180" s="2" t="s">
        <v>4235</v>
      </c>
      <c r="D3180" s="2" t="s">
        <v>4236</v>
      </c>
    </row>
    <row r="3181">
      <c r="A3181" s="64" t="s">
        <v>4259</v>
      </c>
      <c r="B3181" s="2" t="s">
        <v>4309</v>
      </c>
      <c r="C3181" s="2" t="s">
        <v>4235</v>
      </c>
      <c r="D3181" s="2" t="s">
        <v>4236</v>
      </c>
    </row>
    <row r="3182">
      <c r="A3182" s="64" t="s">
        <v>4259</v>
      </c>
      <c r="B3182" s="2" t="s">
        <v>4310</v>
      </c>
      <c r="C3182" s="2" t="s">
        <v>4235</v>
      </c>
      <c r="D3182" s="2" t="s">
        <v>4236</v>
      </c>
    </row>
    <row r="3183">
      <c r="A3183" s="64" t="s">
        <v>4259</v>
      </c>
      <c r="B3183" s="2" t="s">
        <v>4311</v>
      </c>
      <c r="C3183" s="2" t="s">
        <v>4235</v>
      </c>
      <c r="D3183" s="2" t="s">
        <v>4236</v>
      </c>
    </row>
    <row r="3184">
      <c r="A3184" s="64" t="s">
        <v>4259</v>
      </c>
      <c r="B3184" s="2" t="s">
        <v>4312</v>
      </c>
      <c r="C3184" s="2" t="s">
        <v>4235</v>
      </c>
      <c r="D3184" s="2" t="s">
        <v>4236</v>
      </c>
    </row>
    <row r="3185">
      <c r="A3185" s="64" t="s">
        <v>4259</v>
      </c>
      <c r="B3185" s="2" t="s">
        <v>4313</v>
      </c>
      <c r="C3185" s="2" t="s">
        <v>4235</v>
      </c>
      <c r="D3185" s="2" t="s">
        <v>4236</v>
      </c>
    </row>
    <row r="3186">
      <c r="A3186" s="64" t="s">
        <v>4259</v>
      </c>
      <c r="B3186" s="2" t="s">
        <v>4314</v>
      </c>
      <c r="C3186" s="2" t="s">
        <v>4235</v>
      </c>
      <c r="D3186" s="2" t="s">
        <v>4236</v>
      </c>
    </row>
    <row r="3187">
      <c r="A3187" s="64" t="s">
        <v>4259</v>
      </c>
      <c r="B3187" s="2" t="s">
        <v>4315</v>
      </c>
      <c r="C3187" s="2" t="s">
        <v>4235</v>
      </c>
      <c r="D3187" s="2" t="s">
        <v>4236</v>
      </c>
    </row>
    <row r="3188">
      <c r="A3188" s="64" t="s">
        <v>4259</v>
      </c>
      <c r="B3188" s="2" t="s">
        <v>4316</v>
      </c>
      <c r="C3188" s="2" t="s">
        <v>4235</v>
      </c>
      <c r="D3188" s="2" t="s">
        <v>4236</v>
      </c>
    </row>
    <row r="3189">
      <c r="A3189" s="64" t="s">
        <v>4259</v>
      </c>
      <c r="B3189" s="2" t="s">
        <v>4317</v>
      </c>
      <c r="C3189" s="2" t="s">
        <v>4235</v>
      </c>
      <c r="D3189" s="2" t="s">
        <v>4236</v>
      </c>
    </row>
    <row r="3190">
      <c r="A3190" s="64" t="s">
        <v>4259</v>
      </c>
      <c r="B3190" s="2" t="s">
        <v>4318</v>
      </c>
      <c r="C3190" s="2" t="s">
        <v>4235</v>
      </c>
      <c r="D3190" s="2" t="s">
        <v>4236</v>
      </c>
    </row>
    <row r="3191">
      <c r="A3191" s="64" t="s">
        <v>4259</v>
      </c>
      <c r="B3191" s="2" t="s">
        <v>4319</v>
      </c>
      <c r="C3191" s="2" t="s">
        <v>4235</v>
      </c>
      <c r="D3191" s="2" t="s">
        <v>4236</v>
      </c>
    </row>
    <row r="3192">
      <c r="A3192" s="64" t="s">
        <v>4259</v>
      </c>
      <c r="B3192" s="2" t="s">
        <v>4320</v>
      </c>
      <c r="C3192" s="2" t="s">
        <v>4235</v>
      </c>
      <c r="D3192" s="2" t="s">
        <v>4236</v>
      </c>
    </row>
    <row r="3193">
      <c r="A3193" s="64" t="s">
        <v>4259</v>
      </c>
      <c r="B3193" s="2" t="s">
        <v>4321</v>
      </c>
      <c r="C3193" s="2" t="s">
        <v>4235</v>
      </c>
      <c r="D3193" s="2" t="s">
        <v>4236</v>
      </c>
    </row>
    <row r="3194">
      <c r="A3194" s="64" t="s">
        <v>4259</v>
      </c>
      <c r="B3194" s="2" t="s">
        <v>4322</v>
      </c>
      <c r="C3194" s="2" t="s">
        <v>4235</v>
      </c>
      <c r="D3194" s="2" t="s">
        <v>4236</v>
      </c>
    </row>
    <row r="3195">
      <c r="A3195" s="64" t="s">
        <v>4259</v>
      </c>
      <c r="B3195" s="2" t="s">
        <v>4323</v>
      </c>
      <c r="C3195" s="2" t="s">
        <v>4235</v>
      </c>
      <c r="D3195" s="2" t="s">
        <v>4236</v>
      </c>
    </row>
    <row r="3196">
      <c r="A3196" s="64" t="s">
        <v>4259</v>
      </c>
      <c r="B3196" s="2" t="s">
        <v>4324</v>
      </c>
      <c r="C3196" s="2" t="s">
        <v>4235</v>
      </c>
      <c r="D3196" s="2" t="s">
        <v>4236</v>
      </c>
    </row>
    <row r="3197">
      <c r="A3197" s="64" t="s">
        <v>4259</v>
      </c>
      <c r="B3197" s="2" t="s">
        <v>4325</v>
      </c>
      <c r="C3197" s="2" t="s">
        <v>4235</v>
      </c>
      <c r="D3197" s="2" t="s">
        <v>4236</v>
      </c>
    </row>
    <row r="3198">
      <c r="A3198" s="64" t="s">
        <v>4259</v>
      </c>
      <c r="B3198" s="2" t="s">
        <v>4326</v>
      </c>
      <c r="C3198" s="2" t="s">
        <v>4235</v>
      </c>
      <c r="D3198" s="2" t="s">
        <v>4236</v>
      </c>
    </row>
    <row r="3199">
      <c r="A3199" s="64" t="s">
        <v>4259</v>
      </c>
      <c r="B3199" s="2" t="s">
        <v>4327</v>
      </c>
      <c r="C3199" s="2" t="s">
        <v>4235</v>
      </c>
      <c r="D3199" s="2" t="s">
        <v>4236</v>
      </c>
    </row>
    <row r="3200">
      <c r="A3200" s="64" t="s">
        <v>4259</v>
      </c>
      <c r="B3200" s="2" t="s">
        <v>4328</v>
      </c>
      <c r="C3200" s="2" t="s">
        <v>4235</v>
      </c>
      <c r="D3200" s="2" t="s">
        <v>4236</v>
      </c>
    </row>
    <row r="3201">
      <c r="A3201" s="64" t="s">
        <v>4259</v>
      </c>
      <c r="B3201" s="2" t="s">
        <v>4329</v>
      </c>
      <c r="C3201" s="2" t="s">
        <v>4235</v>
      </c>
      <c r="D3201" s="2" t="s">
        <v>4236</v>
      </c>
    </row>
    <row r="3202">
      <c r="A3202" s="64" t="s">
        <v>4259</v>
      </c>
      <c r="B3202" s="2" t="s">
        <v>4330</v>
      </c>
      <c r="C3202" s="2" t="s">
        <v>4235</v>
      </c>
      <c r="D3202" s="2" t="s">
        <v>4236</v>
      </c>
    </row>
    <row r="3203">
      <c r="A3203" s="64" t="s">
        <v>4259</v>
      </c>
      <c r="B3203" s="2" t="s">
        <v>4331</v>
      </c>
      <c r="C3203" s="2" t="s">
        <v>4235</v>
      </c>
      <c r="D3203" s="2" t="s">
        <v>4236</v>
      </c>
    </row>
    <row r="3204">
      <c r="A3204" s="64" t="s">
        <v>4259</v>
      </c>
      <c r="B3204" s="2" t="s">
        <v>4332</v>
      </c>
      <c r="C3204" s="2" t="s">
        <v>4235</v>
      </c>
      <c r="D3204" s="2" t="s">
        <v>4236</v>
      </c>
    </row>
    <row r="3205">
      <c r="A3205" s="2" t="s">
        <v>4259</v>
      </c>
      <c r="B3205" s="2" t="s">
        <v>4333</v>
      </c>
      <c r="C3205" s="2" t="s">
        <v>4235</v>
      </c>
      <c r="D3205" s="2" t="s">
        <v>4236</v>
      </c>
    </row>
    <row r="3206">
      <c r="A3206" s="2" t="s">
        <v>4259</v>
      </c>
      <c r="B3206" s="2" t="s">
        <v>4334</v>
      </c>
      <c r="C3206" s="2" t="s">
        <v>4235</v>
      </c>
      <c r="D3206" s="2" t="s">
        <v>4236</v>
      </c>
    </row>
    <row r="3207">
      <c r="A3207" s="2" t="s">
        <v>4259</v>
      </c>
      <c r="B3207" s="2" t="s">
        <v>4335</v>
      </c>
      <c r="C3207" s="2" t="s">
        <v>4235</v>
      </c>
      <c r="D3207" s="2" t="s">
        <v>4236</v>
      </c>
    </row>
    <row r="3208">
      <c r="A3208" s="2" t="s">
        <v>4259</v>
      </c>
      <c r="B3208" s="2" t="s">
        <v>4336</v>
      </c>
      <c r="C3208" s="2" t="s">
        <v>4235</v>
      </c>
      <c r="D3208" s="2" t="s">
        <v>4236</v>
      </c>
    </row>
    <row r="3209">
      <c r="A3209" s="2" t="s">
        <v>4259</v>
      </c>
      <c r="B3209" s="2" t="s">
        <v>4337</v>
      </c>
      <c r="C3209" s="2" t="s">
        <v>4235</v>
      </c>
      <c r="D3209" s="2" t="s">
        <v>4236</v>
      </c>
    </row>
    <row r="3210">
      <c r="A3210" s="2" t="s">
        <v>4259</v>
      </c>
      <c r="B3210" s="2" t="s">
        <v>4338</v>
      </c>
      <c r="C3210" s="2" t="s">
        <v>4235</v>
      </c>
      <c r="D3210" s="2" t="s">
        <v>4236</v>
      </c>
    </row>
    <row r="3211">
      <c r="A3211" s="2" t="s">
        <v>4259</v>
      </c>
      <c r="B3211" s="2" t="s">
        <v>4339</v>
      </c>
      <c r="C3211" s="2" t="s">
        <v>4235</v>
      </c>
      <c r="D3211" s="2" t="s">
        <v>4236</v>
      </c>
    </row>
    <row r="3212">
      <c r="A3212" s="2" t="s">
        <v>4259</v>
      </c>
      <c r="B3212" s="2" t="s">
        <v>4340</v>
      </c>
      <c r="C3212" s="2" t="s">
        <v>4235</v>
      </c>
      <c r="D3212" s="2" t="s">
        <v>4236</v>
      </c>
    </row>
    <row r="3213">
      <c r="A3213" s="2" t="s">
        <v>4259</v>
      </c>
      <c r="B3213" s="2" t="s">
        <v>4341</v>
      </c>
      <c r="C3213" s="2" t="s">
        <v>4235</v>
      </c>
      <c r="D3213" s="2" t="s">
        <v>4236</v>
      </c>
    </row>
    <row r="3214">
      <c r="A3214" s="2" t="s">
        <v>4259</v>
      </c>
      <c r="B3214" s="2" t="s">
        <v>4342</v>
      </c>
      <c r="C3214" s="2" t="s">
        <v>4235</v>
      </c>
      <c r="D3214" s="2" t="s">
        <v>4236</v>
      </c>
    </row>
    <row r="3215">
      <c r="A3215" s="2" t="s">
        <v>4259</v>
      </c>
      <c r="B3215" s="2" t="s">
        <v>4343</v>
      </c>
      <c r="C3215" s="2" t="s">
        <v>4235</v>
      </c>
      <c r="D3215" s="2" t="s">
        <v>4236</v>
      </c>
    </row>
    <row r="3216">
      <c r="A3216" s="2" t="s">
        <v>4259</v>
      </c>
      <c r="B3216" s="2" t="s">
        <v>4344</v>
      </c>
      <c r="C3216" s="2" t="s">
        <v>4235</v>
      </c>
      <c r="D3216" s="2" t="s">
        <v>4236</v>
      </c>
    </row>
    <row r="3217">
      <c r="A3217" s="2" t="s">
        <v>4259</v>
      </c>
      <c r="B3217" s="2" t="s">
        <v>4345</v>
      </c>
      <c r="C3217" s="2" t="s">
        <v>4235</v>
      </c>
      <c r="D3217" s="2" t="s">
        <v>4236</v>
      </c>
    </row>
    <row r="3218">
      <c r="A3218" s="2" t="s">
        <v>4259</v>
      </c>
      <c r="B3218" s="2" t="s">
        <v>4346</v>
      </c>
      <c r="C3218" s="2" t="s">
        <v>4235</v>
      </c>
      <c r="D3218" s="2" t="s">
        <v>4236</v>
      </c>
    </row>
    <row r="3219">
      <c r="A3219" s="2" t="s">
        <v>4259</v>
      </c>
      <c r="B3219" s="2" t="s">
        <v>4347</v>
      </c>
      <c r="C3219" s="2" t="s">
        <v>4235</v>
      </c>
      <c r="D3219" s="2" t="s">
        <v>4236</v>
      </c>
    </row>
    <row r="3220">
      <c r="A3220" s="2" t="s">
        <v>4259</v>
      </c>
      <c r="B3220" s="2" t="s">
        <v>4348</v>
      </c>
      <c r="C3220" s="2" t="s">
        <v>4235</v>
      </c>
      <c r="D3220" s="2" t="s">
        <v>4236</v>
      </c>
    </row>
    <row r="3221">
      <c r="A3221" s="2" t="s">
        <v>4259</v>
      </c>
      <c r="B3221" s="2" t="s">
        <v>4349</v>
      </c>
      <c r="C3221" s="2" t="s">
        <v>4235</v>
      </c>
      <c r="D3221" s="2" t="s">
        <v>4236</v>
      </c>
    </row>
    <row r="3222">
      <c r="A3222" s="2" t="s">
        <v>4259</v>
      </c>
      <c r="B3222" s="2" t="s">
        <v>4350</v>
      </c>
      <c r="C3222" s="2" t="s">
        <v>4235</v>
      </c>
      <c r="D3222" s="2" t="s">
        <v>4236</v>
      </c>
    </row>
    <row r="3223">
      <c r="A3223" s="2" t="s">
        <v>4259</v>
      </c>
      <c r="B3223" s="2" t="s">
        <v>4351</v>
      </c>
      <c r="C3223" s="2" t="s">
        <v>4235</v>
      </c>
      <c r="D3223" s="2" t="s">
        <v>4236</v>
      </c>
    </row>
    <row r="3224">
      <c r="A3224" s="2" t="s">
        <v>4259</v>
      </c>
      <c r="B3224" s="2" t="s">
        <v>4353</v>
      </c>
      <c r="C3224" s="2" t="s">
        <v>4235</v>
      </c>
      <c r="D3224" s="2" t="s">
        <v>4236</v>
      </c>
    </row>
    <row r="3225">
      <c r="A3225" s="2" t="s">
        <v>4259</v>
      </c>
      <c r="B3225" s="2" t="s">
        <v>4354</v>
      </c>
      <c r="C3225" s="2" t="s">
        <v>4235</v>
      </c>
      <c r="D3225" s="2" t="s">
        <v>4236</v>
      </c>
    </row>
    <row r="3226">
      <c r="A3226" s="2" t="s">
        <v>4259</v>
      </c>
      <c r="B3226" s="2" t="s">
        <v>4355</v>
      </c>
      <c r="C3226" s="2" t="s">
        <v>4235</v>
      </c>
      <c r="D3226" s="2" t="s">
        <v>4236</v>
      </c>
    </row>
    <row r="3227">
      <c r="A3227" s="2" t="s">
        <v>4259</v>
      </c>
      <c r="B3227" s="2" t="s">
        <v>4356</v>
      </c>
      <c r="C3227" s="2" t="s">
        <v>4235</v>
      </c>
      <c r="D3227" s="2" t="s">
        <v>4236</v>
      </c>
    </row>
    <row r="3228">
      <c r="A3228" s="2" t="s">
        <v>4259</v>
      </c>
      <c r="B3228" s="2" t="s">
        <v>4357</v>
      </c>
      <c r="C3228" s="2" t="s">
        <v>4235</v>
      </c>
      <c r="D3228" s="2" t="s">
        <v>4236</v>
      </c>
    </row>
    <row r="3229">
      <c r="A3229" s="2" t="s">
        <v>4259</v>
      </c>
      <c r="B3229" s="2" t="s">
        <v>4359</v>
      </c>
      <c r="C3229" s="2" t="s">
        <v>4235</v>
      </c>
      <c r="D3229" s="2" t="s">
        <v>4236</v>
      </c>
    </row>
    <row r="3230">
      <c r="A3230" s="2" t="s">
        <v>4259</v>
      </c>
      <c r="B3230" s="2" t="s">
        <v>4361</v>
      </c>
      <c r="C3230" s="2" t="s">
        <v>4235</v>
      </c>
      <c r="D3230" s="2" t="s">
        <v>4236</v>
      </c>
    </row>
    <row r="3231">
      <c r="A3231" s="2" t="s">
        <v>4259</v>
      </c>
      <c r="B3231" s="2" t="s">
        <v>4362</v>
      </c>
      <c r="C3231" s="2" t="s">
        <v>4235</v>
      </c>
      <c r="D3231" s="2" t="s">
        <v>4236</v>
      </c>
    </row>
    <row r="3232">
      <c r="A3232" s="2" t="s">
        <v>4259</v>
      </c>
      <c r="B3232" s="2" t="s">
        <v>4363</v>
      </c>
      <c r="C3232" s="2" t="s">
        <v>4235</v>
      </c>
      <c r="D3232" s="2" t="s">
        <v>4236</v>
      </c>
    </row>
    <row r="3233">
      <c r="A3233" s="2" t="s">
        <v>4259</v>
      </c>
      <c r="B3233" s="2" t="s">
        <v>4364</v>
      </c>
      <c r="C3233" s="2" t="s">
        <v>4235</v>
      </c>
      <c r="D3233" s="2" t="s">
        <v>4236</v>
      </c>
    </row>
    <row r="3234">
      <c r="A3234" s="2" t="s">
        <v>4259</v>
      </c>
      <c r="B3234" s="2" t="s">
        <v>4365</v>
      </c>
      <c r="C3234" s="2" t="s">
        <v>4235</v>
      </c>
      <c r="D3234" s="2" t="s">
        <v>4236</v>
      </c>
    </row>
    <row r="3235">
      <c r="A3235" s="2" t="s">
        <v>4259</v>
      </c>
      <c r="B3235" s="2" t="s">
        <v>4366</v>
      </c>
      <c r="C3235" s="2" t="s">
        <v>4235</v>
      </c>
      <c r="D3235" s="2" t="s">
        <v>4236</v>
      </c>
    </row>
    <row r="3236">
      <c r="A3236" s="2" t="s">
        <v>4259</v>
      </c>
      <c r="B3236" s="2" t="s">
        <v>4367</v>
      </c>
      <c r="C3236" s="2" t="s">
        <v>4235</v>
      </c>
      <c r="D3236" s="2" t="s">
        <v>4236</v>
      </c>
    </row>
    <row r="3237">
      <c r="A3237" s="2" t="s">
        <v>4259</v>
      </c>
      <c r="B3237" s="2" t="s">
        <v>4368</v>
      </c>
      <c r="C3237" s="2" t="s">
        <v>4235</v>
      </c>
      <c r="D3237" s="2" t="s">
        <v>4236</v>
      </c>
    </row>
    <row r="3238">
      <c r="A3238" s="2" t="s">
        <v>4259</v>
      </c>
      <c r="B3238" s="2" t="s">
        <v>4369</v>
      </c>
      <c r="C3238" s="2" t="s">
        <v>4235</v>
      </c>
      <c r="D3238" s="2" t="s">
        <v>4236</v>
      </c>
    </row>
    <row r="3239">
      <c r="A3239" s="2" t="s">
        <v>4259</v>
      </c>
      <c r="B3239" s="2" t="s">
        <v>4370</v>
      </c>
      <c r="C3239" s="2" t="s">
        <v>4235</v>
      </c>
      <c r="D3239" s="2" t="s">
        <v>4236</v>
      </c>
    </row>
    <row r="3240">
      <c r="A3240" s="2" t="s">
        <v>4259</v>
      </c>
      <c r="B3240" s="2" t="s">
        <v>4371</v>
      </c>
      <c r="C3240" s="2" t="s">
        <v>4235</v>
      </c>
      <c r="D3240" s="2" t="s">
        <v>4236</v>
      </c>
    </row>
    <row r="3241">
      <c r="A3241" s="2" t="s">
        <v>4259</v>
      </c>
      <c r="B3241" s="2" t="s">
        <v>4372</v>
      </c>
      <c r="C3241" s="2" t="s">
        <v>4235</v>
      </c>
      <c r="D3241" s="2" t="s">
        <v>4236</v>
      </c>
    </row>
    <row r="3242">
      <c r="A3242" s="2" t="s">
        <v>4259</v>
      </c>
      <c r="B3242" s="2" t="s">
        <v>4373</v>
      </c>
      <c r="C3242" s="2" t="s">
        <v>4235</v>
      </c>
      <c r="D3242" s="2" t="s">
        <v>4236</v>
      </c>
    </row>
    <row r="3243">
      <c r="A3243" s="2" t="s">
        <v>4259</v>
      </c>
      <c r="B3243" s="2" t="s">
        <v>4374</v>
      </c>
      <c r="C3243" s="2" t="s">
        <v>4235</v>
      </c>
      <c r="D3243" s="2" t="s">
        <v>4236</v>
      </c>
    </row>
    <row r="3244">
      <c r="A3244" s="2" t="s">
        <v>4259</v>
      </c>
      <c r="B3244" s="2" t="s">
        <v>4375</v>
      </c>
      <c r="C3244" s="2" t="s">
        <v>4235</v>
      </c>
      <c r="D3244" s="2" t="s">
        <v>4236</v>
      </c>
    </row>
    <row r="3245">
      <c r="A3245" s="2" t="s">
        <v>4259</v>
      </c>
      <c r="B3245" s="2" t="s">
        <v>4376</v>
      </c>
      <c r="C3245" s="2" t="s">
        <v>4235</v>
      </c>
      <c r="D3245" s="2" t="s">
        <v>4236</v>
      </c>
    </row>
    <row r="3246">
      <c r="A3246" s="2" t="s">
        <v>4259</v>
      </c>
      <c r="B3246" s="2" t="s">
        <v>4377</v>
      </c>
      <c r="C3246" s="2" t="s">
        <v>4235</v>
      </c>
      <c r="D3246" s="2" t="s">
        <v>4236</v>
      </c>
    </row>
    <row r="3247">
      <c r="A3247" s="2" t="s">
        <v>4259</v>
      </c>
      <c r="B3247" s="2" t="s">
        <v>4378</v>
      </c>
      <c r="C3247" s="2" t="s">
        <v>4235</v>
      </c>
      <c r="D3247" s="2" t="s">
        <v>4236</v>
      </c>
    </row>
    <row r="3248">
      <c r="A3248" s="2" t="s">
        <v>4259</v>
      </c>
      <c r="B3248" s="2" t="s">
        <v>4379</v>
      </c>
      <c r="C3248" s="2" t="s">
        <v>4235</v>
      </c>
      <c r="D3248" s="2" t="s">
        <v>4236</v>
      </c>
    </row>
    <row r="3249">
      <c r="A3249" s="2" t="s">
        <v>4259</v>
      </c>
      <c r="B3249" s="2" t="s">
        <v>4380</v>
      </c>
      <c r="C3249" s="2" t="s">
        <v>4235</v>
      </c>
      <c r="D3249" s="2" t="s">
        <v>4236</v>
      </c>
    </row>
    <row r="3250">
      <c r="A3250" s="2" t="s">
        <v>4259</v>
      </c>
      <c r="B3250" s="2" t="s">
        <v>4381</v>
      </c>
      <c r="C3250" s="2" t="s">
        <v>4235</v>
      </c>
      <c r="D3250" s="2" t="s">
        <v>4236</v>
      </c>
    </row>
    <row r="3251">
      <c r="A3251" s="2" t="s">
        <v>4259</v>
      </c>
      <c r="B3251" s="2" t="s">
        <v>4382</v>
      </c>
      <c r="C3251" s="2" t="s">
        <v>4235</v>
      </c>
      <c r="D3251" s="2" t="s">
        <v>4236</v>
      </c>
    </row>
    <row r="3252">
      <c r="A3252" s="2" t="s">
        <v>4259</v>
      </c>
      <c r="B3252" s="2" t="s">
        <v>4383</v>
      </c>
      <c r="C3252" s="2" t="s">
        <v>4235</v>
      </c>
      <c r="D3252" s="2" t="s">
        <v>4236</v>
      </c>
    </row>
    <row r="3253">
      <c r="A3253" s="2" t="s">
        <v>4259</v>
      </c>
      <c r="B3253" s="2" t="s">
        <v>4384</v>
      </c>
      <c r="C3253" s="2" t="s">
        <v>4235</v>
      </c>
      <c r="D3253" s="2" t="s">
        <v>4236</v>
      </c>
    </row>
    <row r="3254">
      <c r="A3254" s="2" t="s">
        <v>4259</v>
      </c>
      <c r="B3254" s="2" t="s">
        <v>4385</v>
      </c>
      <c r="C3254" s="2" t="s">
        <v>4235</v>
      </c>
      <c r="D3254" s="2" t="s">
        <v>4236</v>
      </c>
    </row>
    <row r="3255">
      <c r="A3255" s="2" t="s">
        <v>4259</v>
      </c>
      <c r="B3255" s="2" t="s">
        <v>4386</v>
      </c>
      <c r="C3255" s="2" t="s">
        <v>4235</v>
      </c>
      <c r="D3255" s="2" t="s">
        <v>4236</v>
      </c>
    </row>
    <row r="3256">
      <c r="A3256" s="2" t="s">
        <v>4259</v>
      </c>
      <c r="B3256" s="2" t="s">
        <v>4387</v>
      </c>
      <c r="C3256" s="2" t="s">
        <v>4235</v>
      </c>
      <c r="D3256" s="2" t="s">
        <v>4236</v>
      </c>
    </row>
    <row r="3257">
      <c r="A3257" s="2" t="s">
        <v>4259</v>
      </c>
      <c r="B3257" s="2" t="s">
        <v>4388</v>
      </c>
      <c r="C3257" s="2" t="s">
        <v>4235</v>
      </c>
      <c r="D3257" s="2" t="s">
        <v>4236</v>
      </c>
    </row>
    <row r="3258">
      <c r="A3258" s="2" t="s">
        <v>4259</v>
      </c>
      <c r="B3258" s="2" t="s">
        <v>4389</v>
      </c>
      <c r="C3258" s="2" t="s">
        <v>4235</v>
      </c>
      <c r="D3258" s="2" t="s">
        <v>4236</v>
      </c>
    </row>
    <row r="3259">
      <c r="A3259" s="2" t="s">
        <v>4259</v>
      </c>
      <c r="B3259" s="2" t="s">
        <v>4390</v>
      </c>
      <c r="C3259" s="2" t="s">
        <v>4235</v>
      </c>
      <c r="D3259" s="2" t="s">
        <v>4236</v>
      </c>
    </row>
    <row r="3260">
      <c r="A3260" s="2" t="s">
        <v>4259</v>
      </c>
      <c r="B3260" s="2" t="s">
        <v>4391</v>
      </c>
      <c r="C3260" s="2" t="s">
        <v>4235</v>
      </c>
      <c r="D3260" s="2" t="s">
        <v>4236</v>
      </c>
    </row>
    <row r="3261">
      <c r="A3261" s="2" t="s">
        <v>4259</v>
      </c>
      <c r="B3261" s="2" t="s">
        <v>4392</v>
      </c>
      <c r="C3261" s="2" t="s">
        <v>4235</v>
      </c>
      <c r="D3261" s="2" t="s">
        <v>4236</v>
      </c>
    </row>
    <row r="3262">
      <c r="A3262" s="2" t="s">
        <v>4259</v>
      </c>
      <c r="B3262" s="2" t="s">
        <v>4393</v>
      </c>
      <c r="C3262" s="2" t="s">
        <v>4235</v>
      </c>
      <c r="D3262" s="2" t="s">
        <v>4236</v>
      </c>
    </row>
    <row r="3263">
      <c r="A3263" s="2" t="s">
        <v>4259</v>
      </c>
      <c r="B3263" s="2" t="s">
        <v>4394</v>
      </c>
      <c r="C3263" s="2" t="s">
        <v>4235</v>
      </c>
      <c r="D3263" s="2" t="s">
        <v>4236</v>
      </c>
    </row>
    <row r="3264">
      <c r="A3264" s="2" t="s">
        <v>4259</v>
      </c>
      <c r="B3264" s="2" t="s">
        <v>4395</v>
      </c>
      <c r="C3264" s="2" t="s">
        <v>4235</v>
      </c>
      <c r="D3264" s="2" t="s">
        <v>4236</v>
      </c>
    </row>
    <row r="3265">
      <c r="A3265" s="2" t="s">
        <v>4259</v>
      </c>
      <c r="B3265" s="2" t="s">
        <v>4396</v>
      </c>
      <c r="C3265" s="2" t="s">
        <v>4235</v>
      </c>
      <c r="D3265" s="2" t="s">
        <v>4236</v>
      </c>
    </row>
    <row r="3266">
      <c r="A3266" s="2" t="s">
        <v>4259</v>
      </c>
      <c r="B3266" s="2" t="s">
        <v>4397</v>
      </c>
      <c r="C3266" s="2" t="s">
        <v>4235</v>
      </c>
      <c r="D3266" s="2" t="s">
        <v>4236</v>
      </c>
    </row>
    <row r="3267">
      <c r="A3267" s="2" t="s">
        <v>4259</v>
      </c>
      <c r="B3267" s="2" t="s">
        <v>4398</v>
      </c>
      <c r="C3267" s="2" t="s">
        <v>4235</v>
      </c>
      <c r="D3267" s="2" t="s">
        <v>4236</v>
      </c>
    </row>
    <row r="3268">
      <c r="A3268" s="2" t="s">
        <v>4259</v>
      </c>
      <c r="B3268" s="2" t="s">
        <v>4399</v>
      </c>
      <c r="C3268" s="2" t="s">
        <v>4235</v>
      </c>
      <c r="D3268" s="2" t="s">
        <v>4236</v>
      </c>
    </row>
    <row r="3269">
      <c r="A3269" s="2" t="s">
        <v>4259</v>
      </c>
      <c r="B3269" s="2" t="s">
        <v>4400</v>
      </c>
      <c r="C3269" s="2" t="s">
        <v>4235</v>
      </c>
      <c r="D3269" s="2" t="s">
        <v>4236</v>
      </c>
    </row>
    <row r="3270">
      <c r="A3270" s="2" t="s">
        <v>4259</v>
      </c>
      <c r="B3270" s="2" t="s">
        <v>4401</v>
      </c>
      <c r="C3270" s="2" t="s">
        <v>4235</v>
      </c>
      <c r="D3270" s="2" t="s">
        <v>4236</v>
      </c>
    </row>
    <row r="3271">
      <c r="A3271" s="2" t="s">
        <v>4259</v>
      </c>
      <c r="B3271" s="2" t="s">
        <v>4402</v>
      </c>
      <c r="C3271" s="2" t="s">
        <v>4235</v>
      </c>
      <c r="D3271" s="2" t="s">
        <v>4236</v>
      </c>
    </row>
    <row r="3272">
      <c r="A3272" s="2" t="s">
        <v>4259</v>
      </c>
      <c r="B3272" s="2" t="s">
        <v>4403</v>
      </c>
      <c r="C3272" s="2" t="s">
        <v>4235</v>
      </c>
      <c r="D3272" s="2" t="s">
        <v>4236</v>
      </c>
    </row>
    <row r="3273">
      <c r="A3273" s="2" t="s">
        <v>4259</v>
      </c>
      <c r="B3273" s="2" t="s">
        <v>4404</v>
      </c>
      <c r="C3273" s="2" t="s">
        <v>4235</v>
      </c>
      <c r="D3273" s="2" t="s">
        <v>4236</v>
      </c>
    </row>
    <row r="3274">
      <c r="A3274" s="2" t="s">
        <v>4259</v>
      </c>
      <c r="B3274" s="2" t="s">
        <v>4405</v>
      </c>
      <c r="C3274" s="2" t="s">
        <v>4235</v>
      </c>
      <c r="D3274" s="2" t="s">
        <v>4236</v>
      </c>
    </row>
    <row r="3275">
      <c r="A3275" s="2" t="s">
        <v>4259</v>
      </c>
      <c r="B3275" s="2" t="s">
        <v>4407</v>
      </c>
      <c r="C3275" s="2" t="s">
        <v>4235</v>
      </c>
      <c r="D3275" s="2" t="s">
        <v>4236</v>
      </c>
    </row>
    <row r="3276">
      <c r="A3276" s="2" t="s">
        <v>4259</v>
      </c>
      <c r="B3276" s="2" t="s">
        <v>4408</v>
      </c>
      <c r="C3276" s="2" t="s">
        <v>4235</v>
      </c>
      <c r="D3276" s="2" t="s">
        <v>4236</v>
      </c>
    </row>
    <row r="3277">
      <c r="A3277" s="2" t="s">
        <v>4259</v>
      </c>
      <c r="B3277" s="2" t="s">
        <v>4409</v>
      </c>
      <c r="C3277" s="2" t="s">
        <v>4235</v>
      </c>
      <c r="D3277" s="2" t="s">
        <v>4236</v>
      </c>
    </row>
    <row r="3278">
      <c r="A3278" s="2" t="s">
        <v>4259</v>
      </c>
      <c r="B3278" s="2" t="s">
        <v>4410</v>
      </c>
      <c r="C3278" s="2" t="s">
        <v>4235</v>
      </c>
      <c r="D3278" s="2" t="s">
        <v>4236</v>
      </c>
    </row>
    <row r="3279">
      <c r="A3279" s="2" t="s">
        <v>4259</v>
      </c>
      <c r="B3279" s="2" t="s">
        <v>4411</v>
      </c>
      <c r="C3279" s="2" t="s">
        <v>4235</v>
      </c>
      <c r="D3279" s="2" t="s">
        <v>4236</v>
      </c>
    </row>
    <row r="3280">
      <c r="A3280" s="2" t="s">
        <v>4412</v>
      </c>
      <c r="B3280" s="2" t="s">
        <v>4414</v>
      </c>
      <c r="G3280" s="2" t="s">
        <v>4415</v>
      </c>
    </row>
    <row r="3281">
      <c r="A3281" s="2" t="s">
        <v>4416</v>
      </c>
      <c r="B3281" s="2" t="s">
        <v>4417</v>
      </c>
      <c r="G3281" s="2" t="s">
        <v>4415</v>
      </c>
    </row>
    <row r="3282">
      <c r="A3282" s="2" t="s">
        <v>4416</v>
      </c>
      <c r="B3282" s="2" t="s">
        <v>4418</v>
      </c>
      <c r="G3282" s="2" t="s">
        <v>4415</v>
      </c>
    </row>
    <row r="3283">
      <c r="A3283" s="2" t="s">
        <v>4416</v>
      </c>
      <c r="B3283" s="2" t="s">
        <v>4419</v>
      </c>
      <c r="G3283" s="2" t="s">
        <v>4415</v>
      </c>
    </row>
    <row r="3284">
      <c r="A3284" s="2" t="s">
        <v>4416</v>
      </c>
      <c r="B3284" s="2" t="s">
        <v>4420</v>
      </c>
      <c r="G3284" s="2" t="s">
        <v>4415</v>
      </c>
    </row>
    <row r="3285">
      <c r="A3285" s="2" t="s">
        <v>4416</v>
      </c>
      <c r="B3285" s="2" t="s">
        <v>4421</v>
      </c>
      <c r="G3285" s="2" t="s">
        <v>4415</v>
      </c>
    </row>
    <row r="3286">
      <c r="A3286" s="2" t="s">
        <v>4416</v>
      </c>
      <c r="B3286" s="2" t="s">
        <v>4422</v>
      </c>
      <c r="G3286" s="2" t="s">
        <v>4415</v>
      </c>
    </row>
    <row r="3287">
      <c r="A3287" s="2" t="s">
        <v>4416</v>
      </c>
      <c r="B3287" s="2" t="s">
        <v>4423</v>
      </c>
      <c r="G3287" s="2" t="s">
        <v>4415</v>
      </c>
    </row>
    <row r="3288">
      <c r="A3288" s="2" t="s">
        <v>4416</v>
      </c>
      <c r="B3288" s="2" t="s">
        <v>4424</v>
      </c>
      <c r="G3288" s="2" t="s">
        <v>4415</v>
      </c>
    </row>
    <row r="3289">
      <c r="A3289" s="2" t="s">
        <v>4416</v>
      </c>
      <c r="B3289" s="2" t="s">
        <v>4425</v>
      </c>
      <c r="G3289" s="2" t="s">
        <v>4415</v>
      </c>
    </row>
    <row r="3290">
      <c r="A3290" s="2" t="s">
        <v>4416</v>
      </c>
      <c r="B3290" s="2" t="s">
        <v>4426</v>
      </c>
      <c r="G3290" s="2" t="s">
        <v>4415</v>
      </c>
    </row>
    <row r="3291">
      <c r="A3291" s="2" t="s">
        <v>4416</v>
      </c>
      <c r="B3291" s="2" t="s">
        <v>4427</v>
      </c>
      <c r="G3291" s="2" t="s">
        <v>4415</v>
      </c>
    </row>
    <row r="3292">
      <c r="A3292" s="2" t="s">
        <v>4416</v>
      </c>
      <c r="B3292" s="2" t="s">
        <v>4428</v>
      </c>
      <c r="G3292" s="2" t="s">
        <v>4415</v>
      </c>
    </row>
    <row r="3293">
      <c r="A3293" s="2" t="s">
        <v>4416</v>
      </c>
      <c r="B3293" s="2" t="s">
        <v>4429</v>
      </c>
      <c r="G3293" s="2" t="s">
        <v>4415</v>
      </c>
    </row>
    <row r="3294">
      <c r="A3294" s="2" t="s">
        <v>4416</v>
      </c>
      <c r="B3294" s="2" t="s">
        <v>4430</v>
      </c>
      <c r="G3294" s="2" t="s">
        <v>4415</v>
      </c>
    </row>
    <row r="3295">
      <c r="A3295" s="2" t="s">
        <v>4416</v>
      </c>
      <c r="B3295" s="2" t="s">
        <v>4431</v>
      </c>
      <c r="G3295" s="2" t="s">
        <v>4415</v>
      </c>
    </row>
    <row r="3296">
      <c r="A3296" s="2" t="s">
        <v>4416</v>
      </c>
      <c r="B3296" s="2" t="s">
        <v>4432</v>
      </c>
      <c r="G3296" s="2" t="s">
        <v>4415</v>
      </c>
    </row>
    <row r="3297">
      <c r="A3297" s="2" t="s">
        <v>4416</v>
      </c>
      <c r="B3297" s="2" t="s">
        <v>4433</v>
      </c>
      <c r="G3297" s="2" t="s">
        <v>4415</v>
      </c>
    </row>
    <row r="3298">
      <c r="A3298" s="2" t="s">
        <v>4416</v>
      </c>
      <c r="B3298" s="2" t="s">
        <v>4434</v>
      </c>
      <c r="G3298" s="2" t="s">
        <v>4415</v>
      </c>
    </row>
    <row r="3299">
      <c r="A3299" s="2" t="s">
        <v>4416</v>
      </c>
      <c r="B3299" s="2" t="s">
        <v>4435</v>
      </c>
      <c r="G3299" s="2" t="s">
        <v>4415</v>
      </c>
    </row>
    <row r="3300">
      <c r="A3300" s="2" t="s">
        <v>4416</v>
      </c>
      <c r="B3300" s="2" t="s">
        <v>4437</v>
      </c>
      <c r="G3300" s="2" t="s">
        <v>4415</v>
      </c>
    </row>
    <row r="3301">
      <c r="A3301" s="2" t="s">
        <v>4416</v>
      </c>
      <c r="B3301" s="2" t="s">
        <v>4438</v>
      </c>
      <c r="G3301" s="2" t="s">
        <v>4415</v>
      </c>
    </row>
    <row r="3302">
      <c r="A3302" s="2" t="s">
        <v>4416</v>
      </c>
      <c r="B3302" s="2" t="s">
        <v>4439</v>
      </c>
      <c r="G3302" s="2" t="s">
        <v>4415</v>
      </c>
    </row>
    <row r="3303">
      <c r="A3303" s="2" t="s">
        <v>4416</v>
      </c>
      <c r="B3303" s="2" t="s">
        <v>4440</v>
      </c>
      <c r="G3303" s="2" t="s">
        <v>4415</v>
      </c>
    </row>
    <row r="3304">
      <c r="A3304" s="2" t="s">
        <v>4416</v>
      </c>
      <c r="B3304" s="2" t="s">
        <v>4441</v>
      </c>
      <c r="G3304" s="2" t="s">
        <v>4415</v>
      </c>
    </row>
    <row r="3305">
      <c r="A3305" s="2" t="s">
        <v>4416</v>
      </c>
      <c r="B3305" s="2" t="s">
        <v>4442</v>
      </c>
      <c r="G3305" s="2" t="s">
        <v>4415</v>
      </c>
    </row>
    <row r="3306">
      <c r="A3306" s="2" t="s">
        <v>4416</v>
      </c>
      <c r="B3306" s="2" t="s">
        <v>4443</v>
      </c>
      <c r="G3306" s="2" t="s">
        <v>4415</v>
      </c>
    </row>
    <row r="3307">
      <c r="A3307" s="2" t="s">
        <v>4416</v>
      </c>
      <c r="B3307" s="2" t="s">
        <v>4445</v>
      </c>
      <c r="G3307" s="2" t="s">
        <v>4415</v>
      </c>
    </row>
    <row r="3308">
      <c r="A3308" s="2" t="s">
        <v>4416</v>
      </c>
      <c r="B3308" s="2" t="s">
        <v>4446</v>
      </c>
      <c r="G3308" s="2" t="s">
        <v>4415</v>
      </c>
    </row>
    <row r="3309">
      <c r="A3309" s="2" t="s">
        <v>4416</v>
      </c>
      <c r="B3309" s="2" t="s">
        <v>4447</v>
      </c>
      <c r="G3309" s="2" t="s">
        <v>4415</v>
      </c>
    </row>
    <row r="3310">
      <c r="A3310" s="2" t="s">
        <v>4416</v>
      </c>
      <c r="B3310" s="2" t="s">
        <v>4448</v>
      </c>
      <c r="G3310" s="2" t="s">
        <v>4415</v>
      </c>
    </row>
    <row r="3311">
      <c r="A3311" s="2" t="s">
        <v>4416</v>
      </c>
      <c r="B3311" s="2" t="s">
        <v>4449</v>
      </c>
      <c r="G3311" s="2" t="s">
        <v>4415</v>
      </c>
    </row>
    <row r="3312">
      <c r="A3312" s="2" t="s">
        <v>4416</v>
      </c>
      <c r="B3312" s="2" t="s">
        <v>4450</v>
      </c>
      <c r="G3312" s="2" t="s">
        <v>4415</v>
      </c>
    </row>
    <row r="3313">
      <c r="A3313" s="2" t="s">
        <v>4416</v>
      </c>
      <c r="B3313" s="2" t="s">
        <v>4451</v>
      </c>
      <c r="G3313" s="2" t="s">
        <v>4415</v>
      </c>
    </row>
    <row r="3314">
      <c r="A3314" s="2" t="s">
        <v>4416</v>
      </c>
      <c r="B3314" s="2" t="s">
        <v>4452</v>
      </c>
      <c r="G3314" s="2" t="s">
        <v>4415</v>
      </c>
    </row>
    <row r="3315">
      <c r="A3315" s="2" t="s">
        <v>4416</v>
      </c>
      <c r="B3315" s="2" t="s">
        <v>4453</v>
      </c>
      <c r="G3315" s="2" t="s">
        <v>4415</v>
      </c>
    </row>
    <row r="3316">
      <c r="A3316" s="2" t="s">
        <v>4416</v>
      </c>
      <c r="B3316" s="2" t="s">
        <v>4454</v>
      </c>
      <c r="G3316" s="2" t="s">
        <v>4415</v>
      </c>
    </row>
    <row r="3317">
      <c r="A3317" s="2" t="s">
        <v>4416</v>
      </c>
      <c r="B3317" s="2" t="s">
        <v>4455</v>
      </c>
      <c r="G3317" s="2" t="s">
        <v>4415</v>
      </c>
    </row>
    <row r="3318">
      <c r="A3318" s="2" t="s">
        <v>4416</v>
      </c>
      <c r="B3318" s="2" t="s">
        <v>4456</v>
      </c>
      <c r="G3318" s="2" t="s">
        <v>4415</v>
      </c>
    </row>
    <row r="3319">
      <c r="A3319" s="2" t="s">
        <v>4416</v>
      </c>
      <c r="B3319" s="2" t="s">
        <v>4457</v>
      </c>
      <c r="G3319" s="2" t="s">
        <v>4415</v>
      </c>
    </row>
    <row r="3320">
      <c r="A3320" s="2" t="s">
        <v>4416</v>
      </c>
      <c r="B3320" s="2" t="s">
        <v>4458</v>
      </c>
      <c r="G3320" s="2" t="s">
        <v>4415</v>
      </c>
    </row>
    <row r="3321">
      <c r="A3321" s="2" t="s">
        <v>4416</v>
      </c>
      <c r="B3321" s="2" t="s">
        <v>4459</v>
      </c>
      <c r="G3321" s="2" t="s">
        <v>4415</v>
      </c>
    </row>
    <row r="3322">
      <c r="A3322" s="2" t="s">
        <v>4416</v>
      </c>
      <c r="B3322" s="2" t="s">
        <v>4460</v>
      </c>
      <c r="G3322" s="2" t="s">
        <v>4415</v>
      </c>
    </row>
    <row r="3323">
      <c r="A3323" s="2" t="s">
        <v>4416</v>
      </c>
      <c r="B3323" s="2" t="s">
        <v>4461</v>
      </c>
      <c r="G3323" s="2" t="s">
        <v>4415</v>
      </c>
    </row>
    <row r="3324">
      <c r="A3324" s="2" t="s">
        <v>4416</v>
      </c>
      <c r="B3324" s="2" t="s">
        <v>4462</v>
      </c>
      <c r="G3324" s="2" t="s">
        <v>4415</v>
      </c>
    </row>
    <row r="3325">
      <c r="A3325" s="2" t="s">
        <v>4416</v>
      </c>
      <c r="B3325" s="2" t="s">
        <v>4463</v>
      </c>
      <c r="G3325" s="2" t="s">
        <v>4415</v>
      </c>
    </row>
    <row r="3326">
      <c r="A3326" s="2" t="s">
        <v>4416</v>
      </c>
      <c r="B3326" s="2" t="s">
        <v>4464</v>
      </c>
      <c r="G3326" s="2" t="s">
        <v>4415</v>
      </c>
    </row>
    <row r="3327">
      <c r="A3327" s="2" t="s">
        <v>4416</v>
      </c>
      <c r="B3327" s="2" t="s">
        <v>4465</v>
      </c>
      <c r="G3327" s="2" t="s">
        <v>4415</v>
      </c>
    </row>
    <row r="3328">
      <c r="A3328" s="2" t="s">
        <v>4416</v>
      </c>
      <c r="B3328" s="2" t="s">
        <v>4466</v>
      </c>
      <c r="G3328" s="2" t="s">
        <v>4415</v>
      </c>
    </row>
    <row r="3329">
      <c r="A3329" s="2" t="s">
        <v>4416</v>
      </c>
      <c r="B3329" s="2" t="s">
        <v>4467</v>
      </c>
      <c r="G3329" s="2" t="s">
        <v>4415</v>
      </c>
    </row>
    <row r="3330">
      <c r="A3330" s="2" t="s">
        <v>4416</v>
      </c>
      <c r="B3330" s="2" t="s">
        <v>4468</v>
      </c>
      <c r="G3330" s="2" t="s">
        <v>4415</v>
      </c>
    </row>
    <row r="3331">
      <c r="A3331" s="2" t="s">
        <v>4416</v>
      </c>
      <c r="B3331" s="2" t="s">
        <v>4469</v>
      </c>
      <c r="G3331" s="2" t="s">
        <v>4415</v>
      </c>
    </row>
    <row r="3332">
      <c r="A3332" s="2" t="s">
        <v>4416</v>
      </c>
      <c r="B3332" s="2" t="s">
        <v>4470</v>
      </c>
      <c r="G3332" s="2" t="s">
        <v>4415</v>
      </c>
    </row>
    <row r="3333">
      <c r="A3333" s="2" t="s">
        <v>4416</v>
      </c>
      <c r="B3333" s="2" t="s">
        <v>4471</v>
      </c>
      <c r="G3333" s="2" t="s">
        <v>4415</v>
      </c>
    </row>
    <row r="3334">
      <c r="A3334" s="2" t="s">
        <v>4416</v>
      </c>
      <c r="B3334" s="2" t="s">
        <v>4472</v>
      </c>
      <c r="G3334" s="2" t="s">
        <v>4415</v>
      </c>
    </row>
    <row r="3335">
      <c r="A3335" s="2" t="s">
        <v>4416</v>
      </c>
      <c r="B3335" s="2" t="s">
        <v>4473</v>
      </c>
      <c r="G3335" s="2" t="s">
        <v>4415</v>
      </c>
    </row>
    <row r="3336">
      <c r="A3336" s="2" t="s">
        <v>4416</v>
      </c>
      <c r="B3336" s="2" t="s">
        <v>4474</v>
      </c>
      <c r="G3336" s="2" t="s">
        <v>4415</v>
      </c>
    </row>
    <row r="3337">
      <c r="A3337" s="2" t="s">
        <v>4416</v>
      </c>
      <c r="B3337" s="2" t="s">
        <v>4475</v>
      </c>
      <c r="G3337" s="2" t="s">
        <v>4415</v>
      </c>
    </row>
    <row r="3338">
      <c r="A3338" s="2" t="s">
        <v>4416</v>
      </c>
      <c r="B3338" s="2" t="s">
        <v>4476</v>
      </c>
      <c r="G3338" s="2" t="s">
        <v>4415</v>
      </c>
    </row>
    <row r="3339">
      <c r="A3339" s="2" t="s">
        <v>4416</v>
      </c>
      <c r="B3339" s="2" t="s">
        <v>4477</v>
      </c>
      <c r="G3339" s="2" t="s">
        <v>4415</v>
      </c>
    </row>
    <row r="3340">
      <c r="A3340" s="2" t="s">
        <v>4416</v>
      </c>
      <c r="B3340" s="2" t="s">
        <v>4478</v>
      </c>
      <c r="G3340" s="2" t="s">
        <v>4415</v>
      </c>
    </row>
    <row r="3341">
      <c r="A3341" s="2" t="s">
        <v>4416</v>
      </c>
      <c r="B3341" s="2" t="s">
        <v>4479</v>
      </c>
      <c r="G3341" s="2" t="s">
        <v>4415</v>
      </c>
    </row>
    <row r="3342">
      <c r="A3342" s="2" t="s">
        <v>4416</v>
      </c>
      <c r="B3342" s="2" t="s">
        <v>4480</v>
      </c>
      <c r="G3342" s="2" t="s">
        <v>4415</v>
      </c>
    </row>
    <row r="3343">
      <c r="A3343" s="2" t="s">
        <v>4416</v>
      </c>
      <c r="B3343" s="2" t="s">
        <v>4481</v>
      </c>
      <c r="G3343" s="2" t="s">
        <v>4415</v>
      </c>
    </row>
    <row r="3344">
      <c r="A3344" s="2" t="s">
        <v>4416</v>
      </c>
      <c r="B3344" s="2" t="s">
        <v>4482</v>
      </c>
      <c r="G3344" s="2" t="s">
        <v>4415</v>
      </c>
    </row>
    <row r="3345">
      <c r="A3345" s="2" t="s">
        <v>4416</v>
      </c>
      <c r="B3345" s="2" t="s">
        <v>4483</v>
      </c>
      <c r="G3345" s="2" t="s">
        <v>4415</v>
      </c>
    </row>
    <row r="3346">
      <c r="A3346" s="2" t="s">
        <v>4416</v>
      </c>
      <c r="B3346" s="2" t="s">
        <v>4484</v>
      </c>
      <c r="G3346" s="2" t="s">
        <v>4415</v>
      </c>
    </row>
    <row r="3347">
      <c r="A3347" s="2" t="s">
        <v>4416</v>
      </c>
      <c r="B3347" s="2" t="s">
        <v>4485</v>
      </c>
      <c r="G3347" s="2" t="s">
        <v>4415</v>
      </c>
    </row>
    <row r="3348">
      <c r="A3348" s="2" t="s">
        <v>4416</v>
      </c>
      <c r="B3348" s="2" t="s">
        <v>4486</v>
      </c>
      <c r="G3348" s="2" t="s">
        <v>4415</v>
      </c>
    </row>
    <row r="3349">
      <c r="A3349" s="2" t="s">
        <v>4416</v>
      </c>
      <c r="B3349" s="2" t="s">
        <v>4487</v>
      </c>
      <c r="G3349" s="2" t="s">
        <v>4415</v>
      </c>
    </row>
    <row r="3350">
      <c r="A3350" s="2" t="s">
        <v>4416</v>
      </c>
      <c r="B3350" s="2" t="s">
        <v>4488</v>
      </c>
      <c r="G3350" s="2" t="s">
        <v>4415</v>
      </c>
    </row>
    <row r="3351">
      <c r="A3351" s="2" t="s">
        <v>4416</v>
      </c>
      <c r="B3351" s="2" t="s">
        <v>4490</v>
      </c>
      <c r="G3351" s="2" t="s">
        <v>4415</v>
      </c>
    </row>
    <row r="3352">
      <c r="A3352" s="2" t="s">
        <v>4416</v>
      </c>
      <c r="B3352" s="2" t="s">
        <v>4491</v>
      </c>
      <c r="G3352" s="2" t="s">
        <v>4415</v>
      </c>
    </row>
    <row r="3353">
      <c r="A3353" s="2" t="s">
        <v>4416</v>
      </c>
      <c r="B3353" s="2" t="s">
        <v>4492</v>
      </c>
      <c r="G3353" s="2" t="s">
        <v>4415</v>
      </c>
    </row>
    <row r="3354">
      <c r="A3354" s="2" t="s">
        <v>4416</v>
      </c>
      <c r="B3354" s="2" t="s">
        <v>4493</v>
      </c>
      <c r="G3354" s="2" t="s">
        <v>4415</v>
      </c>
    </row>
    <row r="3355">
      <c r="A3355" s="2" t="s">
        <v>4416</v>
      </c>
      <c r="B3355" s="2" t="s">
        <v>4494</v>
      </c>
      <c r="G3355" s="2" t="s">
        <v>4415</v>
      </c>
    </row>
    <row r="3356">
      <c r="A3356" s="2" t="s">
        <v>4416</v>
      </c>
      <c r="B3356" s="2" t="s">
        <v>4495</v>
      </c>
      <c r="G3356" s="2" t="s">
        <v>4415</v>
      </c>
    </row>
    <row r="3357">
      <c r="A3357" s="2" t="s">
        <v>4416</v>
      </c>
      <c r="B3357" s="2" t="s">
        <v>4496</v>
      </c>
      <c r="G3357" s="2" t="s">
        <v>4415</v>
      </c>
    </row>
    <row r="3358">
      <c r="A3358" s="2" t="s">
        <v>4416</v>
      </c>
      <c r="B3358" s="2" t="s">
        <v>4497</v>
      </c>
      <c r="G3358" s="2" t="s">
        <v>4415</v>
      </c>
    </row>
    <row r="3359">
      <c r="A3359" s="2" t="s">
        <v>4416</v>
      </c>
      <c r="B3359" s="2" t="s">
        <v>4499</v>
      </c>
      <c r="G3359" s="2" t="s">
        <v>4415</v>
      </c>
    </row>
    <row r="3360">
      <c r="A3360" s="2" t="s">
        <v>4416</v>
      </c>
      <c r="B3360" s="2" t="s">
        <v>4501</v>
      </c>
      <c r="G3360" s="2" t="s">
        <v>4415</v>
      </c>
    </row>
    <row r="3361">
      <c r="A3361" s="2" t="s">
        <v>4416</v>
      </c>
      <c r="B3361" s="2" t="s">
        <v>4502</v>
      </c>
      <c r="G3361" s="2" t="s">
        <v>4415</v>
      </c>
    </row>
    <row r="3362">
      <c r="A3362" s="2" t="s">
        <v>4416</v>
      </c>
      <c r="B3362" s="2" t="s">
        <v>4503</v>
      </c>
      <c r="G3362" s="2" t="s">
        <v>4415</v>
      </c>
    </row>
    <row r="3363">
      <c r="A3363" s="2" t="s">
        <v>4416</v>
      </c>
      <c r="B3363" s="2" t="s">
        <v>4504</v>
      </c>
      <c r="G3363" s="2" t="s">
        <v>4415</v>
      </c>
    </row>
    <row r="3364">
      <c r="A3364" s="2" t="s">
        <v>4416</v>
      </c>
      <c r="B3364" s="2" t="s">
        <v>4505</v>
      </c>
      <c r="G3364" s="2" t="s">
        <v>4415</v>
      </c>
    </row>
    <row r="3365">
      <c r="A3365" s="2" t="s">
        <v>4416</v>
      </c>
      <c r="B3365" s="2" t="s">
        <v>4506</v>
      </c>
      <c r="G3365" s="2" t="s">
        <v>4415</v>
      </c>
    </row>
    <row r="3366">
      <c r="A3366" s="2" t="s">
        <v>4416</v>
      </c>
      <c r="B3366" s="2" t="s">
        <v>4507</v>
      </c>
      <c r="G3366" s="2" t="s">
        <v>4415</v>
      </c>
    </row>
    <row r="3367">
      <c r="A3367" s="2" t="s">
        <v>4416</v>
      </c>
      <c r="B3367" s="2" t="s">
        <v>4508</v>
      </c>
      <c r="G3367" s="2" t="s">
        <v>4415</v>
      </c>
    </row>
    <row r="3368">
      <c r="A3368" s="2" t="s">
        <v>4416</v>
      </c>
      <c r="B3368" s="2" t="s">
        <v>4509</v>
      </c>
      <c r="G3368" s="2" t="s">
        <v>4415</v>
      </c>
    </row>
    <row r="3369">
      <c r="A3369" s="2" t="s">
        <v>4416</v>
      </c>
      <c r="B3369" s="2" t="s">
        <v>4510</v>
      </c>
      <c r="G3369" s="2" t="s">
        <v>4415</v>
      </c>
    </row>
    <row r="3370">
      <c r="A3370" s="2" t="s">
        <v>4416</v>
      </c>
      <c r="B3370" s="2" t="s">
        <v>4511</v>
      </c>
      <c r="G3370" s="2" t="s">
        <v>4415</v>
      </c>
    </row>
    <row r="3371">
      <c r="A3371" s="2" t="s">
        <v>4416</v>
      </c>
      <c r="B3371" s="2" t="s">
        <v>4512</v>
      </c>
      <c r="G3371" s="2" t="s">
        <v>4415</v>
      </c>
    </row>
    <row r="3372">
      <c r="A3372" s="2" t="s">
        <v>4416</v>
      </c>
      <c r="B3372" s="2" t="s">
        <v>4513</v>
      </c>
      <c r="G3372" s="2" t="s">
        <v>4415</v>
      </c>
    </row>
    <row r="3373">
      <c r="A3373" s="2" t="s">
        <v>4416</v>
      </c>
      <c r="B3373" s="2" t="s">
        <v>4514</v>
      </c>
      <c r="G3373" s="2" t="s">
        <v>4415</v>
      </c>
    </row>
    <row r="3374">
      <c r="A3374" s="2" t="s">
        <v>4416</v>
      </c>
      <c r="B3374" s="2" t="s">
        <v>4515</v>
      </c>
      <c r="G3374" s="2" t="s">
        <v>4415</v>
      </c>
    </row>
    <row r="3375">
      <c r="A3375" s="2" t="s">
        <v>4416</v>
      </c>
      <c r="B3375" s="2" t="s">
        <v>4516</v>
      </c>
      <c r="G3375" s="2" t="s">
        <v>4415</v>
      </c>
    </row>
    <row r="3376">
      <c r="A3376" s="2" t="s">
        <v>4416</v>
      </c>
      <c r="B3376" s="2" t="s">
        <v>4517</v>
      </c>
      <c r="G3376" s="2" t="s">
        <v>4415</v>
      </c>
    </row>
    <row r="3377">
      <c r="A3377" s="2" t="s">
        <v>4416</v>
      </c>
      <c r="B3377" s="2" t="s">
        <v>4519</v>
      </c>
      <c r="G3377" s="2" t="s">
        <v>4415</v>
      </c>
    </row>
    <row r="3378">
      <c r="A3378" s="2" t="s">
        <v>4416</v>
      </c>
      <c r="B3378" s="2" t="s">
        <v>4520</v>
      </c>
      <c r="G3378" s="2" t="s">
        <v>4415</v>
      </c>
    </row>
    <row r="3379">
      <c r="A3379" s="2" t="s">
        <v>4416</v>
      </c>
      <c r="B3379" s="2" t="s">
        <v>4521</v>
      </c>
      <c r="G3379" s="2" t="s">
        <v>4415</v>
      </c>
    </row>
    <row r="3380">
      <c r="A3380" s="2" t="s">
        <v>4416</v>
      </c>
      <c r="B3380" s="2" t="s">
        <v>4522</v>
      </c>
      <c r="G3380" s="2" t="s">
        <v>4415</v>
      </c>
    </row>
    <row r="3381">
      <c r="A3381" s="2" t="s">
        <v>4416</v>
      </c>
      <c r="B3381" s="2" t="s">
        <v>4523</v>
      </c>
      <c r="G3381" s="2" t="s">
        <v>4415</v>
      </c>
    </row>
    <row r="3382">
      <c r="A3382" s="2" t="s">
        <v>4416</v>
      </c>
      <c r="B3382" s="2" t="s">
        <v>4524</v>
      </c>
      <c r="G3382" s="2" t="s">
        <v>4415</v>
      </c>
    </row>
    <row r="3383">
      <c r="A3383" s="2" t="s">
        <v>4416</v>
      </c>
      <c r="B3383" s="2" t="s">
        <v>4525</v>
      </c>
      <c r="G3383" s="2" t="s">
        <v>4415</v>
      </c>
    </row>
    <row r="3384">
      <c r="A3384" s="2" t="s">
        <v>4416</v>
      </c>
      <c r="B3384" s="2" t="s">
        <v>4526</v>
      </c>
      <c r="G3384" s="2" t="s">
        <v>4415</v>
      </c>
    </row>
    <row r="3385">
      <c r="A3385" s="2" t="s">
        <v>4416</v>
      </c>
      <c r="B3385" s="2" t="s">
        <v>4527</v>
      </c>
      <c r="G3385" s="2" t="s">
        <v>4415</v>
      </c>
    </row>
    <row r="3386">
      <c r="A3386" s="2" t="s">
        <v>4416</v>
      </c>
      <c r="B3386" s="2" t="s">
        <v>4528</v>
      </c>
      <c r="G3386" s="2" t="s">
        <v>4415</v>
      </c>
    </row>
    <row r="3387">
      <c r="A3387" s="2" t="s">
        <v>4416</v>
      </c>
      <c r="B3387" s="2" t="s">
        <v>4529</v>
      </c>
      <c r="G3387" s="2" t="s">
        <v>4415</v>
      </c>
    </row>
    <row r="3388">
      <c r="A3388" s="2" t="s">
        <v>4416</v>
      </c>
      <c r="B3388" s="2" t="s">
        <v>4530</v>
      </c>
      <c r="G3388" s="2" t="s">
        <v>4415</v>
      </c>
    </row>
    <row r="3389">
      <c r="A3389" s="2" t="s">
        <v>4416</v>
      </c>
      <c r="B3389" s="2" t="s">
        <v>4531</v>
      </c>
      <c r="G3389" s="2" t="s">
        <v>4415</v>
      </c>
    </row>
    <row r="3390">
      <c r="A3390" s="2" t="s">
        <v>4416</v>
      </c>
      <c r="B3390" s="2" t="s">
        <v>4532</v>
      </c>
      <c r="G3390" s="2" t="s">
        <v>4415</v>
      </c>
    </row>
    <row r="3391">
      <c r="A3391" s="2" t="s">
        <v>4416</v>
      </c>
      <c r="B3391" s="2" t="s">
        <v>4533</v>
      </c>
      <c r="G3391" s="2" t="s">
        <v>4415</v>
      </c>
    </row>
    <row r="3392">
      <c r="A3392" s="2" t="s">
        <v>4416</v>
      </c>
      <c r="B3392" s="2" t="s">
        <v>4534</v>
      </c>
      <c r="G3392" s="2" t="s">
        <v>4415</v>
      </c>
    </row>
    <row r="3393">
      <c r="A3393" s="2" t="s">
        <v>4416</v>
      </c>
      <c r="B3393" s="2" t="s">
        <v>4535</v>
      </c>
      <c r="G3393" s="2" t="s">
        <v>4415</v>
      </c>
    </row>
    <row r="3394">
      <c r="A3394" s="2" t="s">
        <v>4416</v>
      </c>
      <c r="B3394" s="2" t="s">
        <v>4536</v>
      </c>
      <c r="G3394" s="2" t="s">
        <v>4415</v>
      </c>
    </row>
    <row r="3395">
      <c r="A3395" s="2" t="s">
        <v>4416</v>
      </c>
      <c r="B3395" s="2" t="s">
        <v>4537</v>
      </c>
      <c r="G3395" s="2" t="s">
        <v>4415</v>
      </c>
    </row>
    <row r="3396">
      <c r="A3396" s="2" t="s">
        <v>4416</v>
      </c>
      <c r="B3396" s="2" t="s">
        <v>4538</v>
      </c>
      <c r="G3396" s="2" t="s">
        <v>4415</v>
      </c>
    </row>
    <row r="3397">
      <c r="A3397" s="2" t="s">
        <v>4416</v>
      </c>
      <c r="B3397" s="2" t="s">
        <v>4539</v>
      </c>
      <c r="G3397" s="2" t="s">
        <v>4415</v>
      </c>
    </row>
    <row r="3398">
      <c r="A3398" s="2" t="s">
        <v>4416</v>
      </c>
      <c r="B3398" s="2" t="s">
        <v>4540</v>
      </c>
      <c r="G3398" s="2" t="s">
        <v>4415</v>
      </c>
    </row>
    <row r="3399">
      <c r="A3399" s="2" t="s">
        <v>4416</v>
      </c>
      <c r="B3399" s="2" t="s">
        <v>4541</v>
      </c>
      <c r="G3399" s="2" t="s">
        <v>4415</v>
      </c>
    </row>
    <row r="3400">
      <c r="A3400" s="2" t="s">
        <v>4416</v>
      </c>
      <c r="B3400" s="2" t="s">
        <v>4542</v>
      </c>
      <c r="G3400" s="2" t="s">
        <v>4415</v>
      </c>
    </row>
    <row r="3401">
      <c r="A3401" s="2" t="s">
        <v>4416</v>
      </c>
      <c r="B3401" s="2" t="s">
        <v>4543</v>
      </c>
      <c r="G3401" s="2" t="s">
        <v>4415</v>
      </c>
    </row>
    <row r="3402">
      <c r="A3402" s="2" t="s">
        <v>4416</v>
      </c>
      <c r="B3402" s="2" t="s">
        <v>4544</v>
      </c>
      <c r="G3402" s="2" t="s">
        <v>4415</v>
      </c>
    </row>
    <row r="3403">
      <c r="A3403" s="2" t="s">
        <v>4416</v>
      </c>
      <c r="B3403" s="2" t="s">
        <v>4545</v>
      </c>
      <c r="G3403" s="2" t="s">
        <v>4415</v>
      </c>
    </row>
    <row r="3404">
      <c r="A3404" s="2" t="s">
        <v>4416</v>
      </c>
      <c r="B3404" s="2" t="s">
        <v>4546</v>
      </c>
      <c r="G3404" s="2" t="s">
        <v>4415</v>
      </c>
    </row>
    <row r="3405">
      <c r="A3405" s="2" t="s">
        <v>4416</v>
      </c>
      <c r="B3405" s="2" t="s">
        <v>4547</v>
      </c>
      <c r="G3405" s="2" t="s">
        <v>4415</v>
      </c>
    </row>
    <row r="3406">
      <c r="A3406" s="2" t="s">
        <v>4416</v>
      </c>
      <c r="B3406" s="2" t="s">
        <v>4548</v>
      </c>
      <c r="G3406" s="2" t="s">
        <v>4415</v>
      </c>
    </row>
    <row r="3407">
      <c r="A3407" s="2" t="s">
        <v>4416</v>
      </c>
      <c r="B3407" s="2" t="s">
        <v>4549</v>
      </c>
      <c r="G3407" s="2" t="s">
        <v>4415</v>
      </c>
    </row>
    <row r="3408">
      <c r="A3408" s="2" t="s">
        <v>4416</v>
      </c>
      <c r="B3408" s="2" t="s">
        <v>4551</v>
      </c>
      <c r="G3408" s="2" t="s">
        <v>4415</v>
      </c>
    </row>
    <row r="3409">
      <c r="A3409" s="2" t="s">
        <v>4416</v>
      </c>
      <c r="B3409" s="2" t="s">
        <v>4552</v>
      </c>
      <c r="G3409" s="2" t="s">
        <v>4415</v>
      </c>
    </row>
    <row r="3410">
      <c r="A3410" s="2" t="s">
        <v>4416</v>
      </c>
      <c r="B3410" s="2" t="s">
        <v>4553</v>
      </c>
      <c r="G3410" s="2" t="s">
        <v>4415</v>
      </c>
    </row>
    <row r="3411">
      <c r="A3411" s="2" t="s">
        <v>4416</v>
      </c>
      <c r="B3411" s="2" t="s">
        <v>4554</v>
      </c>
      <c r="G3411" s="2" t="s">
        <v>4415</v>
      </c>
    </row>
    <row r="3412">
      <c r="A3412" s="2" t="s">
        <v>4416</v>
      </c>
      <c r="B3412" s="2" t="s">
        <v>4555</v>
      </c>
      <c r="G3412" s="2" t="s">
        <v>4415</v>
      </c>
    </row>
    <row r="3413">
      <c r="A3413" s="2" t="s">
        <v>4416</v>
      </c>
      <c r="B3413" s="2" t="s">
        <v>4556</v>
      </c>
      <c r="G3413" s="2" t="s">
        <v>4415</v>
      </c>
    </row>
    <row r="3414">
      <c r="A3414" s="2" t="s">
        <v>4416</v>
      </c>
      <c r="B3414" s="2" t="s">
        <v>4557</v>
      </c>
      <c r="G3414" s="2" t="s">
        <v>4415</v>
      </c>
    </row>
    <row r="3415">
      <c r="A3415" s="2" t="s">
        <v>4416</v>
      </c>
      <c r="B3415" s="2" t="s">
        <v>4558</v>
      </c>
      <c r="G3415" s="2" t="s">
        <v>4415</v>
      </c>
    </row>
    <row r="3416">
      <c r="A3416" s="2" t="s">
        <v>4416</v>
      </c>
      <c r="B3416" s="2" t="s">
        <v>4559</v>
      </c>
      <c r="G3416" s="2" t="s">
        <v>4415</v>
      </c>
    </row>
    <row r="3417">
      <c r="A3417" s="2" t="s">
        <v>4416</v>
      </c>
      <c r="B3417" s="2" t="s">
        <v>4561</v>
      </c>
      <c r="G3417" s="2" t="s">
        <v>4415</v>
      </c>
    </row>
    <row r="3418">
      <c r="A3418" s="2" t="s">
        <v>4416</v>
      </c>
      <c r="B3418" s="2" t="s">
        <v>4563</v>
      </c>
      <c r="G3418" s="2" t="s">
        <v>4415</v>
      </c>
    </row>
    <row r="3419">
      <c r="A3419" s="2" t="s">
        <v>4416</v>
      </c>
      <c r="B3419" s="2" t="s">
        <v>4564</v>
      </c>
      <c r="G3419" s="2" t="s">
        <v>4415</v>
      </c>
    </row>
    <row r="3420">
      <c r="A3420" s="2" t="s">
        <v>4416</v>
      </c>
      <c r="B3420" s="2" t="s">
        <v>4565</v>
      </c>
      <c r="G3420" s="2" t="s">
        <v>4415</v>
      </c>
    </row>
    <row r="3421">
      <c r="A3421" s="2" t="s">
        <v>4416</v>
      </c>
      <c r="B3421" s="2" t="s">
        <v>4566</v>
      </c>
      <c r="G3421" s="2" t="s">
        <v>4415</v>
      </c>
    </row>
    <row r="3422">
      <c r="A3422" s="2" t="s">
        <v>4416</v>
      </c>
      <c r="B3422" s="2" t="s">
        <v>4567</v>
      </c>
      <c r="G3422" s="2" t="s">
        <v>4415</v>
      </c>
    </row>
    <row r="3423">
      <c r="A3423" s="2" t="s">
        <v>4416</v>
      </c>
      <c r="B3423" s="2" t="s">
        <v>4568</v>
      </c>
      <c r="G3423" s="2" t="s">
        <v>4415</v>
      </c>
    </row>
    <row r="3424">
      <c r="A3424" s="2" t="s">
        <v>4416</v>
      </c>
      <c r="B3424" s="2" t="s">
        <v>4569</v>
      </c>
      <c r="G3424" s="2" t="s">
        <v>4415</v>
      </c>
    </row>
    <row r="3425">
      <c r="A3425" s="2" t="s">
        <v>4416</v>
      </c>
      <c r="B3425" s="2" t="s">
        <v>4570</v>
      </c>
      <c r="G3425" s="2" t="s">
        <v>4415</v>
      </c>
    </row>
    <row r="3426">
      <c r="A3426" s="2" t="s">
        <v>4416</v>
      </c>
      <c r="B3426" s="2" t="s">
        <v>4571</v>
      </c>
      <c r="G3426" s="2" t="s">
        <v>4415</v>
      </c>
    </row>
    <row r="3427">
      <c r="A3427" s="2" t="s">
        <v>4416</v>
      </c>
      <c r="B3427" s="2" t="s">
        <v>4572</v>
      </c>
      <c r="G3427" s="2" t="s">
        <v>4415</v>
      </c>
    </row>
    <row r="3428">
      <c r="A3428" s="2" t="s">
        <v>4416</v>
      </c>
      <c r="B3428" s="2" t="s">
        <v>4573</v>
      </c>
      <c r="G3428" s="2" t="s">
        <v>4415</v>
      </c>
    </row>
    <row r="3429">
      <c r="A3429" s="2" t="s">
        <v>4416</v>
      </c>
      <c r="B3429" s="2" t="s">
        <v>4574</v>
      </c>
      <c r="G3429" s="2" t="s">
        <v>4415</v>
      </c>
    </row>
    <row r="3430">
      <c r="A3430" s="2" t="s">
        <v>4416</v>
      </c>
      <c r="B3430" s="2" t="s">
        <v>4575</v>
      </c>
      <c r="G3430" s="2" t="s">
        <v>4415</v>
      </c>
    </row>
    <row r="3431">
      <c r="A3431" s="2" t="s">
        <v>4416</v>
      </c>
      <c r="B3431" s="2" t="s">
        <v>4576</v>
      </c>
      <c r="G3431" s="2" t="s">
        <v>4415</v>
      </c>
    </row>
    <row r="3432">
      <c r="A3432" s="2" t="s">
        <v>4416</v>
      </c>
      <c r="B3432" s="2" t="s">
        <v>4577</v>
      </c>
      <c r="G3432" s="2" t="s">
        <v>4415</v>
      </c>
    </row>
    <row r="3433">
      <c r="A3433" s="2" t="s">
        <v>4416</v>
      </c>
      <c r="B3433" s="2" t="s">
        <v>4578</v>
      </c>
      <c r="G3433" s="2" t="s">
        <v>4415</v>
      </c>
    </row>
    <row r="3434">
      <c r="A3434" s="2" t="s">
        <v>4416</v>
      </c>
      <c r="B3434" s="2" t="s">
        <v>4579</v>
      </c>
      <c r="G3434" s="2" t="s">
        <v>4415</v>
      </c>
    </row>
    <row r="3435">
      <c r="A3435" s="2" t="s">
        <v>4416</v>
      </c>
      <c r="B3435" s="2" t="s">
        <v>4580</v>
      </c>
      <c r="G3435" s="2" t="s">
        <v>4415</v>
      </c>
    </row>
    <row r="3436">
      <c r="A3436" s="2" t="s">
        <v>4416</v>
      </c>
      <c r="B3436" s="2" t="s">
        <v>4581</v>
      </c>
      <c r="G3436" s="2" t="s">
        <v>4415</v>
      </c>
    </row>
    <row r="3437">
      <c r="A3437" s="2" t="s">
        <v>4416</v>
      </c>
      <c r="B3437" s="2" t="s">
        <v>4582</v>
      </c>
      <c r="G3437" s="2" t="s">
        <v>4415</v>
      </c>
    </row>
    <row r="3438">
      <c r="A3438" s="2" t="s">
        <v>4416</v>
      </c>
      <c r="B3438" s="2" t="s">
        <v>4583</v>
      </c>
      <c r="G3438" s="2" t="s">
        <v>4415</v>
      </c>
    </row>
    <row r="3439">
      <c r="A3439" s="2" t="s">
        <v>4416</v>
      </c>
      <c r="B3439" s="2" t="s">
        <v>4584</v>
      </c>
      <c r="G3439" s="2" t="s">
        <v>4415</v>
      </c>
    </row>
    <row r="3440">
      <c r="A3440" s="2" t="s">
        <v>4416</v>
      </c>
      <c r="B3440" s="2" t="s">
        <v>4585</v>
      </c>
      <c r="G3440" s="2" t="s">
        <v>4415</v>
      </c>
    </row>
    <row r="3441">
      <c r="A3441" s="2" t="s">
        <v>4416</v>
      </c>
      <c r="B3441" s="2" t="s">
        <v>4586</v>
      </c>
      <c r="G3441" s="2" t="s">
        <v>4415</v>
      </c>
    </row>
    <row r="3442">
      <c r="A3442" s="2" t="s">
        <v>4416</v>
      </c>
      <c r="B3442" s="2" t="s">
        <v>4587</v>
      </c>
      <c r="G3442" s="2" t="s">
        <v>4415</v>
      </c>
    </row>
    <row r="3443">
      <c r="A3443" s="2" t="s">
        <v>4416</v>
      </c>
      <c r="B3443" s="2" t="s">
        <v>4588</v>
      </c>
      <c r="G3443" s="2" t="s">
        <v>4415</v>
      </c>
    </row>
    <row r="3444">
      <c r="A3444" s="2" t="s">
        <v>4416</v>
      </c>
      <c r="B3444" s="2" t="s">
        <v>4589</v>
      </c>
      <c r="G3444" s="2" t="s">
        <v>4415</v>
      </c>
    </row>
    <row r="3445">
      <c r="A3445" s="2" t="s">
        <v>4416</v>
      </c>
      <c r="B3445" s="2" t="s">
        <v>4590</v>
      </c>
      <c r="G3445" s="2" t="s">
        <v>4415</v>
      </c>
    </row>
    <row r="3446">
      <c r="A3446" s="2" t="s">
        <v>4416</v>
      </c>
      <c r="B3446" s="2" t="s">
        <v>4591</v>
      </c>
      <c r="G3446" s="2" t="s">
        <v>4415</v>
      </c>
    </row>
    <row r="3447">
      <c r="A3447" s="2" t="s">
        <v>4416</v>
      </c>
      <c r="B3447" s="2" t="s">
        <v>4592</v>
      </c>
      <c r="G3447" s="2" t="s">
        <v>4415</v>
      </c>
    </row>
    <row r="3448">
      <c r="A3448" s="2" t="s">
        <v>4416</v>
      </c>
      <c r="B3448" s="2" t="s">
        <v>4593</v>
      </c>
      <c r="G3448" s="2" t="s">
        <v>4415</v>
      </c>
    </row>
    <row r="3449">
      <c r="A3449" s="2" t="s">
        <v>4416</v>
      </c>
      <c r="B3449" s="2" t="s">
        <v>4594</v>
      </c>
      <c r="G3449" s="2" t="s">
        <v>4415</v>
      </c>
    </row>
    <row r="3450">
      <c r="A3450" s="2" t="s">
        <v>4416</v>
      </c>
      <c r="B3450" s="2" t="s">
        <v>4595</v>
      </c>
      <c r="G3450" s="2" t="s">
        <v>4415</v>
      </c>
    </row>
    <row r="3451">
      <c r="A3451" s="2" t="s">
        <v>4416</v>
      </c>
      <c r="B3451" s="2" t="s">
        <v>4596</v>
      </c>
      <c r="G3451" s="2" t="s">
        <v>4415</v>
      </c>
    </row>
    <row r="3452">
      <c r="A3452" s="2" t="s">
        <v>4416</v>
      </c>
      <c r="B3452" s="2" t="s">
        <v>4597</v>
      </c>
      <c r="G3452" s="2" t="s">
        <v>4415</v>
      </c>
    </row>
    <row r="3453">
      <c r="A3453" s="2" t="s">
        <v>4416</v>
      </c>
      <c r="B3453" s="2" t="s">
        <v>4598</v>
      </c>
      <c r="G3453" s="2" t="s">
        <v>4415</v>
      </c>
    </row>
    <row r="3454">
      <c r="A3454" s="2" t="s">
        <v>4416</v>
      </c>
      <c r="B3454" s="2" t="s">
        <v>4599</v>
      </c>
      <c r="G3454" s="2" t="s">
        <v>4415</v>
      </c>
    </row>
    <row r="3455">
      <c r="A3455" s="2" t="s">
        <v>4416</v>
      </c>
      <c r="B3455" s="2" t="s">
        <v>4600</v>
      </c>
      <c r="G3455" s="2" t="s">
        <v>4415</v>
      </c>
    </row>
    <row r="3456">
      <c r="A3456" s="2" t="s">
        <v>4416</v>
      </c>
      <c r="B3456" s="2" t="s">
        <v>4601</v>
      </c>
      <c r="G3456" s="2" t="s">
        <v>4415</v>
      </c>
    </row>
    <row r="3457">
      <c r="A3457" s="2" t="s">
        <v>4416</v>
      </c>
      <c r="B3457" s="2" t="s">
        <v>4602</v>
      </c>
      <c r="G3457" s="2" t="s">
        <v>4415</v>
      </c>
    </row>
    <row r="3458">
      <c r="A3458" s="2" t="s">
        <v>4416</v>
      </c>
      <c r="B3458" s="2" t="s">
        <v>4603</v>
      </c>
      <c r="G3458" s="2" t="s">
        <v>4415</v>
      </c>
    </row>
    <row r="3459">
      <c r="A3459" s="2" t="s">
        <v>4416</v>
      </c>
      <c r="B3459" s="2" t="s">
        <v>4604</v>
      </c>
      <c r="G3459" s="2" t="s">
        <v>4415</v>
      </c>
    </row>
    <row r="3460">
      <c r="A3460" s="2" t="s">
        <v>4416</v>
      </c>
      <c r="B3460" s="2" t="s">
        <v>4605</v>
      </c>
      <c r="G3460" s="2" t="s">
        <v>4415</v>
      </c>
    </row>
    <row r="3461">
      <c r="A3461" s="2" t="s">
        <v>4416</v>
      </c>
      <c r="B3461" s="2" t="s">
        <v>4606</v>
      </c>
      <c r="G3461" s="2" t="s">
        <v>4415</v>
      </c>
    </row>
    <row r="3462">
      <c r="A3462" s="2" t="s">
        <v>4416</v>
      </c>
      <c r="B3462" s="2" t="s">
        <v>4607</v>
      </c>
      <c r="G3462" s="2" t="s">
        <v>4415</v>
      </c>
    </row>
    <row r="3463">
      <c r="A3463" s="2" t="s">
        <v>4416</v>
      </c>
      <c r="B3463" s="2" t="s">
        <v>4608</v>
      </c>
      <c r="G3463" s="2" t="s">
        <v>4415</v>
      </c>
    </row>
    <row r="3464">
      <c r="A3464" s="2" t="s">
        <v>4416</v>
      </c>
      <c r="B3464" s="2" t="s">
        <v>4609</v>
      </c>
      <c r="G3464" s="2" t="s">
        <v>4415</v>
      </c>
    </row>
    <row r="3465">
      <c r="A3465" s="2" t="s">
        <v>4416</v>
      </c>
      <c r="B3465" s="2" t="s">
        <v>4610</v>
      </c>
      <c r="G3465" s="2" t="s">
        <v>4415</v>
      </c>
    </row>
    <row r="3466">
      <c r="A3466" s="2" t="s">
        <v>4416</v>
      </c>
      <c r="B3466" s="2" t="s">
        <v>4611</v>
      </c>
      <c r="G3466" s="2" t="s">
        <v>4415</v>
      </c>
    </row>
    <row r="3467">
      <c r="A3467" s="2" t="s">
        <v>4416</v>
      </c>
      <c r="B3467" s="2" t="s">
        <v>4612</v>
      </c>
      <c r="G3467" s="2" t="s">
        <v>4415</v>
      </c>
    </row>
    <row r="3468">
      <c r="A3468" s="2" t="s">
        <v>4416</v>
      </c>
      <c r="B3468" s="2" t="s">
        <v>4613</v>
      </c>
      <c r="G3468" s="2" t="s">
        <v>4415</v>
      </c>
    </row>
    <row r="3469">
      <c r="A3469" s="2" t="s">
        <v>4416</v>
      </c>
      <c r="B3469" s="2" t="s">
        <v>4614</v>
      </c>
      <c r="G3469" s="2" t="s">
        <v>4415</v>
      </c>
    </row>
    <row r="3470">
      <c r="A3470" s="2" t="s">
        <v>4416</v>
      </c>
      <c r="B3470" s="2" t="s">
        <v>4615</v>
      </c>
      <c r="G3470" s="2" t="s">
        <v>4415</v>
      </c>
    </row>
    <row r="3471">
      <c r="A3471" s="2" t="s">
        <v>4416</v>
      </c>
      <c r="B3471" s="2" t="s">
        <v>4616</v>
      </c>
      <c r="G3471" s="2" t="s">
        <v>4415</v>
      </c>
    </row>
    <row r="3472">
      <c r="A3472" s="2" t="s">
        <v>4416</v>
      </c>
      <c r="B3472" s="2" t="s">
        <v>4617</v>
      </c>
      <c r="G3472" s="2" t="s">
        <v>4415</v>
      </c>
    </row>
    <row r="3473">
      <c r="A3473" s="2" t="s">
        <v>4416</v>
      </c>
      <c r="B3473" s="2" t="s">
        <v>4618</v>
      </c>
      <c r="G3473" s="2" t="s">
        <v>4415</v>
      </c>
    </row>
    <row r="3474">
      <c r="A3474" s="2" t="s">
        <v>4416</v>
      </c>
      <c r="B3474" s="2" t="s">
        <v>4619</v>
      </c>
      <c r="G3474" s="2" t="s">
        <v>4415</v>
      </c>
    </row>
    <row r="3475">
      <c r="A3475" s="2" t="s">
        <v>4416</v>
      </c>
      <c r="B3475" s="2" t="s">
        <v>4620</v>
      </c>
      <c r="G3475" s="2" t="s">
        <v>4415</v>
      </c>
    </row>
    <row r="3476">
      <c r="A3476" s="2" t="s">
        <v>4416</v>
      </c>
      <c r="B3476" s="2" t="s">
        <v>4621</v>
      </c>
      <c r="G3476" s="2" t="s">
        <v>4415</v>
      </c>
    </row>
    <row r="3477">
      <c r="A3477" s="2" t="s">
        <v>4416</v>
      </c>
      <c r="B3477" s="2" t="s">
        <v>4622</v>
      </c>
      <c r="G3477" s="2" t="s">
        <v>4415</v>
      </c>
    </row>
    <row r="3478">
      <c r="A3478" s="2" t="s">
        <v>4416</v>
      </c>
      <c r="B3478" s="2" t="s">
        <v>4623</v>
      </c>
      <c r="G3478" s="2" t="s">
        <v>4415</v>
      </c>
    </row>
    <row r="3479">
      <c r="A3479" s="2" t="s">
        <v>4416</v>
      </c>
      <c r="B3479" s="2" t="s">
        <v>4624</v>
      </c>
      <c r="G3479" s="2" t="s">
        <v>4415</v>
      </c>
    </row>
    <row r="3480">
      <c r="A3480" s="2" t="s">
        <v>4416</v>
      </c>
      <c r="B3480" s="2" t="s">
        <v>4625</v>
      </c>
      <c r="G3480" s="2" t="s">
        <v>4415</v>
      </c>
    </row>
    <row r="3481">
      <c r="A3481" s="2" t="s">
        <v>4416</v>
      </c>
      <c r="B3481" s="2" t="s">
        <v>4626</v>
      </c>
      <c r="G3481" s="2" t="s">
        <v>4415</v>
      </c>
    </row>
    <row r="3482">
      <c r="A3482" s="2" t="s">
        <v>4416</v>
      </c>
      <c r="B3482" s="2" t="s">
        <v>4627</v>
      </c>
      <c r="G3482" s="2" t="s">
        <v>4415</v>
      </c>
    </row>
    <row r="3483">
      <c r="A3483" s="2" t="s">
        <v>4416</v>
      </c>
      <c r="B3483" s="2" t="s">
        <v>4628</v>
      </c>
      <c r="G3483" s="2" t="s">
        <v>4415</v>
      </c>
    </row>
    <row r="3484">
      <c r="A3484" s="2" t="s">
        <v>4416</v>
      </c>
      <c r="B3484" s="2" t="s">
        <v>4629</v>
      </c>
      <c r="G3484" s="2" t="s">
        <v>4415</v>
      </c>
    </row>
    <row r="3485">
      <c r="A3485" s="2" t="s">
        <v>4416</v>
      </c>
      <c r="B3485" s="2" t="s">
        <v>4630</v>
      </c>
      <c r="G3485" s="2" t="s">
        <v>4415</v>
      </c>
    </row>
    <row r="3486">
      <c r="A3486" s="2" t="s">
        <v>4416</v>
      </c>
      <c r="B3486" s="2" t="s">
        <v>4631</v>
      </c>
      <c r="G3486" s="2" t="s">
        <v>4415</v>
      </c>
    </row>
    <row r="3487">
      <c r="A3487" s="2" t="s">
        <v>4416</v>
      </c>
      <c r="B3487" s="2" t="s">
        <v>4632</v>
      </c>
      <c r="G3487" s="2" t="s">
        <v>4415</v>
      </c>
    </row>
    <row r="3488">
      <c r="A3488" s="2" t="s">
        <v>4416</v>
      </c>
      <c r="B3488" s="2" t="s">
        <v>4633</v>
      </c>
      <c r="G3488" s="2" t="s">
        <v>4415</v>
      </c>
    </row>
    <row r="3489">
      <c r="A3489" s="2" t="s">
        <v>4416</v>
      </c>
      <c r="B3489" s="2" t="s">
        <v>4634</v>
      </c>
      <c r="G3489" s="2" t="s">
        <v>4415</v>
      </c>
    </row>
    <row r="3490">
      <c r="A3490" s="2" t="s">
        <v>4416</v>
      </c>
      <c r="B3490" s="2" t="s">
        <v>4635</v>
      </c>
      <c r="G3490" s="2" t="s">
        <v>4415</v>
      </c>
    </row>
    <row r="3491">
      <c r="A3491" s="2" t="s">
        <v>4416</v>
      </c>
      <c r="B3491" s="2" t="s">
        <v>4636</v>
      </c>
      <c r="G3491" s="2" t="s">
        <v>4415</v>
      </c>
    </row>
    <row r="3492">
      <c r="A3492" s="2" t="s">
        <v>4416</v>
      </c>
      <c r="B3492" s="2" t="s">
        <v>4637</v>
      </c>
      <c r="G3492" s="2" t="s">
        <v>4415</v>
      </c>
    </row>
    <row r="3493">
      <c r="A3493" s="2" t="s">
        <v>4416</v>
      </c>
      <c r="B3493" s="2" t="s">
        <v>4638</v>
      </c>
      <c r="G3493" s="2" t="s">
        <v>4415</v>
      </c>
    </row>
    <row r="3494">
      <c r="A3494" s="2" t="s">
        <v>4416</v>
      </c>
      <c r="B3494" s="2" t="s">
        <v>4639</v>
      </c>
      <c r="G3494" s="2" t="s">
        <v>4415</v>
      </c>
    </row>
    <row r="3495">
      <c r="A3495" s="2" t="s">
        <v>4416</v>
      </c>
      <c r="B3495" s="2" t="s">
        <v>4641</v>
      </c>
      <c r="G3495" s="2" t="s">
        <v>4415</v>
      </c>
    </row>
    <row r="3496">
      <c r="A3496" s="2" t="s">
        <v>4416</v>
      </c>
      <c r="B3496" s="2" t="s">
        <v>4642</v>
      </c>
      <c r="G3496" s="2" t="s">
        <v>4415</v>
      </c>
    </row>
    <row r="3497">
      <c r="A3497" s="2" t="s">
        <v>4416</v>
      </c>
      <c r="B3497" s="2" t="s">
        <v>4643</v>
      </c>
      <c r="G3497" s="2" t="s">
        <v>4415</v>
      </c>
    </row>
    <row r="3498">
      <c r="A3498" s="2" t="s">
        <v>4416</v>
      </c>
      <c r="B3498" s="2" t="s">
        <v>4644</v>
      </c>
      <c r="G3498" s="2" t="s">
        <v>4415</v>
      </c>
    </row>
    <row r="3499">
      <c r="A3499" s="2" t="s">
        <v>4416</v>
      </c>
      <c r="B3499" s="2" t="s">
        <v>4645</v>
      </c>
      <c r="G3499" s="2" t="s">
        <v>4415</v>
      </c>
    </row>
    <row r="3500">
      <c r="A3500" s="2" t="s">
        <v>4416</v>
      </c>
      <c r="B3500" s="2" t="s">
        <v>4646</v>
      </c>
      <c r="G3500" s="2" t="s">
        <v>4415</v>
      </c>
    </row>
    <row r="3501">
      <c r="A3501" s="2" t="s">
        <v>4416</v>
      </c>
      <c r="B3501" s="2" t="s">
        <v>4647</v>
      </c>
      <c r="G3501" s="2" t="s">
        <v>4415</v>
      </c>
    </row>
    <row r="3502">
      <c r="A3502" s="2" t="s">
        <v>4416</v>
      </c>
      <c r="B3502" s="2" t="s">
        <v>4648</v>
      </c>
      <c r="G3502" s="2" t="s">
        <v>4415</v>
      </c>
    </row>
    <row r="3503">
      <c r="A3503" s="2" t="s">
        <v>4416</v>
      </c>
      <c r="B3503" s="2" t="s">
        <v>4649</v>
      </c>
      <c r="G3503" s="2" t="s">
        <v>4415</v>
      </c>
    </row>
    <row r="3504">
      <c r="A3504" s="2" t="s">
        <v>4416</v>
      </c>
      <c r="B3504" s="2" t="s">
        <v>4650</v>
      </c>
      <c r="G3504" s="2" t="s">
        <v>4415</v>
      </c>
    </row>
    <row r="3505">
      <c r="A3505" s="2" t="s">
        <v>4416</v>
      </c>
      <c r="B3505" s="2" t="s">
        <v>4651</v>
      </c>
      <c r="G3505" s="2" t="s">
        <v>4415</v>
      </c>
    </row>
    <row r="3506">
      <c r="A3506" s="2" t="s">
        <v>4416</v>
      </c>
      <c r="B3506" s="2" t="s">
        <v>4652</v>
      </c>
      <c r="G3506" s="2" t="s">
        <v>4415</v>
      </c>
    </row>
    <row r="3507">
      <c r="A3507" s="2" t="s">
        <v>4416</v>
      </c>
      <c r="B3507" s="2" t="s">
        <v>4653</v>
      </c>
      <c r="G3507" s="2" t="s">
        <v>4415</v>
      </c>
    </row>
    <row r="3508">
      <c r="A3508" s="2" t="s">
        <v>4416</v>
      </c>
      <c r="B3508" s="2" t="s">
        <v>4654</v>
      </c>
      <c r="G3508" s="2" t="s">
        <v>4415</v>
      </c>
    </row>
    <row r="3509">
      <c r="A3509" s="2" t="s">
        <v>4416</v>
      </c>
      <c r="B3509" s="2" t="s">
        <v>4655</v>
      </c>
      <c r="G3509" s="2" t="s">
        <v>4415</v>
      </c>
    </row>
    <row r="3510">
      <c r="A3510" s="2" t="s">
        <v>4416</v>
      </c>
      <c r="B3510" s="2" t="s">
        <v>4656</v>
      </c>
      <c r="G3510" s="2" t="s">
        <v>4415</v>
      </c>
    </row>
    <row r="3511">
      <c r="A3511" s="2" t="s">
        <v>4416</v>
      </c>
      <c r="B3511" s="2" t="s">
        <v>4657</v>
      </c>
      <c r="G3511" s="2" t="s">
        <v>4415</v>
      </c>
    </row>
    <row r="3512">
      <c r="A3512" s="2" t="s">
        <v>4416</v>
      </c>
      <c r="B3512" s="2" t="s">
        <v>4658</v>
      </c>
      <c r="G3512" s="2" t="s">
        <v>4415</v>
      </c>
    </row>
    <row r="3513">
      <c r="A3513" s="2" t="s">
        <v>4416</v>
      </c>
      <c r="B3513" s="2" t="s">
        <v>4659</v>
      </c>
      <c r="G3513" s="2" t="s">
        <v>4415</v>
      </c>
    </row>
    <row r="3514">
      <c r="A3514" s="2" t="s">
        <v>4416</v>
      </c>
      <c r="B3514" s="2" t="s">
        <v>4660</v>
      </c>
      <c r="G3514" s="2" t="s">
        <v>4415</v>
      </c>
    </row>
    <row r="3515">
      <c r="A3515" s="2" t="s">
        <v>4416</v>
      </c>
      <c r="B3515" s="2" t="s">
        <v>4661</v>
      </c>
      <c r="G3515" s="2" t="s">
        <v>4415</v>
      </c>
    </row>
    <row r="3516">
      <c r="A3516" s="2" t="s">
        <v>4416</v>
      </c>
      <c r="B3516" s="2" t="s">
        <v>4662</v>
      </c>
      <c r="G3516" s="2" t="s">
        <v>4415</v>
      </c>
    </row>
    <row r="3517">
      <c r="A3517" s="2" t="s">
        <v>4416</v>
      </c>
      <c r="B3517" s="2" t="s">
        <v>4663</v>
      </c>
      <c r="G3517" s="2" t="s">
        <v>4415</v>
      </c>
    </row>
    <row r="3518">
      <c r="A3518" s="2" t="s">
        <v>4416</v>
      </c>
      <c r="B3518" s="2" t="s">
        <v>4664</v>
      </c>
      <c r="G3518" s="2" t="s">
        <v>4415</v>
      </c>
    </row>
    <row r="3519">
      <c r="A3519" s="2" t="s">
        <v>4416</v>
      </c>
      <c r="B3519" s="2" t="s">
        <v>4665</v>
      </c>
      <c r="G3519" s="2" t="s">
        <v>4415</v>
      </c>
    </row>
    <row r="3520">
      <c r="A3520" s="2" t="s">
        <v>4416</v>
      </c>
      <c r="B3520" s="2" t="s">
        <v>4666</v>
      </c>
      <c r="G3520" s="2" t="s">
        <v>4415</v>
      </c>
    </row>
    <row r="3521">
      <c r="A3521" s="2" t="s">
        <v>4416</v>
      </c>
      <c r="B3521" s="2" t="s">
        <v>4667</v>
      </c>
      <c r="G3521" s="2" t="s">
        <v>4415</v>
      </c>
    </row>
    <row r="3522">
      <c r="A3522" s="2" t="s">
        <v>4416</v>
      </c>
      <c r="B3522" s="2" t="s">
        <v>4668</v>
      </c>
      <c r="G3522" s="2" t="s">
        <v>4415</v>
      </c>
    </row>
    <row r="3523">
      <c r="A3523" s="2" t="s">
        <v>4416</v>
      </c>
      <c r="B3523" s="2" t="s">
        <v>4669</v>
      </c>
      <c r="G3523" s="2" t="s">
        <v>4415</v>
      </c>
    </row>
    <row r="3524">
      <c r="A3524" s="2" t="s">
        <v>4416</v>
      </c>
      <c r="B3524" s="2" t="s">
        <v>4670</v>
      </c>
      <c r="G3524" s="2" t="s">
        <v>4415</v>
      </c>
    </row>
    <row r="3525">
      <c r="A3525" s="2" t="s">
        <v>4416</v>
      </c>
      <c r="B3525" s="2" t="s">
        <v>4671</v>
      </c>
      <c r="G3525" s="2" t="s">
        <v>4415</v>
      </c>
    </row>
    <row r="3526">
      <c r="A3526" s="2" t="s">
        <v>4416</v>
      </c>
      <c r="B3526" s="2" t="s">
        <v>4672</v>
      </c>
      <c r="G3526" s="2" t="s">
        <v>4415</v>
      </c>
    </row>
    <row r="3527">
      <c r="A3527" s="2" t="s">
        <v>4416</v>
      </c>
      <c r="B3527" s="2" t="s">
        <v>4673</v>
      </c>
      <c r="G3527" s="2" t="s">
        <v>4415</v>
      </c>
    </row>
    <row r="3528">
      <c r="A3528" s="2" t="s">
        <v>4416</v>
      </c>
      <c r="B3528" s="2" t="s">
        <v>4674</v>
      </c>
      <c r="G3528" s="2" t="s">
        <v>4415</v>
      </c>
    </row>
    <row r="3529">
      <c r="A3529" s="2" t="s">
        <v>4416</v>
      </c>
      <c r="B3529" s="2" t="s">
        <v>4675</v>
      </c>
      <c r="G3529" s="2" t="s">
        <v>4415</v>
      </c>
    </row>
    <row r="3530">
      <c r="A3530" s="2" t="s">
        <v>4416</v>
      </c>
      <c r="B3530" s="2" t="s">
        <v>4676</v>
      </c>
      <c r="G3530" s="2" t="s">
        <v>4415</v>
      </c>
    </row>
    <row r="3531">
      <c r="A3531" s="2" t="s">
        <v>4416</v>
      </c>
      <c r="B3531" s="2" t="s">
        <v>4677</v>
      </c>
      <c r="G3531" s="2" t="s">
        <v>4415</v>
      </c>
    </row>
    <row r="3532">
      <c r="A3532" s="2" t="s">
        <v>4416</v>
      </c>
      <c r="B3532" s="2" t="s">
        <v>4678</v>
      </c>
      <c r="G3532" s="2" t="s">
        <v>4415</v>
      </c>
    </row>
    <row r="3533">
      <c r="A3533" s="2" t="s">
        <v>4416</v>
      </c>
      <c r="B3533" s="2" t="s">
        <v>4679</v>
      </c>
      <c r="G3533" s="2" t="s">
        <v>4415</v>
      </c>
    </row>
    <row r="3534">
      <c r="A3534" s="2" t="s">
        <v>4416</v>
      </c>
      <c r="B3534" s="2" t="s">
        <v>4680</v>
      </c>
      <c r="G3534" s="2" t="s">
        <v>4415</v>
      </c>
    </row>
    <row r="3535">
      <c r="A3535" s="2" t="s">
        <v>4416</v>
      </c>
      <c r="B3535" s="2" t="s">
        <v>4681</v>
      </c>
      <c r="G3535" s="2" t="s">
        <v>4415</v>
      </c>
    </row>
    <row r="3536">
      <c r="A3536" s="2" t="s">
        <v>4416</v>
      </c>
      <c r="B3536" s="2" t="s">
        <v>4682</v>
      </c>
      <c r="G3536" s="2" t="s">
        <v>4415</v>
      </c>
    </row>
    <row r="3537">
      <c r="A3537" s="2" t="s">
        <v>4683</v>
      </c>
      <c r="B3537" s="2" t="s">
        <v>4684</v>
      </c>
      <c r="G3537" s="2" t="s">
        <v>4685</v>
      </c>
      <c r="H3537" s="2" t="s">
        <v>729</v>
      </c>
    </row>
    <row r="3538">
      <c r="A3538" s="2" t="s">
        <v>4683</v>
      </c>
      <c r="B3538" s="2" t="s">
        <v>4686</v>
      </c>
      <c r="G3538" s="2" t="s">
        <v>4685</v>
      </c>
      <c r="H3538" s="2" t="s">
        <v>729</v>
      </c>
    </row>
    <row r="3539">
      <c r="A3539" s="2" t="s">
        <v>4687</v>
      </c>
      <c r="B3539" s="2" t="s">
        <v>4688</v>
      </c>
      <c r="G3539" s="2" t="s">
        <v>2763</v>
      </c>
      <c r="H3539" s="2" t="s">
        <v>729</v>
      </c>
    </row>
    <row r="3540">
      <c r="A3540" s="2" t="s">
        <v>4689</v>
      </c>
      <c r="B3540" s="2" t="s">
        <v>4690</v>
      </c>
      <c r="D3540" s="2" t="s">
        <v>4691</v>
      </c>
    </row>
    <row r="3541">
      <c r="A3541" s="2" t="s">
        <v>4692</v>
      </c>
      <c r="B3541" s="2" t="s">
        <v>4693</v>
      </c>
      <c r="D3541" s="2" t="s">
        <v>4691</v>
      </c>
    </row>
    <row r="3542">
      <c r="A3542" s="2" t="s">
        <v>4692</v>
      </c>
      <c r="B3542" s="2" t="s">
        <v>4694</v>
      </c>
      <c r="D3542" s="2" t="s">
        <v>4691</v>
      </c>
    </row>
    <row r="3543">
      <c r="A3543" s="2" t="s">
        <v>4692</v>
      </c>
      <c r="B3543" s="2" t="s">
        <v>4695</v>
      </c>
      <c r="D3543" s="2" t="s">
        <v>4691</v>
      </c>
    </row>
    <row r="3544">
      <c r="A3544" s="2" t="s">
        <v>4692</v>
      </c>
      <c r="B3544" s="2" t="s">
        <v>4696</v>
      </c>
      <c r="D3544" s="2" t="s">
        <v>4691</v>
      </c>
    </row>
    <row r="3545">
      <c r="A3545" s="2" t="s">
        <v>4692</v>
      </c>
      <c r="B3545" s="2" t="s">
        <v>4697</v>
      </c>
      <c r="D3545" s="2" t="s">
        <v>4691</v>
      </c>
    </row>
    <row r="3546">
      <c r="A3546" s="2" t="s">
        <v>4692</v>
      </c>
      <c r="B3546" s="2" t="s">
        <v>4698</v>
      </c>
      <c r="D3546" s="2" t="s">
        <v>4691</v>
      </c>
    </row>
    <row r="3547">
      <c r="A3547" s="2" t="s">
        <v>4692</v>
      </c>
      <c r="B3547" s="2" t="s">
        <v>4699</v>
      </c>
      <c r="D3547" s="2" t="s">
        <v>4691</v>
      </c>
    </row>
    <row r="3548">
      <c r="A3548" s="2" t="s">
        <v>4692</v>
      </c>
      <c r="B3548" s="2" t="s">
        <v>4700</v>
      </c>
      <c r="D3548" s="2" t="s">
        <v>4691</v>
      </c>
    </row>
    <row r="3549">
      <c r="A3549" s="2" t="s">
        <v>4692</v>
      </c>
      <c r="B3549" s="2" t="s">
        <v>4701</v>
      </c>
      <c r="D3549" s="2" t="s">
        <v>4691</v>
      </c>
    </row>
    <row r="3550">
      <c r="A3550" s="2" t="s">
        <v>4692</v>
      </c>
      <c r="B3550" s="2" t="s">
        <v>4695</v>
      </c>
      <c r="D3550" s="2" t="s">
        <v>4691</v>
      </c>
    </row>
    <row r="3551">
      <c r="A3551" s="2" t="s">
        <v>4692</v>
      </c>
      <c r="B3551" s="2" t="s">
        <v>4702</v>
      </c>
      <c r="D3551" s="2" t="s">
        <v>4691</v>
      </c>
    </row>
    <row r="3552">
      <c r="A3552" s="2" t="s">
        <v>4692</v>
      </c>
      <c r="B3552" s="2" t="s">
        <v>4703</v>
      </c>
      <c r="D3552" s="2" t="s">
        <v>4691</v>
      </c>
    </row>
    <row r="3553">
      <c r="A3553" s="2" t="s">
        <v>4692</v>
      </c>
      <c r="B3553" s="2" t="s">
        <v>4704</v>
      </c>
      <c r="D3553" s="2" t="s">
        <v>4691</v>
      </c>
    </row>
    <row r="3554">
      <c r="A3554" s="2" t="s">
        <v>4692</v>
      </c>
      <c r="B3554" s="2" t="s">
        <v>4705</v>
      </c>
      <c r="D3554" s="2" t="s">
        <v>4691</v>
      </c>
    </row>
    <row r="3555">
      <c r="A3555" s="2" t="s">
        <v>4692</v>
      </c>
      <c r="B3555" s="2" t="s">
        <v>4701</v>
      </c>
      <c r="D3555" s="2" t="s">
        <v>4691</v>
      </c>
    </row>
    <row r="3556">
      <c r="A3556" s="2" t="s">
        <v>4692</v>
      </c>
      <c r="B3556" s="2" t="s">
        <v>4706</v>
      </c>
      <c r="D3556" s="2" t="s">
        <v>4691</v>
      </c>
    </row>
    <row r="3557">
      <c r="A3557" s="2" t="s">
        <v>4692</v>
      </c>
      <c r="B3557" s="2" t="s">
        <v>4707</v>
      </c>
      <c r="D3557" s="2" t="s">
        <v>4691</v>
      </c>
    </row>
    <row r="3558">
      <c r="A3558" s="2" t="s">
        <v>4692</v>
      </c>
      <c r="B3558" s="2" t="s">
        <v>4708</v>
      </c>
      <c r="D3558" s="2" t="s">
        <v>4691</v>
      </c>
    </row>
    <row r="3559">
      <c r="A3559" s="2" t="s">
        <v>4692</v>
      </c>
      <c r="B3559" s="2" t="s">
        <v>4709</v>
      </c>
      <c r="D3559" s="2" t="s">
        <v>4691</v>
      </c>
    </row>
    <row r="3560">
      <c r="A3560" s="2" t="s">
        <v>4692</v>
      </c>
      <c r="B3560" s="2" t="s">
        <v>4710</v>
      </c>
      <c r="D3560" s="2" t="s">
        <v>4691</v>
      </c>
    </row>
    <row r="3561">
      <c r="A3561" s="2" t="s">
        <v>4692</v>
      </c>
      <c r="B3561" s="2" t="s">
        <v>4703</v>
      </c>
      <c r="D3561" s="2" t="s">
        <v>4691</v>
      </c>
    </row>
    <row r="3562">
      <c r="A3562" s="2" t="s">
        <v>4692</v>
      </c>
      <c r="B3562" s="2" t="s">
        <v>4711</v>
      </c>
      <c r="D3562" s="2" t="s">
        <v>4691</v>
      </c>
    </row>
    <row r="3563">
      <c r="A3563" s="2" t="s">
        <v>4692</v>
      </c>
      <c r="B3563" s="2" t="s">
        <v>4699</v>
      </c>
      <c r="D3563" s="2" t="s">
        <v>4691</v>
      </c>
    </row>
    <row r="3564">
      <c r="A3564" s="2" t="s">
        <v>4692</v>
      </c>
      <c r="B3564" s="2" t="s">
        <v>4712</v>
      </c>
      <c r="D3564" s="2" t="s">
        <v>4691</v>
      </c>
    </row>
    <row r="3565">
      <c r="A3565" s="2" t="s">
        <v>4692</v>
      </c>
      <c r="B3565" s="2" t="s">
        <v>4713</v>
      </c>
      <c r="D3565" s="2" t="s">
        <v>4691</v>
      </c>
    </row>
    <row r="3566">
      <c r="A3566" s="2" t="s">
        <v>4692</v>
      </c>
      <c r="B3566" s="2" t="s">
        <v>4714</v>
      </c>
      <c r="D3566" s="2" t="s">
        <v>4691</v>
      </c>
    </row>
    <row r="3567">
      <c r="A3567" s="2" t="s">
        <v>4692</v>
      </c>
      <c r="B3567" s="2" t="s">
        <v>4702</v>
      </c>
      <c r="D3567" s="2" t="s">
        <v>4691</v>
      </c>
    </row>
    <row r="3568">
      <c r="A3568" s="2" t="s">
        <v>4692</v>
      </c>
      <c r="B3568" s="2" t="s">
        <v>4715</v>
      </c>
      <c r="D3568" s="2" t="s">
        <v>4691</v>
      </c>
    </row>
    <row r="3569">
      <c r="A3569" s="2" t="s">
        <v>4692</v>
      </c>
      <c r="B3569" s="2" t="s">
        <v>4716</v>
      </c>
      <c r="D3569" s="2" t="s">
        <v>4691</v>
      </c>
    </row>
    <row r="3570">
      <c r="A3570" s="2" t="s">
        <v>4692</v>
      </c>
      <c r="B3570" s="2" t="s">
        <v>4697</v>
      </c>
      <c r="D3570" s="2" t="s">
        <v>4691</v>
      </c>
    </row>
    <row r="3571">
      <c r="A3571" s="2" t="s">
        <v>4692</v>
      </c>
      <c r="B3571" s="2" t="s">
        <v>4717</v>
      </c>
      <c r="D3571" s="2" t="s">
        <v>4691</v>
      </c>
    </row>
    <row r="3572">
      <c r="A3572" s="2" t="s">
        <v>4692</v>
      </c>
      <c r="B3572" s="2" t="s">
        <v>4718</v>
      </c>
      <c r="D3572" s="2" t="s">
        <v>4691</v>
      </c>
    </row>
    <row r="3573">
      <c r="A3573" s="2" t="s">
        <v>4692</v>
      </c>
      <c r="B3573" s="2" t="s">
        <v>4719</v>
      </c>
      <c r="D3573" s="2" t="s">
        <v>4691</v>
      </c>
    </row>
    <row r="3574">
      <c r="A3574" s="2" t="s">
        <v>4692</v>
      </c>
      <c r="B3574" s="2" t="s">
        <v>4711</v>
      </c>
      <c r="D3574" s="2" t="s">
        <v>4691</v>
      </c>
    </row>
    <row r="3575">
      <c r="A3575" s="2" t="s">
        <v>4692</v>
      </c>
      <c r="B3575" s="2" t="s">
        <v>4720</v>
      </c>
      <c r="D3575" s="2" t="s">
        <v>4691</v>
      </c>
    </row>
    <row r="3576">
      <c r="A3576" s="2" t="s">
        <v>4692</v>
      </c>
      <c r="B3576" s="2" t="s">
        <v>4721</v>
      </c>
      <c r="D3576" s="2" t="s">
        <v>4691</v>
      </c>
    </row>
    <row r="3577">
      <c r="A3577" s="64" t="s">
        <v>4689</v>
      </c>
      <c r="B3577" s="2" t="s">
        <v>4717</v>
      </c>
      <c r="D3577" s="2" t="s">
        <v>4691</v>
      </c>
    </row>
    <row r="3578">
      <c r="A3578" s="2" t="s">
        <v>4689</v>
      </c>
      <c r="B3578" s="2" t="s">
        <v>4722</v>
      </c>
      <c r="D3578" s="2" t="s">
        <v>4691</v>
      </c>
    </row>
    <row r="3579">
      <c r="A3579" s="2" t="s">
        <v>4689</v>
      </c>
      <c r="B3579" s="2" t="s">
        <v>4723</v>
      </c>
      <c r="D3579" s="2" t="s">
        <v>4691</v>
      </c>
    </row>
    <row r="3580">
      <c r="A3580" s="2" t="s">
        <v>4689</v>
      </c>
      <c r="B3580" s="2" t="s">
        <v>4724</v>
      </c>
      <c r="D3580" s="2" t="s">
        <v>4691</v>
      </c>
    </row>
    <row r="3581">
      <c r="A3581" s="2" t="s">
        <v>4692</v>
      </c>
      <c r="B3581" s="2" t="s">
        <v>4725</v>
      </c>
      <c r="D3581" s="2" t="s">
        <v>4691</v>
      </c>
    </row>
    <row r="3582">
      <c r="A3582" s="2" t="s">
        <v>4692</v>
      </c>
      <c r="B3582" s="2" t="s">
        <v>4726</v>
      </c>
      <c r="D3582" s="2" t="s">
        <v>4691</v>
      </c>
    </row>
    <row r="3583">
      <c r="A3583" s="2" t="s">
        <v>4692</v>
      </c>
      <c r="B3583" s="2" t="s">
        <v>4727</v>
      </c>
      <c r="D3583" s="2" t="s">
        <v>4691</v>
      </c>
    </row>
    <row r="3584">
      <c r="A3584" s="2" t="s">
        <v>4692</v>
      </c>
      <c r="B3584" s="2" t="s">
        <v>4728</v>
      </c>
      <c r="D3584" s="2" t="s">
        <v>4691</v>
      </c>
    </row>
    <row r="3585">
      <c r="A3585" s="2" t="s">
        <v>4692</v>
      </c>
      <c r="B3585" s="2" t="s">
        <v>4729</v>
      </c>
      <c r="D3585" s="2" t="s">
        <v>4691</v>
      </c>
    </row>
    <row r="3586">
      <c r="A3586" s="2" t="s">
        <v>4692</v>
      </c>
      <c r="B3586" s="2" t="s">
        <v>4730</v>
      </c>
      <c r="D3586" s="2" t="s">
        <v>4691</v>
      </c>
    </row>
    <row r="3587">
      <c r="A3587" s="2" t="s">
        <v>4692</v>
      </c>
      <c r="B3587" s="2" t="s">
        <v>4731</v>
      </c>
      <c r="D3587" s="2" t="s">
        <v>4691</v>
      </c>
    </row>
    <row r="3588">
      <c r="A3588" s="2" t="s">
        <v>4692</v>
      </c>
      <c r="B3588" s="2" t="s">
        <v>4732</v>
      </c>
      <c r="D3588" s="2" t="s">
        <v>4691</v>
      </c>
    </row>
    <row r="3589">
      <c r="A3589" s="2" t="s">
        <v>4692</v>
      </c>
      <c r="B3589" s="2" t="s">
        <v>4733</v>
      </c>
      <c r="D3589" s="2" t="s">
        <v>4691</v>
      </c>
    </row>
    <row r="3590">
      <c r="A3590" s="2" t="s">
        <v>4692</v>
      </c>
      <c r="B3590" s="2" t="s">
        <v>4729</v>
      </c>
      <c r="D3590" s="2" t="s">
        <v>4691</v>
      </c>
    </row>
    <row r="3591">
      <c r="A3591" s="2" t="s">
        <v>4692</v>
      </c>
      <c r="B3591" s="2" t="s">
        <v>4734</v>
      </c>
      <c r="D3591" s="2" t="s">
        <v>4691</v>
      </c>
    </row>
    <row r="3592">
      <c r="A3592" s="2" t="s">
        <v>4692</v>
      </c>
      <c r="B3592" s="2" t="s">
        <v>4735</v>
      </c>
      <c r="D3592" s="2" t="s">
        <v>4691</v>
      </c>
    </row>
    <row r="3593">
      <c r="A3593" s="2" t="s">
        <v>4692</v>
      </c>
      <c r="B3593" s="2" t="s">
        <v>4736</v>
      </c>
      <c r="D3593" s="2" t="s">
        <v>4691</v>
      </c>
    </row>
    <row r="3594">
      <c r="A3594" s="2" t="s">
        <v>4692</v>
      </c>
      <c r="B3594" s="2" t="s">
        <v>4737</v>
      </c>
      <c r="D3594" s="2" t="s">
        <v>4691</v>
      </c>
    </row>
    <row r="3595">
      <c r="A3595" s="2" t="s">
        <v>4692</v>
      </c>
      <c r="B3595" s="2" t="s">
        <v>4738</v>
      </c>
      <c r="D3595" s="2" t="s">
        <v>4691</v>
      </c>
    </row>
    <row r="3596">
      <c r="A3596" s="2" t="s">
        <v>4692</v>
      </c>
      <c r="B3596" s="2" t="s">
        <v>4739</v>
      </c>
      <c r="D3596" s="2" t="s">
        <v>4691</v>
      </c>
    </row>
    <row r="3597">
      <c r="A3597" s="2" t="s">
        <v>4692</v>
      </c>
      <c r="B3597" s="2" t="s">
        <v>4740</v>
      </c>
      <c r="D3597" s="2" t="s">
        <v>4691</v>
      </c>
    </row>
    <row r="3598">
      <c r="A3598" s="2" t="s">
        <v>4692</v>
      </c>
      <c r="B3598" s="2" t="s">
        <v>4741</v>
      </c>
      <c r="D3598" s="2" t="s">
        <v>4691</v>
      </c>
    </row>
    <row r="3599">
      <c r="A3599" s="2" t="s">
        <v>4692</v>
      </c>
      <c r="B3599" s="2" t="s">
        <v>4742</v>
      </c>
      <c r="D3599" s="2" t="s">
        <v>4691</v>
      </c>
    </row>
    <row r="3600">
      <c r="A3600" s="2" t="s">
        <v>4692</v>
      </c>
      <c r="B3600" s="2" t="s">
        <v>4743</v>
      </c>
      <c r="D3600" s="2" t="s">
        <v>4691</v>
      </c>
    </row>
    <row r="3601">
      <c r="A3601" s="2" t="s">
        <v>4692</v>
      </c>
      <c r="B3601" s="2" t="s">
        <v>4744</v>
      </c>
      <c r="D3601" s="2" t="s">
        <v>4691</v>
      </c>
    </row>
    <row r="3602">
      <c r="A3602" s="2" t="s">
        <v>4692</v>
      </c>
      <c r="B3602" s="2" t="s">
        <v>4740</v>
      </c>
      <c r="D3602" s="2" t="s">
        <v>4691</v>
      </c>
    </row>
    <row r="3603">
      <c r="A3603" s="2" t="s">
        <v>4692</v>
      </c>
      <c r="B3603" s="2" t="s">
        <v>4745</v>
      </c>
      <c r="D3603" s="2" t="s">
        <v>4691</v>
      </c>
    </row>
    <row r="3604">
      <c r="A3604" s="2" t="s">
        <v>4692</v>
      </c>
      <c r="B3604" s="2" t="s">
        <v>4746</v>
      </c>
      <c r="D3604" s="2" t="s">
        <v>4691</v>
      </c>
    </row>
    <row r="3605">
      <c r="A3605" s="2" t="s">
        <v>4692</v>
      </c>
      <c r="B3605" s="2" t="s">
        <v>4747</v>
      </c>
      <c r="D3605" s="2" t="s">
        <v>4691</v>
      </c>
    </row>
    <row r="3606">
      <c r="A3606" s="2" t="s">
        <v>4692</v>
      </c>
      <c r="B3606" s="2" t="s">
        <v>4748</v>
      </c>
      <c r="D3606" s="2" t="s">
        <v>4691</v>
      </c>
    </row>
    <row r="3607">
      <c r="A3607" s="2" t="s">
        <v>4692</v>
      </c>
      <c r="B3607" s="2" t="s">
        <v>4749</v>
      </c>
      <c r="D3607" s="2" t="s">
        <v>4691</v>
      </c>
    </row>
    <row r="3608">
      <c r="A3608" s="2" t="s">
        <v>4692</v>
      </c>
      <c r="B3608" s="2" t="s">
        <v>4750</v>
      </c>
      <c r="D3608" s="2" t="s">
        <v>4691</v>
      </c>
    </row>
    <row r="3609">
      <c r="A3609" s="2" t="s">
        <v>4692</v>
      </c>
      <c r="B3609" s="2" t="s">
        <v>4751</v>
      </c>
      <c r="D3609" s="2" t="s">
        <v>4691</v>
      </c>
    </row>
    <row r="3610">
      <c r="A3610" s="2" t="s">
        <v>4692</v>
      </c>
      <c r="B3610" s="2" t="s">
        <v>4738</v>
      </c>
      <c r="D3610" s="2" t="s">
        <v>4691</v>
      </c>
    </row>
    <row r="3611">
      <c r="A3611" s="2" t="s">
        <v>4692</v>
      </c>
      <c r="B3611" s="2" t="s">
        <v>4752</v>
      </c>
      <c r="D3611" s="2" t="s">
        <v>4691</v>
      </c>
    </row>
    <row r="3612">
      <c r="A3612" s="2" t="s">
        <v>4692</v>
      </c>
      <c r="B3612" s="2" t="s">
        <v>4753</v>
      </c>
      <c r="D3612" s="2" t="s">
        <v>4691</v>
      </c>
    </row>
    <row r="3613">
      <c r="A3613" s="2" t="s">
        <v>4692</v>
      </c>
      <c r="B3613" s="2" t="s">
        <v>4754</v>
      </c>
      <c r="D3613" s="2" t="s">
        <v>4691</v>
      </c>
    </row>
    <row r="3614">
      <c r="A3614" s="2" t="s">
        <v>4692</v>
      </c>
      <c r="B3614" s="2" t="s">
        <v>4741</v>
      </c>
      <c r="D3614" s="2" t="s">
        <v>4691</v>
      </c>
    </row>
    <row r="3615">
      <c r="A3615" s="2" t="s">
        <v>4692</v>
      </c>
      <c r="B3615" s="2" t="s">
        <v>4755</v>
      </c>
      <c r="D3615" s="2" t="s">
        <v>4691</v>
      </c>
    </row>
    <row r="3616">
      <c r="A3616" s="2" t="s">
        <v>4692</v>
      </c>
      <c r="B3616" s="2" t="s">
        <v>4725</v>
      </c>
      <c r="D3616" s="2" t="s">
        <v>4691</v>
      </c>
    </row>
    <row r="3617">
      <c r="A3617" s="2" t="s">
        <v>4692</v>
      </c>
      <c r="B3617" s="2" t="s">
        <v>4756</v>
      </c>
      <c r="D3617" s="2" t="s">
        <v>4691</v>
      </c>
    </row>
    <row r="3618">
      <c r="A3618" s="2" t="s">
        <v>4692</v>
      </c>
      <c r="B3618" s="2" t="s">
        <v>4739</v>
      </c>
      <c r="D3618" s="2" t="s">
        <v>4691</v>
      </c>
    </row>
    <row r="3619">
      <c r="A3619" s="2" t="s">
        <v>4692</v>
      </c>
      <c r="B3619" s="2" t="s">
        <v>4757</v>
      </c>
      <c r="D3619" s="2" t="s">
        <v>4691</v>
      </c>
    </row>
    <row r="3620">
      <c r="A3620" s="2" t="s">
        <v>4692</v>
      </c>
      <c r="B3620" s="2" t="s">
        <v>4758</v>
      </c>
      <c r="D3620" s="2" t="s">
        <v>4691</v>
      </c>
    </row>
    <row r="3621">
      <c r="A3621" s="2" t="s">
        <v>4692</v>
      </c>
      <c r="B3621" s="2" t="s">
        <v>4759</v>
      </c>
      <c r="D3621" s="2" t="s">
        <v>4691</v>
      </c>
    </row>
    <row r="3622">
      <c r="A3622" s="2" t="s">
        <v>4692</v>
      </c>
      <c r="B3622" s="2" t="s">
        <v>4758</v>
      </c>
      <c r="D3622" s="2" t="s">
        <v>4691</v>
      </c>
    </row>
    <row r="3623">
      <c r="A3623" s="2" t="s">
        <v>4692</v>
      </c>
      <c r="B3623" s="2" t="s">
        <v>4727</v>
      </c>
      <c r="D3623" s="2" t="s">
        <v>4691</v>
      </c>
    </row>
    <row r="3624">
      <c r="A3624" s="2" t="s">
        <v>4692</v>
      </c>
      <c r="B3624" s="2" t="s">
        <v>4728</v>
      </c>
      <c r="D3624" s="2" t="s">
        <v>4691</v>
      </c>
    </row>
    <row r="3625">
      <c r="A3625" s="2" t="s">
        <v>4692</v>
      </c>
      <c r="B3625" s="2" t="s">
        <v>4760</v>
      </c>
      <c r="D3625" s="2" t="s">
        <v>4691</v>
      </c>
    </row>
    <row r="3626">
      <c r="A3626" s="2" t="s">
        <v>4692</v>
      </c>
      <c r="B3626" s="2" t="s">
        <v>4729</v>
      </c>
      <c r="D3626" s="2" t="s">
        <v>4691</v>
      </c>
    </row>
    <row r="3627">
      <c r="A3627" s="2" t="s">
        <v>4692</v>
      </c>
      <c r="B3627" s="2" t="s">
        <v>4761</v>
      </c>
      <c r="D3627" s="2" t="s">
        <v>4691</v>
      </c>
    </row>
    <row r="3628">
      <c r="A3628" s="2" t="s">
        <v>4692</v>
      </c>
      <c r="B3628" s="2" t="s">
        <v>4736</v>
      </c>
      <c r="D3628" s="2" t="s">
        <v>4691</v>
      </c>
    </row>
    <row r="3629">
      <c r="A3629" s="2" t="s">
        <v>4692</v>
      </c>
      <c r="B3629" s="2" t="s">
        <v>4762</v>
      </c>
      <c r="D3629" s="2" t="s">
        <v>4691</v>
      </c>
    </row>
    <row r="3630">
      <c r="A3630" s="2" t="s">
        <v>4692</v>
      </c>
      <c r="B3630" s="2" t="s">
        <v>4731</v>
      </c>
      <c r="D3630" s="2" t="s">
        <v>4691</v>
      </c>
    </row>
    <row r="3631">
      <c r="A3631" s="2" t="s">
        <v>4692</v>
      </c>
      <c r="B3631" s="2" t="s">
        <v>4756</v>
      </c>
      <c r="D3631" s="2" t="s">
        <v>4691</v>
      </c>
    </row>
    <row r="3632">
      <c r="A3632" s="2" t="s">
        <v>4692</v>
      </c>
      <c r="B3632" s="2" t="s">
        <v>4734</v>
      </c>
      <c r="D3632" s="2" t="s">
        <v>4691</v>
      </c>
    </row>
    <row r="3633">
      <c r="A3633" s="2" t="s">
        <v>4692</v>
      </c>
      <c r="B3633" s="2" t="s">
        <v>4728</v>
      </c>
      <c r="D3633" s="2" t="s">
        <v>4691</v>
      </c>
    </row>
    <row r="3634">
      <c r="A3634" s="2" t="s">
        <v>4692</v>
      </c>
      <c r="B3634" s="2" t="s">
        <v>4738</v>
      </c>
      <c r="D3634" s="2" t="s">
        <v>4691</v>
      </c>
    </row>
    <row r="3635">
      <c r="A3635" s="2" t="s">
        <v>4692</v>
      </c>
      <c r="B3635" s="2" t="s">
        <v>4738</v>
      </c>
      <c r="D3635" s="2" t="s">
        <v>4691</v>
      </c>
    </row>
    <row r="3636">
      <c r="A3636" s="2" t="s">
        <v>4692</v>
      </c>
      <c r="B3636" s="2" t="s">
        <v>4749</v>
      </c>
      <c r="D3636" s="2" t="s">
        <v>4691</v>
      </c>
    </row>
    <row r="3637">
      <c r="A3637" s="2" t="s">
        <v>4692</v>
      </c>
      <c r="B3637" s="2" t="s">
        <v>4762</v>
      </c>
      <c r="D3637" s="2" t="s">
        <v>4691</v>
      </c>
    </row>
    <row r="3638">
      <c r="A3638" s="2" t="s">
        <v>4692</v>
      </c>
      <c r="B3638" s="2" t="s">
        <v>4727</v>
      </c>
      <c r="D3638" s="2" t="s">
        <v>4691</v>
      </c>
    </row>
    <row r="3639">
      <c r="A3639" s="2" t="s">
        <v>4692</v>
      </c>
      <c r="B3639" s="2" t="s">
        <v>4726</v>
      </c>
      <c r="D3639" s="2" t="s">
        <v>4691</v>
      </c>
    </row>
    <row r="3640">
      <c r="A3640" s="2" t="s">
        <v>4692</v>
      </c>
      <c r="B3640" s="2" t="s">
        <v>4728</v>
      </c>
      <c r="D3640" s="2" t="s">
        <v>4691</v>
      </c>
    </row>
    <row r="3641">
      <c r="A3641" s="2" t="s">
        <v>4692</v>
      </c>
      <c r="B3641" s="2" t="s">
        <v>4763</v>
      </c>
      <c r="D3641" s="2" t="s">
        <v>4691</v>
      </c>
    </row>
    <row r="3642">
      <c r="A3642" s="2" t="s">
        <v>4692</v>
      </c>
      <c r="B3642" s="2" t="s">
        <v>4734</v>
      </c>
      <c r="D3642" s="2" t="s">
        <v>4691</v>
      </c>
    </row>
    <row r="3643">
      <c r="A3643" s="2" t="s">
        <v>4692</v>
      </c>
      <c r="B3643" s="2" t="s">
        <v>4726</v>
      </c>
      <c r="D3643" s="2" t="s">
        <v>4691</v>
      </c>
    </row>
    <row r="3644">
      <c r="A3644" s="2" t="s">
        <v>4692</v>
      </c>
      <c r="B3644" s="2" t="s">
        <v>4729</v>
      </c>
      <c r="D3644" s="2" t="s">
        <v>4691</v>
      </c>
    </row>
    <row r="3645">
      <c r="A3645" s="2" t="s">
        <v>4692</v>
      </c>
      <c r="B3645" s="2" t="s">
        <v>4738</v>
      </c>
      <c r="D3645" s="2" t="s">
        <v>4691</v>
      </c>
    </row>
    <row r="3646">
      <c r="A3646" s="2" t="s">
        <v>4692</v>
      </c>
      <c r="B3646" s="2" t="s">
        <v>4764</v>
      </c>
      <c r="D3646" s="2" t="s">
        <v>4691</v>
      </c>
    </row>
    <row r="3647">
      <c r="A3647" s="2" t="s">
        <v>4692</v>
      </c>
      <c r="B3647" s="2" t="s">
        <v>4709</v>
      </c>
      <c r="D3647" s="2" t="s">
        <v>4691</v>
      </c>
    </row>
    <row r="3648">
      <c r="A3648" s="2" t="s">
        <v>4692</v>
      </c>
      <c r="B3648" s="2" t="s">
        <v>4765</v>
      </c>
      <c r="D3648" s="2" t="s">
        <v>4691</v>
      </c>
    </row>
    <row r="3649">
      <c r="A3649" s="2" t="s">
        <v>4692</v>
      </c>
      <c r="B3649" s="2" t="s">
        <v>4766</v>
      </c>
      <c r="D3649" s="2" t="s">
        <v>4691</v>
      </c>
    </row>
    <row r="3650">
      <c r="A3650" s="2" t="s">
        <v>4692</v>
      </c>
      <c r="B3650" s="2" t="s">
        <v>4711</v>
      </c>
      <c r="D3650" s="2" t="s">
        <v>4691</v>
      </c>
    </row>
    <row r="3651">
      <c r="A3651" s="2" t="s">
        <v>4692</v>
      </c>
      <c r="B3651" s="2" t="s">
        <v>4750</v>
      </c>
      <c r="D3651" s="2" t="s">
        <v>4691</v>
      </c>
    </row>
    <row r="3652">
      <c r="A3652" s="2" t="s">
        <v>4692</v>
      </c>
      <c r="B3652" s="2" t="s">
        <v>4757</v>
      </c>
      <c r="D3652" s="2" t="s">
        <v>4691</v>
      </c>
    </row>
    <row r="3653">
      <c r="A3653" s="2" t="s">
        <v>4692</v>
      </c>
      <c r="B3653" s="2" t="s">
        <v>4767</v>
      </c>
      <c r="D3653" s="2" t="s">
        <v>4691</v>
      </c>
    </row>
    <row r="3654">
      <c r="A3654" s="2" t="s">
        <v>4692</v>
      </c>
      <c r="B3654" s="2" t="s">
        <v>4768</v>
      </c>
      <c r="D3654" s="2" t="s">
        <v>4691</v>
      </c>
    </row>
    <row r="3655">
      <c r="A3655" s="2" t="s">
        <v>4692</v>
      </c>
      <c r="B3655" s="2" t="s">
        <v>4749</v>
      </c>
      <c r="D3655" s="2" t="s">
        <v>4691</v>
      </c>
    </row>
    <row r="3656">
      <c r="A3656" s="2" t="s">
        <v>4692</v>
      </c>
      <c r="B3656" s="2" t="s">
        <v>4756</v>
      </c>
      <c r="D3656" s="2" t="s">
        <v>4691</v>
      </c>
    </row>
    <row r="3657">
      <c r="A3657" s="2" t="s">
        <v>4692</v>
      </c>
      <c r="B3657" s="2" t="s">
        <v>4740</v>
      </c>
      <c r="D3657" s="2" t="s">
        <v>4691</v>
      </c>
    </row>
    <row r="3658">
      <c r="A3658" s="2" t="s">
        <v>4692</v>
      </c>
      <c r="B3658" s="2" t="s">
        <v>4769</v>
      </c>
      <c r="D3658" s="2" t="s">
        <v>4691</v>
      </c>
    </row>
    <row r="3659">
      <c r="A3659" s="2" t="s">
        <v>4692</v>
      </c>
      <c r="B3659" s="2" t="s">
        <v>4747</v>
      </c>
      <c r="D3659" s="2" t="s">
        <v>4691</v>
      </c>
    </row>
    <row r="3660">
      <c r="A3660" s="2" t="s">
        <v>4692</v>
      </c>
      <c r="B3660" s="2" t="s">
        <v>4757</v>
      </c>
      <c r="D3660" s="2" t="s">
        <v>4691</v>
      </c>
    </row>
    <row r="3661">
      <c r="A3661" s="2" t="s">
        <v>4692</v>
      </c>
      <c r="B3661" s="2" t="s">
        <v>4728</v>
      </c>
      <c r="D3661" s="2" t="s">
        <v>4691</v>
      </c>
    </row>
    <row r="3662">
      <c r="A3662" s="2" t="s">
        <v>4692</v>
      </c>
      <c r="B3662" s="2" t="s">
        <v>4725</v>
      </c>
      <c r="D3662" s="2" t="s">
        <v>4691</v>
      </c>
    </row>
    <row r="3663">
      <c r="A3663" s="2" t="s">
        <v>4692</v>
      </c>
      <c r="B3663" s="2" t="s">
        <v>4770</v>
      </c>
      <c r="D3663" s="2" t="s">
        <v>4691</v>
      </c>
    </row>
    <row r="3664">
      <c r="A3664" s="2" t="s">
        <v>4692</v>
      </c>
      <c r="B3664" s="2" t="s">
        <v>4771</v>
      </c>
      <c r="D3664" s="2" t="s">
        <v>4691</v>
      </c>
    </row>
    <row r="3665">
      <c r="A3665" s="2" t="s">
        <v>4692</v>
      </c>
      <c r="B3665" s="2" t="s">
        <v>4772</v>
      </c>
      <c r="D3665" s="2" t="s">
        <v>4691</v>
      </c>
    </row>
    <row r="3666">
      <c r="A3666" s="2" t="s">
        <v>4692</v>
      </c>
      <c r="B3666" s="2" t="s">
        <v>4749</v>
      </c>
      <c r="D3666" s="2" t="s">
        <v>4691</v>
      </c>
    </row>
    <row r="3667">
      <c r="A3667" s="2" t="s">
        <v>4692</v>
      </c>
      <c r="B3667" s="2" t="s">
        <v>4730</v>
      </c>
      <c r="D3667" s="2" t="s">
        <v>4691</v>
      </c>
    </row>
    <row r="3668">
      <c r="A3668" s="2" t="s">
        <v>4692</v>
      </c>
      <c r="B3668" s="2" t="s">
        <v>4757</v>
      </c>
      <c r="D3668" s="2" t="s">
        <v>4691</v>
      </c>
    </row>
    <row r="3669">
      <c r="A3669" s="2" t="s">
        <v>4692</v>
      </c>
      <c r="B3669" s="2" t="s">
        <v>4734</v>
      </c>
      <c r="D3669" s="2" t="s">
        <v>4691</v>
      </c>
    </row>
    <row r="3670">
      <c r="A3670" s="2" t="s">
        <v>4692</v>
      </c>
      <c r="B3670" s="2" t="s">
        <v>4773</v>
      </c>
      <c r="D3670" s="2" t="s">
        <v>4691</v>
      </c>
    </row>
    <row r="3671">
      <c r="A3671" s="2" t="s">
        <v>4692</v>
      </c>
      <c r="B3671" s="2" t="s">
        <v>4731</v>
      </c>
      <c r="D3671" s="2" t="s">
        <v>4691</v>
      </c>
    </row>
    <row r="3672">
      <c r="A3672" s="2" t="s">
        <v>4692</v>
      </c>
      <c r="B3672" s="2" t="s">
        <v>4757</v>
      </c>
      <c r="D3672" s="2" t="s">
        <v>4691</v>
      </c>
    </row>
    <row r="3673">
      <c r="A3673" s="2" t="s">
        <v>4692</v>
      </c>
      <c r="B3673" s="2" t="s">
        <v>4757</v>
      </c>
      <c r="D3673" s="2" t="s">
        <v>4691</v>
      </c>
    </row>
    <row r="3674">
      <c r="A3674" s="2" t="s">
        <v>4692</v>
      </c>
      <c r="B3674" s="2" t="s">
        <v>4747</v>
      </c>
      <c r="D3674" s="2" t="s">
        <v>4691</v>
      </c>
    </row>
    <row r="3675">
      <c r="A3675" s="2" t="s">
        <v>4692</v>
      </c>
      <c r="B3675" s="2" t="s">
        <v>4774</v>
      </c>
      <c r="D3675" s="2" t="s">
        <v>4691</v>
      </c>
    </row>
    <row r="3676">
      <c r="A3676" s="2" t="s">
        <v>4692</v>
      </c>
      <c r="B3676" s="2" t="s">
        <v>4775</v>
      </c>
      <c r="D3676" s="2" t="s">
        <v>4691</v>
      </c>
    </row>
    <row r="3677">
      <c r="A3677" s="2" t="s">
        <v>4692</v>
      </c>
      <c r="B3677" s="2" t="s">
        <v>4738</v>
      </c>
      <c r="D3677" s="2" t="s">
        <v>4691</v>
      </c>
    </row>
    <row r="3678">
      <c r="A3678" s="2" t="s">
        <v>4692</v>
      </c>
      <c r="B3678" s="2" t="s">
        <v>4756</v>
      </c>
      <c r="D3678" s="2" t="s">
        <v>4691</v>
      </c>
    </row>
    <row r="3679">
      <c r="A3679" s="2" t="s">
        <v>4692</v>
      </c>
      <c r="B3679" s="2" t="s">
        <v>4757</v>
      </c>
      <c r="D3679" s="2" t="s">
        <v>4691</v>
      </c>
    </row>
    <row r="3680">
      <c r="A3680" s="2" t="s">
        <v>4692</v>
      </c>
      <c r="B3680" s="2" t="s">
        <v>4771</v>
      </c>
      <c r="D3680" s="2" t="s">
        <v>4691</v>
      </c>
    </row>
    <row r="3681">
      <c r="A3681" s="2" t="s">
        <v>4692</v>
      </c>
      <c r="B3681" s="2" t="s">
        <v>4776</v>
      </c>
      <c r="D3681" s="2" t="s">
        <v>4691</v>
      </c>
    </row>
    <row r="3682">
      <c r="A3682" s="2" t="s">
        <v>4692</v>
      </c>
      <c r="B3682" s="2" t="s">
        <v>4756</v>
      </c>
      <c r="D3682" s="2" t="s">
        <v>4691</v>
      </c>
    </row>
    <row r="3683">
      <c r="A3683" s="2" t="s">
        <v>4692</v>
      </c>
      <c r="B3683" s="2" t="s">
        <v>4757</v>
      </c>
      <c r="D3683" s="2" t="s">
        <v>4691</v>
      </c>
    </row>
    <row r="3684">
      <c r="A3684" s="2" t="s">
        <v>4692</v>
      </c>
      <c r="B3684" s="2" t="s">
        <v>4729</v>
      </c>
      <c r="D3684" s="2" t="s">
        <v>4691</v>
      </c>
    </row>
    <row r="3685">
      <c r="A3685" s="2" t="s">
        <v>4692</v>
      </c>
      <c r="B3685" s="2" t="s">
        <v>4758</v>
      </c>
      <c r="D3685" s="2" t="s">
        <v>4691</v>
      </c>
    </row>
    <row r="3686">
      <c r="A3686" s="2" t="s">
        <v>4692</v>
      </c>
      <c r="B3686" s="2" t="s">
        <v>4777</v>
      </c>
      <c r="D3686" s="2" t="s">
        <v>4691</v>
      </c>
    </row>
    <row r="3687">
      <c r="A3687" s="2" t="s">
        <v>4692</v>
      </c>
      <c r="B3687" s="2" t="s">
        <v>4757</v>
      </c>
      <c r="D3687" s="2" t="s">
        <v>4691</v>
      </c>
    </row>
    <row r="3688">
      <c r="A3688" s="2" t="s">
        <v>4692</v>
      </c>
      <c r="B3688" s="2" t="s">
        <v>4693</v>
      </c>
      <c r="D3688" s="2" t="s">
        <v>4691</v>
      </c>
    </row>
    <row r="3689">
      <c r="A3689" s="2" t="s">
        <v>4692</v>
      </c>
      <c r="B3689" s="2" t="s">
        <v>4701</v>
      </c>
      <c r="D3689" s="2" t="s">
        <v>4691</v>
      </c>
    </row>
    <row r="3690">
      <c r="A3690" s="2" t="s">
        <v>4692</v>
      </c>
      <c r="B3690" s="2" t="s">
        <v>4764</v>
      </c>
      <c r="D3690" s="2" t="s">
        <v>4691</v>
      </c>
    </row>
    <row r="3691">
      <c r="A3691" s="2" t="s">
        <v>4692</v>
      </c>
      <c r="B3691" s="2" t="s">
        <v>4701</v>
      </c>
      <c r="D3691" s="2" t="s">
        <v>4691</v>
      </c>
    </row>
    <row r="3692">
      <c r="A3692" s="2" t="s">
        <v>4692</v>
      </c>
      <c r="B3692" s="2" t="s">
        <v>4759</v>
      </c>
      <c r="D3692" s="2" t="s">
        <v>4691</v>
      </c>
    </row>
    <row r="3693">
      <c r="A3693" s="2" t="s">
        <v>4692</v>
      </c>
      <c r="B3693" s="2" t="s">
        <v>4750</v>
      </c>
      <c r="D3693" s="2" t="s">
        <v>4691</v>
      </c>
    </row>
    <row r="3694">
      <c r="A3694" s="2" t="s">
        <v>4692</v>
      </c>
      <c r="B3694" s="2" t="s">
        <v>4778</v>
      </c>
      <c r="D3694" s="2" t="s">
        <v>4691</v>
      </c>
    </row>
    <row r="3695">
      <c r="A3695" s="2" t="s">
        <v>4692</v>
      </c>
      <c r="B3695" s="2" t="s">
        <v>4762</v>
      </c>
      <c r="D3695" s="2" t="s">
        <v>4691</v>
      </c>
    </row>
    <row r="3696">
      <c r="A3696" s="2" t="s">
        <v>4692</v>
      </c>
      <c r="B3696" s="2" t="s">
        <v>4779</v>
      </c>
      <c r="D3696" s="2" t="s">
        <v>4691</v>
      </c>
    </row>
    <row r="3697">
      <c r="A3697" s="2" t="s">
        <v>4692</v>
      </c>
      <c r="B3697" s="2" t="s">
        <v>4758</v>
      </c>
      <c r="D3697" s="2" t="s">
        <v>4691</v>
      </c>
    </row>
    <row r="3698">
      <c r="A3698" s="2" t="s">
        <v>4692</v>
      </c>
      <c r="B3698" s="2" t="s">
        <v>4764</v>
      </c>
      <c r="D3698" s="2" t="s">
        <v>4691</v>
      </c>
    </row>
    <row r="3699">
      <c r="A3699" s="2" t="s">
        <v>4692</v>
      </c>
      <c r="B3699" s="2" t="s">
        <v>4738</v>
      </c>
      <c r="D3699" s="2" t="s">
        <v>4691</v>
      </c>
    </row>
    <row r="3700">
      <c r="A3700" s="2" t="s">
        <v>4692</v>
      </c>
      <c r="B3700" s="2" t="s">
        <v>4759</v>
      </c>
      <c r="D3700" s="2" t="s">
        <v>4691</v>
      </c>
    </row>
    <row r="3701">
      <c r="A3701" s="2" t="s">
        <v>4692</v>
      </c>
      <c r="B3701" s="2" t="s">
        <v>4748</v>
      </c>
      <c r="D3701" s="2" t="s">
        <v>4691</v>
      </c>
    </row>
    <row r="3702">
      <c r="A3702" s="2" t="s">
        <v>4692</v>
      </c>
      <c r="B3702" s="2" t="s">
        <v>4728</v>
      </c>
      <c r="D3702" s="2" t="s">
        <v>4691</v>
      </c>
    </row>
    <row r="3703">
      <c r="A3703" s="2" t="s">
        <v>4692</v>
      </c>
      <c r="B3703" s="2" t="s">
        <v>4738</v>
      </c>
      <c r="D3703" s="2" t="s">
        <v>4691</v>
      </c>
    </row>
    <row r="3704">
      <c r="A3704" s="2" t="s">
        <v>4692</v>
      </c>
      <c r="B3704" s="2" t="s">
        <v>4757</v>
      </c>
      <c r="D3704" s="2" t="s">
        <v>4691</v>
      </c>
    </row>
    <row r="3705">
      <c r="A3705" s="2" t="s">
        <v>4692</v>
      </c>
      <c r="B3705" s="2" t="s">
        <v>4780</v>
      </c>
      <c r="D3705" s="2" t="s">
        <v>4691</v>
      </c>
    </row>
    <row r="3706">
      <c r="A3706" s="2" t="s">
        <v>4692</v>
      </c>
      <c r="B3706" s="2" t="s">
        <v>4781</v>
      </c>
      <c r="D3706" s="2" t="s">
        <v>4691</v>
      </c>
    </row>
    <row r="3707">
      <c r="A3707" s="2" t="s">
        <v>4692</v>
      </c>
      <c r="B3707" s="2" t="s">
        <v>4756</v>
      </c>
      <c r="D3707" s="2" t="s">
        <v>4691</v>
      </c>
    </row>
    <row r="3708">
      <c r="A3708" s="2" t="s">
        <v>4692</v>
      </c>
      <c r="B3708" s="2" t="s">
        <v>4767</v>
      </c>
      <c r="D3708" s="2" t="s">
        <v>4691</v>
      </c>
    </row>
    <row r="3709">
      <c r="A3709" s="2" t="s">
        <v>4692</v>
      </c>
      <c r="B3709" s="2" t="s">
        <v>4778</v>
      </c>
      <c r="D3709" s="2" t="s">
        <v>4691</v>
      </c>
    </row>
    <row r="3710">
      <c r="A3710" s="2" t="s">
        <v>4692</v>
      </c>
      <c r="B3710" s="2" t="s">
        <v>4782</v>
      </c>
      <c r="D3710" s="2" t="s">
        <v>4691</v>
      </c>
    </row>
    <row r="3711">
      <c r="A3711" s="2" t="s">
        <v>4692</v>
      </c>
      <c r="B3711" s="2" t="s">
        <v>4749</v>
      </c>
      <c r="D3711" s="2" t="s">
        <v>4691</v>
      </c>
    </row>
    <row r="3712">
      <c r="A3712" s="2" t="s">
        <v>4692</v>
      </c>
      <c r="B3712" s="2" t="s">
        <v>4757</v>
      </c>
      <c r="D3712" s="2" t="s">
        <v>4691</v>
      </c>
    </row>
    <row r="3713">
      <c r="A3713" s="2" t="s">
        <v>4692</v>
      </c>
      <c r="B3713" s="2" t="s">
        <v>4755</v>
      </c>
      <c r="D3713" s="2" t="s">
        <v>4691</v>
      </c>
    </row>
    <row r="3714">
      <c r="A3714" s="2" t="s">
        <v>4692</v>
      </c>
      <c r="B3714" s="2" t="s">
        <v>4759</v>
      </c>
      <c r="D3714" s="2" t="s">
        <v>4691</v>
      </c>
    </row>
    <row r="3715">
      <c r="A3715" s="2" t="s">
        <v>4692</v>
      </c>
      <c r="B3715" s="2" t="s">
        <v>4783</v>
      </c>
      <c r="D3715" s="2" t="s">
        <v>4691</v>
      </c>
    </row>
    <row r="3716">
      <c r="A3716" s="2" t="s">
        <v>4692</v>
      </c>
      <c r="B3716" s="2" t="s">
        <v>4764</v>
      </c>
      <c r="D3716" s="2" t="s">
        <v>4691</v>
      </c>
    </row>
    <row r="3717">
      <c r="A3717" s="2" t="s">
        <v>4692</v>
      </c>
      <c r="B3717" s="2" t="s">
        <v>4782</v>
      </c>
      <c r="D3717" s="2" t="s">
        <v>4691</v>
      </c>
    </row>
    <row r="3718">
      <c r="A3718" s="2" t="s">
        <v>4692</v>
      </c>
      <c r="B3718" s="2" t="s">
        <v>4728</v>
      </c>
      <c r="D3718" s="2" t="s">
        <v>4691</v>
      </c>
    </row>
    <row r="3719">
      <c r="A3719" s="2" t="s">
        <v>4692</v>
      </c>
      <c r="B3719" s="2" t="s">
        <v>4757</v>
      </c>
      <c r="D3719" s="2" t="s">
        <v>4691</v>
      </c>
    </row>
    <row r="3720">
      <c r="A3720" s="2" t="s">
        <v>4692</v>
      </c>
      <c r="B3720" s="2" t="s">
        <v>4756</v>
      </c>
      <c r="D3720" s="2" t="s">
        <v>4691</v>
      </c>
    </row>
    <row r="3721">
      <c r="A3721" s="2" t="s">
        <v>4692</v>
      </c>
      <c r="B3721" s="2" t="s">
        <v>4731</v>
      </c>
      <c r="D3721" s="2" t="s">
        <v>4691</v>
      </c>
    </row>
    <row r="3722">
      <c r="A3722" s="2" t="s">
        <v>4692</v>
      </c>
      <c r="B3722" s="2" t="s">
        <v>4743</v>
      </c>
      <c r="D3722" s="2" t="s">
        <v>4691</v>
      </c>
    </row>
    <row r="3723">
      <c r="A3723" s="2" t="s">
        <v>4692</v>
      </c>
      <c r="B3723" s="2" t="s">
        <v>4774</v>
      </c>
      <c r="D3723" s="2" t="s">
        <v>4691</v>
      </c>
    </row>
    <row r="3724">
      <c r="A3724" s="2" t="s">
        <v>4692</v>
      </c>
      <c r="B3724" s="2" t="s">
        <v>4741</v>
      </c>
      <c r="D3724" s="2" t="s">
        <v>4691</v>
      </c>
    </row>
    <row r="3725">
      <c r="A3725" s="2" t="s">
        <v>4692</v>
      </c>
      <c r="B3725" s="2" t="s">
        <v>4784</v>
      </c>
      <c r="D3725" s="2" t="s">
        <v>4691</v>
      </c>
    </row>
    <row r="3726">
      <c r="A3726" s="2" t="s">
        <v>4692</v>
      </c>
      <c r="B3726" s="2" t="s">
        <v>4785</v>
      </c>
      <c r="D3726" s="2" t="s">
        <v>4691</v>
      </c>
    </row>
    <row r="3727">
      <c r="A3727" s="2" t="s">
        <v>4692</v>
      </c>
      <c r="B3727" s="2" t="s">
        <v>4736</v>
      </c>
      <c r="D3727" s="2" t="s">
        <v>4691</v>
      </c>
    </row>
    <row r="3728">
      <c r="A3728" s="2" t="s">
        <v>4692</v>
      </c>
      <c r="B3728" s="2" t="s">
        <v>4738</v>
      </c>
      <c r="D3728" s="2" t="s">
        <v>4691</v>
      </c>
    </row>
    <row r="3729">
      <c r="A3729" s="2" t="s">
        <v>4692</v>
      </c>
      <c r="B3729" s="2" t="s">
        <v>4786</v>
      </c>
      <c r="D3729" s="2" t="s">
        <v>4691</v>
      </c>
    </row>
    <row r="3730">
      <c r="A3730" s="2" t="s">
        <v>4692</v>
      </c>
      <c r="B3730" s="2" t="s">
        <v>4764</v>
      </c>
      <c r="D3730" s="2" t="s">
        <v>4691</v>
      </c>
    </row>
    <row r="3731">
      <c r="A3731" s="2" t="s">
        <v>4692</v>
      </c>
      <c r="B3731" s="2" t="s">
        <v>4779</v>
      </c>
      <c r="D3731" s="2" t="s">
        <v>4691</v>
      </c>
    </row>
    <row r="3732">
      <c r="A3732" s="2" t="s">
        <v>4692</v>
      </c>
      <c r="B3732" s="2" t="s">
        <v>4755</v>
      </c>
      <c r="D3732" s="2" t="s">
        <v>4691</v>
      </c>
    </row>
    <row r="3733">
      <c r="A3733" s="2" t="s">
        <v>4692</v>
      </c>
      <c r="B3733" s="2" t="s">
        <v>4731</v>
      </c>
      <c r="D3733" s="2" t="s">
        <v>4691</v>
      </c>
    </row>
    <row r="3734">
      <c r="A3734" s="2" t="s">
        <v>4692</v>
      </c>
      <c r="B3734" s="2" t="s">
        <v>4758</v>
      </c>
      <c r="D3734" s="2" t="s">
        <v>4691</v>
      </c>
    </row>
    <row r="3735">
      <c r="A3735" s="2" t="s">
        <v>4692</v>
      </c>
      <c r="B3735" s="2" t="s">
        <v>4757</v>
      </c>
      <c r="D3735" s="2" t="s">
        <v>4691</v>
      </c>
    </row>
    <row r="3736">
      <c r="A3736" s="2" t="s">
        <v>4692</v>
      </c>
      <c r="B3736" s="2" t="s">
        <v>4758</v>
      </c>
      <c r="D3736" s="2" t="s">
        <v>4691</v>
      </c>
    </row>
    <row r="3737">
      <c r="A3737" s="2" t="s">
        <v>4692</v>
      </c>
      <c r="B3737" s="2" t="s">
        <v>4735</v>
      </c>
      <c r="D3737" s="2" t="s">
        <v>4691</v>
      </c>
    </row>
    <row r="3738">
      <c r="A3738" s="2" t="s">
        <v>4692</v>
      </c>
      <c r="B3738" s="2" t="s">
        <v>4729</v>
      </c>
      <c r="D3738" s="2" t="s">
        <v>4691</v>
      </c>
    </row>
    <row r="3739">
      <c r="A3739" s="2" t="s">
        <v>4692</v>
      </c>
      <c r="B3739" s="2" t="s">
        <v>4743</v>
      </c>
      <c r="D3739" s="2" t="s">
        <v>4691</v>
      </c>
    </row>
    <row r="3740">
      <c r="A3740" s="2" t="s">
        <v>4692</v>
      </c>
      <c r="B3740" s="2" t="s">
        <v>4757</v>
      </c>
      <c r="D3740" s="2" t="s">
        <v>4691</v>
      </c>
    </row>
    <row r="3741">
      <c r="A3741" s="2" t="s">
        <v>4692</v>
      </c>
      <c r="B3741" s="2" t="s">
        <v>4708</v>
      </c>
      <c r="D3741" s="2" t="s">
        <v>4691</v>
      </c>
    </row>
    <row r="3742">
      <c r="A3742" s="2" t="s">
        <v>4692</v>
      </c>
      <c r="B3742" s="2" t="s">
        <v>4756</v>
      </c>
      <c r="D3742" s="2" t="s">
        <v>4691</v>
      </c>
    </row>
    <row r="3743">
      <c r="A3743" s="2" t="s">
        <v>4692</v>
      </c>
      <c r="B3743" s="2" t="s">
        <v>4748</v>
      </c>
      <c r="D3743" s="2" t="s">
        <v>4691</v>
      </c>
    </row>
    <row r="3744">
      <c r="A3744" s="2" t="s">
        <v>4692</v>
      </c>
      <c r="B3744" s="2" t="s">
        <v>4787</v>
      </c>
      <c r="D3744" s="2" t="s">
        <v>4691</v>
      </c>
    </row>
    <row r="3745">
      <c r="A3745" s="2" t="s">
        <v>4692</v>
      </c>
      <c r="B3745" s="2" t="s">
        <v>4783</v>
      </c>
      <c r="D3745" s="2" t="s">
        <v>4691</v>
      </c>
    </row>
    <row r="3746">
      <c r="A3746" s="2" t="s">
        <v>4692</v>
      </c>
      <c r="B3746" s="2" t="s">
        <v>4788</v>
      </c>
      <c r="D3746" s="2" t="s">
        <v>4691</v>
      </c>
    </row>
    <row r="3747">
      <c r="A3747" s="2" t="s">
        <v>4692</v>
      </c>
      <c r="B3747" s="2" t="s">
        <v>4757</v>
      </c>
      <c r="D3747" s="2" t="s">
        <v>4691</v>
      </c>
    </row>
    <row r="3748">
      <c r="A3748" s="2" t="s">
        <v>4692</v>
      </c>
      <c r="B3748" s="2" t="s">
        <v>4789</v>
      </c>
      <c r="D3748" s="2" t="s">
        <v>4691</v>
      </c>
    </row>
    <row r="3749">
      <c r="A3749" s="2" t="s">
        <v>4692</v>
      </c>
      <c r="B3749" s="2" t="s">
        <v>4790</v>
      </c>
      <c r="D3749" s="2" t="s">
        <v>4691</v>
      </c>
    </row>
    <row r="3750">
      <c r="A3750" s="2" t="s">
        <v>4692</v>
      </c>
      <c r="B3750" s="2" t="s">
        <v>4774</v>
      </c>
      <c r="D3750" s="2" t="s">
        <v>4691</v>
      </c>
    </row>
    <row r="3751">
      <c r="A3751" s="2" t="s">
        <v>4692</v>
      </c>
      <c r="B3751" s="2" t="s">
        <v>4791</v>
      </c>
      <c r="D3751" s="2" t="s">
        <v>4691</v>
      </c>
    </row>
    <row r="3752">
      <c r="A3752" s="2" t="s">
        <v>4692</v>
      </c>
      <c r="B3752" s="2" t="s">
        <v>4792</v>
      </c>
      <c r="D3752" s="2" t="s">
        <v>4691</v>
      </c>
    </row>
    <row r="3753">
      <c r="A3753" s="2" t="s">
        <v>4692</v>
      </c>
      <c r="B3753" s="2" t="s">
        <v>4759</v>
      </c>
      <c r="D3753" s="2" t="s">
        <v>4691</v>
      </c>
    </row>
    <row r="3754">
      <c r="A3754" s="2" t="s">
        <v>4692</v>
      </c>
      <c r="B3754" s="2" t="s">
        <v>4731</v>
      </c>
      <c r="D3754" s="2" t="s">
        <v>4691</v>
      </c>
    </row>
    <row r="3755">
      <c r="A3755" s="2" t="s">
        <v>4692</v>
      </c>
      <c r="B3755" s="2" t="s">
        <v>4764</v>
      </c>
      <c r="D3755" s="2" t="s">
        <v>4691</v>
      </c>
    </row>
    <row r="3756">
      <c r="A3756" s="2" t="s">
        <v>4692</v>
      </c>
      <c r="B3756" s="2" t="s">
        <v>4757</v>
      </c>
      <c r="D3756" s="2" t="s">
        <v>4691</v>
      </c>
    </row>
    <row r="3757">
      <c r="A3757" s="2" t="s">
        <v>4692</v>
      </c>
      <c r="B3757" s="2" t="s">
        <v>4793</v>
      </c>
      <c r="D3757" s="2" t="s">
        <v>4691</v>
      </c>
    </row>
    <row r="3758">
      <c r="A3758" s="2" t="s">
        <v>4692</v>
      </c>
      <c r="B3758" s="2" t="s">
        <v>4794</v>
      </c>
      <c r="D3758" s="2" t="s">
        <v>4691</v>
      </c>
    </row>
    <row r="3759">
      <c r="A3759" s="2" t="s">
        <v>4692</v>
      </c>
      <c r="B3759" s="2" t="s">
        <v>4756</v>
      </c>
      <c r="D3759" s="2" t="s">
        <v>4691</v>
      </c>
    </row>
    <row r="3760">
      <c r="A3760" s="2" t="s">
        <v>4692</v>
      </c>
      <c r="B3760" s="2" t="s">
        <v>4787</v>
      </c>
      <c r="D3760" s="2" t="s">
        <v>4691</v>
      </c>
    </row>
    <row r="3761">
      <c r="A3761" s="2" t="s">
        <v>4692</v>
      </c>
      <c r="B3761" s="2" t="s">
        <v>4756</v>
      </c>
      <c r="D3761" s="2" t="s">
        <v>4691</v>
      </c>
    </row>
    <row r="3762">
      <c r="A3762" s="2" t="s">
        <v>4692</v>
      </c>
      <c r="B3762" s="2" t="s">
        <v>4794</v>
      </c>
      <c r="D3762" s="2" t="s">
        <v>4691</v>
      </c>
    </row>
    <row r="3763">
      <c r="A3763" s="2" t="s">
        <v>4692</v>
      </c>
      <c r="B3763" s="2" t="s">
        <v>4795</v>
      </c>
      <c r="D3763" s="2" t="s">
        <v>4691</v>
      </c>
    </row>
    <row r="3764">
      <c r="A3764" s="2" t="s">
        <v>4692</v>
      </c>
      <c r="B3764" s="2" t="s">
        <v>4796</v>
      </c>
      <c r="D3764" s="2" t="s">
        <v>4691</v>
      </c>
    </row>
    <row r="3765">
      <c r="A3765" s="2" t="s">
        <v>4692</v>
      </c>
      <c r="B3765" s="2" t="s">
        <v>4797</v>
      </c>
      <c r="D3765" s="2" t="s">
        <v>4691</v>
      </c>
    </row>
    <row r="3766">
      <c r="A3766" s="2" t="s">
        <v>4798</v>
      </c>
      <c r="B3766" s="2" t="s">
        <v>4799</v>
      </c>
      <c r="D3766" s="2" t="s">
        <v>4800</v>
      </c>
      <c r="G3766" s="2" t="s">
        <v>4801</v>
      </c>
    </row>
    <row r="3767">
      <c r="A3767" s="2" t="s">
        <v>4802</v>
      </c>
      <c r="B3767" s="2" t="s">
        <v>4803</v>
      </c>
      <c r="D3767" s="2" t="s">
        <v>4800</v>
      </c>
      <c r="G3767" s="2" t="s">
        <v>4801</v>
      </c>
    </row>
    <row r="3768">
      <c r="A3768" s="2" t="s">
        <v>4802</v>
      </c>
      <c r="B3768" s="2" t="s">
        <v>4804</v>
      </c>
      <c r="D3768" s="2" t="s">
        <v>4800</v>
      </c>
      <c r="G3768" s="2" t="s">
        <v>4801</v>
      </c>
    </row>
    <row r="3769">
      <c r="A3769" s="2" t="s">
        <v>4805</v>
      </c>
      <c r="B3769" s="2" t="s">
        <v>4806</v>
      </c>
      <c r="D3769" s="2" t="s">
        <v>4800</v>
      </c>
      <c r="G3769" s="2" t="s">
        <v>4801</v>
      </c>
    </row>
    <row r="3770">
      <c r="A3770" s="2" t="s">
        <v>4807</v>
      </c>
      <c r="B3770" s="2" t="s">
        <v>4808</v>
      </c>
      <c r="D3770" s="2" t="s">
        <v>4800</v>
      </c>
      <c r="G3770" s="2" t="s">
        <v>4801</v>
      </c>
    </row>
    <row r="3771">
      <c r="A3771" s="2" t="s">
        <v>4807</v>
      </c>
      <c r="B3771" s="2" t="s">
        <v>4809</v>
      </c>
      <c r="D3771" s="2" t="s">
        <v>4800</v>
      </c>
      <c r="G3771" s="2" t="s">
        <v>4801</v>
      </c>
    </row>
    <row r="3772">
      <c r="A3772" s="2" t="s">
        <v>4807</v>
      </c>
      <c r="B3772" s="2" t="s">
        <v>4810</v>
      </c>
      <c r="D3772" s="2" t="s">
        <v>4800</v>
      </c>
      <c r="G3772" s="2" t="s">
        <v>4801</v>
      </c>
    </row>
    <row r="3773">
      <c r="A3773" s="2" t="s">
        <v>4807</v>
      </c>
      <c r="B3773" s="2" t="s">
        <v>4811</v>
      </c>
      <c r="D3773" s="2" t="s">
        <v>4800</v>
      </c>
      <c r="G3773" s="2" t="s">
        <v>4801</v>
      </c>
    </row>
    <row r="3774">
      <c r="A3774" s="2" t="s">
        <v>4807</v>
      </c>
      <c r="B3774" s="2" t="s">
        <v>4812</v>
      </c>
      <c r="D3774" s="2" t="s">
        <v>4800</v>
      </c>
      <c r="G3774" s="2" t="s">
        <v>4801</v>
      </c>
    </row>
    <row r="3775">
      <c r="A3775" s="2" t="s">
        <v>4807</v>
      </c>
      <c r="B3775" s="2" t="s">
        <v>4813</v>
      </c>
      <c r="D3775" s="2" t="s">
        <v>4800</v>
      </c>
      <c r="G3775" s="2" t="s">
        <v>4801</v>
      </c>
    </row>
    <row r="3776">
      <c r="A3776" s="2" t="s">
        <v>4807</v>
      </c>
      <c r="B3776" s="2" t="s">
        <v>4814</v>
      </c>
      <c r="D3776" s="2" t="s">
        <v>4800</v>
      </c>
      <c r="G3776" s="2" t="s">
        <v>4801</v>
      </c>
    </row>
    <row r="3777">
      <c r="A3777" s="2" t="s">
        <v>4807</v>
      </c>
      <c r="B3777" s="2" t="s">
        <v>4815</v>
      </c>
      <c r="D3777" s="2" t="s">
        <v>4800</v>
      </c>
      <c r="G3777" s="2" t="s">
        <v>4801</v>
      </c>
    </row>
    <row r="3778">
      <c r="A3778" s="2" t="s">
        <v>4807</v>
      </c>
      <c r="B3778" s="2" t="s">
        <v>4816</v>
      </c>
      <c r="D3778" s="2" t="s">
        <v>4800</v>
      </c>
      <c r="G3778" s="2" t="s">
        <v>4801</v>
      </c>
    </row>
    <row r="3779">
      <c r="A3779" s="2" t="s">
        <v>4807</v>
      </c>
      <c r="B3779" s="2" t="s">
        <v>4817</v>
      </c>
      <c r="D3779" s="2" t="s">
        <v>4800</v>
      </c>
      <c r="G3779" s="2" t="s">
        <v>4801</v>
      </c>
    </row>
    <row r="3780">
      <c r="A3780" s="2" t="s">
        <v>4807</v>
      </c>
      <c r="B3780" s="2" t="s">
        <v>4818</v>
      </c>
      <c r="D3780" s="2" t="s">
        <v>4800</v>
      </c>
      <c r="G3780" s="2" t="s">
        <v>4801</v>
      </c>
    </row>
    <row r="3781">
      <c r="A3781" s="2" t="s">
        <v>4807</v>
      </c>
      <c r="B3781" s="2" t="s">
        <v>4819</v>
      </c>
      <c r="D3781" s="2" t="s">
        <v>4800</v>
      </c>
      <c r="G3781" s="2" t="s">
        <v>4801</v>
      </c>
    </row>
    <row r="3782">
      <c r="A3782" s="2" t="s">
        <v>4807</v>
      </c>
      <c r="B3782" s="2" t="s">
        <v>4820</v>
      </c>
      <c r="D3782" s="2" t="s">
        <v>4800</v>
      </c>
      <c r="G3782" s="2" t="s">
        <v>4801</v>
      </c>
    </row>
    <row r="3783">
      <c r="A3783" s="2" t="s">
        <v>4807</v>
      </c>
      <c r="B3783" s="2" t="s">
        <v>4821</v>
      </c>
      <c r="D3783" s="2" t="s">
        <v>4800</v>
      </c>
      <c r="G3783" s="2" t="s">
        <v>4801</v>
      </c>
    </row>
    <row r="3784">
      <c r="A3784" s="2" t="s">
        <v>4807</v>
      </c>
      <c r="B3784" s="2" t="s">
        <v>4822</v>
      </c>
      <c r="D3784" s="2" t="s">
        <v>4800</v>
      </c>
      <c r="G3784" s="2" t="s">
        <v>4801</v>
      </c>
    </row>
    <row r="3785">
      <c r="A3785" s="2" t="s">
        <v>4807</v>
      </c>
      <c r="B3785" s="2" t="s">
        <v>4823</v>
      </c>
      <c r="D3785" s="2" t="s">
        <v>4800</v>
      </c>
      <c r="G3785" s="2" t="s">
        <v>4801</v>
      </c>
    </row>
    <row r="3786">
      <c r="A3786" s="2" t="s">
        <v>4807</v>
      </c>
      <c r="B3786" s="2" t="s">
        <v>4824</v>
      </c>
      <c r="D3786" s="2" t="s">
        <v>4800</v>
      </c>
      <c r="G3786" s="2" t="s">
        <v>4801</v>
      </c>
    </row>
    <row r="3787">
      <c r="A3787" s="2" t="s">
        <v>4807</v>
      </c>
      <c r="B3787" s="2" t="s">
        <v>4825</v>
      </c>
      <c r="D3787" s="2" t="s">
        <v>4800</v>
      </c>
      <c r="G3787" s="2" t="s">
        <v>4801</v>
      </c>
    </row>
    <row r="3788">
      <c r="A3788" s="2" t="s">
        <v>4807</v>
      </c>
      <c r="B3788" s="2" t="s">
        <v>4826</v>
      </c>
      <c r="D3788" s="2" t="s">
        <v>4800</v>
      </c>
      <c r="G3788" s="2" t="s">
        <v>4801</v>
      </c>
    </row>
    <row r="3789">
      <c r="A3789" s="2" t="s">
        <v>4807</v>
      </c>
      <c r="B3789" s="2" t="s">
        <v>4827</v>
      </c>
      <c r="D3789" s="2" t="s">
        <v>4800</v>
      </c>
      <c r="G3789" s="2" t="s">
        <v>4801</v>
      </c>
    </row>
    <row r="3790">
      <c r="A3790" s="2" t="s">
        <v>4807</v>
      </c>
      <c r="B3790" s="2" t="s">
        <v>4828</v>
      </c>
      <c r="D3790" s="2" t="s">
        <v>4800</v>
      </c>
      <c r="G3790" s="2" t="s">
        <v>4801</v>
      </c>
    </row>
    <row r="3791">
      <c r="A3791" s="2" t="s">
        <v>4807</v>
      </c>
      <c r="B3791" s="2" t="s">
        <v>4829</v>
      </c>
      <c r="D3791" s="2" t="s">
        <v>4800</v>
      </c>
      <c r="G3791" s="2" t="s">
        <v>4801</v>
      </c>
    </row>
    <row r="3792">
      <c r="A3792" s="2" t="s">
        <v>4807</v>
      </c>
      <c r="B3792" s="2" t="s">
        <v>4831</v>
      </c>
      <c r="D3792" s="2" t="s">
        <v>4800</v>
      </c>
      <c r="G3792" s="2" t="s">
        <v>4801</v>
      </c>
    </row>
    <row r="3793">
      <c r="A3793" s="2" t="s">
        <v>4807</v>
      </c>
      <c r="B3793" s="2" t="s">
        <v>4832</v>
      </c>
      <c r="D3793" s="2" t="s">
        <v>4800</v>
      </c>
      <c r="G3793" s="2" t="s">
        <v>4801</v>
      </c>
    </row>
    <row r="3794">
      <c r="A3794" s="2" t="s">
        <v>4807</v>
      </c>
      <c r="B3794" s="2" t="s">
        <v>4833</v>
      </c>
      <c r="D3794" s="2" t="s">
        <v>4800</v>
      </c>
      <c r="G3794" s="2" t="s">
        <v>4801</v>
      </c>
    </row>
    <row r="3795">
      <c r="A3795" s="2" t="s">
        <v>4807</v>
      </c>
      <c r="B3795" s="2" t="s">
        <v>4834</v>
      </c>
      <c r="D3795" s="2" t="s">
        <v>4800</v>
      </c>
      <c r="G3795" s="2" t="s">
        <v>4801</v>
      </c>
    </row>
    <row r="3796">
      <c r="A3796" s="2" t="s">
        <v>4807</v>
      </c>
      <c r="B3796" s="2" t="s">
        <v>4835</v>
      </c>
      <c r="D3796" s="2" t="s">
        <v>4800</v>
      </c>
      <c r="G3796" s="2" t="s">
        <v>4801</v>
      </c>
    </row>
    <row r="3797">
      <c r="A3797" s="2" t="s">
        <v>4807</v>
      </c>
      <c r="B3797" s="2" t="s">
        <v>4834</v>
      </c>
      <c r="D3797" s="2" t="s">
        <v>4800</v>
      </c>
      <c r="G3797" s="2" t="s">
        <v>4801</v>
      </c>
    </row>
    <row r="3798">
      <c r="A3798" s="2" t="s">
        <v>4807</v>
      </c>
      <c r="B3798" s="2" t="s">
        <v>4836</v>
      </c>
      <c r="D3798" s="2" t="s">
        <v>4800</v>
      </c>
      <c r="G3798" s="2" t="s">
        <v>4801</v>
      </c>
    </row>
    <row r="3799">
      <c r="A3799" s="2" t="s">
        <v>4807</v>
      </c>
      <c r="B3799" s="2" t="s">
        <v>4837</v>
      </c>
      <c r="D3799" s="2" t="s">
        <v>4800</v>
      </c>
      <c r="G3799" s="2" t="s">
        <v>4801</v>
      </c>
    </row>
    <row r="3800">
      <c r="A3800" s="2" t="s">
        <v>4807</v>
      </c>
      <c r="B3800" s="2" t="s">
        <v>4836</v>
      </c>
      <c r="D3800" s="2" t="s">
        <v>4800</v>
      </c>
      <c r="G3800" s="2" t="s">
        <v>4801</v>
      </c>
    </row>
    <row r="3801">
      <c r="A3801" s="2" t="s">
        <v>4807</v>
      </c>
      <c r="B3801" s="2" t="s">
        <v>4838</v>
      </c>
      <c r="D3801" s="2" t="s">
        <v>4800</v>
      </c>
      <c r="G3801" s="2" t="s">
        <v>4801</v>
      </c>
    </row>
    <row r="3802">
      <c r="A3802" s="2" t="s">
        <v>4807</v>
      </c>
      <c r="B3802" s="2" t="s">
        <v>4836</v>
      </c>
      <c r="D3802" s="2" t="s">
        <v>4800</v>
      </c>
      <c r="G3802" s="2" t="s">
        <v>4801</v>
      </c>
    </row>
    <row r="3803">
      <c r="A3803" s="2" t="s">
        <v>4807</v>
      </c>
      <c r="B3803" s="2" t="s">
        <v>4839</v>
      </c>
      <c r="D3803" s="2" t="s">
        <v>4800</v>
      </c>
      <c r="G3803" s="2" t="s">
        <v>4801</v>
      </c>
    </row>
    <row r="3804">
      <c r="A3804" s="2" t="s">
        <v>4807</v>
      </c>
      <c r="B3804" s="2" t="s">
        <v>4836</v>
      </c>
      <c r="D3804" s="2" t="s">
        <v>4800</v>
      </c>
      <c r="G3804" s="2" t="s">
        <v>4801</v>
      </c>
    </row>
    <row r="3805">
      <c r="A3805" s="2" t="s">
        <v>4807</v>
      </c>
      <c r="B3805" s="2" t="s">
        <v>4840</v>
      </c>
      <c r="D3805" s="2" t="s">
        <v>4800</v>
      </c>
      <c r="G3805" s="2" t="s">
        <v>4801</v>
      </c>
    </row>
    <row r="3806">
      <c r="A3806" s="2" t="s">
        <v>4807</v>
      </c>
      <c r="B3806" s="2" t="s">
        <v>4836</v>
      </c>
      <c r="D3806" s="2" t="s">
        <v>4800</v>
      </c>
      <c r="G3806" s="2" t="s">
        <v>4801</v>
      </c>
    </row>
    <row r="3807">
      <c r="A3807" s="2" t="s">
        <v>4807</v>
      </c>
      <c r="B3807" s="2" t="s">
        <v>4842</v>
      </c>
      <c r="D3807" s="2" t="s">
        <v>4800</v>
      </c>
      <c r="G3807" s="2" t="s">
        <v>4801</v>
      </c>
    </row>
    <row r="3808">
      <c r="A3808" s="2" t="s">
        <v>4807</v>
      </c>
      <c r="B3808" s="2" t="s">
        <v>4843</v>
      </c>
      <c r="D3808" s="2" t="s">
        <v>4800</v>
      </c>
      <c r="G3808" s="2" t="s">
        <v>4801</v>
      </c>
    </row>
    <row r="3809">
      <c r="A3809" s="2" t="s">
        <v>4807</v>
      </c>
      <c r="B3809" s="2" t="s">
        <v>4844</v>
      </c>
      <c r="D3809" s="2" t="s">
        <v>4800</v>
      </c>
      <c r="G3809" s="2" t="s">
        <v>4801</v>
      </c>
    </row>
    <row r="3810">
      <c r="A3810" s="2" t="s">
        <v>4807</v>
      </c>
      <c r="B3810" s="2" t="s">
        <v>4845</v>
      </c>
      <c r="D3810" s="2" t="s">
        <v>4800</v>
      </c>
      <c r="G3810" s="2" t="s">
        <v>4801</v>
      </c>
    </row>
    <row r="3811">
      <c r="A3811" s="2" t="s">
        <v>4807</v>
      </c>
      <c r="B3811" s="2" t="s">
        <v>4846</v>
      </c>
      <c r="D3811" s="2" t="s">
        <v>4800</v>
      </c>
      <c r="G3811" s="2" t="s">
        <v>4801</v>
      </c>
    </row>
    <row r="3812">
      <c r="A3812" s="2" t="s">
        <v>4807</v>
      </c>
      <c r="B3812" s="2" t="s">
        <v>4847</v>
      </c>
      <c r="D3812" s="2" t="s">
        <v>4800</v>
      </c>
      <c r="G3812" s="2" t="s">
        <v>4801</v>
      </c>
    </row>
    <row r="3813">
      <c r="A3813" s="2" t="s">
        <v>4807</v>
      </c>
      <c r="B3813" s="2" t="s">
        <v>4848</v>
      </c>
      <c r="D3813" s="2" t="s">
        <v>4800</v>
      </c>
      <c r="G3813" s="2" t="s">
        <v>4801</v>
      </c>
    </row>
    <row r="3814">
      <c r="A3814" s="2" t="s">
        <v>4807</v>
      </c>
      <c r="B3814" s="2" t="s">
        <v>4849</v>
      </c>
      <c r="D3814" s="2" t="s">
        <v>4800</v>
      </c>
      <c r="G3814" s="2" t="s">
        <v>4801</v>
      </c>
    </row>
    <row r="3815">
      <c r="A3815" s="2" t="s">
        <v>4807</v>
      </c>
      <c r="B3815" s="2" t="s">
        <v>4850</v>
      </c>
      <c r="D3815" s="2" t="s">
        <v>4800</v>
      </c>
      <c r="G3815" s="2" t="s">
        <v>4801</v>
      </c>
    </row>
    <row r="3816">
      <c r="A3816" s="2" t="s">
        <v>4807</v>
      </c>
      <c r="B3816" s="2" t="s">
        <v>4851</v>
      </c>
      <c r="D3816" s="2" t="s">
        <v>4800</v>
      </c>
      <c r="G3816" s="2" t="s">
        <v>4801</v>
      </c>
    </row>
    <row r="3817">
      <c r="A3817" s="2" t="s">
        <v>4807</v>
      </c>
      <c r="B3817" s="2" t="s">
        <v>4852</v>
      </c>
      <c r="D3817" s="2" t="s">
        <v>4800</v>
      </c>
      <c r="G3817" s="2" t="s">
        <v>4801</v>
      </c>
    </row>
    <row r="3818">
      <c r="A3818" s="2" t="s">
        <v>4807</v>
      </c>
      <c r="B3818" s="2" t="s">
        <v>4853</v>
      </c>
      <c r="D3818" s="2" t="s">
        <v>4800</v>
      </c>
      <c r="G3818" s="2" t="s">
        <v>4801</v>
      </c>
    </row>
    <row r="3819">
      <c r="A3819" s="2" t="s">
        <v>4807</v>
      </c>
      <c r="B3819" s="2" t="s">
        <v>4854</v>
      </c>
      <c r="D3819" s="2" t="s">
        <v>4800</v>
      </c>
      <c r="G3819" s="2" t="s">
        <v>4801</v>
      </c>
    </row>
    <row r="3820">
      <c r="A3820" s="2" t="s">
        <v>4807</v>
      </c>
      <c r="B3820" s="2" t="s">
        <v>4856</v>
      </c>
      <c r="D3820" s="2" t="s">
        <v>4800</v>
      </c>
      <c r="G3820" s="2" t="s">
        <v>4801</v>
      </c>
    </row>
    <row r="3821">
      <c r="A3821" s="2" t="s">
        <v>4807</v>
      </c>
      <c r="B3821" s="2" t="s">
        <v>4858</v>
      </c>
      <c r="D3821" s="2" t="s">
        <v>4800</v>
      </c>
      <c r="G3821" s="2" t="s">
        <v>4801</v>
      </c>
    </row>
    <row r="3822">
      <c r="A3822" s="2" t="s">
        <v>4807</v>
      </c>
      <c r="B3822" s="2" t="s">
        <v>4859</v>
      </c>
      <c r="D3822" s="2" t="s">
        <v>4800</v>
      </c>
      <c r="G3822" s="2" t="s">
        <v>4801</v>
      </c>
    </row>
    <row r="3823">
      <c r="A3823" s="2" t="s">
        <v>4807</v>
      </c>
      <c r="B3823" s="2" t="s">
        <v>4860</v>
      </c>
      <c r="D3823" s="2" t="s">
        <v>4800</v>
      </c>
      <c r="G3823" s="2" t="s">
        <v>4801</v>
      </c>
    </row>
    <row r="3824">
      <c r="A3824" s="2" t="s">
        <v>4807</v>
      </c>
      <c r="B3824" s="2" t="s">
        <v>4861</v>
      </c>
      <c r="D3824" s="2" t="s">
        <v>4800</v>
      </c>
      <c r="G3824" s="2" t="s">
        <v>4801</v>
      </c>
    </row>
    <row r="3825">
      <c r="A3825" s="2" t="s">
        <v>4807</v>
      </c>
      <c r="B3825" s="2" t="s">
        <v>4862</v>
      </c>
      <c r="D3825" s="2" t="s">
        <v>4800</v>
      </c>
      <c r="G3825" s="2" t="s">
        <v>4801</v>
      </c>
    </row>
    <row r="3826">
      <c r="A3826" s="2" t="s">
        <v>4807</v>
      </c>
      <c r="B3826" s="2" t="s">
        <v>4863</v>
      </c>
      <c r="D3826" s="2" t="s">
        <v>4800</v>
      </c>
      <c r="G3826" s="2" t="s">
        <v>4801</v>
      </c>
    </row>
    <row r="3827">
      <c r="A3827" s="2" t="s">
        <v>4807</v>
      </c>
      <c r="B3827" s="2" t="s">
        <v>4864</v>
      </c>
      <c r="D3827" s="2" t="s">
        <v>4800</v>
      </c>
      <c r="G3827" s="2" t="s">
        <v>4801</v>
      </c>
    </row>
    <row r="3828">
      <c r="A3828" s="2" t="s">
        <v>4807</v>
      </c>
      <c r="B3828" s="2" t="s">
        <v>4865</v>
      </c>
      <c r="D3828" s="2" t="s">
        <v>4800</v>
      </c>
      <c r="G3828" s="2" t="s">
        <v>4801</v>
      </c>
    </row>
    <row r="3829">
      <c r="A3829" s="2" t="s">
        <v>4807</v>
      </c>
      <c r="B3829" s="2" t="s">
        <v>4866</v>
      </c>
      <c r="D3829" s="2" t="s">
        <v>4800</v>
      </c>
      <c r="G3829" s="2" t="s">
        <v>4801</v>
      </c>
    </row>
    <row r="3830">
      <c r="A3830" s="2" t="s">
        <v>4807</v>
      </c>
      <c r="B3830" s="2" t="s">
        <v>4867</v>
      </c>
      <c r="D3830" s="2" t="s">
        <v>4800</v>
      </c>
      <c r="G3830" s="2" t="s">
        <v>4801</v>
      </c>
    </row>
    <row r="3831">
      <c r="A3831" s="2" t="s">
        <v>4807</v>
      </c>
      <c r="B3831" s="2" t="s">
        <v>4868</v>
      </c>
      <c r="D3831" s="2" t="s">
        <v>4800</v>
      </c>
      <c r="G3831" s="2" t="s">
        <v>4801</v>
      </c>
    </row>
    <row r="3832">
      <c r="A3832" s="2" t="s">
        <v>4807</v>
      </c>
      <c r="B3832" s="2" t="s">
        <v>4869</v>
      </c>
      <c r="D3832" s="2" t="s">
        <v>4800</v>
      </c>
      <c r="G3832" s="2" t="s">
        <v>4801</v>
      </c>
    </row>
    <row r="3833">
      <c r="A3833" s="2" t="s">
        <v>4807</v>
      </c>
      <c r="B3833" s="2" t="s">
        <v>4870</v>
      </c>
      <c r="D3833" s="2" t="s">
        <v>4800</v>
      </c>
      <c r="G3833" s="2" t="s">
        <v>4801</v>
      </c>
    </row>
    <row r="3834">
      <c r="A3834" s="2" t="s">
        <v>4807</v>
      </c>
      <c r="B3834" s="2" t="s">
        <v>4871</v>
      </c>
      <c r="D3834" s="2" t="s">
        <v>4800</v>
      </c>
      <c r="G3834" s="2" t="s">
        <v>4801</v>
      </c>
    </row>
    <row r="3835">
      <c r="A3835" s="2" t="s">
        <v>4807</v>
      </c>
      <c r="B3835" s="2" t="s">
        <v>4872</v>
      </c>
      <c r="D3835" s="2" t="s">
        <v>4800</v>
      </c>
      <c r="G3835" s="2" t="s">
        <v>4801</v>
      </c>
    </row>
    <row r="3836">
      <c r="A3836" s="2" t="s">
        <v>4807</v>
      </c>
      <c r="B3836" s="2" t="s">
        <v>4873</v>
      </c>
      <c r="D3836" s="2" t="s">
        <v>4800</v>
      </c>
      <c r="G3836" s="2" t="s">
        <v>4801</v>
      </c>
    </row>
    <row r="3837">
      <c r="A3837" s="2" t="s">
        <v>4807</v>
      </c>
      <c r="B3837" s="2" t="s">
        <v>4874</v>
      </c>
      <c r="D3837" s="2" t="s">
        <v>4800</v>
      </c>
      <c r="G3837" s="2" t="s">
        <v>4801</v>
      </c>
    </row>
    <row r="3838">
      <c r="A3838" s="2" t="s">
        <v>4807</v>
      </c>
      <c r="B3838" s="2" t="s">
        <v>4875</v>
      </c>
      <c r="D3838" s="2" t="s">
        <v>4800</v>
      </c>
      <c r="G3838" s="2" t="s">
        <v>4801</v>
      </c>
    </row>
    <row r="3839">
      <c r="A3839" s="2" t="s">
        <v>4807</v>
      </c>
      <c r="B3839" s="2" t="s">
        <v>4876</v>
      </c>
      <c r="D3839" s="2" t="s">
        <v>4800</v>
      </c>
      <c r="G3839" s="2" t="s">
        <v>4801</v>
      </c>
    </row>
    <row r="3840">
      <c r="A3840" s="2" t="s">
        <v>4807</v>
      </c>
      <c r="B3840" s="2" t="s">
        <v>4877</v>
      </c>
      <c r="D3840" s="2" t="s">
        <v>4800</v>
      </c>
      <c r="G3840" s="2" t="s">
        <v>4801</v>
      </c>
    </row>
    <row r="3841">
      <c r="A3841" s="2" t="s">
        <v>4807</v>
      </c>
      <c r="B3841" s="2" t="s">
        <v>4878</v>
      </c>
      <c r="D3841" s="2" t="s">
        <v>4800</v>
      </c>
      <c r="G3841" s="2" t="s">
        <v>4801</v>
      </c>
    </row>
    <row r="3842">
      <c r="A3842" s="2" t="s">
        <v>4807</v>
      </c>
      <c r="B3842" s="2" t="s">
        <v>4879</v>
      </c>
      <c r="D3842" s="2" t="s">
        <v>4800</v>
      </c>
      <c r="G3842" s="2" t="s">
        <v>4801</v>
      </c>
    </row>
    <row r="3843">
      <c r="A3843" s="2" t="s">
        <v>4807</v>
      </c>
      <c r="B3843" s="2" t="s">
        <v>4880</v>
      </c>
      <c r="D3843" s="2" t="s">
        <v>4800</v>
      </c>
      <c r="G3843" s="2" t="s">
        <v>4801</v>
      </c>
    </row>
    <row r="3844">
      <c r="A3844" s="2" t="s">
        <v>4807</v>
      </c>
      <c r="B3844" s="2" t="s">
        <v>4881</v>
      </c>
      <c r="D3844" s="2" t="s">
        <v>4800</v>
      </c>
      <c r="G3844" s="2" t="s">
        <v>4801</v>
      </c>
    </row>
    <row r="3845">
      <c r="A3845" s="2" t="s">
        <v>4807</v>
      </c>
      <c r="B3845" s="2" t="s">
        <v>4882</v>
      </c>
      <c r="D3845" s="2" t="s">
        <v>4800</v>
      </c>
      <c r="G3845" s="2" t="s">
        <v>4801</v>
      </c>
    </row>
    <row r="3846">
      <c r="A3846" s="2" t="s">
        <v>4807</v>
      </c>
      <c r="B3846" s="2" t="s">
        <v>4883</v>
      </c>
      <c r="D3846" s="2" t="s">
        <v>4800</v>
      </c>
      <c r="G3846" s="2" t="s">
        <v>4801</v>
      </c>
    </row>
    <row r="3847">
      <c r="A3847" s="2" t="s">
        <v>4807</v>
      </c>
      <c r="B3847" s="2" t="s">
        <v>4884</v>
      </c>
      <c r="D3847" s="2" t="s">
        <v>4800</v>
      </c>
      <c r="G3847" s="2" t="s">
        <v>4801</v>
      </c>
    </row>
    <row r="3848">
      <c r="A3848" s="2" t="s">
        <v>4807</v>
      </c>
      <c r="B3848" s="2" t="s">
        <v>4885</v>
      </c>
      <c r="D3848" s="2" t="s">
        <v>4800</v>
      </c>
      <c r="G3848" s="2" t="s">
        <v>4801</v>
      </c>
    </row>
    <row r="3849">
      <c r="A3849" s="2" t="s">
        <v>4807</v>
      </c>
      <c r="B3849" s="2" t="s">
        <v>4886</v>
      </c>
      <c r="D3849" s="2" t="s">
        <v>4800</v>
      </c>
      <c r="G3849" s="2" t="s">
        <v>4801</v>
      </c>
    </row>
    <row r="3850">
      <c r="A3850" s="2" t="s">
        <v>4807</v>
      </c>
      <c r="B3850" s="2" t="s">
        <v>4887</v>
      </c>
      <c r="D3850" s="2" t="s">
        <v>4800</v>
      </c>
      <c r="G3850" s="2" t="s">
        <v>4801</v>
      </c>
    </row>
    <row r="3851">
      <c r="A3851" s="2" t="s">
        <v>4807</v>
      </c>
      <c r="B3851" s="2" t="s">
        <v>4888</v>
      </c>
      <c r="D3851" s="2" t="s">
        <v>4800</v>
      </c>
      <c r="G3851" s="2" t="s">
        <v>4801</v>
      </c>
    </row>
    <row r="3852">
      <c r="A3852" s="2" t="s">
        <v>4807</v>
      </c>
      <c r="B3852" s="2" t="s">
        <v>4889</v>
      </c>
      <c r="D3852" s="2" t="s">
        <v>4800</v>
      </c>
      <c r="G3852" s="2" t="s">
        <v>4801</v>
      </c>
    </row>
    <row r="3853">
      <c r="A3853" s="2" t="s">
        <v>4807</v>
      </c>
      <c r="B3853" s="2" t="s">
        <v>4890</v>
      </c>
      <c r="D3853" s="2" t="s">
        <v>4800</v>
      </c>
      <c r="G3853" s="2" t="s">
        <v>4801</v>
      </c>
    </row>
    <row r="3854">
      <c r="A3854" s="2" t="s">
        <v>4807</v>
      </c>
      <c r="B3854" s="2" t="s">
        <v>4891</v>
      </c>
      <c r="D3854" s="2" t="s">
        <v>4800</v>
      </c>
      <c r="G3854" s="2" t="s">
        <v>4801</v>
      </c>
    </row>
    <row r="3855">
      <c r="A3855" s="2" t="s">
        <v>4807</v>
      </c>
      <c r="B3855" s="2" t="s">
        <v>4892</v>
      </c>
      <c r="D3855" s="2" t="s">
        <v>4800</v>
      </c>
      <c r="G3855" s="2" t="s">
        <v>4801</v>
      </c>
    </row>
    <row r="3856">
      <c r="A3856" s="2" t="s">
        <v>4807</v>
      </c>
      <c r="B3856" s="2" t="s">
        <v>4893</v>
      </c>
      <c r="D3856" s="2" t="s">
        <v>4800</v>
      </c>
      <c r="G3856" s="2" t="s">
        <v>4801</v>
      </c>
    </row>
    <row r="3857">
      <c r="A3857" s="2" t="s">
        <v>4807</v>
      </c>
      <c r="B3857" s="2" t="s">
        <v>4894</v>
      </c>
      <c r="D3857" s="2" t="s">
        <v>4800</v>
      </c>
      <c r="G3857" s="2" t="s">
        <v>4801</v>
      </c>
    </row>
    <row r="3858">
      <c r="A3858" s="2" t="s">
        <v>4807</v>
      </c>
      <c r="B3858" s="2" t="s">
        <v>4895</v>
      </c>
      <c r="D3858" s="2" t="s">
        <v>4800</v>
      </c>
      <c r="G3858" s="2" t="s">
        <v>4801</v>
      </c>
    </row>
    <row r="3859">
      <c r="A3859" s="2" t="s">
        <v>4807</v>
      </c>
      <c r="B3859" s="2" t="s">
        <v>4896</v>
      </c>
      <c r="D3859" s="2" t="s">
        <v>4800</v>
      </c>
      <c r="G3859" s="2" t="s">
        <v>4801</v>
      </c>
    </row>
    <row r="3860">
      <c r="A3860" s="2" t="s">
        <v>4807</v>
      </c>
      <c r="B3860" s="2" t="s">
        <v>4897</v>
      </c>
      <c r="D3860" s="2" t="s">
        <v>4800</v>
      </c>
      <c r="G3860" s="2" t="s">
        <v>4801</v>
      </c>
    </row>
    <row r="3861">
      <c r="A3861" s="2" t="s">
        <v>4807</v>
      </c>
      <c r="B3861" s="2" t="s">
        <v>4898</v>
      </c>
      <c r="D3861" s="2" t="s">
        <v>4800</v>
      </c>
      <c r="G3861" s="2" t="s">
        <v>4801</v>
      </c>
    </row>
    <row r="3862">
      <c r="A3862" s="2" t="s">
        <v>4807</v>
      </c>
      <c r="B3862" s="2" t="s">
        <v>4899</v>
      </c>
      <c r="D3862" s="2" t="s">
        <v>4800</v>
      </c>
      <c r="G3862" s="2" t="s">
        <v>4801</v>
      </c>
    </row>
    <row r="3863">
      <c r="A3863" s="2" t="s">
        <v>4807</v>
      </c>
      <c r="B3863" s="2" t="s">
        <v>4900</v>
      </c>
      <c r="D3863" s="2" t="s">
        <v>4800</v>
      </c>
      <c r="G3863" s="2" t="s">
        <v>4801</v>
      </c>
    </row>
    <row r="3864">
      <c r="A3864" s="2" t="s">
        <v>4807</v>
      </c>
      <c r="B3864" s="2" t="s">
        <v>4901</v>
      </c>
      <c r="D3864" s="2" t="s">
        <v>4800</v>
      </c>
      <c r="G3864" s="2" t="s">
        <v>4801</v>
      </c>
    </row>
    <row r="3865">
      <c r="A3865" s="2" t="s">
        <v>4807</v>
      </c>
      <c r="B3865" s="2" t="s">
        <v>4880</v>
      </c>
      <c r="D3865" s="2" t="s">
        <v>4800</v>
      </c>
      <c r="G3865" s="2" t="s">
        <v>4801</v>
      </c>
    </row>
    <row r="3866">
      <c r="A3866" s="2" t="s">
        <v>4807</v>
      </c>
      <c r="B3866" s="2" t="s">
        <v>4902</v>
      </c>
      <c r="D3866" s="2" t="s">
        <v>4800</v>
      </c>
      <c r="G3866" s="2" t="s">
        <v>4801</v>
      </c>
    </row>
    <row r="3867">
      <c r="A3867" s="2" t="s">
        <v>4807</v>
      </c>
      <c r="B3867" s="2" t="s">
        <v>4903</v>
      </c>
      <c r="D3867" s="2" t="s">
        <v>4800</v>
      </c>
      <c r="G3867" s="2" t="s">
        <v>4801</v>
      </c>
    </row>
    <row r="3868">
      <c r="A3868" s="2" t="s">
        <v>4807</v>
      </c>
      <c r="B3868" s="2" t="s">
        <v>4880</v>
      </c>
      <c r="D3868" s="2" t="s">
        <v>4800</v>
      </c>
      <c r="G3868" s="2" t="s">
        <v>4801</v>
      </c>
    </row>
    <row r="3869">
      <c r="A3869" s="2" t="s">
        <v>4807</v>
      </c>
      <c r="B3869" s="2" t="s">
        <v>4904</v>
      </c>
      <c r="D3869" s="2" t="s">
        <v>4800</v>
      </c>
      <c r="G3869" s="2" t="s">
        <v>4801</v>
      </c>
    </row>
    <row r="3870">
      <c r="A3870" s="2" t="s">
        <v>4807</v>
      </c>
      <c r="B3870" s="2" t="s">
        <v>4905</v>
      </c>
      <c r="D3870" s="2" t="s">
        <v>4800</v>
      </c>
      <c r="G3870" s="2" t="s">
        <v>4801</v>
      </c>
    </row>
    <row r="3871">
      <c r="A3871" s="2" t="s">
        <v>4807</v>
      </c>
      <c r="B3871" s="2" t="s">
        <v>4906</v>
      </c>
      <c r="D3871" s="2" t="s">
        <v>4800</v>
      </c>
      <c r="G3871" s="2" t="s">
        <v>4801</v>
      </c>
    </row>
    <row r="3872">
      <c r="A3872" s="2" t="s">
        <v>4807</v>
      </c>
      <c r="B3872" s="2" t="s">
        <v>4907</v>
      </c>
      <c r="D3872" s="2" t="s">
        <v>4800</v>
      </c>
      <c r="G3872" s="2" t="s">
        <v>4801</v>
      </c>
    </row>
    <row r="3873">
      <c r="A3873" s="2" t="s">
        <v>4807</v>
      </c>
      <c r="B3873" s="2" t="s">
        <v>4908</v>
      </c>
      <c r="D3873" s="2" t="s">
        <v>4800</v>
      </c>
      <c r="G3873" s="2" t="s">
        <v>4801</v>
      </c>
    </row>
    <row r="3874">
      <c r="A3874" s="2" t="s">
        <v>4807</v>
      </c>
      <c r="B3874" s="2" t="s">
        <v>4909</v>
      </c>
      <c r="D3874" s="2" t="s">
        <v>4800</v>
      </c>
      <c r="G3874" s="2" t="s">
        <v>4801</v>
      </c>
    </row>
    <row r="3875">
      <c r="A3875" s="2" t="s">
        <v>4807</v>
      </c>
      <c r="B3875" s="2" t="s">
        <v>4910</v>
      </c>
      <c r="D3875" s="2" t="s">
        <v>4800</v>
      </c>
      <c r="G3875" s="2" t="s">
        <v>4801</v>
      </c>
    </row>
    <row r="3876">
      <c r="A3876" s="2" t="s">
        <v>4807</v>
      </c>
      <c r="B3876" s="2" t="s">
        <v>4911</v>
      </c>
      <c r="D3876" s="2" t="s">
        <v>4800</v>
      </c>
      <c r="G3876" s="2" t="s">
        <v>4801</v>
      </c>
    </row>
    <row r="3877">
      <c r="A3877" s="2" t="s">
        <v>4807</v>
      </c>
      <c r="B3877" s="2" t="s">
        <v>4912</v>
      </c>
      <c r="D3877" s="2" t="s">
        <v>4800</v>
      </c>
      <c r="G3877" s="2" t="s">
        <v>4801</v>
      </c>
    </row>
    <row r="3878">
      <c r="A3878" s="2" t="s">
        <v>4807</v>
      </c>
      <c r="B3878" s="2" t="s">
        <v>4913</v>
      </c>
      <c r="D3878" s="2" t="s">
        <v>4800</v>
      </c>
      <c r="G3878" s="2" t="s">
        <v>4801</v>
      </c>
    </row>
    <row r="3879">
      <c r="A3879" s="2" t="s">
        <v>4807</v>
      </c>
      <c r="B3879" s="2" t="s">
        <v>4914</v>
      </c>
      <c r="D3879" s="2" t="s">
        <v>4800</v>
      </c>
      <c r="G3879" s="2" t="s">
        <v>4801</v>
      </c>
    </row>
    <row r="3880">
      <c r="A3880" s="2" t="s">
        <v>4807</v>
      </c>
      <c r="B3880" s="2" t="s">
        <v>4915</v>
      </c>
      <c r="D3880" s="2" t="s">
        <v>4800</v>
      </c>
      <c r="G3880" s="2" t="s">
        <v>4801</v>
      </c>
    </row>
    <row r="3881">
      <c r="A3881" s="2" t="s">
        <v>4807</v>
      </c>
      <c r="B3881" s="2" t="s">
        <v>4916</v>
      </c>
      <c r="D3881" s="2" t="s">
        <v>4800</v>
      </c>
      <c r="G3881" s="2" t="s">
        <v>4801</v>
      </c>
    </row>
    <row r="3882">
      <c r="A3882" s="2" t="s">
        <v>4807</v>
      </c>
      <c r="B3882" s="2" t="s">
        <v>4917</v>
      </c>
      <c r="D3882" s="2" t="s">
        <v>4800</v>
      </c>
      <c r="G3882" s="2" t="s">
        <v>4801</v>
      </c>
    </row>
    <row r="3883">
      <c r="A3883" s="2" t="s">
        <v>4807</v>
      </c>
      <c r="B3883" s="2" t="s">
        <v>4918</v>
      </c>
      <c r="D3883" s="2" t="s">
        <v>4800</v>
      </c>
      <c r="G3883" s="2" t="s">
        <v>4801</v>
      </c>
    </row>
    <row r="3884">
      <c r="A3884" s="2" t="s">
        <v>4807</v>
      </c>
      <c r="B3884" s="2" t="s">
        <v>4919</v>
      </c>
      <c r="D3884" s="2" t="s">
        <v>4800</v>
      </c>
      <c r="G3884" s="2" t="s">
        <v>4801</v>
      </c>
    </row>
    <row r="3885">
      <c r="A3885" s="2" t="s">
        <v>4807</v>
      </c>
      <c r="B3885" s="2" t="s">
        <v>4920</v>
      </c>
      <c r="D3885" s="2" t="s">
        <v>4800</v>
      </c>
      <c r="G3885" s="2" t="s">
        <v>4801</v>
      </c>
    </row>
    <row r="3886">
      <c r="A3886" s="2" t="s">
        <v>4807</v>
      </c>
      <c r="B3886" s="2" t="s">
        <v>4921</v>
      </c>
      <c r="D3886" s="2" t="s">
        <v>4800</v>
      </c>
      <c r="G3886" s="2" t="s">
        <v>4801</v>
      </c>
    </row>
    <row r="3887">
      <c r="A3887" s="2" t="s">
        <v>4807</v>
      </c>
      <c r="B3887" s="2" t="s">
        <v>4922</v>
      </c>
      <c r="D3887" s="2" t="s">
        <v>4800</v>
      </c>
      <c r="G3887" s="2" t="s">
        <v>4801</v>
      </c>
    </row>
    <row r="3888">
      <c r="A3888" s="2" t="s">
        <v>4807</v>
      </c>
      <c r="B3888" s="2" t="s">
        <v>4923</v>
      </c>
      <c r="D3888" s="2" t="s">
        <v>4800</v>
      </c>
      <c r="G3888" s="2" t="s">
        <v>4801</v>
      </c>
    </row>
    <row r="3889">
      <c r="A3889" s="2" t="s">
        <v>4807</v>
      </c>
      <c r="B3889" s="2" t="s">
        <v>4924</v>
      </c>
      <c r="D3889" s="2" t="s">
        <v>4800</v>
      </c>
      <c r="G3889" s="2" t="s">
        <v>4801</v>
      </c>
    </row>
    <row r="3890">
      <c r="A3890" s="2" t="s">
        <v>4807</v>
      </c>
      <c r="B3890" s="2" t="s">
        <v>4925</v>
      </c>
      <c r="D3890" s="2" t="s">
        <v>4800</v>
      </c>
      <c r="G3890" s="2" t="s">
        <v>4801</v>
      </c>
    </row>
    <row r="3891">
      <c r="A3891" s="2" t="s">
        <v>4807</v>
      </c>
      <c r="B3891" s="2" t="s">
        <v>4926</v>
      </c>
      <c r="D3891" s="2" t="s">
        <v>4800</v>
      </c>
      <c r="G3891" s="2" t="s">
        <v>4801</v>
      </c>
    </row>
    <row r="3892">
      <c r="A3892" s="2" t="s">
        <v>4807</v>
      </c>
      <c r="B3892" s="2" t="s">
        <v>4927</v>
      </c>
      <c r="D3892" s="2" t="s">
        <v>4800</v>
      </c>
      <c r="G3892" s="2" t="s">
        <v>4801</v>
      </c>
    </row>
    <row r="3893">
      <c r="A3893" s="2" t="s">
        <v>4807</v>
      </c>
      <c r="B3893" s="2" t="s">
        <v>4928</v>
      </c>
      <c r="D3893" s="2" t="s">
        <v>4800</v>
      </c>
      <c r="G3893" s="2" t="s">
        <v>4801</v>
      </c>
    </row>
    <row r="3894">
      <c r="A3894" s="2" t="s">
        <v>4807</v>
      </c>
      <c r="B3894" s="2" t="s">
        <v>4929</v>
      </c>
      <c r="D3894" s="2" t="s">
        <v>4800</v>
      </c>
      <c r="G3894" s="2" t="s">
        <v>4801</v>
      </c>
    </row>
    <row r="3895">
      <c r="A3895" s="2" t="s">
        <v>4807</v>
      </c>
      <c r="B3895" s="2" t="s">
        <v>4930</v>
      </c>
      <c r="D3895" s="2" t="s">
        <v>4800</v>
      </c>
      <c r="G3895" s="2" t="s">
        <v>4801</v>
      </c>
    </row>
    <row r="3896">
      <c r="A3896" s="2" t="s">
        <v>4807</v>
      </c>
      <c r="B3896" s="2" t="s">
        <v>4931</v>
      </c>
      <c r="D3896" s="2" t="s">
        <v>4800</v>
      </c>
      <c r="G3896" s="2" t="s">
        <v>4801</v>
      </c>
    </row>
    <row r="3897">
      <c r="A3897" s="2" t="s">
        <v>4807</v>
      </c>
      <c r="B3897" s="2" t="s">
        <v>4932</v>
      </c>
      <c r="D3897" s="2" t="s">
        <v>4800</v>
      </c>
      <c r="G3897" s="2" t="s">
        <v>4801</v>
      </c>
    </row>
    <row r="3898">
      <c r="A3898" s="2" t="s">
        <v>4807</v>
      </c>
      <c r="B3898" s="2" t="s">
        <v>4933</v>
      </c>
      <c r="D3898" s="2" t="s">
        <v>4800</v>
      </c>
      <c r="G3898" s="2" t="s">
        <v>4801</v>
      </c>
    </row>
    <row r="3899">
      <c r="A3899" s="2" t="s">
        <v>4807</v>
      </c>
      <c r="B3899" s="2" t="s">
        <v>4934</v>
      </c>
      <c r="D3899" s="2" t="s">
        <v>4800</v>
      </c>
      <c r="G3899" s="2" t="s">
        <v>4801</v>
      </c>
    </row>
    <row r="3900">
      <c r="A3900" s="2" t="s">
        <v>4807</v>
      </c>
      <c r="B3900" s="2" t="s">
        <v>4935</v>
      </c>
      <c r="D3900" s="2" t="s">
        <v>4800</v>
      </c>
      <c r="G3900" s="2" t="s">
        <v>4801</v>
      </c>
    </row>
    <row r="3901">
      <c r="A3901" s="2" t="s">
        <v>4807</v>
      </c>
      <c r="B3901" s="2" t="s">
        <v>4936</v>
      </c>
      <c r="D3901" s="2" t="s">
        <v>4800</v>
      </c>
      <c r="G3901" s="2" t="s">
        <v>4801</v>
      </c>
    </row>
    <row r="3902">
      <c r="A3902" s="2" t="s">
        <v>4807</v>
      </c>
      <c r="B3902" s="2" t="s">
        <v>4937</v>
      </c>
      <c r="D3902" s="2" t="s">
        <v>4800</v>
      </c>
      <c r="G3902" s="2" t="s">
        <v>4801</v>
      </c>
    </row>
    <row r="3903">
      <c r="A3903" s="2" t="s">
        <v>4807</v>
      </c>
      <c r="B3903" s="2" t="s">
        <v>4938</v>
      </c>
      <c r="D3903" s="2" t="s">
        <v>4800</v>
      </c>
      <c r="G3903" s="2" t="s">
        <v>4801</v>
      </c>
    </row>
    <row r="3904">
      <c r="A3904" s="2" t="s">
        <v>4807</v>
      </c>
      <c r="B3904" s="2" t="s">
        <v>4940</v>
      </c>
      <c r="D3904" s="2" t="s">
        <v>4800</v>
      </c>
      <c r="G3904" s="2" t="s">
        <v>4801</v>
      </c>
    </row>
    <row r="3905">
      <c r="A3905" s="2" t="s">
        <v>4807</v>
      </c>
      <c r="B3905" s="2" t="s">
        <v>4941</v>
      </c>
      <c r="D3905" s="2" t="s">
        <v>4800</v>
      </c>
      <c r="G3905" s="2" t="s">
        <v>4801</v>
      </c>
    </row>
    <row r="3906">
      <c r="A3906" s="2" t="s">
        <v>4807</v>
      </c>
      <c r="B3906" s="2" t="s">
        <v>4942</v>
      </c>
      <c r="D3906" s="2" t="s">
        <v>4800</v>
      </c>
      <c r="G3906" s="2" t="s">
        <v>4801</v>
      </c>
    </row>
    <row r="3907">
      <c r="A3907" s="2" t="s">
        <v>4807</v>
      </c>
      <c r="B3907" s="2" t="s">
        <v>4943</v>
      </c>
      <c r="D3907" s="2" t="s">
        <v>4800</v>
      </c>
      <c r="G3907" s="2" t="s">
        <v>4801</v>
      </c>
    </row>
    <row r="3908">
      <c r="A3908" s="2" t="s">
        <v>4807</v>
      </c>
      <c r="B3908" s="2" t="s">
        <v>4944</v>
      </c>
      <c r="D3908" s="2" t="s">
        <v>4800</v>
      </c>
      <c r="G3908" s="2" t="s">
        <v>4801</v>
      </c>
    </row>
    <row r="3909">
      <c r="A3909" s="2" t="s">
        <v>4807</v>
      </c>
      <c r="B3909" s="2" t="s">
        <v>4945</v>
      </c>
      <c r="D3909" s="2" t="s">
        <v>4800</v>
      </c>
      <c r="G3909" s="2" t="s">
        <v>4801</v>
      </c>
    </row>
    <row r="3910">
      <c r="A3910" s="2" t="s">
        <v>4807</v>
      </c>
      <c r="B3910" s="2" t="s">
        <v>4946</v>
      </c>
      <c r="D3910" s="2" t="s">
        <v>4800</v>
      </c>
      <c r="G3910" s="2" t="s">
        <v>4801</v>
      </c>
    </row>
    <row r="3911">
      <c r="A3911" s="2" t="s">
        <v>4807</v>
      </c>
      <c r="B3911" s="2" t="s">
        <v>4947</v>
      </c>
      <c r="D3911" s="2" t="s">
        <v>4800</v>
      </c>
      <c r="G3911" s="2" t="s">
        <v>4801</v>
      </c>
    </row>
    <row r="3912">
      <c r="A3912" s="2" t="s">
        <v>4807</v>
      </c>
      <c r="B3912" s="2" t="s">
        <v>4948</v>
      </c>
      <c r="D3912" s="2" t="s">
        <v>4800</v>
      </c>
      <c r="G3912" s="2" t="s">
        <v>4801</v>
      </c>
    </row>
    <row r="3913">
      <c r="A3913" s="2" t="s">
        <v>4807</v>
      </c>
      <c r="B3913" s="2" t="s">
        <v>4949</v>
      </c>
      <c r="D3913" s="2" t="s">
        <v>4800</v>
      </c>
      <c r="G3913" s="2" t="s">
        <v>4801</v>
      </c>
    </row>
    <row r="3914">
      <c r="A3914" s="2" t="s">
        <v>4807</v>
      </c>
      <c r="B3914" s="2" t="s">
        <v>4950</v>
      </c>
      <c r="D3914" s="2" t="s">
        <v>4800</v>
      </c>
      <c r="G3914" s="2" t="s">
        <v>4801</v>
      </c>
    </row>
    <row r="3915">
      <c r="A3915" s="2" t="s">
        <v>4807</v>
      </c>
      <c r="B3915" s="2" t="s">
        <v>4951</v>
      </c>
      <c r="D3915" s="2" t="s">
        <v>4800</v>
      </c>
      <c r="G3915" s="2" t="s">
        <v>4801</v>
      </c>
    </row>
    <row r="3916">
      <c r="A3916" s="2" t="s">
        <v>4807</v>
      </c>
      <c r="B3916" s="2" t="s">
        <v>4952</v>
      </c>
      <c r="D3916" s="2" t="s">
        <v>4800</v>
      </c>
      <c r="G3916" s="2" t="s">
        <v>4801</v>
      </c>
    </row>
    <row r="3917">
      <c r="A3917" s="2" t="s">
        <v>4807</v>
      </c>
      <c r="B3917" s="2" t="s">
        <v>4953</v>
      </c>
      <c r="D3917" s="2" t="s">
        <v>4800</v>
      </c>
      <c r="G3917" s="2" t="s">
        <v>4801</v>
      </c>
    </row>
    <row r="3918">
      <c r="A3918" s="2" t="s">
        <v>4807</v>
      </c>
      <c r="B3918" s="2" t="s">
        <v>4954</v>
      </c>
      <c r="D3918" s="2" t="s">
        <v>4800</v>
      </c>
      <c r="G3918" s="2" t="s">
        <v>4801</v>
      </c>
    </row>
    <row r="3919">
      <c r="A3919" s="2" t="s">
        <v>4807</v>
      </c>
      <c r="B3919" s="2" t="s">
        <v>4955</v>
      </c>
      <c r="D3919" s="2" t="s">
        <v>4800</v>
      </c>
      <c r="G3919" s="2" t="s">
        <v>4801</v>
      </c>
    </row>
    <row r="3920">
      <c r="A3920" s="2" t="s">
        <v>4807</v>
      </c>
      <c r="B3920" s="2" t="s">
        <v>4956</v>
      </c>
      <c r="D3920" s="2" t="s">
        <v>4800</v>
      </c>
      <c r="G3920" s="2" t="s">
        <v>4801</v>
      </c>
    </row>
    <row r="3921">
      <c r="A3921" s="2" t="s">
        <v>4807</v>
      </c>
      <c r="B3921" s="2" t="s">
        <v>4957</v>
      </c>
      <c r="D3921" s="2" t="s">
        <v>4800</v>
      </c>
      <c r="G3921" s="2" t="s">
        <v>4801</v>
      </c>
    </row>
    <row r="3922">
      <c r="A3922" s="2" t="s">
        <v>4807</v>
      </c>
      <c r="B3922" s="2" t="s">
        <v>4958</v>
      </c>
      <c r="D3922" s="2" t="s">
        <v>4800</v>
      </c>
      <c r="G3922" s="2" t="s">
        <v>4801</v>
      </c>
    </row>
    <row r="3923">
      <c r="A3923" s="2" t="s">
        <v>4807</v>
      </c>
      <c r="B3923" s="2" t="s">
        <v>4959</v>
      </c>
      <c r="D3923" s="2" t="s">
        <v>4800</v>
      </c>
      <c r="G3923" s="2" t="s">
        <v>4801</v>
      </c>
    </row>
    <row r="3924">
      <c r="A3924" s="2" t="s">
        <v>4807</v>
      </c>
      <c r="B3924" s="2" t="s">
        <v>4960</v>
      </c>
      <c r="D3924" s="2" t="s">
        <v>4800</v>
      </c>
      <c r="G3924" s="2" t="s">
        <v>4801</v>
      </c>
    </row>
    <row r="3925">
      <c r="A3925" s="2" t="s">
        <v>4807</v>
      </c>
      <c r="B3925" s="2" t="s">
        <v>4961</v>
      </c>
      <c r="D3925" s="2" t="s">
        <v>4800</v>
      </c>
      <c r="G3925" s="2" t="s">
        <v>4801</v>
      </c>
    </row>
    <row r="3926">
      <c r="A3926" s="2" t="s">
        <v>4807</v>
      </c>
      <c r="B3926" s="2" t="s">
        <v>4962</v>
      </c>
      <c r="D3926" s="2" t="s">
        <v>4800</v>
      </c>
      <c r="G3926" s="2" t="s">
        <v>4801</v>
      </c>
    </row>
    <row r="3927">
      <c r="A3927" s="2" t="s">
        <v>4807</v>
      </c>
      <c r="B3927" s="2" t="s">
        <v>4963</v>
      </c>
      <c r="D3927" s="2" t="s">
        <v>4800</v>
      </c>
      <c r="G3927" s="2" t="s">
        <v>4801</v>
      </c>
    </row>
    <row r="3928">
      <c r="A3928" s="2" t="s">
        <v>4807</v>
      </c>
      <c r="B3928" s="2" t="s">
        <v>4964</v>
      </c>
      <c r="D3928" s="2" t="s">
        <v>4800</v>
      </c>
      <c r="G3928" s="2" t="s">
        <v>4801</v>
      </c>
    </row>
    <row r="3929">
      <c r="A3929" s="2" t="s">
        <v>4807</v>
      </c>
      <c r="B3929" s="2" t="s">
        <v>4965</v>
      </c>
      <c r="D3929" s="2" t="s">
        <v>4800</v>
      </c>
      <c r="G3929" s="2" t="s">
        <v>4801</v>
      </c>
    </row>
    <row r="3930">
      <c r="A3930" s="2" t="s">
        <v>4807</v>
      </c>
      <c r="B3930" s="2" t="s">
        <v>4966</v>
      </c>
      <c r="D3930" s="2" t="s">
        <v>4800</v>
      </c>
      <c r="G3930" s="2" t="s">
        <v>4801</v>
      </c>
    </row>
    <row r="3931">
      <c r="A3931" s="2" t="s">
        <v>4807</v>
      </c>
      <c r="B3931" s="2" t="s">
        <v>4967</v>
      </c>
      <c r="D3931" s="2" t="s">
        <v>4800</v>
      </c>
      <c r="G3931" s="2" t="s">
        <v>4801</v>
      </c>
    </row>
    <row r="3932">
      <c r="A3932" s="2" t="s">
        <v>4807</v>
      </c>
      <c r="B3932" s="2" t="s">
        <v>4968</v>
      </c>
      <c r="D3932" s="2" t="s">
        <v>4800</v>
      </c>
      <c r="G3932" s="2" t="s">
        <v>4801</v>
      </c>
    </row>
    <row r="3933">
      <c r="A3933" s="2" t="s">
        <v>4807</v>
      </c>
      <c r="B3933" s="2" t="s">
        <v>4969</v>
      </c>
      <c r="D3933" s="2" t="s">
        <v>4800</v>
      </c>
      <c r="G3933" s="2" t="s">
        <v>4801</v>
      </c>
    </row>
    <row r="3934">
      <c r="A3934" s="2" t="s">
        <v>4807</v>
      </c>
      <c r="B3934" s="2" t="s">
        <v>4971</v>
      </c>
      <c r="D3934" s="2" t="s">
        <v>4800</v>
      </c>
      <c r="G3934" s="2" t="s">
        <v>4801</v>
      </c>
    </row>
    <row r="3935">
      <c r="A3935" s="2" t="s">
        <v>4807</v>
      </c>
      <c r="B3935" s="2" t="s">
        <v>4972</v>
      </c>
      <c r="D3935" s="2" t="s">
        <v>4800</v>
      </c>
      <c r="G3935" s="2" t="s">
        <v>4801</v>
      </c>
    </row>
    <row r="3936">
      <c r="A3936" s="2" t="s">
        <v>4807</v>
      </c>
      <c r="B3936" s="2" t="s">
        <v>4973</v>
      </c>
      <c r="D3936" s="2" t="s">
        <v>4800</v>
      </c>
      <c r="G3936" s="2" t="s">
        <v>4801</v>
      </c>
    </row>
    <row r="3937">
      <c r="A3937" s="2" t="s">
        <v>4807</v>
      </c>
      <c r="B3937" s="2" t="s">
        <v>4974</v>
      </c>
      <c r="D3937" s="2" t="s">
        <v>4800</v>
      </c>
      <c r="G3937" s="2" t="s">
        <v>4801</v>
      </c>
    </row>
    <row r="3938">
      <c r="A3938" s="2" t="s">
        <v>4807</v>
      </c>
      <c r="B3938" s="2" t="s">
        <v>4975</v>
      </c>
      <c r="D3938" s="2" t="s">
        <v>4800</v>
      </c>
      <c r="G3938" s="2" t="s">
        <v>4801</v>
      </c>
    </row>
    <row r="3939">
      <c r="A3939" s="2" t="s">
        <v>4807</v>
      </c>
      <c r="B3939" s="2" t="s">
        <v>4976</v>
      </c>
      <c r="D3939" s="2" t="s">
        <v>4800</v>
      </c>
      <c r="G3939" s="2" t="s">
        <v>4801</v>
      </c>
    </row>
    <row r="3940">
      <c r="A3940" s="2" t="s">
        <v>4807</v>
      </c>
      <c r="B3940" s="2" t="s">
        <v>4977</v>
      </c>
      <c r="D3940" s="2" t="s">
        <v>4800</v>
      </c>
      <c r="G3940" s="2" t="s">
        <v>4801</v>
      </c>
    </row>
    <row r="3941">
      <c r="A3941" s="2" t="s">
        <v>4807</v>
      </c>
      <c r="B3941" s="2" t="s">
        <v>4978</v>
      </c>
      <c r="D3941" s="2" t="s">
        <v>4800</v>
      </c>
      <c r="G3941" s="2" t="s">
        <v>4801</v>
      </c>
    </row>
    <row r="3942">
      <c r="A3942" s="2" t="s">
        <v>4807</v>
      </c>
      <c r="B3942" s="2" t="s">
        <v>4980</v>
      </c>
      <c r="D3942" s="2" t="s">
        <v>4800</v>
      </c>
      <c r="G3942" s="2" t="s">
        <v>4801</v>
      </c>
    </row>
    <row r="3943">
      <c r="A3943" s="2" t="s">
        <v>4807</v>
      </c>
      <c r="B3943" s="2" t="s">
        <v>4981</v>
      </c>
      <c r="D3943" s="2" t="s">
        <v>4800</v>
      </c>
      <c r="G3943" s="2" t="s">
        <v>4801</v>
      </c>
    </row>
    <row r="3944">
      <c r="A3944" s="2" t="s">
        <v>4807</v>
      </c>
      <c r="B3944" s="2" t="s">
        <v>4982</v>
      </c>
      <c r="D3944" s="2" t="s">
        <v>4800</v>
      </c>
      <c r="G3944" s="2" t="s">
        <v>4801</v>
      </c>
    </row>
    <row r="3945">
      <c r="A3945" s="2" t="s">
        <v>4807</v>
      </c>
      <c r="B3945" s="2" t="s">
        <v>4983</v>
      </c>
      <c r="D3945" s="2" t="s">
        <v>4800</v>
      </c>
      <c r="G3945" s="2" t="s">
        <v>4801</v>
      </c>
    </row>
    <row r="3946">
      <c r="A3946" s="2" t="s">
        <v>4807</v>
      </c>
      <c r="B3946" s="2" t="s">
        <v>4984</v>
      </c>
      <c r="D3946" s="2" t="s">
        <v>4800</v>
      </c>
      <c r="G3946" s="2" t="s">
        <v>4801</v>
      </c>
    </row>
    <row r="3947">
      <c r="A3947" s="2" t="s">
        <v>4807</v>
      </c>
      <c r="B3947" s="2" t="s">
        <v>4985</v>
      </c>
      <c r="D3947" s="2" t="s">
        <v>4800</v>
      </c>
      <c r="G3947" s="2" t="s">
        <v>4801</v>
      </c>
    </row>
    <row r="3948">
      <c r="A3948" s="2" t="s">
        <v>4807</v>
      </c>
      <c r="B3948" s="2" t="s">
        <v>4986</v>
      </c>
      <c r="D3948" s="2" t="s">
        <v>4800</v>
      </c>
      <c r="G3948" s="2" t="s">
        <v>4801</v>
      </c>
    </row>
    <row r="3949">
      <c r="A3949" s="2" t="s">
        <v>4807</v>
      </c>
      <c r="B3949" s="2" t="s">
        <v>4987</v>
      </c>
      <c r="D3949" s="2" t="s">
        <v>4800</v>
      </c>
      <c r="G3949" s="2" t="s">
        <v>4801</v>
      </c>
    </row>
    <row r="3950">
      <c r="A3950" s="2" t="s">
        <v>4807</v>
      </c>
      <c r="B3950" s="2" t="s">
        <v>4988</v>
      </c>
      <c r="D3950" s="2" t="s">
        <v>4800</v>
      </c>
      <c r="G3950" s="2" t="s">
        <v>4801</v>
      </c>
    </row>
    <row r="3951">
      <c r="A3951" s="2" t="s">
        <v>4807</v>
      </c>
      <c r="B3951" s="2" t="s">
        <v>4989</v>
      </c>
      <c r="D3951" s="2" t="s">
        <v>4800</v>
      </c>
      <c r="G3951" s="2" t="s">
        <v>4801</v>
      </c>
    </row>
    <row r="3952">
      <c r="A3952" s="2" t="s">
        <v>4807</v>
      </c>
      <c r="B3952" s="2" t="s">
        <v>4990</v>
      </c>
      <c r="D3952" s="2" t="s">
        <v>4800</v>
      </c>
      <c r="G3952" s="2" t="s">
        <v>4801</v>
      </c>
    </row>
    <row r="3953">
      <c r="A3953" s="2" t="s">
        <v>4807</v>
      </c>
      <c r="B3953" s="2" t="s">
        <v>4991</v>
      </c>
      <c r="D3953" s="2" t="s">
        <v>4800</v>
      </c>
      <c r="G3953" s="2" t="s">
        <v>4801</v>
      </c>
    </row>
    <row r="3954">
      <c r="A3954" s="2" t="s">
        <v>4807</v>
      </c>
      <c r="B3954" s="2" t="s">
        <v>4992</v>
      </c>
      <c r="D3954" s="2" t="s">
        <v>4800</v>
      </c>
      <c r="G3954" s="2" t="s">
        <v>4801</v>
      </c>
    </row>
    <row r="3955">
      <c r="A3955" s="2" t="s">
        <v>4807</v>
      </c>
      <c r="B3955" s="2" t="s">
        <v>4993</v>
      </c>
      <c r="D3955" s="2" t="s">
        <v>4800</v>
      </c>
      <c r="G3955" s="2" t="s">
        <v>4801</v>
      </c>
    </row>
    <row r="3956">
      <c r="A3956" s="2" t="s">
        <v>4807</v>
      </c>
      <c r="B3956" s="2" t="s">
        <v>4994</v>
      </c>
      <c r="D3956" s="2" t="s">
        <v>4800</v>
      </c>
      <c r="G3956" s="2" t="s">
        <v>4801</v>
      </c>
    </row>
    <row r="3957">
      <c r="A3957" s="2" t="s">
        <v>4807</v>
      </c>
      <c r="B3957" s="2" t="s">
        <v>4995</v>
      </c>
      <c r="D3957" s="2" t="s">
        <v>4800</v>
      </c>
      <c r="G3957" s="2" t="s">
        <v>4801</v>
      </c>
    </row>
    <row r="3958">
      <c r="A3958" s="2" t="s">
        <v>4807</v>
      </c>
      <c r="B3958" s="2" t="s">
        <v>4996</v>
      </c>
      <c r="D3958" s="2" t="s">
        <v>4800</v>
      </c>
      <c r="G3958" s="2" t="s">
        <v>4801</v>
      </c>
    </row>
    <row r="3959">
      <c r="A3959" s="2" t="s">
        <v>4807</v>
      </c>
      <c r="B3959" s="2" t="s">
        <v>4997</v>
      </c>
      <c r="D3959" s="2" t="s">
        <v>4800</v>
      </c>
      <c r="G3959" s="2" t="s">
        <v>4801</v>
      </c>
    </row>
    <row r="3960">
      <c r="A3960" s="2" t="s">
        <v>4807</v>
      </c>
      <c r="B3960" s="2" t="s">
        <v>4998</v>
      </c>
      <c r="D3960" s="2" t="s">
        <v>4800</v>
      </c>
      <c r="G3960" s="2" t="s">
        <v>4801</v>
      </c>
    </row>
    <row r="3961">
      <c r="A3961" s="2" t="s">
        <v>4807</v>
      </c>
      <c r="B3961" s="2" t="s">
        <v>4999</v>
      </c>
      <c r="D3961" s="2" t="s">
        <v>4800</v>
      </c>
      <c r="G3961" s="2" t="s">
        <v>4801</v>
      </c>
    </row>
    <row r="3962">
      <c r="A3962" s="2" t="s">
        <v>4807</v>
      </c>
      <c r="B3962" s="2" t="s">
        <v>5000</v>
      </c>
      <c r="D3962" s="2" t="s">
        <v>4800</v>
      </c>
      <c r="G3962" s="2" t="s">
        <v>4801</v>
      </c>
    </row>
    <row r="3963">
      <c r="A3963" s="2" t="s">
        <v>4807</v>
      </c>
      <c r="B3963" s="2" t="s">
        <v>5001</v>
      </c>
      <c r="D3963" s="2" t="s">
        <v>4800</v>
      </c>
      <c r="G3963" s="2" t="s">
        <v>4801</v>
      </c>
    </row>
    <row r="3964">
      <c r="A3964" s="2" t="s">
        <v>4807</v>
      </c>
      <c r="B3964" s="2" t="s">
        <v>5002</v>
      </c>
      <c r="D3964" s="2" t="s">
        <v>4800</v>
      </c>
      <c r="G3964" s="2" t="s">
        <v>4801</v>
      </c>
    </row>
    <row r="3965">
      <c r="A3965" s="2" t="s">
        <v>4807</v>
      </c>
      <c r="B3965" s="2" t="s">
        <v>5004</v>
      </c>
      <c r="D3965" s="2" t="s">
        <v>4800</v>
      </c>
      <c r="G3965" s="2" t="s">
        <v>4801</v>
      </c>
    </row>
    <row r="3966">
      <c r="A3966" s="2" t="s">
        <v>4807</v>
      </c>
      <c r="B3966" s="2" t="s">
        <v>5005</v>
      </c>
      <c r="D3966" s="2" t="s">
        <v>4800</v>
      </c>
      <c r="G3966" s="2" t="s">
        <v>4801</v>
      </c>
    </row>
    <row r="3967">
      <c r="A3967" s="2" t="s">
        <v>4807</v>
      </c>
      <c r="B3967" s="2" t="s">
        <v>5006</v>
      </c>
      <c r="D3967" s="2" t="s">
        <v>4800</v>
      </c>
      <c r="G3967" s="2" t="s">
        <v>4801</v>
      </c>
    </row>
    <row r="3968">
      <c r="A3968" s="2" t="s">
        <v>4807</v>
      </c>
      <c r="B3968" s="2" t="s">
        <v>5007</v>
      </c>
      <c r="D3968" s="2" t="s">
        <v>4800</v>
      </c>
      <c r="G3968" s="2" t="s">
        <v>4801</v>
      </c>
    </row>
    <row r="3969">
      <c r="A3969" s="2" t="s">
        <v>4807</v>
      </c>
      <c r="B3969" s="2" t="s">
        <v>5008</v>
      </c>
      <c r="D3969" s="2" t="s">
        <v>4800</v>
      </c>
      <c r="G3969" s="2" t="s">
        <v>4801</v>
      </c>
    </row>
    <row r="3970">
      <c r="A3970" s="2" t="s">
        <v>4807</v>
      </c>
      <c r="B3970" s="2" t="s">
        <v>5009</v>
      </c>
      <c r="D3970" s="2" t="s">
        <v>4800</v>
      </c>
      <c r="G3970" s="2" t="s">
        <v>4801</v>
      </c>
    </row>
    <row r="3971">
      <c r="A3971" s="2" t="s">
        <v>4807</v>
      </c>
      <c r="B3971" s="2" t="s">
        <v>5010</v>
      </c>
      <c r="D3971" s="2" t="s">
        <v>4800</v>
      </c>
      <c r="G3971" s="2" t="s">
        <v>4801</v>
      </c>
    </row>
    <row r="3972">
      <c r="A3972" s="2" t="s">
        <v>4807</v>
      </c>
      <c r="B3972" s="2" t="s">
        <v>4839</v>
      </c>
      <c r="D3972" s="2" t="s">
        <v>4800</v>
      </c>
      <c r="G3972" s="2" t="s">
        <v>4801</v>
      </c>
    </row>
    <row r="3973">
      <c r="A3973" s="2" t="s">
        <v>4807</v>
      </c>
      <c r="B3973" s="2" t="s">
        <v>5011</v>
      </c>
      <c r="D3973" s="2" t="s">
        <v>4800</v>
      </c>
      <c r="G3973" s="2" t="s">
        <v>4801</v>
      </c>
    </row>
    <row r="3974">
      <c r="A3974" s="2" t="s">
        <v>4807</v>
      </c>
      <c r="B3974" s="2" t="s">
        <v>5012</v>
      </c>
      <c r="D3974" s="2" t="s">
        <v>4800</v>
      </c>
      <c r="G3974" s="2" t="s">
        <v>4801</v>
      </c>
    </row>
    <row r="3975">
      <c r="A3975" s="2" t="s">
        <v>4807</v>
      </c>
      <c r="B3975" s="2" t="s">
        <v>5013</v>
      </c>
      <c r="D3975" s="2" t="s">
        <v>4800</v>
      </c>
      <c r="G3975" s="2" t="s">
        <v>4801</v>
      </c>
    </row>
    <row r="3976">
      <c r="A3976" s="2" t="s">
        <v>4807</v>
      </c>
      <c r="B3976" s="2" t="s">
        <v>5014</v>
      </c>
      <c r="D3976" s="2" t="s">
        <v>4800</v>
      </c>
      <c r="G3976" s="2" t="s">
        <v>4801</v>
      </c>
    </row>
    <row r="3977">
      <c r="A3977" s="2" t="s">
        <v>4807</v>
      </c>
      <c r="B3977" s="2" t="s">
        <v>5015</v>
      </c>
      <c r="D3977" s="2" t="s">
        <v>4800</v>
      </c>
      <c r="G3977" s="2" t="s">
        <v>4801</v>
      </c>
    </row>
    <row r="3978">
      <c r="A3978" s="2" t="s">
        <v>4807</v>
      </c>
      <c r="B3978" s="2" t="s">
        <v>5016</v>
      </c>
      <c r="D3978" s="2" t="s">
        <v>4800</v>
      </c>
      <c r="G3978" s="2" t="s">
        <v>4801</v>
      </c>
    </row>
    <row r="3979">
      <c r="A3979" s="2" t="s">
        <v>4807</v>
      </c>
      <c r="B3979" s="2" t="s">
        <v>5017</v>
      </c>
      <c r="D3979" s="2" t="s">
        <v>4800</v>
      </c>
      <c r="G3979" s="2" t="s">
        <v>4801</v>
      </c>
    </row>
    <row r="3980">
      <c r="A3980" s="2" t="s">
        <v>4807</v>
      </c>
      <c r="B3980" s="2" t="s">
        <v>5018</v>
      </c>
      <c r="D3980" s="2" t="s">
        <v>4800</v>
      </c>
      <c r="G3980" s="2" t="s">
        <v>4801</v>
      </c>
    </row>
    <row r="3981">
      <c r="A3981" s="2" t="s">
        <v>4807</v>
      </c>
      <c r="B3981" s="2" t="s">
        <v>5019</v>
      </c>
      <c r="D3981" s="2" t="s">
        <v>4800</v>
      </c>
      <c r="G3981" s="2" t="s">
        <v>4801</v>
      </c>
    </row>
    <row r="3982">
      <c r="A3982" s="2" t="s">
        <v>4807</v>
      </c>
      <c r="B3982" s="2" t="s">
        <v>5020</v>
      </c>
      <c r="D3982" s="2" t="s">
        <v>4800</v>
      </c>
      <c r="G3982" s="2" t="s">
        <v>4801</v>
      </c>
    </row>
    <row r="3983">
      <c r="A3983" s="2" t="s">
        <v>4807</v>
      </c>
      <c r="B3983" s="2" t="s">
        <v>5021</v>
      </c>
      <c r="D3983" s="2" t="s">
        <v>4800</v>
      </c>
      <c r="G3983" s="2" t="s">
        <v>4801</v>
      </c>
    </row>
    <row r="3984">
      <c r="A3984" s="2" t="s">
        <v>4807</v>
      </c>
      <c r="B3984" s="2" t="s">
        <v>5022</v>
      </c>
      <c r="D3984" s="2" t="s">
        <v>4800</v>
      </c>
      <c r="G3984" s="2" t="s">
        <v>4801</v>
      </c>
    </row>
    <row r="3985">
      <c r="A3985" s="2" t="s">
        <v>4807</v>
      </c>
      <c r="B3985" s="2" t="s">
        <v>5023</v>
      </c>
      <c r="D3985" s="2" t="s">
        <v>4800</v>
      </c>
      <c r="G3985" s="2" t="s">
        <v>4801</v>
      </c>
    </row>
    <row r="3986">
      <c r="A3986" s="2" t="s">
        <v>4807</v>
      </c>
      <c r="B3986" s="2" t="s">
        <v>5024</v>
      </c>
      <c r="D3986" s="2" t="s">
        <v>4800</v>
      </c>
      <c r="G3986" s="2" t="s">
        <v>4801</v>
      </c>
    </row>
    <row r="3987">
      <c r="A3987" s="2" t="s">
        <v>4807</v>
      </c>
      <c r="B3987" s="2" t="s">
        <v>5025</v>
      </c>
      <c r="D3987" s="2" t="s">
        <v>4800</v>
      </c>
      <c r="G3987" s="2" t="s">
        <v>4801</v>
      </c>
    </row>
    <row r="3988">
      <c r="A3988" s="2" t="s">
        <v>4807</v>
      </c>
      <c r="B3988" s="2" t="s">
        <v>5026</v>
      </c>
      <c r="D3988" s="2" t="s">
        <v>4800</v>
      </c>
      <c r="G3988" s="2" t="s">
        <v>4801</v>
      </c>
    </row>
    <row r="3989">
      <c r="A3989" s="2" t="s">
        <v>4807</v>
      </c>
      <c r="B3989" s="2" t="s">
        <v>5027</v>
      </c>
      <c r="D3989" s="2" t="s">
        <v>4800</v>
      </c>
      <c r="G3989" s="2" t="s">
        <v>4801</v>
      </c>
    </row>
    <row r="3990">
      <c r="A3990" s="2" t="s">
        <v>4807</v>
      </c>
      <c r="B3990" s="2" t="s">
        <v>5028</v>
      </c>
      <c r="D3990" s="2" t="s">
        <v>4800</v>
      </c>
      <c r="G3990" s="2" t="s">
        <v>4801</v>
      </c>
    </row>
    <row r="3991">
      <c r="A3991" s="2" t="s">
        <v>4807</v>
      </c>
      <c r="B3991" s="2" t="s">
        <v>5029</v>
      </c>
      <c r="D3991" s="2" t="s">
        <v>4800</v>
      </c>
      <c r="G3991" s="2" t="s">
        <v>4801</v>
      </c>
    </row>
    <row r="3992">
      <c r="A3992" s="2" t="s">
        <v>4807</v>
      </c>
      <c r="B3992" s="2" t="s">
        <v>5030</v>
      </c>
      <c r="D3992" s="2" t="s">
        <v>4800</v>
      </c>
      <c r="G3992" s="2" t="s">
        <v>4801</v>
      </c>
    </row>
    <row r="3993">
      <c r="A3993" s="2" t="s">
        <v>4807</v>
      </c>
      <c r="B3993" s="2" t="s">
        <v>5031</v>
      </c>
      <c r="D3993" s="2" t="s">
        <v>4800</v>
      </c>
      <c r="G3993" s="2" t="s">
        <v>4801</v>
      </c>
    </row>
    <row r="3994">
      <c r="A3994" s="2" t="s">
        <v>4807</v>
      </c>
      <c r="B3994" s="2" t="s">
        <v>5032</v>
      </c>
      <c r="D3994" s="2" t="s">
        <v>4800</v>
      </c>
      <c r="G3994" s="2" t="s">
        <v>4801</v>
      </c>
    </row>
    <row r="3995">
      <c r="A3995" s="2" t="s">
        <v>4807</v>
      </c>
      <c r="B3995" s="2" t="s">
        <v>5033</v>
      </c>
      <c r="D3995" s="2" t="s">
        <v>4800</v>
      </c>
      <c r="G3995" s="2" t="s">
        <v>4801</v>
      </c>
    </row>
    <row r="3996">
      <c r="A3996" s="2" t="s">
        <v>4807</v>
      </c>
      <c r="B3996" s="2" t="s">
        <v>5034</v>
      </c>
      <c r="D3996" s="2" t="s">
        <v>4800</v>
      </c>
      <c r="G3996" s="2" t="s">
        <v>4801</v>
      </c>
    </row>
    <row r="3997">
      <c r="A3997" s="2" t="s">
        <v>4807</v>
      </c>
      <c r="B3997" s="2" t="s">
        <v>5035</v>
      </c>
      <c r="D3997" s="2" t="s">
        <v>4800</v>
      </c>
      <c r="G3997" s="2" t="s">
        <v>4801</v>
      </c>
    </row>
    <row r="3998">
      <c r="A3998" s="2" t="s">
        <v>4807</v>
      </c>
      <c r="B3998" s="2" t="s">
        <v>5036</v>
      </c>
      <c r="D3998" s="2" t="s">
        <v>4800</v>
      </c>
      <c r="G3998" s="2" t="s">
        <v>4801</v>
      </c>
    </row>
    <row r="3999">
      <c r="A3999" s="2" t="s">
        <v>4807</v>
      </c>
      <c r="B3999" s="2" t="s">
        <v>5037</v>
      </c>
      <c r="D3999" s="2" t="s">
        <v>4800</v>
      </c>
      <c r="G3999" s="2" t="s">
        <v>4801</v>
      </c>
    </row>
    <row r="4000">
      <c r="A4000" s="2" t="s">
        <v>4807</v>
      </c>
      <c r="B4000" s="2" t="s">
        <v>5038</v>
      </c>
      <c r="D4000" s="2" t="s">
        <v>4800</v>
      </c>
      <c r="G4000" s="2" t="s">
        <v>4801</v>
      </c>
    </row>
    <row r="4001">
      <c r="A4001" s="2" t="s">
        <v>4807</v>
      </c>
      <c r="B4001" s="2" t="s">
        <v>5039</v>
      </c>
      <c r="D4001" s="2" t="s">
        <v>4800</v>
      </c>
      <c r="G4001" s="2" t="s">
        <v>4801</v>
      </c>
    </row>
    <row r="4002">
      <c r="A4002" s="2" t="s">
        <v>4807</v>
      </c>
      <c r="B4002" s="2" t="s">
        <v>5040</v>
      </c>
      <c r="D4002" s="2" t="s">
        <v>4800</v>
      </c>
      <c r="G4002" s="2" t="s">
        <v>4801</v>
      </c>
    </row>
    <row r="4003">
      <c r="A4003" s="2" t="s">
        <v>4807</v>
      </c>
      <c r="B4003" s="2" t="s">
        <v>5041</v>
      </c>
      <c r="D4003" s="2" t="s">
        <v>4800</v>
      </c>
      <c r="G4003" s="2" t="s">
        <v>4801</v>
      </c>
    </row>
    <row r="4004">
      <c r="A4004" s="2" t="s">
        <v>4807</v>
      </c>
      <c r="B4004" s="2" t="s">
        <v>5042</v>
      </c>
      <c r="D4004" s="2" t="s">
        <v>4800</v>
      </c>
      <c r="G4004" s="2" t="s">
        <v>4801</v>
      </c>
    </row>
    <row r="4005">
      <c r="A4005" s="2" t="s">
        <v>4807</v>
      </c>
      <c r="B4005" s="2" t="s">
        <v>5043</v>
      </c>
      <c r="D4005" s="2" t="s">
        <v>4800</v>
      </c>
      <c r="G4005" s="2" t="s">
        <v>4801</v>
      </c>
    </row>
    <row r="4006">
      <c r="A4006" s="2" t="s">
        <v>4807</v>
      </c>
      <c r="B4006" s="2" t="s">
        <v>5044</v>
      </c>
      <c r="D4006" s="2" t="s">
        <v>4800</v>
      </c>
      <c r="G4006" s="2" t="s">
        <v>4801</v>
      </c>
    </row>
    <row r="4007">
      <c r="A4007" s="2" t="s">
        <v>4807</v>
      </c>
      <c r="B4007" s="2" t="s">
        <v>5045</v>
      </c>
      <c r="D4007" s="2" t="s">
        <v>4800</v>
      </c>
      <c r="G4007" s="2" t="s">
        <v>4801</v>
      </c>
    </row>
    <row r="4008">
      <c r="A4008" s="2" t="s">
        <v>4807</v>
      </c>
      <c r="B4008" s="2" t="s">
        <v>5046</v>
      </c>
      <c r="D4008" s="2" t="s">
        <v>4800</v>
      </c>
      <c r="G4008" s="2" t="s">
        <v>4801</v>
      </c>
    </row>
    <row r="4009">
      <c r="A4009" s="2" t="s">
        <v>4807</v>
      </c>
      <c r="B4009" s="2" t="s">
        <v>5047</v>
      </c>
      <c r="D4009" s="2" t="s">
        <v>4800</v>
      </c>
      <c r="G4009" s="2" t="s">
        <v>4801</v>
      </c>
    </row>
    <row r="4010">
      <c r="A4010" s="2" t="s">
        <v>4807</v>
      </c>
      <c r="B4010" s="2" t="s">
        <v>5048</v>
      </c>
      <c r="D4010" s="2" t="s">
        <v>4800</v>
      </c>
      <c r="G4010" s="2" t="s">
        <v>4801</v>
      </c>
    </row>
    <row r="4011">
      <c r="A4011" s="2" t="s">
        <v>4807</v>
      </c>
      <c r="B4011" s="2" t="s">
        <v>5049</v>
      </c>
      <c r="D4011" s="2" t="s">
        <v>4800</v>
      </c>
      <c r="G4011" s="2" t="s">
        <v>4801</v>
      </c>
    </row>
    <row r="4012">
      <c r="A4012" s="2" t="s">
        <v>4807</v>
      </c>
      <c r="B4012" s="2" t="s">
        <v>5050</v>
      </c>
      <c r="D4012" s="2" t="s">
        <v>4800</v>
      </c>
      <c r="G4012" s="2" t="s">
        <v>4801</v>
      </c>
    </row>
    <row r="4013">
      <c r="A4013" s="2" t="s">
        <v>4807</v>
      </c>
      <c r="B4013" s="2" t="s">
        <v>5051</v>
      </c>
      <c r="D4013" s="2" t="s">
        <v>4800</v>
      </c>
      <c r="G4013" s="2" t="s">
        <v>4801</v>
      </c>
    </row>
    <row r="4014">
      <c r="A4014" s="2" t="s">
        <v>4807</v>
      </c>
      <c r="B4014" s="2" t="s">
        <v>5052</v>
      </c>
      <c r="D4014" s="2" t="s">
        <v>4800</v>
      </c>
      <c r="G4014" s="2" t="s">
        <v>4801</v>
      </c>
    </row>
    <row r="4015">
      <c r="A4015" s="2" t="s">
        <v>4807</v>
      </c>
      <c r="B4015" s="2" t="s">
        <v>5053</v>
      </c>
      <c r="D4015" s="2" t="s">
        <v>4800</v>
      </c>
      <c r="G4015" s="2" t="s">
        <v>4801</v>
      </c>
    </row>
    <row r="4016">
      <c r="A4016" s="2" t="s">
        <v>4807</v>
      </c>
      <c r="B4016" s="2" t="s">
        <v>5054</v>
      </c>
      <c r="D4016" s="2" t="s">
        <v>4800</v>
      </c>
      <c r="G4016" s="2" t="s">
        <v>4801</v>
      </c>
    </row>
    <row r="4017">
      <c r="A4017" s="2" t="s">
        <v>4807</v>
      </c>
      <c r="B4017" s="2" t="s">
        <v>5055</v>
      </c>
      <c r="D4017" s="2" t="s">
        <v>4800</v>
      </c>
      <c r="G4017" s="2" t="s">
        <v>4801</v>
      </c>
    </row>
    <row r="4018">
      <c r="A4018" s="2" t="s">
        <v>4807</v>
      </c>
      <c r="B4018" s="2" t="s">
        <v>5056</v>
      </c>
      <c r="D4018" s="2" t="s">
        <v>4800</v>
      </c>
      <c r="G4018" s="2" t="s">
        <v>4801</v>
      </c>
    </row>
    <row r="4019">
      <c r="A4019" s="2" t="s">
        <v>4807</v>
      </c>
      <c r="B4019" s="2" t="s">
        <v>5057</v>
      </c>
      <c r="D4019" s="2" t="s">
        <v>4800</v>
      </c>
      <c r="G4019" s="2" t="s">
        <v>4801</v>
      </c>
    </row>
    <row r="4020">
      <c r="A4020" s="2" t="s">
        <v>4807</v>
      </c>
      <c r="B4020" s="2" t="s">
        <v>5058</v>
      </c>
      <c r="D4020" s="2" t="s">
        <v>4800</v>
      </c>
      <c r="G4020" s="2" t="s">
        <v>4801</v>
      </c>
    </row>
    <row r="4021">
      <c r="A4021" s="2" t="s">
        <v>4807</v>
      </c>
      <c r="B4021" s="2" t="s">
        <v>5059</v>
      </c>
      <c r="D4021" s="2" t="s">
        <v>4800</v>
      </c>
      <c r="G4021" s="2" t="s">
        <v>4801</v>
      </c>
    </row>
    <row r="4022">
      <c r="A4022" s="2" t="s">
        <v>4807</v>
      </c>
      <c r="B4022" s="2" t="s">
        <v>5060</v>
      </c>
      <c r="D4022" s="2" t="s">
        <v>4800</v>
      </c>
      <c r="G4022" s="2" t="s">
        <v>4801</v>
      </c>
    </row>
    <row r="4023">
      <c r="A4023" s="2" t="s">
        <v>4807</v>
      </c>
      <c r="B4023" s="2" t="s">
        <v>5061</v>
      </c>
      <c r="D4023" s="2" t="s">
        <v>4800</v>
      </c>
      <c r="G4023" s="2" t="s">
        <v>4801</v>
      </c>
    </row>
    <row r="4024">
      <c r="A4024" s="2" t="s">
        <v>4807</v>
      </c>
      <c r="B4024" s="2" t="s">
        <v>5062</v>
      </c>
      <c r="D4024" s="2" t="s">
        <v>4800</v>
      </c>
      <c r="G4024" s="2" t="s">
        <v>4801</v>
      </c>
    </row>
    <row r="4025">
      <c r="A4025" s="2" t="s">
        <v>4807</v>
      </c>
      <c r="B4025" s="2" t="s">
        <v>5063</v>
      </c>
      <c r="D4025" s="2" t="s">
        <v>4800</v>
      </c>
      <c r="G4025" s="2" t="s">
        <v>4801</v>
      </c>
    </row>
    <row r="4026">
      <c r="A4026" s="2" t="s">
        <v>4807</v>
      </c>
      <c r="B4026" s="2" t="s">
        <v>5064</v>
      </c>
      <c r="D4026" s="2" t="s">
        <v>4800</v>
      </c>
      <c r="G4026" s="2" t="s">
        <v>4801</v>
      </c>
    </row>
    <row r="4027">
      <c r="A4027" s="2" t="s">
        <v>4807</v>
      </c>
      <c r="B4027" s="2" t="s">
        <v>5065</v>
      </c>
      <c r="D4027" s="2" t="s">
        <v>4800</v>
      </c>
      <c r="G4027" s="2" t="s">
        <v>4801</v>
      </c>
    </row>
    <row r="4028">
      <c r="A4028" s="2" t="s">
        <v>4807</v>
      </c>
      <c r="B4028" s="2" t="s">
        <v>5066</v>
      </c>
      <c r="D4028" s="2" t="s">
        <v>4800</v>
      </c>
      <c r="G4028" s="2" t="s">
        <v>4801</v>
      </c>
    </row>
    <row r="4029">
      <c r="A4029" s="2" t="s">
        <v>4807</v>
      </c>
      <c r="B4029" s="2" t="s">
        <v>5067</v>
      </c>
      <c r="D4029" s="2" t="s">
        <v>4800</v>
      </c>
      <c r="G4029" s="2" t="s">
        <v>4801</v>
      </c>
    </row>
    <row r="4030">
      <c r="A4030" s="2" t="s">
        <v>4807</v>
      </c>
      <c r="B4030" s="2" t="s">
        <v>5068</v>
      </c>
      <c r="D4030" s="2" t="s">
        <v>4800</v>
      </c>
      <c r="G4030" s="2" t="s">
        <v>4801</v>
      </c>
    </row>
    <row r="4031">
      <c r="A4031" s="2" t="s">
        <v>4807</v>
      </c>
      <c r="B4031" s="2" t="s">
        <v>5069</v>
      </c>
      <c r="D4031" s="2" t="s">
        <v>4800</v>
      </c>
      <c r="G4031" s="2" t="s">
        <v>4801</v>
      </c>
    </row>
    <row r="4032">
      <c r="A4032" s="2" t="s">
        <v>4807</v>
      </c>
      <c r="B4032" s="2" t="s">
        <v>5070</v>
      </c>
      <c r="D4032" s="2" t="s">
        <v>4800</v>
      </c>
      <c r="G4032" s="2" t="s">
        <v>4801</v>
      </c>
    </row>
    <row r="4033">
      <c r="A4033" s="2" t="s">
        <v>4807</v>
      </c>
      <c r="B4033" s="2" t="s">
        <v>5071</v>
      </c>
      <c r="D4033" s="2" t="s">
        <v>4800</v>
      </c>
      <c r="G4033" s="2" t="s">
        <v>4801</v>
      </c>
    </row>
    <row r="4034">
      <c r="A4034" s="2" t="s">
        <v>4807</v>
      </c>
      <c r="B4034" s="2" t="s">
        <v>5072</v>
      </c>
      <c r="D4034" s="2" t="s">
        <v>4800</v>
      </c>
      <c r="G4034" s="2" t="s">
        <v>4801</v>
      </c>
    </row>
    <row r="4035">
      <c r="A4035" s="2" t="s">
        <v>4807</v>
      </c>
      <c r="B4035" s="2" t="s">
        <v>5073</v>
      </c>
      <c r="D4035" s="2" t="s">
        <v>4800</v>
      </c>
      <c r="G4035" s="2" t="s">
        <v>4801</v>
      </c>
    </row>
    <row r="4036">
      <c r="A4036" s="2" t="s">
        <v>4807</v>
      </c>
      <c r="B4036" s="2" t="s">
        <v>5074</v>
      </c>
      <c r="D4036" s="2" t="s">
        <v>4800</v>
      </c>
      <c r="G4036" s="2" t="s">
        <v>4801</v>
      </c>
    </row>
    <row r="4037">
      <c r="A4037" s="2" t="s">
        <v>4807</v>
      </c>
      <c r="B4037" s="2" t="s">
        <v>5075</v>
      </c>
      <c r="D4037" s="2" t="s">
        <v>4800</v>
      </c>
      <c r="G4037" s="2" t="s">
        <v>4801</v>
      </c>
    </row>
    <row r="4038">
      <c r="A4038" s="2" t="s">
        <v>4807</v>
      </c>
      <c r="B4038" s="2" t="s">
        <v>5076</v>
      </c>
      <c r="D4038" s="2" t="s">
        <v>4800</v>
      </c>
      <c r="G4038" s="2" t="s">
        <v>4801</v>
      </c>
    </row>
    <row r="4039">
      <c r="A4039" s="2" t="s">
        <v>4807</v>
      </c>
      <c r="B4039" s="2" t="s">
        <v>5077</v>
      </c>
      <c r="D4039" s="2" t="s">
        <v>4800</v>
      </c>
      <c r="G4039" s="2" t="s">
        <v>4801</v>
      </c>
    </row>
    <row r="4040">
      <c r="A4040" s="2" t="s">
        <v>4807</v>
      </c>
      <c r="B4040" s="2" t="s">
        <v>5078</v>
      </c>
      <c r="D4040" s="2" t="s">
        <v>4800</v>
      </c>
      <c r="G4040" s="2" t="s">
        <v>4801</v>
      </c>
    </row>
    <row r="4041">
      <c r="A4041" s="2" t="s">
        <v>4807</v>
      </c>
      <c r="B4041" s="2" t="s">
        <v>5079</v>
      </c>
      <c r="D4041" s="2" t="s">
        <v>4800</v>
      </c>
      <c r="G4041" s="2" t="s">
        <v>4801</v>
      </c>
    </row>
    <row r="4042">
      <c r="A4042" s="2" t="s">
        <v>4807</v>
      </c>
      <c r="B4042" s="2" t="s">
        <v>5080</v>
      </c>
      <c r="D4042" s="2" t="s">
        <v>4800</v>
      </c>
      <c r="G4042" s="2" t="s">
        <v>4801</v>
      </c>
    </row>
    <row r="4043">
      <c r="A4043" s="2" t="s">
        <v>4807</v>
      </c>
      <c r="B4043" s="2" t="s">
        <v>5081</v>
      </c>
      <c r="D4043" s="2" t="s">
        <v>4800</v>
      </c>
      <c r="G4043" s="2" t="s">
        <v>4801</v>
      </c>
    </row>
    <row r="4044">
      <c r="A4044" s="2" t="s">
        <v>4807</v>
      </c>
      <c r="B4044" s="2" t="s">
        <v>5082</v>
      </c>
      <c r="D4044" s="2" t="s">
        <v>4800</v>
      </c>
      <c r="G4044" s="2" t="s">
        <v>4801</v>
      </c>
    </row>
    <row r="4045">
      <c r="A4045" s="2" t="s">
        <v>4807</v>
      </c>
      <c r="B4045" s="2" t="s">
        <v>5083</v>
      </c>
      <c r="D4045" s="2" t="s">
        <v>4800</v>
      </c>
      <c r="G4045" s="2" t="s">
        <v>4801</v>
      </c>
    </row>
    <row r="4046">
      <c r="A4046" s="2" t="s">
        <v>4807</v>
      </c>
      <c r="B4046" s="2" t="s">
        <v>5084</v>
      </c>
      <c r="D4046" s="2" t="s">
        <v>4800</v>
      </c>
      <c r="G4046" s="2" t="s">
        <v>4801</v>
      </c>
    </row>
    <row r="4047">
      <c r="A4047" s="2" t="s">
        <v>4807</v>
      </c>
      <c r="B4047" s="2" t="s">
        <v>5085</v>
      </c>
      <c r="D4047" s="2" t="s">
        <v>4800</v>
      </c>
      <c r="G4047" s="2" t="s">
        <v>4801</v>
      </c>
    </row>
    <row r="4048">
      <c r="A4048" s="2" t="s">
        <v>4807</v>
      </c>
      <c r="B4048" s="2" t="s">
        <v>5086</v>
      </c>
      <c r="D4048" s="2" t="s">
        <v>4800</v>
      </c>
      <c r="G4048" s="2" t="s">
        <v>4801</v>
      </c>
    </row>
    <row r="4049">
      <c r="A4049" s="2" t="s">
        <v>4807</v>
      </c>
      <c r="B4049" s="2" t="s">
        <v>5087</v>
      </c>
      <c r="D4049" s="2" t="s">
        <v>4800</v>
      </c>
      <c r="G4049" s="2" t="s">
        <v>4801</v>
      </c>
    </row>
    <row r="4050">
      <c r="A4050" s="2" t="s">
        <v>4807</v>
      </c>
      <c r="B4050" s="2" t="s">
        <v>5088</v>
      </c>
      <c r="D4050" s="2" t="s">
        <v>4800</v>
      </c>
      <c r="G4050" s="2" t="s">
        <v>4801</v>
      </c>
    </row>
    <row r="4051">
      <c r="A4051" s="2" t="s">
        <v>4807</v>
      </c>
      <c r="B4051" s="2" t="s">
        <v>5089</v>
      </c>
      <c r="D4051" s="2" t="s">
        <v>4800</v>
      </c>
      <c r="G4051" s="2" t="s">
        <v>4801</v>
      </c>
    </row>
    <row r="4052">
      <c r="A4052" s="2" t="s">
        <v>4807</v>
      </c>
      <c r="B4052" s="2" t="s">
        <v>5090</v>
      </c>
      <c r="D4052" s="2" t="s">
        <v>4800</v>
      </c>
      <c r="G4052" s="2" t="s">
        <v>4801</v>
      </c>
    </row>
    <row r="4053">
      <c r="A4053" s="2" t="s">
        <v>4807</v>
      </c>
      <c r="B4053" s="2" t="s">
        <v>5091</v>
      </c>
      <c r="D4053" s="2" t="s">
        <v>4800</v>
      </c>
      <c r="G4053" s="2" t="s">
        <v>4801</v>
      </c>
    </row>
    <row r="4054">
      <c r="A4054" s="2" t="s">
        <v>4807</v>
      </c>
      <c r="B4054" s="2" t="s">
        <v>5092</v>
      </c>
      <c r="D4054" s="2" t="s">
        <v>4800</v>
      </c>
      <c r="G4054" s="2" t="s">
        <v>4801</v>
      </c>
    </row>
    <row r="4055">
      <c r="A4055" s="2" t="s">
        <v>4807</v>
      </c>
      <c r="B4055" s="2" t="s">
        <v>5093</v>
      </c>
      <c r="D4055" s="2" t="s">
        <v>4800</v>
      </c>
      <c r="G4055" s="2" t="s">
        <v>4801</v>
      </c>
    </row>
    <row r="4056">
      <c r="A4056" s="2" t="s">
        <v>4807</v>
      </c>
      <c r="B4056" s="2" t="s">
        <v>5094</v>
      </c>
      <c r="D4056" s="2" t="s">
        <v>4800</v>
      </c>
      <c r="G4056" s="2" t="s">
        <v>4801</v>
      </c>
    </row>
    <row r="4057">
      <c r="A4057" s="2" t="s">
        <v>4807</v>
      </c>
      <c r="B4057" s="2" t="s">
        <v>5095</v>
      </c>
      <c r="D4057" s="2" t="s">
        <v>4800</v>
      </c>
      <c r="G4057" s="2" t="s">
        <v>4801</v>
      </c>
    </row>
    <row r="4058">
      <c r="A4058" s="2" t="s">
        <v>4807</v>
      </c>
      <c r="B4058" s="2" t="s">
        <v>5096</v>
      </c>
      <c r="D4058" s="2" t="s">
        <v>4800</v>
      </c>
      <c r="G4058" s="2" t="s">
        <v>4801</v>
      </c>
    </row>
    <row r="4059">
      <c r="A4059" s="2" t="s">
        <v>4807</v>
      </c>
      <c r="B4059" s="2" t="s">
        <v>5097</v>
      </c>
      <c r="D4059" s="2" t="s">
        <v>4800</v>
      </c>
      <c r="G4059" s="2" t="s">
        <v>4801</v>
      </c>
    </row>
    <row r="4060">
      <c r="A4060" s="2" t="s">
        <v>4807</v>
      </c>
      <c r="B4060" s="2" t="s">
        <v>5098</v>
      </c>
      <c r="D4060" s="2" t="s">
        <v>4800</v>
      </c>
      <c r="G4060" s="2" t="s">
        <v>4801</v>
      </c>
    </row>
    <row r="4061">
      <c r="A4061" s="2" t="s">
        <v>4807</v>
      </c>
      <c r="B4061" s="2" t="s">
        <v>5099</v>
      </c>
      <c r="D4061" s="2" t="s">
        <v>4800</v>
      </c>
      <c r="G4061" s="2" t="s">
        <v>4801</v>
      </c>
    </row>
    <row r="4062">
      <c r="A4062" s="2" t="s">
        <v>4807</v>
      </c>
      <c r="B4062" s="2" t="s">
        <v>5100</v>
      </c>
      <c r="D4062" s="2" t="s">
        <v>4800</v>
      </c>
      <c r="G4062" s="2" t="s">
        <v>4801</v>
      </c>
    </row>
    <row r="4063">
      <c r="A4063" s="2" t="s">
        <v>4807</v>
      </c>
      <c r="B4063" s="2" t="s">
        <v>5101</v>
      </c>
      <c r="D4063" s="2" t="s">
        <v>4800</v>
      </c>
      <c r="G4063" s="2" t="s">
        <v>4801</v>
      </c>
    </row>
    <row r="4064">
      <c r="A4064" s="2" t="s">
        <v>4807</v>
      </c>
      <c r="B4064" s="2" t="s">
        <v>5102</v>
      </c>
      <c r="D4064" s="2" t="s">
        <v>4800</v>
      </c>
      <c r="G4064" s="2" t="s">
        <v>4801</v>
      </c>
    </row>
    <row r="4065">
      <c r="A4065" s="2" t="s">
        <v>4807</v>
      </c>
      <c r="B4065" s="2" t="s">
        <v>5103</v>
      </c>
      <c r="D4065" s="2" t="s">
        <v>4800</v>
      </c>
      <c r="G4065" s="2" t="s">
        <v>4801</v>
      </c>
    </row>
    <row r="4066">
      <c r="A4066" s="2" t="s">
        <v>4807</v>
      </c>
      <c r="B4066" s="2" t="s">
        <v>5104</v>
      </c>
      <c r="D4066" s="2" t="s">
        <v>4800</v>
      </c>
      <c r="G4066" s="2" t="s">
        <v>4801</v>
      </c>
    </row>
    <row r="4067">
      <c r="A4067" s="2" t="s">
        <v>4807</v>
      </c>
      <c r="B4067" s="2" t="s">
        <v>5105</v>
      </c>
      <c r="D4067" s="2" t="s">
        <v>4800</v>
      </c>
      <c r="G4067" s="2" t="s">
        <v>4801</v>
      </c>
    </row>
    <row r="4068">
      <c r="A4068" s="2" t="s">
        <v>4807</v>
      </c>
      <c r="B4068" s="2" t="s">
        <v>5106</v>
      </c>
      <c r="D4068" s="2" t="s">
        <v>4800</v>
      </c>
      <c r="G4068" s="2" t="s">
        <v>4801</v>
      </c>
    </row>
    <row r="4069">
      <c r="A4069" s="2" t="s">
        <v>4807</v>
      </c>
      <c r="B4069" s="2" t="s">
        <v>5107</v>
      </c>
      <c r="D4069" s="2" t="s">
        <v>4800</v>
      </c>
      <c r="G4069" s="2" t="s">
        <v>4801</v>
      </c>
    </row>
    <row r="4070">
      <c r="A4070" s="2" t="s">
        <v>4807</v>
      </c>
      <c r="B4070" s="2" t="s">
        <v>5108</v>
      </c>
      <c r="D4070" s="2" t="s">
        <v>4800</v>
      </c>
      <c r="G4070" s="2" t="s">
        <v>4801</v>
      </c>
    </row>
    <row r="4071">
      <c r="A4071" s="2" t="s">
        <v>4807</v>
      </c>
      <c r="B4071" s="2" t="s">
        <v>5109</v>
      </c>
      <c r="D4071" s="2" t="s">
        <v>4800</v>
      </c>
      <c r="G4071" s="2" t="s">
        <v>4801</v>
      </c>
    </row>
    <row r="4072">
      <c r="A4072" s="2" t="s">
        <v>4807</v>
      </c>
      <c r="B4072" s="2" t="s">
        <v>5110</v>
      </c>
      <c r="D4072" s="2" t="s">
        <v>4800</v>
      </c>
      <c r="G4072" s="2" t="s">
        <v>4801</v>
      </c>
    </row>
    <row r="4073">
      <c r="A4073" s="2" t="s">
        <v>4807</v>
      </c>
      <c r="B4073" s="247">
        <v>44470.0</v>
      </c>
      <c r="D4073" s="2" t="s">
        <v>4800</v>
      </c>
      <c r="G4073" s="2" t="s">
        <v>4801</v>
      </c>
    </row>
    <row r="4074">
      <c r="A4074" s="2" t="s">
        <v>4807</v>
      </c>
      <c r="B4074" s="2" t="s">
        <v>5111</v>
      </c>
      <c r="D4074" s="2" t="s">
        <v>4800</v>
      </c>
      <c r="G4074" s="2" t="s">
        <v>4801</v>
      </c>
    </row>
    <row r="4075">
      <c r="A4075" s="2" t="s">
        <v>4807</v>
      </c>
      <c r="B4075" s="2" t="s">
        <v>5112</v>
      </c>
      <c r="D4075" s="2" t="s">
        <v>4800</v>
      </c>
      <c r="G4075" s="2" t="s">
        <v>4801</v>
      </c>
    </row>
    <row r="4076">
      <c r="A4076" s="2" t="s">
        <v>4807</v>
      </c>
      <c r="B4076" s="2" t="s">
        <v>5113</v>
      </c>
      <c r="D4076" s="2" t="s">
        <v>4800</v>
      </c>
      <c r="G4076" s="2" t="s">
        <v>4801</v>
      </c>
    </row>
    <row r="4077">
      <c r="A4077" s="2" t="s">
        <v>4807</v>
      </c>
      <c r="B4077" s="2" t="s">
        <v>5114</v>
      </c>
      <c r="D4077" s="2" t="s">
        <v>4800</v>
      </c>
      <c r="G4077" s="2" t="s">
        <v>4801</v>
      </c>
    </row>
    <row r="4078">
      <c r="A4078" s="2" t="s">
        <v>4807</v>
      </c>
      <c r="B4078" s="2" t="s">
        <v>5115</v>
      </c>
      <c r="D4078" s="2" t="s">
        <v>4800</v>
      </c>
      <c r="G4078" s="2" t="s">
        <v>4801</v>
      </c>
    </row>
    <row r="4079">
      <c r="A4079" s="2" t="s">
        <v>4807</v>
      </c>
      <c r="B4079" s="2" t="s">
        <v>5116</v>
      </c>
      <c r="D4079" s="2" t="s">
        <v>4800</v>
      </c>
      <c r="G4079" s="2" t="s">
        <v>4801</v>
      </c>
    </row>
    <row r="4080">
      <c r="A4080" s="2" t="s">
        <v>4807</v>
      </c>
      <c r="B4080" s="2" t="s">
        <v>5117</v>
      </c>
      <c r="D4080" s="2" t="s">
        <v>4800</v>
      </c>
      <c r="G4080" s="2" t="s">
        <v>4801</v>
      </c>
    </row>
    <row r="4081">
      <c r="A4081" s="2" t="s">
        <v>4807</v>
      </c>
      <c r="B4081" s="2" t="s">
        <v>5118</v>
      </c>
      <c r="D4081" s="2" t="s">
        <v>4800</v>
      </c>
      <c r="G4081" s="2" t="s">
        <v>4801</v>
      </c>
    </row>
    <row r="4082">
      <c r="A4082" s="2" t="s">
        <v>4807</v>
      </c>
      <c r="B4082" s="2" t="s">
        <v>5119</v>
      </c>
      <c r="D4082" s="2" t="s">
        <v>4800</v>
      </c>
      <c r="G4082" s="2" t="s">
        <v>4801</v>
      </c>
    </row>
    <row r="4083">
      <c r="A4083" s="2" t="s">
        <v>4807</v>
      </c>
      <c r="B4083" s="2" t="s">
        <v>5120</v>
      </c>
      <c r="D4083" s="2" t="s">
        <v>4800</v>
      </c>
      <c r="G4083" s="2" t="s">
        <v>4801</v>
      </c>
    </row>
    <row r="4084">
      <c r="A4084" s="2" t="s">
        <v>4807</v>
      </c>
      <c r="B4084" s="2" t="s">
        <v>5121</v>
      </c>
      <c r="D4084" s="2" t="s">
        <v>4800</v>
      </c>
      <c r="G4084" s="2" t="s">
        <v>4801</v>
      </c>
    </row>
    <row r="4085">
      <c r="A4085" s="2" t="s">
        <v>4807</v>
      </c>
      <c r="B4085" s="2" t="s">
        <v>5122</v>
      </c>
      <c r="D4085" s="2" t="s">
        <v>4800</v>
      </c>
      <c r="G4085" s="2" t="s">
        <v>4801</v>
      </c>
    </row>
    <row r="4086">
      <c r="A4086" s="2" t="s">
        <v>4807</v>
      </c>
      <c r="B4086" s="2" t="s">
        <v>5123</v>
      </c>
      <c r="D4086" s="2" t="s">
        <v>4800</v>
      </c>
      <c r="G4086" s="2" t="s">
        <v>4801</v>
      </c>
    </row>
    <row r="4087">
      <c r="A4087" s="2" t="s">
        <v>4807</v>
      </c>
      <c r="B4087" s="2" t="s">
        <v>5124</v>
      </c>
      <c r="D4087" s="2" t="s">
        <v>4800</v>
      </c>
      <c r="G4087" s="2" t="s">
        <v>4801</v>
      </c>
    </row>
    <row r="4088">
      <c r="A4088" s="2" t="s">
        <v>4807</v>
      </c>
      <c r="B4088" s="2" t="s">
        <v>5125</v>
      </c>
      <c r="D4088" s="2" t="s">
        <v>4800</v>
      </c>
      <c r="G4088" s="2" t="s">
        <v>4801</v>
      </c>
    </row>
    <row r="4089">
      <c r="A4089" s="2" t="s">
        <v>4807</v>
      </c>
      <c r="B4089" s="2" t="s">
        <v>5126</v>
      </c>
      <c r="D4089" s="2" t="s">
        <v>4800</v>
      </c>
      <c r="G4089" s="2" t="s">
        <v>4801</v>
      </c>
    </row>
    <row r="4090">
      <c r="A4090" s="2" t="s">
        <v>4807</v>
      </c>
      <c r="B4090" s="2" t="s">
        <v>5127</v>
      </c>
      <c r="D4090" s="2" t="s">
        <v>4800</v>
      </c>
      <c r="G4090" s="2" t="s">
        <v>4801</v>
      </c>
    </row>
    <row r="4091">
      <c r="A4091" s="2" t="s">
        <v>4807</v>
      </c>
      <c r="B4091" s="2" t="s">
        <v>4838</v>
      </c>
      <c r="D4091" s="2" t="s">
        <v>4800</v>
      </c>
      <c r="G4091" s="2" t="s">
        <v>4801</v>
      </c>
    </row>
    <row r="4092">
      <c r="A4092" s="2" t="s">
        <v>4807</v>
      </c>
      <c r="B4092" s="2" t="s">
        <v>5128</v>
      </c>
      <c r="D4092" s="2" t="s">
        <v>4800</v>
      </c>
      <c r="G4092" s="2" t="s">
        <v>4801</v>
      </c>
    </row>
    <row r="4093">
      <c r="A4093" s="2" t="s">
        <v>4807</v>
      </c>
      <c r="B4093" s="2" t="s">
        <v>5129</v>
      </c>
      <c r="D4093" s="2" t="s">
        <v>4800</v>
      </c>
      <c r="G4093" s="2" t="s">
        <v>4801</v>
      </c>
    </row>
    <row r="4094">
      <c r="A4094" s="2" t="s">
        <v>4807</v>
      </c>
      <c r="B4094" s="2" t="s">
        <v>5130</v>
      </c>
      <c r="D4094" s="2" t="s">
        <v>4800</v>
      </c>
      <c r="G4094" s="2" t="s">
        <v>4801</v>
      </c>
    </row>
    <row r="4095">
      <c r="A4095" s="2" t="s">
        <v>4807</v>
      </c>
      <c r="B4095" s="2" t="s">
        <v>5131</v>
      </c>
      <c r="D4095" s="2" t="s">
        <v>4800</v>
      </c>
      <c r="G4095" s="2" t="s">
        <v>4801</v>
      </c>
    </row>
    <row r="4096">
      <c r="A4096" s="2" t="s">
        <v>4807</v>
      </c>
      <c r="B4096" s="2" t="s">
        <v>5132</v>
      </c>
      <c r="D4096" s="2" t="s">
        <v>4800</v>
      </c>
      <c r="G4096" s="2" t="s">
        <v>4801</v>
      </c>
    </row>
    <row r="4097">
      <c r="A4097" s="2" t="s">
        <v>4807</v>
      </c>
      <c r="B4097" s="2" t="s">
        <v>5133</v>
      </c>
      <c r="D4097" s="2" t="s">
        <v>4800</v>
      </c>
      <c r="G4097" s="2" t="s">
        <v>4801</v>
      </c>
    </row>
    <row r="4098">
      <c r="A4098" s="2" t="s">
        <v>4807</v>
      </c>
      <c r="B4098" s="2" t="s">
        <v>5134</v>
      </c>
      <c r="D4098" s="2" t="s">
        <v>4800</v>
      </c>
      <c r="G4098" s="2" t="s">
        <v>4801</v>
      </c>
    </row>
    <row r="4099">
      <c r="A4099" s="2" t="s">
        <v>4807</v>
      </c>
      <c r="B4099" s="2" t="s">
        <v>5135</v>
      </c>
      <c r="D4099" s="2" t="s">
        <v>4800</v>
      </c>
      <c r="G4099" s="2" t="s">
        <v>4801</v>
      </c>
    </row>
    <row r="4100">
      <c r="A4100" s="2" t="s">
        <v>4807</v>
      </c>
      <c r="B4100" s="2" t="s">
        <v>5136</v>
      </c>
      <c r="D4100" s="2" t="s">
        <v>4800</v>
      </c>
      <c r="G4100" s="2" t="s">
        <v>4801</v>
      </c>
    </row>
    <row r="4101">
      <c r="A4101" s="2" t="s">
        <v>4807</v>
      </c>
      <c r="B4101" s="2" t="s">
        <v>5137</v>
      </c>
      <c r="D4101" s="2" t="s">
        <v>4800</v>
      </c>
      <c r="G4101" s="2" t="s">
        <v>4801</v>
      </c>
    </row>
    <row r="4102">
      <c r="A4102" s="2" t="s">
        <v>4807</v>
      </c>
      <c r="B4102" s="2" t="s">
        <v>5138</v>
      </c>
      <c r="D4102" s="2" t="s">
        <v>4800</v>
      </c>
      <c r="G4102" s="2" t="s">
        <v>4801</v>
      </c>
    </row>
    <row r="4103">
      <c r="A4103" s="2" t="s">
        <v>4807</v>
      </c>
      <c r="B4103" s="2" t="s">
        <v>5139</v>
      </c>
      <c r="D4103" s="2" t="s">
        <v>4800</v>
      </c>
      <c r="G4103" s="2" t="s">
        <v>4801</v>
      </c>
    </row>
    <row r="4104">
      <c r="A4104" s="2" t="s">
        <v>4807</v>
      </c>
      <c r="B4104" s="2" t="s">
        <v>5140</v>
      </c>
      <c r="D4104" s="2" t="s">
        <v>4800</v>
      </c>
      <c r="G4104" s="2" t="s">
        <v>4801</v>
      </c>
    </row>
    <row r="4105">
      <c r="A4105" s="2" t="s">
        <v>4807</v>
      </c>
      <c r="B4105" s="2" t="s">
        <v>5141</v>
      </c>
      <c r="D4105" s="2" t="s">
        <v>4800</v>
      </c>
      <c r="G4105" s="2" t="s">
        <v>4801</v>
      </c>
    </row>
    <row r="4106">
      <c r="A4106" s="2" t="s">
        <v>4807</v>
      </c>
      <c r="B4106" s="2" t="s">
        <v>5142</v>
      </c>
      <c r="D4106" s="2" t="s">
        <v>4800</v>
      </c>
      <c r="G4106" s="2" t="s">
        <v>4801</v>
      </c>
    </row>
    <row r="4107">
      <c r="A4107" s="2" t="s">
        <v>4807</v>
      </c>
      <c r="B4107" s="2" t="s">
        <v>5143</v>
      </c>
      <c r="D4107" s="2" t="s">
        <v>4800</v>
      </c>
      <c r="G4107" s="2" t="s">
        <v>4801</v>
      </c>
    </row>
    <row r="4108">
      <c r="A4108" s="2" t="s">
        <v>4807</v>
      </c>
      <c r="B4108" s="2" t="s">
        <v>5144</v>
      </c>
      <c r="D4108" s="2" t="s">
        <v>4800</v>
      </c>
      <c r="G4108" s="2" t="s">
        <v>4801</v>
      </c>
    </row>
    <row r="4109">
      <c r="A4109" s="2" t="s">
        <v>4807</v>
      </c>
      <c r="B4109" s="2" t="s">
        <v>5145</v>
      </c>
      <c r="D4109" s="2" t="s">
        <v>4800</v>
      </c>
      <c r="G4109" s="2" t="s">
        <v>4801</v>
      </c>
    </row>
    <row r="4110">
      <c r="A4110" s="2" t="s">
        <v>4807</v>
      </c>
      <c r="B4110" s="2" t="s">
        <v>5146</v>
      </c>
      <c r="D4110" s="2" t="s">
        <v>4800</v>
      </c>
      <c r="G4110" s="2" t="s">
        <v>4801</v>
      </c>
    </row>
    <row r="4111">
      <c r="A4111" s="2" t="s">
        <v>4807</v>
      </c>
      <c r="B4111" s="2" t="s">
        <v>5147</v>
      </c>
      <c r="D4111" s="2" t="s">
        <v>4800</v>
      </c>
      <c r="G4111" s="2" t="s">
        <v>4801</v>
      </c>
    </row>
    <row r="4112">
      <c r="A4112" s="2" t="s">
        <v>4807</v>
      </c>
      <c r="B4112" s="2" t="s">
        <v>5148</v>
      </c>
      <c r="D4112" s="2" t="s">
        <v>4800</v>
      </c>
      <c r="G4112" s="2" t="s">
        <v>4801</v>
      </c>
    </row>
    <row r="4113">
      <c r="A4113" s="2" t="s">
        <v>4807</v>
      </c>
      <c r="B4113" s="2" t="s">
        <v>5149</v>
      </c>
      <c r="D4113" s="2" t="s">
        <v>4800</v>
      </c>
      <c r="G4113" s="2" t="s">
        <v>4801</v>
      </c>
    </row>
    <row r="4114">
      <c r="A4114" s="2" t="s">
        <v>4807</v>
      </c>
      <c r="B4114" s="2" t="s">
        <v>5150</v>
      </c>
      <c r="D4114" s="2" t="s">
        <v>4800</v>
      </c>
      <c r="G4114" s="2" t="s">
        <v>4801</v>
      </c>
    </row>
    <row r="4115">
      <c r="A4115" s="2" t="s">
        <v>4807</v>
      </c>
      <c r="B4115" s="2" t="s">
        <v>5151</v>
      </c>
      <c r="D4115" s="2" t="s">
        <v>4800</v>
      </c>
      <c r="G4115" s="2" t="s">
        <v>4801</v>
      </c>
    </row>
    <row r="4116">
      <c r="A4116" s="2" t="s">
        <v>4807</v>
      </c>
      <c r="B4116" s="2" t="s">
        <v>5152</v>
      </c>
      <c r="D4116" s="2" t="s">
        <v>4800</v>
      </c>
      <c r="G4116" s="2" t="s">
        <v>4801</v>
      </c>
    </row>
    <row r="4117">
      <c r="A4117" s="2" t="s">
        <v>4807</v>
      </c>
      <c r="B4117" s="2" t="s">
        <v>5153</v>
      </c>
      <c r="D4117" s="2" t="s">
        <v>4800</v>
      </c>
      <c r="G4117" s="2" t="s">
        <v>4801</v>
      </c>
    </row>
    <row r="4118">
      <c r="A4118" s="2" t="s">
        <v>4807</v>
      </c>
      <c r="B4118" s="2" t="s">
        <v>5154</v>
      </c>
      <c r="D4118" s="2" t="s">
        <v>4800</v>
      </c>
      <c r="G4118" s="2" t="s">
        <v>4801</v>
      </c>
    </row>
    <row r="4119">
      <c r="A4119" s="2" t="s">
        <v>4807</v>
      </c>
      <c r="B4119" s="2" t="s">
        <v>5155</v>
      </c>
      <c r="D4119" s="2" t="s">
        <v>4800</v>
      </c>
      <c r="G4119" s="2" t="s">
        <v>4801</v>
      </c>
    </row>
    <row r="4120">
      <c r="A4120" s="2" t="s">
        <v>4807</v>
      </c>
      <c r="B4120" s="2" t="s">
        <v>5156</v>
      </c>
      <c r="D4120" s="2" t="s">
        <v>4800</v>
      </c>
      <c r="G4120" s="2" t="s">
        <v>4801</v>
      </c>
    </row>
    <row r="4121">
      <c r="A4121" s="2" t="s">
        <v>4807</v>
      </c>
      <c r="B4121" s="2" t="s">
        <v>5157</v>
      </c>
      <c r="D4121" s="2" t="s">
        <v>4800</v>
      </c>
      <c r="G4121" s="2" t="s">
        <v>4801</v>
      </c>
    </row>
    <row r="4122">
      <c r="A4122" s="2" t="s">
        <v>4807</v>
      </c>
      <c r="B4122" s="2" t="s">
        <v>5158</v>
      </c>
      <c r="D4122" s="2" t="s">
        <v>4800</v>
      </c>
      <c r="G4122" s="2" t="s">
        <v>4801</v>
      </c>
    </row>
    <row r="4123">
      <c r="A4123" s="2" t="s">
        <v>4807</v>
      </c>
      <c r="B4123" s="2" t="s">
        <v>5159</v>
      </c>
      <c r="D4123" s="2" t="s">
        <v>4800</v>
      </c>
      <c r="G4123" s="2" t="s">
        <v>4801</v>
      </c>
    </row>
    <row r="4124">
      <c r="A4124" s="2" t="s">
        <v>4807</v>
      </c>
      <c r="B4124" s="2" t="s">
        <v>5160</v>
      </c>
      <c r="D4124" s="2" t="s">
        <v>4800</v>
      </c>
      <c r="G4124" s="2" t="s">
        <v>4801</v>
      </c>
    </row>
    <row r="4125">
      <c r="A4125" s="2" t="s">
        <v>4807</v>
      </c>
      <c r="B4125" s="2" t="s">
        <v>5161</v>
      </c>
      <c r="D4125" s="2" t="s">
        <v>4800</v>
      </c>
      <c r="G4125" s="2" t="s">
        <v>4801</v>
      </c>
    </row>
    <row r="4126">
      <c r="A4126" s="2" t="s">
        <v>4807</v>
      </c>
      <c r="B4126" s="2" t="s">
        <v>5162</v>
      </c>
      <c r="D4126" s="2" t="s">
        <v>4800</v>
      </c>
      <c r="G4126" s="2" t="s">
        <v>4801</v>
      </c>
    </row>
    <row r="4127">
      <c r="A4127" s="2" t="s">
        <v>4807</v>
      </c>
      <c r="B4127" s="2" t="s">
        <v>5163</v>
      </c>
      <c r="D4127" s="2" t="s">
        <v>4800</v>
      </c>
      <c r="G4127" s="2" t="s">
        <v>4801</v>
      </c>
    </row>
    <row r="4128">
      <c r="A4128" s="2" t="s">
        <v>4807</v>
      </c>
      <c r="B4128" s="2" t="s">
        <v>5164</v>
      </c>
      <c r="D4128" s="2" t="s">
        <v>4800</v>
      </c>
      <c r="G4128" s="2" t="s">
        <v>4801</v>
      </c>
    </row>
    <row r="4129">
      <c r="A4129" s="2" t="s">
        <v>4807</v>
      </c>
      <c r="B4129" s="2" t="s">
        <v>5165</v>
      </c>
      <c r="D4129" s="2" t="s">
        <v>4800</v>
      </c>
      <c r="G4129" s="2" t="s">
        <v>4801</v>
      </c>
    </row>
    <row r="4130">
      <c r="A4130" s="2" t="s">
        <v>4807</v>
      </c>
      <c r="B4130" s="2" t="s">
        <v>5166</v>
      </c>
      <c r="D4130" s="2" t="s">
        <v>4800</v>
      </c>
      <c r="G4130" s="2" t="s">
        <v>4801</v>
      </c>
    </row>
    <row r="4131">
      <c r="A4131" s="2" t="s">
        <v>4807</v>
      </c>
      <c r="B4131" s="2" t="s">
        <v>5167</v>
      </c>
      <c r="D4131" s="2" t="s">
        <v>4800</v>
      </c>
      <c r="G4131" s="2" t="s">
        <v>4801</v>
      </c>
    </row>
    <row r="4132">
      <c r="A4132" s="2" t="s">
        <v>4807</v>
      </c>
      <c r="B4132" s="2" t="s">
        <v>5168</v>
      </c>
      <c r="D4132" s="2" t="s">
        <v>4800</v>
      </c>
      <c r="G4132" s="2" t="s">
        <v>4801</v>
      </c>
    </row>
    <row r="4133">
      <c r="A4133" s="2" t="s">
        <v>4807</v>
      </c>
      <c r="B4133" s="2" t="s">
        <v>5169</v>
      </c>
      <c r="D4133" s="2" t="s">
        <v>4800</v>
      </c>
      <c r="G4133" s="2" t="s">
        <v>4801</v>
      </c>
    </row>
    <row r="4134">
      <c r="A4134" s="2" t="s">
        <v>4807</v>
      </c>
      <c r="B4134" s="2" t="s">
        <v>5170</v>
      </c>
      <c r="D4134" s="2" t="s">
        <v>4800</v>
      </c>
      <c r="G4134" s="2" t="s">
        <v>4801</v>
      </c>
    </row>
    <row r="4135">
      <c r="A4135" s="2" t="s">
        <v>4807</v>
      </c>
      <c r="B4135" s="2" t="s">
        <v>5171</v>
      </c>
      <c r="D4135" s="2" t="s">
        <v>4800</v>
      </c>
      <c r="G4135" s="2" t="s">
        <v>4801</v>
      </c>
    </row>
    <row r="4136">
      <c r="A4136" s="2" t="s">
        <v>4807</v>
      </c>
      <c r="B4136" s="2" t="s">
        <v>5172</v>
      </c>
      <c r="D4136" s="2" t="s">
        <v>4800</v>
      </c>
      <c r="G4136" s="2" t="s">
        <v>4801</v>
      </c>
    </row>
    <row r="4137">
      <c r="A4137" s="2" t="s">
        <v>4807</v>
      </c>
      <c r="B4137" s="2" t="s">
        <v>5173</v>
      </c>
      <c r="D4137" s="2" t="s">
        <v>4800</v>
      </c>
      <c r="G4137" s="2" t="s">
        <v>4801</v>
      </c>
    </row>
    <row r="4138">
      <c r="A4138" s="2" t="s">
        <v>4807</v>
      </c>
      <c r="B4138" s="2" t="s">
        <v>5174</v>
      </c>
      <c r="D4138" s="2" t="s">
        <v>4800</v>
      </c>
      <c r="G4138" s="2" t="s">
        <v>4801</v>
      </c>
    </row>
    <row r="4139">
      <c r="A4139" s="2" t="s">
        <v>4807</v>
      </c>
      <c r="B4139" s="2" t="s">
        <v>5175</v>
      </c>
      <c r="D4139" s="2" t="s">
        <v>4800</v>
      </c>
      <c r="G4139" s="2" t="s">
        <v>4801</v>
      </c>
    </row>
    <row r="4140">
      <c r="A4140" s="2" t="s">
        <v>4807</v>
      </c>
      <c r="B4140" s="2" t="s">
        <v>5176</v>
      </c>
      <c r="D4140" s="2" t="s">
        <v>4800</v>
      </c>
      <c r="G4140" s="2" t="s">
        <v>4801</v>
      </c>
    </row>
    <row r="4141">
      <c r="A4141" s="2" t="s">
        <v>4807</v>
      </c>
      <c r="B4141" s="2" t="s">
        <v>5177</v>
      </c>
      <c r="D4141" s="2" t="s">
        <v>4800</v>
      </c>
      <c r="G4141" s="2" t="s">
        <v>4801</v>
      </c>
    </row>
    <row r="4142">
      <c r="A4142" s="2" t="s">
        <v>4807</v>
      </c>
      <c r="B4142" s="2" t="s">
        <v>5178</v>
      </c>
      <c r="D4142" s="2" t="s">
        <v>4800</v>
      </c>
      <c r="G4142" s="2" t="s">
        <v>4801</v>
      </c>
    </row>
    <row r="4143">
      <c r="A4143" s="2" t="s">
        <v>4807</v>
      </c>
      <c r="B4143" s="2" t="s">
        <v>5179</v>
      </c>
      <c r="D4143" s="2" t="s">
        <v>4800</v>
      </c>
      <c r="G4143" s="2" t="s">
        <v>4801</v>
      </c>
    </row>
    <row r="4144">
      <c r="A4144" s="2" t="s">
        <v>4807</v>
      </c>
      <c r="B4144" s="2" t="s">
        <v>5180</v>
      </c>
      <c r="D4144" s="2" t="s">
        <v>4800</v>
      </c>
      <c r="G4144" s="2" t="s">
        <v>4801</v>
      </c>
    </row>
    <row r="4145">
      <c r="A4145" s="2" t="s">
        <v>4807</v>
      </c>
      <c r="B4145" s="2" t="s">
        <v>5181</v>
      </c>
      <c r="D4145" s="2" t="s">
        <v>4800</v>
      </c>
      <c r="G4145" s="2" t="s">
        <v>4801</v>
      </c>
    </row>
    <row r="4146">
      <c r="A4146" s="2" t="s">
        <v>4807</v>
      </c>
      <c r="B4146" s="2" t="s">
        <v>5182</v>
      </c>
      <c r="D4146" s="2" t="s">
        <v>4800</v>
      </c>
      <c r="G4146" s="2" t="s">
        <v>4801</v>
      </c>
    </row>
    <row r="4147">
      <c r="A4147" s="2" t="s">
        <v>4807</v>
      </c>
      <c r="B4147" s="2" t="s">
        <v>5183</v>
      </c>
      <c r="D4147" s="2" t="s">
        <v>4800</v>
      </c>
      <c r="G4147" s="2" t="s">
        <v>4801</v>
      </c>
    </row>
    <row r="4148">
      <c r="A4148" s="2" t="s">
        <v>4807</v>
      </c>
      <c r="B4148" s="2" t="s">
        <v>5184</v>
      </c>
      <c r="D4148" s="2" t="s">
        <v>4800</v>
      </c>
      <c r="G4148" s="2" t="s">
        <v>4801</v>
      </c>
    </row>
    <row r="4149">
      <c r="A4149" s="2" t="s">
        <v>4807</v>
      </c>
      <c r="B4149" s="2" t="s">
        <v>5185</v>
      </c>
      <c r="D4149" s="2" t="s">
        <v>4800</v>
      </c>
      <c r="G4149" s="2" t="s">
        <v>4801</v>
      </c>
    </row>
    <row r="4150">
      <c r="A4150" s="2" t="s">
        <v>4807</v>
      </c>
      <c r="B4150" s="2" t="s">
        <v>5186</v>
      </c>
      <c r="D4150" s="2" t="s">
        <v>4800</v>
      </c>
      <c r="G4150" s="2" t="s">
        <v>4801</v>
      </c>
    </row>
    <row r="4151">
      <c r="A4151" s="2" t="s">
        <v>4807</v>
      </c>
      <c r="B4151" s="2" t="s">
        <v>5187</v>
      </c>
      <c r="D4151" s="2" t="s">
        <v>4800</v>
      </c>
      <c r="G4151" s="2" t="s">
        <v>4801</v>
      </c>
    </row>
    <row r="4152">
      <c r="A4152" s="2" t="s">
        <v>4807</v>
      </c>
      <c r="B4152" s="2" t="s">
        <v>5188</v>
      </c>
      <c r="D4152" s="2" t="s">
        <v>4800</v>
      </c>
      <c r="G4152" s="2" t="s">
        <v>4801</v>
      </c>
    </row>
    <row r="4153">
      <c r="A4153" s="2" t="s">
        <v>4807</v>
      </c>
      <c r="B4153" s="2" t="s">
        <v>5189</v>
      </c>
      <c r="D4153" s="2" t="s">
        <v>4800</v>
      </c>
      <c r="G4153" s="2" t="s">
        <v>4801</v>
      </c>
    </row>
    <row r="4154">
      <c r="A4154" s="2" t="s">
        <v>4807</v>
      </c>
      <c r="B4154" s="2" t="s">
        <v>5190</v>
      </c>
      <c r="D4154" s="2" t="s">
        <v>4800</v>
      </c>
      <c r="G4154" s="2" t="s">
        <v>4801</v>
      </c>
    </row>
    <row r="4155">
      <c r="A4155" s="2" t="s">
        <v>4807</v>
      </c>
      <c r="B4155" s="2" t="s">
        <v>5191</v>
      </c>
      <c r="D4155" s="2" t="s">
        <v>4800</v>
      </c>
      <c r="G4155" s="2" t="s">
        <v>4801</v>
      </c>
    </row>
    <row r="4156">
      <c r="A4156" s="2" t="s">
        <v>4807</v>
      </c>
      <c r="B4156" s="2" t="s">
        <v>5192</v>
      </c>
      <c r="D4156" s="2" t="s">
        <v>4800</v>
      </c>
      <c r="G4156" s="2" t="s">
        <v>4801</v>
      </c>
    </row>
    <row r="4157">
      <c r="A4157" s="2" t="s">
        <v>4807</v>
      </c>
      <c r="B4157" s="2" t="s">
        <v>5193</v>
      </c>
      <c r="D4157" s="2" t="s">
        <v>4800</v>
      </c>
      <c r="G4157" s="2" t="s">
        <v>4801</v>
      </c>
    </row>
    <row r="4158">
      <c r="A4158" s="2" t="s">
        <v>4807</v>
      </c>
      <c r="B4158" s="2" t="s">
        <v>5194</v>
      </c>
      <c r="D4158" s="2" t="s">
        <v>4800</v>
      </c>
      <c r="G4158" s="2" t="s">
        <v>4801</v>
      </c>
    </row>
    <row r="4159">
      <c r="A4159" s="2" t="s">
        <v>4807</v>
      </c>
      <c r="B4159" s="2" t="s">
        <v>5195</v>
      </c>
      <c r="D4159" s="2" t="s">
        <v>4800</v>
      </c>
      <c r="G4159" s="2" t="s">
        <v>4801</v>
      </c>
    </row>
    <row r="4160">
      <c r="A4160" s="2" t="s">
        <v>4807</v>
      </c>
      <c r="B4160" s="2" t="s">
        <v>5196</v>
      </c>
      <c r="D4160" s="2" t="s">
        <v>4800</v>
      </c>
      <c r="G4160" s="2" t="s">
        <v>4801</v>
      </c>
    </row>
    <row r="4161">
      <c r="A4161" s="2" t="s">
        <v>4807</v>
      </c>
      <c r="B4161" s="2" t="s">
        <v>5197</v>
      </c>
      <c r="D4161" s="2" t="s">
        <v>4800</v>
      </c>
      <c r="G4161" s="2" t="s">
        <v>4801</v>
      </c>
    </row>
    <row r="4162">
      <c r="A4162" s="2" t="s">
        <v>4807</v>
      </c>
      <c r="B4162" s="2" t="s">
        <v>5198</v>
      </c>
      <c r="D4162" s="2" t="s">
        <v>4800</v>
      </c>
      <c r="G4162" s="2" t="s">
        <v>4801</v>
      </c>
    </row>
    <row r="4163">
      <c r="A4163" s="2" t="s">
        <v>4807</v>
      </c>
      <c r="B4163" s="2" t="s">
        <v>5199</v>
      </c>
      <c r="D4163" s="2" t="s">
        <v>4800</v>
      </c>
      <c r="G4163" s="2" t="s">
        <v>4801</v>
      </c>
    </row>
    <row r="4164">
      <c r="A4164" s="2" t="s">
        <v>4807</v>
      </c>
      <c r="B4164" s="2" t="s">
        <v>5200</v>
      </c>
      <c r="D4164" s="2" t="s">
        <v>4800</v>
      </c>
      <c r="G4164" s="2" t="s">
        <v>4801</v>
      </c>
    </row>
    <row r="4165">
      <c r="A4165" s="2" t="s">
        <v>4807</v>
      </c>
      <c r="B4165" s="2" t="s">
        <v>5201</v>
      </c>
      <c r="D4165" s="2" t="s">
        <v>4800</v>
      </c>
      <c r="G4165" s="2" t="s">
        <v>4801</v>
      </c>
    </row>
    <row r="4166">
      <c r="A4166" s="2" t="s">
        <v>4807</v>
      </c>
      <c r="B4166" s="2" t="s">
        <v>5202</v>
      </c>
      <c r="D4166" s="2" t="s">
        <v>4800</v>
      </c>
      <c r="G4166" s="2" t="s">
        <v>4801</v>
      </c>
    </row>
    <row r="4167">
      <c r="A4167" s="2" t="s">
        <v>4807</v>
      </c>
      <c r="B4167" s="2" t="s">
        <v>5203</v>
      </c>
      <c r="D4167" s="2" t="s">
        <v>4800</v>
      </c>
      <c r="G4167" s="2" t="s">
        <v>4801</v>
      </c>
    </row>
    <row r="4168">
      <c r="A4168" s="2" t="s">
        <v>4807</v>
      </c>
      <c r="B4168" s="2" t="s">
        <v>5204</v>
      </c>
      <c r="D4168" s="2" t="s">
        <v>4800</v>
      </c>
      <c r="G4168" s="2" t="s">
        <v>4801</v>
      </c>
    </row>
    <row r="4169">
      <c r="A4169" s="2" t="s">
        <v>4807</v>
      </c>
      <c r="B4169" s="2" t="s">
        <v>5205</v>
      </c>
      <c r="D4169" s="2" t="s">
        <v>4800</v>
      </c>
      <c r="G4169" s="2" t="s">
        <v>4801</v>
      </c>
    </row>
    <row r="4170">
      <c r="A4170" s="2" t="s">
        <v>4807</v>
      </c>
      <c r="B4170" s="2" t="s">
        <v>5206</v>
      </c>
      <c r="D4170" s="2" t="s">
        <v>4800</v>
      </c>
      <c r="G4170" s="2" t="s">
        <v>4801</v>
      </c>
    </row>
    <row r="4171">
      <c r="A4171" s="2" t="s">
        <v>4807</v>
      </c>
      <c r="B4171" s="2" t="s">
        <v>5207</v>
      </c>
      <c r="D4171" s="2" t="s">
        <v>4800</v>
      </c>
      <c r="G4171" s="2" t="s">
        <v>4801</v>
      </c>
    </row>
    <row r="4172">
      <c r="A4172" s="2" t="s">
        <v>4807</v>
      </c>
      <c r="B4172" s="2" t="s">
        <v>5208</v>
      </c>
      <c r="D4172" s="2" t="s">
        <v>4800</v>
      </c>
      <c r="G4172" s="2" t="s">
        <v>4801</v>
      </c>
    </row>
    <row r="4173">
      <c r="A4173" s="2" t="s">
        <v>4807</v>
      </c>
      <c r="B4173" s="2" t="s">
        <v>5209</v>
      </c>
      <c r="D4173" s="2" t="s">
        <v>4800</v>
      </c>
      <c r="G4173" s="2" t="s">
        <v>4801</v>
      </c>
    </row>
    <row r="4174">
      <c r="A4174" s="2" t="s">
        <v>4807</v>
      </c>
      <c r="B4174" s="2" t="s">
        <v>5210</v>
      </c>
      <c r="D4174" s="2" t="s">
        <v>4800</v>
      </c>
      <c r="G4174" s="2" t="s">
        <v>4801</v>
      </c>
    </row>
    <row r="4175">
      <c r="A4175" s="2" t="s">
        <v>4807</v>
      </c>
      <c r="B4175" s="2" t="s">
        <v>5211</v>
      </c>
      <c r="D4175" s="2" t="s">
        <v>4800</v>
      </c>
      <c r="G4175" s="2" t="s">
        <v>4801</v>
      </c>
    </row>
    <row r="4176">
      <c r="A4176" s="2" t="s">
        <v>4807</v>
      </c>
      <c r="B4176" s="2" t="s">
        <v>5212</v>
      </c>
      <c r="D4176" s="2" t="s">
        <v>4800</v>
      </c>
      <c r="G4176" s="2" t="s">
        <v>4801</v>
      </c>
    </row>
    <row r="4177">
      <c r="A4177" s="2" t="s">
        <v>4807</v>
      </c>
      <c r="B4177" s="2" t="s">
        <v>5213</v>
      </c>
      <c r="D4177" s="2" t="s">
        <v>4800</v>
      </c>
      <c r="G4177" s="2" t="s">
        <v>4801</v>
      </c>
    </row>
    <row r="4178">
      <c r="A4178" s="2" t="s">
        <v>4807</v>
      </c>
      <c r="B4178" s="2" t="s">
        <v>5214</v>
      </c>
      <c r="D4178" s="2" t="s">
        <v>4800</v>
      </c>
      <c r="G4178" s="2" t="s">
        <v>4801</v>
      </c>
    </row>
    <row r="4179">
      <c r="A4179" s="2" t="s">
        <v>4807</v>
      </c>
      <c r="B4179" s="2" t="s">
        <v>5215</v>
      </c>
      <c r="D4179" s="2" t="s">
        <v>4800</v>
      </c>
      <c r="G4179" s="2" t="s">
        <v>4801</v>
      </c>
    </row>
    <row r="4180">
      <c r="A4180" s="2" t="s">
        <v>4807</v>
      </c>
      <c r="B4180" s="2" t="s">
        <v>5216</v>
      </c>
      <c r="D4180" s="2" t="s">
        <v>4800</v>
      </c>
      <c r="G4180" s="2" t="s">
        <v>4801</v>
      </c>
    </row>
    <row r="4181">
      <c r="A4181" s="2" t="s">
        <v>4807</v>
      </c>
      <c r="B4181" s="2" t="s">
        <v>5217</v>
      </c>
      <c r="D4181" s="2" t="s">
        <v>4800</v>
      </c>
      <c r="G4181" s="2" t="s">
        <v>4801</v>
      </c>
    </row>
    <row r="4182">
      <c r="A4182" s="2" t="s">
        <v>4807</v>
      </c>
      <c r="B4182" s="2" t="s">
        <v>5218</v>
      </c>
      <c r="D4182" s="2" t="s">
        <v>4800</v>
      </c>
      <c r="G4182" s="2" t="s">
        <v>4801</v>
      </c>
    </row>
    <row r="4183">
      <c r="A4183" s="2" t="s">
        <v>4807</v>
      </c>
      <c r="B4183" s="2" t="s">
        <v>5219</v>
      </c>
      <c r="D4183" s="2" t="s">
        <v>4800</v>
      </c>
      <c r="G4183" s="2" t="s">
        <v>4801</v>
      </c>
    </row>
    <row r="4184">
      <c r="A4184" s="2" t="s">
        <v>4807</v>
      </c>
      <c r="B4184" s="2" t="s">
        <v>5220</v>
      </c>
      <c r="D4184" s="2" t="s">
        <v>4800</v>
      </c>
      <c r="G4184" s="2" t="s">
        <v>4801</v>
      </c>
    </row>
    <row r="4185">
      <c r="A4185" s="2" t="s">
        <v>4807</v>
      </c>
      <c r="B4185" s="2" t="s">
        <v>5221</v>
      </c>
      <c r="D4185" s="2" t="s">
        <v>4800</v>
      </c>
      <c r="G4185" s="2" t="s">
        <v>4801</v>
      </c>
    </row>
    <row r="4186">
      <c r="A4186" s="2" t="s">
        <v>4807</v>
      </c>
      <c r="B4186" s="2" t="s">
        <v>5222</v>
      </c>
      <c r="D4186" s="2" t="s">
        <v>4800</v>
      </c>
      <c r="G4186" s="2" t="s">
        <v>4801</v>
      </c>
    </row>
    <row r="4187">
      <c r="A4187" s="2" t="s">
        <v>4807</v>
      </c>
      <c r="B4187" s="2" t="s">
        <v>5223</v>
      </c>
      <c r="D4187" s="2" t="s">
        <v>4800</v>
      </c>
      <c r="G4187" s="2" t="s">
        <v>4801</v>
      </c>
    </row>
    <row r="4188">
      <c r="A4188" s="2" t="s">
        <v>4807</v>
      </c>
      <c r="B4188" s="2" t="s">
        <v>5224</v>
      </c>
      <c r="D4188" s="2" t="s">
        <v>4800</v>
      </c>
      <c r="G4188" s="2" t="s">
        <v>4801</v>
      </c>
    </row>
    <row r="4189">
      <c r="A4189" s="2" t="s">
        <v>4807</v>
      </c>
      <c r="B4189" s="2" t="s">
        <v>5225</v>
      </c>
      <c r="D4189" s="2" t="s">
        <v>4800</v>
      </c>
      <c r="G4189" s="2" t="s">
        <v>4801</v>
      </c>
    </row>
    <row r="4190">
      <c r="A4190" s="2" t="s">
        <v>4807</v>
      </c>
      <c r="B4190" s="2" t="s">
        <v>5226</v>
      </c>
      <c r="D4190" s="2" t="s">
        <v>4800</v>
      </c>
      <c r="G4190" s="2" t="s">
        <v>4801</v>
      </c>
    </row>
    <row r="4191">
      <c r="A4191" s="2" t="s">
        <v>4807</v>
      </c>
      <c r="B4191" s="2" t="s">
        <v>5227</v>
      </c>
      <c r="D4191" s="2" t="s">
        <v>4800</v>
      </c>
      <c r="G4191" s="2" t="s">
        <v>4801</v>
      </c>
    </row>
    <row r="4192">
      <c r="A4192" s="2" t="s">
        <v>4807</v>
      </c>
      <c r="B4192" s="2" t="s">
        <v>5228</v>
      </c>
      <c r="D4192" s="2" t="s">
        <v>4800</v>
      </c>
      <c r="G4192" s="2" t="s">
        <v>4801</v>
      </c>
    </row>
    <row r="4193">
      <c r="A4193" s="2" t="s">
        <v>4807</v>
      </c>
      <c r="B4193" s="2" t="s">
        <v>5229</v>
      </c>
      <c r="D4193" s="2" t="s">
        <v>4800</v>
      </c>
      <c r="G4193" s="2" t="s">
        <v>4801</v>
      </c>
    </row>
    <row r="4194">
      <c r="A4194" s="2" t="s">
        <v>4807</v>
      </c>
      <c r="B4194" s="2" t="s">
        <v>5230</v>
      </c>
      <c r="D4194" s="2" t="s">
        <v>4800</v>
      </c>
      <c r="G4194" s="2" t="s">
        <v>4801</v>
      </c>
    </row>
    <row r="4195">
      <c r="A4195" s="2" t="s">
        <v>4807</v>
      </c>
      <c r="B4195" s="2" t="s">
        <v>5231</v>
      </c>
      <c r="D4195" s="2" t="s">
        <v>4800</v>
      </c>
      <c r="G4195" s="2" t="s">
        <v>4801</v>
      </c>
    </row>
    <row r="4196">
      <c r="A4196" s="2" t="s">
        <v>4807</v>
      </c>
      <c r="B4196" s="2" t="s">
        <v>5232</v>
      </c>
      <c r="D4196" s="2" t="s">
        <v>4800</v>
      </c>
      <c r="G4196" s="2" t="s">
        <v>4801</v>
      </c>
    </row>
    <row r="4197">
      <c r="A4197" s="2" t="s">
        <v>4807</v>
      </c>
      <c r="B4197" s="2" t="s">
        <v>5233</v>
      </c>
      <c r="D4197" s="2" t="s">
        <v>4800</v>
      </c>
      <c r="G4197" s="2" t="s">
        <v>4801</v>
      </c>
    </row>
    <row r="4198">
      <c r="A4198" s="2" t="s">
        <v>4807</v>
      </c>
      <c r="B4198" s="2" t="s">
        <v>5234</v>
      </c>
      <c r="D4198" s="2" t="s">
        <v>4800</v>
      </c>
      <c r="G4198" s="2" t="s">
        <v>4801</v>
      </c>
    </row>
    <row r="4199">
      <c r="A4199" s="2" t="s">
        <v>4807</v>
      </c>
      <c r="B4199" s="2" t="s">
        <v>5235</v>
      </c>
      <c r="D4199" s="2" t="s">
        <v>4800</v>
      </c>
      <c r="G4199" s="2" t="s">
        <v>4801</v>
      </c>
    </row>
    <row r="4200">
      <c r="A4200" s="2" t="s">
        <v>4807</v>
      </c>
      <c r="B4200" s="2" t="s">
        <v>5236</v>
      </c>
      <c r="D4200" s="2" t="s">
        <v>4800</v>
      </c>
      <c r="G4200" s="2" t="s">
        <v>4801</v>
      </c>
    </row>
    <row r="4201">
      <c r="A4201" s="2" t="s">
        <v>4807</v>
      </c>
      <c r="B4201" s="2" t="s">
        <v>5237</v>
      </c>
      <c r="D4201" s="2" t="s">
        <v>4800</v>
      </c>
      <c r="G4201" s="2" t="s">
        <v>4801</v>
      </c>
    </row>
    <row r="4202">
      <c r="A4202" s="2" t="s">
        <v>4807</v>
      </c>
      <c r="B4202" s="2" t="s">
        <v>5238</v>
      </c>
      <c r="D4202" s="2" t="s">
        <v>4800</v>
      </c>
      <c r="G4202" s="2" t="s">
        <v>4801</v>
      </c>
    </row>
    <row r="4203">
      <c r="A4203" s="2" t="s">
        <v>4807</v>
      </c>
      <c r="B4203" s="2" t="s">
        <v>5239</v>
      </c>
      <c r="D4203" s="2" t="s">
        <v>4800</v>
      </c>
      <c r="G4203" s="2" t="s">
        <v>4801</v>
      </c>
    </row>
    <row r="4204">
      <c r="A4204" s="2" t="s">
        <v>4807</v>
      </c>
      <c r="B4204" s="2" t="s">
        <v>5240</v>
      </c>
      <c r="D4204" s="2" t="s">
        <v>4800</v>
      </c>
      <c r="G4204" s="2" t="s">
        <v>4801</v>
      </c>
    </row>
    <row r="4205">
      <c r="A4205" s="2" t="s">
        <v>4807</v>
      </c>
      <c r="B4205" s="2" t="s">
        <v>5239</v>
      </c>
      <c r="D4205" s="2" t="s">
        <v>4800</v>
      </c>
      <c r="G4205" s="2" t="s">
        <v>4801</v>
      </c>
    </row>
    <row r="4206">
      <c r="A4206" s="2" t="s">
        <v>4807</v>
      </c>
      <c r="B4206" s="2" t="s">
        <v>5130</v>
      </c>
      <c r="D4206" s="2" t="s">
        <v>4800</v>
      </c>
      <c r="G4206" s="2" t="s">
        <v>4801</v>
      </c>
    </row>
    <row r="4207">
      <c r="A4207" s="2" t="s">
        <v>4807</v>
      </c>
      <c r="B4207" s="2" t="s">
        <v>5239</v>
      </c>
      <c r="D4207" s="2" t="s">
        <v>4800</v>
      </c>
      <c r="G4207" s="2" t="s">
        <v>4801</v>
      </c>
    </row>
    <row r="4208">
      <c r="A4208" s="2" t="s">
        <v>4807</v>
      </c>
      <c r="B4208" s="2" t="s">
        <v>4880</v>
      </c>
      <c r="D4208" s="2" t="s">
        <v>4800</v>
      </c>
      <c r="G4208" s="2" t="s">
        <v>4801</v>
      </c>
    </row>
    <row r="4209">
      <c r="A4209" s="2" t="s">
        <v>4807</v>
      </c>
      <c r="B4209" s="2" t="s">
        <v>5239</v>
      </c>
      <c r="D4209" s="2" t="s">
        <v>4800</v>
      </c>
      <c r="G4209" s="2" t="s">
        <v>4801</v>
      </c>
    </row>
    <row r="4210">
      <c r="A4210" s="2" t="s">
        <v>4807</v>
      </c>
      <c r="B4210" s="2" t="s">
        <v>4840</v>
      </c>
      <c r="D4210" s="2" t="s">
        <v>4800</v>
      </c>
      <c r="G4210" s="2" t="s">
        <v>4801</v>
      </c>
    </row>
    <row r="4211">
      <c r="A4211" s="2" t="s">
        <v>4807</v>
      </c>
      <c r="B4211" s="2" t="s">
        <v>5239</v>
      </c>
      <c r="D4211" s="2" t="s">
        <v>4800</v>
      </c>
      <c r="G4211" s="2" t="s">
        <v>4801</v>
      </c>
    </row>
    <row r="4212">
      <c r="A4212" s="2" t="s">
        <v>4807</v>
      </c>
      <c r="B4212" s="2" t="s">
        <v>5241</v>
      </c>
      <c r="D4212" s="2" t="s">
        <v>4800</v>
      </c>
      <c r="G4212" s="2" t="s">
        <v>4801</v>
      </c>
    </row>
    <row r="4213">
      <c r="A4213" s="2" t="s">
        <v>4807</v>
      </c>
      <c r="B4213" s="2" t="s">
        <v>5239</v>
      </c>
      <c r="D4213" s="2" t="s">
        <v>4800</v>
      </c>
      <c r="G4213" s="2" t="s">
        <v>4801</v>
      </c>
    </row>
    <row r="4214">
      <c r="A4214" s="2" t="s">
        <v>4807</v>
      </c>
      <c r="B4214" s="2" t="s">
        <v>5242</v>
      </c>
      <c r="D4214" s="2" t="s">
        <v>4800</v>
      </c>
      <c r="G4214" s="2" t="s">
        <v>4801</v>
      </c>
    </row>
    <row r="4215">
      <c r="A4215" s="2" t="s">
        <v>4807</v>
      </c>
      <c r="B4215" s="2" t="s">
        <v>5239</v>
      </c>
      <c r="D4215" s="2" t="s">
        <v>4800</v>
      </c>
      <c r="G4215" s="2" t="s">
        <v>4801</v>
      </c>
    </row>
    <row r="4216">
      <c r="A4216" s="2" t="s">
        <v>4807</v>
      </c>
      <c r="B4216" s="2" t="s">
        <v>5243</v>
      </c>
      <c r="D4216" s="2" t="s">
        <v>4800</v>
      </c>
      <c r="G4216" s="2" t="s">
        <v>4801</v>
      </c>
    </row>
    <row r="4217">
      <c r="A4217" s="2" t="s">
        <v>4807</v>
      </c>
      <c r="B4217" s="2" t="s">
        <v>5244</v>
      </c>
      <c r="D4217" s="2" t="s">
        <v>4800</v>
      </c>
      <c r="G4217" s="2" t="s">
        <v>4801</v>
      </c>
    </row>
    <row r="4218">
      <c r="A4218" s="2" t="s">
        <v>4807</v>
      </c>
      <c r="B4218" s="2" t="s">
        <v>5245</v>
      </c>
      <c r="D4218" s="2" t="s">
        <v>4800</v>
      </c>
      <c r="G4218" s="2" t="s">
        <v>4801</v>
      </c>
    </row>
    <row r="4219">
      <c r="A4219" s="2" t="s">
        <v>4807</v>
      </c>
      <c r="B4219" s="2" t="s">
        <v>5246</v>
      </c>
      <c r="D4219" s="2" t="s">
        <v>4800</v>
      </c>
      <c r="G4219" s="2" t="s">
        <v>4801</v>
      </c>
    </row>
    <row r="4220">
      <c r="A4220" s="2" t="s">
        <v>4807</v>
      </c>
      <c r="B4220" s="2" t="s">
        <v>5247</v>
      </c>
      <c r="D4220" s="2" t="s">
        <v>4800</v>
      </c>
      <c r="G4220" s="2" t="s">
        <v>4801</v>
      </c>
    </row>
    <row r="4221">
      <c r="A4221" s="2" t="s">
        <v>4807</v>
      </c>
      <c r="B4221" s="2" t="s">
        <v>5248</v>
      </c>
      <c r="D4221" s="2" t="s">
        <v>4800</v>
      </c>
      <c r="G4221" s="2" t="s">
        <v>4801</v>
      </c>
    </row>
    <row r="4222">
      <c r="A4222" s="2" t="s">
        <v>4807</v>
      </c>
      <c r="B4222" s="2" t="s">
        <v>5249</v>
      </c>
      <c r="D4222" s="2" t="s">
        <v>4800</v>
      </c>
      <c r="G4222" s="2" t="s">
        <v>4801</v>
      </c>
    </row>
    <row r="4223">
      <c r="A4223" s="2" t="s">
        <v>4807</v>
      </c>
      <c r="B4223" s="2" t="s">
        <v>5240</v>
      </c>
      <c r="D4223" s="2" t="s">
        <v>4800</v>
      </c>
      <c r="G4223" s="2" t="s">
        <v>4801</v>
      </c>
    </row>
    <row r="4224">
      <c r="A4224" s="2" t="s">
        <v>4807</v>
      </c>
      <c r="B4224" s="2" t="s">
        <v>5250</v>
      </c>
      <c r="D4224" s="2" t="s">
        <v>4800</v>
      </c>
      <c r="G4224" s="2" t="s">
        <v>4801</v>
      </c>
    </row>
    <row r="4225">
      <c r="A4225" s="2" t="s">
        <v>4807</v>
      </c>
      <c r="B4225" s="2" t="s">
        <v>5251</v>
      </c>
      <c r="D4225" s="2" t="s">
        <v>4800</v>
      </c>
      <c r="G4225" s="2" t="s">
        <v>4801</v>
      </c>
    </row>
    <row r="4226">
      <c r="A4226" s="2" t="s">
        <v>4807</v>
      </c>
      <c r="B4226" s="2" t="s">
        <v>5252</v>
      </c>
      <c r="D4226" s="2" t="s">
        <v>4800</v>
      </c>
      <c r="G4226" s="2" t="s">
        <v>4801</v>
      </c>
    </row>
    <row r="4227">
      <c r="A4227" s="2" t="s">
        <v>4807</v>
      </c>
      <c r="B4227" s="2" t="s">
        <v>5253</v>
      </c>
      <c r="D4227" s="2" t="s">
        <v>4800</v>
      </c>
      <c r="G4227" s="2" t="s">
        <v>4801</v>
      </c>
    </row>
    <row r="4228">
      <c r="A4228" s="2" t="s">
        <v>4807</v>
      </c>
      <c r="B4228" s="2" t="s">
        <v>5254</v>
      </c>
      <c r="D4228" s="2" t="s">
        <v>4800</v>
      </c>
      <c r="G4228" s="2" t="s">
        <v>4801</v>
      </c>
    </row>
    <row r="4229">
      <c r="A4229" s="2" t="s">
        <v>4807</v>
      </c>
      <c r="B4229" s="2" t="s">
        <v>5255</v>
      </c>
      <c r="D4229" s="2" t="s">
        <v>4800</v>
      </c>
      <c r="G4229" s="2" t="s">
        <v>4801</v>
      </c>
    </row>
    <row r="4230">
      <c r="A4230" s="2" t="s">
        <v>4807</v>
      </c>
      <c r="B4230" s="2" t="s">
        <v>5256</v>
      </c>
      <c r="D4230" s="2" t="s">
        <v>4800</v>
      </c>
      <c r="G4230" s="2" t="s">
        <v>4801</v>
      </c>
    </row>
    <row r="4231">
      <c r="A4231" s="2" t="s">
        <v>4807</v>
      </c>
      <c r="B4231" s="2" t="s">
        <v>5257</v>
      </c>
      <c r="D4231" s="2" t="s">
        <v>4800</v>
      </c>
      <c r="G4231" s="2" t="s">
        <v>4801</v>
      </c>
    </row>
    <row r="4232">
      <c r="A4232" s="2" t="s">
        <v>4807</v>
      </c>
      <c r="B4232" s="2" t="s">
        <v>5258</v>
      </c>
      <c r="D4232" s="2" t="s">
        <v>4800</v>
      </c>
      <c r="G4232" s="2" t="s">
        <v>4801</v>
      </c>
    </row>
    <row r="4233">
      <c r="A4233" s="2" t="s">
        <v>4807</v>
      </c>
      <c r="B4233" s="2" t="s">
        <v>5259</v>
      </c>
      <c r="D4233" s="2" t="s">
        <v>4800</v>
      </c>
      <c r="G4233" s="2" t="s">
        <v>4801</v>
      </c>
    </row>
    <row r="4234">
      <c r="A4234" s="2" t="s">
        <v>4807</v>
      </c>
      <c r="B4234" s="2" t="s">
        <v>5260</v>
      </c>
      <c r="D4234" s="2" t="s">
        <v>4800</v>
      </c>
      <c r="G4234" s="2" t="s">
        <v>4801</v>
      </c>
    </row>
    <row r="4235">
      <c r="A4235" s="2" t="s">
        <v>4807</v>
      </c>
      <c r="B4235" s="2" t="s">
        <v>5261</v>
      </c>
      <c r="D4235" s="2" t="s">
        <v>4800</v>
      </c>
      <c r="G4235" s="2" t="s">
        <v>4801</v>
      </c>
    </row>
    <row r="4236">
      <c r="A4236" s="2" t="s">
        <v>4807</v>
      </c>
      <c r="B4236" s="2" t="s">
        <v>5262</v>
      </c>
      <c r="D4236" s="2" t="s">
        <v>4800</v>
      </c>
      <c r="G4236" s="2" t="s">
        <v>4801</v>
      </c>
    </row>
    <row r="4237">
      <c r="A4237" s="2" t="s">
        <v>4807</v>
      </c>
      <c r="B4237" s="2" t="s">
        <v>5263</v>
      </c>
      <c r="D4237" s="2" t="s">
        <v>4800</v>
      </c>
      <c r="G4237" s="2" t="s">
        <v>4801</v>
      </c>
    </row>
    <row r="4238">
      <c r="A4238" s="2" t="s">
        <v>4807</v>
      </c>
      <c r="B4238" s="2" t="s">
        <v>5264</v>
      </c>
      <c r="D4238" s="2" t="s">
        <v>4800</v>
      </c>
      <c r="G4238" s="2" t="s">
        <v>4801</v>
      </c>
    </row>
    <row r="4239">
      <c r="A4239" s="2" t="s">
        <v>4807</v>
      </c>
      <c r="B4239" s="2" t="s">
        <v>5265</v>
      </c>
      <c r="D4239" s="2" t="s">
        <v>4800</v>
      </c>
      <c r="G4239" s="2" t="s">
        <v>4801</v>
      </c>
    </row>
    <row r="4240">
      <c r="A4240" s="2" t="s">
        <v>4807</v>
      </c>
      <c r="B4240" s="2" t="s">
        <v>5266</v>
      </c>
      <c r="D4240" s="2" t="s">
        <v>4800</v>
      </c>
      <c r="G4240" s="2" t="s">
        <v>4801</v>
      </c>
    </row>
    <row r="4241">
      <c r="A4241" s="2" t="s">
        <v>4807</v>
      </c>
      <c r="B4241" s="2" t="s">
        <v>5267</v>
      </c>
      <c r="D4241" s="2" t="s">
        <v>4800</v>
      </c>
      <c r="G4241" s="2" t="s">
        <v>4801</v>
      </c>
    </row>
    <row r="4242">
      <c r="A4242" s="2" t="s">
        <v>4807</v>
      </c>
      <c r="B4242" s="2" t="s">
        <v>5268</v>
      </c>
      <c r="D4242" s="2" t="s">
        <v>4800</v>
      </c>
      <c r="G4242" s="2" t="s">
        <v>4801</v>
      </c>
    </row>
    <row r="4243">
      <c r="A4243" s="2" t="s">
        <v>4807</v>
      </c>
      <c r="B4243" s="2" t="s">
        <v>5269</v>
      </c>
      <c r="D4243" s="2" t="s">
        <v>4800</v>
      </c>
      <c r="G4243" s="2" t="s">
        <v>4801</v>
      </c>
    </row>
    <row r="4244">
      <c r="A4244" s="2" t="s">
        <v>4807</v>
      </c>
      <c r="B4244" s="2" t="s">
        <v>5270</v>
      </c>
      <c r="D4244" s="2" t="s">
        <v>4800</v>
      </c>
      <c r="G4244" s="2" t="s">
        <v>4801</v>
      </c>
    </row>
    <row r="4245">
      <c r="A4245" s="2" t="s">
        <v>4807</v>
      </c>
      <c r="B4245" s="2" t="s">
        <v>5271</v>
      </c>
      <c r="D4245" s="2" t="s">
        <v>4800</v>
      </c>
      <c r="G4245" s="2" t="s">
        <v>4801</v>
      </c>
    </row>
    <row r="4246">
      <c r="A4246" s="2" t="s">
        <v>4807</v>
      </c>
      <c r="B4246" s="2" t="s">
        <v>5272</v>
      </c>
      <c r="D4246" s="2" t="s">
        <v>4800</v>
      </c>
      <c r="G4246" s="2" t="s">
        <v>4801</v>
      </c>
    </row>
    <row r="4247">
      <c r="A4247" s="2" t="s">
        <v>4807</v>
      </c>
      <c r="B4247" s="2" t="s">
        <v>5273</v>
      </c>
      <c r="D4247" s="2" t="s">
        <v>4800</v>
      </c>
      <c r="G4247" s="2" t="s">
        <v>4801</v>
      </c>
    </row>
    <row r="4248">
      <c r="A4248" s="2" t="s">
        <v>4807</v>
      </c>
      <c r="B4248" s="2" t="s">
        <v>5274</v>
      </c>
      <c r="D4248" s="2" t="s">
        <v>4800</v>
      </c>
      <c r="G4248" s="2" t="s">
        <v>4801</v>
      </c>
    </row>
    <row r="4249">
      <c r="A4249" s="2" t="s">
        <v>4807</v>
      </c>
      <c r="B4249" s="2" t="s">
        <v>5275</v>
      </c>
      <c r="D4249" s="2" t="s">
        <v>4800</v>
      </c>
      <c r="G4249" s="2" t="s">
        <v>4801</v>
      </c>
    </row>
    <row r="4250">
      <c r="A4250" s="2" t="s">
        <v>4807</v>
      </c>
      <c r="B4250" s="2" t="s">
        <v>5276</v>
      </c>
      <c r="D4250" s="2" t="s">
        <v>4800</v>
      </c>
      <c r="G4250" s="2" t="s">
        <v>4801</v>
      </c>
    </row>
    <row r="4251">
      <c r="A4251" s="2" t="s">
        <v>4807</v>
      </c>
      <c r="B4251" s="2" t="s">
        <v>5277</v>
      </c>
      <c r="D4251" s="2" t="s">
        <v>4800</v>
      </c>
      <c r="G4251" s="2" t="s">
        <v>4801</v>
      </c>
    </row>
    <row r="4252">
      <c r="A4252" s="2" t="s">
        <v>4807</v>
      </c>
      <c r="B4252" s="2" t="s">
        <v>5278</v>
      </c>
      <c r="D4252" s="2" t="s">
        <v>4800</v>
      </c>
      <c r="G4252" s="2" t="s">
        <v>4801</v>
      </c>
    </row>
    <row r="4253">
      <c r="A4253" s="2" t="s">
        <v>4807</v>
      </c>
      <c r="B4253" s="2" t="s">
        <v>5279</v>
      </c>
      <c r="D4253" s="2" t="s">
        <v>4800</v>
      </c>
      <c r="G4253" s="2" t="s">
        <v>4801</v>
      </c>
    </row>
    <row r="4254">
      <c r="A4254" s="2" t="s">
        <v>4807</v>
      </c>
      <c r="B4254" s="2" t="s">
        <v>5280</v>
      </c>
      <c r="D4254" s="2" t="s">
        <v>4800</v>
      </c>
      <c r="G4254" s="2" t="s">
        <v>4801</v>
      </c>
    </row>
    <row r="4255">
      <c r="A4255" s="2" t="s">
        <v>4807</v>
      </c>
      <c r="B4255" s="2" t="s">
        <v>5281</v>
      </c>
      <c r="D4255" s="2" t="s">
        <v>4800</v>
      </c>
      <c r="G4255" s="2" t="s">
        <v>4801</v>
      </c>
    </row>
    <row r="4256">
      <c r="A4256" s="2" t="s">
        <v>4807</v>
      </c>
      <c r="B4256" s="2" t="s">
        <v>5282</v>
      </c>
      <c r="D4256" s="2" t="s">
        <v>4800</v>
      </c>
      <c r="G4256" s="2" t="s">
        <v>4801</v>
      </c>
    </row>
    <row r="4257">
      <c r="A4257" s="2" t="s">
        <v>4807</v>
      </c>
      <c r="B4257" s="2" t="s">
        <v>5283</v>
      </c>
      <c r="D4257" s="2" t="s">
        <v>4800</v>
      </c>
      <c r="G4257" s="2" t="s">
        <v>4801</v>
      </c>
    </row>
    <row r="4258">
      <c r="A4258" s="2" t="s">
        <v>4807</v>
      </c>
      <c r="B4258" s="2" t="s">
        <v>5284</v>
      </c>
      <c r="D4258" s="2" t="s">
        <v>4800</v>
      </c>
      <c r="G4258" s="2" t="s">
        <v>4801</v>
      </c>
    </row>
    <row r="4259">
      <c r="A4259" s="2" t="s">
        <v>4807</v>
      </c>
      <c r="B4259" s="2" t="s">
        <v>5285</v>
      </c>
      <c r="D4259" s="2" t="s">
        <v>4800</v>
      </c>
      <c r="G4259" s="2" t="s">
        <v>4801</v>
      </c>
    </row>
    <row r="4260">
      <c r="A4260" s="2" t="s">
        <v>4807</v>
      </c>
      <c r="B4260" s="2" t="s">
        <v>5286</v>
      </c>
      <c r="D4260" s="2" t="s">
        <v>4800</v>
      </c>
      <c r="G4260" s="2" t="s">
        <v>4801</v>
      </c>
    </row>
    <row r="4261">
      <c r="A4261" s="2" t="s">
        <v>4807</v>
      </c>
      <c r="B4261" s="2" t="s">
        <v>5287</v>
      </c>
      <c r="D4261" s="2" t="s">
        <v>4800</v>
      </c>
      <c r="G4261" s="2" t="s">
        <v>4801</v>
      </c>
    </row>
    <row r="4262">
      <c r="A4262" s="2" t="s">
        <v>4807</v>
      </c>
      <c r="B4262" s="2" t="s">
        <v>5288</v>
      </c>
      <c r="D4262" s="2" t="s">
        <v>4800</v>
      </c>
      <c r="G4262" s="2" t="s">
        <v>4801</v>
      </c>
    </row>
    <row r="4263">
      <c r="A4263" s="2" t="s">
        <v>4807</v>
      </c>
      <c r="B4263" s="2" t="s">
        <v>5289</v>
      </c>
      <c r="D4263" s="2" t="s">
        <v>4800</v>
      </c>
      <c r="G4263" s="2" t="s">
        <v>4801</v>
      </c>
    </row>
    <row r="4264">
      <c r="A4264" s="2" t="s">
        <v>4807</v>
      </c>
      <c r="B4264" s="2" t="s">
        <v>5290</v>
      </c>
      <c r="D4264" s="2" t="s">
        <v>4800</v>
      </c>
      <c r="G4264" s="2" t="s">
        <v>4801</v>
      </c>
    </row>
    <row r="4265">
      <c r="A4265" s="2" t="s">
        <v>4807</v>
      </c>
      <c r="B4265" s="2" t="s">
        <v>5291</v>
      </c>
      <c r="D4265" s="2" t="s">
        <v>4800</v>
      </c>
      <c r="G4265" s="2" t="s">
        <v>4801</v>
      </c>
    </row>
    <row r="4266">
      <c r="A4266" s="2" t="s">
        <v>4807</v>
      </c>
      <c r="B4266" s="2" t="s">
        <v>5292</v>
      </c>
      <c r="D4266" s="2" t="s">
        <v>4800</v>
      </c>
      <c r="G4266" s="2" t="s">
        <v>4801</v>
      </c>
    </row>
    <row r="4267">
      <c r="A4267" s="2" t="s">
        <v>4807</v>
      </c>
      <c r="B4267" s="2" t="s">
        <v>5293</v>
      </c>
      <c r="D4267" s="2" t="s">
        <v>4800</v>
      </c>
      <c r="G4267" s="2" t="s">
        <v>4801</v>
      </c>
    </row>
    <row r="4268">
      <c r="A4268" s="2" t="s">
        <v>4807</v>
      </c>
      <c r="B4268" s="2" t="s">
        <v>5294</v>
      </c>
      <c r="D4268" s="2" t="s">
        <v>4800</v>
      </c>
      <c r="G4268" s="2" t="s">
        <v>4801</v>
      </c>
    </row>
    <row r="4269">
      <c r="A4269" s="2" t="s">
        <v>4807</v>
      </c>
      <c r="B4269" s="2" t="s">
        <v>5295</v>
      </c>
      <c r="D4269" s="2" t="s">
        <v>4800</v>
      </c>
      <c r="G4269" s="2" t="s">
        <v>4801</v>
      </c>
    </row>
    <row r="4270">
      <c r="A4270" s="2" t="s">
        <v>4807</v>
      </c>
      <c r="B4270" s="2" t="s">
        <v>5296</v>
      </c>
      <c r="D4270" s="2" t="s">
        <v>4800</v>
      </c>
      <c r="G4270" s="2" t="s">
        <v>4801</v>
      </c>
    </row>
    <row r="4271">
      <c r="A4271" s="2" t="s">
        <v>4807</v>
      </c>
      <c r="B4271" s="2" t="s">
        <v>5297</v>
      </c>
      <c r="D4271" s="2" t="s">
        <v>4800</v>
      </c>
      <c r="G4271" s="2" t="s">
        <v>4801</v>
      </c>
    </row>
    <row r="4272">
      <c r="A4272" s="2" t="s">
        <v>4807</v>
      </c>
      <c r="B4272" s="2" t="s">
        <v>5298</v>
      </c>
      <c r="D4272" s="2" t="s">
        <v>4800</v>
      </c>
      <c r="G4272" s="2" t="s">
        <v>4801</v>
      </c>
    </row>
    <row r="4273">
      <c r="A4273" s="2" t="s">
        <v>4807</v>
      </c>
      <c r="B4273" s="2" t="s">
        <v>5299</v>
      </c>
      <c r="D4273" s="2" t="s">
        <v>4800</v>
      </c>
      <c r="G4273" s="2" t="s">
        <v>4801</v>
      </c>
    </row>
    <row r="4274">
      <c r="A4274" s="2" t="s">
        <v>4807</v>
      </c>
      <c r="B4274" s="2" t="s">
        <v>5300</v>
      </c>
      <c r="D4274" s="2" t="s">
        <v>4800</v>
      </c>
      <c r="G4274" s="2" t="s">
        <v>4801</v>
      </c>
    </row>
    <row r="4275">
      <c r="A4275" s="2" t="s">
        <v>4807</v>
      </c>
      <c r="B4275" s="2" t="s">
        <v>5301</v>
      </c>
      <c r="D4275" s="2" t="s">
        <v>4800</v>
      </c>
      <c r="G4275" s="2" t="s">
        <v>4801</v>
      </c>
    </row>
    <row r="4276">
      <c r="A4276" s="2" t="s">
        <v>4807</v>
      </c>
      <c r="B4276" s="2" t="s">
        <v>5302</v>
      </c>
      <c r="D4276" s="2" t="s">
        <v>4800</v>
      </c>
      <c r="G4276" s="2" t="s">
        <v>4801</v>
      </c>
    </row>
    <row r="4277">
      <c r="A4277" s="2" t="s">
        <v>4807</v>
      </c>
      <c r="B4277" s="2" t="s">
        <v>5303</v>
      </c>
      <c r="D4277" s="2" t="s">
        <v>4800</v>
      </c>
      <c r="G4277" s="2" t="s">
        <v>4801</v>
      </c>
    </row>
    <row r="4278">
      <c r="A4278" s="2" t="s">
        <v>4807</v>
      </c>
      <c r="B4278" s="2" t="s">
        <v>5304</v>
      </c>
      <c r="D4278" s="2" t="s">
        <v>4800</v>
      </c>
      <c r="G4278" s="2" t="s">
        <v>4801</v>
      </c>
    </row>
    <row r="4279">
      <c r="A4279" s="2" t="s">
        <v>4807</v>
      </c>
      <c r="B4279" s="2" t="s">
        <v>5305</v>
      </c>
      <c r="D4279" s="2" t="s">
        <v>4800</v>
      </c>
      <c r="G4279" s="2" t="s">
        <v>4801</v>
      </c>
    </row>
    <row r="4280">
      <c r="A4280" s="2" t="s">
        <v>4807</v>
      </c>
      <c r="B4280" s="2" t="s">
        <v>5306</v>
      </c>
      <c r="D4280" s="2" t="s">
        <v>4800</v>
      </c>
      <c r="G4280" s="2" t="s">
        <v>4801</v>
      </c>
    </row>
    <row r="4281">
      <c r="A4281" s="2" t="s">
        <v>4807</v>
      </c>
      <c r="B4281" s="2" t="s">
        <v>5307</v>
      </c>
      <c r="D4281" s="2" t="s">
        <v>4800</v>
      </c>
      <c r="G4281" s="2" t="s">
        <v>4801</v>
      </c>
    </row>
    <row r="4282">
      <c r="A4282" s="2" t="s">
        <v>4807</v>
      </c>
      <c r="B4282" s="2" t="s">
        <v>5308</v>
      </c>
      <c r="D4282" s="2" t="s">
        <v>4800</v>
      </c>
      <c r="G4282" s="2" t="s">
        <v>4801</v>
      </c>
    </row>
    <row r="4283">
      <c r="A4283" s="2" t="s">
        <v>4807</v>
      </c>
      <c r="B4283" s="2" t="s">
        <v>5309</v>
      </c>
      <c r="D4283" s="2" t="s">
        <v>4800</v>
      </c>
      <c r="G4283" s="2" t="s">
        <v>4801</v>
      </c>
    </row>
    <row r="4284">
      <c r="A4284" s="2" t="s">
        <v>4807</v>
      </c>
      <c r="B4284" s="2" t="s">
        <v>5310</v>
      </c>
      <c r="D4284" s="2" t="s">
        <v>4800</v>
      </c>
      <c r="G4284" s="2" t="s">
        <v>4801</v>
      </c>
    </row>
    <row r="4285">
      <c r="A4285" s="2" t="s">
        <v>4807</v>
      </c>
      <c r="B4285" s="2" t="s">
        <v>5311</v>
      </c>
      <c r="D4285" s="2" t="s">
        <v>4800</v>
      </c>
      <c r="G4285" s="2" t="s">
        <v>4801</v>
      </c>
    </row>
    <row r="4286">
      <c r="A4286" s="2" t="s">
        <v>4807</v>
      </c>
      <c r="B4286" s="2" t="s">
        <v>5312</v>
      </c>
      <c r="D4286" s="2" t="s">
        <v>4800</v>
      </c>
      <c r="G4286" s="2" t="s">
        <v>4801</v>
      </c>
    </row>
    <row r="4287">
      <c r="A4287" s="2" t="s">
        <v>4807</v>
      </c>
      <c r="B4287" s="2" t="s">
        <v>5313</v>
      </c>
      <c r="D4287" s="2" t="s">
        <v>4800</v>
      </c>
      <c r="G4287" s="2" t="s">
        <v>4801</v>
      </c>
    </row>
    <row r="4288">
      <c r="A4288" s="2" t="s">
        <v>4807</v>
      </c>
      <c r="B4288" s="2" t="s">
        <v>5314</v>
      </c>
      <c r="D4288" s="2" t="s">
        <v>4800</v>
      </c>
      <c r="G4288" s="2" t="s">
        <v>4801</v>
      </c>
    </row>
    <row r="4289">
      <c r="A4289" s="2" t="s">
        <v>4807</v>
      </c>
      <c r="B4289" s="2" t="s">
        <v>5315</v>
      </c>
      <c r="D4289" s="2" t="s">
        <v>4800</v>
      </c>
      <c r="G4289" s="2" t="s">
        <v>4801</v>
      </c>
    </row>
    <row r="4290">
      <c r="A4290" s="2" t="s">
        <v>4807</v>
      </c>
      <c r="B4290" s="2" t="s">
        <v>5316</v>
      </c>
      <c r="D4290" s="2" t="s">
        <v>4800</v>
      </c>
      <c r="G4290" s="2" t="s">
        <v>4801</v>
      </c>
    </row>
    <row r="4291">
      <c r="A4291" s="2" t="s">
        <v>4807</v>
      </c>
      <c r="B4291" s="2" t="s">
        <v>5317</v>
      </c>
      <c r="D4291" s="2" t="s">
        <v>4800</v>
      </c>
      <c r="G4291" s="2" t="s">
        <v>4801</v>
      </c>
    </row>
    <row r="4292">
      <c r="A4292" s="2" t="s">
        <v>4807</v>
      </c>
      <c r="B4292" s="2" t="s">
        <v>5318</v>
      </c>
      <c r="D4292" s="2" t="s">
        <v>4800</v>
      </c>
      <c r="G4292" s="2" t="s">
        <v>4801</v>
      </c>
    </row>
    <row r="4293">
      <c r="A4293" s="2" t="s">
        <v>4807</v>
      </c>
      <c r="B4293" s="2" t="s">
        <v>5319</v>
      </c>
      <c r="D4293" s="2" t="s">
        <v>4800</v>
      </c>
      <c r="G4293" s="2" t="s">
        <v>4801</v>
      </c>
    </row>
    <row r="4294">
      <c r="A4294" s="2" t="s">
        <v>4807</v>
      </c>
      <c r="B4294" s="2" t="s">
        <v>5320</v>
      </c>
      <c r="D4294" s="2" t="s">
        <v>4800</v>
      </c>
      <c r="G4294" s="2" t="s">
        <v>4801</v>
      </c>
    </row>
    <row r="4295">
      <c r="A4295" s="2" t="s">
        <v>4807</v>
      </c>
      <c r="B4295" s="2" t="s">
        <v>4880</v>
      </c>
      <c r="D4295" s="2" t="s">
        <v>4800</v>
      </c>
      <c r="G4295" s="2" t="s">
        <v>4801</v>
      </c>
    </row>
    <row r="4296">
      <c r="A4296" s="2" t="s">
        <v>4807</v>
      </c>
      <c r="B4296" s="2" t="s">
        <v>5321</v>
      </c>
      <c r="D4296" s="2" t="s">
        <v>4800</v>
      </c>
      <c r="G4296" s="2" t="s">
        <v>4801</v>
      </c>
    </row>
    <row r="4297">
      <c r="A4297" s="2" t="s">
        <v>4807</v>
      </c>
      <c r="B4297" s="2" t="s">
        <v>5322</v>
      </c>
      <c r="D4297" s="2" t="s">
        <v>4800</v>
      </c>
      <c r="G4297" s="2" t="s">
        <v>4801</v>
      </c>
    </row>
    <row r="4298">
      <c r="A4298" s="2" t="s">
        <v>4807</v>
      </c>
      <c r="B4298" s="2" t="s">
        <v>5323</v>
      </c>
      <c r="D4298" s="2" t="s">
        <v>4800</v>
      </c>
      <c r="G4298" s="2" t="s">
        <v>4801</v>
      </c>
    </row>
    <row r="4299">
      <c r="A4299" s="2" t="s">
        <v>4807</v>
      </c>
      <c r="B4299" s="2" t="s">
        <v>5324</v>
      </c>
      <c r="D4299" s="2" t="s">
        <v>4800</v>
      </c>
      <c r="G4299" s="2" t="s">
        <v>4801</v>
      </c>
    </row>
    <row r="4300">
      <c r="A4300" s="2" t="s">
        <v>4807</v>
      </c>
      <c r="B4300" s="2" t="s">
        <v>5325</v>
      </c>
      <c r="D4300" s="2" t="s">
        <v>4800</v>
      </c>
      <c r="G4300" s="2" t="s">
        <v>4801</v>
      </c>
    </row>
    <row r="4301">
      <c r="A4301" s="2" t="s">
        <v>4807</v>
      </c>
      <c r="B4301" s="2" t="s">
        <v>5326</v>
      </c>
      <c r="D4301" s="2" t="s">
        <v>4800</v>
      </c>
      <c r="G4301" s="2" t="s">
        <v>4801</v>
      </c>
    </row>
    <row r="4302">
      <c r="A4302" s="2" t="s">
        <v>4807</v>
      </c>
      <c r="B4302" s="2" t="s">
        <v>5327</v>
      </c>
      <c r="D4302" s="2" t="s">
        <v>4800</v>
      </c>
      <c r="G4302" s="2" t="s">
        <v>4801</v>
      </c>
    </row>
    <row r="4303">
      <c r="A4303" s="2" t="s">
        <v>4807</v>
      </c>
      <c r="B4303" s="2" t="s">
        <v>5328</v>
      </c>
      <c r="D4303" s="2" t="s">
        <v>4800</v>
      </c>
      <c r="G4303" s="2" t="s">
        <v>4801</v>
      </c>
    </row>
    <row r="4304">
      <c r="A4304" s="2" t="s">
        <v>4807</v>
      </c>
      <c r="B4304" s="2" t="s">
        <v>5329</v>
      </c>
      <c r="D4304" s="2" t="s">
        <v>4800</v>
      </c>
      <c r="G4304" s="2" t="s">
        <v>4801</v>
      </c>
    </row>
    <row r="4305">
      <c r="A4305" s="2" t="s">
        <v>4807</v>
      </c>
      <c r="B4305" s="2" t="s">
        <v>5330</v>
      </c>
      <c r="D4305" s="2" t="s">
        <v>4800</v>
      </c>
      <c r="G4305" s="2" t="s">
        <v>4801</v>
      </c>
    </row>
    <row r="4306">
      <c r="A4306" s="2" t="s">
        <v>4807</v>
      </c>
      <c r="B4306" s="2" t="s">
        <v>5331</v>
      </c>
      <c r="D4306" s="2" t="s">
        <v>4800</v>
      </c>
      <c r="G4306" s="2" t="s">
        <v>4801</v>
      </c>
    </row>
    <row r="4307">
      <c r="A4307" s="2" t="s">
        <v>4807</v>
      </c>
      <c r="B4307" s="2" t="s">
        <v>5332</v>
      </c>
      <c r="D4307" s="2" t="s">
        <v>4800</v>
      </c>
      <c r="G4307" s="2" t="s">
        <v>4801</v>
      </c>
    </row>
    <row r="4308">
      <c r="A4308" s="2" t="s">
        <v>4807</v>
      </c>
      <c r="B4308" s="2" t="s">
        <v>5333</v>
      </c>
      <c r="D4308" s="2" t="s">
        <v>4800</v>
      </c>
      <c r="G4308" s="2" t="s">
        <v>4801</v>
      </c>
    </row>
    <row r="4309">
      <c r="A4309" s="2" t="s">
        <v>4807</v>
      </c>
      <c r="B4309" s="2" t="s">
        <v>5334</v>
      </c>
      <c r="D4309" s="2" t="s">
        <v>4800</v>
      </c>
      <c r="G4309" s="2" t="s">
        <v>4801</v>
      </c>
    </row>
    <row r="4310">
      <c r="A4310" s="2" t="s">
        <v>4807</v>
      </c>
      <c r="B4310" s="2" t="s">
        <v>5335</v>
      </c>
      <c r="D4310" s="2" t="s">
        <v>4800</v>
      </c>
      <c r="G4310" s="2" t="s">
        <v>4801</v>
      </c>
    </row>
    <row r="4311">
      <c r="A4311" s="2" t="s">
        <v>4807</v>
      </c>
      <c r="B4311" s="2" t="s">
        <v>5336</v>
      </c>
      <c r="D4311" s="2" t="s">
        <v>4800</v>
      </c>
      <c r="G4311" s="2" t="s">
        <v>4801</v>
      </c>
    </row>
    <row r="4312">
      <c r="A4312" s="2" t="s">
        <v>4807</v>
      </c>
      <c r="B4312" s="2" t="s">
        <v>5337</v>
      </c>
      <c r="D4312" s="2" t="s">
        <v>4800</v>
      </c>
      <c r="G4312" s="2" t="s">
        <v>4801</v>
      </c>
    </row>
    <row r="4313">
      <c r="A4313" s="2" t="s">
        <v>4807</v>
      </c>
      <c r="B4313" s="2" t="s">
        <v>5338</v>
      </c>
      <c r="D4313" s="2" t="s">
        <v>4800</v>
      </c>
      <c r="G4313" s="2" t="s">
        <v>4801</v>
      </c>
    </row>
    <row r="4314">
      <c r="A4314" s="2" t="s">
        <v>4807</v>
      </c>
      <c r="B4314" s="2" t="s">
        <v>5339</v>
      </c>
      <c r="D4314" s="2" t="s">
        <v>4800</v>
      </c>
      <c r="G4314" s="2" t="s">
        <v>4801</v>
      </c>
    </row>
    <row r="4315">
      <c r="A4315" s="2" t="s">
        <v>4807</v>
      </c>
      <c r="B4315" s="2" t="s">
        <v>5340</v>
      </c>
      <c r="D4315" s="2" t="s">
        <v>4800</v>
      </c>
      <c r="G4315" s="2" t="s">
        <v>4801</v>
      </c>
    </row>
    <row r="4316">
      <c r="A4316" s="2" t="s">
        <v>4807</v>
      </c>
      <c r="B4316" s="2" t="s">
        <v>5341</v>
      </c>
      <c r="D4316" s="2" t="s">
        <v>4800</v>
      </c>
      <c r="G4316" s="2" t="s">
        <v>4801</v>
      </c>
    </row>
    <row r="4317">
      <c r="A4317" s="2" t="s">
        <v>4807</v>
      </c>
      <c r="B4317" s="2" t="s">
        <v>5342</v>
      </c>
      <c r="D4317" s="2" t="s">
        <v>4800</v>
      </c>
      <c r="G4317" s="2" t="s">
        <v>4801</v>
      </c>
    </row>
    <row r="4318">
      <c r="A4318" s="2" t="s">
        <v>4807</v>
      </c>
      <c r="B4318" s="2" t="s">
        <v>5343</v>
      </c>
      <c r="D4318" s="2" t="s">
        <v>4800</v>
      </c>
      <c r="G4318" s="2" t="s">
        <v>4801</v>
      </c>
    </row>
    <row r="4319">
      <c r="A4319" s="2" t="s">
        <v>4807</v>
      </c>
      <c r="B4319" s="2" t="s">
        <v>5344</v>
      </c>
      <c r="D4319" s="2" t="s">
        <v>4800</v>
      </c>
      <c r="G4319" s="2" t="s">
        <v>4801</v>
      </c>
    </row>
    <row r="4320">
      <c r="A4320" s="2" t="s">
        <v>4807</v>
      </c>
      <c r="B4320" s="2" t="s">
        <v>5345</v>
      </c>
      <c r="D4320" s="2" t="s">
        <v>4800</v>
      </c>
      <c r="G4320" s="2" t="s">
        <v>4801</v>
      </c>
    </row>
    <row r="4321">
      <c r="A4321" s="2" t="s">
        <v>4807</v>
      </c>
      <c r="B4321" s="2" t="s">
        <v>5346</v>
      </c>
      <c r="D4321" s="2" t="s">
        <v>4800</v>
      </c>
      <c r="G4321" s="2" t="s">
        <v>4801</v>
      </c>
    </row>
    <row r="4322">
      <c r="A4322" s="2" t="s">
        <v>4807</v>
      </c>
      <c r="B4322" s="2" t="s">
        <v>5347</v>
      </c>
      <c r="D4322" s="2" t="s">
        <v>4800</v>
      </c>
      <c r="G4322" s="2" t="s">
        <v>4801</v>
      </c>
    </row>
    <row r="4323">
      <c r="A4323" s="2" t="s">
        <v>4807</v>
      </c>
      <c r="B4323" s="2" t="s">
        <v>5348</v>
      </c>
      <c r="D4323" s="2" t="s">
        <v>4800</v>
      </c>
      <c r="G4323" s="2" t="s">
        <v>4801</v>
      </c>
    </row>
    <row r="4324">
      <c r="A4324" s="2" t="s">
        <v>4807</v>
      </c>
      <c r="B4324" s="2" t="s">
        <v>5349</v>
      </c>
      <c r="D4324" s="2" t="s">
        <v>4800</v>
      </c>
      <c r="G4324" s="2" t="s">
        <v>4801</v>
      </c>
    </row>
    <row r="4325">
      <c r="A4325" s="2" t="s">
        <v>4807</v>
      </c>
      <c r="B4325" s="2" t="s">
        <v>5350</v>
      </c>
      <c r="D4325" s="2" t="s">
        <v>4800</v>
      </c>
      <c r="G4325" s="2" t="s">
        <v>4801</v>
      </c>
    </row>
    <row r="4326">
      <c r="A4326" s="2" t="s">
        <v>4807</v>
      </c>
      <c r="B4326" s="2" t="s">
        <v>5351</v>
      </c>
      <c r="D4326" s="2" t="s">
        <v>4800</v>
      </c>
      <c r="G4326" s="2" t="s">
        <v>4801</v>
      </c>
    </row>
    <row r="4327">
      <c r="A4327" s="2" t="s">
        <v>4807</v>
      </c>
      <c r="B4327" s="2" t="s">
        <v>5352</v>
      </c>
      <c r="D4327" s="2" t="s">
        <v>4800</v>
      </c>
      <c r="G4327" s="2" t="s">
        <v>4801</v>
      </c>
    </row>
    <row r="4328">
      <c r="A4328" s="2" t="s">
        <v>4807</v>
      </c>
      <c r="B4328" s="2" t="s">
        <v>5353</v>
      </c>
      <c r="D4328" s="2" t="s">
        <v>4800</v>
      </c>
      <c r="G4328" s="2" t="s">
        <v>4801</v>
      </c>
    </row>
    <row r="4329">
      <c r="A4329" s="2" t="s">
        <v>4807</v>
      </c>
      <c r="B4329" s="2" t="s">
        <v>5354</v>
      </c>
      <c r="D4329" s="2" t="s">
        <v>4800</v>
      </c>
      <c r="G4329" s="2" t="s">
        <v>4801</v>
      </c>
    </row>
    <row r="4330">
      <c r="A4330" s="2" t="s">
        <v>4807</v>
      </c>
      <c r="B4330" s="2" t="s">
        <v>5355</v>
      </c>
      <c r="D4330" s="2" t="s">
        <v>4800</v>
      </c>
      <c r="G4330" s="2" t="s">
        <v>4801</v>
      </c>
    </row>
    <row r="4331">
      <c r="A4331" s="2" t="s">
        <v>4807</v>
      </c>
      <c r="B4331" s="2" t="s">
        <v>5356</v>
      </c>
      <c r="D4331" s="2" t="s">
        <v>4800</v>
      </c>
      <c r="G4331" s="2" t="s">
        <v>4801</v>
      </c>
    </row>
    <row r="4332">
      <c r="A4332" s="2" t="s">
        <v>4807</v>
      </c>
      <c r="B4332" s="2" t="s">
        <v>5357</v>
      </c>
      <c r="D4332" s="2" t="s">
        <v>4800</v>
      </c>
      <c r="G4332" s="2" t="s">
        <v>4801</v>
      </c>
    </row>
    <row r="4333">
      <c r="A4333" s="2" t="s">
        <v>4807</v>
      </c>
      <c r="B4333" s="2" t="s">
        <v>5358</v>
      </c>
      <c r="D4333" s="2" t="s">
        <v>4800</v>
      </c>
      <c r="G4333" s="2" t="s">
        <v>4801</v>
      </c>
    </row>
    <row r="4334">
      <c r="A4334" s="2" t="s">
        <v>4807</v>
      </c>
      <c r="B4334" s="2" t="s">
        <v>5359</v>
      </c>
      <c r="D4334" s="2" t="s">
        <v>4800</v>
      </c>
      <c r="G4334" s="2" t="s">
        <v>4801</v>
      </c>
    </row>
    <row r="4335">
      <c r="A4335" s="2" t="s">
        <v>4807</v>
      </c>
      <c r="B4335" s="2" t="s">
        <v>5360</v>
      </c>
      <c r="D4335" s="2" t="s">
        <v>4800</v>
      </c>
      <c r="G4335" s="2" t="s">
        <v>4801</v>
      </c>
    </row>
    <row r="4336">
      <c r="A4336" s="2" t="s">
        <v>4807</v>
      </c>
      <c r="B4336" s="2" t="s">
        <v>5361</v>
      </c>
      <c r="D4336" s="2" t="s">
        <v>4800</v>
      </c>
      <c r="G4336" s="2" t="s">
        <v>4801</v>
      </c>
    </row>
    <row r="4337">
      <c r="A4337" s="2" t="s">
        <v>4807</v>
      </c>
      <c r="B4337" s="2" t="s">
        <v>5362</v>
      </c>
      <c r="D4337" s="2" t="s">
        <v>4800</v>
      </c>
      <c r="G4337" s="2" t="s">
        <v>4801</v>
      </c>
    </row>
    <row r="4338">
      <c r="A4338" s="2" t="s">
        <v>4807</v>
      </c>
      <c r="B4338" s="2" t="s">
        <v>5363</v>
      </c>
      <c r="D4338" s="2" t="s">
        <v>4800</v>
      </c>
      <c r="G4338" s="2" t="s">
        <v>4801</v>
      </c>
    </row>
    <row r="4339">
      <c r="A4339" s="2" t="s">
        <v>4807</v>
      </c>
      <c r="B4339" s="2" t="s">
        <v>5364</v>
      </c>
      <c r="D4339" s="2" t="s">
        <v>4800</v>
      </c>
      <c r="G4339" s="2" t="s">
        <v>4801</v>
      </c>
    </row>
    <row r="4340">
      <c r="A4340" s="2" t="s">
        <v>4807</v>
      </c>
      <c r="B4340" s="2" t="s">
        <v>5365</v>
      </c>
      <c r="D4340" s="2" t="s">
        <v>4800</v>
      </c>
      <c r="G4340" s="2" t="s">
        <v>4801</v>
      </c>
    </row>
    <row r="4341">
      <c r="A4341" s="2" t="s">
        <v>4807</v>
      </c>
      <c r="B4341" s="2" t="s">
        <v>5366</v>
      </c>
      <c r="D4341" s="2" t="s">
        <v>4800</v>
      </c>
      <c r="G4341" s="2" t="s">
        <v>4801</v>
      </c>
    </row>
    <row r="4342">
      <c r="A4342" s="2" t="s">
        <v>4807</v>
      </c>
      <c r="B4342" s="2" t="s">
        <v>5367</v>
      </c>
      <c r="D4342" s="2" t="s">
        <v>4800</v>
      </c>
      <c r="G4342" s="2" t="s">
        <v>4801</v>
      </c>
    </row>
    <row r="4343">
      <c r="A4343" s="2" t="s">
        <v>4807</v>
      </c>
      <c r="B4343" s="2" t="s">
        <v>5368</v>
      </c>
      <c r="D4343" s="2" t="s">
        <v>4800</v>
      </c>
      <c r="G4343" s="2" t="s">
        <v>4801</v>
      </c>
    </row>
    <row r="4344">
      <c r="A4344" s="2" t="s">
        <v>4807</v>
      </c>
      <c r="B4344" s="2" t="s">
        <v>5369</v>
      </c>
      <c r="D4344" s="2" t="s">
        <v>4800</v>
      </c>
      <c r="G4344" s="2" t="s">
        <v>4801</v>
      </c>
    </row>
    <row r="4345">
      <c r="A4345" s="2" t="s">
        <v>4807</v>
      </c>
      <c r="B4345" s="2" t="s">
        <v>5370</v>
      </c>
      <c r="D4345" s="2" t="s">
        <v>4800</v>
      </c>
      <c r="G4345" s="2" t="s">
        <v>4801</v>
      </c>
    </row>
    <row r="4346">
      <c r="A4346" s="2" t="s">
        <v>4807</v>
      </c>
      <c r="B4346" s="2" t="s">
        <v>5371</v>
      </c>
      <c r="D4346" s="2" t="s">
        <v>4800</v>
      </c>
      <c r="G4346" s="2" t="s">
        <v>4801</v>
      </c>
    </row>
    <row r="4347">
      <c r="A4347" s="2" t="s">
        <v>4807</v>
      </c>
      <c r="B4347" s="2" t="s">
        <v>5372</v>
      </c>
      <c r="D4347" s="2" t="s">
        <v>4800</v>
      </c>
      <c r="G4347" s="2" t="s">
        <v>4801</v>
      </c>
    </row>
    <row r="4348">
      <c r="A4348" s="2" t="s">
        <v>4807</v>
      </c>
      <c r="B4348" s="2" t="s">
        <v>5373</v>
      </c>
      <c r="D4348" s="2" t="s">
        <v>4800</v>
      </c>
      <c r="G4348" s="2" t="s">
        <v>4801</v>
      </c>
    </row>
    <row r="4349">
      <c r="A4349" s="2" t="s">
        <v>4807</v>
      </c>
      <c r="B4349" s="2" t="s">
        <v>5374</v>
      </c>
      <c r="D4349" s="2" t="s">
        <v>4800</v>
      </c>
      <c r="G4349" s="2" t="s">
        <v>4801</v>
      </c>
    </row>
    <row r="4350">
      <c r="A4350" s="2" t="s">
        <v>4807</v>
      </c>
      <c r="B4350" s="2" t="s">
        <v>5375</v>
      </c>
      <c r="D4350" s="2" t="s">
        <v>4800</v>
      </c>
      <c r="G4350" s="2" t="s">
        <v>4801</v>
      </c>
    </row>
    <row r="4351">
      <c r="A4351" s="2" t="s">
        <v>4807</v>
      </c>
      <c r="B4351" s="2" t="s">
        <v>5376</v>
      </c>
      <c r="D4351" s="2" t="s">
        <v>4800</v>
      </c>
      <c r="G4351" s="2" t="s">
        <v>4801</v>
      </c>
    </row>
    <row r="4352">
      <c r="A4352" s="2" t="s">
        <v>4807</v>
      </c>
      <c r="B4352" s="2" t="s">
        <v>5377</v>
      </c>
      <c r="D4352" s="2" t="s">
        <v>4800</v>
      </c>
      <c r="G4352" s="2" t="s">
        <v>4801</v>
      </c>
    </row>
    <row r="4353">
      <c r="A4353" s="2" t="s">
        <v>4807</v>
      </c>
      <c r="B4353" s="2" t="s">
        <v>5378</v>
      </c>
      <c r="D4353" s="2" t="s">
        <v>4800</v>
      </c>
      <c r="G4353" s="2" t="s">
        <v>4801</v>
      </c>
    </row>
    <row r="4354">
      <c r="A4354" s="2" t="s">
        <v>4807</v>
      </c>
      <c r="B4354" s="2" t="s">
        <v>5379</v>
      </c>
      <c r="D4354" s="2" t="s">
        <v>4800</v>
      </c>
      <c r="G4354" s="2" t="s">
        <v>4801</v>
      </c>
    </row>
    <row r="4355">
      <c r="A4355" s="2" t="s">
        <v>4807</v>
      </c>
      <c r="B4355" s="2" t="s">
        <v>5380</v>
      </c>
      <c r="D4355" s="2" t="s">
        <v>4800</v>
      </c>
      <c r="G4355" s="2" t="s">
        <v>4801</v>
      </c>
    </row>
    <row r="4356">
      <c r="A4356" s="2" t="s">
        <v>4807</v>
      </c>
      <c r="B4356" s="2" t="s">
        <v>5381</v>
      </c>
      <c r="D4356" s="2" t="s">
        <v>4800</v>
      </c>
      <c r="G4356" s="2" t="s">
        <v>4801</v>
      </c>
    </row>
    <row r="4357">
      <c r="A4357" s="2" t="s">
        <v>4807</v>
      </c>
      <c r="B4357" s="2" t="s">
        <v>5382</v>
      </c>
      <c r="D4357" s="2" t="s">
        <v>4800</v>
      </c>
      <c r="G4357" s="2" t="s">
        <v>4801</v>
      </c>
    </row>
    <row r="4358">
      <c r="A4358" s="2" t="s">
        <v>4807</v>
      </c>
      <c r="B4358" s="2" t="s">
        <v>5383</v>
      </c>
      <c r="D4358" s="2" t="s">
        <v>4800</v>
      </c>
      <c r="G4358" s="2" t="s">
        <v>4801</v>
      </c>
    </row>
    <row r="4359">
      <c r="A4359" s="2" t="s">
        <v>4807</v>
      </c>
      <c r="B4359" s="2" t="s">
        <v>5384</v>
      </c>
      <c r="D4359" s="2" t="s">
        <v>4800</v>
      </c>
      <c r="G4359" s="2" t="s">
        <v>4801</v>
      </c>
    </row>
    <row r="4360">
      <c r="A4360" s="2" t="s">
        <v>4807</v>
      </c>
      <c r="B4360" s="2" t="s">
        <v>5385</v>
      </c>
      <c r="D4360" s="2" t="s">
        <v>4800</v>
      </c>
      <c r="G4360" s="2" t="s">
        <v>4801</v>
      </c>
    </row>
    <row r="4361">
      <c r="A4361" s="2" t="s">
        <v>4807</v>
      </c>
      <c r="B4361" s="2" t="s">
        <v>5386</v>
      </c>
      <c r="D4361" s="2" t="s">
        <v>4800</v>
      </c>
      <c r="G4361" s="2" t="s">
        <v>4801</v>
      </c>
    </row>
    <row r="4362">
      <c r="A4362" s="2" t="s">
        <v>4807</v>
      </c>
      <c r="B4362" s="2" t="s">
        <v>5387</v>
      </c>
      <c r="D4362" s="2" t="s">
        <v>4800</v>
      </c>
      <c r="G4362" s="2" t="s">
        <v>4801</v>
      </c>
    </row>
    <row r="4363">
      <c r="A4363" s="2" t="s">
        <v>4807</v>
      </c>
      <c r="B4363" s="2" t="s">
        <v>5388</v>
      </c>
      <c r="D4363" s="2" t="s">
        <v>4800</v>
      </c>
      <c r="G4363" s="2" t="s">
        <v>4801</v>
      </c>
    </row>
    <row r="4364">
      <c r="A4364" s="2" t="s">
        <v>4807</v>
      </c>
      <c r="B4364" s="2" t="s">
        <v>5389</v>
      </c>
      <c r="D4364" s="2" t="s">
        <v>4800</v>
      </c>
      <c r="G4364" s="2" t="s">
        <v>4801</v>
      </c>
    </row>
    <row r="4365">
      <c r="A4365" s="2" t="s">
        <v>4807</v>
      </c>
      <c r="B4365" s="2" t="s">
        <v>5390</v>
      </c>
      <c r="D4365" s="2" t="s">
        <v>4800</v>
      </c>
      <c r="G4365" s="2" t="s">
        <v>4801</v>
      </c>
    </row>
    <row r="4366">
      <c r="A4366" s="2" t="s">
        <v>4807</v>
      </c>
      <c r="B4366" s="2" t="s">
        <v>5391</v>
      </c>
      <c r="D4366" s="2" t="s">
        <v>4800</v>
      </c>
      <c r="G4366" s="2" t="s">
        <v>4801</v>
      </c>
    </row>
    <row r="4367">
      <c r="A4367" s="2" t="s">
        <v>4807</v>
      </c>
      <c r="B4367" s="2" t="s">
        <v>5392</v>
      </c>
      <c r="D4367" s="2" t="s">
        <v>4800</v>
      </c>
      <c r="G4367" s="2" t="s">
        <v>4801</v>
      </c>
    </row>
    <row r="4368">
      <c r="A4368" s="2" t="s">
        <v>4807</v>
      </c>
      <c r="B4368" s="2" t="s">
        <v>5393</v>
      </c>
      <c r="D4368" s="2" t="s">
        <v>4800</v>
      </c>
      <c r="G4368" s="2" t="s">
        <v>4801</v>
      </c>
    </row>
    <row r="4369">
      <c r="A4369" s="2" t="s">
        <v>4807</v>
      </c>
      <c r="B4369" s="2" t="s">
        <v>5394</v>
      </c>
      <c r="D4369" s="2" t="s">
        <v>4800</v>
      </c>
      <c r="G4369" s="2" t="s">
        <v>4801</v>
      </c>
    </row>
    <row r="4370">
      <c r="A4370" s="2" t="s">
        <v>4807</v>
      </c>
      <c r="B4370" s="2" t="s">
        <v>5395</v>
      </c>
      <c r="D4370" s="2" t="s">
        <v>4800</v>
      </c>
      <c r="G4370" s="2" t="s">
        <v>4801</v>
      </c>
    </row>
    <row r="4371">
      <c r="A4371" s="2" t="s">
        <v>4807</v>
      </c>
      <c r="B4371" s="2" t="s">
        <v>5396</v>
      </c>
      <c r="D4371" s="2" t="s">
        <v>4800</v>
      </c>
      <c r="G4371" s="2" t="s">
        <v>4801</v>
      </c>
    </row>
    <row r="4372">
      <c r="A4372" s="2" t="s">
        <v>4807</v>
      </c>
      <c r="B4372" s="2" t="s">
        <v>5397</v>
      </c>
      <c r="D4372" s="2" t="s">
        <v>4800</v>
      </c>
      <c r="G4372" s="2" t="s">
        <v>4801</v>
      </c>
    </row>
    <row r="4373">
      <c r="A4373" s="2" t="s">
        <v>4807</v>
      </c>
      <c r="B4373" s="2" t="s">
        <v>5398</v>
      </c>
      <c r="D4373" s="2" t="s">
        <v>4800</v>
      </c>
      <c r="G4373" s="2" t="s">
        <v>4801</v>
      </c>
    </row>
    <row r="4374">
      <c r="A4374" s="2" t="s">
        <v>4807</v>
      </c>
      <c r="B4374" s="2" t="s">
        <v>5399</v>
      </c>
      <c r="D4374" s="2" t="s">
        <v>4800</v>
      </c>
      <c r="G4374" s="2" t="s">
        <v>4801</v>
      </c>
    </row>
    <row r="4375">
      <c r="A4375" s="2" t="s">
        <v>4807</v>
      </c>
      <c r="B4375" s="2" t="s">
        <v>5400</v>
      </c>
      <c r="D4375" s="2" t="s">
        <v>4800</v>
      </c>
      <c r="G4375" s="2" t="s">
        <v>4801</v>
      </c>
    </row>
    <row r="4376">
      <c r="A4376" s="2" t="s">
        <v>4807</v>
      </c>
      <c r="B4376" s="2" t="s">
        <v>5401</v>
      </c>
      <c r="D4376" s="2" t="s">
        <v>4800</v>
      </c>
      <c r="G4376" s="2" t="s">
        <v>4801</v>
      </c>
    </row>
    <row r="4377">
      <c r="A4377" s="2" t="s">
        <v>4807</v>
      </c>
      <c r="B4377" s="2" t="s">
        <v>5402</v>
      </c>
      <c r="D4377" s="2" t="s">
        <v>4800</v>
      </c>
      <c r="G4377" s="2" t="s">
        <v>4801</v>
      </c>
    </row>
    <row r="4378">
      <c r="A4378" s="2" t="s">
        <v>4807</v>
      </c>
      <c r="B4378" s="2" t="s">
        <v>5403</v>
      </c>
      <c r="D4378" s="2" t="s">
        <v>4800</v>
      </c>
      <c r="G4378" s="2" t="s">
        <v>4801</v>
      </c>
    </row>
    <row r="4379">
      <c r="A4379" s="2" t="s">
        <v>4807</v>
      </c>
      <c r="B4379" s="2" t="s">
        <v>5404</v>
      </c>
      <c r="D4379" s="2" t="s">
        <v>4800</v>
      </c>
      <c r="G4379" s="2" t="s">
        <v>4801</v>
      </c>
    </row>
    <row r="4380">
      <c r="A4380" s="2" t="s">
        <v>4807</v>
      </c>
      <c r="B4380" s="2" t="s">
        <v>5405</v>
      </c>
      <c r="D4380" s="2" t="s">
        <v>4800</v>
      </c>
      <c r="G4380" s="2" t="s">
        <v>4801</v>
      </c>
    </row>
    <row r="4381">
      <c r="A4381" s="2" t="s">
        <v>4807</v>
      </c>
      <c r="B4381" s="2" t="s">
        <v>5406</v>
      </c>
      <c r="D4381" s="2" t="s">
        <v>4800</v>
      </c>
      <c r="G4381" s="2" t="s">
        <v>4801</v>
      </c>
    </row>
    <row r="4382">
      <c r="A4382" s="2" t="s">
        <v>4807</v>
      </c>
      <c r="B4382" s="2" t="s">
        <v>5407</v>
      </c>
      <c r="D4382" s="2" t="s">
        <v>4800</v>
      </c>
      <c r="G4382" s="2" t="s">
        <v>4801</v>
      </c>
    </row>
    <row r="4383">
      <c r="A4383" s="2" t="s">
        <v>4807</v>
      </c>
      <c r="B4383" s="2" t="s">
        <v>5408</v>
      </c>
      <c r="D4383" s="2" t="s">
        <v>4800</v>
      </c>
      <c r="G4383" s="2" t="s">
        <v>4801</v>
      </c>
    </row>
    <row r="4384">
      <c r="A4384" s="2" t="s">
        <v>4807</v>
      </c>
      <c r="B4384" s="2" t="s">
        <v>5409</v>
      </c>
      <c r="D4384" s="2" t="s">
        <v>4800</v>
      </c>
      <c r="G4384" s="2" t="s">
        <v>4801</v>
      </c>
    </row>
    <row r="4385">
      <c r="A4385" s="2" t="s">
        <v>4807</v>
      </c>
      <c r="B4385" s="2" t="s">
        <v>5410</v>
      </c>
      <c r="D4385" s="2" t="s">
        <v>4800</v>
      </c>
      <c r="G4385" s="2" t="s">
        <v>4801</v>
      </c>
    </row>
    <row r="4386">
      <c r="A4386" s="2" t="s">
        <v>4807</v>
      </c>
      <c r="B4386" s="2" t="s">
        <v>5411</v>
      </c>
      <c r="D4386" s="2" t="s">
        <v>4800</v>
      </c>
      <c r="G4386" s="2" t="s">
        <v>4801</v>
      </c>
    </row>
    <row r="4387">
      <c r="A4387" s="2" t="s">
        <v>4807</v>
      </c>
      <c r="B4387" s="2" t="s">
        <v>5412</v>
      </c>
      <c r="D4387" s="2" t="s">
        <v>4800</v>
      </c>
      <c r="G4387" s="2" t="s">
        <v>4801</v>
      </c>
    </row>
    <row r="4388">
      <c r="A4388" s="2" t="s">
        <v>4807</v>
      </c>
      <c r="B4388" s="2" t="s">
        <v>5413</v>
      </c>
      <c r="D4388" s="2" t="s">
        <v>4800</v>
      </c>
      <c r="G4388" s="2" t="s">
        <v>4801</v>
      </c>
    </row>
    <row r="4389">
      <c r="A4389" s="2" t="s">
        <v>4807</v>
      </c>
      <c r="B4389" s="2" t="s">
        <v>5414</v>
      </c>
      <c r="D4389" s="2" t="s">
        <v>4800</v>
      </c>
      <c r="G4389" s="2" t="s">
        <v>4801</v>
      </c>
    </row>
    <row r="4390">
      <c r="A4390" s="2" t="s">
        <v>4807</v>
      </c>
      <c r="B4390" s="2" t="s">
        <v>5415</v>
      </c>
      <c r="D4390" s="2" t="s">
        <v>4800</v>
      </c>
      <c r="G4390" s="2" t="s">
        <v>4801</v>
      </c>
    </row>
    <row r="4391">
      <c r="A4391" s="2" t="s">
        <v>4807</v>
      </c>
      <c r="B4391" s="2" t="s">
        <v>5416</v>
      </c>
      <c r="D4391" s="2" t="s">
        <v>4800</v>
      </c>
      <c r="G4391" s="2" t="s">
        <v>4801</v>
      </c>
    </row>
    <row r="4392">
      <c r="A4392" s="2" t="s">
        <v>4807</v>
      </c>
      <c r="B4392" s="2" t="s">
        <v>5417</v>
      </c>
      <c r="D4392" s="2" t="s">
        <v>4800</v>
      </c>
      <c r="G4392" s="2" t="s">
        <v>4801</v>
      </c>
    </row>
    <row r="4393">
      <c r="A4393" s="2" t="s">
        <v>4807</v>
      </c>
      <c r="B4393" s="2" t="s">
        <v>5418</v>
      </c>
      <c r="D4393" s="2" t="s">
        <v>4800</v>
      </c>
      <c r="G4393" s="2" t="s">
        <v>4801</v>
      </c>
    </row>
    <row r="4394">
      <c r="A4394" s="2" t="s">
        <v>4807</v>
      </c>
      <c r="B4394" s="2" t="s">
        <v>5419</v>
      </c>
      <c r="D4394" s="2" t="s">
        <v>4800</v>
      </c>
      <c r="G4394" s="2" t="s">
        <v>4801</v>
      </c>
    </row>
    <row r="4395">
      <c r="A4395" s="2" t="s">
        <v>4807</v>
      </c>
      <c r="B4395" s="2" t="s">
        <v>5420</v>
      </c>
      <c r="D4395" s="2" t="s">
        <v>4800</v>
      </c>
      <c r="G4395" s="2" t="s">
        <v>4801</v>
      </c>
    </row>
    <row r="4396">
      <c r="A4396" s="2" t="s">
        <v>4807</v>
      </c>
      <c r="B4396" s="2" t="s">
        <v>5130</v>
      </c>
      <c r="D4396" s="2" t="s">
        <v>4800</v>
      </c>
      <c r="G4396" s="2" t="s">
        <v>4801</v>
      </c>
    </row>
    <row r="4397">
      <c r="A4397" s="2" t="s">
        <v>4807</v>
      </c>
      <c r="B4397" s="2" t="s">
        <v>5420</v>
      </c>
      <c r="D4397" s="2" t="s">
        <v>4800</v>
      </c>
      <c r="G4397" s="2" t="s">
        <v>4801</v>
      </c>
    </row>
    <row r="4398">
      <c r="A4398" s="2" t="s">
        <v>4807</v>
      </c>
      <c r="B4398" s="2" t="s">
        <v>4839</v>
      </c>
      <c r="D4398" s="2" t="s">
        <v>4800</v>
      </c>
      <c r="G4398" s="2" t="s">
        <v>4801</v>
      </c>
    </row>
    <row r="4399">
      <c r="A4399" s="2" t="s">
        <v>4807</v>
      </c>
      <c r="B4399" s="2" t="s">
        <v>5421</v>
      </c>
      <c r="D4399" s="2" t="s">
        <v>4800</v>
      </c>
      <c r="G4399" s="2" t="s">
        <v>4801</v>
      </c>
    </row>
    <row r="4400">
      <c r="A4400" s="2" t="s">
        <v>4807</v>
      </c>
      <c r="B4400" s="2" t="s">
        <v>4880</v>
      </c>
      <c r="D4400" s="2" t="s">
        <v>4800</v>
      </c>
      <c r="G4400" s="2" t="s">
        <v>4801</v>
      </c>
    </row>
    <row r="4401">
      <c r="A4401" s="2" t="s">
        <v>4807</v>
      </c>
      <c r="B4401" s="2" t="s">
        <v>5421</v>
      </c>
      <c r="D4401" s="2" t="s">
        <v>4800</v>
      </c>
      <c r="G4401" s="2" t="s">
        <v>4801</v>
      </c>
    </row>
    <row r="4402">
      <c r="A4402" s="2" t="s">
        <v>4807</v>
      </c>
      <c r="B4402" s="2" t="s">
        <v>4837</v>
      </c>
      <c r="D4402" s="2" t="s">
        <v>4800</v>
      </c>
      <c r="G4402" s="2" t="s">
        <v>4801</v>
      </c>
    </row>
    <row r="4403">
      <c r="A4403" s="2" t="s">
        <v>4807</v>
      </c>
      <c r="B4403" s="2" t="s">
        <v>5421</v>
      </c>
      <c r="D4403" s="2" t="s">
        <v>4800</v>
      </c>
      <c r="G4403" s="2" t="s">
        <v>4801</v>
      </c>
    </row>
    <row r="4404">
      <c r="A4404" s="2" t="s">
        <v>4807</v>
      </c>
      <c r="B4404" s="2" t="s">
        <v>5241</v>
      </c>
      <c r="D4404" s="2" t="s">
        <v>4800</v>
      </c>
      <c r="G4404" s="2" t="s">
        <v>4801</v>
      </c>
    </row>
    <row r="4405">
      <c r="A4405" s="2" t="s">
        <v>4807</v>
      </c>
      <c r="B4405" s="2" t="s">
        <v>5421</v>
      </c>
      <c r="D4405" s="2" t="s">
        <v>4800</v>
      </c>
      <c r="G4405" s="2" t="s">
        <v>4801</v>
      </c>
    </row>
    <row r="4406">
      <c r="A4406" s="2" t="s">
        <v>4807</v>
      </c>
      <c r="B4406" s="2" t="s">
        <v>5422</v>
      </c>
      <c r="D4406" s="2" t="s">
        <v>4800</v>
      </c>
      <c r="G4406" s="2" t="s">
        <v>4801</v>
      </c>
    </row>
    <row r="4407">
      <c r="A4407" s="2" t="s">
        <v>4807</v>
      </c>
      <c r="B4407" s="2" t="s">
        <v>5421</v>
      </c>
      <c r="D4407" s="2" t="s">
        <v>4800</v>
      </c>
      <c r="G4407" s="2" t="s">
        <v>4801</v>
      </c>
    </row>
    <row r="4408">
      <c r="A4408" s="2" t="s">
        <v>4807</v>
      </c>
      <c r="B4408" s="2" t="s">
        <v>4842</v>
      </c>
      <c r="D4408" s="2" t="s">
        <v>4800</v>
      </c>
      <c r="G4408" s="2" t="s">
        <v>4801</v>
      </c>
    </row>
    <row r="4409">
      <c r="A4409" s="2" t="s">
        <v>4807</v>
      </c>
      <c r="B4409" s="2" t="s">
        <v>5423</v>
      </c>
      <c r="D4409" s="2" t="s">
        <v>4800</v>
      </c>
      <c r="G4409" s="2" t="s">
        <v>4801</v>
      </c>
    </row>
    <row r="4410">
      <c r="A4410" s="2" t="s">
        <v>4807</v>
      </c>
      <c r="B4410" s="2" t="s">
        <v>5424</v>
      </c>
      <c r="D4410" s="2" t="s">
        <v>4800</v>
      </c>
      <c r="G4410" s="2" t="s">
        <v>4801</v>
      </c>
    </row>
    <row r="4411">
      <c r="A4411" s="2" t="s">
        <v>4807</v>
      </c>
      <c r="B4411" s="2" t="s">
        <v>5425</v>
      </c>
      <c r="D4411" s="2" t="s">
        <v>4800</v>
      </c>
      <c r="G4411" s="2" t="s">
        <v>4801</v>
      </c>
    </row>
    <row r="4412">
      <c r="A4412" s="2" t="s">
        <v>4807</v>
      </c>
      <c r="B4412" s="2" t="s">
        <v>5426</v>
      </c>
      <c r="D4412" s="2" t="s">
        <v>4800</v>
      </c>
      <c r="G4412" s="2" t="s">
        <v>4801</v>
      </c>
    </row>
    <row r="4413">
      <c r="A4413" s="2" t="s">
        <v>4807</v>
      </c>
      <c r="B4413" s="2" t="s">
        <v>5427</v>
      </c>
      <c r="D4413" s="2" t="s">
        <v>4800</v>
      </c>
      <c r="G4413" s="2" t="s">
        <v>4801</v>
      </c>
    </row>
    <row r="4414">
      <c r="A4414" s="2" t="s">
        <v>4807</v>
      </c>
      <c r="B4414" s="2" t="s">
        <v>5428</v>
      </c>
      <c r="D4414" s="2" t="s">
        <v>4800</v>
      </c>
      <c r="G4414" s="2" t="s">
        <v>4801</v>
      </c>
    </row>
    <row r="4415">
      <c r="A4415" s="2" t="s">
        <v>4807</v>
      </c>
      <c r="B4415" s="2" t="s">
        <v>5429</v>
      </c>
      <c r="D4415" s="2" t="s">
        <v>4800</v>
      </c>
      <c r="G4415" s="2" t="s">
        <v>4801</v>
      </c>
    </row>
    <row r="4416">
      <c r="A4416" s="2" t="s">
        <v>4807</v>
      </c>
      <c r="B4416" s="2" t="s">
        <v>5430</v>
      </c>
      <c r="D4416" s="2" t="s">
        <v>4800</v>
      </c>
      <c r="G4416" s="2" t="s">
        <v>4801</v>
      </c>
    </row>
    <row r="4417">
      <c r="A4417" s="2" t="s">
        <v>4807</v>
      </c>
      <c r="B4417" s="2" t="s">
        <v>5431</v>
      </c>
      <c r="D4417" s="2" t="s">
        <v>4800</v>
      </c>
      <c r="G4417" s="2" t="s">
        <v>4801</v>
      </c>
    </row>
    <row r="4418">
      <c r="A4418" s="2" t="s">
        <v>4807</v>
      </c>
      <c r="B4418" s="2" t="s">
        <v>5432</v>
      </c>
      <c r="D4418" s="2" t="s">
        <v>4800</v>
      </c>
      <c r="G4418" s="2" t="s">
        <v>4801</v>
      </c>
    </row>
    <row r="4419">
      <c r="A4419" s="2" t="s">
        <v>4807</v>
      </c>
      <c r="B4419" s="2" t="s">
        <v>5433</v>
      </c>
      <c r="D4419" s="2" t="s">
        <v>4800</v>
      </c>
      <c r="G4419" s="2" t="s">
        <v>4801</v>
      </c>
    </row>
    <row r="4420">
      <c r="A4420" s="2" t="s">
        <v>4807</v>
      </c>
      <c r="B4420" s="2" t="s">
        <v>5434</v>
      </c>
      <c r="D4420" s="2" t="s">
        <v>4800</v>
      </c>
      <c r="G4420" s="2" t="s">
        <v>4801</v>
      </c>
    </row>
    <row r="4421">
      <c r="A4421" s="2" t="s">
        <v>4807</v>
      </c>
      <c r="B4421" s="2" t="s">
        <v>5435</v>
      </c>
      <c r="D4421" s="2" t="s">
        <v>4800</v>
      </c>
      <c r="G4421" s="2" t="s">
        <v>4801</v>
      </c>
    </row>
    <row r="4422">
      <c r="A4422" s="2" t="s">
        <v>4807</v>
      </c>
      <c r="B4422" s="2" t="s">
        <v>5436</v>
      </c>
      <c r="D4422" s="2" t="s">
        <v>4800</v>
      </c>
      <c r="G4422" s="2" t="s">
        <v>4801</v>
      </c>
    </row>
    <row r="4423">
      <c r="A4423" s="2" t="s">
        <v>4807</v>
      </c>
      <c r="B4423" s="2" t="s">
        <v>5437</v>
      </c>
      <c r="D4423" s="2" t="s">
        <v>4800</v>
      </c>
      <c r="G4423" s="2" t="s">
        <v>4801</v>
      </c>
    </row>
    <row r="4424">
      <c r="A4424" s="2" t="s">
        <v>4807</v>
      </c>
      <c r="B4424" s="2" t="s">
        <v>5438</v>
      </c>
      <c r="D4424" s="2" t="s">
        <v>4800</v>
      </c>
      <c r="G4424" s="2" t="s">
        <v>4801</v>
      </c>
    </row>
    <row r="4425">
      <c r="A4425" s="2" t="s">
        <v>4807</v>
      </c>
      <c r="B4425" s="2" t="s">
        <v>5439</v>
      </c>
      <c r="D4425" s="2" t="s">
        <v>4800</v>
      </c>
      <c r="G4425" s="2" t="s">
        <v>4801</v>
      </c>
    </row>
    <row r="4426">
      <c r="A4426" s="2" t="s">
        <v>4807</v>
      </c>
      <c r="B4426" s="2" t="s">
        <v>5440</v>
      </c>
      <c r="D4426" s="2" t="s">
        <v>4800</v>
      </c>
      <c r="G4426" s="2" t="s">
        <v>4801</v>
      </c>
    </row>
    <row r="4427">
      <c r="A4427" s="2" t="s">
        <v>4807</v>
      </c>
      <c r="B4427" s="2" t="s">
        <v>5441</v>
      </c>
      <c r="D4427" s="2" t="s">
        <v>4800</v>
      </c>
      <c r="G4427" s="2" t="s">
        <v>4801</v>
      </c>
    </row>
    <row r="4428">
      <c r="A4428" s="2" t="s">
        <v>4807</v>
      </c>
      <c r="B4428" s="2" t="s">
        <v>5442</v>
      </c>
      <c r="D4428" s="2" t="s">
        <v>4800</v>
      </c>
      <c r="G4428" s="2" t="s">
        <v>4801</v>
      </c>
    </row>
    <row r="4429">
      <c r="A4429" s="2" t="s">
        <v>4807</v>
      </c>
      <c r="B4429" s="2" t="s">
        <v>5443</v>
      </c>
      <c r="D4429" s="2" t="s">
        <v>4800</v>
      </c>
      <c r="G4429" s="2" t="s">
        <v>4801</v>
      </c>
    </row>
    <row r="4430">
      <c r="A4430" s="2" t="s">
        <v>4807</v>
      </c>
      <c r="B4430" s="2" t="s">
        <v>5444</v>
      </c>
      <c r="D4430" s="2" t="s">
        <v>4800</v>
      </c>
      <c r="G4430" s="2" t="s">
        <v>4801</v>
      </c>
    </row>
    <row r="4431">
      <c r="A4431" s="2" t="s">
        <v>4807</v>
      </c>
      <c r="B4431" s="2" t="s">
        <v>5445</v>
      </c>
      <c r="D4431" s="2" t="s">
        <v>4800</v>
      </c>
      <c r="G4431" s="2" t="s">
        <v>4801</v>
      </c>
    </row>
    <row r="4432">
      <c r="A4432" s="2" t="s">
        <v>4807</v>
      </c>
      <c r="B4432" s="2" t="s">
        <v>5446</v>
      </c>
      <c r="D4432" s="2" t="s">
        <v>4800</v>
      </c>
      <c r="G4432" s="2" t="s">
        <v>4801</v>
      </c>
    </row>
    <row r="4433">
      <c r="A4433" s="2" t="s">
        <v>4807</v>
      </c>
      <c r="B4433" s="2" t="s">
        <v>5448</v>
      </c>
      <c r="D4433" s="2" t="s">
        <v>4800</v>
      </c>
      <c r="G4433" s="2" t="s">
        <v>4801</v>
      </c>
    </row>
    <row r="4434">
      <c r="A4434" s="2" t="s">
        <v>4807</v>
      </c>
      <c r="B4434" s="2" t="s">
        <v>5449</v>
      </c>
      <c r="D4434" s="2" t="s">
        <v>4800</v>
      </c>
      <c r="G4434" s="2" t="s">
        <v>4801</v>
      </c>
    </row>
    <row r="4435">
      <c r="A4435" s="2" t="s">
        <v>4807</v>
      </c>
      <c r="B4435" s="2" t="s">
        <v>5450</v>
      </c>
      <c r="D4435" s="2" t="s">
        <v>4800</v>
      </c>
      <c r="G4435" s="2" t="s">
        <v>4801</v>
      </c>
    </row>
    <row r="4436">
      <c r="A4436" s="2" t="s">
        <v>4807</v>
      </c>
      <c r="B4436" s="2" t="s">
        <v>5451</v>
      </c>
      <c r="D4436" s="2" t="s">
        <v>4800</v>
      </c>
      <c r="G4436" s="2" t="s">
        <v>4801</v>
      </c>
    </row>
    <row r="4437">
      <c r="A4437" s="2" t="s">
        <v>4807</v>
      </c>
      <c r="B4437" s="2" t="s">
        <v>5452</v>
      </c>
      <c r="D4437" s="2" t="s">
        <v>4800</v>
      </c>
      <c r="G4437" s="2" t="s">
        <v>4801</v>
      </c>
    </row>
    <row r="4438">
      <c r="A4438" s="2" t="s">
        <v>4807</v>
      </c>
      <c r="B4438" s="2" t="s">
        <v>5453</v>
      </c>
      <c r="D4438" s="2" t="s">
        <v>4800</v>
      </c>
      <c r="G4438" s="2" t="s">
        <v>4801</v>
      </c>
    </row>
    <row r="4439">
      <c r="A4439" s="2" t="s">
        <v>4807</v>
      </c>
      <c r="B4439" s="2" t="s">
        <v>5454</v>
      </c>
      <c r="D4439" s="2" t="s">
        <v>4800</v>
      </c>
      <c r="G4439" s="2" t="s">
        <v>4801</v>
      </c>
    </row>
    <row r="4440">
      <c r="A4440" s="2" t="s">
        <v>4807</v>
      </c>
      <c r="B4440" s="2" t="s">
        <v>5455</v>
      </c>
      <c r="D4440" s="2" t="s">
        <v>4800</v>
      </c>
      <c r="G4440" s="2" t="s">
        <v>4801</v>
      </c>
    </row>
    <row r="4441">
      <c r="A4441" s="2" t="s">
        <v>4807</v>
      </c>
      <c r="B4441" s="2" t="s">
        <v>5456</v>
      </c>
      <c r="D4441" s="2" t="s">
        <v>4800</v>
      </c>
      <c r="G4441" s="2" t="s">
        <v>4801</v>
      </c>
    </row>
    <row r="4442">
      <c r="A4442" s="2" t="s">
        <v>4807</v>
      </c>
      <c r="B4442" s="2" t="s">
        <v>5457</v>
      </c>
      <c r="D4442" s="2" t="s">
        <v>4800</v>
      </c>
      <c r="G4442" s="2" t="s">
        <v>4801</v>
      </c>
    </row>
    <row r="4443">
      <c r="A4443" s="2" t="s">
        <v>4807</v>
      </c>
      <c r="B4443" s="2" t="s">
        <v>5458</v>
      </c>
      <c r="D4443" s="2" t="s">
        <v>4800</v>
      </c>
      <c r="G4443" s="2" t="s">
        <v>4801</v>
      </c>
    </row>
    <row r="4444">
      <c r="A4444" s="2" t="s">
        <v>4807</v>
      </c>
      <c r="B4444" s="2" t="s">
        <v>5459</v>
      </c>
      <c r="D4444" s="2" t="s">
        <v>4800</v>
      </c>
      <c r="G4444" s="2" t="s">
        <v>4801</v>
      </c>
    </row>
    <row r="4445">
      <c r="A4445" s="2" t="s">
        <v>4807</v>
      </c>
      <c r="B4445" s="2" t="s">
        <v>5460</v>
      </c>
      <c r="D4445" s="2" t="s">
        <v>4800</v>
      </c>
      <c r="G4445" s="2" t="s">
        <v>4801</v>
      </c>
    </row>
    <row r="4446">
      <c r="A4446" s="2" t="s">
        <v>4807</v>
      </c>
      <c r="B4446" s="2" t="s">
        <v>5461</v>
      </c>
      <c r="D4446" s="2" t="s">
        <v>4800</v>
      </c>
      <c r="G4446" s="2" t="s">
        <v>4801</v>
      </c>
    </row>
    <row r="4447">
      <c r="A4447" s="2" t="s">
        <v>4807</v>
      </c>
      <c r="B4447" s="2" t="s">
        <v>5462</v>
      </c>
      <c r="D4447" s="2" t="s">
        <v>4800</v>
      </c>
      <c r="G4447" s="2" t="s">
        <v>4801</v>
      </c>
    </row>
    <row r="4448">
      <c r="A4448" s="2" t="s">
        <v>4807</v>
      </c>
      <c r="B4448" s="2" t="s">
        <v>5463</v>
      </c>
      <c r="D4448" s="2" t="s">
        <v>4800</v>
      </c>
      <c r="G4448" s="2" t="s">
        <v>4801</v>
      </c>
    </row>
    <row r="4449">
      <c r="A4449" s="2" t="s">
        <v>4807</v>
      </c>
      <c r="B4449" s="2" t="s">
        <v>5464</v>
      </c>
      <c r="D4449" s="2" t="s">
        <v>4800</v>
      </c>
      <c r="G4449" s="2" t="s">
        <v>4801</v>
      </c>
    </row>
    <row r="4450">
      <c r="A4450" s="2" t="s">
        <v>4807</v>
      </c>
      <c r="B4450" s="2" t="s">
        <v>5465</v>
      </c>
      <c r="D4450" s="2" t="s">
        <v>4800</v>
      </c>
      <c r="G4450" s="2" t="s">
        <v>4801</v>
      </c>
    </row>
    <row r="4451">
      <c r="A4451" s="2" t="s">
        <v>4807</v>
      </c>
      <c r="B4451" s="2" t="s">
        <v>5466</v>
      </c>
      <c r="D4451" s="2" t="s">
        <v>4800</v>
      </c>
      <c r="G4451" s="2" t="s">
        <v>4801</v>
      </c>
    </row>
    <row r="4452">
      <c r="A4452" s="2" t="s">
        <v>4807</v>
      </c>
      <c r="B4452" s="2" t="s">
        <v>5467</v>
      </c>
      <c r="D4452" s="2" t="s">
        <v>4800</v>
      </c>
      <c r="G4452" s="2" t="s">
        <v>4801</v>
      </c>
    </row>
    <row r="4453">
      <c r="A4453" s="2" t="s">
        <v>4807</v>
      </c>
      <c r="B4453" s="2" t="s">
        <v>5468</v>
      </c>
      <c r="D4453" s="2" t="s">
        <v>4800</v>
      </c>
      <c r="G4453" s="2" t="s">
        <v>4801</v>
      </c>
    </row>
    <row r="4454">
      <c r="A4454" s="2" t="s">
        <v>4807</v>
      </c>
      <c r="B4454" s="2" t="s">
        <v>5469</v>
      </c>
      <c r="D4454" s="2" t="s">
        <v>4800</v>
      </c>
      <c r="G4454" s="2" t="s">
        <v>4801</v>
      </c>
    </row>
    <row r="4455">
      <c r="A4455" s="2" t="s">
        <v>4807</v>
      </c>
      <c r="B4455" s="2" t="s">
        <v>5470</v>
      </c>
      <c r="D4455" s="2" t="s">
        <v>4800</v>
      </c>
      <c r="G4455" s="2" t="s">
        <v>4801</v>
      </c>
    </row>
    <row r="4456">
      <c r="A4456" s="2" t="s">
        <v>4807</v>
      </c>
      <c r="B4456" s="2" t="s">
        <v>5471</v>
      </c>
      <c r="D4456" s="2" t="s">
        <v>4800</v>
      </c>
      <c r="G4456" s="2" t="s">
        <v>4801</v>
      </c>
    </row>
    <row r="4457">
      <c r="A4457" s="2" t="s">
        <v>4807</v>
      </c>
      <c r="B4457" s="2" t="s">
        <v>5472</v>
      </c>
      <c r="D4457" s="2" t="s">
        <v>4800</v>
      </c>
      <c r="G4457" s="2" t="s">
        <v>4801</v>
      </c>
    </row>
    <row r="4458">
      <c r="A4458" s="2" t="s">
        <v>4807</v>
      </c>
      <c r="B4458" s="2" t="s">
        <v>5473</v>
      </c>
      <c r="D4458" s="2" t="s">
        <v>4800</v>
      </c>
      <c r="G4458" s="2" t="s">
        <v>4801</v>
      </c>
    </row>
    <row r="4459">
      <c r="A4459" s="2" t="s">
        <v>4807</v>
      </c>
      <c r="B4459" s="2" t="s">
        <v>5474</v>
      </c>
      <c r="D4459" s="2" t="s">
        <v>4800</v>
      </c>
      <c r="G4459" s="2" t="s">
        <v>4801</v>
      </c>
    </row>
    <row r="4460">
      <c r="A4460" s="2" t="s">
        <v>4807</v>
      </c>
      <c r="B4460" s="2" t="s">
        <v>5475</v>
      </c>
      <c r="D4460" s="2" t="s">
        <v>4800</v>
      </c>
      <c r="G4460" s="2" t="s">
        <v>4801</v>
      </c>
    </row>
    <row r="4461">
      <c r="A4461" s="2" t="s">
        <v>4807</v>
      </c>
      <c r="B4461" s="2" t="s">
        <v>5476</v>
      </c>
      <c r="D4461" s="2" t="s">
        <v>4800</v>
      </c>
      <c r="G4461" s="2" t="s">
        <v>4801</v>
      </c>
    </row>
    <row r="4462">
      <c r="A4462" s="2" t="s">
        <v>4807</v>
      </c>
      <c r="B4462" s="2" t="s">
        <v>5477</v>
      </c>
      <c r="D4462" s="2" t="s">
        <v>4800</v>
      </c>
      <c r="G4462" s="2" t="s">
        <v>4801</v>
      </c>
    </row>
    <row r="4463">
      <c r="A4463" s="2" t="s">
        <v>4807</v>
      </c>
      <c r="B4463" s="2" t="s">
        <v>5478</v>
      </c>
      <c r="D4463" s="2" t="s">
        <v>4800</v>
      </c>
      <c r="G4463" s="2" t="s">
        <v>4801</v>
      </c>
    </row>
    <row r="4464">
      <c r="A4464" s="2" t="s">
        <v>4807</v>
      </c>
      <c r="B4464" s="2" t="s">
        <v>5479</v>
      </c>
      <c r="D4464" s="2" t="s">
        <v>4800</v>
      </c>
      <c r="G4464" s="2" t="s">
        <v>4801</v>
      </c>
    </row>
    <row r="4465">
      <c r="A4465" s="2" t="s">
        <v>4807</v>
      </c>
      <c r="B4465" s="2" t="s">
        <v>5480</v>
      </c>
      <c r="D4465" s="2" t="s">
        <v>4800</v>
      </c>
      <c r="G4465" s="2" t="s">
        <v>4801</v>
      </c>
    </row>
    <row r="4466">
      <c r="A4466" s="2" t="s">
        <v>4807</v>
      </c>
      <c r="B4466" s="2" t="s">
        <v>5481</v>
      </c>
      <c r="D4466" s="2" t="s">
        <v>4800</v>
      </c>
      <c r="G4466" s="2" t="s">
        <v>4801</v>
      </c>
    </row>
    <row r="4467">
      <c r="A4467" s="2" t="s">
        <v>4807</v>
      </c>
      <c r="B4467" s="2" t="s">
        <v>5482</v>
      </c>
      <c r="D4467" s="2" t="s">
        <v>4800</v>
      </c>
      <c r="G4467" s="2" t="s">
        <v>4801</v>
      </c>
    </row>
    <row r="4468">
      <c r="A4468" s="2" t="s">
        <v>4807</v>
      </c>
      <c r="B4468" s="2" t="s">
        <v>5483</v>
      </c>
      <c r="D4468" s="2" t="s">
        <v>4800</v>
      </c>
      <c r="G4468" s="2" t="s">
        <v>4801</v>
      </c>
    </row>
    <row r="4469">
      <c r="A4469" s="2" t="s">
        <v>4807</v>
      </c>
      <c r="B4469" s="2" t="s">
        <v>5484</v>
      </c>
      <c r="D4469" s="2" t="s">
        <v>4800</v>
      </c>
      <c r="G4469" s="2" t="s">
        <v>4801</v>
      </c>
    </row>
    <row r="4470">
      <c r="A4470" s="2" t="s">
        <v>4807</v>
      </c>
      <c r="B4470" s="2" t="s">
        <v>5485</v>
      </c>
      <c r="D4470" s="2" t="s">
        <v>4800</v>
      </c>
      <c r="G4470" s="2" t="s">
        <v>4801</v>
      </c>
    </row>
    <row r="4471">
      <c r="A4471" s="2" t="s">
        <v>4807</v>
      </c>
      <c r="B4471" s="2" t="s">
        <v>5486</v>
      </c>
      <c r="D4471" s="2" t="s">
        <v>4800</v>
      </c>
      <c r="G4471" s="2" t="s">
        <v>4801</v>
      </c>
    </row>
    <row r="4472">
      <c r="A4472" s="2" t="s">
        <v>4807</v>
      </c>
      <c r="B4472" s="2" t="s">
        <v>5487</v>
      </c>
      <c r="D4472" s="2" t="s">
        <v>4800</v>
      </c>
      <c r="G4472" s="2" t="s">
        <v>4801</v>
      </c>
    </row>
    <row r="4473">
      <c r="A4473" s="2" t="s">
        <v>4807</v>
      </c>
      <c r="B4473" s="2" t="s">
        <v>5488</v>
      </c>
      <c r="D4473" s="2" t="s">
        <v>4800</v>
      </c>
      <c r="G4473" s="2" t="s">
        <v>4801</v>
      </c>
    </row>
    <row r="4474">
      <c r="A4474" s="2" t="s">
        <v>4807</v>
      </c>
      <c r="B4474" s="2" t="s">
        <v>5489</v>
      </c>
      <c r="D4474" s="2" t="s">
        <v>4800</v>
      </c>
      <c r="G4474" s="2" t="s">
        <v>4801</v>
      </c>
    </row>
    <row r="4475">
      <c r="A4475" s="2" t="s">
        <v>4807</v>
      </c>
      <c r="B4475" s="2" t="s">
        <v>5488</v>
      </c>
      <c r="D4475" s="2" t="s">
        <v>4800</v>
      </c>
      <c r="G4475" s="2" t="s">
        <v>4801</v>
      </c>
    </row>
    <row r="4476">
      <c r="A4476" s="2" t="s">
        <v>4807</v>
      </c>
      <c r="B4476" s="2" t="s">
        <v>5240</v>
      </c>
      <c r="D4476" s="2" t="s">
        <v>4800</v>
      </c>
      <c r="G4476" s="2" t="s">
        <v>4801</v>
      </c>
    </row>
    <row r="4477">
      <c r="A4477" s="2" t="s">
        <v>4807</v>
      </c>
      <c r="B4477" s="2" t="s">
        <v>5488</v>
      </c>
      <c r="D4477" s="2" t="s">
        <v>4800</v>
      </c>
      <c r="G4477" s="2" t="s">
        <v>4801</v>
      </c>
    </row>
    <row r="4478">
      <c r="A4478" s="2" t="s">
        <v>4807</v>
      </c>
      <c r="B4478" s="2" t="s">
        <v>5242</v>
      </c>
      <c r="D4478" s="2" t="s">
        <v>4800</v>
      </c>
      <c r="G4478" s="2" t="s">
        <v>4801</v>
      </c>
    </row>
    <row r="4479">
      <c r="A4479" s="2" t="s">
        <v>4807</v>
      </c>
      <c r="B4479" s="2" t="s">
        <v>5490</v>
      </c>
      <c r="D4479" s="2" t="s">
        <v>4800</v>
      </c>
      <c r="G4479" s="2" t="s">
        <v>4801</v>
      </c>
    </row>
    <row r="4480">
      <c r="A4480" s="2" t="s">
        <v>4807</v>
      </c>
      <c r="B4480" s="2" t="s">
        <v>5491</v>
      </c>
      <c r="D4480" s="2" t="s">
        <v>4800</v>
      </c>
      <c r="G4480" s="2" t="s">
        <v>4801</v>
      </c>
    </row>
    <row r="4481">
      <c r="A4481" s="2" t="s">
        <v>4807</v>
      </c>
      <c r="B4481" s="2" t="s">
        <v>5492</v>
      </c>
      <c r="D4481" s="2" t="s">
        <v>4800</v>
      </c>
      <c r="G4481" s="2" t="s">
        <v>4801</v>
      </c>
    </row>
    <row r="4482">
      <c r="A4482" s="2" t="s">
        <v>4807</v>
      </c>
      <c r="B4482" s="2" t="s">
        <v>5493</v>
      </c>
      <c r="D4482" s="2" t="s">
        <v>4800</v>
      </c>
      <c r="G4482" s="2" t="s">
        <v>4801</v>
      </c>
    </row>
    <row r="4483">
      <c r="A4483" s="2" t="s">
        <v>4807</v>
      </c>
      <c r="B4483" s="2" t="s">
        <v>5494</v>
      </c>
      <c r="D4483" s="2" t="s">
        <v>4800</v>
      </c>
      <c r="G4483" s="2" t="s">
        <v>4801</v>
      </c>
    </row>
    <row r="4484">
      <c r="A4484" s="2" t="s">
        <v>4807</v>
      </c>
      <c r="B4484" s="2" t="s">
        <v>5495</v>
      </c>
      <c r="D4484" s="2" t="s">
        <v>4800</v>
      </c>
      <c r="G4484" s="2" t="s">
        <v>4801</v>
      </c>
    </row>
    <row r="4485">
      <c r="A4485" s="2" t="s">
        <v>4807</v>
      </c>
      <c r="B4485" s="2" t="s">
        <v>5496</v>
      </c>
      <c r="D4485" s="2" t="s">
        <v>4800</v>
      </c>
      <c r="G4485" s="2" t="s">
        <v>4801</v>
      </c>
    </row>
    <row r="4486">
      <c r="A4486" s="2" t="s">
        <v>4807</v>
      </c>
      <c r="B4486" s="2" t="s">
        <v>5497</v>
      </c>
      <c r="D4486" s="2" t="s">
        <v>4800</v>
      </c>
      <c r="G4486" s="2" t="s">
        <v>4801</v>
      </c>
    </row>
    <row r="4487">
      <c r="A4487" s="2" t="s">
        <v>4807</v>
      </c>
      <c r="B4487" s="2" t="s">
        <v>5498</v>
      </c>
      <c r="D4487" s="2" t="s">
        <v>4800</v>
      </c>
      <c r="G4487" s="2" t="s">
        <v>4801</v>
      </c>
    </row>
    <row r="4488">
      <c r="A4488" s="2" t="s">
        <v>4807</v>
      </c>
      <c r="B4488" s="2" t="s">
        <v>5499</v>
      </c>
      <c r="D4488" s="2" t="s">
        <v>4800</v>
      </c>
      <c r="G4488" s="2" t="s">
        <v>4801</v>
      </c>
    </row>
    <row r="4489">
      <c r="A4489" s="2" t="s">
        <v>4807</v>
      </c>
      <c r="B4489" s="2" t="s">
        <v>5500</v>
      </c>
      <c r="D4489" s="2" t="s">
        <v>4800</v>
      </c>
      <c r="G4489" s="2" t="s">
        <v>4801</v>
      </c>
    </row>
    <row r="4490">
      <c r="A4490" s="2" t="s">
        <v>4807</v>
      </c>
      <c r="B4490" s="2" t="s">
        <v>5501</v>
      </c>
      <c r="D4490" s="2" t="s">
        <v>4800</v>
      </c>
      <c r="G4490" s="2" t="s">
        <v>4801</v>
      </c>
    </row>
    <row r="4491">
      <c r="A4491" s="2" t="s">
        <v>4807</v>
      </c>
      <c r="B4491" s="2" t="s">
        <v>5502</v>
      </c>
      <c r="D4491" s="2" t="s">
        <v>4800</v>
      </c>
      <c r="G4491" s="2" t="s">
        <v>4801</v>
      </c>
    </row>
    <row r="4492">
      <c r="A4492" s="2" t="s">
        <v>4807</v>
      </c>
      <c r="B4492" s="2" t="s">
        <v>5503</v>
      </c>
      <c r="D4492" s="2" t="s">
        <v>4800</v>
      </c>
      <c r="G4492" s="2" t="s">
        <v>4801</v>
      </c>
    </row>
    <row r="4493">
      <c r="A4493" s="2" t="s">
        <v>4807</v>
      </c>
      <c r="B4493" s="2" t="s">
        <v>5504</v>
      </c>
      <c r="D4493" s="2" t="s">
        <v>4800</v>
      </c>
      <c r="G4493" s="2" t="s">
        <v>4801</v>
      </c>
    </row>
    <row r="4494">
      <c r="A4494" s="2" t="s">
        <v>4807</v>
      </c>
      <c r="B4494" s="2" t="s">
        <v>5505</v>
      </c>
      <c r="D4494" s="2" t="s">
        <v>4800</v>
      </c>
      <c r="G4494" s="2" t="s">
        <v>4801</v>
      </c>
    </row>
    <row r="4495">
      <c r="A4495" s="2" t="s">
        <v>4807</v>
      </c>
      <c r="B4495" s="2" t="s">
        <v>5506</v>
      </c>
      <c r="D4495" s="2" t="s">
        <v>4800</v>
      </c>
      <c r="G4495" s="2" t="s">
        <v>4801</v>
      </c>
    </row>
    <row r="4496">
      <c r="A4496" s="2" t="s">
        <v>4807</v>
      </c>
      <c r="B4496" s="2" t="s">
        <v>5507</v>
      </c>
      <c r="D4496" s="2" t="s">
        <v>4800</v>
      </c>
      <c r="G4496" s="2" t="s">
        <v>4801</v>
      </c>
    </row>
    <row r="4497">
      <c r="A4497" s="2" t="s">
        <v>4807</v>
      </c>
      <c r="B4497" s="2" t="s">
        <v>5508</v>
      </c>
      <c r="D4497" s="2" t="s">
        <v>4800</v>
      </c>
      <c r="G4497" s="2" t="s">
        <v>4801</v>
      </c>
    </row>
    <row r="4498">
      <c r="A4498" s="2" t="s">
        <v>4807</v>
      </c>
      <c r="B4498" s="2" t="s">
        <v>5509</v>
      </c>
      <c r="D4498" s="2" t="s">
        <v>4800</v>
      </c>
      <c r="G4498" s="2" t="s">
        <v>4801</v>
      </c>
    </row>
    <row r="4499">
      <c r="A4499" s="2" t="s">
        <v>4807</v>
      </c>
      <c r="B4499" s="2" t="s">
        <v>5510</v>
      </c>
      <c r="D4499" s="2" t="s">
        <v>4800</v>
      </c>
      <c r="G4499" s="2" t="s">
        <v>4801</v>
      </c>
    </row>
    <row r="4500">
      <c r="A4500" s="2" t="s">
        <v>4807</v>
      </c>
      <c r="B4500" s="2" t="s">
        <v>5511</v>
      </c>
      <c r="D4500" s="2" t="s">
        <v>4800</v>
      </c>
      <c r="G4500" s="2" t="s">
        <v>4801</v>
      </c>
    </row>
    <row r="4501">
      <c r="A4501" s="2" t="s">
        <v>4807</v>
      </c>
      <c r="B4501" s="2" t="s">
        <v>5512</v>
      </c>
      <c r="D4501" s="2" t="s">
        <v>4800</v>
      </c>
      <c r="G4501" s="2" t="s">
        <v>4801</v>
      </c>
    </row>
    <row r="4502">
      <c r="A4502" s="2" t="s">
        <v>4807</v>
      </c>
      <c r="B4502" s="2" t="s">
        <v>5513</v>
      </c>
      <c r="D4502" s="2" t="s">
        <v>4800</v>
      </c>
      <c r="G4502" s="2" t="s">
        <v>4801</v>
      </c>
    </row>
    <row r="4503">
      <c r="A4503" s="2" t="s">
        <v>4807</v>
      </c>
      <c r="B4503" s="2" t="s">
        <v>5514</v>
      </c>
      <c r="D4503" s="2" t="s">
        <v>4800</v>
      </c>
      <c r="G4503" s="2" t="s">
        <v>4801</v>
      </c>
    </row>
    <row r="4504">
      <c r="A4504" s="2" t="s">
        <v>4807</v>
      </c>
      <c r="B4504" s="2" t="s">
        <v>5515</v>
      </c>
      <c r="D4504" s="2" t="s">
        <v>4800</v>
      </c>
      <c r="G4504" s="2" t="s">
        <v>4801</v>
      </c>
    </row>
    <row r="4505">
      <c r="A4505" s="2" t="s">
        <v>4807</v>
      </c>
      <c r="B4505" s="2" t="s">
        <v>5516</v>
      </c>
      <c r="D4505" s="2" t="s">
        <v>4800</v>
      </c>
      <c r="G4505" s="2" t="s">
        <v>4801</v>
      </c>
    </row>
    <row r="4506">
      <c r="A4506" s="2" t="s">
        <v>4807</v>
      </c>
      <c r="B4506" s="2" t="s">
        <v>5517</v>
      </c>
      <c r="D4506" s="2" t="s">
        <v>4800</v>
      </c>
      <c r="G4506" s="2" t="s">
        <v>4801</v>
      </c>
    </row>
    <row r="4507">
      <c r="A4507" s="2" t="s">
        <v>4807</v>
      </c>
      <c r="B4507" s="2" t="s">
        <v>5518</v>
      </c>
      <c r="D4507" s="2" t="s">
        <v>4800</v>
      </c>
      <c r="G4507" s="2" t="s">
        <v>4801</v>
      </c>
    </row>
    <row r="4508">
      <c r="A4508" s="2" t="s">
        <v>4807</v>
      </c>
      <c r="B4508" s="2" t="s">
        <v>5519</v>
      </c>
      <c r="D4508" s="2" t="s">
        <v>4800</v>
      </c>
      <c r="G4508" s="2" t="s">
        <v>4801</v>
      </c>
    </row>
    <row r="4509">
      <c r="A4509" s="2" t="s">
        <v>4807</v>
      </c>
      <c r="B4509" s="2" t="s">
        <v>5520</v>
      </c>
      <c r="D4509" s="2" t="s">
        <v>4800</v>
      </c>
      <c r="G4509" s="2" t="s">
        <v>4801</v>
      </c>
    </row>
    <row r="4510">
      <c r="A4510" s="2" t="s">
        <v>4807</v>
      </c>
      <c r="B4510" s="2" t="s">
        <v>5521</v>
      </c>
      <c r="D4510" s="2" t="s">
        <v>4800</v>
      </c>
      <c r="G4510" s="2" t="s">
        <v>4801</v>
      </c>
    </row>
    <row r="4511">
      <c r="A4511" s="2" t="s">
        <v>4807</v>
      </c>
      <c r="B4511" s="2" t="s">
        <v>5522</v>
      </c>
      <c r="D4511" s="2" t="s">
        <v>4800</v>
      </c>
      <c r="G4511" s="2" t="s">
        <v>4801</v>
      </c>
    </row>
    <row r="4512">
      <c r="A4512" s="2" t="s">
        <v>4807</v>
      </c>
      <c r="B4512" s="2" t="s">
        <v>5523</v>
      </c>
      <c r="D4512" s="2" t="s">
        <v>4800</v>
      </c>
      <c r="G4512" s="2" t="s">
        <v>4801</v>
      </c>
    </row>
    <row r="4513">
      <c r="A4513" s="2" t="s">
        <v>4807</v>
      </c>
      <c r="B4513" s="2" t="s">
        <v>5524</v>
      </c>
      <c r="D4513" s="2" t="s">
        <v>4800</v>
      </c>
      <c r="G4513" s="2" t="s">
        <v>4801</v>
      </c>
    </row>
    <row r="4514">
      <c r="A4514" s="2" t="s">
        <v>4807</v>
      </c>
      <c r="B4514" s="2" t="s">
        <v>5525</v>
      </c>
      <c r="D4514" s="2" t="s">
        <v>4800</v>
      </c>
      <c r="G4514" s="2" t="s">
        <v>4801</v>
      </c>
    </row>
    <row r="4515">
      <c r="A4515" s="2" t="s">
        <v>4807</v>
      </c>
      <c r="B4515" s="2" t="s">
        <v>5526</v>
      </c>
      <c r="D4515" s="2" t="s">
        <v>4800</v>
      </c>
      <c r="G4515" s="2" t="s">
        <v>4801</v>
      </c>
    </row>
    <row r="4516">
      <c r="A4516" s="2" t="s">
        <v>4807</v>
      </c>
      <c r="B4516" s="2" t="s">
        <v>5527</v>
      </c>
      <c r="D4516" s="2" t="s">
        <v>4800</v>
      </c>
      <c r="G4516" s="2" t="s">
        <v>4801</v>
      </c>
    </row>
    <row r="4517">
      <c r="A4517" s="2" t="s">
        <v>4807</v>
      </c>
      <c r="B4517" s="2" t="s">
        <v>5528</v>
      </c>
      <c r="D4517" s="2" t="s">
        <v>4800</v>
      </c>
      <c r="G4517" s="2" t="s">
        <v>4801</v>
      </c>
    </row>
    <row r="4518">
      <c r="A4518" s="2" t="s">
        <v>4807</v>
      </c>
      <c r="B4518" s="2" t="s">
        <v>5529</v>
      </c>
      <c r="D4518" s="2" t="s">
        <v>4800</v>
      </c>
      <c r="G4518" s="2" t="s">
        <v>4801</v>
      </c>
    </row>
    <row r="4519">
      <c r="A4519" s="2" t="s">
        <v>4807</v>
      </c>
      <c r="B4519" s="2" t="s">
        <v>5530</v>
      </c>
      <c r="D4519" s="2" t="s">
        <v>4800</v>
      </c>
      <c r="G4519" s="2" t="s">
        <v>4801</v>
      </c>
    </row>
    <row r="4520">
      <c r="A4520" s="2" t="s">
        <v>4807</v>
      </c>
      <c r="B4520" s="2" t="s">
        <v>5531</v>
      </c>
      <c r="D4520" s="2" t="s">
        <v>4800</v>
      </c>
      <c r="G4520" s="2" t="s">
        <v>4801</v>
      </c>
    </row>
    <row r="4521">
      <c r="A4521" s="2" t="s">
        <v>4807</v>
      </c>
      <c r="B4521" s="2" t="s">
        <v>5532</v>
      </c>
      <c r="D4521" s="2" t="s">
        <v>4800</v>
      </c>
      <c r="G4521" s="2" t="s">
        <v>4801</v>
      </c>
    </row>
    <row r="4522">
      <c r="A4522" s="2" t="s">
        <v>4807</v>
      </c>
      <c r="B4522" s="2" t="s">
        <v>5533</v>
      </c>
      <c r="D4522" s="2" t="s">
        <v>4800</v>
      </c>
      <c r="G4522" s="2" t="s">
        <v>4801</v>
      </c>
    </row>
    <row r="4523">
      <c r="A4523" s="2" t="s">
        <v>4807</v>
      </c>
      <c r="B4523" s="2" t="s">
        <v>5534</v>
      </c>
      <c r="D4523" s="2" t="s">
        <v>4800</v>
      </c>
      <c r="G4523" s="2" t="s">
        <v>4801</v>
      </c>
    </row>
    <row r="4524">
      <c r="A4524" s="2" t="s">
        <v>4807</v>
      </c>
      <c r="B4524" s="2" t="s">
        <v>5535</v>
      </c>
      <c r="D4524" s="2" t="s">
        <v>4800</v>
      </c>
      <c r="G4524" s="2" t="s">
        <v>4801</v>
      </c>
    </row>
    <row r="4525">
      <c r="A4525" s="2" t="s">
        <v>4807</v>
      </c>
      <c r="B4525" s="2" t="s">
        <v>5536</v>
      </c>
      <c r="D4525" s="2" t="s">
        <v>4800</v>
      </c>
      <c r="G4525" s="2" t="s">
        <v>4801</v>
      </c>
    </row>
    <row r="4526">
      <c r="A4526" s="2" t="s">
        <v>4807</v>
      </c>
      <c r="B4526" s="2" t="s">
        <v>5537</v>
      </c>
      <c r="D4526" s="2" t="s">
        <v>4800</v>
      </c>
      <c r="G4526" s="2" t="s">
        <v>4801</v>
      </c>
    </row>
    <row r="4527">
      <c r="A4527" s="2" t="s">
        <v>4807</v>
      </c>
      <c r="B4527" s="2" t="s">
        <v>5538</v>
      </c>
      <c r="D4527" s="2" t="s">
        <v>4800</v>
      </c>
      <c r="G4527" s="2" t="s">
        <v>4801</v>
      </c>
    </row>
    <row r="4528">
      <c r="A4528" s="2" t="s">
        <v>4807</v>
      </c>
      <c r="B4528" s="2" t="s">
        <v>5539</v>
      </c>
      <c r="D4528" s="2" t="s">
        <v>4800</v>
      </c>
      <c r="G4528" s="2" t="s">
        <v>4801</v>
      </c>
    </row>
    <row r="4529">
      <c r="A4529" s="2" t="s">
        <v>4807</v>
      </c>
      <c r="B4529" s="2" t="s">
        <v>5540</v>
      </c>
      <c r="D4529" s="2" t="s">
        <v>4800</v>
      </c>
      <c r="G4529" s="2" t="s">
        <v>4801</v>
      </c>
    </row>
    <row r="4530">
      <c r="A4530" s="2" t="s">
        <v>4807</v>
      </c>
      <c r="B4530" s="2" t="s">
        <v>5541</v>
      </c>
      <c r="D4530" s="2" t="s">
        <v>4800</v>
      </c>
      <c r="G4530" s="2" t="s">
        <v>4801</v>
      </c>
    </row>
    <row r="4531">
      <c r="A4531" s="2" t="s">
        <v>4807</v>
      </c>
      <c r="B4531" s="2" t="s">
        <v>5542</v>
      </c>
      <c r="D4531" s="2" t="s">
        <v>4800</v>
      </c>
      <c r="G4531" s="2" t="s">
        <v>4801</v>
      </c>
    </row>
    <row r="4532">
      <c r="A4532" s="2" t="s">
        <v>4807</v>
      </c>
      <c r="B4532" s="2" t="s">
        <v>5543</v>
      </c>
      <c r="D4532" s="2" t="s">
        <v>4800</v>
      </c>
      <c r="G4532" s="2" t="s">
        <v>4801</v>
      </c>
    </row>
    <row r="4533">
      <c r="A4533" s="2" t="s">
        <v>4807</v>
      </c>
      <c r="B4533" s="2" t="s">
        <v>5544</v>
      </c>
      <c r="D4533" s="2" t="s">
        <v>4800</v>
      </c>
      <c r="G4533" s="2" t="s">
        <v>4801</v>
      </c>
    </row>
    <row r="4534">
      <c r="A4534" s="2" t="s">
        <v>4807</v>
      </c>
      <c r="B4534" s="2" t="s">
        <v>5545</v>
      </c>
      <c r="D4534" s="2" t="s">
        <v>4800</v>
      </c>
      <c r="G4534" s="2" t="s">
        <v>4801</v>
      </c>
    </row>
    <row r="4535">
      <c r="A4535" s="2" t="s">
        <v>4807</v>
      </c>
      <c r="B4535" s="2" t="s">
        <v>5547</v>
      </c>
      <c r="D4535" s="2" t="s">
        <v>4800</v>
      </c>
      <c r="G4535" s="2" t="s">
        <v>4801</v>
      </c>
    </row>
    <row r="4536">
      <c r="A4536" s="2" t="s">
        <v>4807</v>
      </c>
      <c r="B4536" s="2" t="s">
        <v>5548</v>
      </c>
      <c r="D4536" s="2" t="s">
        <v>4800</v>
      </c>
      <c r="G4536" s="2" t="s">
        <v>4801</v>
      </c>
    </row>
    <row r="4537">
      <c r="A4537" s="2" t="s">
        <v>4807</v>
      </c>
      <c r="B4537" s="2" t="s">
        <v>5549</v>
      </c>
      <c r="D4537" s="2" t="s">
        <v>4800</v>
      </c>
      <c r="G4537" s="2" t="s">
        <v>4801</v>
      </c>
    </row>
    <row r="4538">
      <c r="A4538" s="2" t="s">
        <v>4807</v>
      </c>
      <c r="B4538" s="2" t="s">
        <v>5550</v>
      </c>
      <c r="D4538" s="2" t="s">
        <v>4800</v>
      </c>
      <c r="G4538" s="2" t="s">
        <v>4801</v>
      </c>
    </row>
    <row r="4539">
      <c r="A4539" s="2" t="s">
        <v>4807</v>
      </c>
      <c r="B4539" s="2" t="s">
        <v>5551</v>
      </c>
      <c r="D4539" s="2" t="s">
        <v>4800</v>
      </c>
      <c r="G4539" s="2" t="s">
        <v>4801</v>
      </c>
    </row>
    <row r="4540">
      <c r="A4540" s="2" t="s">
        <v>4807</v>
      </c>
      <c r="B4540" s="2" t="s">
        <v>5552</v>
      </c>
      <c r="D4540" s="2" t="s">
        <v>4800</v>
      </c>
      <c r="G4540" s="2" t="s">
        <v>4801</v>
      </c>
    </row>
    <row r="4541">
      <c r="A4541" s="2" t="s">
        <v>4807</v>
      </c>
      <c r="B4541" s="2" t="s">
        <v>5553</v>
      </c>
      <c r="D4541" s="2" t="s">
        <v>4800</v>
      </c>
      <c r="G4541" s="2" t="s">
        <v>4801</v>
      </c>
    </row>
    <row r="4542">
      <c r="A4542" s="2" t="s">
        <v>4807</v>
      </c>
      <c r="B4542" s="2" t="s">
        <v>5554</v>
      </c>
      <c r="D4542" s="2" t="s">
        <v>4800</v>
      </c>
      <c r="G4542" s="2" t="s">
        <v>4801</v>
      </c>
    </row>
    <row r="4543">
      <c r="A4543" s="2" t="s">
        <v>4807</v>
      </c>
      <c r="B4543" s="2" t="s">
        <v>5555</v>
      </c>
      <c r="D4543" s="2" t="s">
        <v>4800</v>
      </c>
      <c r="G4543" s="2" t="s">
        <v>4801</v>
      </c>
    </row>
    <row r="4544">
      <c r="A4544" s="2" t="s">
        <v>4807</v>
      </c>
      <c r="B4544" s="2" t="s">
        <v>5556</v>
      </c>
      <c r="D4544" s="2" t="s">
        <v>4800</v>
      </c>
      <c r="G4544" s="2" t="s">
        <v>4801</v>
      </c>
    </row>
    <row r="4545">
      <c r="A4545" s="2" t="s">
        <v>4807</v>
      </c>
      <c r="B4545" s="2" t="s">
        <v>5558</v>
      </c>
      <c r="D4545" s="2" t="s">
        <v>4800</v>
      </c>
      <c r="G4545" s="2" t="s">
        <v>4801</v>
      </c>
    </row>
    <row r="4546">
      <c r="A4546" s="2" t="s">
        <v>4807</v>
      </c>
      <c r="B4546" s="2" t="s">
        <v>5560</v>
      </c>
      <c r="D4546" s="2" t="s">
        <v>4800</v>
      </c>
      <c r="G4546" s="2" t="s">
        <v>4801</v>
      </c>
    </row>
    <row r="4547">
      <c r="A4547" s="2" t="s">
        <v>4807</v>
      </c>
      <c r="B4547" s="2" t="s">
        <v>5561</v>
      </c>
      <c r="D4547" s="2" t="s">
        <v>4800</v>
      </c>
      <c r="G4547" s="2" t="s">
        <v>4801</v>
      </c>
    </row>
    <row r="4548">
      <c r="A4548" s="2" t="s">
        <v>4807</v>
      </c>
      <c r="B4548" s="2" t="s">
        <v>5562</v>
      </c>
      <c r="D4548" s="2" t="s">
        <v>4800</v>
      </c>
      <c r="G4548" s="2" t="s">
        <v>4801</v>
      </c>
    </row>
    <row r="4549">
      <c r="A4549" s="2" t="s">
        <v>4807</v>
      </c>
      <c r="B4549" s="2" t="s">
        <v>5563</v>
      </c>
      <c r="D4549" s="2" t="s">
        <v>4800</v>
      </c>
      <c r="G4549" s="2" t="s">
        <v>4801</v>
      </c>
    </row>
    <row r="4550">
      <c r="A4550" s="2" t="s">
        <v>4807</v>
      </c>
      <c r="B4550" s="2" t="s">
        <v>5564</v>
      </c>
      <c r="D4550" s="2" t="s">
        <v>4800</v>
      </c>
      <c r="G4550" s="2" t="s">
        <v>4801</v>
      </c>
    </row>
    <row r="4551">
      <c r="A4551" s="2" t="s">
        <v>4807</v>
      </c>
      <c r="B4551" s="2" t="s">
        <v>5565</v>
      </c>
      <c r="D4551" s="2" t="s">
        <v>4800</v>
      </c>
      <c r="G4551" s="2" t="s">
        <v>4801</v>
      </c>
    </row>
    <row r="4552">
      <c r="A4552" s="2" t="s">
        <v>4807</v>
      </c>
      <c r="B4552" s="2" t="s">
        <v>5566</v>
      </c>
      <c r="D4552" s="2" t="s">
        <v>4800</v>
      </c>
      <c r="G4552" s="2" t="s">
        <v>4801</v>
      </c>
    </row>
    <row r="4553">
      <c r="A4553" s="2" t="s">
        <v>4807</v>
      </c>
      <c r="B4553" s="2" t="s">
        <v>5567</v>
      </c>
      <c r="D4553" s="2" t="s">
        <v>4800</v>
      </c>
      <c r="G4553" s="2" t="s">
        <v>4801</v>
      </c>
    </row>
    <row r="4554">
      <c r="A4554" s="2" t="s">
        <v>4807</v>
      </c>
      <c r="B4554" s="2" t="s">
        <v>5568</v>
      </c>
      <c r="D4554" s="2" t="s">
        <v>4800</v>
      </c>
      <c r="G4554" s="2" t="s">
        <v>4801</v>
      </c>
    </row>
    <row r="4555">
      <c r="A4555" s="2" t="s">
        <v>4807</v>
      </c>
      <c r="B4555" s="2" t="s">
        <v>5569</v>
      </c>
      <c r="D4555" s="2" t="s">
        <v>4800</v>
      </c>
      <c r="G4555" s="2" t="s">
        <v>4801</v>
      </c>
    </row>
    <row r="4556">
      <c r="A4556" s="2" t="s">
        <v>4807</v>
      </c>
      <c r="B4556" s="2" t="s">
        <v>5570</v>
      </c>
      <c r="D4556" s="2" t="s">
        <v>4800</v>
      </c>
      <c r="G4556" s="2" t="s">
        <v>4801</v>
      </c>
    </row>
    <row r="4557">
      <c r="A4557" s="2" t="s">
        <v>4807</v>
      </c>
      <c r="B4557" s="2" t="s">
        <v>5571</v>
      </c>
      <c r="D4557" s="2" t="s">
        <v>4800</v>
      </c>
      <c r="G4557" s="2" t="s">
        <v>4801</v>
      </c>
    </row>
    <row r="4558">
      <c r="A4558" s="2" t="s">
        <v>4807</v>
      </c>
      <c r="B4558" s="2" t="s">
        <v>5572</v>
      </c>
      <c r="D4558" s="2" t="s">
        <v>4800</v>
      </c>
      <c r="G4558" s="2" t="s">
        <v>4801</v>
      </c>
    </row>
    <row r="4559">
      <c r="A4559" s="2" t="s">
        <v>4807</v>
      </c>
      <c r="B4559" s="2" t="s">
        <v>5573</v>
      </c>
      <c r="D4559" s="2" t="s">
        <v>4800</v>
      </c>
      <c r="G4559" s="2" t="s">
        <v>4801</v>
      </c>
    </row>
    <row r="4560">
      <c r="A4560" s="2" t="s">
        <v>4807</v>
      </c>
      <c r="B4560" s="2" t="s">
        <v>5574</v>
      </c>
      <c r="D4560" s="2" t="s">
        <v>4800</v>
      </c>
      <c r="G4560" s="2" t="s">
        <v>4801</v>
      </c>
    </row>
    <row r="4561">
      <c r="A4561" s="2" t="s">
        <v>4807</v>
      </c>
      <c r="B4561" s="2" t="s">
        <v>5575</v>
      </c>
      <c r="D4561" s="2" t="s">
        <v>4800</v>
      </c>
      <c r="G4561" s="2" t="s">
        <v>4801</v>
      </c>
    </row>
    <row r="4562">
      <c r="A4562" s="2" t="s">
        <v>4807</v>
      </c>
      <c r="B4562" s="2" t="s">
        <v>5576</v>
      </c>
      <c r="D4562" s="2" t="s">
        <v>4800</v>
      </c>
      <c r="G4562" s="2" t="s">
        <v>4801</v>
      </c>
    </row>
    <row r="4563">
      <c r="A4563" s="2" t="s">
        <v>4807</v>
      </c>
      <c r="B4563" s="2" t="s">
        <v>5577</v>
      </c>
      <c r="D4563" s="2" t="s">
        <v>4800</v>
      </c>
      <c r="G4563" s="2" t="s">
        <v>4801</v>
      </c>
    </row>
    <row r="4564">
      <c r="A4564" s="2" t="s">
        <v>4807</v>
      </c>
      <c r="B4564" s="2" t="s">
        <v>5578</v>
      </c>
      <c r="D4564" s="2" t="s">
        <v>4800</v>
      </c>
      <c r="G4564" s="2" t="s">
        <v>4801</v>
      </c>
    </row>
    <row r="4565">
      <c r="A4565" s="2" t="s">
        <v>4807</v>
      </c>
      <c r="B4565" s="2" t="s">
        <v>5579</v>
      </c>
      <c r="D4565" s="2" t="s">
        <v>4800</v>
      </c>
      <c r="G4565" s="2" t="s">
        <v>4801</v>
      </c>
    </row>
    <row r="4566">
      <c r="A4566" s="2" t="s">
        <v>4807</v>
      </c>
      <c r="B4566" s="2" t="s">
        <v>5580</v>
      </c>
      <c r="D4566" s="2" t="s">
        <v>4800</v>
      </c>
      <c r="G4566" s="2" t="s">
        <v>4801</v>
      </c>
    </row>
    <row r="4567">
      <c r="A4567" s="2" t="s">
        <v>4807</v>
      </c>
      <c r="B4567" s="2" t="s">
        <v>5581</v>
      </c>
      <c r="D4567" s="2" t="s">
        <v>4800</v>
      </c>
      <c r="G4567" s="2" t="s">
        <v>4801</v>
      </c>
    </row>
    <row r="4568">
      <c r="A4568" s="2" t="s">
        <v>4807</v>
      </c>
      <c r="B4568" s="2" t="s">
        <v>5582</v>
      </c>
      <c r="D4568" s="2" t="s">
        <v>4800</v>
      </c>
      <c r="G4568" s="2" t="s">
        <v>4801</v>
      </c>
    </row>
    <row r="4569">
      <c r="A4569" s="2" t="s">
        <v>4807</v>
      </c>
      <c r="B4569" s="2" t="s">
        <v>5583</v>
      </c>
      <c r="D4569" s="2" t="s">
        <v>4800</v>
      </c>
      <c r="G4569" s="2" t="s">
        <v>4801</v>
      </c>
    </row>
    <row r="4570">
      <c r="A4570" s="2" t="s">
        <v>4807</v>
      </c>
      <c r="B4570" s="2" t="s">
        <v>5584</v>
      </c>
      <c r="D4570" s="2" t="s">
        <v>4800</v>
      </c>
      <c r="G4570" s="2" t="s">
        <v>4801</v>
      </c>
    </row>
    <row r="4571">
      <c r="A4571" s="2" t="s">
        <v>4807</v>
      </c>
      <c r="B4571" s="2" t="s">
        <v>5585</v>
      </c>
      <c r="D4571" s="2" t="s">
        <v>4800</v>
      </c>
      <c r="G4571" s="2" t="s">
        <v>4801</v>
      </c>
    </row>
    <row r="4572">
      <c r="A4572" s="2" t="s">
        <v>4807</v>
      </c>
      <c r="B4572" s="2" t="s">
        <v>5586</v>
      </c>
      <c r="D4572" s="2" t="s">
        <v>4800</v>
      </c>
      <c r="G4572" s="2" t="s">
        <v>4801</v>
      </c>
    </row>
    <row r="4573">
      <c r="A4573" s="2" t="s">
        <v>4807</v>
      </c>
      <c r="B4573" s="2" t="s">
        <v>5587</v>
      </c>
      <c r="D4573" s="2" t="s">
        <v>4800</v>
      </c>
      <c r="G4573" s="2" t="s">
        <v>4801</v>
      </c>
    </row>
    <row r="4574">
      <c r="A4574" s="2" t="s">
        <v>4807</v>
      </c>
      <c r="B4574" s="2" t="s">
        <v>5588</v>
      </c>
      <c r="D4574" s="2" t="s">
        <v>4800</v>
      </c>
      <c r="G4574" s="2" t="s">
        <v>4801</v>
      </c>
    </row>
    <row r="4575">
      <c r="A4575" s="2" t="s">
        <v>4807</v>
      </c>
      <c r="B4575" s="2" t="s">
        <v>5589</v>
      </c>
      <c r="D4575" s="2" t="s">
        <v>4800</v>
      </c>
      <c r="G4575" s="2" t="s">
        <v>4801</v>
      </c>
    </row>
    <row r="4576">
      <c r="A4576" s="2" t="s">
        <v>4807</v>
      </c>
      <c r="B4576" s="2" t="s">
        <v>5590</v>
      </c>
      <c r="D4576" s="2" t="s">
        <v>4800</v>
      </c>
      <c r="G4576" s="2" t="s">
        <v>4801</v>
      </c>
    </row>
    <row r="4577">
      <c r="A4577" s="2" t="s">
        <v>4807</v>
      </c>
      <c r="B4577" s="2" t="s">
        <v>5591</v>
      </c>
      <c r="D4577" s="2" t="s">
        <v>4800</v>
      </c>
      <c r="G4577" s="2" t="s">
        <v>4801</v>
      </c>
    </row>
    <row r="4578">
      <c r="A4578" s="2" t="s">
        <v>4807</v>
      </c>
      <c r="B4578" s="2" t="s">
        <v>5593</v>
      </c>
      <c r="D4578" s="2" t="s">
        <v>4800</v>
      </c>
      <c r="G4578" s="2" t="s">
        <v>4801</v>
      </c>
    </row>
    <row r="4579">
      <c r="A4579" s="2" t="s">
        <v>4807</v>
      </c>
      <c r="B4579" s="2" t="s">
        <v>5594</v>
      </c>
      <c r="D4579" s="2" t="s">
        <v>4800</v>
      </c>
      <c r="G4579" s="2" t="s">
        <v>4801</v>
      </c>
    </row>
    <row r="4580">
      <c r="A4580" s="2" t="s">
        <v>4807</v>
      </c>
      <c r="B4580" s="2" t="s">
        <v>5595</v>
      </c>
      <c r="D4580" s="2" t="s">
        <v>4800</v>
      </c>
      <c r="G4580" s="2" t="s">
        <v>4801</v>
      </c>
    </row>
    <row r="4581">
      <c r="A4581" s="2" t="s">
        <v>4807</v>
      </c>
      <c r="B4581" s="2" t="s">
        <v>5596</v>
      </c>
      <c r="D4581" s="2" t="s">
        <v>4800</v>
      </c>
      <c r="G4581" s="2" t="s">
        <v>4801</v>
      </c>
    </row>
    <row r="4582">
      <c r="A4582" s="2" t="s">
        <v>4807</v>
      </c>
      <c r="B4582" s="2" t="s">
        <v>4834</v>
      </c>
      <c r="D4582" s="2" t="s">
        <v>4800</v>
      </c>
      <c r="G4582" s="2" t="s">
        <v>4801</v>
      </c>
    </row>
    <row r="4583">
      <c r="A4583" s="2" t="s">
        <v>4807</v>
      </c>
      <c r="B4583" s="2" t="s">
        <v>5597</v>
      </c>
      <c r="D4583" s="2" t="s">
        <v>4800</v>
      </c>
      <c r="G4583" s="2" t="s">
        <v>4801</v>
      </c>
    </row>
    <row r="4584">
      <c r="A4584" s="2" t="s">
        <v>4807</v>
      </c>
      <c r="B4584" s="2" t="s">
        <v>4837</v>
      </c>
      <c r="D4584" s="2" t="s">
        <v>4800</v>
      </c>
      <c r="G4584" s="2" t="s">
        <v>4801</v>
      </c>
    </row>
    <row r="4585">
      <c r="A4585" s="2" t="s">
        <v>4807</v>
      </c>
      <c r="B4585" s="2" t="s">
        <v>5597</v>
      </c>
      <c r="D4585" s="2" t="s">
        <v>4800</v>
      </c>
      <c r="G4585" s="2" t="s">
        <v>4801</v>
      </c>
    </row>
    <row r="4586">
      <c r="A4586" s="2" t="s">
        <v>4807</v>
      </c>
      <c r="B4586" s="2" t="s">
        <v>5598</v>
      </c>
      <c r="D4586" s="2" t="s">
        <v>4800</v>
      </c>
      <c r="G4586" s="2" t="s">
        <v>4801</v>
      </c>
    </row>
    <row r="4587">
      <c r="A4587" s="2" t="s">
        <v>4807</v>
      </c>
      <c r="B4587" s="2" t="s">
        <v>5597</v>
      </c>
      <c r="D4587" s="2" t="s">
        <v>4800</v>
      </c>
      <c r="G4587" s="2" t="s">
        <v>4801</v>
      </c>
    </row>
    <row r="4588">
      <c r="A4588" s="2" t="s">
        <v>4807</v>
      </c>
      <c r="B4588" s="2" t="s">
        <v>5599</v>
      </c>
      <c r="D4588" s="2" t="s">
        <v>4800</v>
      </c>
      <c r="G4588" s="2" t="s">
        <v>4801</v>
      </c>
    </row>
    <row r="4589">
      <c r="A4589" s="2" t="s">
        <v>4807</v>
      </c>
      <c r="B4589" s="2" t="s">
        <v>5597</v>
      </c>
      <c r="D4589" s="2" t="s">
        <v>4800</v>
      </c>
      <c r="G4589" s="2" t="s">
        <v>4801</v>
      </c>
    </row>
    <row r="4590">
      <c r="A4590" s="2" t="s">
        <v>4807</v>
      </c>
      <c r="B4590" s="2" t="s">
        <v>5243</v>
      </c>
      <c r="D4590" s="2" t="s">
        <v>4800</v>
      </c>
      <c r="G4590" s="2" t="s">
        <v>4801</v>
      </c>
    </row>
    <row r="4591">
      <c r="A4591" s="2" t="s">
        <v>4807</v>
      </c>
      <c r="B4591" s="2" t="s">
        <v>5600</v>
      </c>
      <c r="D4591" s="2" t="s">
        <v>4800</v>
      </c>
      <c r="G4591" s="2" t="s">
        <v>4801</v>
      </c>
    </row>
    <row r="4592">
      <c r="A4592" s="2" t="s">
        <v>4807</v>
      </c>
      <c r="B4592" s="2" t="s">
        <v>5601</v>
      </c>
      <c r="D4592" s="2" t="s">
        <v>4800</v>
      </c>
      <c r="G4592" s="2" t="s">
        <v>4801</v>
      </c>
    </row>
    <row r="4593">
      <c r="A4593" s="2" t="s">
        <v>4807</v>
      </c>
      <c r="B4593" s="2" t="s">
        <v>5602</v>
      </c>
      <c r="D4593" s="2" t="s">
        <v>4800</v>
      </c>
      <c r="G4593" s="2" t="s">
        <v>4801</v>
      </c>
    </row>
    <row r="4594">
      <c r="A4594" s="2" t="s">
        <v>4807</v>
      </c>
      <c r="B4594" s="2" t="s">
        <v>5603</v>
      </c>
      <c r="D4594" s="2" t="s">
        <v>4800</v>
      </c>
      <c r="G4594" s="2" t="s">
        <v>4801</v>
      </c>
    </row>
    <row r="4595">
      <c r="A4595" s="2" t="s">
        <v>5604</v>
      </c>
      <c r="B4595" s="2" t="s">
        <v>5605</v>
      </c>
      <c r="D4595" s="2" t="s">
        <v>5606</v>
      </c>
    </row>
    <row r="4596">
      <c r="A4596" s="2" t="s">
        <v>5607</v>
      </c>
      <c r="B4596" s="2" t="s">
        <v>5608</v>
      </c>
      <c r="D4596" s="2" t="s">
        <v>5606</v>
      </c>
    </row>
    <row r="4597">
      <c r="A4597" s="2" t="s">
        <v>5609</v>
      </c>
      <c r="B4597" s="2" t="s">
        <v>5610</v>
      </c>
      <c r="D4597" s="2" t="s">
        <v>5606</v>
      </c>
    </row>
    <row r="4598">
      <c r="A4598" s="2" t="s">
        <v>5604</v>
      </c>
      <c r="B4598" s="2" t="s">
        <v>5611</v>
      </c>
      <c r="D4598" s="2"/>
      <c r="G4598" s="2" t="s">
        <v>5612</v>
      </c>
    </row>
    <row r="4599">
      <c r="A4599" s="2" t="s">
        <v>5613</v>
      </c>
      <c r="B4599" s="2" t="s">
        <v>5614</v>
      </c>
      <c r="D4599" s="2"/>
      <c r="G4599" s="2" t="s">
        <v>5615</v>
      </c>
    </row>
    <row r="4600">
      <c r="A4600" s="2" t="s">
        <v>5613</v>
      </c>
      <c r="B4600" s="2" t="s">
        <v>5616</v>
      </c>
      <c r="D4600" s="2"/>
      <c r="G4600" s="2" t="s">
        <v>5615</v>
      </c>
    </row>
    <row r="4601">
      <c r="A4601" s="2" t="s">
        <v>5613</v>
      </c>
      <c r="B4601" s="2" t="s">
        <v>5618</v>
      </c>
      <c r="D4601" s="2"/>
      <c r="G4601" s="2" t="s">
        <v>5615</v>
      </c>
    </row>
    <row r="4602">
      <c r="A4602" s="2" t="s">
        <v>5619</v>
      </c>
      <c r="B4602" s="2" t="s">
        <v>5620</v>
      </c>
      <c r="D4602" s="2"/>
      <c r="G4602" s="2" t="s">
        <v>5615</v>
      </c>
    </row>
    <row r="4603">
      <c r="A4603" s="2" t="s">
        <v>5621</v>
      </c>
      <c r="B4603" s="2" t="s">
        <v>5622</v>
      </c>
      <c r="D4603" s="2"/>
      <c r="G4603" s="2" t="s">
        <v>5615</v>
      </c>
    </row>
    <row r="4604">
      <c r="A4604" s="2" t="s">
        <v>5621</v>
      </c>
      <c r="B4604" s="2" t="s">
        <v>5623</v>
      </c>
      <c r="D4604" s="2"/>
      <c r="G4604" s="2" t="s">
        <v>5615</v>
      </c>
    </row>
    <row r="4605">
      <c r="A4605" s="2" t="s">
        <v>5624</v>
      </c>
      <c r="B4605" s="2" t="s">
        <v>5625</v>
      </c>
      <c r="D4605" s="2" t="s">
        <v>5626</v>
      </c>
      <c r="G4605" s="2" t="s">
        <v>5626</v>
      </c>
    </row>
    <row r="4606">
      <c r="A4606" s="2" t="s">
        <v>5624</v>
      </c>
      <c r="B4606" s="2" t="s">
        <v>5627</v>
      </c>
      <c r="D4606" s="2"/>
      <c r="G4606" s="2" t="s">
        <v>3883</v>
      </c>
    </row>
    <row r="4607">
      <c r="A4607" s="2" t="s">
        <v>5624</v>
      </c>
      <c r="B4607" s="2" t="s">
        <v>5628</v>
      </c>
      <c r="D4607" s="2"/>
      <c r="G4607" s="2" t="s">
        <v>3332</v>
      </c>
    </row>
    <row r="4608">
      <c r="A4608" s="2" t="s">
        <v>5629</v>
      </c>
      <c r="B4608" s="2" t="s">
        <v>5630</v>
      </c>
      <c r="D4608" s="2" t="s">
        <v>5631</v>
      </c>
    </row>
    <row r="4609">
      <c r="A4609" s="2" t="s">
        <v>5629</v>
      </c>
      <c r="B4609" s="2" t="s">
        <v>5632</v>
      </c>
      <c r="D4609" s="2" t="s">
        <v>5631</v>
      </c>
      <c r="G4609" s="2"/>
    </row>
    <row r="4610">
      <c r="A4610" s="2" t="s">
        <v>5629</v>
      </c>
      <c r="B4610" s="2" t="s">
        <v>5633</v>
      </c>
      <c r="D4610" s="2" t="s">
        <v>5631</v>
      </c>
      <c r="G4610" s="2"/>
    </row>
    <row r="4611">
      <c r="A4611" s="2" t="s">
        <v>5629</v>
      </c>
      <c r="B4611" s="2" t="s">
        <v>5634</v>
      </c>
      <c r="D4611" s="2" t="s">
        <v>5631</v>
      </c>
      <c r="G4611" s="2"/>
    </row>
    <row r="4612">
      <c r="A4612" s="2" t="s">
        <v>5629</v>
      </c>
      <c r="B4612" s="2" t="s">
        <v>5635</v>
      </c>
      <c r="D4612" s="2" t="s">
        <v>5631</v>
      </c>
      <c r="G4612" s="2"/>
    </row>
    <row r="4613">
      <c r="A4613" s="2" t="s">
        <v>5629</v>
      </c>
      <c r="B4613" s="2" t="s">
        <v>5636</v>
      </c>
      <c r="D4613" s="2" t="s">
        <v>5631</v>
      </c>
      <c r="G4613" s="2"/>
    </row>
    <row r="4614">
      <c r="A4614" s="2" t="s">
        <v>5629</v>
      </c>
      <c r="B4614" s="2" t="s">
        <v>5637</v>
      </c>
      <c r="D4614" s="2" t="s">
        <v>5631</v>
      </c>
      <c r="G4614" s="2"/>
    </row>
    <row r="4615">
      <c r="A4615" s="2" t="s">
        <v>5629</v>
      </c>
      <c r="B4615" s="2" t="s">
        <v>5638</v>
      </c>
      <c r="D4615" s="2" t="s">
        <v>5631</v>
      </c>
      <c r="G4615" s="2"/>
    </row>
    <row r="4616">
      <c r="A4616" s="2" t="s">
        <v>5629</v>
      </c>
      <c r="B4616" s="2" t="s">
        <v>5639</v>
      </c>
      <c r="D4616" s="2" t="s">
        <v>5631</v>
      </c>
      <c r="G4616" s="2"/>
    </row>
    <row r="4617">
      <c r="A4617" s="2" t="s">
        <v>5629</v>
      </c>
      <c r="B4617" s="2" t="s">
        <v>5640</v>
      </c>
      <c r="D4617" s="2" t="s">
        <v>5631</v>
      </c>
      <c r="G4617" s="2"/>
    </row>
    <row r="4618">
      <c r="A4618" s="2" t="s">
        <v>5629</v>
      </c>
      <c r="B4618" s="2" t="s">
        <v>5641</v>
      </c>
      <c r="D4618" s="2" t="s">
        <v>5631</v>
      </c>
      <c r="G4618" s="2"/>
    </row>
    <row r="4619">
      <c r="A4619" s="2" t="s">
        <v>5629</v>
      </c>
      <c r="B4619" s="2" t="s">
        <v>5642</v>
      </c>
      <c r="D4619" s="2" t="s">
        <v>5631</v>
      </c>
      <c r="G4619" s="2"/>
    </row>
    <row r="4620">
      <c r="A4620" s="2" t="s">
        <v>5629</v>
      </c>
      <c r="B4620" s="2" t="s">
        <v>5643</v>
      </c>
      <c r="D4620" s="2" t="s">
        <v>5631</v>
      </c>
      <c r="G4620" s="2"/>
    </row>
    <row r="4621">
      <c r="A4621" s="2" t="s">
        <v>5629</v>
      </c>
      <c r="B4621" s="2" t="s">
        <v>5644</v>
      </c>
      <c r="D4621" s="2" t="s">
        <v>5631</v>
      </c>
      <c r="G4621" s="2"/>
    </row>
    <row r="4622">
      <c r="A4622" s="2" t="s">
        <v>5629</v>
      </c>
      <c r="B4622" s="2" t="s">
        <v>5645</v>
      </c>
      <c r="D4622" s="2" t="s">
        <v>5631</v>
      </c>
      <c r="G4622" s="2"/>
    </row>
    <row r="4623">
      <c r="A4623" s="2" t="s">
        <v>5629</v>
      </c>
      <c r="B4623" s="2" t="s">
        <v>5646</v>
      </c>
      <c r="D4623" s="2" t="s">
        <v>5631</v>
      </c>
      <c r="G4623" s="2"/>
    </row>
    <row r="4624">
      <c r="A4624" s="2" t="s">
        <v>5629</v>
      </c>
      <c r="B4624" s="2" t="s">
        <v>5647</v>
      </c>
      <c r="D4624" s="2" t="s">
        <v>5631</v>
      </c>
      <c r="G4624" s="2"/>
    </row>
    <row r="4625">
      <c r="A4625" s="2" t="s">
        <v>5629</v>
      </c>
      <c r="B4625" s="2" t="s">
        <v>5648</v>
      </c>
      <c r="D4625" s="2" t="s">
        <v>5631</v>
      </c>
      <c r="G4625" s="2"/>
    </row>
    <row r="4626">
      <c r="A4626" s="2" t="s">
        <v>5629</v>
      </c>
      <c r="B4626" s="2" t="s">
        <v>5649</v>
      </c>
      <c r="D4626" s="2" t="s">
        <v>5631</v>
      </c>
      <c r="G4626" s="2"/>
    </row>
    <row r="4627">
      <c r="A4627" s="2" t="s">
        <v>5629</v>
      </c>
      <c r="B4627" s="2" t="s">
        <v>5650</v>
      </c>
      <c r="D4627" s="2" t="s">
        <v>5631</v>
      </c>
      <c r="G4627" s="2"/>
    </row>
    <row r="4628">
      <c r="A4628" s="2" t="s">
        <v>5651</v>
      </c>
      <c r="B4628" s="2" t="s">
        <v>5652</v>
      </c>
      <c r="D4628" s="2"/>
      <c r="G4628" s="2" t="s">
        <v>5653</v>
      </c>
    </row>
    <row r="4629">
      <c r="A4629" s="2" t="s">
        <v>5651</v>
      </c>
      <c r="B4629" s="2" t="s">
        <v>5654</v>
      </c>
      <c r="D4629" s="2"/>
      <c r="G4629" s="2" t="s">
        <v>5653</v>
      </c>
    </row>
    <row r="4630">
      <c r="A4630" s="2" t="s">
        <v>5651</v>
      </c>
      <c r="B4630" s="2" t="s">
        <v>5655</v>
      </c>
      <c r="D4630" s="2"/>
      <c r="G4630" s="2" t="s">
        <v>5653</v>
      </c>
    </row>
    <row r="4631">
      <c r="A4631" s="2" t="s">
        <v>5651</v>
      </c>
      <c r="B4631" s="2" t="s">
        <v>5656</v>
      </c>
      <c r="D4631" s="2"/>
      <c r="G4631" s="2" t="s">
        <v>5653</v>
      </c>
    </row>
    <row r="4632">
      <c r="A4632" s="2" t="s">
        <v>5651</v>
      </c>
      <c r="B4632" s="2" t="s">
        <v>5657</v>
      </c>
      <c r="D4632" s="2"/>
      <c r="G4632" s="2" t="s">
        <v>5653</v>
      </c>
    </row>
    <row r="4633">
      <c r="A4633" s="2" t="s">
        <v>5651</v>
      </c>
      <c r="B4633" s="2" t="s">
        <v>5658</v>
      </c>
      <c r="D4633" s="2"/>
      <c r="G4633" s="2" t="s">
        <v>5653</v>
      </c>
    </row>
    <row r="4634">
      <c r="A4634" s="2" t="s">
        <v>5651</v>
      </c>
      <c r="B4634" s="2" t="s">
        <v>5659</v>
      </c>
      <c r="D4634" s="2"/>
      <c r="G4634" s="2" t="s">
        <v>5653</v>
      </c>
    </row>
    <row r="4635">
      <c r="A4635" s="2" t="s">
        <v>5651</v>
      </c>
      <c r="B4635" s="2" t="s">
        <v>5660</v>
      </c>
      <c r="D4635" s="2"/>
      <c r="G4635" s="2" t="s">
        <v>5653</v>
      </c>
    </row>
    <row r="4636">
      <c r="A4636" s="2" t="s">
        <v>5651</v>
      </c>
      <c r="B4636" s="2" t="s">
        <v>5661</v>
      </c>
      <c r="D4636" s="2"/>
      <c r="G4636" s="2" t="s">
        <v>5653</v>
      </c>
    </row>
    <row r="4637">
      <c r="A4637" s="2" t="s">
        <v>5651</v>
      </c>
      <c r="B4637" s="2" t="s">
        <v>5662</v>
      </c>
      <c r="D4637" s="2"/>
      <c r="G4637" s="2" t="s">
        <v>5653</v>
      </c>
    </row>
    <row r="4638">
      <c r="A4638" s="2" t="s">
        <v>5651</v>
      </c>
      <c r="B4638" s="2" t="s">
        <v>5663</v>
      </c>
      <c r="D4638" s="2"/>
      <c r="G4638" s="2" t="s">
        <v>5653</v>
      </c>
    </row>
    <row r="4639">
      <c r="A4639" s="2" t="s">
        <v>5651</v>
      </c>
      <c r="B4639" s="2" t="s">
        <v>5664</v>
      </c>
      <c r="D4639" s="2"/>
      <c r="G4639" s="2" t="s">
        <v>5653</v>
      </c>
    </row>
    <row r="4640">
      <c r="A4640" s="2" t="s">
        <v>5651</v>
      </c>
      <c r="B4640" s="2" t="s">
        <v>5665</v>
      </c>
      <c r="D4640" s="2"/>
      <c r="G4640" s="2" t="s">
        <v>5653</v>
      </c>
    </row>
    <row r="4641">
      <c r="A4641" s="2" t="s">
        <v>5651</v>
      </c>
      <c r="B4641" s="2" t="s">
        <v>5666</v>
      </c>
      <c r="D4641" s="2"/>
      <c r="G4641" s="2" t="s">
        <v>5653</v>
      </c>
    </row>
    <row r="4642">
      <c r="A4642" s="2" t="s">
        <v>5651</v>
      </c>
      <c r="B4642" s="2" t="s">
        <v>5667</v>
      </c>
      <c r="D4642" s="2"/>
      <c r="G4642" s="2" t="s">
        <v>5653</v>
      </c>
    </row>
    <row r="4643">
      <c r="A4643" s="2" t="s">
        <v>5651</v>
      </c>
      <c r="B4643" s="2" t="s">
        <v>5668</v>
      </c>
      <c r="D4643" s="2"/>
      <c r="G4643" s="2" t="s">
        <v>5653</v>
      </c>
    </row>
    <row r="4644">
      <c r="A4644" s="2" t="s">
        <v>5651</v>
      </c>
      <c r="B4644" s="2" t="s">
        <v>5669</v>
      </c>
      <c r="D4644" s="2"/>
      <c r="G4644" s="2" t="s">
        <v>5653</v>
      </c>
    </row>
    <row r="4645">
      <c r="A4645" s="2" t="s">
        <v>5651</v>
      </c>
      <c r="B4645" s="2" t="s">
        <v>5670</v>
      </c>
      <c r="D4645" s="2"/>
      <c r="G4645" s="2" t="s">
        <v>5653</v>
      </c>
    </row>
    <row r="4646">
      <c r="A4646" s="2" t="s">
        <v>5651</v>
      </c>
      <c r="B4646" s="2" t="s">
        <v>5671</v>
      </c>
      <c r="D4646" s="2"/>
      <c r="G4646" s="2" t="s">
        <v>5653</v>
      </c>
    </row>
    <row r="4647">
      <c r="A4647" s="2" t="s">
        <v>5651</v>
      </c>
      <c r="B4647" s="2" t="s">
        <v>5672</v>
      </c>
      <c r="D4647" s="2"/>
      <c r="G4647" s="2" t="s">
        <v>5653</v>
      </c>
    </row>
    <row r="4648">
      <c r="A4648" s="2" t="s">
        <v>5651</v>
      </c>
      <c r="B4648" s="2" t="s">
        <v>5673</v>
      </c>
      <c r="D4648" s="2"/>
      <c r="G4648" s="2" t="s">
        <v>5653</v>
      </c>
    </row>
    <row r="4649">
      <c r="A4649" s="2" t="s">
        <v>5651</v>
      </c>
      <c r="B4649" s="2" t="s">
        <v>5674</v>
      </c>
      <c r="D4649" s="2"/>
      <c r="G4649" s="2" t="s">
        <v>5653</v>
      </c>
    </row>
    <row r="4650">
      <c r="A4650" s="2" t="s">
        <v>5651</v>
      </c>
      <c r="B4650" s="2" t="s">
        <v>5675</v>
      </c>
      <c r="D4650" s="2"/>
      <c r="G4650" s="2" t="s">
        <v>5653</v>
      </c>
    </row>
    <row r="4651">
      <c r="A4651" s="2" t="s">
        <v>5651</v>
      </c>
      <c r="B4651" s="2" t="s">
        <v>5676</v>
      </c>
      <c r="D4651" s="2"/>
      <c r="G4651" s="2" t="s">
        <v>5653</v>
      </c>
    </row>
    <row r="4652">
      <c r="A4652" s="2" t="s">
        <v>5651</v>
      </c>
      <c r="B4652" s="2" t="s">
        <v>5677</v>
      </c>
      <c r="D4652" s="2"/>
      <c r="G4652" s="2" t="s">
        <v>5653</v>
      </c>
    </row>
    <row r="4653">
      <c r="A4653" s="2" t="s">
        <v>5651</v>
      </c>
      <c r="B4653" s="2" t="s">
        <v>5678</v>
      </c>
      <c r="D4653" s="2"/>
      <c r="G4653" s="2" t="s">
        <v>5653</v>
      </c>
    </row>
    <row r="4654">
      <c r="A4654" s="2" t="s">
        <v>5651</v>
      </c>
      <c r="B4654" s="2" t="s">
        <v>5679</v>
      </c>
      <c r="D4654" s="2"/>
      <c r="G4654" s="2" t="s">
        <v>5653</v>
      </c>
    </row>
    <row r="4655">
      <c r="A4655" s="2" t="s">
        <v>5651</v>
      </c>
      <c r="B4655" s="2" t="s">
        <v>5680</v>
      </c>
      <c r="D4655" s="2"/>
      <c r="G4655" s="2" t="s">
        <v>5653</v>
      </c>
    </row>
    <row r="4656">
      <c r="A4656" s="2" t="s">
        <v>5651</v>
      </c>
      <c r="B4656" s="2" t="s">
        <v>5681</v>
      </c>
      <c r="D4656" s="2"/>
      <c r="G4656" s="2" t="s">
        <v>5653</v>
      </c>
    </row>
    <row r="4657">
      <c r="A4657" s="2" t="s">
        <v>5651</v>
      </c>
      <c r="B4657" s="2" t="s">
        <v>5682</v>
      </c>
      <c r="D4657" s="2"/>
      <c r="G4657" s="2" t="s">
        <v>5653</v>
      </c>
    </row>
    <row r="4658">
      <c r="A4658" s="2" t="s">
        <v>5651</v>
      </c>
      <c r="B4658" s="2" t="s">
        <v>5683</v>
      </c>
      <c r="D4658" s="2"/>
      <c r="G4658" s="2" t="s">
        <v>5653</v>
      </c>
    </row>
    <row r="4659">
      <c r="A4659" s="2" t="s">
        <v>5651</v>
      </c>
      <c r="B4659" s="2" t="s">
        <v>5684</v>
      </c>
      <c r="D4659" s="2"/>
      <c r="G4659" s="2" t="s">
        <v>5653</v>
      </c>
    </row>
    <row r="4660">
      <c r="A4660" s="2" t="s">
        <v>5651</v>
      </c>
      <c r="B4660" s="2" t="s">
        <v>5685</v>
      </c>
      <c r="D4660" s="2"/>
      <c r="G4660" s="2" t="s">
        <v>5653</v>
      </c>
    </row>
    <row r="4661">
      <c r="A4661" s="2" t="s">
        <v>5651</v>
      </c>
      <c r="B4661" s="2" t="s">
        <v>5686</v>
      </c>
      <c r="D4661" s="2"/>
      <c r="G4661" s="2" t="s">
        <v>5653</v>
      </c>
    </row>
    <row r="4662">
      <c r="A4662" s="2" t="s">
        <v>5651</v>
      </c>
      <c r="B4662" s="2" t="s">
        <v>5687</v>
      </c>
      <c r="D4662" s="2"/>
      <c r="G4662" s="2" t="s">
        <v>5653</v>
      </c>
    </row>
    <row r="4663">
      <c r="A4663" s="2" t="s">
        <v>5651</v>
      </c>
      <c r="B4663" s="2" t="s">
        <v>5688</v>
      </c>
      <c r="D4663" s="2"/>
      <c r="G4663" s="2" t="s">
        <v>5653</v>
      </c>
    </row>
    <row r="4664">
      <c r="A4664" s="2" t="s">
        <v>5651</v>
      </c>
      <c r="B4664" s="2" t="s">
        <v>5689</v>
      </c>
      <c r="D4664" s="2"/>
      <c r="G4664" s="2" t="s">
        <v>5653</v>
      </c>
    </row>
    <row r="4665">
      <c r="A4665" s="2" t="s">
        <v>5651</v>
      </c>
      <c r="B4665" s="2" t="s">
        <v>5690</v>
      </c>
      <c r="D4665" s="2"/>
      <c r="G4665" s="2" t="s">
        <v>5653</v>
      </c>
    </row>
    <row r="4666">
      <c r="A4666" s="2" t="s">
        <v>5651</v>
      </c>
      <c r="B4666" s="2" t="s">
        <v>5691</v>
      </c>
      <c r="D4666" s="2"/>
      <c r="G4666" s="2" t="s">
        <v>5653</v>
      </c>
    </row>
    <row r="4667">
      <c r="A4667" s="2" t="s">
        <v>5651</v>
      </c>
      <c r="B4667" s="2" t="s">
        <v>5692</v>
      </c>
      <c r="D4667" s="2"/>
      <c r="G4667" s="2" t="s">
        <v>5653</v>
      </c>
    </row>
    <row r="4668">
      <c r="A4668" s="2" t="s">
        <v>5651</v>
      </c>
      <c r="B4668" s="2" t="s">
        <v>5693</v>
      </c>
      <c r="D4668" s="2"/>
      <c r="G4668" s="2" t="s">
        <v>5653</v>
      </c>
    </row>
    <row r="4669">
      <c r="A4669" s="2" t="s">
        <v>5651</v>
      </c>
      <c r="B4669" s="2" t="s">
        <v>5694</v>
      </c>
      <c r="D4669" s="2"/>
      <c r="G4669" s="2" t="s">
        <v>5653</v>
      </c>
    </row>
    <row r="4670">
      <c r="A4670" s="2" t="s">
        <v>5651</v>
      </c>
      <c r="B4670" s="2" t="s">
        <v>5695</v>
      </c>
      <c r="D4670" s="2"/>
      <c r="G4670" s="2" t="s">
        <v>5653</v>
      </c>
    </row>
    <row r="4671">
      <c r="A4671" s="2" t="s">
        <v>5651</v>
      </c>
      <c r="B4671" s="2" t="s">
        <v>5696</v>
      </c>
      <c r="D4671" s="2"/>
      <c r="G4671" s="2" t="s">
        <v>5653</v>
      </c>
    </row>
    <row r="4672">
      <c r="A4672" s="2" t="s">
        <v>5651</v>
      </c>
      <c r="B4672" s="2" t="s">
        <v>5697</v>
      </c>
      <c r="D4672" s="2"/>
      <c r="G4672" s="2" t="s">
        <v>5653</v>
      </c>
    </row>
    <row r="4673">
      <c r="A4673" s="2" t="s">
        <v>5651</v>
      </c>
      <c r="B4673" s="2" t="s">
        <v>5698</v>
      </c>
      <c r="D4673" s="2"/>
      <c r="G4673" s="2" t="s">
        <v>5653</v>
      </c>
    </row>
    <row r="4674">
      <c r="A4674" s="2" t="s">
        <v>5651</v>
      </c>
      <c r="B4674" s="2" t="s">
        <v>5699</v>
      </c>
      <c r="D4674" s="2"/>
      <c r="G4674" s="2" t="s">
        <v>5653</v>
      </c>
    </row>
    <row r="4675">
      <c r="A4675" s="2" t="s">
        <v>5651</v>
      </c>
      <c r="B4675" s="2" t="s">
        <v>5700</v>
      </c>
      <c r="D4675" s="2"/>
      <c r="G4675" s="2" t="s">
        <v>5653</v>
      </c>
    </row>
    <row r="4676">
      <c r="A4676" s="2" t="s">
        <v>5651</v>
      </c>
      <c r="B4676" s="2" t="s">
        <v>5701</v>
      </c>
      <c r="D4676" s="2"/>
      <c r="G4676" s="2" t="s">
        <v>5653</v>
      </c>
    </row>
    <row r="4677">
      <c r="A4677" s="2" t="s">
        <v>5651</v>
      </c>
      <c r="B4677" s="2" t="s">
        <v>5702</v>
      </c>
      <c r="D4677" s="2"/>
      <c r="G4677" s="2" t="s">
        <v>5653</v>
      </c>
    </row>
    <row r="4678">
      <c r="A4678" s="2" t="s">
        <v>5651</v>
      </c>
      <c r="B4678" s="2" t="s">
        <v>5703</v>
      </c>
      <c r="D4678" s="2"/>
      <c r="G4678" s="2" t="s">
        <v>5653</v>
      </c>
    </row>
    <row r="4679">
      <c r="A4679" s="2" t="s">
        <v>5651</v>
      </c>
      <c r="B4679" s="2" t="s">
        <v>5704</v>
      </c>
      <c r="D4679" s="2"/>
      <c r="G4679" s="2" t="s">
        <v>5653</v>
      </c>
    </row>
    <row r="4680">
      <c r="A4680" s="2" t="s">
        <v>5651</v>
      </c>
      <c r="B4680" s="2" t="s">
        <v>5705</v>
      </c>
      <c r="D4680" s="2"/>
      <c r="G4680" s="2" t="s">
        <v>5653</v>
      </c>
    </row>
    <row r="4681">
      <c r="A4681" s="2" t="s">
        <v>5651</v>
      </c>
      <c r="B4681" s="2" t="s">
        <v>5706</v>
      </c>
      <c r="D4681" s="2"/>
      <c r="G4681" s="2" t="s">
        <v>5653</v>
      </c>
    </row>
    <row r="4682">
      <c r="A4682" s="2" t="s">
        <v>5651</v>
      </c>
      <c r="B4682" s="2" t="s">
        <v>5707</v>
      </c>
      <c r="D4682" s="2"/>
      <c r="G4682" s="2" t="s">
        <v>5653</v>
      </c>
    </row>
    <row r="4683">
      <c r="A4683" s="2" t="s">
        <v>5651</v>
      </c>
      <c r="B4683" s="2" t="s">
        <v>5708</v>
      </c>
      <c r="D4683" s="2"/>
      <c r="G4683" s="2" t="s">
        <v>5653</v>
      </c>
    </row>
    <row r="4684">
      <c r="A4684" s="2" t="s">
        <v>5651</v>
      </c>
      <c r="B4684" s="2" t="s">
        <v>5709</v>
      </c>
      <c r="D4684" s="2"/>
      <c r="G4684" s="2" t="s">
        <v>5653</v>
      </c>
    </row>
    <row r="4685">
      <c r="A4685" s="2" t="s">
        <v>5651</v>
      </c>
      <c r="B4685" s="2" t="s">
        <v>5710</v>
      </c>
      <c r="D4685" s="2"/>
      <c r="G4685" s="2" t="s">
        <v>5653</v>
      </c>
    </row>
    <row r="4686">
      <c r="A4686" s="2" t="s">
        <v>5651</v>
      </c>
      <c r="B4686" s="2" t="s">
        <v>5711</v>
      </c>
      <c r="D4686" s="2"/>
      <c r="G4686" s="2" t="s">
        <v>5653</v>
      </c>
    </row>
    <row r="4687">
      <c r="A4687" s="2" t="s">
        <v>5651</v>
      </c>
      <c r="B4687" s="2" t="s">
        <v>5712</v>
      </c>
      <c r="D4687" s="2"/>
      <c r="G4687" s="2" t="s">
        <v>5653</v>
      </c>
    </row>
    <row r="4688">
      <c r="A4688" s="2" t="s">
        <v>5651</v>
      </c>
      <c r="B4688" s="2" t="s">
        <v>5713</v>
      </c>
      <c r="D4688" s="2"/>
      <c r="G4688" s="2" t="s">
        <v>5653</v>
      </c>
    </row>
    <row r="4689">
      <c r="A4689" s="2" t="s">
        <v>5651</v>
      </c>
      <c r="B4689" s="2" t="s">
        <v>5714</v>
      </c>
      <c r="D4689" s="2"/>
      <c r="G4689" s="2" t="s">
        <v>5653</v>
      </c>
    </row>
    <row r="4690">
      <c r="A4690" s="2" t="s">
        <v>5651</v>
      </c>
      <c r="B4690" s="2" t="s">
        <v>5715</v>
      </c>
      <c r="D4690" s="2"/>
      <c r="G4690" s="2" t="s">
        <v>5653</v>
      </c>
    </row>
    <row r="4691">
      <c r="A4691" s="2" t="s">
        <v>5651</v>
      </c>
      <c r="B4691" s="2" t="s">
        <v>5716</v>
      </c>
      <c r="D4691" s="2"/>
      <c r="G4691" s="2" t="s">
        <v>5653</v>
      </c>
    </row>
    <row r="4692">
      <c r="A4692" s="2" t="s">
        <v>5651</v>
      </c>
      <c r="B4692" s="2" t="s">
        <v>5717</v>
      </c>
      <c r="D4692" s="2"/>
      <c r="G4692" s="2" t="s">
        <v>5653</v>
      </c>
    </row>
    <row r="4693">
      <c r="A4693" s="2" t="s">
        <v>5651</v>
      </c>
      <c r="B4693" s="2" t="s">
        <v>5718</v>
      </c>
      <c r="D4693" s="2"/>
      <c r="G4693" s="2" t="s">
        <v>5653</v>
      </c>
    </row>
    <row r="4694">
      <c r="A4694" s="2" t="s">
        <v>5651</v>
      </c>
      <c r="B4694" s="2" t="s">
        <v>5719</v>
      </c>
      <c r="D4694" s="2"/>
      <c r="G4694" s="2" t="s">
        <v>5653</v>
      </c>
    </row>
    <row r="4695">
      <c r="A4695" s="2" t="s">
        <v>5651</v>
      </c>
      <c r="B4695" s="2" t="s">
        <v>5720</v>
      </c>
      <c r="D4695" s="2"/>
      <c r="G4695" s="2" t="s">
        <v>5653</v>
      </c>
    </row>
    <row r="4696">
      <c r="A4696" s="2" t="s">
        <v>5651</v>
      </c>
      <c r="B4696" s="2" t="s">
        <v>5721</v>
      </c>
      <c r="D4696" s="2"/>
      <c r="G4696" s="2" t="s">
        <v>5653</v>
      </c>
    </row>
    <row r="4697">
      <c r="A4697" s="2" t="s">
        <v>5651</v>
      </c>
      <c r="B4697" s="2" t="s">
        <v>5722</v>
      </c>
      <c r="D4697" s="2"/>
      <c r="G4697" s="2" t="s">
        <v>5653</v>
      </c>
    </row>
    <row r="4698">
      <c r="A4698" s="2" t="s">
        <v>5651</v>
      </c>
      <c r="B4698" s="2" t="s">
        <v>5723</v>
      </c>
      <c r="D4698" s="2"/>
      <c r="G4698" s="2" t="s">
        <v>5653</v>
      </c>
    </row>
    <row r="4699">
      <c r="A4699" s="2" t="s">
        <v>5651</v>
      </c>
      <c r="B4699" s="2" t="s">
        <v>5724</v>
      </c>
      <c r="D4699" s="2"/>
      <c r="G4699" s="2" t="s">
        <v>5653</v>
      </c>
    </row>
    <row r="4700">
      <c r="A4700" s="2" t="s">
        <v>5651</v>
      </c>
      <c r="B4700" s="2" t="s">
        <v>5725</v>
      </c>
      <c r="D4700" s="2"/>
      <c r="G4700" s="2" t="s">
        <v>5653</v>
      </c>
    </row>
    <row r="4701">
      <c r="A4701" s="2" t="s">
        <v>5651</v>
      </c>
      <c r="B4701" s="2" t="s">
        <v>5726</v>
      </c>
      <c r="D4701" s="2"/>
      <c r="G4701" s="2" t="s">
        <v>5653</v>
      </c>
    </row>
    <row r="4702">
      <c r="A4702" s="2" t="s">
        <v>5651</v>
      </c>
      <c r="B4702" s="2" t="s">
        <v>5727</v>
      </c>
      <c r="D4702" s="2"/>
      <c r="G4702" s="2" t="s">
        <v>5653</v>
      </c>
    </row>
    <row r="4703">
      <c r="A4703" s="2" t="s">
        <v>5651</v>
      </c>
      <c r="B4703" s="2" t="s">
        <v>5728</v>
      </c>
      <c r="D4703" s="2"/>
      <c r="G4703" s="2" t="s">
        <v>5653</v>
      </c>
    </row>
    <row r="4704">
      <c r="A4704" s="2" t="s">
        <v>5651</v>
      </c>
      <c r="B4704" s="2" t="s">
        <v>5729</v>
      </c>
      <c r="D4704" s="2"/>
      <c r="G4704" s="2" t="s">
        <v>5653</v>
      </c>
    </row>
    <row r="4705">
      <c r="A4705" s="2" t="s">
        <v>5651</v>
      </c>
      <c r="B4705" s="2" t="s">
        <v>5730</v>
      </c>
      <c r="D4705" s="2"/>
      <c r="G4705" s="2" t="s">
        <v>5653</v>
      </c>
    </row>
    <row r="4706">
      <c r="A4706" s="2" t="s">
        <v>5651</v>
      </c>
      <c r="B4706" s="2" t="s">
        <v>5731</v>
      </c>
      <c r="D4706" s="2"/>
      <c r="G4706" s="2" t="s">
        <v>5653</v>
      </c>
    </row>
    <row r="4707">
      <c r="A4707" s="2" t="s">
        <v>5651</v>
      </c>
      <c r="B4707" s="2" t="s">
        <v>5732</v>
      </c>
      <c r="D4707" s="2"/>
      <c r="G4707" s="2" t="s">
        <v>5653</v>
      </c>
    </row>
    <row r="4708">
      <c r="A4708" s="2" t="s">
        <v>5651</v>
      </c>
      <c r="B4708" s="2" t="s">
        <v>5733</v>
      </c>
      <c r="D4708" s="2"/>
      <c r="G4708" s="2" t="s">
        <v>5653</v>
      </c>
    </row>
    <row r="4709">
      <c r="A4709" s="2" t="s">
        <v>5651</v>
      </c>
      <c r="B4709" s="2" t="s">
        <v>5734</v>
      </c>
      <c r="D4709" s="2"/>
      <c r="G4709" s="2" t="s">
        <v>5653</v>
      </c>
    </row>
    <row r="4710">
      <c r="A4710" s="2" t="s">
        <v>5651</v>
      </c>
      <c r="B4710" s="2" t="s">
        <v>5735</v>
      </c>
      <c r="D4710" s="2"/>
      <c r="G4710" s="2" t="s">
        <v>5653</v>
      </c>
    </row>
    <row r="4711">
      <c r="A4711" s="2" t="s">
        <v>5651</v>
      </c>
      <c r="B4711" s="2" t="s">
        <v>5736</v>
      </c>
      <c r="D4711" s="2"/>
      <c r="G4711" s="2" t="s">
        <v>5653</v>
      </c>
    </row>
    <row r="4712">
      <c r="A4712" s="2" t="s">
        <v>5651</v>
      </c>
      <c r="B4712" s="2" t="s">
        <v>5737</v>
      </c>
      <c r="D4712" s="2"/>
      <c r="G4712" s="2" t="s">
        <v>5653</v>
      </c>
    </row>
    <row r="4713">
      <c r="A4713" s="2" t="s">
        <v>5651</v>
      </c>
      <c r="B4713" s="2" t="s">
        <v>5738</v>
      </c>
      <c r="D4713" s="2"/>
      <c r="G4713" s="2" t="s">
        <v>5653</v>
      </c>
    </row>
    <row r="4714">
      <c r="A4714" s="2" t="s">
        <v>5651</v>
      </c>
      <c r="B4714" s="2" t="s">
        <v>5739</v>
      </c>
      <c r="D4714" s="2"/>
      <c r="G4714" s="2" t="s">
        <v>5653</v>
      </c>
    </row>
    <row r="4715">
      <c r="A4715" s="2" t="s">
        <v>5651</v>
      </c>
      <c r="B4715" s="2" t="s">
        <v>5740</v>
      </c>
      <c r="D4715" s="2"/>
      <c r="G4715" s="2" t="s">
        <v>5653</v>
      </c>
    </row>
    <row r="4716">
      <c r="A4716" s="2" t="s">
        <v>5651</v>
      </c>
      <c r="B4716" s="2" t="s">
        <v>5741</v>
      </c>
      <c r="D4716" s="2"/>
      <c r="G4716" s="2" t="s">
        <v>5653</v>
      </c>
    </row>
    <row r="4717">
      <c r="A4717" s="2" t="s">
        <v>5651</v>
      </c>
      <c r="B4717" s="2" t="s">
        <v>5742</v>
      </c>
      <c r="D4717" s="2"/>
      <c r="G4717" s="2" t="s">
        <v>5653</v>
      </c>
    </row>
    <row r="4718">
      <c r="A4718" s="2" t="s">
        <v>5651</v>
      </c>
      <c r="B4718" s="2" t="s">
        <v>5743</v>
      </c>
      <c r="D4718" s="2"/>
      <c r="G4718" s="2" t="s">
        <v>5653</v>
      </c>
    </row>
    <row r="4719">
      <c r="A4719" s="2" t="s">
        <v>5651</v>
      </c>
      <c r="B4719" s="2" t="s">
        <v>5744</v>
      </c>
      <c r="D4719" s="2"/>
      <c r="G4719" s="2" t="s">
        <v>5653</v>
      </c>
    </row>
    <row r="4720">
      <c r="A4720" s="2" t="s">
        <v>5651</v>
      </c>
      <c r="B4720" s="2" t="s">
        <v>5745</v>
      </c>
      <c r="D4720" s="2"/>
      <c r="G4720" s="2" t="s">
        <v>5653</v>
      </c>
    </row>
    <row r="4721">
      <c r="A4721" s="2" t="s">
        <v>5651</v>
      </c>
      <c r="B4721" s="2" t="s">
        <v>5746</v>
      </c>
      <c r="D4721" s="2"/>
      <c r="G4721" s="2" t="s">
        <v>5653</v>
      </c>
    </row>
    <row r="4722">
      <c r="A4722" s="2" t="s">
        <v>5651</v>
      </c>
      <c r="B4722" s="2" t="s">
        <v>5747</v>
      </c>
      <c r="D4722" s="2"/>
      <c r="G4722" s="2" t="s">
        <v>5653</v>
      </c>
    </row>
    <row r="4723">
      <c r="A4723" s="2" t="s">
        <v>5651</v>
      </c>
      <c r="B4723" s="2" t="s">
        <v>5748</v>
      </c>
      <c r="D4723" s="2"/>
      <c r="G4723" s="2" t="s">
        <v>5653</v>
      </c>
    </row>
    <row r="4724">
      <c r="A4724" s="2" t="s">
        <v>5651</v>
      </c>
      <c r="B4724" s="2" t="s">
        <v>5749</v>
      </c>
      <c r="D4724" s="2"/>
      <c r="G4724" s="2" t="s">
        <v>5653</v>
      </c>
    </row>
    <row r="4725">
      <c r="A4725" s="2" t="s">
        <v>5651</v>
      </c>
      <c r="B4725" s="2" t="s">
        <v>5750</v>
      </c>
      <c r="D4725" s="2"/>
      <c r="G4725" s="2" t="s">
        <v>5653</v>
      </c>
    </row>
    <row r="4726">
      <c r="A4726" s="2" t="s">
        <v>5651</v>
      </c>
      <c r="B4726" s="2" t="s">
        <v>5751</v>
      </c>
      <c r="D4726" s="2"/>
      <c r="G4726" s="2" t="s">
        <v>5653</v>
      </c>
    </row>
    <row r="4727">
      <c r="A4727" s="2" t="s">
        <v>5651</v>
      </c>
      <c r="B4727" s="2" t="s">
        <v>5752</v>
      </c>
      <c r="D4727" s="2"/>
      <c r="G4727" s="2" t="s">
        <v>5653</v>
      </c>
    </row>
    <row r="4728">
      <c r="A4728" s="2" t="s">
        <v>5651</v>
      </c>
      <c r="B4728" s="2" t="s">
        <v>5753</v>
      </c>
      <c r="D4728" s="2"/>
      <c r="G4728" s="2" t="s">
        <v>5653</v>
      </c>
    </row>
    <row r="4729">
      <c r="A4729" s="2" t="s">
        <v>5651</v>
      </c>
      <c r="B4729" s="2" t="s">
        <v>5754</v>
      </c>
      <c r="D4729" s="2"/>
      <c r="G4729" s="2" t="s">
        <v>5653</v>
      </c>
    </row>
    <row r="4730">
      <c r="A4730" s="2" t="s">
        <v>5651</v>
      </c>
      <c r="B4730" s="2" t="s">
        <v>5755</v>
      </c>
      <c r="D4730" s="2"/>
      <c r="G4730" s="2" t="s">
        <v>5653</v>
      </c>
    </row>
    <row r="4731">
      <c r="A4731" s="2" t="s">
        <v>5651</v>
      </c>
      <c r="B4731" s="2" t="s">
        <v>5756</v>
      </c>
      <c r="D4731" s="2"/>
      <c r="G4731" s="2" t="s">
        <v>5653</v>
      </c>
    </row>
    <row r="4732">
      <c r="A4732" s="2" t="s">
        <v>5651</v>
      </c>
      <c r="B4732" s="2" t="s">
        <v>5757</v>
      </c>
      <c r="D4732" s="2"/>
      <c r="G4732" s="2" t="s">
        <v>5653</v>
      </c>
    </row>
    <row r="4733">
      <c r="A4733" s="2" t="s">
        <v>5651</v>
      </c>
      <c r="B4733" s="2" t="s">
        <v>5758</v>
      </c>
      <c r="D4733" s="2"/>
      <c r="G4733" s="2" t="s">
        <v>5653</v>
      </c>
    </row>
    <row r="4734">
      <c r="A4734" s="2" t="s">
        <v>5651</v>
      </c>
      <c r="B4734" s="2" t="s">
        <v>5759</v>
      </c>
      <c r="D4734" s="2"/>
      <c r="G4734" s="2" t="s">
        <v>5653</v>
      </c>
    </row>
    <row r="4735">
      <c r="A4735" s="2" t="s">
        <v>5651</v>
      </c>
      <c r="B4735" s="2" t="s">
        <v>5760</v>
      </c>
      <c r="D4735" s="2"/>
      <c r="G4735" s="2" t="s">
        <v>5653</v>
      </c>
    </row>
    <row r="4736">
      <c r="A4736" s="2" t="s">
        <v>5651</v>
      </c>
      <c r="B4736" s="2" t="s">
        <v>5761</v>
      </c>
      <c r="D4736" s="2"/>
      <c r="G4736" s="2" t="s">
        <v>5653</v>
      </c>
    </row>
    <row r="4737">
      <c r="A4737" s="2" t="s">
        <v>5651</v>
      </c>
      <c r="B4737" s="2" t="s">
        <v>5762</v>
      </c>
      <c r="D4737" s="2"/>
      <c r="G4737" s="2" t="s">
        <v>5653</v>
      </c>
    </row>
    <row r="4738">
      <c r="A4738" s="2" t="s">
        <v>5651</v>
      </c>
      <c r="B4738" s="2" t="s">
        <v>5763</v>
      </c>
      <c r="D4738" s="2"/>
      <c r="G4738" s="2" t="s">
        <v>5653</v>
      </c>
    </row>
    <row r="4739">
      <c r="A4739" s="2" t="s">
        <v>5651</v>
      </c>
      <c r="B4739" s="2" t="s">
        <v>5764</v>
      </c>
      <c r="D4739" s="2"/>
      <c r="G4739" s="2" t="s">
        <v>5653</v>
      </c>
    </row>
    <row r="4740">
      <c r="A4740" s="2" t="s">
        <v>5651</v>
      </c>
      <c r="B4740" s="2" t="s">
        <v>5765</v>
      </c>
      <c r="D4740" s="2"/>
      <c r="G4740" s="2" t="s">
        <v>5653</v>
      </c>
    </row>
    <row r="4741">
      <c r="A4741" s="2" t="s">
        <v>5651</v>
      </c>
      <c r="B4741" s="2" t="s">
        <v>5766</v>
      </c>
      <c r="D4741" s="2"/>
      <c r="G4741" s="2" t="s">
        <v>5653</v>
      </c>
    </row>
    <row r="4742">
      <c r="A4742" s="2" t="s">
        <v>5651</v>
      </c>
      <c r="B4742" s="2" t="s">
        <v>5767</v>
      </c>
      <c r="D4742" s="2"/>
      <c r="G4742" s="2" t="s">
        <v>5653</v>
      </c>
    </row>
    <row r="4743">
      <c r="A4743" s="2" t="s">
        <v>5651</v>
      </c>
      <c r="B4743" s="2" t="s">
        <v>5768</v>
      </c>
      <c r="D4743" s="2"/>
      <c r="G4743" s="2" t="s">
        <v>5653</v>
      </c>
    </row>
    <row r="4744">
      <c r="A4744" s="2" t="s">
        <v>5651</v>
      </c>
      <c r="B4744" s="2" t="s">
        <v>5769</v>
      </c>
      <c r="D4744" s="2"/>
      <c r="G4744" s="2" t="s">
        <v>5653</v>
      </c>
    </row>
    <row r="4745">
      <c r="A4745" s="2" t="s">
        <v>5651</v>
      </c>
      <c r="B4745" s="2" t="s">
        <v>5770</v>
      </c>
      <c r="D4745" s="2"/>
      <c r="G4745" s="2" t="s">
        <v>5653</v>
      </c>
    </row>
    <row r="4746">
      <c r="A4746" s="2" t="s">
        <v>5651</v>
      </c>
      <c r="B4746" s="2" t="s">
        <v>5771</v>
      </c>
      <c r="D4746" s="2"/>
      <c r="G4746" s="2" t="s">
        <v>5653</v>
      </c>
    </row>
    <row r="4747">
      <c r="A4747" s="2" t="s">
        <v>5651</v>
      </c>
      <c r="B4747" s="2" t="s">
        <v>5772</v>
      </c>
      <c r="D4747" s="2"/>
      <c r="G4747" s="2" t="s">
        <v>5653</v>
      </c>
    </row>
    <row r="4748">
      <c r="A4748" s="2" t="s">
        <v>5651</v>
      </c>
      <c r="B4748" s="2" t="s">
        <v>5773</v>
      </c>
      <c r="D4748" s="2"/>
      <c r="G4748" s="2" t="s">
        <v>5653</v>
      </c>
    </row>
    <row r="4749">
      <c r="A4749" s="2" t="s">
        <v>5651</v>
      </c>
      <c r="B4749" s="2" t="s">
        <v>5774</v>
      </c>
      <c r="D4749" s="2"/>
      <c r="G4749" s="2" t="s">
        <v>5653</v>
      </c>
    </row>
    <row r="4750">
      <c r="A4750" s="2" t="s">
        <v>5651</v>
      </c>
      <c r="B4750" s="2" t="s">
        <v>5775</v>
      </c>
      <c r="D4750" s="2"/>
      <c r="G4750" s="2" t="s">
        <v>5653</v>
      </c>
    </row>
    <row r="4751">
      <c r="A4751" s="2" t="s">
        <v>5651</v>
      </c>
      <c r="B4751" s="2" t="s">
        <v>5776</v>
      </c>
      <c r="D4751" s="2"/>
      <c r="G4751" s="2" t="s">
        <v>5653</v>
      </c>
    </row>
    <row r="4752">
      <c r="A4752" s="2" t="s">
        <v>5651</v>
      </c>
      <c r="B4752" s="2" t="s">
        <v>5777</v>
      </c>
      <c r="D4752" s="2"/>
      <c r="G4752" s="2" t="s">
        <v>5653</v>
      </c>
    </row>
    <row r="4753">
      <c r="A4753" s="2" t="s">
        <v>5651</v>
      </c>
      <c r="B4753" s="2" t="s">
        <v>5778</v>
      </c>
      <c r="D4753" s="2"/>
      <c r="G4753" s="2" t="s">
        <v>5653</v>
      </c>
    </row>
    <row r="4754">
      <c r="A4754" s="2" t="s">
        <v>5651</v>
      </c>
      <c r="B4754" s="2" t="s">
        <v>5779</v>
      </c>
      <c r="D4754" s="2"/>
      <c r="G4754" s="2" t="s">
        <v>5653</v>
      </c>
    </row>
    <row r="4755">
      <c r="A4755" s="2" t="s">
        <v>5651</v>
      </c>
      <c r="B4755" s="2" t="s">
        <v>5780</v>
      </c>
      <c r="D4755" s="2"/>
      <c r="G4755" s="2" t="s">
        <v>5653</v>
      </c>
    </row>
    <row r="4756">
      <c r="A4756" s="2" t="s">
        <v>5651</v>
      </c>
      <c r="B4756" s="2" t="s">
        <v>5781</v>
      </c>
      <c r="D4756" s="2"/>
      <c r="G4756" s="2" t="s">
        <v>5653</v>
      </c>
    </row>
    <row r="4757">
      <c r="A4757" s="2" t="s">
        <v>5651</v>
      </c>
      <c r="B4757" s="2" t="s">
        <v>5782</v>
      </c>
      <c r="D4757" s="2"/>
      <c r="G4757" s="2" t="s">
        <v>5653</v>
      </c>
    </row>
    <row r="4758">
      <c r="A4758" s="2" t="s">
        <v>5651</v>
      </c>
      <c r="B4758" s="2" t="s">
        <v>5783</v>
      </c>
      <c r="D4758" s="2"/>
      <c r="G4758" s="2" t="s">
        <v>5653</v>
      </c>
    </row>
    <row r="4759">
      <c r="A4759" s="2" t="s">
        <v>5651</v>
      </c>
      <c r="B4759" s="2" t="s">
        <v>5784</v>
      </c>
      <c r="D4759" s="2"/>
      <c r="G4759" s="2" t="s">
        <v>5653</v>
      </c>
    </row>
    <row r="4760">
      <c r="A4760" s="2" t="s">
        <v>5651</v>
      </c>
      <c r="B4760" s="2" t="s">
        <v>5785</v>
      </c>
      <c r="D4760" s="2"/>
      <c r="G4760" s="2" t="s">
        <v>5653</v>
      </c>
    </row>
    <row r="4761">
      <c r="A4761" s="2" t="s">
        <v>5651</v>
      </c>
      <c r="B4761" s="2" t="s">
        <v>5786</v>
      </c>
      <c r="D4761" s="2"/>
      <c r="G4761" s="2" t="s">
        <v>5653</v>
      </c>
    </row>
    <row r="4762">
      <c r="A4762" s="2" t="s">
        <v>5651</v>
      </c>
      <c r="B4762" s="2" t="s">
        <v>5787</v>
      </c>
      <c r="D4762" s="2"/>
      <c r="G4762" s="2" t="s">
        <v>5653</v>
      </c>
    </row>
    <row r="4763">
      <c r="A4763" s="2" t="s">
        <v>5651</v>
      </c>
      <c r="B4763" s="2" t="s">
        <v>5788</v>
      </c>
      <c r="D4763" s="2"/>
      <c r="G4763" s="2" t="s">
        <v>5653</v>
      </c>
    </row>
    <row r="4764">
      <c r="A4764" s="2" t="s">
        <v>5651</v>
      </c>
      <c r="B4764" s="2" t="s">
        <v>5789</v>
      </c>
      <c r="D4764" s="2"/>
      <c r="G4764" s="2" t="s">
        <v>5653</v>
      </c>
    </row>
    <row r="4765">
      <c r="A4765" s="2" t="s">
        <v>5651</v>
      </c>
      <c r="B4765" s="2" t="s">
        <v>5790</v>
      </c>
      <c r="D4765" s="2"/>
      <c r="G4765" s="2" t="s">
        <v>5653</v>
      </c>
    </row>
    <row r="4766">
      <c r="A4766" s="2" t="s">
        <v>5651</v>
      </c>
      <c r="B4766" s="2" t="s">
        <v>5791</v>
      </c>
      <c r="D4766" s="2"/>
      <c r="G4766" s="2" t="s">
        <v>5653</v>
      </c>
    </row>
    <row r="4767">
      <c r="A4767" s="2" t="s">
        <v>5651</v>
      </c>
      <c r="B4767" s="2" t="s">
        <v>5792</v>
      </c>
      <c r="D4767" s="2"/>
      <c r="G4767" s="2" t="s">
        <v>5653</v>
      </c>
    </row>
    <row r="4768">
      <c r="A4768" s="2" t="s">
        <v>5651</v>
      </c>
      <c r="B4768" s="2" t="s">
        <v>5793</v>
      </c>
      <c r="D4768" s="2"/>
      <c r="G4768" s="2" t="s">
        <v>5653</v>
      </c>
    </row>
    <row r="4769">
      <c r="A4769" s="2" t="s">
        <v>5651</v>
      </c>
      <c r="B4769" s="2" t="s">
        <v>5794</v>
      </c>
      <c r="D4769" s="2"/>
      <c r="G4769" s="2" t="s">
        <v>5653</v>
      </c>
    </row>
    <row r="4770">
      <c r="A4770" s="2" t="s">
        <v>5651</v>
      </c>
      <c r="B4770" s="2" t="s">
        <v>5795</v>
      </c>
      <c r="D4770" s="2"/>
      <c r="G4770" s="2" t="s">
        <v>5653</v>
      </c>
    </row>
    <row r="4771">
      <c r="A4771" s="2" t="s">
        <v>5651</v>
      </c>
      <c r="B4771" s="2" t="s">
        <v>5796</v>
      </c>
      <c r="D4771" s="2"/>
      <c r="G4771" s="2" t="s">
        <v>5653</v>
      </c>
    </row>
    <row r="4772">
      <c r="A4772" s="2" t="s">
        <v>5651</v>
      </c>
      <c r="B4772" s="2" t="s">
        <v>5797</v>
      </c>
      <c r="D4772" s="2"/>
      <c r="G4772" s="2" t="s">
        <v>5653</v>
      </c>
    </row>
    <row r="4773">
      <c r="A4773" s="2" t="s">
        <v>5651</v>
      </c>
      <c r="B4773" s="2" t="s">
        <v>5798</v>
      </c>
      <c r="D4773" s="2"/>
      <c r="G4773" s="2" t="s">
        <v>5653</v>
      </c>
    </row>
    <row r="4774">
      <c r="A4774" s="2" t="s">
        <v>5651</v>
      </c>
      <c r="B4774" s="2" t="s">
        <v>5799</v>
      </c>
      <c r="D4774" s="2"/>
      <c r="G4774" s="2" t="s">
        <v>5653</v>
      </c>
    </row>
    <row r="4775">
      <c r="A4775" s="2" t="s">
        <v>5651</v>
      </c>
      <c r="B4775" s="2" t="s">
        <v>5800</v>
      </c>
      <c r="D4775" s="2"/>
      <c r="G4775" s="2" t="s">
        <v>5653</v>
      </c>
    </row>
    <row r="4776">
      <c r="A4776" s="2" t="s">
        <v>5651</v>
      </c>
      <c r="B4776" s="2" t="s">
        <v>5801</v>
      </c>
      <c r="D4776" s="2"/>
      <c r="G4776" s="2" t="s">
        <v>5653</v>
      </c>
    </row>
    <row r="4777">
      <c r="A4777" s="2" t="s">
        <v>5651</v>
      </c>
      <c r="B4777" s="2" t="s">
        <v>5802</v>
      </c>
      <c r="D4777" s="2"/>
      <c r="G4777" s="2" t="s">
        <v>5653</v>
      </c>
    </row>
    <row r="4778">
      <c r="A4778" s="2" t="s">
        <v>5651</v>
      </c>
      <c r="B4778" s="2" t="s">
        <v>5803</v>
      </c>
      <c r="D4778" s="2"/>
      <c r="G4778" s="2" t="s">
        <v>5653</v>
      </c>
    </row>
    <row r="4779">
      <c r="A4779" s="2" t="s">
        <v>5651</v>
      </c>
      <c r="B4779" s="2" t="s">
        <v>5804</v>
      </c>
      <c r="D4779" s="2"/>
      <c r="G4779" s="2" t="s">
        <v>5653</v>
      </c>
    </row>
    <row r="4780">
      <c r="A4780" s="2" t="s">
        <v>5651</v>
      </c>
      <c r="B4780" s="2" t="s">
        <v>5805</v>
      </c>
      <c r="D4780" s="2"/>
      <c r="G4780" s="2" t="s">
        <v>5653</v>
      </c>
    </row>
    <row r="4781">
      <c r="A4781" s="2" t="s">
        <v>5651</v>
      </c>
      <c r="B4781" s="2" t="s">
        <v>5806</v>
      </c>
      <c r="D4781" s="2"/>
      <c r="G4781" s="2" t="s">
        <v>5653</v>
      </c>
    </row>
    <row r="4782">
      <c r="A4782" s="2" t="s">
        <v>5651</v>
      </c>
      <c r="B4782" s="2" t="s">
        <v>5807</v>
      </c>
      <c r="D4782" s="2"/>
      <c r="G4782" s="2" t="s">
        <v>5653</v>
      </c>
    </row>
    <row r="4783">
      <c r="A4783" s="2" t="s">
        <v>5651</v>
      </c>
      <c r="B4783" s="2" t="s">
        <v>5808</v>
      </c>
      <c r="D4783" s="2"/>
      <c r="G4783" s="2" t="s">
        <v>5653</v>
      </c>
    </row>
    <row r="4784">
      <c r="A4784" s="2" t="s">
        <v>5651</v>
      </c>
      <c r="B4784" s="2" t="s">
        <v>5809</v>
      </c>
      <c r="D4784" s="2"/>
      <c r="G4784" s="2" t="s">
        <v>5653</v>
      </c>
    </row>
    <row r="4785">
      <c r="A4785" s="2" t="s">
        <v>5651</v>
      </c>
      <c r="B4785" s="2" t="s">
        <v>5810</v>
      </c>
      <c r="D4785" s="2"/>
      <c r="G4785" s="2" t="s">
        <v>5653</v>
      </c>
    </row>
    <row r="4786">
      <c r="A4786" s="2" t="s">
        <v>5651</v>
      </c>
      <c r="B4786" s="2" t="s">
        <v>5811</v>
      </c>
      <c r="D4786" s="2"/>
      <c r="G4786" s="2" t="s">
        <v>5653</v>
      </c>
    </row>
    <row r="4787">
      <c r="A4787" s="2" t="s">
        <v>5651</v>
      </c>
      <c r="B4787" s="2" t="s">
        <v>5812</v>
      </c>
      <c r="D4787" s="2"/>
      <c r="G4787" s="2" t="s">
        <v>5653</v>
      </c>
    </row>
    <row r="4788">
      <c r="A4788" s="2" t="s">
        <v>5651</v>
      </c>
      <c r="B4788" s="2" t="s">
        <v>5813</v>
      </c>
      <c r="D4788" s="2"/>
      <c r="G4788" s="2" t="s">
        <v>5653</v>
      </c>
    </row>
    <row r="4789">
      <c r="A4789" s="2" t="s">
        <v>5651</v>
      </c>
      <c r="B4789" s="2" t="s">
        <v>5814</v>
      </c>
      <c r="D4789" s="2"/>
      <c r="G4789" s="2" t="s">
        <v>5653</v>
      </c>
    </row>
    <row r="4790">
      <c r="A4790" s="2" t="s">
        <v>5651</v>
      </c>
      <c r="B4790" s="2" t="s">
        <v>5815</v>
      </c>
      <c r="D4790" s="2"/>
      <c r="G4790" s="2" t="s">
        <v>5653</v>
      </c>
    </row>
    <row r="4791">
      <c r="A4791" s="2" t="s">
        <v>5651</v>
      </c>
      <c r="B4791" s="2" t="s">
        <v>5816</v>
      </c>
      <c r="D4791" s="2"/>
      <c r="G4791" s="2" t="s">
        <v>5653</v>
      </c>
    </row>
    <row r="4792">
      <c r="A4792" s="2" t="s">
        <v>5651</v>
      </c>
      <c r="B4792" s="2" t="s">
        <v>5817</v>
      </c>
      <c r="D4792" s="2"/>
      <c r="G4792" s="2" t="s">
        <v>5653</v>
      </c>
    </row>
    <row r="4793">
      <c r="A4793" s="2" t="s">
        <v>5651</v>
      </c>
      <c r="B4793" s="2" t="s">
        <v>5818</v>
      </c>
      <c r="D4793" s="2"/>
      <c r="G4793" s="2" t="s">
        <v>5653</v>
      </c>
    </row>
    <row r="4794">
      <c r="A4794" s="2" t="s">
        <v>5651</v>
      </c>
      <c r="B4794" s="2" t="s">
        <v>5819</v>
      </c>
      <c r="D4794" s="2"/>
      <c r="G4794" s="2" t="s">
        <v>5653</v>
      </c>
    </row>
    <row r="4795">
      <c r="A4795" s="2" t="s">
        <v>5651</v>
      </c>
      <c r="B4795" s="2" t="s">
        <v>5820</v>
      </c>
      <c r="D4795" s="2"/>
      <c r="G4795" s="2" t="s">
        <v>5653</v>
      </c>
    </row>
    <row r="4796">
      <c r="A4796" s="2" t="s">
        <v>5651</v>
      </c>
      <c r="B4796" s="2" t="s">
        <v>5821</v>
      </c>
      <c r="D4796" s="2"/>
      <c r="G4796" s="2" t="s">
        <v>5653</v>
      </c>
    </row>
    <row r="4797">
      <c r="A4797" s="2" t="s">
        <v>5651</v>
      </c>
      <c r="B4797" s="2" t="s">
        <v>5822</v>
      </c>
      <c r="D4797" s="2"/>
      <c r="G4797" s="2" t="s">
        <v>5653</v>
      </c>
    </row>
    <row r="4798">
      <c r="A4798" s="2" t="s">
        <v>5651</v>
      </c>
      <c r="B4798" s="2" t="s">
        <v>5823</v>
      </c>
      <c r="D4798" s="2"/>
      <c r="G4798" s="2" t="s">
        <v>5653</v>
      </c>
    </row>
    <row r="4799">
      <c r="A4799" s="2" t="s">
        <v>5651</v>
      </c>
      <c r="B4799" s="2" t="s">
        <v>5824</v>
      </c>
      <c r="D4799" s="2"/>
      <c r="G4799" s="2" t="s">
        <v>5653</v>
      </c>
    </row>
    <row r="4800">
      <c r="A4800" s="2" t="s">
        <v>5651</v>
      </c>
      <c r="B4800" s="2" t="s">
        <v>5825</v>
      </c>
      <c r="D4800" s="2"/>
      <c r="G4800" s="2" t="s">
        <v>5653</v>
      </c>
    </row>
    <row r="4801">
      <c r="A4801" s="2" t="s">
        <v>5651</v>
      </c>
      <c r="B4801" s="2" t="s">
        <v>5826</v>
      </c>
      <c r="D4801" s="2"/>
      <c r="G4801" s="2" t="s">
        <v>5653</v>
      </c>
    </row>
    <row r="4802">
      <c r="A4802" s="2" t="s">
        <v>5651</v>
      </c>
      <c r="B4802" s="2" t="s">
        <v>5827</v>
      </c>
      <c r="D4802" s="2"/>
      <c r="G4802" s="2" t="s">
        <v>5653</v>
      </c>
    </row>
    <row r="4803">
      <c r="A4803" s="2" t="s">
        <v>5651</v>
      </c>
      <c r="B4803" s="2" t="s">
        <v>5828</v>
      </c>
      <c r="D4803" s="2"/>
      <c r="G4803" s="2" t="s">
        <v>5653</v>
      </c>
    </row>
    <row r="4804">
      <c r="A4804" s="2" t="s">
        <v>5651</v>
      </c>
      <c r="B4804" s="2" t="s">
        <v>5829</v>
      </c>
      <c r="D4804" s="2"/>
      <c r="G4804" s="2" t="s">
        <v>5653</v>
      </c>
    </row>
    <row r="4805">
      <c r="A4805" s="2" t="s">
        <v>5651</v>
      </c>
      <c r="B4805" s="2" t="s">
        <v>5830</v>
      </c>
      <c r="D4805" s="2"/>
      <c r="G4805" s="2" t="s">
        <v>5653</v>
      </c>
    </row>
    <row r="4806">
      <c r="A4806" s="2" t="s">
        <v>5651</v>
      </c>
      <c r="B4806" s="2" t="s">
        <v>5831</v>
      </c>
      <c r="D4806" s="2"/>
      <c r="G4806" s="2" t="s">
        <v>5653</v>
      </c>
    </row>
    <row r="4807">
      <c r="A4807" s="2" t="s">
        <v>5651</v>
      </c>
      <c r="B4807" s="2" t="s">
        <v>5832</v>
      </c>
      <c r="D4807" s="2"/>
      <c r="G4807" s="2" t="s">
        <v>5653</v>
      </c>
    </row>
    <row r="4808">
      <c r="A4808" s="2" t="s">
        <v>5651</v>
      </c>
      <c r="B4808" s="2" t="s">
        <v>5833</v>
      </c>
      <c r="D4808" s="2"/>
      <c r="G4808" s="2" t="s">
        <v>5653</v>
      </c>
    </row>
    <row r="4809">
      <c r="A4809" s="2" t="s">
        <v>5651</v>
      </c>
      <c r="B4809" s="2" t="s">
        <v>5834</v>
      </c>
      <c r="D4809" s="2"/>
      <c r="G4809" s="2" t="s">
        <v>5653</v>
      </c>
    </row>
    <row r="4810">
      <c r="A4810" s="2" t="s">
        <v>5651</v>
      </c>
      <c r="B4810" s="2" t="s">
        <v>5835</v>
      </c>
      <c r="D4810" s="2"/>
      <c r="G4810" s="2" t="s">
        <v>5653</v>
      </c>
    </row>
    <row r="4811">
      <c r="A4811" s="2" t="s">
        <v>5651</v>
      </c>
      <c r="B4811" s="2" t="s">
        <v>5836</v>
      </c>
      <c r="D4811" s="2"/>
      <c r="G4811" s="2" t="s">
        <v>5653</v>
      </c>
    </row>
    <row r="4812">
      <c r="A4812" s="2" t="s">
        <v>5651</v>
      </c>
      <c r="B4812" s="2" t="s">
        <v>5837</v>
      </c>
      <c r="D4812" s="2"/>
      <c r="G4812" s="2" t="s">
        <v>5653</v>
      </c>
    </row>
    <row r="4813">
      <c r="A4813" s="2" t="s">
        <v>5651</v>
      </c>
      <c r="B4813" s="2" t="s">
        <v>5838</v>
      </c>
      <c r="D4813" s="2"/>
      <c r="G4813" s="2" t="s">
        <v>5653</v>
      </c>
    </row>
    <row r="4814">
      <c r="A4814" s="2" t="s">
        <v>5651</v>
      </c>
      <c r="B4814" s="2" t="s">
        <v>5839</v>
      </c>
      <c r="D4814" s="2"/>
      <c r="G4814" s="2" t="s">
        <v>5653</v>
      </c>
    </row>
    <row r="4815">
      <c r="A4815" s="2" t="s">
        <v>5651</v>
      </c>
      <c r="B4815" s="2" t="s">
        <v>5840</v>
      </c>
      <c r="D4815" s="2"/>
      <c r="G4815" s="2" t="s">
        <v>5653</v>
      </c>
    </row>
    <row r="4816">
      <c r="A4816" s="2" t="s">
        <v>5651</v>
      </c>
      <c r="B4816" s="2" t="s">
        <v>5841</v>
      </c>
      <c r="D4816" s="2"/>
      <c r="G4816" s="2" t="s">
        <v>5653</v>
      </c>
    </row>
    <row r="4817">
      <c r="A4817" s="2" t="s">
        <v>5651</v>
      </c>
      <c r="B4817" s="2" t="s">
        <v>5842</v>
      </c>
      <c r="D4817" s="2"/>
      <c r="G4817" s="2" t="s">
        <v>5653</v>
      </c>
    </row>
    <row r="4818">
      <c r="A4818" s="2" t="s">
        <v>5651</v>
      </c>
      <c r="B4818" s="2" t="s">
        <v>5843</v>
      </c>
      <c r="D4818" s="2"/>
      <c r="G4818" s="2" t="s">
        <v>5653</v>
      </c>
    </row>
    <row r="4819">
      <c r="A4819" s="2" t="s">
        <v>5651</v>
      </c>
      <c r="B4819" s="2" t="s">
        <v>5844</v>
      </c>
      <c r="D4819" s="2"/>
      <c r="G4819" s="2" t="s">
        <v>5653</v>
      </c>
    </row>
    <row r="4820">
      <c r="A4820" s="2" t="s">
        <v>5651</v>
      </c>
      <c r="B4820" s="2" t="s">
        <v>5845</v>
      </c>
      <c r="D4820" s="2"/>
      <c r="G4820" s="2" t="s">
        <v>5653</v>
      </c>
    </row>
    <row r="4821">
      <c r="A4821" s="2" t="s">
        <v>5651</v>
      </c>
      <c r="B4821" s="2" t="s">
        <v>5846</v>
      </c>
      <c r="D4821" s="2"/>
      <c r="G4821" s="2" t="s">
        <v>5653</v>
      </c>
    </row>
    <row r="4822">
      <c r="A4822" s="2" t="s">
        <v>5651</v>
      </c>
      <c r="B4822" s="2" t="s">
        <v>5847</v>
      </c>
      <c r="D4822" s="2"/>
      <c r="G4822" s="2" t="s">
        <v>5653</v>
      </c>
    </row>
    <row r="4823">
      <c r="A4823" s="2" t="s">
        <v>5651</v>
      </c>
      <c r="B4823" s="2" t="s">
        <v>5848</v>
      </c>
      <c r="D4823" s="2"/>
      <c r="G4823" s="2" t="s">
        <v>5653</v>
      </c>
    </row>
    <row r="4824">
      <c r="A4824" s="2" t="s">
        <v>5651</v>
      </c>
      <c r="B4824" s="2" t="s">
        <v>5849</v>
      </c>
      <c r="D4824" s="2"/>
      <c r="G4824" s="2" t="s">
        <v>5653</v>
      </c>
    </row>
    <row r="4825">
      <c r="A4825" s="2" t="s">
        <v>5651</v>
      </c>
      <c r="B4825" s="2" t="s">
        <v>5850</v>
      </c>
      <c r="D4825" s="2"/>
      <c r="G4825" s="2" t="s">
        <v>5653</v>
      </c>
    </row>
    <row r="4826">
      <c r="A4826" s="2" t="s">
        <v>5651</v>
      </c>
      <c r="B4826" s="2" t="s">
        <v>5851</v>
      </c>
      <c r="D4826" s="2"/>
      <c r="G4826" s="2" t="s">
        <v>5653</v>
      </c>
    </row>
    <row r="4827">
      <c r="A4827" s="2" t="s">
        <v>5651</v>
      </c>
      <c r="B4827" s="2" t="s">
        <v>5852</v>
      </c>
      <c r="D4827" s="2"/>
      <c r="G4827" s="2" t="s">
        <v>5653</v>
      </c>
    </row>
    <row r="4828">
      <c r="A4828" s="2" t="s">
        <v>5651</v>
      </c>
      <c r="B4828" s="2" t="s">
        <v>5853</v>
      </c>
      <c r="D4828" s="2"/>
      <c r="G4828" s="2" t="s">
        <v>5653</v>
      </c>
    </row>
    <row r="4829">
      <c r="A4829" s="2" t="s">
        <v>5651</v>
      </c>
      <c r="B4829" s="2" t="s">
        <v>5854</v>
      </c>
      <c r="D4829" s="2"/>
      <c r="G4829" s="2" t="s">
        <v>5653</v>
      </c>
    </row>
    <row r="4830">
      <c r="A4830" s="2" t="s">
        <v>5651</v>
      </c>
      <c r="B4830" s="2" t="s">
        <v>5855</v>
      </c>
      <c r="D4830" s="2"/>
      <c r="G4830" s="2" t="s">
        <v>5653</v>
      </c>
    </row>
    <row r="4831">
      <c r="A4831" s="2" t="s">
        <v>5651</v>
      </c>
      <c r="B4831" s="2" t="s">
        <v>5856</v>
      </c>
      <c r="D4831" s="2"/>
      <c r="G4831" s="2" t="s">
        <v>5653</v>
      </c>
    </row>
    <row r="4832">
      <c r="A4832" s="2" t="s">
        <v>5651</v>
      </c>
      <c r="B4832" s="2" t="s">
        <v>5857</v>
      </c>
      <c r="D4832" s="2"/>
      <c r="G4832" s="2" t="s">
        <v>5653</v>
      </c>
    </row>
    <row r="4833">
      <c r="A4833" s="2" t="s">
        <v>5651</v>
      </c>
      <c r="B4833" s="2" t="s">
        <v>5858</v>
      </c>
      <c r="D4833" s="2"/>
      <c r="G4833" s="2" t="s">
        <v>5653</v>
      </c>
    </row>
    <row r="4834">
      <c r="A4834" s="2" t="s">
        <v>5651</v>
      </c>
      <c r="B4834" s="2" t="s">
        <v>5859</v>
      </c>
      <c r="D4834" s="2"/>
      <c r="G4834" s="2" t="s">
        <v>5653</v>
      </c>
    </row>
    <row r="4835">
      <c r="A4835" s="2" t="s">
        <v>5651</v>
      </c>
      <c r="B4835" s="2" t="s">
        <v>5860</v>
      </c>
      <c r="D4835" s="2"/>
      <c r="G4835" s="2" t="s">
        <v>5653</v>
      </c>
    </row>
    <row r="4836">
      <c r="A4836" s="2" t="s">
        <v>5651</v>
      </c>
      <c r="B4836" s="2" t="s">
        <v>5861</v>
      </c>
      <c r="D4836" s="2"/>
      <c r="G4836" s="2" t="s">
        <v>5653</v>
      </c>
    </row>
    <row r="4837">
      <c r="A4837" s="2" t="s">
        <v>5651</v>
      </c>
      <c r="B4837" s="2" t="s">
        <v>5862</v>
      </c>
      <c r="D4837" s="2"/>
      <c r="G4837" s="2" t="s">
        <v>5653</v>
      </c>
    </row>
    <row r="4838">
      <c r="A4838" s="2" t="s">
        <v>5651</v>
      </c>
      <c r="B4838" s="2" t="s">
        <v>5863</v>
      </c>
      <c r="D4838" s="2"/>
      <c r="G4838" s="2" t="s">
        <v>5653</v>
      </c>
    </row>
    <row r="4839">
      <c r="A4839" s="2" t="s">
        <v>5651</v>
      </c>
      <c r="B4839" s="2" t="s">
        <v>5864</v>
      </c>
      <c r="D4839" s="2"/>
      <c r="G4839" s="2" t="s">
        <v>5653</v>
      </c>
    </row>
    <row r="4840">
      <c r="A4840" s="2" t="s">
        <v>5651</v>
      </c>
      <c r="B4840" s="2" t="s">
        <v>5865</v>
      </c>
      <c r="D4840" s="2"/>
      <c r="G4840" s="2" t="s">
        <v>5653</v>
      </c>
    </row>
    <row r="4841">
      <c r="A4841" s="2" t="s">
        <v>5651</v>
      </c>
      <c r="B4841" s="2" t="s">
        <v>5866</v>
      </c>
      <c r="D4841" s="2"/>
      <c r="G4841" s="2" t="s">
        <v>5653</v>
      </c>
    </row>
    <row r="4842">
      <c r="A4842" s="2" t="s">
        <v>5651</v>
      </c>
      <c r="B4842" s="2" t="s">
        <v>5867</v>
      </c>
      <c r="D4842" s="2"/>
      <c r="G4842" s="2" t="s">
        <v>5653</v>
      </c>
    </row>
    <row r="4843">
      <c r="A4843" s="2" t="s">
        <v>5651</v>
      </c>
      <c r="B4843" s="2" t="s">
        <v>5868</v>
      </c>
      <c r="D4843" s="2"/>
      <c r="G4843" s="2" t="s">
        <v>5653</v>
      </c>
    </row>
    <row r="4844">
      <c r="A4844" s="2" t="s">
        <v>5651</v>
      </c>
      <c r="B4844" s="2" t="s">
        <v>5869</v>
      </c>
      <c r="D4844" s="2"/>
      <c r="G4844" s="2" t="s">
        <v>5653</v>
      </c>
    </row>
    <row r="4845">
      <c r="A4845" s="2" t="s">
        <v>5651</v>
      </c>
      <c r="B4845" s="2" t="s">
        <v>5870</v>
      </c>
      <c r="D4845" s="2"/>
      <c r="G4845" s="2" t="s">
        <v>5653</v>
      </c>
    </row>
    <row r="4846">
      <c r="A4846" s="2" t="s">
        <v>5651</v>
      </c>
      <c r="B4846" s="2" t="s">
        <v>5871</v>
      </c>
      <c r="D4846" s="2"/>
      <c r="G4846" s="2" t="s">
        <v>5653</v>
      </c>
    </row>
    <row r="4847">
      <c r="A4847" s="2" t="s">
        <v>5651</v>
      </c>
      <c r="B4847" s="2" t="s">
        <v>5872</v>
      </c>
      <c r="D4847" s="2"/>
      <c r="G4847" s="2" t="s">
        <v>5653</v>
      </c>
    </row>
    <row r="4848">
      <c r="A4848" s="2" t="s">
        <v>5651</v>
      </c>
      <c r="B4848" s="2" t="s">
        <v>5873</v>
      </c>
      <c r="D4848" s="2"/>
      <c r="G4848" s="2" t="s">
        <v>5653</v>
      </c>
    </row>
    <row r="4849">
      <c r="A4849" s="2" t="s">
        <v>5651</v>
      </c>
      <c r="B4849" s="2" t="s">
        <v>5874</v>
      </c>
      <c r="D4849" s="2"/>
      <c r="G4849" s="2" t="s">
        <v>5653</v>
      </c>
    </row>
    <row r="4850">
      <c r="A4850" s="2" t="s">
        <v>5651</v>
      </c>
      <c r="B4850" s="2" t="s">
        <v>5875</v>
      </c>
      <c r="D4850" s="2"/>
      <c r="G4850" s="2" t="s">
        <v>5653</v>
      </c>
    </row>
    <row r="4851">
      <c r="A4851" s="2" t="s">
        <v>5651</v>
      </c>
      <c r="B4851" s="2" t="s">
        <v>5876</v>
      </c>
      <c r="D4851" s="2"/>
      <c r="G4851" s="2" t="s">
        <v>5653</v>
      </c>
    </row>
    <row r="4852">
      <c r="A4852" s="2" t="s">
        <v>5651</v>
      </c>
      <c r="B4852" s="2" t="s">
        <v>5877</v>
      </c>
      <c r="D4852" s="2"/>
      <c r="G4852" s="2" t="s">
        <v>5653</v>
      </c>
    </row>
    <row r="4853">
      <c r="A4853" s="2" t="s">
        <v>5651</v>
      </c>
      <c r="B4853" s="2" t="s">
        <v>5878</v>
      </c>
      <c r="D4853" s="2"/>
      <c r="G4853" s="2" t="s">
        <v>5653</v>
      </c>
    </row>
    <row r="4854">
      <c r="A4854" s="2" t="s">
        <v>5651</v>
      </c>
      <c r="B4854" s="2" t="s">
        <v>5879</v>
      </c>
      <c r="D4854" s="2"/>
      <c r="G4854" s="2" t="s">
        <v>5653</v>
      </c>
    </row>
    <row r="4855">
      <c r="A4855" s="2" t="s">
        <v>5651</v>
      </c>
      <c r="B4855" s="2" t="s">
        <v>5880</v>
      </c>
      <c r="D4855" s="2"/>
      <c r="G4855" s="2" t="s">
        <v>5653</v>
      </c>
    </row>
    <row r="4856">
      <c r="A4856" s="2" t="s">
        <v>5651</v>
      </c>
      <c r="B4856" s="2" t="s">
        <v>5881</v>
      </c>
      <c r="D4856" s="2"/>
      <c r="G4856" s="2" t="s">
        <v>5653</v>
      </c>
    </row>
    <row r="4857">
      <c r="A4857" s="2" t="s">
        <v>5651</v>
      </c>
      <c r="B4857" s="2" t="s">
        <v>5882</v>
      </c>
      <c r="D4857" s="2"/>
      <c r="G4857" s="2" t="s">
        <v>5653</v>
      </c>
    </row>
    <row r="4858">
      <c r="A4858" s="2" t="s">
        <v>5651</v>
      </c>
      <c r="B4858" s="2" t="s">
        <v>5883</v>
      </c>
      <c r="D4858" s="2"/>
      <c r="G4858" s="2" t="s">
        <v>5653</v>
      </c>
    </row>
    <row r="4859">
      <c r="A4859" s="2" t="s">
        <v>5651</v>
      </c>
      <c r="B4859" s="2" t="s">
        <v>5884</v>
      </c>
      <c r="D4859" s="2"/>
      <c r="G4859" s="2" t="s">
        <v>5653</v>
      </c>
    </row>
    <row r="4860">
      <c r="A4860" s="2" t="s">
        <v>5651</v>
      </c>
      <c r="B4860" s="2" t="s">
        <v>5885</v>
      </c>
      <c r="D4860" s="2"/>
      <c r="G4860" s="2" t="s">
        <v>5653</v>
      </c>
    </row>
    <row r="4861">
      <c r="A4861" s="2" t="s">
        <v>5651</v>
      </c>
      <c r="B4861" s="2" t="s">
        <v>5886</v>
      </c>
      <c r="D4861" s="2"/>
      <c r="G4861" s="2" t="s">
        <v>5653</v>
      </c>
    </row>
    <row r="4862">
      <c r="A4862" s="2" t="s">
        <v>5651</v>
      </c>
      <c r="B4862" s="2" t="s">
        <v>5887</v>
      </c>
      <c r="D4862" s="2"/>
      <c r="G4862" s="2" t="s">
        <v>5653</v>
      </c>
    </row>
    <row r="4863">
      <c r="A4863" s="2" t="s">
        <v>5651</v>
      </c>
      <c r="B4863" s="2" t="s">
        <v>5888</v>
      </c>
      <c r="D4863" s="2"/>
      <c r="G4863" s="2" t="s">
        <v>5653</v>
      </c>
    </row>
    <row r="4864">
      <c r="A4864" s="2" t="s">
        <v>5651</v>
      </c>
      <c r="B4864" s="2" t="s">
        <v>5889</v>
      </c>
      <c r="D4864" s="2"/>
      <c r="G4864" s="2" t="s">
        <v>5653</v>
      </c>
    </row>
    <row r="4865">
      <c r="A4865" s="2" t="s">
        <v>5651</v>
      </c>
      <c r="B4865" s="2" t="s">
        <v>5890</v>
      </c>
      <c r="D4865" s="2"/>
      <c r="G4865" s="2" t="s">
        <v>5653</v>
      </c>
    </row>
    <row r="4866">
      <c r="A4866" s="2" t="s">
        <v>5651</v>
      </c>
      <c r="B4866" s="2" t="s">
        <v>5891</v>
      </c>
      <c r="D4866" s="2"/>
      <c r="G4866" s="2" t="s">
        <v>5653</v>
      </c>
    </row>
    <row r="4867">
      <c r="A4867" s="2" t="s">
        <v>5651</v>
      </c>
      <c r="B4867" s="2" t="s">
        <v>5892</v>
      </c>
      <c r="D4867" s="2"/>
      <c r="G4867" s="2" t="s">
        <v>5653</v>
      </c>
    </row>
    <row r="4868">
      <c r="A4868" s="2" t="s">
        <v>5651</v>
      </c>
      <c r="B4868" s="2" t="s">
        <v>5893</v>
      </c>
      <c r="D4868" s="2"/>
      <c r="G4868" s="2" t="s">
        <v>5653</v>
      </c>
    </row>
    <row r="4869">
      <c r="A4869" s="2" t="s">
        <v>5651</v>
      </c>
      <c r="B4869" s="2" t="s">
        <v>5894</v>
      </c>
      <c r="D4869" s="2"/>
      <c r="G4869" s="2" t="s">
        <v>5653</v>
      </c>
    </row>
    <row r="4870">
      <c r="A4870" s="2" t="s">
        <v>5651</v>
      </c>
      <c r="B4870" s="2" t="s">
        <v>5895</v>
      </c>
      <c r="D4870" s="2"/>
      <c r="G4870" s="2" t="s">
        <v>5653</v>
      </c>
    </row>
    <row r="4871">
      <c r="A4871" s="2" t="s">
        <v>5651</v>
      </c>
      <c r="B4871" s="2" t="s">
        <v>5896</v>
      </c>
      <c r="D4871" s="2"/>
      <c r="G4871" s="2" t="s">
        <v>5653</v>
      </c>
    </row>
    <row r="4872">
      <c r="A4872" s="2" t="s">
        <v>5651</v>
      </c>
      <c r="B4872" s="2" t="s">
        <v>5897</v>
      </c>
      <c r="D4872" s="2"/>
      <c r="G4872" s="2" t="s">
        <v>5653</v>
      </c>
    </row>
    <row r="4873">
      <c r="A4873" s="2" t="s">
        <v>5651</v>
      </c>
      <c r="B4873" s="2" t="s">
        <v>5898</v>
      </c>
      <c r="D4873" s="2"/>
      <c r="G4873" s="2" t="s">
        <v>5653</v>
      </c>
    </row>
    <row r="4874">
      <c r="A4874" s="2" t="s">
        <v>5651</v>
      </c>
      <c r="B4874" s="2" t="s">
        <v>5899</v>
      </c>
      <c r="D4874" s="2"/>
      <c r="G4874" s="2" t="s">
        <v>5653</v>
      </c>
    </row>
    <row r="4875">
      <c r="A4875" s="2" t="s">
        <v>5651</v>
      </c>
      <c r="B4875" s="2" t="s">
        <v>5900</v>
      </c>
      <c r="D4875" s="2"/>
      <c r="G4875" s="2" t="s">
        <v>5653</v>
      </c>
    </row>
    <row r="4876">
      <c r="A4876" s="2" t="s">
        <v>5651</v>
      </c>
      <c r="B4876" s="2" t="s">
        <v>5901</v>
      </c>
      <c r="D4876" s="2"/>
      <c r="G4876" s="2" t="s">
        <v>5653</v>
      </c>
    </row>
    <row r="4877">
      <c r="A4877" s="2" t="s">
        <v>5651</v>
      </c>
      <c r="B4877" s="2" t="s">
        <v>5902</v>
      </c>
      <c r="D4877" s="2"/>
      <c r="G4877" s="2" t="s">
        <v>5653</v>
      </c>
    </row>
    <row r="4878">
      <c r="A4878" s="2" t="s">
        <v>5651</v>
      </c>
      <c r="B4878" s="2" t="s">
        <v>5903</v>
      </c>
      <c r="D4878" s="2"/>
      <c r="G4878" s="2" t="s">
        <v>5653</v>
      </c>
    </row>
    <row r="4879">
      <c r="A4879" s="2" t="s">
        <v>5651</v>
      </c>
      <c r="B4879" s="2" t="s">
        <v>5904</v>
      </c>
      <c r="D4879" s="2"/>
      <c r="G4879" s="2" t="s">
        <v>5653</v>
      </c>
    </row>
    <row r="4880">
      <c r="A4880" s="2" t="s">
        <v>5651</v>
      </c>
      <c r="B4880" s="2" t="s">
        <v>5905</v>
      </c>
      <c r="D4880" s="2"/>
      <c r="G4880" s="2" t="s">
        <v>5653</v>
      </c>
    </row>
    <row r="4881">
      <c r="A4881" s="2" t="s">
        <v>5651</v>
      </c>
      <c r="B4881" s="2" t="s">
        <v>5906</v>
      </c>
      <c r="D4881" s="2"/>
      <c r="G4881" s="2" t="s">
        <v>5653</v>
      </c>
    </row>
    <row r="4882">
      <c r="A4882" s="2" t="s">
        <v>5651</v>
      </c>
      <c r="B4882" s="2" t="s">
        <v>5907</v>
      </c>
      <c r="D4882" s="2"/>
      <c r="G4882" s="2" t="s">
        <v>5653</v>
      </c>
    </row>
    <row r="4883">
      <c r="A4883" s="2" t="s">
        <v>5651</v>
      </c>
      <c r="B4883" s="2" t="s">
        <v>5908</v>
      </c>
      <c r="D4883" s="2"/>
      <c r="G4883" s="2" t="s">
        <v>5653</v>
      </c>
    </row>
    <row r="4884">
      <c r="A4884" s="2" t="s">
        <v>5651</v>
      </c>
      <c r="B4884" s="2" t="s">
        <v>5909</v>
      </c>
      <c r="D4884" s="2"/>
      <c r="G4884" s="2" t="s">
        <v>5653</v>
      </c>
    </row>
    <row r="4885">
      <c r="A4885" s="2" t="s">
        <v>5651</v>
      </c>
      <c r="B4885" s="2" t="s">
        <v>5910</v>
      </c>
      <c r="D4885" s="2"/>
      <c r="G4885" s="2" t="s">
        <v>5653</v>
      </c>
    </row>
    <row r="4886">
      <c r="A4886" s="2" t="s">
        <v>5651</v>
      </c>
      <c r="B4886" s="2" t="s">
        <v>5911</v>
      </c>
      <c r="D4886" s="2"/>
      <c r="G4886" s="2" t="s">
        <v>5653</v>
      </c>
    </row>
    <row r="4887">
      <c r="A4887" s="2" t="s">
        <v>5651</v>
      </c>
      <c r="B4887" s="2" t="s">
        <v>5912</v>
      </c>
      <c r="D4887" s="2"/>
      <c r="G4887" s="2" t="s">
        <v>5653</v>
      </c>
    </row>
    <row r="4888">
      <c r="A4888" s="2" t="s">
        <v>5651</v>
      </c>
      <c r="B4888" s="2" t="s">
        <v>5913</v>
      </c>
      <c r="D4888" s="2"/>
      <c r="G4888" s="2" t="s">
        <v>5653</v>
      </c>
    </row>
    <row r="4889">
      <c r="A4889" s="2" t="s">
        <v>5651</v>
      </c>
      <c r="B4889" s="2" t="s">
        <v>5914</v>
      </c>
      <c r="D4889" s="2"/>
      <c r="G4889" s="2" t="s">
        <v>5653</v>
      </c>
    </row>
    <row r="4890">
      <c r="A4890" s="2" t="s">
        <v>5651</v>
      </c>
      <c r="B4890" s="2" t="s">
        <v>5915</v>
      </c>
      <c r="D4890" s="2"/>
      <c r="G4890" s="2" t="s">
        <v>5653</v>
      </c>
    </row>
    <row r="4891">
      <c r="A4891" s="2" t="s">
        <v>5651</v>
      </c>
      <c r="B4891" s="2" t="s">
        <v>5916</v>
      </c>
      <c r="D4891" s="2"/>
      <c r="G4891" s="2" t="s">
        <v>5653</v>
      </c>
    </row>
    <row r="4892">
      <c r="A4892" s="2" t="s">
        <v>5651</v>
      </c>
      <c r="B4892" s="2" t="s">
        <v>5917</v>
      </c>
      <c r="D4892" s="2"/>
      <c r="G4892" s="2" t="s">
        <v>5653</v>
      </c>
    </row>
    <row r="4893">
      <c r="A4893" s="2" t="s">
        <v>5651</v>
      </c>
      <c r="B4893" s="2" t="s">
        <v>5918</v>
      </c>
      <c r="D4893" s="2"/>
      <c r="G4893" s="2" t="s">
        <v>5653</v>
      </c>
    </row>
    <row r="4894">
      <c r="A4894" s="2" t="s">
        <v>5651</v>
      </c>
      <c r="B4894" s="2" t="s">
        <v>5919</v>
      </c>
      <c r="D4894" s="2"/>
      <c r="G4894" s="2" t="s">
        <v>5653</v>
      </c>
    </row>
    <row r="4895">
      <c r="A4895" s="2" t="s">
        <v>5651</v>
      </c>
      <c r="B4895" s="2" t="s">
        <v>5920</v>
      </c>
      <c r="D4895" s="2"/>
      <c r="G4895" s="2" t="s">
        <v>5653</v>
      </c>
    </row>
    <row r="4896">
      <c r="A4896" s="2" t="s">
        <v>5651</v>
      </c>
      <c r="B4896" s="2" t="s">
        <v>5921</v>
      </c>
      <c r="D4896" s="2"/>
      <c r="G4896" s="2" t="s">
        <v>5653</v>
      </c>
    </row>
    <row r="4897">
      <c r="A4897" s="2" t="s">
        <v>5651</v>
      </c>
      <c r="B4897" s="2" t="s">
        <v>5922</v>
      </c>
      <c r="D4897" s="2"/>
      <c r="G4897" s="2" t="s">
        <v>5653</v>
      </c>
    </row>
    <row r="4898">
      <c r="A4898" s="2" t="s">
        <v>5651</v>
      </c>
      <c r="B4898" s="2" t="s">
        <v>5923</v>
      </c>
      <c r="D4898" s="2"/>
      <c r="G4898" s="2" t="s">
        <v>5653</v>
      </c>
    </row>
    <row r="4899">
      <c r="A4899" s="2" t="s">
        <v>5651</v>
      </c>
      <c r="B4899" s="2" t="s">
        <v>5924</v>
      </c>
      <c r="D4899" s="2"/>
      <c r="G4899" s="2" t="s">
        <v>5653</v>
      </c>
    </row>
    <row r="4900">
      <c r="A4900" s="2" t="s">
        <v>5651</v>
      </c>
      <c r="B4900" s="2" t="s">
        <v>5925</v>
      </c>
      <c r="D4900" s="2"/>
      <c r="G4900" s="2" t="s">
        <v>5653</v>
      </c>
    </row>
    <row r="4901">
      <c r="A4901" s="2" t="s">
        <v>5651</v>
      </c>
      <c r="B4901" s="2" t="s">
        <v>5926</v>
      </c>
      <c r="D4901" s="2"/>
      <c r="G4901" s="2" t="s">
        <v>5653</v>
      </c>
    </row>
    <row r="4902">
      <c r="A4902" s="2" t="s">
        <v>5651</v>
      </c>
      <c r="B4902" s="2" t="s">
        <v>5927</v>
      </c>
      <c r="D4902" s="2"/>
      <c r="G4902" s="2" t="s">
        <v>5653</v>
      </c>
    </row>
    <row r="4903">
      <c r="A4903" s="2" t="s">
        <v>5651</v>
      </c>
      <c r="B4903" s="2" t="s">
        <v>5928</v>
      </c>
      <c r="D4903" s="2"/>
      <c r="G4903" s="2" t="s">
        <v>5653</v>
      </c>
    </row>
    <row r="4904">
      <c r="A4904" s="2" t="s">
        <v>5651</v>
      </c>
      <c r="B4904" s="2" t="s">
        <v>5929</v>
      </c>
      <c r="D4904" s="2"/>
      <c r="G4904" s="2" t="s">
        <v>5653</v>
      </c>
    </row>
    <row r="4905">
      <c r="A4905" s="2" t="s">
        <v>5651</v>
      </c>
      <c r="B4905" s="2" t="s">
        <v>5930</v>
      </c>
      <c r="D4905" s="2"/>
      <c r="G4905" s="2" t="s">
        <v>5653</v>
      </c>
    </row>
    <row r="4906">
      <c r="A4906" s="2" t="s">
        <v>5651</v>
      </c>
      <c r="B4906" s="2" t="s">
        <v>5931</v>
      </c>
      <c r="D4906" s="2"/>
      <c r="G4906" s="2" t="s">
        <v>5653</v>
      </c>
    </row>
    <row r="4907">
      <c r="A4907" s="2" t="s">
        <v>5651</v>
      </c>
      <c r="B4907" s="2" t="s">
        <v>5932</v>
      </c>
      <c r="D4907" s="2"/>
      <c r="G4907" s="2" t="s">
        <v>5653</v>
      </c>
    </row>
    <row r="4908">
      <c r="A4908" s="2" t="s">
        <v>5651</v>
      </c>
      <c r="B4908" s="2" t="s">
        <v>5933</v>
      </c>
      <c r="D4908" s="2"/>
      <c r="G4908" s="2" t="s">
        <v>5653</v>
      </c>
    </row>
    <row r="4909">
      <c r="A4909" s="2" t="s">
        <v>5651</v>
      </c>
      <c r="B4909" s="2" t="s">
        <v>5934</v>
      </c>
      <c r="D4909" s="2"/>
      <c r="G4909" s="2" t="s">
        <v>5653</v>
      </c>
    </row>
    <row r="4910">
      <c r="A4910" s="2" t="s">
        <v>5651</v>
      </c>
      <c r="B4910" s="2" t="s">
        <v>5935</v>
      </c>
      <c r="D4910" s="2"/>
      <c r="G4910" s="2" t="s">
        <v>5653</v>
      </c>
    </row>
    <row r="4911">
      <c r="A4911" s="2" t="s">
        <v>5651</v>
      </c>
      <c r="B4911" s="2" t="s">
        <v>5936</v>
      </c>
      <c r="D4911" s="2"/>
      <c r="G4911" s="2" t="s">
        <v>5653</v>
      </c>
    </row>
    <row r="4912">
      <c r="A4912" s="2" t="s">
        <v>5651</v>
      </c>
      <c r="B4912" s="2" t="s">
        <v>5937</v>
      </c>
      <c r="D4912" s="2"/>
      <c r="G4912" s="2" t="s">
        <v>5653</v>
      </c>
    </row>
    <row r="4913">
      <c r="A4913" s="2" t="s">
        <v>5651</v>
      </c>
      <c r="B4913" s="2" t="s">
        <v>5938</v>
      </c>
      <c r="D4913" s="2"/>
      <c r="G4913" s="2" t="s">
        <v>5653</v>
      </c>
    </row>
    <row r="4914">
      <c r="A4914" s="2" t="s">
        <v>5651</v>
      </c>
      <c r="B4914" s="2" t="s">
        <v>5939</v>
      </c>
      <c r="D4914" s="2"/>
      <c r="G4914" s="2" t="s">
        <v>5653</v>
      </c>
    </row>
    <row r="4915">
      <c r="A4915" s="2" t="s">
        <v>5651</v>
      </c>
      <c r="B4915" s="2" t="s">
        <v>5940</v>
      </c>
      <c r="D4915" s="2"/>
      <c r="G4915" s="2" t="s">
        <v>5653</v>
      </c>
    </row>
    <row r="4916">
      <c r="A4916" s="2" t="s">
        <v>5651</v>
      </c>
      <c r="B4916" s="2" t="s">
        <v>5941</v>
      </c>
      <c r="D4916" s="2"/>
      <c r="G4916" s="2" t="s">
        <v>5653</v>
      </c>
    </row>
    <row r="4917">
      <c r="A4917" s="2" t="s">
        <v>5651</v>
      </c>
      <c r="B4917" s="2" t="s">
        <v>5942</v>
      </c>
      <c r="D4917" s="2"/>
      <c r="G4917" s="2" t="s">
        <v>5653</v>
      </c>
    </row>
    <row r="4918">
      <c r="A4918" s="2" t="s">
        <v>5651</v>
      </c>
      <c r="B4918" s="2" t="s">
        <v>5943</v>
      </c>
      <c r="D4918" s="2"/>
      <c r="G4918" s="2" t="s">
        <v>5653</v>
      </c>
    </row>
    <row r="4919">
      <c r="A4919" s="2" t="s">
        <v>5651</v>
      </c>
      <c r="B4919" s="2" t="s">
        <v>5944</v>
      </c>
      <c r="D4919" s="2"/>
      <c r="G4919" s="2" t="s">
        <v>5653</v>
      </c>
    </row>
    <row r="4920">
      <c r="A4920" s="2" t="s">
        <v>5651</v>
      </c>
      <c r="B4920" s="2" t="s">
        <v>5945</v>
      </c>
      <c r="D4920" s="2"/>
      <c r="G4920" s="2" t="s">
        <v>5653</v>
      </c>
    </row>
    <row r="4921">
      <c r="A4921" s="2" t="s">
        <v>5651</v>
      </c>
      <c r="B4921" s="2" t="s">
        <v>5946</v>
      </c>
      <c r="D4921" s="2"/>
      <c r="G4921" s="2" t="s">
        <v>5653</v>
      </c>
    </row>
    <row r="4922">
      <c r="A4922" s="2" t="s">
        <v>5651</v>
      </c>
      <c r="B4922" s="2" t="s">
        <v>5947</v>
      </c>
      <c r="D4922" s="2"/>
      <c r="G4922" s="2" t="s">
        <v>5653</v>
      </c>
    </row>
    <row r="4923">
      <c r="A4923" s="2" t="s">
        <v>5651</v>
      </c>
      <c r="B4923" s="2" t="s">
        <v>5948</v>
      </c>
      <c r="D4923" s="2"/>
      <c r="G4923" s="2" t="s">
        <v>5653</v>
      </c>
    </row>
    <row r="4924">
      <c r="A4924" s="2" t="s">
        <v>5651</v>
      </c>
      <c r="B4924" s="2" t="s">
        <v>5949</v>
      </c>
      <c r="D4924" s="2"/>
      <c r="G4924" s="2" t="s">
        <v>5653</v>
      </c>
    </row>
    <row r="4925">
      <c r="A4925" s="2" t="s">
        <v>5651</v>
      </c>
      <c r="B4925" s="2" t="s">
        <v>5950</v>
      </c>
      <c r="D4925" s="2"/>
      <c r="G4925" s="2" t="s">
        <v>5653</v>
      </c>
    </row>
    <row r="4926">
      <c r="A4926" s="2" t="s">
        <v>5651</v>
      </c>
      <c r="B4926" s="2" t="s">
        <v>5951</v>
      </c>
      <c r="D4926" s="2"/>
      <c r="G4926" s="2" t="s">
        <v>5653</v>
      </c>
    </row>
    <row r="4927">
      <c r="A4927" s="2" t="s">
        <v>5651</v>
      </c>
      <c r="B4927" s="2" t="s">
        <v>5952</v>
      </c>
      <c r="D4927" s="2"/>
      <c r="G4927" s="2" t="s">
        <v>5653</v>
      </c>
    </row>
    <row r="4928">
      <c r="A4928" s="2" t="s">
        <v>5651</v>
      </c>
      <c r="B4928" s="2" t="s">
        <v>5953</v>
      </c>
      <c r="D4928" s="2"/>
      <c r="G4928" s="2" t="s">
        <v>5653</v>
      </c>
    </row>
    <row r="4929">
      <c r="A4929" s="2" t="s">
        <v>5651</v>
      </c>
      <c r="B4929" s="2" t="s">
        <v>5954</v>
      </c>
      <c r="D4929" s="2"/>
      <c r="G4929" s="2" t="s">
        <v>5653</v>
      </c>
    </row>
    <row r="4930">
      <c r="A4930" s="2" t="s">
        <v>5651</v>
      </c>
      <c r="B4930" s="2" t="s">
        <v>5955</v>
      </c>
      <c r="D4930" s="2"/>
      <c r="G4930" s="2" t="s">
        <v>5653</v>
      </c>
    </row>
    <row r="4931">
      <c r="A4931" s="2" t="s">
        <v>5651</v>
      </c>
      <c r="B4931" s="2" t="s">
        <v>5956</v>
      </c>
      <c r="D4931" s="2"/>
      <c r="G4931" s="2" t="s">
        <v>5653</v>
      </c>
    </row>
    <row r="4932">
      <c r="A4932" s="2" t="s">
        <v>5651</v>
      </c>
      <c r="B4932" s="2" t="s">
        <v>5957</v>
      </c>
      <c r="D4932" s="2"/>
      <c r="G4932" s="2" t="s">
        <v>5653</v>
      </c>
    </row>
    <row r="4933">
      <c r="A4933" s="2" t="s">
        <v>5651</v>
      </c>
      <c r="B4933" s="2" t="s">
        <v>5958</v>
      </c>
      <c r="D4933" s="2"/>
      <c r="G4933" s="2" t="s">
        <v>5653</v>
      </c>
    </row>
    <row r="4934">
      <c r="A4934" s="2" t="s">
        <v>5651</v>
      </c>
      <c r="B4934" s="2" t="s">
        <v>5959</v>
      </c>
      <c r="D4934" s="2"/>
      <c r="G4934" s="2" t="s">
        <v>5653</v>
      </c>
    </row>
    <row r="4935">
      <c r="A4935" s="2" t="s">
        <v>5651</v>
      </c>
      <c r="B4935" s="2" t="s">
        <v>5960</v>
      </c>
      <c r="D4935" s="2"/>
      <c r="G4935" s="2" t="s">
        <v>5653</v>
      </c>
    </row>
    <row r="4936">
      <c r="A4936" s="2" t="s">
        <v>5651</v>
      </c>
      <c r="B4936" s="2" t="s">
        <v>5961</v>
      </c>
      <c r="D4936" s="2"/>
      <c r="G4936" s="2" t="s">
        <v>5653</v>
      </c>
    </row>
    <row r="4937">
      <c r="A4937" s="2" t="s">
        <v>5651</v>
      </c>
      <c r="B4937" s="2" t="s">
        <v>5962</v>
      </c>
      <c r="D4937" s="2"/>
      <c r="G4937" s="2" t="s">
        <v>5653</v>
      </c>
    </row>
    <row r="4938">
      <c r="A4938" s="2" t="s">
        <v>5651</v>
      </c>
      <c r="B4938" s="2" t="s">
        <v>5963</v>
      </c>
      <c r="D4938" s="2"/>
      <c r="G4938" s="2" t="s">
        <v>5653</v>
      </c>
    </row>
    <row r="4939">
      <c r="A4939" s="2" t="s">
        <v>5651</v>
      </c>
      <c r="B4939" s="2" t="s">
        <v>5964</v>
      </c>
      <c r="D4939" s="2"/>
      <c r="G4939" s="2" t="s">
        <v>5653</v>
      </c>
    </row>
    <row r="4940">
      <c r="A4940" s="2" t="s">
        <v>5651</v>
      </c>
      <c r="B4940" s="2" t="s">
        <v>5965</v>
      </c>
      <c r="D4940" s="2"/>
      <c r="G4940" s="2" t="s">
        <v>5653</v>
      </c>
    </row>
    <row r="4941">
      <c r="A4941" s="2" t="s">
        <v>5651</v>
      </c>
      <c r="B4941" s="2" t="s">
        <v>5966</v>
      </c>
      <c r="D4941" s="2"/>
      <c r="G4941" s="2" t="s">
        <v>5653</v>
      </c>
    </row>
    <row r="4942">
      <c r="A4942" s="2" t="s">
        <v>5651</v>
      </c>
      <c r="B4942" s="2" t="s">
        <v>5967</v>
      </c>
      <c r="D4942" s="2"/>
      <c r="G4942" s="2" t="s">
        <v>5653</v>
      </c>
    </row>
    <row r="4943">
      <c r="A4943" s="2" t="s">
        <v>5651</v>
      </c>
      <c r="B4943" s="2" t="s">
        <v>5968</v>
      </c>
      <c r="D4943" s="2"/>
      <c r="G4943" s="2" t="s">
        <v>5653</v>
      </c>
    </row>
    <row r="4944">
      <c r="A4944" s="2" t="s">
        <v>5651</v>
      </c>
      <c r="B4944" s="2" t="s">
        <v>5969</v>
      </c>
      <c r="D4944" s="2"/>
      <c r="G4944" s="2" t="s">
        <v>5653</v>
      </c>
    </row>
    <row r="4945">
      <c r="A4945" s="2" t="s">
        <v>5651</v>
      </c>
      <c r="B4945" s="2" t="s">
        <v>5970</v>
      </c>
      <c r="D4945" s="2"/>
      <c r="G4945" s="2" t="s">
        <v>5653</v>
      </c>
    </row>
    <row r="4946">
      <c r="A4946" s="2" t="s">
        <v>5651</v>
      </c>
      <c r="B4946" s="2" t="s">
        <v>5971</v>
      </c>
      <c r="D4946" s="2"/>
      <c r="G4946" s="2" t="s">
        <v>5653</v>
      </c>
    </row>
    <row r="4947">
      <c r="A4947" s="2" t="s">
        <v>5651</v>
      </c>
      <c r="B4947" s="2" t="s">
        <v>5972</v>
      </c>
      <c r="D4947" s="2"/>
      <c r="G4947" s="2" t="s">
        <v>5653</v>
      </c>
    </row>
    <row r="4948">
      <c r="A4948" s="2" t="s">
        <v>5651</v>
      </c>
      <c r="B4948" s="2" t="s">
        <v>5973</v>
      </c>
      <c r="D4948" s="2"/>
      <c r="G4948" s="2" t="s">
        <v>5653</v>
      </c>
    </row>
    <row r="4949">
      <c r="A4949" s="2" t="s">
        <v>5651</v>
      </c>
      <c r="B4949" s="2" t="s">
        <v>5974</v>
      </c>
      <c r="D4949" s="2"/>
      <c r="G4949" s="2" t="s">
        <v>5653</v>
      </c>
    </row>
    <row r="4950">
      <c r="A4950" s="2" t="s">
        <v>5651</v>
      </c>
      <c r="B4950" s="2" t="s">
        <v>5975</v>
      </c>
      <c r="D4950" s="2"/>
      <c r="G4950" s="2" t="s">
        <v>5653</v>
      </c>
    </row>
    <row r="4951">
      <c r="A4951" s="2" t="s">
        <v>5651</v>
      </c>
      <c r="B4951" s="2" t="s">
        <v>5976</v>
      </c>
      <c r="D4951" s="2"/>
      <c r="G4951" s="2" t="s">
        <v>5653</v>
      </c>
    </row>
    <row r="4952">
      <c r="A4952" s="2" t="s">
        <v>5651</v>
      </c>
      <c r="B4952" s="2" t="s">
        <v>5977</v>
      </c>
      <c r="D4952" s="2"/>
      <c r="G4952" s="2" t="s">
        <v>5653</v>
      </c>
    </row>
    <row r="4953">
      <c r="A4953" s="2" t="s">
        <v>5651</v>
      </c>
      <c r="B4953" s="2" t="s">
        <v>5978</v>
      </c>
      <c r="D4953" s="2"/>
      <c r="G4953" s="2" t="s">
        <v>5653</v>
      </c>
    </row>
    <row r="4954">
      <c r="A4954" s="2" t="s">
        <v>5651</v>
      </c>
      <c r="B4954" s="2" t="s">
        <v>5979</v>
      </c>
      <c r="D4954" s="2"/>
      <c r="G4954" s="2" t="s">
        <v>5653</v>
      </c>
    </row>
    <row r="4955">
      <c r="A4955" s="2" t="s">
        <v>5651</v>
      </c>
      <c r="B4955" s="2" t="s">
        <v>5980</v>
      </c>
      <c r="D4955" s="2"/>
      <c r="G4955" s="2" t="s">
        <v>5653</v>
      </c>
    </row>
    <row r="4956">
      <c r="A4956" s="2" t="s">
        <v>5651</v>
      </c>
      <c r="B4956" s="2" t="s">
        <v>5981</v>
      </c>
      <c r="D4956" s="2"/>
      <c r="G4956" s="2" t="s">
        <v>5653</v>
      </c>
    </row>
    <row r="4957">
      <c r="A4957" s="2" t="s">
        <v>5651</v>
      </c>
      <c r="B4957" s="2" t="s">
        <v>5982</v>
      </c>
      <c r="D4957" s="2"/>
      <c r="G4957" s="2" t="s">
        <v>5653</v>
      </c>
    </row>
    <row r="4958">
      <c r="A4958" s="2" t="s">
        <v>5651</v>
      </c>
      <c r="B4958" s="2" t="s">
        <v>5983</v>
      </c>
      <c r="D4958" s="2"/>
      <c r="G4958" s="2" t="s">
        <v>5653</v>
      </c>
    </row>
    <row r="4959">
      <c r="A4959" s="2" t="s">
        <v>5651</v>
      </c>
      <c r="B4959" s="2" t="s">
        <v>5984</v>
      </c>
      <c r="D4959" s="2"/>
      <c r="G4959" s="2" t="s">
        <v>5653</v>
      </c>
    </row>
    <row r="4960">
      <c r="A4960" s="2" t="s">
        <v>5651</v>
      </c>
      <c r="B4960" s="2" t="s">
        <v>5985</v>
      </c>
      <c r="D4960" s="2"/>
      <c r="G4960" s="2" t="s">
        <v>5653</v>
      </c>
    </row>
    <row r="4961">
      <c r="A4961" s="2" t="s">
        <v>5651</v>
      </c>
      <c r="B4961" s="2" t="s">
        <v>5986</v>
      </c>
      <c r="D4961" s="2"/>
      <c r="G4961" s="2" t="s">
        <v>5653</v>
      </c>
    </row>
    <row r="4962">
      <c r="A4962" s="2" t="s">
        <v>5651</v>
      </c>
      <c r="B4962" s="2" t="s">
        <v>5987</v>
      </c>
      <c r="D4962" s="2"/>
      <c r="G4962" s="2" t="s">
        <v>5653</v>
      </c>
    </row>
    <row r="4963">
      <c r="A4963" s="2" t="s">
        <v>5651</v>
      </c>
      <c r="B4963" s="2" t="s">
        <v>5988</v>
      </c>
      <c r="D4963" s="2"/>
      <c r="G4963" s="2" t="s">
        <v>5653</v>
      </c>
    </row>
    <row r="4964">
      <c r="A4964" s="2" t="s">
        <v>5651</v>
      </c>
      <c r="B4964" s="2" t="s">
        <v>5989</v>
      </c>
      <c r="D4964" s="2"/>
      <c r="G4964" s="2" t="s">
        <v>5653</v>
      </c>
    </row>
    <row r="4965">
      <c r="A4965" s="2" t="s">
        <v>5651</v>
      </c>
      <c r="B4965" s="2" t="s">
        <v>5990</v>
      </c>
      <c r="D4965" s="2"/>
      <c r="G4965" s="2" t="s">
        <v>5653</v>
      </c>
    </row>
    <row r="4966">
      <c r="A4966" s="2" t="s">
        <v>5651</v>
      </c>
      <c r="B4966" s="2" t="s">
        <v>5991</v>
      </c>
      <c r="D4966" s="2"/>
      <c r="G4966" s="2" t="s">
        <v>5653</v>
      </c>
    </row>
    <row r="4967">
      <c r="A4967" s="2" t="s">
        <v>5651</v>
      </c>
      <c r="B4967" s="2" t="s">
        <v>5992</v>
      </c>
      <c r="D4967" s="2"/>
      <c r="G4967" s="2" t="s">
        <v>5653</v>
      </c>
    </row>
    <row r="4968">
      <c r="A4968" s="2" t="s">
        <v>5651</v>
      </c>
      <c r="B4968" s="2" t="s">
        <v>5993</v>
      </c>
      <c r="D4968" s="2"/>
      <c r="G4968" s="2" t="s">
        <v>5653</v>
      </c>
    </row>
    <row r="4969">
      <c r="A4969" s="2" t="s">
        <v>5651</v>
      </c>
      <c r="B4969" s="2" t="s">
        <v>5994</v>
      </c>
      <c r="D4969" s="2"/>
      <c r="G4969" s="2" t="s">
        <v>5653</v>
      </c>
    </row>
    <row r="4970">
      <c r="A4970" s="2" t="s">
        <v>5651</v>
      </c>
      <c r="B4970" s="2" t="s">
        <v>5995</v>
      </c>
      <c r="D4970" s="2"/>
      <c r="G4970" s="2" t="s">
        <v>5653</v>
      </c>
    </row>
    <row r="4971">
      <c r="A4971" s="2" t="s">
        <v>5651</v>
      </c>
      <c r="B4971" s="2" t="s">
        <v>5996</v>
      </c>
      <c r="D4971" s="2"/>
      <c r="G4971" s="2" t="s">
        <v>5653</v>
      </c>
    </row>
    <row r="4972">
      <c r="A4972" s="2" t="s">
        <v>5651</v>
      </c>
      <c r="B4972" s="2" t="s">
        <v>5997</v>
      </c>
      <c r="D4972" s="2"/>
      <c r="G4972" s="2" t="s">
        <v>5653</v>
      </c>
    </row>
    <row r="4973">
      <c r="A4973" s="2" t="s">
        <v>5651</v>
      </c>
      <c r="B4973" s="2" t="s">
        <v>5998</v>
      </c>
      <c r="D4973" s="2"/>
      <c r="G4973" s="2" t="s">
        <v>5653</v>
      </c>
    </row>
    <row r="4974">
      <c r="A4974" s="2" t="s">
        <v>5651</v>
      </c>
      <c r="B4974" s="2" t="s">
        <v>5999</v>
      </c>
      <c r="D4974" s="2"/>
      <c r="G4974" s="2" t="s">
        <v>5653</v>
      </c>
    </row>
    <row r="4975">
      <c r="A4975" s="2" t="s">
        <v>5651</v>
      </c>
      <c r="B4975" s="2" t="s">
        <v>6000</v>
      </c>
      <c r="D4975" s="2"/>
      <c r="G4975" s="2" t="s">
        <v>5653</v>
      </c>
    </row>
    <row r="4976">
      <c r="A4976" s="2" t="s">
        <v>5651</v>
      </c>
      <c r="B4976" s="2" t="s">
        <v>6001</v>
      </c>
      <c r="D4976" s="2"/>
      <c r="G4976" s="2" t="s">
        <v>5653</v>
      </c>
    </row>
    <row r="4977">
      <c r="A4977" s="2" t="s">
        <v>5651</v>
      </c>
      <c r="B4977" s="2" t="s">
        <v>6002</v>
      </c>
      <c r="D4977" s="2"/>
      <c r="G4977" s="2" t="s">
        <v>5653</v>
      </c>
    </row>
    <row r="4978">
      <c r="A4978" s="2" t="s">
        <v>5651</v>
      </c>
      <c r="B4978" s="2" t="s">
        <v>6003</v>
      </c>
      <c r="D4978" s="2"/>
      <c r="G4978" s="2" t="s">
        <v>5653</v>
      </c>
    </row>
    <row r="4979">
      <c r="A4979" s="2" t="s">
        <v>5651</v>
      </c>
      <c r="B4979" s="2" t="s">
        <v>6004</v>
      </c>
      <c r="D4979" s="2"/>
      <c r="G4979" s="2" t="s">
        <v>5653</v>
      </c>
    </row>
    <row r="4980">
      <c r="A4980" s="2" t="s">
        <v>5651</v>
      </c>
      <c r="B4980" s="2" t="s">
        <v>6005</v>
      </c>
      <c r="D4980" s="2"/>
      <c r="G4980" s="2" t="s">
        <v>5653</v>
      </c>
    </row>
    <row r="4981">
      <c r="A4981" s="2" t="s">
        <v>5651</v>
      </c>
      <c r="B4981" s="2" t="s">
        <v>6006</v>
      </c>
      <c r="D4981" s="2"/>
      <c r="G4981" s="2" t="s">
        <v>5653</v>
      </c>
    </row>
    <row r="4982">
      <c r="A4982" s="2" t="s">
        <v>5651</v>
      </c>
      <c r="B4982" s="2" t="s">
        <v>6007</v>
      </c>
      <c r="D4982" s="2"/>
      <c r="G4982" s="2" t="s">
        <v>5653</v>
      </c>
    </row>
    <row r="4983">
      <c r="A4983" s="2" t="s">
        <v>5651</v>
      </c>
      <c r="B4983" s="2" t="s">
        <v>6008</v>
      </c>
      <c r="D4983" s="2"/>
      <c r="G4983" s="2" t="s">
        <v>5653</v>
      </c>
    </row>
    <row r="4984">
      <c r="A4984" s="2" t="s">
        <v>5651</v>
      </c>
      <c r="B4984" s="2" t="s">
        <v>6009</v>
      </c>
      <c r="D4984" s="2"/>
      <c r="G4984" s="2" t="s">
        <v>5653</v>
      </c>
    </row>
    <row r="4985">
      <c r="A4985" s="2" t="s">
        <v>5651</v>
      </c>
      <c r="B4985" s="2" t="s">
        <v>6010</v>
      </c>
      <c r="D4985" s="2"/>
      <c r="G4985" s="2" t="s">
        <v>5653</v>
      </c>
    </row>
    <row r="4986">
      <c r="A4986" s="2" t="s">
        <v>5651</v>
      </c>
      <c r="B4986" s="2" t="s">
        <v>6011</v>
      </c>
      <c r="D4986" s="2"/>
      <c r="G4986" s="2" t="s">
        <v>5653</v>
      </c>
    </row>
    <row r="4987">
      <c r="A4987" s="2" t="s">
        <v>5651</v>
      </c>
      <c r="B4987" s="2" t="s">
        <v>6012</v>
      </c>
      <c r="D4987" s="2"/>
      <c r="G4987" s="2" t="s">
        <v>5653</v>
      </c>
    </row>
    <row r="4988">
      <c r="A4988" s="2" t="s">
        <v>5651</v>
      </c>
      <c r="B4988" s="2" t="s">
        <v>6013</v>
      </c>
      <c r="D4988" s="2"/>
      <c r="G4988" s="2" t="s">
        <v>5653</v>
      </c>
    </row>
    <row r="4989">
      <c r="A4989" s="2" t="s">
        <v>5651</v>
      </c>
      <c r="B4989" s="2" t="s">
        <v>6014</v>
      </c>
      <c r="D4989" s="2"/>
      <c r="G4989" s="2" t="s">
        <v>5653</v>
      </c>
    </row>
    <row r="4990">
      <c r="A4990" s="2" t="s">
        <v>5651</v>
      </c>
      <c r="B4990" s="2" t="s">
        <v>6015</v>
      </c>
      <c r="D4990" s="2"/>
      <c r="G4990" s="2" t="s">
        <v>5653</v>
      </c>
    </row>
    <row r="4991">
      <c r="A4991" s="2" t="s">
        <v>5651</v>
      </c>
      <c r="B4991" s="2" t="s">
        <v>6016</v>
      </c>
      <c r="D4991" s="2"/>
      <c r="G4991" s="2" t="s">
        <v>5653</v>
      </c>
    </row>
    <row r="4992">
      <c r="A4992" s="2" t="s">
        <v>5651</v>
      </c>
      <c r="B4992" s="2" t="s">
        <v>6017</v>
      </c>
      <c r="D4992" s="2"/>
      <c r="G4992" s="2" t="s">
        <v>5653</v>
      </c>
    </row>
    <row r="4993">
      <c r="A4993" s="2" t="s">
        <v>5651</v>
      </c>
      <c r="B4993" s="2" t="s">
        <v>6018</v>
      </c>
      <c r="D4993" s="2"/>
      <c r="G4993" s="2" t="s">
        <v>5653</v>
      </c>
    </row>
    <row r="4994">
      <c r="A4994" s="2" t="s">
        <v>5651</v>
      </c>
      <c r="B4994" s="2" t="s">
        <v>6019</v>
      </c>
      <c r="D4994" s="2"/>
      <c r="G4994" s="2" t="s">
        <v>5653</v>
      </c>
    </row>
    <row r="4995">
      <c r="A4995" s="2" t="s">
        <v>5651</v>
      </c>
      <c r="B4995" s="2" t="s">
        <v>6020</v>
      </c>
      <c r="D4995" s="2"/>
      <c r="G4995" s="2" t="s">
        <v>5653</v>
      </c>
    </row>
    <row r="4996">
      <c r="A4996" s="2" t="s">
        <v>5651</v>
      </c>
      <c r="B4996" s="2" t="s">
        <v>6021</v>
      </c>
      <c r="D4996" s="2"/>
      <c r="G4996" s="2" t="s">
        <v>5653</v>
      </c>
    </row>
    <row r="4997">
      <c r="A4997" s="2" t="s">
        <v>5651</v>
      </c>
      <c r="B4997" s="2" t="s">
        <v>6022</v>
      </c>
      <c r="D4997" s="2"/>
      <c r="G4997" s="2" t="s">
        <v>5653</v>
      </c>
    </row>
    <row r="4998">
      <c r="A4998" s="2" t="s">
        <v>5651</v>
      </c>
      <c r="B4998" s="2" t="s">
        <v>6023</v>
      </c>
      <c r="D4998" s="2"/>
      <c r="G4998" s="2" t="s">
        <v>5653</v>
      </c>
    </row>
    <row r="4999">
      <c r="A4999" s="2" t="s">
        <v>5651</v>
      </c>
      <c r="B4999" s="2" t="s">
        <v>6024</v>
      </c>
      <c r="D4999" s="2"/>
      <c r="G4999" s="2" t="s">
        <v>5653</v>
      </c>
    </row>
    <row r="5000">
      <c r="A5000" s="2" t="s">
        <v>5651</v>
      </c>
      <c r="B5000" s="2" t="s">
        <v>6025</v>
      </c>
      <c r="D5000" s="2"/>
      <c r="G5000" s="2" t="s">
        <v>5653</v>
      </c>
    </row>
    <row r="5001">
      <c r="A5001" s="2" t="s">
        <v>5651</v>
      </c>
      <c r="B5001" s="2" t="s">
        <v>6026</v>
      </c>
      <c r="D5001" s="2"/>
      <c r="G5001" s="2" t="s">
        <v>5653</v>
      </c>
    </row>
    <row r="5002">
      <c r="A5002" s="2" t="s">
        <v>5651</v>
      </c>
      <c r="B5002" s="2" t="s">
        <v>6027</v>
      </c>
      <c r="D5002" s="2"/>
      <c r="G5002" s="2" t="s">
        <v>5653</v>
      </c>
    </row>
    <row r="5003">
      <c r="A5003" s="2" t="s">
        <v>5651</v>
      </c>
      <c r="B5003" s="2" t="s">
        <v>6028</v>
      </c>
      <c r="D5003" s="2"/>
      <c r="G5003" s="2" t="s">
        <v>5653</v>
      </c>
    </row>
    <row r="5004">
      <c r="A5004" s="2" t="s">
        <v>5651</v>
      </c>
      <c r="B5004" s="2" t="s">
        <v>6029</v>
      </c>
      <c r="D5004" s="2"/>
      <c r="G5004" s="2" t="s">
        <v>5653</v>
      </c>
    </row>
    <row r="5005">
      <c r="A5005" s="2" t="s">
        <v>5651</v>
      </c>
      <c r="B5005" s="2" t="s">
        <v>6030</v>
      </c>
      <c r="D5005" s="2"/>
      <c r="G5005" s="2" t="s">
        <v>5653</v>
      </c>
    </row>
    <row r="5006">
      <c r="A5006" s="2" t="s">
        <v>5651</v>
      </c>
      <c r="B5006" s="2" t="s">
        <v>6031</v>
      </c>
      <c r="D5006" s="2"/>
      <c r="G5006" s="2" t="s">
        <v>5653</v>
      </c>
    </row>
    <row r="5007">
      <c r="A5007" s="2" t="s">
        <v>5651</v>
      </c>
      <c r="B5007" s="2" t="s">
        <v>6032</v>
      </c>
      <c r="D5007" s="2"/>
      <c r="G5007" s="2" t="s">
        <v>5653</v>
      </c>
    </row>
    <row r="5008">
      <c r="A5008" s="2" t="s">
        <v>5651</v>
      </c>
      <c r="B5008" s="2" t="s">
        <v>6033</v>
      </c>
      <c r="D5008" s="2"/>
      <c r="G5008" s="2" t="s">
        <v>5653</v>
      </c>
    </row>
    <row r="5009">
      <c r="A5009" s="2" t="s">
        <v>5651</v>
      </c>
      <c r="B5009" s="2" t="s">
        <v>6034</v>
      </c>
      <c r="D5009" s="2"/>
      <c r="G5009" s="2" t="s">
        <v>5653</v>
      </c>
    </row>
    <row r="5010">
      <c r="A5010" s="2" t="s">
        <v>5651</v>
      </c>
      <c r="B5010" s="2" t="s">
        <v>6035</v>
      </c>
      <c r="D5010" s="2"/>
      <c r="G5010" s="2" t="s">
        <v>5653</v>
      </c>
    </row>
    <row r="5011">
      <c r="A5011" s="2" t="s">
        <v>5651</v>
      </c>
      <c r="B5011" s="2" t="s">
        <v>6036</v>
      </c>
      <c r="D5011" s="2"/>
      <c r="G5011" s="2" t="s">
        <v>5653</v>
      </c>
    </row>
    <row r="5012">
      <c r="A5012" s="2" t="s">
        <v>5651</v>
      </c>
      <c r="B5012" s="2" t="s">
        <v>6037</v>
      </c>
      <c r="D5012" s="2"/>
      <c r="G5012" s="2" t="s">
        <v>5653</v>
      </c>
    </row>
    <row r="5013">
      <c r="A5013" s="2" t="s">
        <v>5651</v>
      </c>
      <c r="B5013" s="2" t="s">
        <v>6038</v>
      </c>
      <c r="D5013" s="2"/>
      <c r="G5013" s="2" t="s">
        <v>5653</v>
      </c>
    </row>
    <row r="5014">
      <c r="A5014" s="2" t="s">
        <v>5651</v>
      </c>
      <c r="B5014" s="2" t="s">
        <v>6039</v>
      </c>
      <c r="D5014" s="2"/>
      <c r="G5014" s="2" t="s">
        <v>5653</v>
      </c>
    </row>
    <row r="5015">
      <c r="A5015" s="2" t="s">
        <v>5651</v>
      </c>
      <c r="B5015" s="2" t="s">
        <v>6040</v>
      </c>
      <c r="D5015" s="2"/>
      <c r="G5015" s="2" t="s">
        <v>5653</v>
      </c>
    </row>
    <row r="5016">
      <c r="A5016" s="2" t="s">
        <v>5651</v>
      </c>
      <c r="B5016" s="2" t="s">
        <v>6041</v>
      </c>
      <c r="D5016" s="2"/>
      <c r="G5016" s="2" t="s">
        <v>5653</v>
      </c>
    </row>
    <row r="5017">
      <c r="A5017" s="2" t="s">
        <v>5651</v>
      </c>
      <c r="B5017" s="2" t="s">
        <v>6042</v>
      </c>
      <c r="D5017" s="2"/>
      <c r="G5017" s="2" t="s">
        <v>5653</v>
      </c>
    </row>
    <row r="5018">
      <c r="A5018" s="2" t="s">
        <v>5651</v>
      </c>
      <c r="B5018" s="2" t="s">
        <v>6043</v>
      </c>
      <c r="D5018" s="2"/>
      <c r="G5018" s="2" t="s">
        <v>5653</v>
      </c>
    </row>
    <row r="5019">
      <c r="A5019" s="2" t="s">
        <v>5651</v>
      </c>
      <c r="B5019" s="2" t="s">
        <v>6044</v>
      </c>
      <c r="D5019" s="2"/>
      <c r="G5019" s="2" t="s">
        <v>5653</v>
      </c>
    </row>
    <row r="5020">
      <c r="A5020" s="2" t="s">
        <v>5651</v>
      </c>
      <c r="B5020" s="2" t="s">
        <v>6045</v>
      </c>
      <c r="D5020" s="2"/>
      <c r="G5020" s="2" t="s">
        <v>5653</v>
      </c>
    </row>
    <row r="5021">
      <c r="A5021" s="2" t="s">
        <v>5651</v>
      </c>
      <c r="B5021" s="2" t="s">
        <v>6046</v>
      </c>
      <c r="D5021" s="2"/>
      <c r="G5021" s="2" t="s">
        <v>5653</v>
      </c>
    </row>
    <row r="5022">
      <c r="A5022" s="2" t="s">
        <v>5651</v>
      </c>
      <c r="B5022" s="2" t="s">
        <v>6047</v>
      </c>
      <c r="D5022" s="2"/>
      <c r="G5022" s="2" t="s">
        <v>5653</v>
      </c>
    </row>
    <row r="5023">
      <c r="A5023" s="2" t="s">
        <v>5651</v>
      </c>
      <c r="B5023" s="2" t="s">
        <v>6048</v>
      </c>
      <c r="D5023" s="2"/>
      <c r="G5023" s="2" t="s">
        <v>5653</v>
      </c>
    </row>
    <row r="5024">
      <c r="A5024" s="2" t="s">
        <v>5651</v>
      </c>
      <c r="B5024" s="2" t="s">
        <v>6049</v>
      </c>
      <c r="D5024" s="2"/>
      <c r="G5024" s="2" t="s">
        <v>5653</v>
      </c>
    </row>
    <row r="5025">
      <c r="A5025" s="2" t="s">
        <v>5651</v>
      </c>
      <c r="B5025" s="2" t="s">
        <v>6050</v>
      </c>
      <c r="D5025" s="2"/>
      <c r="G5025" s="2" t="s">
        <v>5653</v>
      </c>
    </row>
    <row r="5026">
      <c r="A5026" s="2" t="s">
        <v>5651</v>
      </c>
      <c r="B5026" s="2" t="s">
        <v>6051</v>
      </c>
      <c r="D5026" s="2"/>
      <c r="G5026" s="2" t="s">
        <v>5653</v>
      </c>
    </row>
    <row r="5027">
      <c r="A5027" s="2" t="s">
        <v>5651</v>
      </c>
      <c r="B5027" s="2" t="s">
        <v>6052</v>
      </c>
      <c r="D5027" s="2"/>
      <c r="G5027" s="2" t="s">
        <v>5653</v>
      </c>
    </row>
    <row r="5028">
      <c r="A5028" s="2" t="s">
        <v>5651</v>
      </c>
      <c r="B5028" s="2" t="s">
        <v>6053</v>
      </c>
      <c r="D5028" s="2"/>
      <c r="G5028" s="2" t="s">
        <v>5653</v>
      </c>
    </row>
    <row r="5029">
      <c r="A5029" s="2" t="s">
        <v>5651</v>
      </c>
      <c r="B5029" s="2" t="s">
        <v>6054</v>
      </c>
      <c r="D5029" s="2"/>
      <c r="G5029" s="2" t="s">
        <v>5653</v>
      </c>
    </row>
    <row r="5030">
      <c r="A5030" s="2" t="s">
        <v>5651</v>
      </c>
      <c r="B5030" s="2" t="s">
        <v>6055</v>
      </c>
      <c r="D5030" s="2"/>
      <c r="G5030" s="2" t="s">
        <v>5653</v>
      </c>
    </row>
    <row r="5031">
      <c r="A5031" s="2" t="s">
        <v>5651</v>
      </c>
      <c r="B5031" s="2" t="s">
        <v>6056</v>
      </c>
      <c r="D5031" s="2"/>
      <c r="G5031" s="2" t="s">
        <v>5653</v>
      </c>
    </row>
    <row r="5032">
      <c r="A5032" s="2" t="s">
        <v>5651</v>
      </c>
      <c r="B5032" s="2" t="s">
        <v>6057</v>
      </c>
      <c r="D5032" s="2"/>
      <c r="G5032" s="2" t="s">
        <v>5653</v>
      </c>
    </row>
    <row r="5033">
      <c r="A5033" s="2" t="s">
        <v>5651</v>
      </c>
      <c r="B5033" s="2" t="s">
        <v>6058</v>
      </c>
      <c r="D5033" s="2"/>
      <c r="G5033" s="2" t="s">
        <v>5653</v>
      </c>
    </row>
    <row r="5034">
      <c r="A5034" s="2" t="s">
        <v>5651</v>
      </c>
      <c r="B5034" s="2" t="s">
        <v>6059</v>
      </c>
      <c r="D5034" s="2"/>
      <c r="G5034" s="2" t="s">
        <v>5653</v>
      </c>
    </row>
    <row r="5035">
      <c r="A5035" s="2" t="s">
        <v>5651</v>
      </c>
      <c r="B5035" s="2" t="s">
        <v>6060</v>
      </c>
      <c r="D5035" s="2"/>
      <c r="G5035" s="2" t="s">
        <v>5653</v>
      </c>
    </row>
    <row r="5036">
      <c r="A5036" s="2" t="s">
        <v>5651</v>
      </c>
      <c r="B5036" s="2" t="s">
        <v>6061</v>
      </c>
      <c r="D5036" s="2"/>
      <c r="G5036" s="2" t="s">
        <v>5653</v>
      </c>
    </row>
    <row r="5037">
      <c r="A5037" s="2" t="s">
        <v>5651</v>
      </c>
      <c r="B5037" s="2" t="s">
        <v>6062</v>
      </c>
      <c r="D5037" s="2"/>
      <c r="G5037" s="2" t="s">
        <v>5653</v>
      </c>
    </row>
    <row r="5038">
      <c r="A5038" s="2" t="s">
        <v>5651</v>
      </c>
      <c r="B5038" s="2" t="s">
        <v>6063</v>
      </c>
      <c r="D5038" s="2"/>
      <c r="G5038" s="2" t="s">
        <v>5653</v>
      </c>
    </row>
    <row r="5039">
      <c r="A5039" s="2" t="s">
        <v>5651</v>
      </c>
      <c r="B5039" s="2" t="s">
        <v>6064</v>
      </c>
      <c r="D5039" s="2"/>
      <c r="G5039" s="2" t="s">
        <v>5653</v>
      </c>
    </row>
    <row r="5040">
      <c r="A5040" s="2" t="s">
        <v>5651</v>
      </c>
      <c r="B5040" s="2" t="s">
        <v>6065</v>
      </c>
      <c r="D5040" s="2"/>
      <c r="G5040" s="2" t="s">
        <v>5653</v>
      </c>
    </row>
    <row r="5041">
      <c r="A5041" s="2" t="s">
        <v>5651</v>
      </c>
      <c r="B5041" s="2" t="s">
        <v>6066</v>
      </c>
      <c r="D5041" s="2"/>
      <c r="G5041" s="2" t="s">
        <v>5653</v>
      </c>
    </row>
    <row r="5042">
      <c r="A5042" s="2" t="s">
        <v>5651</v>
      </c>
      <c r="B5042" s="2" t="s">
        <v>6067</v>
      </c>
      <c r="D5042" s="2"/>
      <c r="G5042" s="2" t="s">
        <v>5653</v>
      </c>
    </row>
    <row r="5043">
      <c r="A5043" s="2" t="s">
        <v>5651</v>
      </c>
      <c r="B5043" s="2" t="s">
        <v>6068</v>
      </c>
      <c r="D5043" s="2"/>
      <c r="G5043" s="2" t="s">
        <v>5653</v>
      </c>
    </row>
    <row r="5044">
      <c r="A5044" s="2" t="s">
        <v>5651</v>
      </c>
      <c r="B5044" s="2" t="s">
        <v>6069</v>
      </c>
      <c r="D5044" s="2"/>
      <c r="G5044" s="2" t="s">
        <v>5653</v>
      </c>
    </row>
    <row r="5045">
      <c r="A5045" s="2" t="s">
        <v>5629</v>
      </c>
      <c r="B5045" s="2" t="s">
        <v>6070</v>
      </c>
      <c r="D5045" s="2"/>
      <c r="G5045" s="2" t="s">
        <v>5653</v>
      </c>
    </row>
    <row r="5046">
      <c r="A5046" s="2" t="s">
        <v>5629</v>
      </c>
      <c r="B5046" s="2" t="s">
        <v>6071</v>
      </c>
      <c r="D5046" s="2"/>
      <c r="G5046" s="2" t="s">
        <v>5653</v>
      </c>
    </row>
    <row r="5047">
      <c r="A5047" s="2" t="s">
        <v>5629</v>
      </c>
      <c r="B5047" s="2" t="s">
        <v>6072</v>
      </c>
      <c r="D5047" s="2"/>
      <c r="G5047" s="2" t="s">
        <v>5653</v>
      </c>
    </row>
    <row r="5048">
      <c r="A5048" s="2" t="s">
        <v>5629</v>
      </c>
      <c r="B5048" s="2" t="s">
        <v>6073</v>
      </c>
      <c r="D5048" s="2"/>
      <c r="G5048" s="2" t="s">
        <v>5653</v>
      </c>
    </row>
    <row r="5049">
      <c r="A5049" s="2" t="s">
        <v>5629</v>
      </c>
      <c r="B5049" s="2" t="s">
        <v>6074</v>
      </c>
      <c r="D5049" s="2"/>
      <c r="G5049" s="2" t="s">
        <v>5653</v>
      </c>
    </row>
    <row r="5050">
      <c r="A5050" s="2" t="s">
        <v>5629</v>
      </c>
      <c r="B5050" s="2" t="s">
        <v>6075</v>
      </c>
      <c r="D5050" s="2"/>
      <c r="G5050" s="2" t="s">
        <v>5653</v>
      </c>
    </row>
    <row r="5051">
      <c r="A5051" s="2" t="s">
        <v>5629</v>
      </c>
      <c r="B5051" s="2" t="s">
        <v>6076</v>
      </c>
      <c r="D5051" s="2"/>
      <c r="G5051" s="2" t="s">
        <v>5653</v>
      </c>
    </row>
    <row r="5052">
      <c r="A5052" s="2" t="s">
        <v>5629</v>
      </c>
      <c r="B5052" s="2" t="s">
        <v>6077</v>
      </c>
      <c r="D5052" s="2"/>
      <c r="G5052" s="2" t="s">
        <v>5653</v>
      </c>
    </row>
    <row r="5053">
      <c r="A5053" s="2" t="s">
        <v>5629</v>
      </c>
      <c r="B5053" s="2" t="s">
        <v>6078</v>
      </c>
      <c r="D5053" s="2"/>
      <c r="G5053" s="2" t="s">
        <v>5653</v>
      </c>
    </row>
    <row r="5054">
      <c r="A5054" s="2" t="s">
        <v>5629</v>
      </c>
      <c r="B5054" s="2" t="s">
        <v>6079</v>
      </c>
      <c r="D5054" s="2"/>
      <c r="G5054" s="2" t="s">
        <v>5653</v>
      </c>
    </row>
    <row r="5055">
      <c r="A5055" s="2" t="s">
        <v>5629</v>
      </c>
      <c r="B5055" s="2" t="s">
        <v>6080</v>
      </c>
      <c r="D5055" s="2"/>
      <c r="G5055" s="2" t="s">
        <v>5653</v>
      </c>
    </row>
    <row r="5056">
      <c r="A5056" s="2" t="s">
        <v>5629</v>
      </c>
      <c r="B5056" s="2" t="s">
        <v>6081</v>
      </c>
      <c r="D5056" s="2"/>
      <c r="G5056" s="2" t="s">
        <v>5653</v>
      </c>
    </row>
    <row r="5057">
      <c r="A5057" s="2" t="s">
        <v>5629</v>
      </c>
      <c r="B5057" s="2" t="s">
        <v>6082</v>
      </c>
      <c r="D5057" s="2"/>
      <c r="G5057" s="2" t="s">
        <v>5653</v>
      </c>
    </row>
    <row r="5058">
      <c r="A5058" s="2" t="s">
        <v>5629</v>
      </c>
      <c r="B5058" s="2" t="s">
        <v>6083</v>
      </c>
      <c r="D5058" s="2"/>
      <c r="G5058" s="2" t="s">
        <v>5653</v>
      </c>
    </row>
    <row r="5059">
      <c r="A5059" s="2" t="s">
        <v>5629</v>
      </c>
      <c r="B5059" s="2" t="s">
        <v>6084</v>
      </c>
      <c r="D5059" s="2"/>
      <c r="G5059" s="2" t="s">
        <v>5653</v>
      </c>
    </row>
    <row r="5060">
      <c r="A5060" s="2" t="s">
        <v>5629</v>
      </c>
      <c r="B5060" s="2" t="s">
        <v>6085</v>
      </c>
      <c r="D5060" s="2"/>
      <c r="G5060" s="2" t="s">
        <v>5653</v>
      </c>
    </row>
    <row r="5061">
      <c r="A5061" s="2" t="s">
        <v>5629</v>
      </c>
      <c r="B5061" s="2" t="s">
        <v>6086</v>
      </c>
      <c r="D5061" s="2"/>
      <c r="G5061" s="2" t="s">
        <v>5653</v>
      </c>
    </row>
    <row r="5062">
      <c r="A5062" s="2" t="s">
        <v>5629</v>
      </c>
      <c r="B5062" s="2" t="s">
        <v>6087</v>
      </c>
      <c r="D5062" s="2"/>
      <c r="G5062" s="2" t="s">
        <v>5653</v>
      </c>
    </row>
    <row r="5063">
      <c r="A5063" s="2" t="s">
        <v>5629</v>
      </c>
      <c r="B5063" s="2" t="s">
        <v>6088</v>
      </c>
      <c r="D5063" s="2"/>
      <c r="G5063" s="2" t="s">
        <v>5653</v>
      </c>
    </row>
    <row r="5064">
      <c r="A5064" s="2" t="s">
        <v>5629</v>
      </c>
      <c r="B5064" s="2" t="s">
        <v>6089</v>
      </c>
      <c r="D5064" s="2"/>
      <c r="G5064" s="2" t="s">
        <v>5653</v>
      </c>
    </row>
    <row r="5065">
      <c r="A5065" s="2" t="s">
        <v>5651</v>
      </c>
      <c r="B5065" s="2" t="s">
        <v>6090</v>
      </c>
      <c r="D5065" s="2" t="s">
        <v>5631</v>
      </c>
      <c r="G5065" s="2"/>
    </row>
    <row r="5066">
      <c r="A5066" s="2" t="s">
        <v>5651</v>
      </c>
      <c r="B5066" s="2" t="s">
        <v>6091</v>
      </c>
      <c r="D5066" s="2" t="s">
        <v>5631</v>
      </c>
      <c r="G5066" s="2"/>
    </row>
    <row r="5067">
      <c r="A5067" s="2" t="s">
        <v>5651</v>
      </c>
      <c r="B5067" s="2" t="s">
        <v>6092</v>
      </c>
      <c r="D5067" s="2" t="s">
        <v>5631</v>
      </c>
      <c r="G5067" s="2"/>
    </row>
    <row r="5068">
      <c r="A5068" s="2" t="s">
        <v>5651</v>
      </c>
      <c r="B5068" s="2" t="s">
        <v>6093</v>
      </c>
      <c r="D5068" s="2" t="s">
        <v>5631</v>
      </c>
      <c r="G5068" s="2"/>
    </row>
    <row r="5069">
      <c r="A5069" s="2" t="s">
        <v>5651</v>
      </c>
      <c r="B5069" s="2" t="s">
        <v>6094</v>
      </c>
      <c r="D5069" s="2" t="s">
        <v>5631</v>
      </c>
      <c r="G5069" s="2"/>
    </row>
    <row r="5070">
      <c r="A5070" s="2" t="s">
        <v>5651</v>
      </c>
      <c r="B5070" s="2" t="s">
        <v>6095</v>
      </c>
      <c r="D5070" s="2" t="s">
        <v>5631</v>
      </c>
      <c r="G5070" s="2"/>
    </row>
    <row r="5071">
      <c r="A5071" s="2" t="s">
        <v>5651</v>
      </c>
      <c r="B5071" s="2" t="s">
        <v>6096</v>
      </c>
      <c r="D5071" s="2" t="s">
        <v>5631</v>
      </c>
      <c r="G5071" s="2"/>
    </row>
    <row r="5072">
      <c r="A5072" s="2" t="s">
        <v>5651</v>
      </c>
      <c r="B5072" s="2" t="s">
        <v>6097</v>
      </c>
      <c r="D5072" s="2" t="s">
        <v>5631</v>
      </c>
      <c r="G5072" s="2"/>
    </row>
    <row r="5073">
      <c r="A5073" s="2" t="s">
        <v>5651</v>
      </c>
      <c r="B5073" s="2" t="s">
        <v>6098</v>
      </c>
      <c r="D5073" s="2" t="s">
        <v>5631</v>
      </c>
      <c r="G5073" s="2"/>
    </row>
    <row r="5074">
      <c r="A5074" s="2" t="s">
        <v>5651</v>
      </c>
      <c r="B5074" s="2" t="s">
        <v>6099</v>
      </c>
      <c r="D5074" s="2" t="s">
        <v>5631</v>
      </c>
      <c r="G5074" s="2"/>
    </row>
    <row r="5075">
      <c r="A5075" s="2" t="s">
        <v>5651</v>
      </c>
      <c r="B5075" s="2" t="s">
        <v>6100</v>
      </c>
      <c r="D5075" s="2" t="s">
        <v>5631</v>
      </c>
      <c r="G5075" s="2"/>
    </row>
    <row r="5076">
      <c r="A5076" s="2" t="s">
        <v>5651</v>
      </c>
      <c r="B5076" s="2" t="s">
        <v>6101</v>
      </c>
      <c r="D5076" s="2" t="s">
        <v>5631</v>
      </c>
      <c r="G5076" s="2"/>
    </row>
    <row r="5077">
      <c r="A5077" s="2" t="s">
        <v>5651</v>
      </c>
      <c r="B5077" s="2" t="s">
        <v>6102</v>
      </c>
      <c r="D5077" s="2" t="s">
        <v>5631</v>
      </c>
      <c r="G5077" s="2"/>
    </row>
    <row r="5078">
      <c r="A5078" s="2" t="s">
        <v>5651</v>
      </c>
      <c r="B5078" s="2" t="s">
        <v>6103</v>
      </c>
      <c r="D5078" s="2" t="s">
        <v>5631</v>
      </c>
      <c r="G5078" s="2"/>
    </row>
    <row r="5079">
      <c r="A5079" s="2" t="s">
        <v>5651</v>
      </c>
      <c r="B5079" s="2" t="s">
        <v>6104</v>
      </c>
      <c r="D5079" s="2" t="s">
        <v>5631</v>
      </c>
      <c r="G5079" s="2"/>
    </row>
    <row r="5080">
      <c r="A5080" s="2" t="s">
        <v>5651</v>
      </c>
      <c r="B5080" s="2" t="s">
        <v>6105</v>
      </c>
      <c r="D5080" s="2" t="s">
        <v>5631</v>
      </c>
      <c r="G5080" s="2"/>
    </row>
    <row r="5081">
      <c r="A5081" s="2" t="s">
        <v>5651</v>
      </c>
      <c r="B5081" s="2" t="s">
        <v>6106</v>
      </c>
      <c r="D5081" s="2" t="s">
        <v>5631</v>
      </c>
      <c r="G5081" s="2"/>
    </row>
    <row r="5082">
      <c r="A5082" s="2" t="s">
        <v>5651</v>
      </c>
      <c r="B5082" s="2" t="s">
        <v>6107</v>
      </c>
      <c r="D5082" s="2" t="s">
        <v>5631</v>
      </c>
      <c r="G5082" s="2"/>
    </row>
    <row r="5083">
      <c r="A5083" s="2" t="s">
        <v>5651</v>
      </c>
      <c r="B5083" s="2" t="s">
        <v>6108</v>
      </c>
      <c r="D5083" s="2" t="s">
        <v>5631</v>
      </c>
      <c r="G5083" s="2"/>
    </row>
    <row r="5084">
      <c r="A5084" s="2" t="s">
        <v>5651</v>
      </c>
      <c r="B5084" s="2" t="s">
        <v>6109</v>
      </c>
      <c r="D5084" s="2" t="s">
        <v>5631</v>
      </c>
      <c r="G5084" s="2"/>
    </row>
    <row r="5085">
      <c r="A5085" s="2" t="s">
        <v>5651</v>
      </c>
      <c r="B5085" s="2" t="s">
        <v>6110</v>
      </c>
      <c r="D5085" s="2" t="s">
        <v>5631</v>
      </c>
      <c r="G5085" s="2"/>
    </row>
    <row r="5086">
      <c r="A5086" s="2" t="s">
        <v>5651</v>
      </c>
      <c r="B5086" s="2" t="s">
        <v>6111</v>
      </c>
      <c r="D5086" s="2" t="s">
        <v>5631</v>
      </c>
      <c r="G5086" s="2"/>
    </row>
    <row r="5087">
      <c r="A5087" s="2" t="s">
        <v>5651</v>
      </c>
      <c r="B5087" s="2" t="s">
        <v>6112</v>
      </c>
      <c r="D5087" s="2" t="s">
        <v>5631</v>
      </c>
      <c r="G5087" s="2"/>
    </row>
    <row r="5088">
      <c r="A5088" s="2" t="s">
        <v>5651</v>
      </c>
      <c r="B5088" s="2" t="s">
        <v>6113</v>
      </c>
      <c r="D5088" s="2" t="s">
        <v>5631</v>
      </c>
      <c r="G5088" s="2"/>
    </row>
    <row r="5089">
      <c r="A5089" s="2" t="s">
        <v>5651</v>
      </c>
      <c r="B5089" s="2" t="s">
        <v>6114</v>
      </c>
      <c r="D5089" s="2" t="s">
        <v>5631</v>
      </c>
      <c r="G5089" s="2"/>
    </row>
    <row r="5090">
      <c r="A5090" s="2" t="s">
        <v>5651</v>
      </c>
      <c r="B5090" s="2" t="s">
        <v>6115</v>
      </c>
      <c r="D5090" s="2" t="s">
        <v>5631</v>
      </c>
      <c r="G5090" s="2"/>
    </row>
    <row r="5091">
      <c r="A5091" s="2" t="s">
        <v>5651</v>
      </c>
      <c r="B5091" s="2" t="s">
        <v>6116</v>
      </c>
      <c r="D5091" s="2" t="s">
        <v>5631</v>
      </c>
      <c r="G5091" s="2"/>
    </row>
    <row r="5092">
      <c r="A5092" s="2" t="s">
        <v>5651</v>
      </c>
      <c r="B5092" s="2" t="s">
        <v>6117</v>
      </c>
      <c r="D5092" s="2" t="s">
        <v>5631</v>
      </c>
      <c r="G5092" s="2"/>
    </row>
    <row r="5093">
      <c r="A5093" s="2" t="s">
        <v>5651</v>
      </c>
      <c r="B5093" s="2" t="s">
        <v>6118</v>
      </c>
      <c r="D5093" s="2" t="s">
        <v>5631</v>
      </c>
      <c r="G5093" s="2"/>
    </row>
    <row r="5094">
      <c r="A5094" s="2" t="s">
        <v>5651</v>
      </c>
      <c r="B5094" s="2" t="s">
        <v>6119</v>
      </c>
      <c r="D5094" s="2" t="s">
        <v>5631</v>
      </c>
      <c r="G5094" s="2"/>
    </row>
    <row r="5095">
      <c r="A5095" s="2" t="s">
        <v>5651</v>
      </c>
      <c r="B5095" s="2" t="s">
        <v>6120</v>
      </c>
      <c r="D5095" s="2" t="s">
        <v>5631</v>
      </c>
      <c r="G5095" s="2"/>
    </row>
    <row r="5096">
      <c r="A5096" s="2" t="s">
        <v>5651</v>
      </c>
      <c r="B5096" s="2" t="s">
        <v>6121</v>
      </c>
      <c r="D5096" s="2" t="s">
        <v>5631</v>
      </c>
      <c r="G5096" s="2"/>
    </row>
    <row r="5097">
      <c r="A5097" s="2" t="s">
        <v>5651</v>
      </c>
      <c r="B5097" s="2" t="s">
        <v>6122</v>
      </c>
      <c r="D5097" s="2" t="s">
        <v>5631</v>
      </c>
      <c r="G5097" s="2"/>
    </row>
    <row r="5098">
      <c r="A5098" s="2" t="s">
        <v>5651</v>
      </c>
      <c r="B5098" s="2" t="s">
        <v>6123</v>
      </c>
      <c r="D5098" s="2" t="s">
        <v>5631</v>
      </c>
      <c r="G5098" s="2"/>
    </row>
    <row r="5099">
      <c r="A5099" s="2" t="s">
        <v>5651</v>
      </c>
      <c r="B5099" s="2" t="s">
        <v>6124</v>
      </c>
      <c r="D5099" s="2" t="s">
        <v>5631</v>
      </c>
      <c r="G5099" s="2"/>
    </row>
    <row r="5100">
      <c r="A5100" s="2" t="s">
        <v>5651</v>
      </c>
      <c r="B5100" s="2" t="s">
        <v>6125</v>
      </c>
      <c r="D5100" s="2" t="s">
        <v>5631</v>
      </c>
      <c r="G5100" s="2"/>
    </row>
    <row r="5101">
      <c r="A5101" s="2" t="s">
        <v>5651</v>
      </c>
      <c r="B5101" s="2" t="s">
        <v>6126</v>
      </c>
      <c r="D5101" s="2" t="s">
        <v>5631</v>
      </c>
      <c r="G5101" s="2"/>
    </row>
    <row r="5102">
      <c r="A5102" s="2" t="s">
        <v>5651</v>
      </c>
      <c r="B5102" s="2" t="s">
        <v>6127</v>
      </c>
      <c r="D5102" s="2" t="s">
        <v>5631</v>
      </c>
      <c r="G5102" s="2"/>
    </row>
    <row r="5103">
      <c r="A5103" s="2" t="s">
        <v>5651</v>
      </c>
      <c r="B5103" s="2" t="s">
        <v>6128</v>
      </c>
      <c r="D5103" s="2" t="s">
        <v>5631</v>
      </c>
      <c r="G5103" s="2"/>
    </row>
    <row r="5104">
      <c r="A5104" s="2" t="s">
        <v>5651</v>
      </c>
      <c r="B5104" s="2" t="s">
        <v>6129</v>
      </c>
      <c r="D5104" s="2" t="s">
        <v>5631</v>
      </c>
      <c r="G5104" s="2"/>
    </row>
    <row r="5105">
      <c r="A5105" s="2" t="s">
        <v>5651</v>
      </c>
      <c r="B5105" s="2" t="s">
        <v>6130</v>
      </c>
      <c r="D5105" s="2" t="s">
        <v>5631</v>
      </c>
      <c r="G5105" s="2"/>
    </row>
    <row r="5106">
      <c r="A5106" s="2" t="s">
        <v>5651</v>
      </c>
      <c r="B5106" s="2" t="s">
        <v>6131</v>
      </c>
      <c r="D5106" s="2" t="s">
        <v>5631</v>
      </c>
      <c r="G5106" s="2"/>
    </row>
    <row r="5107">
      <c r="A5107" s="2" t="s">
        <v>5651</v>
      </c>
      <c r="B5107" s="2" t="s">
        <v>6132</v>
      </c>
      <c r="D5107" s="2" t="s">
        <v>5631</v>
      </c>
      <c r="G5107" s="2"/>
    </row>
    <row r="5108">
      <c r="A5108" s="2" t="s">
        <v>5651</v>
      </c>
      <c r="B5108" s="2" t="s">
        <v>6133</v>
      </c>
      <c r="D5108" s="2" t="s">
        <v>5631</v>
      </c>
      <c r="G5108" s="2"/>
    </row>
    <row r="5109">
      <c r="A5109" s="2" t="s">
        <v>5651</v>
      </c>
      <c r="B5109" s="2" t="s">
        <v>6134</v>
      </c>
      <c r="D5109" s="2" t="s">
        <v>5631</v>
      </c>
      <c r="G5109" s="2"/>
    </row>
    <row r="5110">
      <c r="A5110" s="2" t="s">
        <v>5651</v>
      </c>
      <c r="B5110" s="2" t="s">
        <v>6135</v>
      </c>
      <c r="D5110" s="2" t="s">
        <v>5631</v>
      </c>
      <c r="G5110" s="2"/>
    </row>
    <row r="5111">
      <c r="A5111" s="2" t="s">
        <v>5651</v>
      </c>
      <c r="B5111" s="2" t="s">
        <v>6136</v>
      </c>
      <c r="D5111" s="2" t="s">
        <v>5631</v>
      </c>
      <c r="G5111" s="2"/>
    </row>
    <row r="5112">
      <c r="A5112" s="2" t="s">
        <v>5651</v>
      </c>
      <c r="B5112" s="2" t="s">
        <v>6137</v>
      </c>
      <c r="D5112" s="2" t="s">
        <v>5631</v>
      </c>
      <c r="G5112" s="2"/>
    </row>
    <row r="5113">
      <c r="A5113" s="2" t="s">
        <v>5651</v>
      </c>
      <c r="B5113" s="2" t="s">
        <v>6138</v>
      </c>
      <c r="D5113" s="2" t="s">
        <v>5631</v>
      </c>
      <c r="G5113" s="2"/>
    </row>
    <row r="5114">
      <c r="A5114" s="2" t="s">
        <v>5651</v>
      </c>
      <c r="B5114" s="2" t="s">
        <v>6139</v>
      </c>
      <c r="D5114" s="2" t="s">
        <v>5631</v>
      </c>
      <c r="G5114" s="2"/>
    </row>
    <row r="5115">
      <c r="A5115" s="2" t="s">
        <v>5651</v>
      </c>
      <c r="B5115" s="2" t="s">
        <v>6140</v>
      </c>
      <c r="D5115" s="2" t="s">
        <v>5631</v>
      </c>
      <c r="G5115" s="2"/>
    </row>
    <row r="5116">
      <c r="A5116" s="2" t="s">
        <v>5651</v>
      </c>
      <c r="B5116" s="2" t="s">
        <v>6141</v>
      </c>
      <c r="D5116" s="2" t="s">
        <v>5631</v>
      </c>
      <c r="G5116" s="2"/>
    </row>
    <row r="5117">
      <c r="A5117" s="2" t="s">
        <v>5651</v>
      </c>
      <c r="B5117" s="2" t="s">
        <v>6142</v>
      </c>
      <c r="D5117" s="2" t="s">
        <v>5631</v>
      </c>
      <c r="G5117" s="2"/>
    </row>
    <row r="5118">
      <c r="A5118" s="2" t="s">
        <v>5651</v>
      </c>
      <c r="B5118" s="2" t="s">
        <v>6143</v>
      </c>
      <c r="D5118" s="2" t="s">
        <v>5631</v>
      </c>
      <c r="G5118" s="2"/>
    </row>
    <row r="5119">
      <c r="A5119" s="2" t="s">
        <v>5651</v>
      </c>
      <c r="B5119" s="2" t="s">
        <v>6144</v>
      </c>
      <c r="D5119" s="2" t="s">
        <v>5631</v>
      </c>
      <c r="G5119" s="2"/>
    </row>
    <row r="5120">
      <c r="A5120" s="2" t="s">
        <v>5651</v>
      </c>
      <c r="B5120" s="2" t="s">
        <v>6145</v>
      </c>
      <c r="D5120" s="2" t="s">
        <v>5631</v>
      </c>
      <c r="G5120" s="2"/>
    </row>
    <row r="5121">
      <c r="A5121" s="2" t="s">
        <v>5651</v>
      </c>
      <c r="B5121" s="2" t="s">
        <v>6146</v>
      </c>
      <c r="D5121" s="2" t="s">
        <v>5631</v>
      </c>
      <c r="G5121" s="2"/>
    </row>
    <row r="5122">
      <c r="A5122" s="2" t="s">
        <v>5651</v>
      </c>
      <c r="B5122" s="2" t="s">
        <v>6147</v>
      </c>
      <c r="D5122" s="2" t="s">
        <v>5631</v>
      </c>
      <c r="G5122" s="2"/>
    </row>
    <row r="5123">
      <c r="A5123" s="2" t="s">
        <v>5651</v>
      </c>
      <c r="B5123" s="2" t="s">
        <v>6148</v>
      </c>
      <c r="D5123" s="2" t="s">
        <v>5631</v>
      </c>
      <c r="G5123" s="2"/>
    </row>
    <row r="5124">
      <c r="A5124" s="2" t="s">
        <v>5651</v>
      </c>
      <c r="B5124" s="2" t="s">
        <v>6149</v>
      </c>
      <c r="D5124" s="2" t="s">
        <v>5631</v>
      </c>
      <c r="G5124" s="2"/>
    </row>
    <row r="5125">
      <c r="A5125" s="2" t="s">
        <v>5651</v>
      </c>
      <c r="B5125" s="2" t="s">
        <v>6150</v>
      </c>
      <c r="D5125" s="2" t="s">
        <v>5631</v>
      </c>
      <c r="G5125" s="2"/>
    </row>
    <row r="5126">
      <c r="A5126" s="2" t="s">
        <v>5651</v>
      </c>
      <c r="B5126" s="2" t="s">
        <v>6151</v>
      </c>
      <c r="D5126" s="2" t="s">
        <v>5631</v>
      </c>
      <c r="G5126" s="2"/>
    </row>
    <row r="5127">
      <c r="A5127" s="2" t="s">
        <v>5651</v>
      </c>
      <c r="B5127" s="2" t="s">
        <v>6152</v>
      </c>
      <c r="D5127" s="2" t="s">
        <v>5631</v>
      </c>
      <c r="G5127" s="2"/>
    </row>
    <row r="5128">
      <c r="A5128" s="2" t="s">
        <v>5651</v>
      </c>
      <c r="B5128" s="2" t="s">
        <v>6153</v>
      </c>
      <c r="D5128" s="2" t="s">
        <v>5631</v>
      </c>
      <c r="G5128" s="2"/>
    </row>
    <row r="5129">
      <c r="A5129" s="2" t="s">
        <v>5651</v>
      </c>
      <c r="B5129" s="2" t="s">
        <v>6154</v>
      </c>
      <c r="D5129" s="2" t="s">
        <v>5631</v>
      </c>
      <c r="G5129" s="2"/>
    </row>
    <row r="5130">
      <c r="A5130" s="2" t="s">
        <v>5651</v>
      </c>
      <c r="B5130" s="2" t="s">
        <v>6155</v>
      </c>
      <c r="D5130" s="2" t="s">
        <v>5631</v>
      </c>
      <c r="G5130" s="2"/>
    </row>
    <row r="5131">
      <c r="A5131" s="2" t="s">
        <v>5651</v>
      </c>
      <c r="B5131" s="2" t="s">
        <v>6156</v>
      </c>
      <c r="D5131" s="2" t="s">
        <v>5631</v>
      </c>
      <c r="G5131" s="2"/>
    </row>
    <row r="5132">
      <c r="A5132" s="2" t="s">
        <v>5651</v>
      </c>
      <c r="B5132" s="2" t="s">
        <v>6157</v>
      </c>
      <c r="D5132" s="2" t="s">
        <v>5631</v>
      </c>
      <c r="G5132" s="2"/>
    </row>
    <row r="5133">
      <c r="A5133" s="2" t="s">
        <v>5651</v>
      </c>
      <c r="B5133" s="2" t="s">
        <v>6158</v>
      </c>
      <c r="D5133" s="2" t="s">
        <v>5631</v>
      </c>
      <c r="G5133" s="2"/>
    </row>
    <row r="5134">
      <c r="A5134" s="2" t="s">
        <v>5651</v>
      </c>
      <c r="B5134" s="2" t="s">
        <v>6159</v>
      </c>
      <c r="D5134" s="2" t="s">
        <v>5631</v>
      </c>
      <c r="G5134" s="2"/>
    </row>
    <row r="5135">
      <c r="A5135" s="2" t="s">
        <v>5651</v>
      </c>
      <c r="B5135" s="2" t="s">
        <v>6160</v>
      </c>
      <c r="D5135" s="2" t="s">
        <v>5631</v>
      </c>
      <c r="G5135" s="2"/>
    </row>
    <row r="5136">
      <c r="A5136" s="2" t="s">
        <v>5651</v>
      </c>
      <c r="B5136" s="2" t="s">
        <v>6161</v>
      </c>
      <c r="D5136" s="2" t="s">
        <v>5631</v>
      </c>
      <c r="G5136" s="2"/>
    </row>
    <row r="5137">
      <c r="A5137" s="2" t="s">
        <v>5651</v>
      </c>
      <c r="B5137" s="2" t="s">
        <v>6162</v>
      </c>
      <c r="D5137" s="2" t="s">
        <v>5631</v>
      </c>
      <c r="G5137" s="2"/>
    </row>
    <row r="5138">
      <c r="A5138" s="2" t="s">
        <v>5651</v>
      </c>
      <c r="B5138" s="2" t="s">
        <v>6163</v>
      </c>
      <c r="D5138" s="2" t="s">
        <v>5631</v>
      </c>
      <c r="G5138" s="2"/>
    </row>
    <row r="5139">
      <c r="A5139" s="2" t="s">
        <v>5651</v>
      </c>
      <c r="B5139" s="2" t="s">
        <v>6164</v>
      </c>
      <c r="D5139" s="2" t="s">
        <v>5631</v>
      </c>
      <c r="G5139" s="2"/>
    </row>
    <row r="5140">
      <c r="A5140" s="2" t="s">
        <v>5651</v>
      </c>
      <c r="B5140" s="2" t="s">
        <v>6165</v>
      </c>
      <c r="D5140" s="2" t="s">
        <v>5631</v>
      </c>
      <c r="G5140" s="2"/>
    </row>
    <row r="5141">
      <c r="A5141" s="2" t="s">
        <v>5651</v>
      </c>
      <c r="B5141" s="2" t="s">
        <v>6166</v>
      </c>
      <c r="D5141" s="2" t="s">
        <v>5631</v>
      </c>
      <c r="G5141" s="2"/>
    </row>
    <row r="5142">
      <c r="A5142" s="2" t="s">
        <v>5651</v>
      </c>
      <c r="B5142" s="2" t="s">
        <v>6167</v>
      </c>
      <c r="D5142" s="2" t="s">
        <v>5631</v>
      </c>
      <c r="G5142" s="2"/>
    </row>
    <row r="5143">
      <c r="A5143" s="2" t="s">
        <v>5651</v>
      </c>
      <c r="B5143" s="2" t="s">
        <v>6168</v>
      </c>
      <c r="D5143" s="2" t="s">
        <v>5631</v>
      </c>
      <c r="G5143" s="2"/>
    </row>
    <row r="5144">
      <c r="A5144" s="2" t="s">
        <v>5651</v>
      </c>
      <c r="B5144" s="2" t="s">
        <v>6169</v>
      </c>
      <c r="D5144" s="2" t="s">
        <v>5631</v>
      </c>
      <c r="G5144" s="2"/>
    </row>
    <row r="5145">
      <c r="A5145" s="2" t="s">
        <v>5651</v>
      </c>
      <c r="B5145" s="2" t="s">
        <v>6170</v>
      </c>
      <c r="D5145" s="2" t="s">
        <v>5631</v>
      </c>
      <c r="G5145" s="2"/>
    </row>
    <row r="5146">
      <c r="A5146" s="2" t="s">
        <v>5651</v>
      </c>
      <c r="B5146" s="2" t="s">
        <v>6171</v>
      </c>
      <c r="D5146" s="2" t="s">
        <v>5631</v>
      </c>
      <c r="G5146" s="2"/>
    </row>
    <row r="5147">
      <c r="A5147" s="2" t="s">
        <v>5651</v>
      </c>
      <c r="B5147" s="2" t="s">
        <v>6172</v>
      </c>
      <c r="D5147" s="2" t="s">
        <v>5631</v>
      </c>
      <c r="G5147" s="2"/>
    </row>
    <row r="5148">
      <c r="A5148" s="2" t="s">
        <v>5651</v>
      </c>
      <c r="B5148" s="2" t="s">
        <v>6173</v>
      </c>
      <c r="D5148" s="2" t="s">
        <v>5631</v>
      </c>
      <c r="G5148" s="2"/>
    </row>
    <row r="5149">
      <c r="A5149" s="2" t="s">
        <v>5651</v>
      </c>
      <c r="B5149" s="2" t="s">
        <v>6174</v>
      </c>
      <c r="D5149" s="2" t="s">
        <v>5631</v>
      </c>
      <c r="G5149" s="2"/>
    </row>
    <row r="5150">
      <c r="A5150" s="2" t="s">
        <v>5651</v>
      </c>
      <c r="B5150" s="2" t="s">
        <v>6175</v>
      </c>
      <c r="D5150" s="2" t="s">
        <v>5631</v>
      </c>
      <c r="G5150" s="2"/>
    </row>
    <row r="5151">
      <c r="A5151" s="2" t="s">
        <v>5651</v>
      </c>
      <c r="B5151" s="2" t="s">
        <v>6176</v>
      </c>
      <c r="D5151" s="2" t="s">
        <v>5631</v>
      </c>
      <c r="G5151" s="2"/>
    </row>
    <row r="5152">
      <c r="A5152" s="2" t="s">
        <v>5651</v>
      </c>
      <c r="B5152" s="2" t="s">
        <v>6177</v>
      </c>
      <c r="D5152" s="2" t="s">
        <v>5631</v>
      </c>
      <c r="G5152" s="2"/>
    </row>
    <row r="5153">
      <c r="A5153" s="2" t="s">
        <v>5651</v>
      </c>
      <c r="B5153" s="2" t="s">
        <v>6178</v>
      </c>
      <c r="D5153" s="2" t="s">
        <v>5631</v>
      </c>
      <c r="G5153" s="2"/>
    </row>
    <row r="5154">
      <c r="A5154" s="2" t="s">
        <v>5651</v>
      </c>
      <c r="B5154" s="2" t="s">
        <v>6179</v>
      </c>
      <c r="D5154" s="2" t="s">
        <v>5631</v>
      </c>
      <c r="G5154" s="2"/>
    </row>
    <row r="5155">
      <c r="A5155" s="2" t="s">
        <v>5651</v>
      </c>
      <c r="B5155" s="2" t="s">
        <v>6180</v>
      </c>
      <c r="D5155" s="2" t="s">
        <v>5631</v>
      </c>
      <c r="G5155" s="2"/>
    </row>
    <row r="5156">
      <c r="A5156" s="2" t="s">
        <v>5651</v>
      </c>
      <c r="B5156" s="2" t="s">
        <v>6181</v>
      </c>
      <c r="D5156" s="2" t="s">
        <v>5631</v>
      </c>
      <c r="G5156" s="2"/>
    </row>
    <row r="5157">
      <c r="A5157" s="2" t="s">
        <v>5651</v>
      </c>
      <c r="B5157" s="2" t="s">
        <v>6182</v>
      </c>
      <c r="D5157" s="2" t="s">
        <v>5631</v>
      </c>
      <c r="G5157" s="2"/>
    </row>
    <row r="5158">
      <c r="A5158" s="2" t="s">
        <v>5651</v>
      </c>
      <c r="B5158" s="2" t="s">
        <v>6183</v>
      </c>
      <c r="D5158" s="2" t="s">
        <v>5631</v>
      </c>
      <c r="G5158" s="2"/>
    </row>
    <row r="5159">
      <c r="A5159" s="2" t="s">
        <v>5651</v>
      </c>
      <c r="B5159" s="2" t="s">
        <v>6184</v>
      </c>
      <c r="D5159" s="2" t="s">
        <v>5631</v>
      </c>
      <c r="G5159" s="2"/>
    </row>
    <row r="5160">
      <c r="A5160" s="2" t="s">
        <v>5651</v>
      </c>
      <c r="B5160" s="2" t="s">
        <v>6185</v>
      </c>
      <c r="D5160" s="2" t="s">
        <v>5631</v>
      </c>
      <c r="G5160" s="2"/>
    </row>
    <row r="5161">
      <c r="A5161" s="2" t="s">
        <v>5651</v>
      </c>
      <c r="B5161" s="2" t="s">
        <v>6186</v>
      </c>
      <c r="D5161" s="2" t="s">
        <v>5631</v>
      </c>
      <c r="G5161" s="2"/>
    </row>
    <row r="5162">
      <c r="A5162" s="2" t="s">
        <v>5651</v>
      </c>
      <c r="B5162" s="2" t="s">
        <v>6187</v>
      </c>
      <c r="D5162" s="2" t="s">
        <v>5631</v>
      </c>
      <c r="G5162" s="2"/>
    </row>
    <row r="5163">
      <c r="A5163" s="2" t="s">
        <v>5651</v>
      </c>
      <c r="B5163" s="2" t="s">
        <v>6188</v>
      </c>
      <c r="D5163" s="2" t="s">
        <v>5631</v>
      </c>
      <c r="G5163" s="2"/>
    </row>
    <row r="5164">
      <c r="A5164" s="2" t="s">
        <v>5651</v>
      </c>
      <c r="B5164" s="2" t="s">
        <v>6189</v>
      </c>
      <c r="D5164" s="2" t="s">
        <v>5631</v>
      </c>
      <c r="G5164" s="2"/>
    </row>
    <row r="5165">
      <c r="A5165" s="2" t="s">
        <v>5651</v>
      </c>
      <c r="B5165" s="2" t="s">
        <v>6190</v>
      </c>
      <c r="D5165" s="2" t="s">
        <v>5631</v>
      </c>
      <c r="G5165" s="2"/>
    </row>
    <row r="5166">
      <c r="A5166" s="2" t="s">
        <v>5651</v>
      </c>
      <c r="B5166" s="2" t="s">
        <v>6191</v>
      </c>
      <c r="D5166" s="2" t="s">
        <v>5631</v>
      </c>
      <c r="G5166" s="2"/>
    </row>
    <row r="5167">
      <c r="A5167" s="2" t="s">
        <v>5651</v>
      </c>
      <c r="B5167" s="2" t="s">
        <v>6192</v>
      </c>
      <c r="D5167" s="2" t="s">
        <v>5631</v>
      </c>
      <c r="G5167" s="2"/>
    </row>
    <row r="5168">
      <c r="A5168" s="2" t="s">
        <v>5651</v>
      </c>
      <c r="B5168" s="2" t="s">
        <v>6193</v>
      </c>
      <c r="D5168" s="2" t="s">
        <v>5631</v>
      </c>
      <c r="G5168" s="2"/>
    </row>
    <row r="5169">
      <c r="A5169" s="2" t="s">
        <v>5651</v>
      </c>
      <c r="B5169" s="2" t="s">
        <v>6194</v>
      </c>
      <c r="D5169" s="2" t="s">
        <v>5631</v>
      </c>
      <c r="G5169" s="2"/>
    </row>
    <row r="5170">
      <c r="A5170" s="2" t="s">
        <v>5651</v>
      </c>
      <c r="B5170" s="2" t="s">
        <v>6195</v>
      </c>
      <c r="D5170" s="2" t="s">
        <v>5631</v>
      </c>
      <c r="G5170" s="2"/>
    </row>
    <row r="5171">
      <c r="A5171" s="2" t="s">
        <v>5651</v>
      </c>
      <c r="B5171" s="2" t="s">
        <v>6196</v>
      </c>
      <c r="D5171" s="2" t="s">
        <v>5631</v>
      </c>
      <c r="G5171" s="2"/>
    </row>
    <row r="5172">
      <c r="A5172" s="2" t="s">
        <v>5651</v>
      </c>
      <c r="B5172" s="2" t="s">
        <v>6197</v>
      </c>
      <c r="D5172" s="2" t="s">
        <v>5631</v>
      </c>
      <c r="G5172" s="2"/>
    </row>
    <row r="5173">
      <c r="A5173" s="2" t="s">
        <v>5651</v>
      </c>
      <c r="B5173" s="2" t="s">
        <v>6198</v>
      </c>
      <c r="D5173" s="2" t="s">
        <v>5631</v>
      </c>
      <c r="G5173" s="2"/>
    </row>
    <row r="5174">
      <c r="A5174" s="2" t="s">
        <v>5651</v>
      </c>
      <c r="B5174" s="2" t="s">
        <v>6199</v>
      </c>
      <c r="D5174" s="2" t="s">
        <v>5631</v>
      </c>
      <c r="G5174" s="2"/>
    </row>
    <row r="5175">
      <c r="A5175" s="2" t="s">
        <v>5651</v>
      </c>
      <c r="B5175" s="2" t="s">
        <v>6200</v>
      </c>
      <c r="D5175" s="2" t="s">
        <v>5631</v>
      </c>
      <c r="G5175" s="2"/>
    </row>
    <row r="5176">
      <c r="A5176" s="2" t="s">
        <v>5651</v>
      </c>
      <c r="B5176" s="2" t="s">
        <v>6201</v>
      </c>
      <c r="D5176" s="2" t="s">
        <v>5631</v>
      </c>
      <c r="G5176" s="2"/>
    </row>
    <row r="5177">
      <c r="A5177" s="2" t="s">
        <v>5651</v>
      </c>
      <c r="B5177" s="2" t="s">
        <v>6202</v>
      </c>
      <c r="D5177" s="2" t="s">
        <v>5631</v>
      </c>
      <c r="G5177" s="2"/>
    </row>
    <row r="5178">
      <c r="A5178" s="2" t="s">
        <v>5651</v>
      </c>
      <c r="B5178" s="2" t="s">
        <v>6203</v>
      </c>
      <c r="D5178" s="2" t="s">
        <v>5631</v>
      </c>
      <c r="G5178" s="2"/>
    </row>
    <row r="5179">
      <c r="A5179" s="2" t="s">
        <v>5651</v>
      </c>
      <c r="B5179" s="2" t="s">
        <v>6204</v>
      </c>
      <c r="D5179" s="2" t="s">
        <v>5631</v>
      </c>
      <c r="G5179" s="2"/>
    </row>
    <row r="5180">
      <c r="A5180" s="2" t="s">
        <v>5651</v>
      </c>
      <c r="B5180" s="2" t="s">
        <v>6205</v>
      </c>
      <c r="D5180" s="2" t="s">
        <v>5631</v>
      </c>
      <c r="G5180" s="2"/>
    </row>
    <row r="5181">
      <c r="A5181" s="2" t="s">
        <v>5651</v>
      </c>
      <c r="B5181" s="2" t="s">
        <v>6206</v>
      </c>
      <c r="D5181" s="2" t="s">
        <v>5631</v>
      </c>
      <c r="G5181" s="2"/>
    </row>
    <row r="5182">
      <c r="A5182" s="2" t="s">
        <v>5651</v>
      </c>
      <c r="B5182" s="2" t="s">
        <v>6207</v>
      </c>
      <c r="D5182" s="2" t="s">
        <v>5631</v>
      </c>
      <c r="G5182" s="2"/>
    </row>
    <row r="5183">
      <c r="A5183" s="2" t="s">
        <v>5651</v>
      </c>
      <c r="B5183" s="2" t="s">
        <v>6208</v>
      </c>
      <c r="D5183" s="2" t="s">
        <v>5631</v>
      </c>
      <c r="G5183" s="2"/>
    </row>
    <row r="5184">
      <c r="A5184" s="2" t="s">
        <v>5651</v>
      </c>
      <c r="B5184" s="2" t="s">
        <v>6209</v>
      </c>
      <c r="D5184" s="2" t="s">
        <v>5631</v>
      </c>
      <c r="G5184" s="2"/>
    </row>
    <row r="5185">
      <c r="A5185" s="2" t="s">
        <v>5651</v>
      </c>
      <c r="B5185" s="2" t="s">
        <v>6210</v>
      </c>
      <c r="D5185" s="2" t="s">
        <v>5631</v>
      </c>
      <c r="G5185" s="2"/>
    </row>
    <row r="5186">
      <c r="A5186" s="2" t="s">
        <v>5651</v>
      </c>
      <c r="B5186" s="2" t="s">
        <v>6211</v>
      </c>
      <c r="D5186" s="2" t="s">
        <v>5631</v>
      </c>
      <c r="G5186" s="2"/>
    </row>
    <row r="5187">
      <c r="A5187" s="2" t="s">
        <v>5651</v>
      </c>
      <c r="B5187" s="2" t="s">
        <v>6212</v>
      </c>
      <c r="D5187" s="2" t="s">
        <v>5631</v>
      </c>
      <c r="G5187" s="2"/>
    </row>
    <row r="5188">
      <c r="A5188" s="2" t="s">
        <v>5651</v>
      </c>
      <c r="B5188" s="2" t="s">
        <v>6213</v>
      </c>
      <c r="D5188" s="2" t="s">
        <v>5631</v>
      </c>
      <c r="G5188" s="2"/>
    </row>
    <row r="5189">
      <c r="A5189" s="2" t="s">
        <v>5651</v>
      </c>
      <c r="B5189" s="2" t="s">
        <v>6214</v>
      </c>
      <c r="D5189" s="2" t="s">
        <v>5631</v>
      </c>
      <c r="G5189" s="2"/>
    </row>
    <row r="5190">
      <c r="A5190" s="2" t="s">
        <v>5651</v>
      </c>
      <c r="B5190" s="2" t="s">
        <v>6215</v>
      </c>
      <c r="D5190" s="2" t="s">
        <v>5631</v>
      </c>
      <c r="G5190" s="2"/>
    </row>
    <row r="5191">
      <c r="A5191" s="2" t="s">
        <v>5651</v>
      </c>
      <c r="B5191" s="2" t="s">
        <v>6216</v>
      </c>
      <c r="D5191" s="2" t="s">
        <v>5631</v>
      </c>
      <c r="G5191" s="2"/>
    </row>
    <row r="5192">
      <c r="A5192" s="2" t="s">
        <v>5651</v>
      </c>
      <c r="B5192" s="2" t="s">
        <v>6217</v>
      </c>
      <c r="D5192" s="2" t="s">
        <v>5631</v>
      </c>
      <c r="G5192" s="2"/>
    </row>
    <row r="5193">
      <c r="A5193" s="2" t="s">
        <v>5651</v>
      </c>
      <c r="B5193" s="2" t="s">
        <v>6218</v>
      </c>
      <c r="D5193" s="2" t="s">
        <v>5631</v>
      </c>
      <c r="G5193" s="2"/>
    </row>
    <row r="5194">
      <c r="A5194" s="2" t="s">
        <v>5651</v>
      </c>
      <c r="B5194" s="2" t="s">
        <v>6219</v>
      </c>
      <c r="D5194" s="2" t="s">
        <v>5631</v>
      </c>
      <c r="G5194" s="2"/>
    </row>
    <row r="5195">
      <c r="A5195" s="2" t="s">
        <v>5651</v>
      </c>
      <c r="B5195" s="2" t="s">
        <v>6220</v>
      </c>
      <c r="D5195" s="2" t="s">
        <v>5631</v>
      </c>
      <c r="G5195" s="2"/>
    </row>
    <row r="5196">
      <c r="A5196" s="2" t="s">
        <v>5651</v>
      </c>
      <c r="B5196" s="2" t="s">
        <v>6221</v>
      </c>
      <c r="D5196" s="2" t="s">
        <v>5631</v>
      </c>
      <c r="G5196" s="2"/>
    </row>
    <row r="5197">
      <c r="A5197" s="2" t="s">
        <v>5651</v>
      </c>
      <c r="B5197" s="2" t="s">
        <v>6222</v>
      </c>
      <c r="D5197" s="2" t="s">
        <v>5631</v>
      </c>
      <c r="G5197" s="2"/>
    </row>
    <row r="5198">
      <c r="A5198" s="2" t="s">
        <v>5651</v>
      </c>
      <c r="B5198" s="2" t="s">
        <v>6223</v>
      </c>
      <c r="D5198" s="2" t="s">
        <v>5631</v>
      </c>
      <c r="G5198" s="2"/>
    </row>
    <row r="5199">
      <c r="A5199" s="2" t="s">
        <v>5651</v>
      </c>
      <c r="B5199" s="2" t="s">
        <v>6224</v>
      </c>
      <c r="D5199" s="2" t="s">
        <v>5631</v>
      </c>
      <c r="G5199" s="2"/>
    </row>
    <row r="5200">
      <c r="A5200" s="2" t="s">
        <v>5651</v>
      </c>
      <c r="B5200" s="2" t="s">
        <v>6225</v>
      </c>
      <c r="D5200" s="2" t="s">
        <v>5631</v>
      </c>
      <c r="G5200" s="2"/>
    </row>
    <row r="5201">
      <c r="A5201" s="2" t="s">
        <v>5651</v>
      </c>
      <c r="B5201" s="2" t="s">
        <v>6226</v>
      </c>
      <c r="D5201" s="2" t="s">
        <v>5631</v>
      </c>
      <c r="G5201" s="2"/>
    </row>
    <row r="5202">
      <c r="A5202" s="2" t="s">
        <v>5651</v>
      </c>
      <c r="B5202" s="2" t="s">
        <v>6227</v>
      </c>
      <c r="D5202" s="2" t="s">
        <v>5631</v>
      </c>
      <c r="G5202" s="2"/>
    </row>
    <row r="5203">
      <c r="A5203" s="2" t="s">
        <v>5651</v>
      </c>
      <c r="B5203" s="2" t="s">
        <v>6228</v>
      </c>
      <c r="D5203" s="2" t="s">
        <v>5631</v>
      </c>
      <c r="G5203" s="2"/>
    </row>
    <row r="5204">
      <c r="A5204" s="2" t="s">
        <v>5651</v>
      </c>
      <c r="B5204" s="2" t="s">
        <v>6229</v>
      </c>
      <c r="D5204" s="2" t="s">
        <v>5631</v>
      </c>
      <c r="G5204" s="2"/>
    </row>
    <row r="5205">
      <c r="A5205" s="2" t="s">
        <v>5651</v>
      </c>
      <c r="B5205" s="2" t="s">
        <v>6230</v>
      </c>
      <c r="D5205" s="2" t="s">
        <v>5631</v>
      </c>
      <c r="G5205" s="2"/>
    </row>
    <row r="5206">
      <c r="A5206" s="2" t="s">
        <v>5651</v>
      </c>
      <c r="B5206" s="2" t="s">
        <v>6231</v>
      </c>
      <c r="D5206" s="2" t="s">
        <v>5631</v>
      </c>
      <c r="G5206" s="2"/>
    </row>
    <row r="5207">
      <c r="A5207" s="2" t="s">
        <v>5651</v>
      </c>
      <c r="B5207" s="2" t="s">
        <v>6232</v>
      </c>
      <c r="D5207" s="2" t="s">
        <v>5631</v>
      </c>
      <c r="G5207" s="2"/>
    </row>
    <row r="5208">
      <c r="A5208" s="2" t="s">
        <v>5651</v>
      </c>
      <c r="B5208" s="2" t="s">
        <v>6233</v>
      </c>
      <c r="D5208" s="2" t="s">
        <v>5631</v>
      </c>
      <c r="G5208" s="2"/>
    </row>
    <row r="5209">
      <c r="A5209" s="2" t="s">
        <v>5651</v>
      </c>
      <c r="B5209" s="2" t="s">
        <v>6234</v>
      </c>
      <c r="D5209" s="2" t="s">
        <v>5631</v>
      </c>
      <c r="G5209" s="2"/>
    </row>
    <row r="5210">
      <c r="A5210" s="2" t="s">
        <v>5651</v>
      </c>
      <c r="B5210" s="2" t="s">
        <v>6235</v>
      </c>
      <c r="D5210" s="2" t="s">
        <v>5631</v>
      </c>
      <c r="G5210" s="2"/>
    </row>
    <row r="5211">
      <c r="A5211" s="2" t="s">
        <v>5651</v>
      </c>
      <c r="B5211" s="2" t="s">
        <v>6236</v>
      </c>
      <c r="D5211" s="2" t="s">
        <v>5631</v>
      </c>
      <c r="G5211" s="2"/>
    </row>
    <row r="5212">
      <c r="A5212" s="2" t="s">
        <v>5651</v>
      </c>
      <c r="B5212" s="2" t="s">
        <v>6237</v>
      </c>
      <c r="D5212" s="2" t="s">
        <v>5631</v>
      </c>
      <c r="G5212" s="2"/>
    </row>
    <row r="5213">
      <c r="A5213" s="2" t="s">
        <v>5651</v>
      </c>
      <c r="B5213" s="2" t="s">
        <v>6238</v>
      </c>
      <c r="D5213" s="2" t="s">
        <v>5631</v>
      </c>
      <c r="G5213" s="2"/>
    </row>
    <row r="5214">
      <c r="A5214" s="2" t="s">
        <v>5651</v>
      </c>
      <c r="B5214" s="2" t="s">
        <v>6239</v>
      </c>
      <c r="D5214" s="2" t="s">
        <v>5631</v>
      </c>
      <c r="G5214" s="2"/>
    </row>
    <row r="5215">
      <c r="A5215" s="2" t="s">
        <v>5651</v>
      </c>
      <c r="B5215" s="2" t="s">
        <v>6240</v>
      </c>
      <c r="D5215" s="2" t="s">
        <v>5631</v>
      </c>
      <c r="G5215" s="2"/>
    </row>
    <row r="5216">
      <c r="A5216" s="2" t="s">
        <v>5651</v>
      </c>
      <c r="B5216" s="2" t="s">
        <v>6241</v>
      </c>
      <c r="D5216" s="2" t="s">
        <v>5631</v>
      </c>
      <c r="G5216" s="2"/>
    </row>
    <row r="5217">
      <c r="A5217" s="2" t="s">
        <v>5651</v>
      </c>
      <c r="B5217" s="2" t="s">
        <v>6242</v>
      </c>
      <c r="D5217" s="2" t="s">
        <v>5631</v>
      </c>
      <c r="G5217" s="2"/>
    </row>
    <row r="5218">
      <c r="A5218" s="2" t="s">
        <v>5651</v>
      </c>
      <c r="B5218" s="2" t="s">
        <v>6243</v>
      </c>
      <c r="D5218" s="2" t="s">
        <v>5631</v>
      </c>
      <c r="G5218" s="2"/>
    </row>
    <row r="5219">
      <c r="A5219" s="2" t="s">
        <v>5651</v>
      </c>
      <c r="B5219" s="2" t="s">
        <v>6244</v>
      </c>
      <c r="D5219" s="2" t="s">
        <v>5631</v>
      </c>
      <c r="G5219" s="2"/>
    </row>
    <row r="5220">
      <c r="A5220" s="2" t="s">
        <v>5651</v>
      </c>
      <c r="B5220" s="2" t="s">
        <v>6245</v>
      </c>
      <c r="D5220" s="2" t="s">
        <v>5631</v>
      </c>
      <c r="G5220" s="2"/>
    </row>
    <row r="5221">
      <c r="A5221" s="2" t="s">
        <v>5651</v>
      </c>
      <c r="B5221" s="2" t="s">
        <v>6246</v>
      </c>
      <c r="D5221" s="2" t="s">
        <v>5631</v>
      </c>
      <c r="G5221" s="2"/>
    </row>
    <row r="5222">
      <c r="A5222" s="2" t="s">
        <v>5651</v>
      </c>
      <c r="B5222" s="2" t="s">
        <v>6247</v>
      </c>
      <c r="D5222" s="2" t="s">
        <v>5631</v>
      </c>
      <c r="G5222" s="2"/>
    </row>
    <row r="5223">
      <c r="A5223" s="2" t="s">
        <v>5651</v>
      </c>
      <c r="B5223" s="2" t="s">
        <v>6248</v>
      </c>
      <c r="D5223" s="2" t="s">
        <v>5631</v>
      </c>
      <c r="G5223" s="2"/>
    </row>
    <row r="5224">
      <c r="A5224" s="2" t="s">
        <v>5651</v>
      </c>
      <c r="B5224" s="2" t="s">
        <v>6249</v>
      </c>
      <c r="D5224" s="2" t="s">
        <v>5631</v>
      </c>
      <c r="G5224" s="2"/>
    </row>
    <row r="5225">
      <c r="A5225" s="2" t="s">
        <v>5651</v>
      </c>
      <c r="B5225" s="2" t="s">
        <v>6250</v>
      </c>
      <c r="D5225" s="2" t="s">
        <v>5631</v>
      </c>
      <c r="G5225" s="2"/>
    </row>
    <row r="5226">
      <c r="A5226" s="2" t="s">
        <v>5651</v>
      </c>
      <c r="B5226" s="2" t="s">
        <v>6251</v>
      </c>
      <c r="D5226" s="2" t="s">
        <v>5631</v>
      </c>
      <c r="G5226" s="2"/>
    </row>
    <row r="5227">
      <c r="A5227" s="2" t="s">
        <v>5651</v>
      </c>
      <c r="B5227" s="2" t="s">
        <v>6252</v>
      </c>
      <c r="D5227" s="2" t="s">
        <v>5631</v>
      </c>
      <c r="G5227" s="2"/>
    </row>
    <row r="5228">
      <c r="A5228" s="2" t="s">
        <v>5651</v>
      </c>
      <c r="B5228" s="2" t="s">
        <v>6253</v>
      </c>
      <c r="D5228" s="2" t="s">
        <v>5631</v>
      </c>
      <c r="G5228" s="2"/>
    </row>
    <row r="5229">
      <c r="A5229" s="2" t="s">
        <v>5651</v>
      </c>
      <c r="B5229" s="2" t="s">
        <v>6254</v>
      </c>
      <c r="D5229" s="2" t="s">
        <v>5631</v>
      </c>
      <c r="G5229" s="2"/>
    </row>
    <row r="5230">
      <c r="A5230" s="2" t="s">
        <v>5651</v>
      </c>
      <c r="B5230" s="2" t="s">
        <v>6255</v>
      </c>
      <c r="D5230" s="2" t="s">
        <v>5631</v>
      </c>
      <c r="G5230" s="2"/>
    </row>
    <row r="5231">
      <c r="A5231" s="2" t="s">
        <v>5651</v>
      </c>
      <c r="B5231" s="2" t="s">
        <v>6256</v>
      </c>
      <c r="D5231" s="2" t="s">
        <v>5631</v>
      </c>
      <c r="G5231" s="2"/>
    </row>
    <row r="5232">
      <c r="A5232" s="2" t="s">
        <v>5651</v>
      </c>
      <c r="B5232" s="2" t="s">
        <v>6257</v>
      </c>
      <c r="D5232" s="2" t="s">
        <v>5631</v>
      </c>
      <c r="G5232" s="2"/>
    </row>
    <row r="5233">
      <c r="A5233" s="2" t="s">
        <v>5651</v>
      </c>
      <c r="B5233" s="2" t="s">
        <v>6258</v>
      </c>
      <c r="D5233" s="2" t="s">
        <v>5631</v>
      </c>
      <c r="G5233" s="2"/>
    </row>
    <row r="5234">
      <c r="A5234" s="2" t="s">
        <v>5651</v>
      </c>
      <c r="B5234" s="2" t="s">
        <v>6259</v>
      </c>
      <c r="D5234" s="2" t="s">
        <v>5631</v>
      </c>
      <c r="G5234" s="2"/>
    </row>
    <row r="5235">
      <c r="A5235" s="2" t="s">
        <v>5651</v>
      </c>
      <c r="B5235" s="2" t="s">
        <v>6260</v>
      </c>
      <c r="D5235" s="2" t="s">
        <v>5631</v>
      </c>
      <c r="G5235" s="2"/>
    </row>
    <row r="5236">
      <c r="A5236" s="2" t="s">
        <v>5651</v>
      </c>
      <c r="B5236" s="2" t="s">
        <v>6261</v>
      </c>
      <c r="D5236" s="2" t="s">
        <v>5631</v>
      </c>
      <c r="G5236" s="2"/>
    </row>
    <row r="5237">
      <c r="A5237" s="2" t="s">
        <v>5651</v>
      </c>
      <c r="B5237" s="2" t="s">
        <v>6262</v>
      </c>
      <c r="D5237" s="2" t="s">
        <v>5631</v>
      </c>
      <c r="G5237" s="2"/>
    </row>
    <row r="5238">
      <c r="A5238" s="2" t="s">
        <v>5651</v>
      </c>
      <c r="B5238" s="2" t="s">
        <v>6263</v>
      </c>
      <c r="D5238" s="2" t="s">
        <v>5631</v>
      </c>
      <c r="G5238" s="2"/>
    </row>
    <row r="5239">
      <c r="A5239" s="2" t="s">
        <v>5651</v>
      </c>
      <c r="B5239" s="2" t="s">
        <v>6264</v>
      </c>
      <c r="D5239" s="2" t="s">
        <v>5631</v>
      </c>
      <c r="G5239" s="2"/>
    </row>
    <row r="5240">
      <c r="A5240" s="2" t="s">
        <v>5651</v>
      </c>
      <c r="B5240" s="2" t="s">
        <v>6265</v>
      </c>
      <c r="D5240" s="2" t="s">
        <v>5631</v>
      </c>
      <c r="G5240" s="2"/>
    </row>
    <row r="5241">
      <c r="A5241" s="2" t="s">
        <v>5651</v>
      </c>
      <c r="B5241" s="2" t="s">
        <v>6266</v>
      </c>
      <c r="D5241" s="2" t="s">
        <v>5631</v>
      </c>
      <c r="G5241" s="2"/>
    </row>
    <row r="5242">
      <c r="A5242" s="2" t="s">
        <v>5651</v>
      </c>
      <c r="B5242" s="2" t="s">
        <v>6267</v>
      </c>
      <c r="D5242" s="2" t="s">
        <v>5631</v>
      </c>
      <c r="G5242" s="2"/>
    </row>
    <row r="5243">
      <c r="A5243" s="2" t="s">
        <v>5651</v>
      </c>
      <c r="B5243" s="2" t="s">
        <v>6268</v>
      </c>
      <c r="D5243" s="2" t="s">
        <v>5631</v>
      </c>
      <c r="G5243" s="2"/>
    </row>
    <row r="5244">
      <c r="A5244" s="2" t="s">
        <v>5651</v>
      </c>
      <c r="B5244" s="2" t="s">
        <v>6269</v>
      </c>
      <c r="D5244" s="2" t="s">
        <v>5631</v>
      </c>
      <c r="G5244" s="2"/>
    </row>
    <row r="5245">
      <c r="A5245" s="2" t="s">
        <v>5651</v>
      </c>
      <c r="B5245" s="2" t="s">
        <v>6270</v>
      </c>
      <c r="D5245" s="2" t="s">
        <v>5631</v>
      </c>
      <c r="G5245" s="2"/>
    </row>
    <row r="5246">
      <c r="A5246" s="2" t="s">
        <v>5651</v>
      </c>
      <c r="B5246" s="2" t="s">
        <v>6271</v>
      </c>
      <c r="D5246" s="2" t="s">
        <v>5631</v>
      </c>
      <c r="G5246" s="2"/>
    </row>
    <row r="5247">
      <c r="A5247" s="2" t="s">
        <v>5651</v>
      </c>
      <c r="B5247" s="2" t="s">
        <v>6272</v>
      </c>
      <c r="D5247" s="2" t="s">
        <v>5631</v>
      </c>
      <c r="G5247" s="2"/>
    </row>
    <row r="5248">
      <c r="A5248" s="2" t="s">
        <v>5651</v>
      </c>
      <c r="B5248" s="2" t="s">
        <v>6273</v>
      </c>
      <c r="D5248" s="2" t="s">
        <v>5631</v>
      </c>
      <c r="G5248" s="2"/>
    </row>
    <row r="5249">
      <c r="A5249" s="2" t="s">
        <v>5651</v>
      </c>
      <c r="B5249" s="2" t="s">
        <v>6274</v>
      </c>
      <c r="D5249" s="2" t="s">
        <v>5631</v>
      </c>
      <c r="G5249" s="2"/>
    </row>
    <row r="5250">
      <c r="A5250" s="2" t="s">
        <v>5651</v>
      </c>
      <c r="B5250" s="2" t="s">
        <v>6275</v>
      </c>
      <c r="D5250" s="2" t="s">
        <v>5631</v>
      </c>
      <c r="G5250" s="2"/>
    </row>
    <row r="5251">
      <c r="A5251" s="2" t="s">
        <v>5651</v>
      </c>
      <c r="B5251" s="2" t="s">
        <v>6276</v>
      </c>
      <c r="D5251" s="2" t="s">
        <v>5631</v>
      </c>
      <c r="G5251" s="2"/>
    </row>
    <row r="5252">
      <c r="A5252" s="2" t="s">
        <v>5651</v>
      </c>
      <c r="B5252" s="2" t="s">
        <v>6277</v>
      </c>
      <c r="D5252" s="2" t="s">
        <v>5631</v>
      </c>
      <c r="G5252" s="2"/>
    </row>
    <row r="5253">
      <c r="A5253" s="2" t="s">
        <v>5651</v>
      </c>
      <c r="B5253" s="2" t="s">
        <v>6278</v>
      </c>
      <c r="D5253" s="2" t="s">
        <v>5631</v>
      </c>
      <c r="G5253" s="2"/>
    </row>
    <row r="5254">
      <c r="A5254" s="2" t="s">
        <v>5651</v>
      </c>
      <c r="B5254" s="2" t="s">
        <v>6279</v>
      </c>
      <c r="D5254" s="2" t="s">
        <v>5631</v>
      </c>
      <c r="G5254" s="2"/>
    </row>
    <row r="5255">
      <c r="A5255" s="2" t="s">
        <v>5651</v>
      </c>
      <c r="B5255" s="2" t="s">
        <v>6280</v>
      </c>
      <c r="D5255" s="2" t="s">
        <v>5631</v>
      </c>
      <c r="G5255" s="2"/>
    </row>
    <row r="5256">
      <c r="A5256" s="2" t="s">
        <v>5651</v>
      </c>
      <c r="B5256" s="2" t="s">
        <v>6281</v>
      </c>
      <c r="D5256" s="2" t="s">
        <v>5631</v>
      </c>
      <c r="G5256" s="2"/>
    </row>
    <row r="5257">
      <c r="A5257" s="2" t="s">
        <v>5651</v>
      </c>
      <c r="B5257" s="2" t="s">
        <v>6282</v>
      </c>
      <c r="D5257" s="2" t="s">
        <v>5631</v>
      </c>
      <c r="G5257" s="2"/>
    </row>
    <row r="5258">
      <c r="A5258" s="2" t="s">
        <v>5651</v>
      </c>
      <c r="B5258" s="2" t="s">
        <v>6283</v>
      </c>
      <c r="D5258" s="2" t="s">
        <v>5631</v>
      </c>
      <c r="G5258" s="2"/>
    </row>
    <row r="5259">
      <c r="A5259" s="2" t="s">
        <v>5651</v>
      </c>
      <c r="B5259" s="2" t="s">
        <v>6284</v>
      </c>
      <c r="D5259" s="2" t="s">
        <v>5631</v>
      </c>
      <c r="G5259" s="2"/>
    </row>
    <row r="5260">
      <c r="A5260" s="2" t="s">
        <v>5651</v>
      </c>
      <c r="B5260" s="2" t="s">
        <v>6285</v>
      </c>
      <c r="D5260" s="2" t="s">
        <v>5631</v>
      </c>
      <c r="G5260" s="2"/>
    </row>
    <row r="5261">
      <c r="A5261" s="2" t="s">
        <v>5651</v>
      </c>
      <c r="B5261" s="2" t="s">
        <v>6286</v>
      </c>
      <c r="D5261" s="2" t="s">
        <v>5631</v>
      </c>
      <c r="G5261" s="2"/>
    </row>
    <row r="5262">
      <c r="A5262" s="2" t="s">
        <v>5651</v>
      </c>
      <c r="B5262" s="2" t="s">
        <v>6287</v>
      </c>
      <c r="D5262" s="2" t="s">
        <v>5631</v>
      </c>
      <c r="G5262" s="2"/>
    </row>
    <row r="5263">
      <c r="A5263" s="2" t="s">
        <v>5651</v>
      </c>
      <c r="B5263" s="2" t="s">
        <v>6288</v>
      </c>
      <c r="D5263" s="2" t="s">
        <v>5631</v>
      </c>
      <c r="G5263" s="2"/>
    </row>
    <row r="5264">
      <c r="A5264" s="2" t="s">
        <v>5651</v>
      </c>
      <c r="B5264" s="2" t="s">
        <v>6289</v>
      </c>
      <c r="D5264" s="2" t="s">
        <v>5631</v>
      </c>
      <c r="G5264" s="2"/>
    </row>
    <row r="5265">
      <c r="A5265" s="2" t="s">
        <v>5651</v>
      </c>
      <c r="B5265" s="2" t="s">
        <v>6290</v>
      </c>
      <c r="D5265" s="2" t="s">
        <v>5631</v>
      </c>
      <c r="G5265" s="2"/>
    </row>
    <row r="5266">
      <c r="A5266" s="2" t="s">
        <v>5651</v>
      </c>
      <c r="B5266" s="2" t="s">
        <v>6291</v>
      </c>
      <c r="D5266" s="2" t="s">
        <v>5631</v>
      </c>
      <c r="G5266" s="2"/>
    </row>
    <row r="5267">
      <c r="A5267" s="2" t="s">
        <v>5651</v>
      </c>
      <c r="B5267" s="2" t="s">
        <v>6292</v>
      </c>
      <c r="D5267" s="2" t="s">
        <v>5631</v>
      </c>
      <c r="G5267" s="2"/>
    </row>
    <row r="5268">
      <c r="A5268" s="2" t="s">
        <v>5651</v>
      </c>
      <c r="B5268" s="2" t="s">
        <v>6293</v>
      </c>
      <c r="D5268" s="2" t="s">
        <v>5631</v>
      </c>
      <c r="G5268" s="2"/>
    </row>
    <row r="5269">
      <c r="A5269" s="2" t="s">
        <v>5651</v>
      </c>
      <c r="B5269" s="2" t="s">
        <v>6294</v>
      </c>
      <c r="D5269" s="2" t="s">
        <v>5631</v>
      </c>
      <c r="G5269" s="2"/>
    </row>
    <row r="5270">
      <c r="A5270" s="2" t="s">
        <v>5651</v>
      </c>
      <c r="B5270" s="2" t="s">
        <v>6295</v>
      </c>
      <c r="D5270" s="2" t="s">
        <v>5631</v>
      </c>
      <c r="G5270" s="2"/>
    </row>
    <row r="5271">
      <c r="A5271" s="2" t="s">
        <v>5651</v>
      </c>
      <c r="B5271" s="2" t="s">
        <v>6296</v>
      </c>
      <c r="D5271" s="2" t="s">
        <v>5631</v>
      </c>
      <c r="G5271" s="2"/>
    </row>
    <row r="5272">
      <c r="A5272" s="2" t="s">
        <v>5651</v>
      </c>
      <c r="B5272" s="2" t="s">
        <v>6297</v>
      </c>
      <c r="D5272" s="2" t="s">
        <v>5631</v>
      </c>
      <c r="G5272" s="2"/>
    </row>
    <row r="5273">
      <c r="A5273" s="2" t="s">
        <v>5651</v>
      </c>
      <c r="B5273" s="2" t="s">
        <v>6298</v>
      </c>
      <c r="D5273" s="2" t="s">
        <v>5631</v>
      </c>
      <c r="G5273" s="2"/>
    </row>
    <row r="5274">
      <c r="A5274" s="2" t="s">
        <v>5651</v>
      </c>
      <c r="B5274" s="2" t="s">
        <v>6299</v>
      </c>
      <c r="D5274" s="2" t="s">
        <v>5631</v>
      </c>
      <c r="G5274" s="2"/>
    </row>
    <row r="5275">
      <c r="A5275" s="2" t="s">
        <v>5651</v>
      </c>
      <c r="B5275" s="2" t="s">
        <v>6300</v>
      </c>
      <c r="D5275" s="2" t="s">
        <v>5631</v>
      </c>
      <c r="G5275" s="2"/>
    </row>
    <row r="5276">
      <c r="A5276" s="2" t="s">
        <v>5651</v>
      </c>
      <c r="B5276" s="2" t="s">
        <v>6301</v>
      </c>
      <c r="D5276" s="2" t="s">
        <v>5631</v>
      </c>
      <c r="G5276" s="2"/>
    </row>
    <row r="5277">
      <c r="A5277" s="2" t="s">
        <v>5651</v>
      </c>
      <c r="B5277" s="2" t="s">
        <v>6302</v>
      </c>
      <c r="D5277" s="2" t="s">
        <v>5631</v>
      </c>
      <c r="G5277" s="2"/>
    </row>
    <row r="5278">
      <c r="A5278" s="2" t="s">
        <v>5651</v>
      </c>
      <c r="B5278" s="2" t="s">
        <v>6303</v>
      </c>
      <c r="D5278" s="2" t="s">
        <v>5631</v>
      </c>
      <c r="G5278" s="2"/>
    </row>
    <row r="5279">
      <c r="A5279" s="2" t="s">
        <v>5651</v>
      </c>
      <c r="B5279" s="2" t="s">
        <v>6304</v>
      </c>
      <c r="D5279" s="2" t="s">
        <v>5631</v>
      </c>
      <c r="G5279" s="2"/>
    </row>
    <row r="5280">
      <c r="A5280" s="2" t="s">
        <v>5651</v>
      </c>
      <c r="B5280" s="2" t="s">
        <v>6305</v>
      </c>
      <c r="D5280" s="2" t="s">
        <v>5631</v>
      </c>
      <c r="G5280" s="2"/>
    </row>
    <row r="5281">
      <c r="A5281" s="2" t="s">
        <v>5651</v>
      </c>
      <c r="B5281" s="2" t="s">
        <v>6306</v>
      </c>
      <c r="D5281" s="2" t="s">
        <v>5631</v>
      </c>
      <c r="G5281" s="2"/>
    </row>
    <row r="5282">
      <c r="A5282" s="2" t="s">
        <v>5651</v>
      </c>
      <c r="B5282" s="2" t="s">
        <v>6307</v>
      </c>
      <c r="D5282" s="2" t="s">
        <v>5631</v>
      </c>
      <c r="G5282" s="2"/>
    </row>
    <row r="5283">
      <c r="A5283" s="2" t="s">
        <v>5651</v>
      </c>
      <c r="B5283" s="2" t="s">
        <v>6308</v>
      </c>
      <c r="D5283" s="2" t="s">
        <v>5631</v>
      </c>
      <c r="G5283" s="2"/>
    </row>
    <row r="5284">
      <c r="A5284" s="2" t="s">
        <v>5651</v>
      </c>
      <c r="B5284" s="2" t="s">
        <v>6309</v>
      </c>
      <c r="D5284" s="2" t="s">
        <v>5631</v>
      </c>
      <c r="G5284" s="2"/>
    </row>
    <row r="5285">
      <c r="A5285" s="2" t="s">
        <v>5651</v>
      </c>
      <c r="B5285" s="2" t="s">
        <v>6310</v>
      </c>
      <c r="D5285" s="2" t="s">
        <v>5631</v>
      </c>
      <c r="G5285" s="2"/>
    </row>
    <row r="5286">
      <c r="A5286" s="2" t="s">
        <v>5651</v>
      </c>
      <c r="B5286" s="2" t="s">
        <v>6311</v>
      </c>
      <c r="D5286" s="2" t="s">
        <v>5631</v>
      </c>
      <c r="G5286" s="2"/>
    </row>
    <row r="5287">
      <c r="A5287" s="2" t="s">
        <v>5651</v>
      </c>
      <c r="B5287" s="2" t="s">
        <v>6312</v>
      </c>
      <c r="D5287" s="2" t="s">
        <v>5631</v>
      </c>
      <c r="G5287" s="2"/>
    </row>
    <row r="5288">
      <c r="A5288" s="2" t="s">
        <v>5651</v>
      </c>
      <c r="B5288" s="2" t="s">
        <v>6313</v>
      </c>
      <c r="D5288" s="2" t="s">
        <v>5631</v>
      </c>
      <c r="G5288" s="2"/>
    </row>
    <row r="5289">
      <c r="A5289" s="2" t="s">
        <v>5651</v>
      </c>
      <c r="B5289" s="2" t="s">
        <v>6314</v>
      </c>
      <c r="D5289" s="2" t="s">
        <v>5631</v>
      </c>
      <c r="G5289" s="2"/>
    </row>
    <row r="5290">
      <c r="A5290" s="2" t="s">
        <v>5651</v>
      </c>
      <c r="B5290" s="2" t="s">
        <v>6315</v>
      </c>
      <c r="D5290" s="2" t="s">
        <v>5631</v>
      </c>
      <c r="G5290" s="2"/>
    </row>
    <row r="5291">
      <c r="A5291" s="2" t="s">
        <v>5651</v>
      </c>
      <c r="B5291" s="2" t="s">
        <v>6316</v>
      </c>
      <c r="D5291" s="2" t="s">
        <v>5631</v>
      </c>
      <c r="G5291" s="2"/>
    </row>
    <row r="5292">
      <c r="A5292" s="2" t="s">
        <v>5651</v>
      </c>
      <c r="B5292" s="2" t="s">
        <v>6317</v>
      </c>
      <c r="D5292" s="2" t="s">
        <v>5631</v>
      </c>
      <c r="G5292" s="2"/>
    </row>
    <row r="5293">
      <c r="A5293" s="2" t="s">
        <v>5651</v>
      </c>
      <c r="B5293" s="2" t="s">
        <v>6318</v>
      </c>
      <c r="D5293" s="2" t="s">
        <v>5631</v>
      </c>
      <c r="G5293" s="2"/>
    </row>
    <row r="5294">
      <c r="A5294" s="2" t="s">
        <v>5651</v>
      </c>
      <c r="B5294" s="2" t="s">
        <v>6319</v>
      </c>
      <c r="D5294" s="2" t="s">
        <v>5631</v>
      </c>
      <c r="G5294" s="2"/>
    </row>
    <row r="5295">
      <c r="A5295" s="2" t="s">
        <v>5651</v>
      </c>
      <c r="B5295" s="2" t="s">
        <v>6320</v>
      </c>
      <c r="D5295" s="2" t="s">
        <v>5631</v>
      </c>
      <c r="G5295" s="2"/>
    </row>
    <row r="5296">
      <c r="A5296" s="2" t="s">
        <v>5651</v>
      </c>
      <c r="B5296" s="2" t="s">
        <v>6321</v>
      </c>
      <c r="D5296" s="2" t="s">
        <v>5631</v>
      </c>
      <c r="G5296" s="2"/>
    </row>
    <row r="5297">
      <c r="A5297" s="2" t="s">
        <v>5651</v>
      </c>
      <c r="B5297" s="2" t="s">
        <v>6322</v>
      </c>
      <c r="D5297" s="2" t="s">
        <v>5631</v>
      </c>
      <c r="G5297" s="2"/>
    </row>
    <row r="5298">
      <c r="A5298" s="2" t="s">
        <v>5651</v>
      </c>
      <c r="B5298" s="2" t="s">
        <v>6323</v>
      </c>
      <c r="D5298" s="2" t="s">
        <v>5631</v>
      </c>
      <c r="G5298" s="2"/>
    </row>
    <row r="5299">
      <c r="A5299" s="2" t="s">
        <v>5651</v>
      </c>
      <c r="B5299" s="2" t="s">
        <v>6324</v>
      </c>
      <c r="D5299" s="2" t="s">
        <v>5631</v>
      </c>
      <c r="G5299" s="2"/>
    </row>
    <row r="5300">
      <c r="A5300" s="2" t="s">
        <v>5651</v>
      </c>
      <c r="B5300" s="2" t="s">
        <v>6325</v>
      </c>
      <c r="D5300" s="2" t="s">
        <v>5631</v>
      </c>
      <c r="G5300" s="2"/>
    </row>
    <row r="5301">
      <c r="A5301" s="2" t="s">
        <v>5651</v>
      </c>
      <c r="B5301" s="2" t="s">
        <v>6326</v>
      </c>
      <c r="D5301" s="2" t="s">
        <v>5631</v>
      </c>
      <c r="G5301" s="2"/>
    </row>
    <row r="5302">
      <c r="A5302" s="2" t="s">
        <v>5651</v>
      </c>
      <c r="B5302" s="2" t="s">
        <v>6327</v>
      </c>
      <c r="D5302" s="2" t="s">
        <v>5631</v>
      </c>
      <c r="G5302" s="2"/>
    </row>
    <row r="5303">
      <c r="A5303" s="2" t="s">
        <v>5651</v>
      </c>
      <c r="B5303" s="2" t="s">
        <v>6328</v>
      </c>
      <c r="D5303" s="2" t="s">
        <v>5631</v>
      </c>
      <c r="G5303" s="2"/>
    </row>
    <row r="5304">
      <c r="A5304" s="2" t="s">
        <v>5651</v>
      </c>
      <c r="B5304" s="2" t="s">
        <v>6329</v>
      </c>
      <c r="D5304" s="2" t="s">
        <v>5631</v>
      </c>
      <c r="G5304" s="2"/>
    </row>
    <row r="5305">
      <c r="A5305" s="2" t="s">
        <v>5651</v>
      </c>
      <c r="B5305" s="2" t="s">
        <v>6330</v>
      </c>
      <c r="D5305" s="2" t="s">
        <v>5631</v>
      </c>
      <c r="G5305" s="2"/>
    </row>
    <row r="5306">
      <c r="A5306" s="2" t="s">
        <v>5651</v>
      </c>
      <c r="B5306" s="2" t="s">
        <v>6331</v>
      </c>
      <c r="D5306" s="2" t="s">
        <v>5631</v>
      </c>
      <c r="G5306" s="2"/>
    </row>
    <row r="5307">
      <c r="A5307" s="2" t="s">
        <v>5651</v>
      </c>
      <c r="B5307" s="2" t="s">
        <v>6332</v>
      </c>
      <c r="D5307" s="2" t="s">
        <v>5631</v>
      </c>
      <c r="G5307" s="2"/>
    </row>
    <row r="5308">
      <c r="A5308" s="2" t="s">
        <v>5651</v>
      </c>
      <c r="B5308" s="2" t="s">
        <v>6333</v>
      </c>
      <c r="D5308" s="2" t="s">
        <v>5631</v>
      </c>
      <c r="G5308" s="2"/>
    </row>
    <row r="5309">
      <c r="A5309" s="2" t="s">
        <v>5651</v>
      </c>
      <c r="B5309" s="2" t="s">
        <v>6334</v>
      </c>
      <c r="D5309" s="2" t="s">
        <v>5631</v>
      </c>
      <c r="G5309" s="2"/>
    </row>
    <row r="5310">
      <c r="A5310" s="2" t="s">
        <v>5651</v>
      </c>
      <c r="B5310" s="2" t="s">
        <v>6335</v>
      </c>
      <c r="D5310" s="2" t="s">
        <v>5631</v>
      </c>
      <c r="G5310" s="2"/>
    </row>
    <row r="5311">
      <c r="A5311" s="2" t="s">
        <v>5651</v>
      </c>
      <c r="B5311" s="2" t="s">
        <v>6336</v>
      </c>
      <c r="D5311" s="2" t="s">
        <v>5631</v>
      </c>
      <c r="G5311" s="2"/>
    </row>
    <row r="5312">
      <c r="A5312" s="2" t="s">
        <v>5651</v>
      </c>
      <c r="B5312" s="2" t="s">
        <v>6337</v>
      </c>
      <c r="D5312" s="2" t="s">
        <v>5631</v>
      </c>
      <c r="G5312" s="2"/>
    </row>
    <row r="5313">
      <c r="A5313" s="2" t="s">
        <v>5651</v>
      </c>
      <c r="B5313" s="2" t="s">
        <v>6338</v>
      </c>
      <c r="D5313" s="2" t="s">
        <v>5631</v>
      </c>
      <c r="G5313" s="2"/>
    </row>
    <row r="5314">
      <c r="A5314" s="2" t="s">
        <v>5651</v>
      </c>
      <c r="B5314" s="2" t="s">
        <v>6339</v>
      </c>
      <c r="D5314" s="2" t="s">
        <v>5631</v>
      </c>
      <c r="G5314" s="2"/>
    </row>
    <row r="5315">
      <c r="A5315" s="2" t="s">
        <v>5651</v>
      </c>
      <c r="B5315" s="2" t="s">
        <v>6340</v>
      </c>
      <c r="D5315" s="2" t="s">
        <v>5631</v>
      </c>
      <c r="G5315" s="2"/>
    </row>
    <row r="5316">
      <c r="A5316" s="2" t="s">
        <v>5651</v>
      </c>
      <c r="B5316" s="2" t="s">
        <v>6341</v>
      </c>
      <c r="D5316" s="2" t="s">
        <v>5631</v>
      </c>
      <c r="G5316" s="2"/>
    </row>
    <row r="5317">
      <c r="A5317" s="2" t="s">
        <v>5651</v>
      </c>
      <c r="B5317" s="2" t="s">
        <v>6342</v>
      </c>
      <c r="D5317" s="2" t="s">
        <v>5631</v>
      </c>
      <c r="G5317" s="2"/>
    </row>
    <row r="5318">
      <c r="A5318" s="2" t="s">
        <v>5651</v>
      </c>
      <c r="B5318" s="2" t="s">
        <v>6343</v>
      </c>
      <c r="D5318" s="2" t="s">
        <v>5631</v>
      </c>
      <c r="G5318" s="2"/>
    </row>
    <row r="5319">
      <c r="A5319" s="2" t="s">
        <v>5651</v>
      </c>
      <c r="B5319" s="2" t="s">
        <v>6344</v>
      </c>
      <c r="D5319" s="2" t="s">
        <v>5631</v>
      </c>
      <c r="G5319" s="2"/>
    </row>
    <row r="5320">
      <c r="A5320" s="2" t="s">
        <v>5651</v>
      </c>
      <c r="B5320" s="2" t="s">
        <v>6345</v>
      </c>
      <c r="D5320" s="2" t="s">
        <v>5631</v>
      </c>
      <c r="G5320" s="2"/>
    </row>
    <row r="5321">
      <c r="A5321" s="2" t="s">
        <v>5651</v>
      </c>
      <c r="B5321" s="2" t="s">
        <v>6346</v>
      </c>
      <c r="D5321" s="2" t="s">
        <v>5631</v>
      </c>
      <c r="G5321" s="2"/>
    </row>
    <row r="5322">
      <c r="A5322" s="2" t="s">
        <v>5651</v>
      </c>
      <c r="B5322" s="2" t="s">
        <v>6347</v>
      </c>
      <c r="D5322" s="2" t="s">
        <v>5631</v>
      </c>
      <c r="G5322" s="2"/>
    </row>
    <row r="5323">
      <c r="A5323" s="2" t="s">
        <v>5651</v>
      </c>
      <c r="B5323" s="2" t="s">
        <v>6348</v>
      </c>
      <c r="D5323" s="2" t="s">
        <v>5631</v>
      </c>
      <c r="G5323" s="2"/>
    </row>
    <row r="5324">
      <c r="A5324" s="2" t="s">
        <v>5651</v>
      </c>
      <c r="B5324" s="2" t="s">
        <v>6349</v>
      </c>
      <c r="D5324" s="2" t="s">
        <v>5631</v>
      </c>
      <c r="G5324" s="2"/>
    </row>
    <row r="5325">
      <c r="A5325" s="2" t="s">
        <v>5651</v>
      </c>
      <c r="B5325" s="2" t="s">
        <v>6350</v>
      </c>
      <c r="D5325" s="2" t="s">
        <v>5631</v>
      </c>
      <c r="G5325" s="2"/>
    </row>
    <row r="5326">
      <c r="A5326" s="2" t="s">
        <v>5651</v>
      </c>
      <c r="B5326" s="2" t="s">
        <v>6351</v>
      </c>
      <c r="D5326" s="2" t="s">
        <v>5631</v>
      </c>
      <c r="G5326" s="2"/>
    </row>
    <row r="5327">
      <c r="A5327" s="2" t="s">
        <v>5651</v>
      </c>
      <c r="B5327" s="2" t="s">
        <v>6352</v>
      </c>
      <c r="D5327" s="2" t="s">
        <v>5631</v>
      </c>
      <c r="G5327" s="2"/>
    </row>
    <row r="5328">
      <c r="A5328" s="2" t="s">
        <v>5651</v>
      </c>
      <c r="B5328" s="2" t="s">
        <v>6353</v>
      </c>
      <c r="D5328" s="2" t="s">
        <v>5631</v>
      </c>
      <c r="G5328" s="2"/>
    </row>
    <row r="5329">
      <c r="A5329" s="2" t="s">
        <v>5651</v>
      </c>
      <c r="B5329" s="2" t="s">
        <v>6354</v>
      </c>
      <c r="D5329" s="2" t="s">
        <v>5631</v>
      </c>
      <c r="G5329" s="2"/>
    </row>
    <row r="5330">
      <c r="A5330" s="2" t="s">
        <v>5651</v>
      </c>
      <c r="B5330" s="2" t="s">
        <v>6355</v>
      </c>
      <c r="D5330" s="2" t="s">
        <v>5631</v>
      </c>
      <c r="G5330" s="2"/>
    </row>
    <row r="5331">
      <c r="A5331" s="2" t="s">
        <v>5651</v>
      </c>
      <c r="B5331" s="2" t="s">
        <v>6356</v>
      </c>
      <c r="D5331" s="2" t="s">
        <v>5631</v>
      </c>
      <c r="G5331" s="2"/>
    </row>
    <row r="5332">
      <c r="A5332" s="2" t="s">
        <v>5651</v>
      </c>
      <c r="B5332" s="2" t="s">
        <v>6357</v>
      </c>
      <c r="D5332" s="2" t="s">
        <v>5631</v>
      </c>
      <c r="G5332" s="2"/>
    </row>
    <row r="5333">
      <c r="A5333" s="2" t="s">
        <v>5651</v>
      </c>
      <c r="B5333" s="2" t="s">
        <v>6358</v>
      </c>
      <c r="D5333" s="2" t="s">
        <v>5631</v>
      </c>
      <c r="G5333" s="2"/>
    </row>
    <row r="5334">
      <c r="A5334" s="2" t="s">
        <v>5651</v>
      </c>
      <c r="B5334" s="2" t="s">
        <v>6359</v>
      </c>
      <c r="D5334" s="2" t="s">
        <v>5631</v>
      </c>
      <c r="G5334" s="2"/>
    </row>
    <row r="5335">
      <c r="A5335" s="2" t="s">
        <v>5651</v>
      </c>
      <c r="B5335" s="2" t="s">
        <v>6360</v>
      </c>
      <c r="D5335" s="2" t="s">
        <v>5631</v>
      </c>
      <c r="G5335" s="2"/>
    </row>
    <row r="5336">
      <c r="A5336" s="2" t="s">
        <v>5651</v>
      </c>
      <c r="B5336" s="2" t="s">
        <v>6361</v>
      </c>
      <c r="D5336" s="2" t="s">
        <v>5631</v>
      </c>
      <c r="G5336" s="2"/>
    </row>
    <row r="5337">
      <c r="A5337" s="2" t="s">
        <v>5651</v>
      </c>
      <c r="B5337" s="2" t="s">
        <v>6362</v>
      </c>
      <c r="D5337" s="2" t="s">
        <v>5631</v>
      </c>
      <c r="G5337" s="2"/>
    </row>
    <row r="5338">
      <c r="A5338" s="2" t="s">
        <v>5651</v>
      </c>
      <c r="B5338" s="2" t="s">
        <v>6363</v>
      </c>
      <c r="D5338" s="2" t="s">
        <v>5631</v>
      </c>
      <c r="G5338" s="2"/>
    </row>
    <row r="5339">
      <c r="A5339" s="2" t="s">
        <v>5651</v>
      </c>
      <c r="B5339" s="2" t="s">
        <v>6364</v>
      </c>
      <c r="D5339" s="2" t="s">
        <v>5631</v>
      </c>
      <c r="G5339" s="2"/>
    </row>
    <row r="5340">
      <c r="A5340" s="2" t="s">
        <v>5651</v>
      </c>
      <c r="B5340" s="2" t="s">
        <v>6365</v>
      </c>
      <c r="D5340" s="2" t="s">
        <v>5631</v>
      </c>
      <c r="G5340" s="2"/>
    </row>
    <row r="5341">
      <c r="A5341" s="2" t="s">
        <v>5651</v>
      </c>
      <c r="B5341" s="2" t="s">
        <v>6366</v>
      </c>
      <c r="D5341" s="2" t="s">
        <v>5631</v>
      </c>
      <c r="G5341" s="2"/>
    </row>
    <row r="5342">
      <c r="A5342" s="2" t="s">
        <v>5651</v>
      </c>
      <c r="B5342" s="2" t="s">
        <v>6367</v>
      </c>
      <c r="D5342" s="2" t="s">
        <v>5631</v>
      </c>
      <c r="G5342" s="2"/>
    </row>
    <row r="5343">
      <c r="A5343" s="2" t="s">
        <v>5651</v>
      </c>
      <c r="B5343" s="2" t="s">
        <v>6368</v>
      </c>
      <c r="D5343" s="2" t="s">
        <v>5631</v>
      </c>
      <c r="G5343" s="2"/>
    </row>
    <row r="5344">
      <c r="A5344" s="2" t="s">
        <v>5651</v>
      </c>
      <c r="B5344" s="2" t="s">
        <v>6369</v>
      </c>
      <c r="D5344" s="2" t="s">
        <v>5631</v>
      </c>
      <c r="G5344" s="2"/>
    </row>
    <row r="5345">
      <c r="A5345" s="2" t="s">
        <v>5651</v>
      </c>
      <c r="B5345" s="2" t="s">
        <v>6370</v>
      </c>
      <c r="D5345" s="2" t="s">
        <v>5631</v>
      </c>
      <c r="G5345" s="2"/>
    </row>
    <row r="5346">
      <c r="A5346" s="2" t="s">
        <v>5651</v>
      </c>
      <c r="B5346" s="2" t="s">
        <v>6371</v>
      </c>
      <c r="D5346" s="2" t="s">
        <v>5631</v>
      </c>
      <c r="G5346" s="2"/>
    </row>
    <row r="5347">
      <c r="A5347" s="2" t="s">
        <v>5651</v>
      </c>
      <c r="B5347" s="2" t="s">
        <v>6372</v>
      </c>
      <c r="D5347" s="2" t="s">
        <v>5631</v>
      </c>
      <c r="G5347" s="2"/>
    </row>
    <row r="5348">
      <c r="A5348" s="2" t="s">
        <v>5651</v>
      </c>
      <c r="B5348" s="2" t="s">
        <v>6373</v>
      </c>
      <c r="D5348" s="2" t="s">
        <v>5631</v>
      </c>
      <c r="G5348" s="2"/>
    </row>
    <row r="5349">
      <c r="A5349" s="2" t="s">
        <v>5651</v>
      </c>
      <c r="B5349" s="2" t="s">
        <v>6374</v>
      </c>
      <c r="D5349" s="2" t="s">
        <v>5631</v>
      </c>
      <c r="G5349" s="2"/>
    </row>
    <row r="5350">
      <c r="A5350" s="2" t="s">
        <v>5651</v>
      </c>
      <c r="B5350" s="2" t="s">
        <v>6375</v>
      </c>
      <c r="D5350" s="2" t="s">
        <v>5631</v>
      </c>
      <c r="G5350" s="2"/>
    </row>
    <row r="5351">
      <c r="A5351" s="2" t="s">
        <v>5651</v>
      </c>
      <c r="B5351" s="2" t="s">
        <v>6376</v>
      </c>
      <c r="D5351" s="2" t="s">
        <v>5631</v>
      </c>
      <c r="G5351" s="2"/>
    </row>
    <row r="5352">
      <c r="A5352" s="2" t="s">
        <v>5651</v>
      </c>
      <c r="B5352" s="2" t="s">
        <v>6377</v>
      </c>
      <c r="D5352" s="2" t="s">
        <v>5631</v>
      </c>
      <c r="G5352" s="2"/>
    </row>
    <row r="5353">
      <c r="A5353" s="2" t="s">
        <v>5651</v>
      </c>
      <c r="B5353" s="2" t="s">
        <v>6378</v>
      </c>
      <c r="D5353" s="2" t="s">
        <v>5631</v>
      </c>
      <c r="G5353" s="2"/>
    </row>
    <row r="5354">
      <c r="A5354" s="2" t="s">
        <v>5651</v>
      </c>
      <c r="B5354" s="2" t="s">
        <v>6379</v>
      </c>
      <c r="D5354" s="2" t="s">
        <v>5631</v>
      </c>
      <c r="G5354" s="2"/>
    </row>
    <row r="5355">
      <c r="A5355" s="2" t="s">
        <v>5651</v>
      </c>
      <c r="B5355" s="2" t="s">
        <v>6380</v>
      </c>
      <c r="D5355" s="2" t="s">
        <v>5631</v>
      </c>
      <c r="G5355" s="2"/>
    </row>
    <row r="5356">
      <c r="A5356" s="2" t="s">
        <v>5651</v>
      </c>
      <c r="B5356" s="2" t="s">
        <v>6381</v>
      </c>
      <c r="D5356" s="2" t="s">
        <v>5631</v>
      </c>
      <c r="G5356" s="2"/>
    </row>
    <row r="5357">
      <c r="A5357" s="2" t="s">
        <v>5651</v>
      </c>
      <c r="B5357" s="2" t="s">
        <v>6382</v>
      </c>
      <c r="D5357" s="2" t="s">
        <v>5631</v>
      </c>
      <c r="G5357" s="2"/>
    </row>
    <row r="5358">
      <c r="A5358" s="2" t="s">
        <v>5651</v>
      </c>
      <c r="B5358" s="2" t="s">
        <v>6383</v>
      </c>
      <c r="D5358" s="2" t="s">
        <v>5631</v>
      </c>
      <c r="G5358" s="2"/>
    </row>
    <row r="5359">
      <c r="A5359" s="2" t="s">
        <v>5651</v>
      </c>
      <c r="B5359" s="2" t="s">
        <v>6384</v>
      </c>
      <c r="D5359" s="2" t="s">
        <v>5631</v>
      </c>
      <c r="G5359" s="2"/>
    </row>
    <row r="5360">
      <c r="A5360" s="2" t="s">
        <v>5651</v>
      </c>
      <c r="B5360" s="2" t="s">
        <v>6385</v>
      </c>
      <c r="D5360" s="2" t="s">
        <v>5631</v>
      </c>
      <c r="G5360" s="2"/>
    </row>
    <row r="5361">
      <c r="A5361" s="2" t="s">
        <v>5651</v>
      </c>
      <c r="B5361" s="2" t="s">
        <v>6386</v>
      </c>
      <c r="D5361" s="2" t="s">
        <v>5631</v>
      </c>
      <c r="G5361" s="2"/>
    </row>
    <row r="5362">
      <c r="A5362" s="2" t="s">
        <v>5651</v>
      </c>
      <c r="B5362" s="2" t="s">
        <v>6387</v>
      </c>
      <c r="D5362" s="2" t="s">
        <v>5631</v>
      </c>
      <c r="G5362" s="2"/>
    </row>
    <row r="5363">
      <c r="A5363" s="2" t="s">
        <v>5651</v>
      </c>
      <c r="B5363" s="2" t="s">
        <v>6388</v>
      </c>
      <c r="D5363" s="2" t="s">
        <v>5631</v>
      </c>
      <c r="G5363" s="2"/>
    </row>
    <row r="5364">
      <c r="A5364" s="2" t="s">
        <v>5651</v>
      </c>
      <c r="B5364" s="2" t="s">
        <v>6389</v>
      </c>
      <c r="D5364" s="2" t="s">
        <v>5631</v>
      </c>
      <c r="G5364" s="2"/>
    </row>
    <row r="5365">
      <c r="A5365" s="2" t="s">
        <v>5651</v>
      </c>
      <c r="B5365" s="2" t="s">
        <v>6390</v>
      </c>
      <c r="D5365" s="2" t="s">
        <v>5631</v>
      </c>
      <c r="G5365" s="2"/>
    </row>
    <row r="5366">
      <c r="A5366" s="2" t="s">
        <v>5651</v>
      </c>
      <c r="B5366" s="2" t="s">
        <v>6391</v>
      </c>
      <c r="D5366" s="2" t="s">
        <v>5631</v>
      </c>
      <c r="G5366" s="2"/>
    </row>
    <row r="5367">
      <c r="A5367" s="2" t="s">
        <v>5651</v>
      </c>
      <c r="B5367" s="2" t="s">
        <v>6392</v>
      </c>
      <c r="D5367" s="2" t="s">
        <v>5631</v>
      </c>
      <c r="G5367" s="2"/>
    </row>
    <row r="5368">
      <c r="A5368" s="2" t="s">
        <v>5651</v>
      </c>
      <c r="B5368" s="2" t="s">
        <v>6393</v>
      </c>
      <c r="D5368" s="2" t="s">
        <v>5631</v>
      </c>
      <c r="G5368" s="2"/>
    </row>
    <row r="5369">
      <c r="A5369" s="2" t="s">
        <v>5651</v>
      </c>
      <c r="B5369" s="2" t="s">
        <v>6394</v>
      </c>
      <c r="D5369" s="2" t="s">
        <v>5631</v>
      </c>
      <c r="G5369" s="2"/>
    </row>
    <row r="5370">
      <c r="A5370" s="2" t="s">
        <v>5651</v>
      </c>
      <c r="B5370" s="2" t="s">
        <v>6395</v>
      </c>
      <c r="D5370" s="2" t="s">
        <v>5631</v>
      </c>
      <c r="G5370" s="2"/>
    </row>
    <row r="5371">
      <c r="A5371" s="2" t="s">
        <v>5651</v>
      </c>
      <c r="B5371" s="2" t="s">
        <v>6396</v>
      </c>
      <c r="D5371" s="2" t="s">
        <v>5631</v>
      </c>
      <c r="G5371" s="2"/>
    </row>
    <row r="5372">
      <c r="A5372" s="2" t="s">
        <v>5651</v>
      </c>
      <c r="B5372" s="2" t="s">
        <v>6397</v>
      </c>
      <c r="D5372" s="2" t="s">
        <v>5631</v>
      </c>
      <c r="G5372" s="2"/>
    </row>
    <row r="5373">
      <c r="A5373" s="2" t="s">
        <v>5651</v>
      </c>
      <c r="B5373" s="2" t="s">
        <v>6398</v>
      </c>
      <c r="D5373" s="2" t="s">
        <v>5631</v>
      </c>
      <c r="G5373" s="2"/>
    </row>
    <row r="5374">
      <c r="A5374" s="2" t="s">
        <v>5651</v>
      </c>
      <c r="B5374" s="2" t="s">
        <v>6399</v>
      </c>
      <c r="D5374" s="2" t="s">
        <v>5631</v>
      </c>
      <c r="G5374" s="2"/>
    </row>
    <row r="5375">
      <c r="A5375" s="2" t="s">
        <v>5651</v>
      </c>
      <c r="B5375" s="2" t="s">
        <v>6400</v>
      </c>
      <c r="D5375" s="2" t="s">
        <v>5631</v>
      </c>
      <c r="G5375" s="2"/>
    </row>
    <row r="5376">
      <c r="A5376" s="2" t="s">
        <v>5651</v>
      </c>
      <c r="B5376" s="2" t="s">
        <v>6401</v>
      </c>
      <c r="D5376" s="2" t="s">
        <v>5631</v>
      </c>
      <c r="G5376" s="2"/>
    </row>
    <row r="5377">
      <c r="A5377" s="2" t="s">
        <v>5651</v>
      </c>
      <c r="B5377" s="2" t="s">
        <v>6402</v>
      </c>
      <c r="D5377" s="2" t="s">
        <v>5631</v>
      </c>
      <c r="G5377" s="2"/>
    </row>
    <row r="5378">
      <c r="A5378" s="2" t="s">
        <v>5651</v>
      </c>
      <c r="B5378" s="2" t="s">
        <v>6403</v>
      </c>
      <c r="D5378" s="2" t="s">
        <v>5631</v>
      </c>
      <c r="G5378" s="2"/>
    </row>
    <row r="5379">
      <c r="A5379" s="2" t="s">
        <v>5651</v>
      </c>
      <c r="B5379" s="2" t="s">
        <v>6404</v>
      </c>
      <c r="D5379" s="2" t="s">
        <v>5631</v>
      </c>
      <c r="G5379" s="2"/>
    </row>
    <row r="5380">
      <c r="A5380" s="2" t="s">
        <v>5651</v>
      </c>
      <c r="B5380" s="2" t="s">
        <v>6405</v>
      </c>
      <c r="D5380" s="2" t="s">
        <v>5631</v>
      </c>
      <c r="G5380" s="2"/>
    </row>
    <row r="5381">
      <c r="A5381" s="2" t="s">
        <v>5651</v>
      </c>
      <c r="B5381" s="2" t="s">
        <v>6406</v>
      </c>
      <c r="D5381" s="2" t="s">
        <v>5631</v>
      </c>
      <c r="G5381" s="2"/>
    </row>
    <row r="5382">
      <c r="A5382" s="2" t="s">
        <v>5651</v>
      </c>
      <c r="B5382" s="2" t="s">
        <v>6407</v>
      </c>
      <c r="D5382" s="2" t="s">
        <v>5631</v>
      </c>
      <c r="G5382" s="2"/>
    </row>
    <row r="5383">
      <c r="A5383" s="2" t="s">
        <v>5651</v>
      </c>
      <c r="B5383" s="2" t="s">
        <v>6408</v>
      </c>
      <c r="D5383" s="2" t="s">
        <v>5631</v>
      </c>
      <c r="G5383" s="2"/>
    </row>
    <row r="5384">
      <c r="A5384" s="2" t="s">
        <v>5651</v>
      </c>
      <c r="B5384" s="2" t="s">
        <v>6409</v>
      </c>
      <c r="D5384" s="2" t="s">
        <v>5631</v>
      </c>
      <c r="G5384" s="2"/>
    </row>
    <row r="5385">
      <c r="A5385" s="2" t="s">
        <v>5651</v>
      </c>
      <c r="B5385" s="2" t="s">
        <v>6410</v>
      </c>
      <c r="D5385" s="2" t="s">
        <v>5631</v>
      </c>
      <c r="G5385" s="2"/>
    </row>
    <row r="5386">
      <c r="A5386" s="2" t="s">
        <v>5651</v>
      </c>
      <c r="B5386" s="2" t="s">
        <v>6411</v>
      </c>
      <c r="D5386" s="2" t="s">
        <v>5631</v>
      </c>
      <c r="G5386" s="2"/>
    </row>
    <row r="5387">
      <c r="A5387" s="2" t="s">
        <v>5651</v>
      </c>
      <c r="B5387" s="2" t="s">
        <v>6412</v>
      </c>
      <c r="D5387" s="2" t="s">
        <v>5631</v>
      </c>
      <c r="G5387" s="2"/>
    </row>
    <row r="5388">
      <c r="A5388" s="2" t="s">
        <v>5651</v>
      </c>
      <c r="B5388" s="2" t="s">
        <v>6413</v>
      </c>
      <c r="D5388" s="2" t="s">
        <v>5631</v>
      </c>
      <c r="G5388" s="2"/>
    </row>
    <row r="5389">
      <c r="A5389" s="2" t="s">
        <v>5651</v>
      </c>
      <c r="B5389" s="2" t="s">
        <v>6414</v>
      </c>
      <c r="D5389" s="2" t="s">
        <v>5631</v>
      </c>
      <c r="G5389" s="2"/>
    </row>
    <row r="5390">
      <c r="A5390" s="2" t="s">
        <v>5651</v>
      </c>
      <c r="B5390" s="2" t="s">
        <v>6415</v>
      </c>
      <c r="D5390" s="2" t="s">
        <v>5631</v>
      </c>
      <c r="G5390" s="2"/>
    </row>
    <row r="5391">
      <c r="A5391" s="2" t="s">
        <v>5651</v>
      </c>
      <c r="B5391" s="2" t="s">
        <v>6416</v>
      </c>
      <c r="D5391" s="2" t="s">
        <v>5631</v>
      </c>
      <c r="G5391" s="2"/>
    </row>
    <row r="5392">
      <c r="A5392" s="2" t="s">
        <v>5651</v>
      </c>
      <c r="B5392" s="2" t="s">
        <v>6417</v>
      </c>
      <c r="D5392" s="2" t="s">
        <v>5631</v>
      </c>
      <c r="G5392" s="2"/>
    </row>
    <row r="5393">
      <c r="A5393" s="2" t="s">
        <v>5651</v>
      </c>
      <c r="B5393" s="2" t="s">
        <v>6418</v>
      </c>
      <c r="D5393" s="2" t="s">
        <v>5631</v>
      </c>
      <c r="G5393" s="2"/>
    </row>
    <row r="5394">
      <c r="A5394" s="2" t="s">
        <v>5651</v>
      </c>
      <c r="B5394" s="2" t="s">
        <v>6419</v>
      </c>
      <c r="D5394" s="2" t="s">
        <v>5631</v>
      </c>
      <c r="G5394" s="2"/>
    </row>
    <row r="5395">
      <c r="A5395" s="2" t="s">
        <v>5651</v>
      </c>
      <c r="B5395" s="2" t="s">
        <v>6420</v>
      </c>
      <c r="D5395" s="2" t="s">
        <v>5631</v>
      </c>
      <c r="G5395" s="2"/>
    </row>
    <row r="5396">
      <c r="A5396" s="2" t="s">
        <v>5651</v>
      </c>
      <c r="B5396" s="2" t="s">
        <v>6421</v>
      </c>
      <c r="D5396" s="2" t="s">
        <v>5631</v>
      </c>
      <c r="G5396" s="2"/>
    </row>
    <row r="5397">
      <c r="A5397" s="2" t="s">
        <v>5651</v>
      </c>
      <c r="B5397" s="2" t="s">
        <v>6422</v>
      </c>
      <c r="D5397" s="2" t="s">
        <v>5631</v>
      </c>
      <c r="G5397" s="2"/>
    </row>
    <row r="5398">
      <c r="A5398" s="2" t="s">
        <v>5651</v>
      </c>
      <c r="B5398" s="2" t="s">
        <v>6423</v>
      </c>
      <c r="D5398" s="2" t="s">
        <v>5631</v>
      </c>
      <c r="G5398" s="2"/>
    </row>
    <row r="5399">
      <c r="A5399" s="2" t="s">
        <v>5651</v>
      </c>
      <c r="B5399" s="2" t="s">
        <v>6424</v>
      </c>
      <c r="D5399" s="2" t="s">
        <v>5631</v>
      </c>
      <c r="G5399" s="2"/>
    </row>
    <row r="5400">
      <c r="A5400" s="2" t="s">
        <v>5651</v>
      </c>
      <c r="B5400" s="2" t="s">
        <v>6425</v>
      </c>
      <c r="D5400" s="2" t="s">
        <v>5631</v>
      </c>
      <c r="G5400" s="2"/>
    </row>
    <row r="5401">
      <c r="A5401" s="2" t="s">
        <v>5651</v>
      </c>
      <c r="B5401" s="2" t="s">
        <v>6426</v>
      </c>
      <c r="D5401" s="2" t="s">
        <v>5631</v>
      </c>
      <c r="G5401" s="2"/>
    </row>
    <row r="5402">
      <c r="A5402" s="2" t="s">
        <v>5651</v>
      </c>
      <c r="B5402" s="2" t="s">
        <v>6427</v>
      </c>
      <c r="D5402" s="2" t="s">
        <v>5631</v>
      </c>
      <c r="G5402" s="2"/>
    </row>
    <row r="5403">
      <c r="A5403" s="2" t="s">
        <v>5651</v>
      </c>
      <c r="B5403" s="2" t="s">
        <v>6428</v>
      </c>
      <c r="D5403" s="2" t="s">
        <v>5631</v>
      </c>
      <c r="G5403" s="2"/>
    </row>
    <row r="5404">
      <c r="A5404" s="2" t="s">
        <v>5651</v>
      </c>
      <c r="B5404" s="2" t="s">
        <v>6429</v>
      </c>
      <c r="D5404" s="2" t="s">
        <v>5631</v>
      </c>
      <c r="G5404" s="2"/>
    </row>
    <row r="5405">
      <c r="A5405" s="2" t="s">
        <v>5651</v>
      </c>
      <c r="B5405" s="2" t="s">
        <v>6430</v>
      </c>
      <c r="D5405" s="2" t="s">
        <v>5631</v>
      </c>
      <c r="G5405" s="2"/>
    </row>
    <row r="5406">
      <c r="A5406" s="2" t="s">
        <v>5651</v>
      </c>
      <c r="B5406" s="2" t="s">
        <v>6431</v>
      </c>
      <c r="D5406" s="2" t="s">
        <v>5631</v>
      </c>
      <c r="G5406" s="2"/>
    </row>
    <row r="5407">
      <c r="A5407" s="2" t="s">
        <v>5651</v>
      </c>
      <c r="B5407" s="2" t="s">
        <v>6432</v>
      </c>
      <c r="D5407" s="2" t="s">
        <v>5631</v>
      </c>
      <c r="G5407" s="2"/>
    </row>
    <row r="5408">
      <c r="A5408" s="2" t="s">
        <v>5651</v>
      </c>
      <c r="B5408" s="2" t="s">
        <v>6433</v>
      </c>
      <c r="D5408" s="2" t="s">
        <v>5631</v>
      </c>
      <c r="G5408" s="2"/>
    </row>
    <row r="5409">
      <c r="A5409" s="2" t="s">
        <v>5651</v>
      </c>
      <c r="B5409" s="2" t="s">
        <v>6434</v>
      </c>
      <c r="D5409" s="2" t="s">
        <v>5631</v>
      </c>
      <c r="G5409" s="2"/>
    </row>
    <row r="5410">
      <c r="A5410" s="2" t="s">
        <v>5651</v>
      </c>
      <c r="B5410" s="2" t="s">
        <v>6435</v>
      </c>
      <c r="D5410" s="2" t="s">
        <v>5631</v>
      </c>
      <c r="G5410" s="2"/>
    </row>
    <row r="5411">
      <c r="A5411" s="2" t="s">
        <v>5651</v>
      </c>
      <c r="B5411" s="2" t="s">
        <v>6436</v>
      </c>
      <c r="D5411" s="2" t="s">
        <v>5631</v>
      </c>
      <c r="G5411" s="2"/>
    </row>
    <row r="5412">
      <c r="A5412" s="2" t="s">
        <v>5651</v>
      </c>
      <c r="B5412" s="2" t="s">
        <v>6437</v>
      </c>
      <c r="D5412" s="2" t="s">
        <v>5631</v>
      </c>
      <c r="G5412" s="2"/>
    </row>
    <row r="5413">
      <c r="A5413" s="2" t="s">
        <v>5651</v>
      </c>
      <c r="B5413" s="2" t="s">
        <v>6438</v>
      </c>
      <c r="D5413" s="2" t="s">
        <v>5631</v>
      </c>
      <c r="G5413" s="2"/>
    </row>
    <row r="5414">
      <c r="A5414" s="2" t="s">
        <v>5651</v>
      </c>
      <c r="B5414" s="2" t="s">
        <v>6439</v>
      </c>
      <c r="D5414" s="2" t="s">
        <v>5631</v>
      </c>
      <c r="G5414" s="2"/>
    </row>
    <row r="5415">
      <c r="A5415" s="2" t="s">
        <v>5651</v>
      </c>
      <c r="B5415" s="2" t="s">
        <v>6440</v>
      </c>
      <c r="D5415" s="2" t="s">
        <v>5631</v>
      </c>
      <c r="G5415" s="2"/>
    </row>
    <row r="5416">
      <c r="A5416" s="2" t="s">
        <v>5651</v>
      </c>
      <c r="B5416" s="2" t="s">
        <v>6441</v>
      </c>
      <c r="D5416" s="2" t="s">
        <v>5631</v>
      </c>
      <c r="G5416" s="2"/>
    </row>
    <row r="5417">
      <c r="A5417" s="2" t="s">
        <v>5651</v>
      </c>
      <c r="B5417" s="2" t="s">
        <v>6442</v>
      </c>
      <c r="D5417" s="2" t="s">
        <v>5631</v>
      </c>
      <c r="G5417" s="2"/>
    </row>
    <row r="5418">
      <c r="A5418" s="2" t="s">
        <v>5651</v>
      </c>
      <c r="B5418" s="2" t="s">
        <v>6443</v>
      </c>
      <c r="D5418" s="2" t="s">
        <v>5631</v>
      </c>
      <c r="G5418" s="2"/>
    </row>
    <row r="5419">
      <c r="A5419" s="2" t="s">
        <v>5651</v>
      </c>
      <c r="B5419" s="2" t="s">
        <v>6444</v>
      </c>
      <c r="D5419" s="2" t="s">
        <v>5631</v>
      </c>
      <c r="G5419" s="2"/>
    </row>
    <row r="5420">
      <c r="A5420" s="2" t="s">
        <v>5651</v>
      </c>
      <c r="B5420" s="2" t="s">
        <v>6445</v>
      </c>
      <c r="D5420" s="2" t="s">
        <v>5631</v>
      </c>
      <c r="G5420" s="2"/>
    </row>
    <row r="5421">
      <c r="A5421" s="2" t="s">
        <v>5651</v>
      </c>
      <c r="B5421" s="2" t="s">
        <v>6446</v>
      </c>
      <c r="D5421" s="2" t="s">
        <v>5631</v>
      </c>
      <c r="G5421" s="2"/>
    </row>
    <row r="5422">
      <c r="A5422" s="2" t="s">
        <v>5651</v>
      </c>
      <c r="B5422" s="2" t="s">
        <v>6447</v>
      </c>
      <c r="D5422" s="2" t="s">
        <v>5631</v>
      </c>
      <c r="G5422" s="2"/>
    </row>
    <row r="5423">
      <c r="A5423" s="2" t="s">
        <v>5651</v>
      </c>
      <c r="B5423" s="2" t="s">
        <v>6448</v>
      </c>
      <c r="D5423" s="2" t="s">
        <v>5631</v>
      </c>
      <c r="G5423" s="2"/>
    </row>
    <row r="5424">
      <c r="A5424" s="2" t="s">
        <v>5651</v>
      </c>
      <c r="B5424" s="2" t="s">
        <v>6449</v>
      </c>
      <c r="D5424" s="2" t="s">
        <v>5631</v>
      </c>
      <c r="G5424" s="2"/>
    </row>
    <row r="5425">
      <c r="A5425" s="2" t="s">
        <v>5651</v>
      </c>
      <c r="B5425" s="2" t="s">
        <v>6450</v>
      </c>
      <c r="D5425" s="2" t="s">
        <v>5631</v>
      </c>
      <c r="G5425" s="2"/>
    </row>
    <row r="5426">
      <c r="A5426" s="2" t="s">
        <v>5651</v>
      </c>
      <c r="B5426" s="2" t="s">
        <v>6451</v>
      </c>
      <c r="D5426" s="2" t="s">
        <v>5631</v>
      </c>
      <c r="G5426" s="2"/>
    </row>
    <row r="5427">
      <c r="A5427" s="2" t="s">
        <v>5651</v>
      </c>
      <c r="B5427" s="2" t="s">
        <v>6452</v>
      </c>
      <c r="D5427" s="2" t="s">
        <v>5631</v>
      </c>
      <c r="G5427" s="2"/>
    </row>
    <row r="5428">
      <c r="A5428" s="2" t="s">
        <v>5651</v>
      </c>
      <c r="B5428" s="2" t="s">
        <v>6453</v>
      </c>
      <c r="D5428" s="2" t="s">
        <v>5631</v>
      </c>
      <c r="G5428" s="2"/>
    </row>
    <row r="5429">
      <c r="A5429" s="2" t="s">
        <v>5651</v>
      </c>
      <c r="B5429" s="2" t="s">
        <v>6454</v>
      </c>
      <c r="D5429" s="2" t="s">
        <v>5631</v>
      </c>
      <c r="G5429" s="2"/>
    </row>
    <row r="5430">
      <c r="A5430" s="2" t="s">
        <v>5651</v>
      </c>
      <c r="B5430" s="2" t="s">
        <v>6455</v>
      </c>
      <c r="D5430" s="2" t="s">
        <v>5631</v>
      </c>
      <c r="G5430" s="2"/>
    </row>
    <row r="5431">
      <c r="A5431" s="2" t="s">
        <v>5651</v>
      </c>
      <c r="B5431" s="2" t="s">
        <v>6456</v>
      </c>
      <c r="D5431" s="2" t="s">
        <v>5631</v>
      </c>
      <c r="G5431" s="2"/>
    </row>
    <row r="5432">
      <c r="A5432" s="2" t="s">
        <v>5651</v>
      </c>
      <c r="B5432" s="2" t="s">
        <v>6457</v>
      </c>
      <c r="D5432" s="2" t="s">
        <v>5631</v>
      </c>
      <c r="G5432" s="2"/>
    </row>
    <row r="5433">
      <c r="A5433" s="2" t="s">
        <v>5651</v>
      </c>
      <c r="B5433" s="2" t="s">
        <v>6458</v>
      </c>
      <c r="D5433" s="2" t="s">
        <v>5631</v>
      </c>
      <c r="G5433" s="2"/>
    </row>
    <row r="5434">
      <c r="A5434" s="2" t="s">
        <v>5651</v>
      </c>
      <c r="B5434" s="2" t="s">
        <v>6459</v>
      </c>
      <c r="D5434" s="2" t="s">
        <v>5631</v>
      </c>
      <c r="G5434" s="2"/>
    </row>
    <row r="5435">
      <c r="A5435" s="2" t="s">
        <v>5651</v>
      </c>
      <c r="B5435" s="2" t="s">
        <v>6460</v>
      </c>
      <c r="D5435" s="2" t="s">
        <v>5631</v>
      </c>
      <c r="G5435" s="2"/>
    </row>
    <row r="5436">
      <c r="A5436" s="2" t="s">
        <v>5651</v>
      </c>
      <c r="B5436" s="2" t="s">
        <v>6461</v>
      </c>
      <c r="D5436" s="2" t="s">
        <v>5631</v>
      </c>
      <c r="G5436" s="2"/>
    </row>
    <row r="5437">
      <c r="A5437" s="2" t="s">
        <v>5651</v>
      </c>
      <c r="B5437" s="2" t="s">
        <v>6462</v>
      </c>
      <c r="D5437" s="2" t="s">
        <v>5631</v>
      </c>
      <c r="G5437" s="2"/>
    </row>
    <row r="5438">
      <c r="A5438" s="2" t="s">
        <v>5651</v>
      </c>
      <c r="B5438" s="2" t="s">
        <v>6463</v>
      </c>
      <c r="D5438" s="2" t="s">
        <v>5631</v>
      </c>
      <c r="G5438" s="2"/>
    </row>
    <row r="5439">
      <c r="A5439" s="2" t="s">
        <v>5651</v>
      </c>
      <c r="B5439" s="2" t="s">
        <v>6464</v>
      </c>
      <c r="D5439" s="2" t="s">
        <v>5631</v>
      </c>
      <c r="G5439" s="2"/>
    </row>
    <row r="5440">
      <c r="A5440" s="2" t="s">
        <v>5651</v>
      </c>
      <c r="B5440" s="2" t="s">
        <v>6465</v>
      </c>
      <c r="D5440" s="2" t="s">
        <v>5631</v>
      </c>
      <c r="G5440" s="2"/>
    </row>
    <row r="5441">
      <c r="A5441" s="2" t="s">
        <v>5651</v>
      </c>
      <c r="B5441" s="2" t="s">
        <v>6466</v>
      </c>
      <c r="D5441" s="2" t="s">
        <v>5631</v>
      </c>
      <c r="G5441" s="2"/>
    </row>
    <row r="5442">
      <c r="A5442" s="2" t="s">
        <v>5651</v>
      </c>
      <c r="B5442" s="2" t="s">
        <v>6467</v>
      </c>
      <c r="D5442" s="2" t="s">
        <v>5631</v>
      </c>
      <c r="G5442" s="2"/>
    </row>
    <row r="5443">
      <c r="A5443" s="2" t="s">
        <v>5651</v>
      </c>
      <c r="B5443" s="2" t="s">
        <v>6469</v>
      </c>
      <c r="D5443" s="2" t="s">
        <v>5631</v>
      </c>
      <c r="G5443" s="2"/>
    </row>
    <row r="5444">
      <c r="A5444" s="2" t="s">
        <v>5651</v>
      </c>
      <c r="B5444" s="2" t="s">
        <v>6470</v>
      </c>
      <c r="D5444" s="2" t="s">
        <v>5631</v>
      </c>
      <c r="G5444" s="2"/>
    </row>
    <row r="5445">
      <c r="A5445" s="2" t="s">
        <v>5651</v>
      </c>
      <c r="B5445" s="2" t="s">
        <v>6471</v>
      </c>
      <c r="D5445" s="2" t="s">
        <v>5631</v>
      </c>
      <c r="G5445" s="2"/>
    </row>
    <row r="5446">
      <c r="A5446" s="2" t="s">
        <v>5651</v>
      </c>
      <c r="B5446" s="2" t="s">
        <v>6472</v>
      </c>
      <c r="D5446" s="2" t="s">
        <v>5631</v>
      </c>
      <c r="G5446" s="2"/>
    </row>
    <row r="5447">
      <c r="A5447" s="2" t="s">
        <v>5651</v>
      </c>
      <c r="B5447" s="2" t="s">
        <v>6473</v>
      </c>
      <c r="D5447" s="2" t="s">
        <v>5631</v>
      </c>
      <c r="G5447" s="2"/>
    </row>
    <row r="5448">
      <c r="A5448" s="2" t="s">
        <v>5651</v>
      </c>
      <c r="B5448" s="2" t="s">
        <v>6474</v>
      </c>
      <c r="D5448" s="2" t="s">
        <v>5631</v>
      </c>
      <c r="G5448" s="2"/>
    </row>
    <row r="5449">
      <c r="A5449" s="2" t="s">
        <v>5651</v>
      </c>
      <c r="B5449" s="2" t="s">
        <v>6475</v>
      </c>
      <c r="D5449" s="2" t="s">
        <v>5631</v>
      </c>
      <c r="G5449" s="2"/>
    </row>
    <row r="5450">
      <c r="A5450" s="2" t="s">
        <v>5651</v>
      </c>
      <c r="B5450" s="2" t="s">
        <v>6476</v>
      </c>
      <c r="D5450" s="2" t="s">
        <v>5631</v>
      </c>
      <c r="G5450" s="2"/>
    </row>
    <row r="5451">
      <c r="A5451" s="2" t="s">
        <v>5651</v>
      </c>
      <c r="B5451" s="2" t="s">
        <v>6477</v>
      </c>
      <c r="D5451" s="2" t="s">
        <v>5631</v>
      </c>
      <c r="G5451" s="2"/>
    </row>
    <row r="5452">
      <c r="A5452" s="2" t="s">
        <v>5651</v>
      </c>
      <c r="B5452" s="2" t="s">
        <v>6478</v>
      </c>
      <c r="D5452" s="2" t="s">
        <v>5631</v>
      </c>
      <c r="G5452" s="2"/>
    </row>
    <row r="5453">
      <c r="A5453" s="2" t="s">
        <v>5651</v>
      </c>
      <c r="B5453" s="2" t="s">
        <v>6479</v>
      </c>
      <c r="D5453" s="2" t="s">
        <v>5631</v>
      </c>
      <c r="G5453" s="2"/>
    </row>
    <row r="5454">
      <c r="A5454" s="2" t="s">
        <v>5651</v>
      </c>
      <c r="B5454" s="2" t="s">
        <v>6480</v>
      </c>
      <c r="D5454" s="2" t="s">
        <v>5631</v>
      </c>
      <c r="G5454" s="2"/>
    </row>
    <row r="5455">
      <c r="A5455" s="2" t="s">
        <v>5651</v>
      </c>
      <c r="B5455" s="2" t="s">
        <v>6481</v>
      </c>
      <c r="D5455" s="2" t="s">
        <v>5631</v>
      </c>
      <c r="G5455" s="2"/>
    </row>
    <row r="5456">
      <c r="A5456" s="2" t="s">
        <v>5651</v>
      </c>
      <c r="B5456" s="2" t="s">
        <v>6482</v>
      </c>
      <c r="D5456" s="2" t="s">
        <v>5631</v>
      </c>
      <c r="G5456" s="2"/>
    </row>
    <row r="5457">
      <c r="A5457" s="2" t="s">
        <v>5651</v>
      </c>
      <c r="B5457" s="2" t="s">
        <v>6483</v>
      </c>
      <c r="D5457" s="2" t="s">
        <v>5631</v>
      </c>
      <c r="G5457" s="2"/>
    </row>
    <row r="5458">
      <c r="A5458" s="2" t="s">
        <v>5651</v>
      </c>
      <c r="B5458" s="2" t="s">
        <v>6484</v>
      </c>
      <c r="D5458" s="2" t="s">
        <v>5631</v>
      </c>
      <c r="G5458" s="2"/>
    </row>
    <row r="5459">
      <c r="A5459" s="2" t="s">
        <v>5651</v>
      </c>
      <c r="B5459" s="2" t="s">
        <v>6485</v>
      </c>
      <c r="D5459" s="2" t="s">
        <v>5631</v>
      </c>
      <c r="G5459" s="2"/>
    </row>
    <row r="5460">
      <c r="A5460" s="2" t="s">
        <v>5651</v>
      </c>
      <c r="B5460" s="2" t="s">
        <v>6486</v>
      </c>
      <c r="D5460" s="2" t="s">
        <v>5631</v>
      </c>
      <c r="G5460" s="2"/>
    </row>
    <row r="5461">
      <c r="A5461" s="2" t="s">
        <v>5651</v>
      </c>
      <c r="B5461" s="2" t="s">
        <v>6487</v>
      </c>
      <c r="D5461" s="2" t="s">
        <v>5631</v>
      </c>
      <c r="G5461" s="2"/>
    </row>
    <row r="5462">
      <c r="A5462" s="2" t="s">
        <v>5651</v>
      </c>
      <c r="B5462" s="2" t="s">
        <v>6489</v>
      </c>
      <c r="D5462" s="2" t="s">
        <v>5631</v>
      </c>
      <c r="G5462" s="2"/>
    </row>
    <row r="5463">
      <c r="A5463" s="2" t="s">
        <v>5651</v>
      </c>
      <c r="B5463" s="2" t="s">
        <v>6490</v>
      </c>
      <c r="D5463" s="2" t="s">
        <v>5631</v>
      </c>
      <c r="G5463" s="2"/>
    </row>
    <row r="5464">
      <c r="A5464" s="2" t="s">
        <v>5651</v>
      </c>
      <c r="B5464" s="2" t="s">
        <v>6491</v>
      </c>
      <c r="D5464" s="2" t="s">
        <v>5631</v>
      </c>
      <c r="G5464" s="2"/>
    </row>
    <row r="5465">
      <c r="A5465" s="2" t="s">
        <v>5651</v>
      </c>
      <c r="B5465" s="2" t="s">
        <v>6492</v>
      </c>
      <c r="D5465" s="2" t="s">
        <v>5631</v>
      </c>
      <c r="G5465" s="2"/>
    </row>
    <row r="5466">
      <c r="A5466" s="2" t="s">
        <v>5651</v>
      </c>
      <c r="B5466" s="2" t="s">
        <v>6493</v>
      </c>
      <c r="D5466" s="2" t="s">
        <v>5631</v>
      </c>
      <c r="G5466" s="2"/>
    </row>
    <row r="5467">
      <c r="A5467" s="2" t="s">
        <v>5651</v>
      </c>
      <c r="B5467" s="2" t="s">
        <v>6494</v>
      </c>
      <c r="D5467" s="2" t="s">
        <v>5631</v>
      </c>
      <c r="G5467" s="2"/>
    </row>
    <row r="5468">
      <c r="A5468" s="2" t="s">
        <v>5651</v>
      </c>
      <c r="B5468" s="2" t="s">
        <v>6495</v>
      </c>
      <c r="D5468" s="2" t="s">
        <v>5631</v>
      </c>
      <c r="G5468" s="2"/>
    </row>
    <row r="5469">
      <c r="A5469" s="2" t="s">
        <v>5651</v>
      </c>
      <c r="B5469" s="2" t="s">
        <v>6496</v>
      </c>
      <c r="D5469" s="2" t="s">
        <v>5631</v>
      </c>
      <c r="G5469" s="2"/>
    </row>
    <row r="5470">
      <c r="A5470" s="2" t="s">
        <v>5651</v>
      </c>
      <c r="B5470" s="2" t="s">
        <v>6498</v>
      </c>
      <c r="D5470" s="2" t="s">
        <v>5631</v>
      </c>
      <c r="G5470" s="2"/>
    </row>
    <row r="5471">
      <c r="A5471" s="2" t="s">
        <v>5651</v>
      </c>
      <c r="B5471" s="2" t="s">
        <v>6499</v>
      </c>
      <c r="D5471" s="2" t="s">
        <v>5631</v>
      </c>
      <c r="G5471" s="2"/>
    </row>
    <row r="5472">
      <c r="A5472" s="2" t="s">
        <v>5651</v>
      </c>
      <c r="B5472" s="2" t="s">
        <v>6500</v>
      </c>
      <c r="D5472" s="2" t="s">
        <v>5631</v>
      </c>
      <c r="G5472" s="2"/>
    </row>
    <row r="5473">
      <c r="A5473" s="2" t="s">
        <v>5651</v>
      </c>
      <c r="B5473" s="2" t="s">
        <v>6501</v>
      </c>
      <c r="D5473" s="2" t="s">
        <v>5631</v>
      </c>
      <c r="G5473" s="2"/>
    </row>
    <row r="5474">
      <c r="A5474" s="2" t="s">
        <v>5651</v>
      </c>
      <c r="B5474" s="2" t="s">
        <v>6502</v>
      </c>
      <c r="D5474" s="2" t="s">
        <v>5631</v>
      </c>
      <c r="G5474" s="2"/>
    </row>
    <row r="5475">
      <c r="A5475" s="2" t="s">
        <v>5651</v>
      </c>
      <c r="B5475" s="2" t="s">
        <v>6503</v>
      </c>
      <c r="D5475" s="2" t="s">
        <v>5631</v>
      </c>
      <c r="G5475" s="2"/>
    </row>
    <row r="5476">
      <c r="A5476" s="2" t="s">
        <v>5651</v>
      </c>
      <c r="B5476" s="2" t="s">
        <v>6504</v>
      </c>
      <c r="D5476" s="2" t="s">
        <v>5631</v>
      </c>
      <c r="G5476" s="2"/>
    </row>
    <row r="5477">
      <c r="A5477" s="2" t="s">
        <v>5651</v>
      </c>
      <c r="B5477" s="2" t="s">
        <v>6505</v>
      </c>
      <c r="D5477" s="2" t="s">
        <v>5631</v>
      </c>
      <c r="G5477" s="2"/>
    </row>
    <row r="5478">
      <c r="A5478" s="2" t="s">
        <v>5651</v>
      </c>
      <c r="B5478" s="2" t="s">
        <v>6506</v>
      </c>
      <c r="D5478" s="2" t="s">
        <v>5631</v>
      </c>
      <c r="G5478" s="2"/>
    </row>
    <row r="5479">
      <c r="A5479" s="2" t="s">
        <v>5651</v>
      </c>
      <c r="B5479" s="2" t="s">
        <v>6507</v>
      </c>
      <c r="D5479" s="2" t="s">
        <v>5631</v>
      </c>
      <c r="G5479" s="2"/>
    </row>
    <row r="5480">
      <c r="A5480" s="2" t="s">
        <v>5651</v>
      </c>
      <c r="B5480" s="2" t="s">
        <v>6509</v>
      </c>
      <c r="D5480" s="2" t="s">
        <v>5631</v>
      </c>
      <c r="G5480" s="2"/>
    </row>
    <row r="5481">
      <c r="A5481" s="2" t="s">
        <v>5651</v>
      </c>
      <c r="B5481" s="2" t="s">
        <v>6510</v>
      </c>
      <c r="D5481" s="2" t="s">
        <v>5631</v>
      </c>
      <c r="G5481" s="2"/>
    </row>
    <row r="5482">
      <c r="A5482" s="2" t="s">
        <v>5651</v>
      </c>
      <c r="B5482" s="2" t="s">
        <v>6511</v>
      </c>
      <c r="D5482" s="2" t="s">
        <v>5631</v>
      </c>
      <c r="G5482" s="2"/>
    </row>
    <row r="5483">
      <c r="A5483" s="2" t="s">
        <v>5651</v>
      </c>
      <c r="B5483" s="2" t="s">
        <v>6512</v>
      </c>
      <c r="D5483" s="2" t="s">
        <v>5631</v>
      </c>
      <c r="G5483" s="2"/>
    </row>
    <row r="5484">
      <c r="A5484" s="2" t="s">
        <v>5651</v>
      </c>
      <c r="B5484" s="2" t="s">
        <v>6513</v>
      </c>
      <c r="D5484" s="2" t="s">
        <v>5631</v>
      </c>
      <c r="G5484" s="2"/>
    </row>
    <row r="5485">
      <c r="A5485" s="2" t="s">
        <v>5651</v>
      </c>
      <c r="B5485" s="2" t="s">
        <v>6514</v>
      </c>
      <c r="D5485" s="2" t="s">
        <v>5631</v>
      </c>
      <c r="G5485" s="2"/>
    </row>
    <row r="5486">
      <c r="A5486" s="2" t="s">
        <v>5651</v>
      </c>
      <c r="B5486" s="2" t="s">
        <v>6515</v>
      </c>
      <c r="D5486" s="2" t="s">
        <v>5631</v>
      </c>
      <c r="G5486" s="2"/>
    </row>
    <row r="5487">
      <c r="A5487" s="2" t="s">
        <v>5651</v>
      </c>
      <c r="B5487" s="2" t="s">
        <v>6516</v>
      </c>
      <c r="D5487" s="2" t="s">
        <v>5631</v>
      </c>
      <c r="G5487" s="2"/>
    </row>
    <row r="5488">
      <c r="A5488" s="2" t="s">
        <v>5651</v>
      </c>
      <c r="B5488" s="2" t="s">
        <v>6517</v>
      </c>
      <c r="D5488" s="2" t="s">
        <v>5631</v>
      </c>
      <c r="G5488" s="2"/>
    </row>
    <row r="5489">
      <c r="A5489" s="2" t="s">
        <v>5651</v>
      </c>
      <c r="B5489" s="2" t="s">
        <v>6518</v>
      </c>
      <c r="D5489" s="2" t="s">
        <v>5631</v>
      </c>
      <c r="G5489" s="2"/>
    </row>
    <row r="5490">
      <c r="A5490" s="2" t="s">
        <v>5651</v>
      </c>
      <c r="B5490" s="2" t="s">
        <v>6519</v>
      </c>
      <c r="D5490" s="2" t="s">
        <v>5631</v>
      </c>
      <c r="G5490" s="2"/>
    </row>
    <row r="5491">
      <c r="A5491" s="2" t="s">
        <v>5651</v>
      </c>
      <c r="B5491" s="2" t="s">
        <v>6520</v>
      </c>
      <c r="D5491" s="2" t="s">
        <v>5631</v>
      </c>
      <c r="G5491" s="2"/>
    </row>
    <row r="5492">
      <c r="A5492" s="2" t="s">
        <v>5651</v>
      </c>
      <c r="B5492" s="2" t="s">
        <v>6521</v>
      </c>
      <c r="D5492" s="2" t="s">
        <v>5631</v>
      </c>
      <c r="G5492" s="2"/>
    </row>
    <row r="5493">
      <c r="A5493" s="2" t="s">
        <v>5651</v>
      </c>
      <c r="B5493" s="2" t="s">
        <v>6522</v>
      </c>
      <c r="D5493" s="2" t="s">
        <v>5631</v>
      </c>
      <c r="G5493" s="2"/>
    </row>
    <row r="5494">
      <c r="A5494" s="2" t="s">
        <v>5651</v>
      </c>
      <c r="B5494" s="2" t="s">
        <v>6524</v>
      </c>
      <c r="D5494" s="2" t="s">
        <v>5631</v>
      </c>
      <c r="G5494" s="2"/>
    </row>
    <row r="5495">
      <c r="A5495" s="2" t="s">
        <v>5651</v>
      </c>
      <c r="B5495" s="2" t="s">
        <v>6525</v>
      </c>
      <c r="D5495" s="2" t="s">
        <v>5631</v>
      </c>
      <c r="G5495" s="2"/>
    </row>
    <row r="5496">
      <c r="A5496" s="2" t="s">
        <v>5651</v>
      </c>
      <c r="B5496" s="2" t="s">
        <v>6526</v>
      </c>
      <c r="D5496" s="2" t="s">
        <v>5631</v>
      </c>
      <c r="G5496" s="2"/>
    </row>
    <row r="5497">
      <c r="A5497" s="2" t="s">
        <v>5651</v>
      </c>
      <c r="B5497" s="2" t="s">
        <v>6527</v>
      </c>
      <c r="D5497" s="2" t="s">
        <v>5631</v>
      </c>
      <c r="G5497" s="2"/>
    </row>
    <row r="5498">
      <c r="A5498" s="2" t="s">
        <v>5651</v>
      </c>
      <c r="B5498" s="2" t="s">
        <v>6528</v>
      </c>
      <c r="D5498" s="2" t="s">
        <v>5631</v>
      </c>
      <c r="G5498" s="2"/>
    </row>
    <row r="5499">
      <c r="A5499" s="2" t="s">
        <v>5651</v>
      </c>
      <c r="B5499" s="2" t="s">
        <v>6529</v>
      </c>
      <c r="D5499" s="2" t="s">
        <v>5631</v>
      </c>
      <c r="G5499" s="2"/>
    </row>
    <row r="5500">
      <c r="A5500" s="2" t="s">
        <v>5651</v>
      </c>
      <c r="B5500" s="2" t="s">
        <v>6530</v>
      </c>
      <c r="D5500" s="2" t="s">
        <v>5631</v>
      </c>
      <c r="G5500" s="2"/>
    </row>
    <row r="5501">
      <c r="A5501" s="2" t="s">
        <v>5651</v>
      </c>
      <c r="B5501" s="2" t="s">
        <v>6531</v>
      </c>
      <c r="D5501" s="2" t="s">
        <v>5631</v>
      </c>
      <c r="G5501" s="2"/>
    </row>
    <row r="5502">
      <c r="A5502" s="2" t="s">
        <v>5651</v>
      </c>
      <c r="B5502" s="2" t="s">
        <v>6532</v>
      </c>
      <c r="D5502" s="2" t="s">
        <v>5631</v>
      </c>
      <c r="G5502" s="2"/>
    </row>
    <row r="5503">
      <c r="A5503" s="2" t="s">
        <v>5651</v>
      </c>
      <c r="B5503" s="2" t="s">
        <v>6533</v>
      </c>
      <c r="D5503" s="2" t="s">
        <v>5631</v>
      </c>
      <c r="G5503" s="2"/>
    </row>
    <row r="5504">
      <c r="A5504" s="2" t="s">
        <v>5651</v>
      </c>
      <c r="B5504" s="2" t="s">
        <v>6534</v>
      </c>
      <c r="D5504" s="2" t="s">
        <v>5631</v>
      </c>
      <c r="G5504" s="2"/>
    </row>
    <row r="5505">
      <c r="A5505" s="2" t="s">
        <v>5651</v>
      </c>
      <c r="B5505" s="2" t="s">
        <v>6535</v>
      </c>
      <c r="D5505" s="2" t="s">
        <v>5631</v>
      </c>
      <c r="G5505" s="2"/>
    </row>
    <row r="5506">
      <c r="A5506" s="2" t="s">
        <v>5651</v>
      </c>
      <c r="B5506" s="2" t="s">
        <v>6536</v>
      </c>
      <c r="D5506" s="2" t="s">
        <v>5631</v>
      </c>
      <c r="G5506" s="2"/>
    </row>
    <row r="5507">
      <c r="A5507" s="2" t="s">
        <v>5651</v>
      </c>
      <c r="B5507" s="2" t="s">
        <v>6537</v>
      </c>
      <c r="D5507" s="2" t="s">
        <v>5631</v>
      </c>
      <c r="G5507" s="2"/>
    </row>
    <row r="5508">
      <c r="A5508" s="2" t="s">
        <v>5651</v>
      </c>
      <c r="B5508" s="2" t="s">
        <v>6538</v>
      </c>
      <c r="D5508" s="2" t="s">
        <v>5631</v>
      </c>
      <c r="G5508" s="2"/>
    </row>
    <row r="5509">
      <c r="A5509" s="2" t="s">
        <v>5651</v>
      </c>
      <c r="B5509" s="2" t="s">
        <v>6539</v>
      </c>
      <c r="D5509" s="2" t="s">
        <v>5631</v>
      </c>
      <c r="G5509" s="2"/>
    </row>
    <row r="5510">
      <c r="A5510" s="2" t="s">
        <v>5651</v>
      </c>
      <c r="B5510" s="2" t="s">
        <v>6540</v>
      </c>
      <c r="D5510" s="2" t="s">
        <v>5631</v>
      </c>
      <c r="G5510" s="2"/>
    </row>
    <row r="5511">
      <c r="A5511" s="2" t="s">
        <v>5651</v>
      </c>
      <c r="B5511" s="2" t="s">
        <v>6542</v>
      </c>
      <c r="D5511" s="2" t="s">
        <v>5631</v>
      </c>
      <c r="G5511" s="2"/>
    </row>
    <row r="5512">
      <c r="A5512" s="2" t="s">
        <v>5651</v>
      </c>
      <c r="B5512" s="2" t="s">
        <v>6543</v>
      </c>
      <c r="D5512" s="2" t="s">
        <v>5631</v>
      </c>
      <c r="G5512" s="2"/>
    </row>
    <row r="5513">
      <c r="A5513" s="2" t="s">
        <v>5651</v>
      </c>
      <c r="B5513" s="2" t="s">
        <v>6544</v>
      </c>
      <c r="D5513" s="2" t="s">
        <v>5631</v>
      </c>
      <c r="G5513" s="2"/>
    </row>
    <row r="5514">
      <c r="A5514" s="2" t="s">
        <v>5651</v>
      </c>
      <c r="B5514" s="2" t="s">
        <v>6545</v>
      </c>
      <c r="D5514" s="2" t="s">
        <v>5631</v>
      </c>
      <c r="G5514" s="2"/>
    </row>
    <row r="5515">
      <c r="A5515" s="2" t="s">
        <v>5651</v>
      </c>
      <c r="B5515" s="2" t="s">
        <v>6546</v>
      </c>
      <c r="D5515" s="2" t="s">
        <v>5631</v>
      </c>
      <c r="G5515" s="2"/>
    </row>
    <row r="5516">
      <c r="A5516" s="2" t="s">
        <v>5651</v>
      </c>
      <c r="B5516" s="2" t="s">
        <v>6547</v>
      </c>
      <c r="D5516" s="2" t="s">
        <v>5631</v>
      </c>
      <c r="G5516" s="2"/>
    </row>
    <row r="5517">
      <c r="A5517" s="2" t="s">
        <v>5651</v>
      </c>
      <c r="B5517" s="2" t="s">
        <v>6548</v>
      </c>
      <c r="D5517" s="2" t="s">
        <v>5631</v>
      </c>
      <c r="G5517" s="2"/>
    </row>
    <row r="5518">
      <c r="A5518" s="2" t="s">
        <v>5651</v>
      </c>
      <c r="B5518" s="2" t="s">
        <v>6549</v>
      </c>
      <c r="D5518" s="2" t="s">
        <v>5631</v>
      </c>
      <c r="G5518" s="2"/>
    </row>
    <row r="5519">
      <c r="A5519" s="2" t="s">
        <v>5651</v>
      </c>
      <c r="B5519" s="2" t="s">
        <v>6550</v>
      </c>
      <c r="D5519" s="2" t="s">
        <v>5631</v>
      </c>
      <c r="G5519" s="2"/>
    </row>
    <row r="5520">
      <c r="A5520" s="2" t="s">
        <v>5651</v>
      </c>
      <c r="B5520" s="2" t="s">
        <v>6551</v>
      </c>
      <c r="D5520" s="2" t="s">
        <v>5631</v>
      </c>
      <c r="G5520" s="2"/>
    </row>
    <row r="5521">
      <c r="A5521" s="2" t="s">
        <v>5651</v>
      </c>
      <c r="B5521" s="2" t="s">
        <v>6552</v>
      </c>
      <c r="D5521" s="2" t="s">
        <v>5631</v>
      </c>
      <c r="G5521" s="2"/>
    </row>
    <row r="5522">
      <c r="A5522" s="2" t="s">
        <v>5651</v>
      </c>
      <c r="B5522" s="2" t="s">
        <v>6553</v>
      </c>
      <c r="D5522" s="2" t="s">
        <v>5631</v>
      </c>
      <c r="G5522" s="2"/>
    </row>
    <row r="5523">
      <c r="A5523" s="2" t="s">
        <v>5651</v>
      </c>
      <c r="B5523" s="2" t="s">
        <v>6554</v>
      </c>
      <c r="D5523" s="2" t="s">
        <v>5631</v>
      </c>
      <c r="G5523" s="2"/>
    </row>
    <row r="5524">
      <c r="A5524" s="2" t="s">
        <v>5651</v>
      </c>
      <c r="B5524" s="2" t="s">
        <v>6555</v>
      </c>
      <c r="D5524" s="2" t="s">
        <v>5631</v>
      </c>
      <c r="G5524" s="2"/>
    </row>
    <row r="5525">
      <c r="A5525" s="2" t="s">
        <v>5651</v>
      </c>
      <c r="B5525" s="2" t="s">
        <v>6556</v>
      </c>
      <c r="D5525" s="2" t="s">
        <v>5631</v>
      </c>
      <c r="G5525" s="2"/>
    </row>
    <row r="5526">
      <c r="A5526" s="2" t="s">
        <v>5651</v>
      </c>
      <c r="B5526" s="2" t="s">
        <v>6557</v>
      </c>
      <c r="D5526" s="2" t="s">
        <v>5631</v>
      </c>
      <c r="G5526" s="2"/>
    </row>
    <row r="5527">
      <c r="A5527" s="2" t="s">
        <v>5651</v>
      </c>
      <c r="B5527" s="2" t="s">
        <v>6558</v>
      </c>
      <c r="D5527" s="2" t="s">
        <v>5631</v>
      </c>
      <c r="G5527" s="2"/>
    </row>
    <row r="5528">
      <c r="A5528" s="2" t="s">
        <v>5651</v>
      </c>
      <c r="B5528" s="2" t="s">
        <v>6559</v>
      </c>
      <c r="D5528" s="2" t="s">
        <v>5631</v>
      </c>
      <c r="G5528" s="2"/>
    </row>
    <row r="5529">
      <c r="A5529" s="2" t="s">
        <v>5651</v>
      </c>
      <c r="B5529" s="2" t="s">
        <v>6560</v>
      </c>
      <c r="D5529" s="2" t="s">
        <v>5631</v>
      </c>
      <c r="G5529" s="2"/>
    </row>
    <row r="5530">
      <c r="A5530" s="2" t="s">
        <v>5651</v>
      </c>
      <c r="B5530" s="2" t="s">
        <v>6562</v>
      </c>
      <c r="D5530" s="2" t="s">
        <v>5631</v>
      </c>
      <c r="G5530" s="2"/>
    </row>
    <row r="5531">
      <c r="A5531" s="2" t="s">
        <v>5651</v>
      </c>
      <c r="B5531" s="2" t="s">
        <v>6563</v>
      </c>
      <c r="D5531" s="2" t="s">
        <v>5631</v>
      </c>
      <c r="G5531" s="2"/>
    </row>
    <row r="5532">
      <c r="A5532" s="2" t="s">
        <v>5651</v>
      </c>
      <c r="B5532" s="2" t="s">
        <v>6564</v>
      </c>
      <c r="D5532" s="2" t="s">
        <v>5631</v>
      </c>
      <c r="G5532" s="2"/>
    </row>
    <row r="5533">
      <c r="A5533" s="2" t="s">
        <v>5651</v>
      </c>
      <c r="B5533" s="2" t="s">
        <v>6565</v>
      </c>
      <c r="D5533" s="2" t="s">
        <v>5631</v>
      </c>
      <c r="G5533" s="2"/>
    </row>
    <row r="5534">
      <c r="A5534" s="2" t="s">
        <v>5651</v>
      </c>
      <c r="B5534" s="2" t="s">
        <v>6566</v>
      </c>
      <c r="D5534" s="2" t="s">
        <v>5631</v>
      </c>
      <c r="G5534" s="2"/>
    </row>
    <row r="5535">
      <c r="A5535" s="2" t="s">
        <v>5651</v>
      </c>
      <c r="B5535" s="2" t="s">
        <v>6567</v>
      </c>
      <c r="D5535" s="2" t="s">
        <v>5631</v>
      </c>
      <c r="G5535" s="2"/>
    </row>
    <row r="5536">
      <c r="A5536" s="2" t="s">
        <v>5651</v>
      </c>
      <c r="B5536" s="2" t="s">
        <v>6568</v>
      </c>
      <c r="D5536" s="2" t="s">
        <v>5631</v>
      </c>
      <c r="G5536" s="2"/>
    </row>
    <row r="5537">
      <c r="A5537" s="2" t="s">
        <v>5651</v>
      </c>
      <c r="B5537" s="2" t="s">
        <v>6569</v>
      </c>
      <c r="D5537" s="2" t="s">
        <v>5631</v>
      </c>
      <c r="G5537" s="2"/>
    </row>
    <row r="5538">
      <c r="A5538" s="2" t="s">
        <v>5651</v>
      </c>
      <c r="B5538" s="2" t="s">
        <v>6570</v>
      </c>
      <c r="D5538" s="2" t="s">
        <v>5631</v>
      </c>
      <c r="G5538" s="2"/>
    </row>
    <row r="5539">
      <c r="A5539" s="2" t="s">
        <v>5651</v>
      </c>
      <c r="B5539" s="2" t="s">
        <v>6571</v>
      </c>
      <c r="D5539" s="2" t="s">
        <v>5631</v>
      </c>
      <c r="G5539" s="2"/>
    </row>
    <row r="5540">
      <c r="A5540" s="2" t="s">
        <v>5651</v>
      </c>
      <c r="B5540" s="2" t="s">
        <v>6572</v>
      </c>
      <c r="D5540" s="2" t="s">
        <v>5631</v>
      </c>
      <c r="G5540" s="2"/>
    </row>
    <row r="5541">
      <c r="A5541" s="2" t="s">
        <v>5651</v>
      </c>
      <c r="B5541" s="2" t="s">
        <v>6573</v>
      </c>
      <c r="D5541" s="2" t="s">
        <v>5631</v>
      </c>
      <c r="G5541" s="2"/>
    </row>
    <row r="5542">
      <c r="A5542" s="2" t="s">
        <v>5651</v>
      </c>
      <c r="B5542" s="2" t="s">
        <v>6574</v>
      </c>
      <c r="D5542" s="2" t="s">
        <v>5631</v>
      </c>
      <c r="G5542" s="2"/>
    </row>
    <row r="5543">
      <c r="A5543" s="2" t="s">
        <v>5651</v>
      </c>
      <c r="B5543" s="2" t="s">
        <v>6575</v>
      </c>
      <c r="D5543" s="2" t="s">
        <v>5631</v>
      </c>
      <c r="G5543" s="2"/>
    </row>
    <row r="5544">
      <c r="A5544" s="2" t="s">
        <v>5651</v>
      </c>
      <c r="B5544" s="2" t="s">
        <v>6576</v>
      </c>
      <c r="D5544" s="2" t="s">
        <v>5631</v>
      </c>
      <c r="G5544" s="2"/>
    </row>
    <row r="5545">
      <c r="A5545" s="2" t="s">
        <v>5651</v>
      </c>
      <c r="B5545" s="2" t="s">
        <v>6577</v>
      </c>
      <c r="D5545" s="2" t="s">
        <v>5631</v>
      </c>
      <c r="G5545" s="2"/>
    </row>
    <row r="5546">
      <c r="A5546" s="2" t="s">
        <v>5651</v>
      </c>
      <c r="B5546" s="2" t="s">
        <v>6578</v>
      </c>
      <c r="D5546" s="2" t="s">
        <v>5631</v>
      </c>
      <c r="G5546" s="2"/>
    </row>
    <row r="5547">
      <c r="A5547" s="2" t="s">
        <v>5651</v>
      </c>
      <c r="B5547" s="2" t="s">
        <v>6579</v>
      </c>
      <c r="D5547" s="2" t="s">
        <v>5631</v>
      </c>
      <c r="G5547" s="2"/>
    </row>
    <row r="5548">
      <c r="A5548" s="2" t="s">
        <v>5651</v>
      </c>
      <c r="B5548" s="2" t="s">
        <v>6580</v>
      </c>
      <c r="D5548" s="2" t="s">
        <v>5631</v>
      </c>
      <c r="G5548" s="2"/>
    </row>
    <row r="5549">
      <c r="A5549" s="2" t="s">
        <v>5651</v>
      </c>
      <c r="B5549" s="2" t="s">
        <v>6581</v>
      </c>
      <c r="D5549" s="2" t="s">
        <v>5631</v>
      </c>
      <c r="G5549" s="2"/>
    </row>
    <row r="5550">
      <c r="A5550" s="2" t="s">
        <v>5651</v>
      </c>
      <c r="B5550" s="2" t="s">
        <v>6582</v>
      </c>
      <c r="D5550" s="2" t="s">
        <v>5631</v>
      </c>
      <c r="G5550" s="2"/>
    </row>
    <row r="5551">
      <c r="A5551" s="2" t="s">
        <v>5651</v>
      </c>
      <c r="B5551" s="2" t="s">
        <v>6583</v>
      </c>
      <c r="D5551" s="2" t="s">
        <v>5631</v>
      </c>
      <c r="G5551" s="2"/>
    </row>
    <row r="5552">
      <c r="A5552" s="2" t="s">
        <v>5651</v>
      </c>
      <c r="B5552" s="2" t="s">
        <v>6584</v>
      </c>
      <c r="D5552" s="2" t="s">
        <v>5631</v>
      </c>
      <c r="G5552" s="2"/>
    </row>
    <row r="5553">
      <c r="A5553" s="2" t="s">
        <v>5651</v>
      </c>
      <c r="B5553" s="2" t="s">
        <v>6585</v>
      </c>
      <c r="D5553" s="2" t="s">
        <v>5631</v>
      </c>
      <c r="G5553" s="2"/>
    </row>
    <row r="5554">
      <c r="A5554" s="2" t="s">
        <v>5651</v>
      </c>
      <c r="B5554" s="2" t="s">
        <v>6586</v>
      </c>
      <c r="D5554" s="2" t="s">
        <v>5631</v>
      </c>
      <c r="G5554" s="2"/>
    </row>
    <row r="5555">
      <c r="A5555" s="2" t="s">
        <v>5651</v>
      </c>
      <c r="B5555" s="2" t="s">
        <v>6587</v>
      </c>
      <c r="D5555" s="2" t="s">
        <v>5631</v>
      </c>
      <c r="G5555" s="2"/>
    </row>
    <row r="5556">
      <c r="A5556" s="2" t="s">
        <v>5651</v>
      </c>
      <c r="B5556" s="2" t="s">
        <v>6588</v>
      </c>
      <c r="D5556" s="2" t="s">
        <v>5631</v>
      </c>
      <c r="G5556" s="2"/>
    </row>
    <row r="5557">
      <c r="A5557" s="2" t="s">
        <v>5651</v>
      </c>
      <c r="B5557" s="2" t="s">
        <v>6589</v>
      </c>
      <c r="D5557" s="2" t="s">
        <v>5631</v>
      </c>
      <c r="G5557" s="2"/>
    </row>
    <row r="5558">
      <c r="A5558" s="2" t="s">
        <v>5651</v>
      </c>
      <c r="B5558" s="2" t="s">
        <v>6590</v>
      </c>
      <c r="D5558" s="2" t="s">
        <v>5631</v>
      </c>
      <c r="G5558" s="2"/>
    </row>
    <row r="5559">
      <c r="A5559" s="2" t="s">
        <v>5651</v>
      </c>
      <c r="B5559" s="2" t="s">
        <v>6591</v>
      </c>
      <c r="D5559" s="2" t="s">
        <v>5631</v>
      </c>
      <c r="G5559" s="2"/>
    </row>
    <row r="5560">
      <c r="A5560" s="2" t="s">
        <v>5651</v>
      </c>
      <c r="B5560" s="2" t="s">
        <v>6592</v>
      </c>
      <c r="D5560" s="2" t="s">
        <v>5631</v>
      </c>
      <c r="G5560" s="2"/>
    </row>
    <row r="5561">
      <c r="A5561" s="2" t="s">
        <v>5651</v>
      </c>
      <c r="B5561" s="2" t="s">
        <v>6593</v>
      </c>
      <c r="D5561" s="2" t="s">
        <v>5631</v>
      </c>
      <c r="G5561" s="2"/>
    </row>
    <row r="5562">
      <c r="A5562" s="2" t="s">
        <v>5651</v>
      </c>
      <c r="B5562" s="2" t="s">
        <v>6594</v>
      </c>
      <c r="D5562" s="2" t="s">
        <v>5631</v>
      </c>
      <c r="G5562" s="2"/>
    </row>
    <row r="5563">
      <c r="A5563" s="2" t="s">
        <v>5651</v>
      </c>
      <c r="B5563" s="2" t="s">
        <v>6595</v>
      </c>
      <c r="D5563" s="2" t="s">
        <v>5631</v>
      </c>
      <c r="G5563" s="2"/>
    </row>
    <row r="5564">
      <c r="A5564" s="2" t="s">
        <v>5651</v>
      </c>
      <c r="B5564" s="2" t="s">
        <v>6596</v>
      </c>
      <c r="D5564" s="2" t="s">
        <v>5631</v>
      </c>
      <c r="G5564" s="2"/>
    </row>
    <row r="5565">
      <c r="A5565" s="2" t="s">
        <v>5651</v>
      </c>
      <c r="B5565" s="2" t="s">
        <v>6597</v>
      </c>
      <c r="D5565" s="2" t="s">
        <v>5631</v>
      </c>
      <c r="G5565" s="2"/>
    </row>
    <row r="5566">
      <c r="A5566" s="2" t="s">
        <v>5651</v>
      </c>
      <c r="B5566" s="2" t="s">
        <v>6598</v>
      </c>
      <c r="D5566" s="2"/>
      <c r="G5566" s="2" t="s">
        <v>5653</v>
      </c>
    </row>
    <row r="5567">
      <c r="A5567" s="2" t="s">
        <v>5651</v>
      </c>
      <c r="B5567" s="2" t="s">
        <v>6599</v>
      </c>
      <c r="D5567" s="2"/>
      <c r="G5567" s="2" t="s">
        <v>5653</v>
      </c>
    </row>
    <row r="5568">
      <c r="A5568" s="2" t="s">
        <v>5651</v>
      </c>
      <c r="B5568" s="2" t="s">
        <v>6600</v>
      </c>
      <c r="D5568" s="2"/>
      <c r="G5568" s="2" t="s">
        <v>5653</v>
      </c>
    </row>
    <row r="5569">
      <c r="A5569" s="2" t="s">
        <v>5651</v>
      </c>
      <c r="B5569" s="2" t="s">
        <v>6601</v>
      </c>
      <c r="D5569" s="2"/>
      <c r="G5569" s="2" t="s">
        <v>5653</v>
      </c>
    </row>
    <row r="5570">
      <c r="A5570" s="2" t="s">
        <v>5651</v>
      </c>
      <c r="B5570" s="2" t="s">
        <v>6602</v>
      </c>
      <c r="D5570" s="2"/>
      <c r="G5570" s="2" t="s">
        <v>5653</v>
      </c>
    </row>
    <row r="5571">
      <c r="A5571" s="2" t="s">
        <v>5651</v>
      </c>
      <c r="B5571" s="2" t="s">
        <v>6603</v>
      </c>
      <c r="D5571" s="2"/>
      <c r="G5571" s="2" t="s">
        <v>5653</v>
      </c>
    </row>
    <row r="5572">
      <c r="A5572" s="2" t="s">
        <v>5651</v>
      </c>
      <c r="B5572" s="2" t="s">
        <v>6604</v>
      </c>
      <c r="D5572" s="2"/>
      <c r="G5572" s="2" t="s">
        <v>5653</v>
      </c>
    </row>
    <row r="5573">
      <c r="A5573" s="2" t="s">
        <v>5651</v>
      </c>
      <c r="B5573" s="2" t="s">
        <v>6605</v>
      </c>
      <c r="D5573" s="2"/>
      <c r="G5573" s="2" t="s">
        <v>5653</v>
      </c>
    </row>
    <row r="5574">
      <c r="A5574" s="2" t="s">
        <v>5651</v>
      </c>
      <c r="B5574" s="2" t="s">
        <v>6606</v>
      </c>
      <c r="D5574" s="2"/>
      <c r="G5574" s="2" t="s">
        <v>5653</v>
      </c>
    </row>
    <row r="5575">
      <c r="A5575" s="2" t="s">
        <v>5651</v>
      </c>
      <c r="B5575" s="2" t="s">
        <v>6607</v>
      </c>
      <c r="D5575" s="2"/>
      <c r="G5575" s="2" t="s">
        <v>5653</v>
      </c>
    </row>
    <row r="5576">
      <c r="A5576" s="2" t="s">
        <v>5651</v>
      </c>
      <c r="B5576" s="2" t="s">
        <v>6608</v>
      </c>
      <c r="D5576" s="2"/>
      <c r="G5576" s="2" t="s">
        <v>5653</v>
      </c>
    </row>
    <row r="5577">
      <c r="A5577" s="2" t="s">
        <v>5651</v>
      </c>
      <c r="B5577" s="2" t="s">
        <v>6609</v>
      </c>
      <c r="D5577" s="2"/>
      <c r="G5577" s="2" t="s">
        <v>5653</v>
      </c>
    </row>
    <row r="5578">
      <c r="A5578" s="2" t="s">
        <v>5651</v>
      </c>
      <c r="B5578" s="2" t="s">
        <v>6610</v>
      </c>
      <c r="D5578" s="2"/>
      <c r="G5578" s="2" t="s">
        <v>5653</v>
      </c>
    </row>
    <row r="5579">
      <c r="A5579" s="2" t="s">
        <v>5651</v>
      </c>
      <c r="B5579" s="2" t="s">
        <v>6611</v>
      </c>
      <c r="D5579" s="2"/>
      <c r="G5579" s="2" t="s">
        <v>5653</v>
      </c>
    </row>
    <row r="5580">
      <c r="A5580" s="2" t="s">
        <v>5651</v>
      </c>
      <c r="B5580" s="2" t="s">
        <v>6612</v>
      </c>
      <c r="D5580" s="2"/>
      <c r="G5580" s="2" t="s">
        <v>5653</v>
      </c>
    </row>
    <row r="5581">
      <c r="A5581" s="2" t="s">
        <v>5651</v>
      </c>
      <c r="B5581" s="2" t="s">
        <v>6613</v>
      </c>
      <c r="D5581" s="2"/>
      <c r="G5581" s="2" t="s">
        <v>5653</v>
      </c>
    </row>
    <row r="5582">
      <c r="A5582" s="2" t="s">
        <v>5651</v>
      </c>
      <c r="B5582" s="2" t="s">
        <v>6614</v>
      </c>
      <c r="D5582" s="2"/>
      <c r="G5582" s="2" t="s">
        <v>5653</v>
      </c>
    </row>
    <row r="5583">
      <c r="A5583" s="2" t="s">
        <v>5651</v>
      </c>
      <c r="B5583" s="2" t="s">
        <v>6615</v>
      </c>
      <c r="D5583" s="2"/>
      <c r="G5583" s="2" t="s">
        <v>5653</v>
      </c>
    </row>
    <row r="5584">
      <c r="A5584" s="2" t="s">
        <v>5651</v>
      </c>
      <c r="B5584" s="2" t="s">
        <v>6616</v>
      </c>
      <c r="D5584" s="2"/>
      <c r="G5584" s="2" t="s">
        <v>5653</v>
      </c>
    </row>
    <row r="5585">
      <c r="A5585" s="2" t="s">
        <v>5651</v>
      </c>
      <c r="B5585" s="2" t="s">
        <v>6617</v>
      </c>
      <c r="D5585" s="2"/>
      <c r="G5585" s="2" t="s">
        <v>5653</v>
      </c>
    </row>
    <row r="5586">
      <c r="A5586" s="2" t="s">
        <v>5651</v>
      </c>
      <c r="B5586" s="2" t="s">
        <v>6618</v>
      </c>
      <c r="D5586" s="2"/>
      <c r="G5586" s="2" t="s">
        <v>5653</v>
      </c>
    </row>
    <row r="5587">
      <c r="A5587" s="2" t="s">
        <v>5651</v>
      </c>
      <c r="B5587" s="2" t="s">
        <v>6619</v>
      </c>
      <c r="D5587" s="2"/>
      <c r="G5587" s="2" t="s">
        <v>5653</v>
      </c>
    </row>
    <row r="5588">
      <c r="A5588" s="2" t="s">
        <v>5651</v>
      </c>
      <c r="B5588" s="2" t="s">
        <v>6620</v>
      </c>
      <c r="D5588" s="2"/>
      <c r="G5588" s="2" t="s">
        <v>5653</v>
      </c>
    </row>
    <row r="5589">
      <c r="A5589" s="2" t="s">
        <v>5651</v>
      </c>
      <c r="B5589" s="2" t="s">
        <v>6615</v>
      </c>
      <c r="D5589" s="2"/>
      <c r="G5589" s="2" t="s">
        <v>5653</v>
      </c>
    </row>
    <row r="5590">
      <c r="A5590" s="2" t="s">
        <v>5651</v>
      </c>
      <c r="B5590" s="2" t="s">
        <v>6621</v>
      </c>
      <c r="D5590" s="2"/>
      <c r="G5590" s="2" t="s">
        <v>5653</v>
      </c>
    </row>
    <row r="5591">
      <c r="A5591" s="2" t="s">
        <v>5651</v>
      </c>
      <c r="B5591" s="2" t="s">
        <v>6622</v>
      </c>
      <c r="D5591" s="2"/>
      <c r="G5591" s="2" t="s">
        <v>5653</v>
      </c>
    </row>
    <row r="5592">
      <c r="A5592" s="2" t="s">
        <v>5651</v>
      </c>
      <c r="B5592" s="2" t="s">
        <v>6623</v>
      </c>
      <c r="D5592" s="2"/>
      <c r="G5592" s="2" t="s">
        <v>5653</v>
      </c>
    </row>
    <row r="5593">
      <c r="A5593" s="2" t="s">
        <v>5651</v>
      </c>
      <c r="B5593" s="2" t="s">
        <v>6625</v>
      </c>
      <c r="D5593" s="2"/>
      <c r="G5593" s="2" t="s">
        <v>5653</v>
      </c>
    </row>
    <row r="5594">
      <c r="A5594" s="2" t="s">
        <v>5651</v>
      </c>
      <c r="B5594" s="2" t="s">
        <v>6626</v>
      </c>
      <c r="D5594" s="2"/>
      <c r="G5594" s="2" t="s">
        <v>5653</v>
      </c>
    </row>
    <row r="5595">
      <c r="A5595" s="2" t="s">
        <v>5651</v>
      </c>
      <c r="B5595" s="2" t="s">
        <v>6627</v>
      </c>
      <c r="D5595" s="2"/>
      <c r="G5595" s="2" t="s">
        <v>5653</v>
      </c>
    </row>
    <row r="5596">
      <c r="A5596" s="2" t="s">
        <v>5651</v>
      </c>
      <c r="B5596" s="2" t="s">
        <v>6628</v>
      </c>
      <c r="D5596" s="2"/>
      <c r="G5596" s="2" t="s">
        <v>5653</v>
      </c>
    </row>
    <row r="5597">
      <c r="A5597" s="2" t="s">
        <v>5651</v>
      </c>
      <c r="B5597" s="2" t="s">
        <v>6629</v>
      </c>
      <c r="D5597" s="2"/>
      <c r="G5597" s="2" t="s">
        <v>5653</v>
      </c>
    </row>
    <row r="5598">
      <c r="A5598" s="2" t="s">
        <v>5651</v>
      </c>
      <c r="B5598" s="2" t="s">
        <v>6630</v>
      </c>
      <c r="D5598" s="2"/>
      <c r="G5598" s="2" t="s">
        <v>5653</v>
      </c>
    </row>
    <row r="5599">
      <c r="A5599" s="2" t="s">
        <v>5651</v>
      </c>
      <c r="B5599" s="2" t="s">
        <v>6631</v>
      </c>
      <c r="D5599" s="2"/>
      <c r="G5599" s="2" t="s">
        <v>5653</v>
      </c>
    </row>
    <row r="5600">
      <c r="A5600" s="2" t="s">
        <v>5651</v>
      </c>
      <c r="B5600" s="2" t="s">
        <v>6632</v>
      </c>
      <c r="D5600" s="2"/>
      <c r="G5600" s="2" t="s">
        <v>5653</v>
      </c>
    </row>
    <row r="5601">
      <c r="A5601" s="2" t="s">
        <v>5651</v>
      </c>
      <c r="B5601" s="2" t="s">
        <v>6633</v>
      </c>
      <c r="D5601" s="2"/>
      <c r="G5601" s="2" t="s">
        <v>5653</v>
      </c>
    </row>
    <row r="5602">
      <c r="A5602" s="2" t="s">
        <v>5651</v>
      </c>
      <c r="B5602" s="2" t="s">
        <v>6634</v>
      </c>
      <c r="D5602" s="2"/>
      <c r="G5602" s="2" t="s">
        <v>5653</v>
      </c>
    </row>
    <row r="5603">
      <c r="A5603" s="2" t="s">
        <v>5651</v>
      </c>
      <c r="B5603" s="2" t="s">
        <v>6635</v>
      </c>
      <c r="D5603" s="2"/>
      <c r="G5603" s="2" t="s">
        <v>5653</v>
      </c>
    </row>
    <row r="5604">
      <c r="A5604" s="2" t="s">
        <v>5651</v>
      </c>
      <c r="B5604" s="2" t="s">
        <v>6637</v>
      </c>
      <c r="D5604" s="2"/>
      <c r="G5604" s="2" t="s">
        <v>5653</v>
      </c>
    </row>
    <row r="5605">
      <c r="A5605" s="2" t="s">
        <v>5651</v>
      </c>
      <c r="B5605" s="2" t="s">
        <v>6638</v>
      </c>
      <c r="D5605" s="2"/>
      <c r="G5605" s="2" t="s">
        <v>5653</v>
      </c>
    </row>
    <row r="5606">
      <c r="A5606" s="2" t="s">
        <v>5651</v>
      </c>
      <c r="B5606" s="2" t="s">
        <v>6639</v>
      </c>
      <c r="D5606" s="2"/>
      <c r="G5606" s="2" t="s">
        <v>5653</v>
      </c>
    </row>
    <row r="5607">
      <c r="A5607" s="2" t="s">
        <v>5651</v>
      </c>
      <c r="B5607" s="2" t="s">
        <v>6640</v>
      </c>
      <c r="D5607" s="2"/>
      <c r="G5607" s="2" t="s">
        <v>5653</v>
      </c>
    </row>
    <row r="5608">
      <c r="A5608" s="2" t="s">
        <v>5651</v>
      </c>
      <c r="B5608" s="2" t="s">
        <v>6641</v>
      </c>
      <c r="D5608" s="2"/>
      <c r="G5608" s="2" t="s">
        <v>5653</v>
      </c>
    </row>
    <row r="5609">
      <c r="A5609" s="2" t="s">
        <v>5651</v>
      </c>
      <c r="B5609" s="2" t="s">
        <v>6642</v>
      </c>
      <c r="D5609" s="2"/>
      <c r="G5609" s="2" t="s">
        <v>5653</v>
      </c>
    </row>
    <row r="5610">
      <c r="A5610" s="2" t="s">
        <v>5651</v>
      </c>
      <c r="B5610" s="2" t="s">
        <v>6643</v>
      </c>
      <c r="D5610" s="2"/>
      <c r="G5610" s="2" t="s">
        <v>5653</v>
      </c>
    </row>
    <row r="5611">
      <c r="A5611" s="2" t="s">
        <v>5651</v>
      </c>
      <c r="B5611" s="2" t="s">
        <v>6644</v>
      </c>
      <c r="D5611" s="2"/>
      <c r="G5611" s="2" t="s">
        <v>5653</v>
      </c>
    </row>
    <row r="5612">
      <c r="A5612" s="2" t="s">
        <v>5651</v>
      </c>
      <c r="B5612" s="2" t="s">
        <v>6645</v>
      </c>
      <c r="D5612" s="2"/>
      <c r="G5612" s="2" t="s">
        <v>5653</v>
      </c>
    </row>
    <row r="5613">
      <c r="A5613" s="2" t="s">
        <v>5651</v>
      </c>
      <c r="B5613" s="2" t="s">
        <v>6646</v>
      </c>
      <c r="D5613" s="2"/>
      <c r="G5613" s="2" t="s">
        <v>5653</v>
      </c>
    </row>
    <row r="5614">
      <c r="A5614" s="2" t="s">
        <v>5651</v>
      </c>
      <c r="B5614" s="2" t="s">
        <v>6647</v>
      </c>
      <c r="D5614" s="2"/>
      <c r="G5614" s="2" t="s">
        <v>5653</v>
      </c>
    </row>
    <row r="5615">
      <c r="A5615" s="2" t="s">
        <v>5651</v>
      </c>
      <c r="B5615" s="2" t="s">
        <v>6648</v>
      </c>
      <c r="D5615" s="2"/>
      <c r="G5615" s="2" t="s">
        <v>5653</v>
      </c>
    </row>
    <row r="5616">
      <c r="A5616" s="2" t="s">
        <v>5651</v>
      </c>
      <c r="B5616" s="2" t="s">
        <v>6650</v>
      </c>
      <c r="D5616" s="2"/>
      <c r="G5616" s="2" t="s">
        <v>5653</v>
      </c>
    </row>
    <row r="5617">
      <c r="A5617" s="2" t="s">
        <v>5651</v>
      </c>
      <c r="B5617" s="2" t="s">
        <v>6651</v>
      </c>
      <c r="D5617" s="2"/>
      <c r="G5617" s="2" t="s">
        <v>5653</v>
      </c>
    </row>
    <row r="5618">
      <c r="A5618" s="2" t="s">
        <v>5651</v>
      </c>
      <c r="B5618" s="2" t="s">
        <v>6652</v>
      </c>
      <c r="D5618" s="2"/>
      <c r="G5618" s="2" t="s">
        <v>5653</v>
      </c>
    </row>
    <row r="5619">
      <c r="A5619" s="2" t="s">
        <v>5651</v>
      </c>
      <c r="B5619" s="2" t="s">
        <v>6653</v>
      </c>
      <c r="D5619" s="2"/>
      <c r="G5619" s="2" t="s">
        <v>5653</v>
      </c>
    </row>
    <row r="5620">
      <c r="A5620" s="2" t="s">
        <v>6654</v>
      </c>
      <c r="B5620" s="2" t="s">
        <v>6655</v>
      </c>
      <c r="D5620" s="2" t="s">
        <v>6656</v>
      </c>
      <c r="G5620" s="2"/>
      <c r="H5620" s="2" t="s">
        <v>729</v>
      </c>
    </row>
    <row r="5621">
      <c r="A5621" s="2" t="s">
        <v>6657</v>
      </c>
      <c r="B5621" s="2" t="s">
        <v>6658</v>
      </c>
      <c r="D5621" s="2"/>
      <c r="G5621" s="2" t="s">
        <v>6659</v>
      </c>
    </row>
    <row r="5622">
      <c r="A5622" s="2" t="s">
        <v>6657</v>
      </c>
      <c r="B5622" s="2" t="s">
        <v>6660</v>
      </c>
      <c r="D5622" s="2"/>
      <c r="G5622" s="2" t="s">
        <v>6659</v>
      </c>
    </row>
    <row r="5623">
      <c r="A5623" s="2" t="s">
        <v>6662</v>
      </c>
      <c r="B5623" s="2" t="s">
        <v>6664</v>
      </c>
      <c r="D5623" s="2"/>
      <c r="G5623" s="2" t="s">
        <v>6659</v>
      </c>
    </row>
    <row r="5624">
      <c r="A5624" s="64" t="s">
        <v>6665</v>
      </c>
      <c r="B5624" s="2" t="s">
        <v>6666</v>
      </c>
      <c r="D5624" s="2" t="s">
        <v>6667</v>
      </c>
      <c r="G5624" s="2"/>
    </row>
    <row r="5625">
      <c r="A5625" s="64" t="s">
        <v>6665</v>
      </c>
      <c r="B5625" s="2" t="s">
        <v>6668</v>
      </c>
      <c r="D5625" s="2" t="s">
        <v>6667</v>
      </c>
      <c r="G5625" s="2"/>
    </row>
    <row r="5626">
      <c r="A5626" s="64" t="s">
        <v>6665</v>
      </c>
      <c r="B5626" s="2" t="s">
        <v>6669</v>
      </c>
      <c r="D5626" s="2" t="s">
        <v>6667</v>
      </c>
      <c r="G5626" s="2"/>
    </row>
    <row r="5627">
      <c r="A5627" s="64" t="s">
        <v>6665</v>
      </c>
      <c r="B5627" s="2" t="s">
        <v>6670</v>
      </c>
      <c r="D5627" s="2" t="s">
        <v>6667</v>
      </c>
      <c r="G5627" s="2"/>
    </row>
    <row r="5628">
      <c r="A5628" s="64" t="s">
        <v>6665</v>
      </c>
      <c r="B5628" s="2" t="s">
        <v>6671</v>
      </c>
      <c r="D5628" s="2" t="s">
        <v>6667</v>
      </c>
      <c r="G5628" s="2"/>
    </row>
    <row r="5629">
      <c r="A5629" s="2" t="s">
        <v>6672</v>
      </c>
      <c r="B5629" s="2" t="s">
        <v>6673</v>
      </c>
      <c r="D5629" s="2" t="s">
        <v>6667</v>
      </c>
      <c r="G5629" s="2"/>
    </row>
    <row r="5630">
      <c r="A5630" s="2" t="s">
        <v>6672</v>
      </c>
      <c r="B5630" s="2" t="s">
        <v>6674</v>
      </c>
      <c r="D5630" s="2" t="s">
        <v>6667</v>
      </c>
      <c r="G5630" s="2"/>
    </row>
    <row r="5631">
      <c r="A5631" s="2" t="s">
        <v>6672</v>
      </c>
      <c r="B5631" s="2" t="s">
        <v>6675</v>
      </c>
      <c r="D5631" s="2" t="s">
        <v>6667</v>
      </c>
      <c r="G5631" s="2"/>
    </row>
    <row r="5632">
      <c r="A5632" s="2" t="s">
        <v>6672</v>
      </c>
      <c r="B5632" s="2" t="s">
        <v>6676</v>
      </c>
      <c r="D5632" s="2" t="s">
        <v>6667</v>
      </c>
      <c r="G5632" s="2"/>
    </row>
    <row r="5633">
      <c r="A5633" s="2" t="s">
        <v>6672</v>
      </c>
      <c r="B5633" s="2" t="s">
        <v>6677</v>
      </c>
      <c r="D5633" s="2" t="s">
        <v>6667</v>
      </c>
      <c r="G5633" s="2"/>
    </row>
    <row r="5634">
      <c r="A5634" s="2" t="s">
        <v>6672</v>
      </c>
      <c r="B5634" s="2" t="s">
        <v>6678</v>
      </c>
      <c r="D5634" s="2" t="s">
        <v>6667</v>
      </c>
      <c r="G5634" s="2"/>
    </row>
    <row r="5635">
      <c r="A5635" s="2" t="s">
        <v>6679</v>
      </c>
      <c r="B5635" s="2" t="s">
        <v>6680</v>
      </c>
      <c r="D5635" s="2" t="s">
        <v>6681</v>
      </c>
      <c r="G5635" s="2"/>
    </row>
    <row r="5636">
      <c r="A5636" s="2" t="s">
        <v>6679</v>
      </c>
      <c r="B5636" s="2" t="s">
        <v>6682</v>
      </c>
      <c r="D5636" s="2" t="s">
        <v>6681</v>
      </c>
      <c r="G5636" s="2"/>
    </row>
    <row r="5637">
      <c r="A5637" s="2" t="s">
        <v>6683</v>
      </c>
      <c r="B5637" s="2" t="s">
        <v>6680</v>
      </c>
      <c r="D5637" s="2" t="s">
        <v>6681</v>
      </c>
      <c r="G5637" s="2"/>
    </row>
    <row r="5638">
      <c r="A5638" s="2" t="s">
        <v>6683</v>
      </c>
      <c r="B5638" s="2" t="s">
        <v>6682</v>
      </c>
      <c r="D5638" s="2" t="s">
        <v>6681</v>
      </c>
      <c r="G5638" s="2"/>
    </row>
    <row r="5639">
      <c r="A5639" s="64" t="s">
        <v>6685</v>
      </c>
      <c r="B5639" s="2" t="s">
        <v>6686</v>
      </c>
      <c r="D5639" s="2"/>
      <c r="G5639" s="2" t="s">
        <v>6687</v>
      </c>
    </row>
    <row r="5640">
      <c r="A5640" s="2" t="s">
        <v>6685</v>
      </c>
      <c r="B5640" s="2" t="s">
        <v>6688</v>
      </c>
      <c r="D5640" s="2"/>
      <c r="G5640" s="2" t="s">
        <v>6687</v>
      </c>
    </row>
    <row r="5641">
      <c r="A5641" s="2" t="s">
        <v>6685</v>
      </c>
      <c r="B5641" s="2" t="s">
        <v>6689</v>
      </c>
      <c r="D5641" s="2"/>
      <c r="G5641" s="2" t="s">
        <v>6687</v>
      </c>
    </row>
    <row r="5642">
      <c r="A5642" s="2" t="s">
        <v>6685</v>
      </c>
      <c r="B5642" s="2" t="s">
        <v>6690</v>
      </c>
      <c r="D5642" s="2"/>
      <c r="G5642" s="2" t="s">
        <v>6687</v>
      </c>
    </row>
    <row r="5643">
      <c r="A5643" s="2" t="s">
        <v>6685</v>
      </c>
      <c r="B5643" s="2" t="s">
        <v>6691</v>
      </c>
      <c r="D5643" s="2"/>
      <c r="G5643" s="2" t="s">
        <v>6687</v>
      </c>
    </row>
    <row r="5644">
      <c r="A5644" s="2" t="s">
        <v>6685</v>
      </c>
      <c r="B5644" s="2" t="s">
        <v>6693</v>
      </c>
      <c r="D5644" s="2"/>
      <c r="G5644" s="2" t="s">
        <v>6687</v>
      </c>
    </row>
    <row r="5645">
      <c r="A5645" s="2" t="s">
        <v>6685</v>
      </c>
      <c r="B5645" s="2" t="s">
        <v>6694</v>
      </c>
      <c r="D5645" s="2"/>
      <c r="G5645" s="2" t="s">
        <v>6687</v>
      </c>
    </row>
    <row r="5646">
      <c r="A5646" s="2" t="s">
        <v>6685</v>
      </c>
      <c r="B5646" s="2" t="s">
        <v>6695</v>
      </c>
      <c r="D5646" s="2"/>
      <c r="G5646" s="2" t="s">
        <v>6687</v>
      </c>
    </row>
    <row r="5647">
      <c r="A5647" s="2" t="s">
        <v>6685</v>
      </c>
      <c r="B5647" s="2" t="s">
        <v>6696</v>
      </c>
      <c r="D5647" s="2"/>
      <c r="G5647" s="2" t="s">
        <v>6687</v>
      </c>
    </row>
    <row r="5648">
      <c r="A5648" s="2" t="s">
        <v>6685</v>
      </c>
      <c r="B5648" s="2" t="s">
        <v>6698</v>
      </c>
      <c r="D5648" s="2"/>
      <c r="G5648" s="2" t="s">
        <v>6687</v>
      </c>
    </row>
    <row r="5649">
      <c r="A5649" s="2" t="s">
        <v>6685</v>
      </c>
      <c r="B5649" s="2" t="s">
        <v>6699</v>
      </c>
      <c r="D5649" s="2"/>
      <c r="G5649" s="2" t="s">
        <v>6687</v>
      </c>
    </row>
    <row r="5650">
      <c r="A5650" s="2" t="s">
        <v>6685</v>
      </c>
      <c r="B5650" s="2" t="s">
        <v>6700</v>
      </c>
      <c r="D5650" s="2"/>
      <c r="G5650" s="2" t="s">
        <v>6687</v>
      </c>
    </row>
    <row r="5651">
      <c r="A5651" s="2" t="s">
        <v>6685</v>
      </c>
      <c r="B5651" s="2" t="s">
        <v>6701</v>
      </c>
      <c r="D5651" s="2"/>
      <c r="G5651" s="2" t="s">
        <v>6687</v>
      </c>
    </row>
    <row r="5652">
      <c r="A5652" s="2" t="s">
        <v>6685</v>
      </c>
      <c r="B5652" s="2" t="s">
        <v>6702</v>
      </c>
      <c r="D5652" s="2"/>
      <c r="G5652" s="2" t="s">
        <v>6687</v>
      </c>
    </row>
    <row r="5653">
      <c r="A5653" s="2" t="s">
        <v>6685</v>
      </c>
      <c r="B5653" s="2" t="s">
        <v>6703</v>
      </c>
      <c r="D5653" s="2"/>
      <c r="G5653" s="2" t="s">
        <v>6687</v>
      </c>
    </row>
    <row r="5654">
      <c r="A5654" s="2" t="s">
        <v>6685</v>
      </c>
      <c r="B5654" s="2" t="s">
        <v>6704</v>
      </c>
      <c r="D5654" s="2"/>
      <c r="G5654" s="2" t="s">
        <v>6687</v>
      </c>
    </row>
    <row r="5655">
      <c r="A5655" s="2" t="s">
        <v>6685</v>
      </c>
      <c r="B5655" s="2" t="s">
        <v>6705</v>
      </c>
      <c r="D5655" s="2"/>
      <c r="G5655" s="2" t="s">
        <v>6687</v>
      </c>
    </row>
    <row r="5656">
      <c r="A5656" s="2" t="s">
        <v>6685</v>
      </c>
      <c r="B5656" s="2" t="s">
        <v>6706</v>
      </c>
      <c r="D5656" s="2"/>
      <c r="G5656" s="2" t="s">
        <v>6687</v>
      </c>
    </row>
    <row r="5657">
      <c r="A5657" s="2" t="s">
        <v>6685</v>
      </c>
      <c r="B5657" s="2" t="s">
        <v>6707</v>
      </c>
      <c r="D5657" s="2"/>
      <c r="G5657" s="2" t="s">
        <v>6687</v>
      </c>
    </row>
    <row r="5658">
      <c r="A5658" s="2" t="s">
        <v>6685</v>
      </c>
      <c r="B5658" s="2" t="s">
        <v>6708</v>
      </c>
      <c r="D5658" s="2"/>
      <c r="G5658" s="2" t="s">
        <v>6687</v>
      </c>
    </row>
    <row r="5659">
      <c r="A5659" s="2" t="s">
        <v>6685</v>
      </c>
      <c r="B5659" s="2" t="s">
        <v>6709</v>
      </c>
      <c r="D5659" s="2"/>
      <c r="G5659" s="2" t="s">
        <v>6687</v>
      </c>
    </row>
    <row r="5660">
      <c r="A5660" s="2" t="s">
        <v>6685</v>
      </c>
      <c r="B5660" s="2" t="s">
        <v>6711</v>
      </c>
      <c r="D5660" s="2"/>
      <c r="G5660" s="2" t="s">
        <v>6687</v>
      </c>
    </row>
    <row r="5661">
      <c r="A5661" s="2" t="s">
        <v>6685</v>
      </c>
      <c r="B5661" s="2" t="s">
        <v>6712</v>
      </c>
      <c r="D5661" s="2"/>
      <c r="G5661" s="2" t="s">
        <v>6687</v>
      </c>
    </row>
    <row r="5662">
      <c r="A5662" s="2" t="s">
        <v>6685</v>
      </c>
      <c r="B5662" s="2" t="s">
        <v>6713</v>
      </c>
      <c r="D5662" s="2"/>
      <c r="G5662" s="2" t="s">
        <v>6687</v>
      </c>
    </row>
    <row r="5663">
      <c r="A5663" s="2" t="s">
        <v>6685</v>
      </c>
      <c r="B5663" s="2" t="s">
        <v>6714</v>
      </c>
      <c r="D5663" s="2"/>
      <c r="G5663" s="2" t="s">
        <v>6687</v>
      </c>
    </row>
    <row r="5664">
      <c r="A5664" s="2" t="s">
        <v>6685</v>
      </c>
      <c r="B5664" s="2" t="s">
        <v>6715</v>
      </c>
      <c r="D5664" s="2"/>
      <c r="G5664" s="2" t="s">
        <v>6687</v>
      </c>
    </row>
    <row r="5665">
      <c r="A5665" s="2" t="s">
        <v>6685</v>
      </c>
      <c r="B5665" s="2" t="s">
        <v>6716</v>
      </c>
      <c r="D5665" s="2"/>
      <c r="G5665" s="2" t="s">
        <v>6687</v>
      </c>
    </row>
    <row r="5666">
      <c r="A5666" s="2" t="s">
        <v>6685</v>
      </c>
      <c r="B5666" s="2" t="s">
        <v>6717</v>
      </c>
      <c r="D5666" s="2"/>
      <c r="G5666" s="2" t="s">
        <v>6687</v>
      </c>
    </row>
    <row r="5667">
      <c r="A5667" s="2" t="s">
        <v>6685</v>
      </c>
      <c r="B5667" s="2" t="s">
        <v>6719</v>
      </c>
      <c r="D5667" s="2"/>
      <c r="G5667" s="2" t="s">
        <v>6687</v>
      </c>
    </row>
    <row r="5668">
      <c r="A5668" s="2" t="s">
        <v>6685</v>
      </c>
      <c r="B5668" s="2" t="s">
        <v>6720</v>
      </c>
      <c r="D5668" s="2"/>
      <c r="G5668" s="2" t="s">
        <v>6687</v>
      </c>
    </row>
    <row r="5669">
      <c r="A5669" s="2" t="s">
        <v>6685</v>
      </c>
      <c r="B5669" s="2" t="s">
        <v>6721</v>
      </c>
      <c r="D5669" s="2"/>
      <c r="G5669" s="2" t="s">
        <v>6687</v>
      </c>
    </row>
    <row r="5670">
      <c r="A5670" s="2" t="s">
        <v>6685</v>
      </c>
      <c r="B5670" s="2" t="s">
        <v>6722</v>
      </c>
      <c r="D5670" s="2"/>
      <c r="G5670" s="2" t="s">
        <v>6687</v>
      </c>
    </row>
    <row r="5671">
      <c r="A5671" s="2" t="s">
        <v>6685</v>
      </c>
      <c r="B5671" s="2" t="s">
        <v>6723</v>
      </c>
      <c r="D5671" s="2"/>
      <c r="G5671" s="2" t="s">
        <v>6687</v>
      </c>
    </row>
    <row r="5672">
      <c r="A5672" s="2" t="s">
        <v>6685</v>
      </c>
      <c r="B5672" s="2" t="s">
        <v>6724</v>
      </c>
      <c r="D5672" s="2"/>
      <c r="G5672" s="2" t="s">
        <v>6687</v>
      </c>
    </row>
    <row r="5673">
      <c r="A5673" s="2" t="s">
        <v>6685</v>
      </c>
      <c r="B5673" s="2" t="s">
        <v>6725</v>
      </c>
      <c r="D5673" s="2"/>
      <c r="G5673" s="2" t="s">
        <v>6687</v>
      </c>
    </row>
    <row r="5674">
      <c r="A5674" s="2" t="s">
        <v>6685</v>
      </c>
      <c r="B5674" s="2" t="s">
        <v>6726</v>
      </c>
      <c r="D5674" s="2"/>
      <c r="G5674" s="2" t="s">
        <v>6687</v>
      </c>
    </row>
    <row r="5675">
      <c r="A5675" s="2" t="s">
        <v>6685</v>
      </c>
      <c r="B5675" s="2" t="s">
        <v>6727</v>
      </c>
      <c r="D5675" s="2"/>
      <c r="G5675" s="2" t="s">
        <v>6687</v>
      </c>
    </row>
    <row r="5676">
      <c r="A5676" s="2" t="s">
        <v>6685</v>
      </c>
      <c r="B5676" s="2" t="s">
        <v>6728</v>
      </c>
      <c r="D5676" s="2"/>
      <c r="G5676" s="2" t="s">
        <v>6687</v>
      </c>
    </row>
    <row r="5677">
      <c r="A5677" s="2" t="s">
        <v>6685</v>
      </c>
      <c r="B5677" s="2" t="s">
        <v>6729</v>
      </c>
      <c r="D5677" s="2"/>
      <c r="G5677" s="2" t="s">
        <v>6687</v>
      </c>
    </row>
    <row r="5678">
      <c r="A5678" s="2" t="s">
        <v>6685</v>
      </c>
      <c r="B5678" s="2" t="s">
        <v>6730</v>
      </c>
      <c r="D5678" s="2"/>
      <c r="G5678" s="2" t="s">
        <v>6687</v>
      </c>
    </row>
    <row r="5679">
      <c r="A5679" s="2" t="s">
        <v>6685</v>
      </c>
      <c r="B5679" s="2" t="s">
        <v>6731</v>
      </c>
      <c r="D5679" s="2"/>
      <c r="G5679" s="2" t="s">
        <v>6687</v>
      </c>
    </row>
    <row r="5680">
      <c r="A5680" s="2" t="s">
        <v>6685</v>
      </c>
      <c r="B5680" s="2" t="s">
        <v>6732</v>
      </c>
      <c r="D5680" s="2"/>
      <c r="G5680" s="2" t="s">
        <v>6687</v>
      </c>
    </row>
    <row r="5681">
      <c r="A5681" s="2" t="s">
        <v>6685</v>
      </c>
      <c r="B5681" s="2" t="s">
        <v>6734</v>
      </c>
      <c r="D5681" s="2"/>
      <c r="G5681" s="2" t="s">
        <v>6687</v>
      </c>
    </row>
    <row r="5682">
      <c r="A5682" s="2" t="s">
        <v>6685</v>
      </c>
      <c r="B5682" s="2" t="s">
        <v>6735</v>
      </c>
      <c r="D5682" s="2"/>
      <c r="G5682" s="2" t="s">
        <v>6687</v>
      </c>
    </row>
    <row r="5683">
      <c r="A5683" s="2" t="s">
        <v>6685</v>
      </c>
      <c r="B5683" s="2" t="s">
        <v>6736</v>
      </c>
      <c r="D5683" s="2"/>
      <c r="G5683" s="2" t="s">
        <v>6687</v>
      </c>
    </row>
    <row r="5684">
      <c r="A5684" s="2" t="s">
        <v>6685</v>
      </c>
      <c r="B5684" s="2" t="s">
        <v>6737</v>
      </c>
      <c r="D5684" s="2"/>
      <c r="G5684" s="2" t="s">
        <v>6687</v>
      </c>
    </row>
    <row r="5685">
      <c r="A5685" s="2" t="s">
        <v>6685</v>
      </c>
      <c r="B5685" s="2" t="s">
        <v>6738</v>
      </c>
      <c r="D5685" s="2"/>
      <c r="G5685" s="2" t="s">
        <v>6687</v>
      </c>
    </row>
    <row r="5686">
      <c r="A5686" s="2" t="s">
        <v>6685</v>
      </c>
      <c r="B5686" s="2" t="s">
        <v>6739</v>
      </c>
      <c r="D5686" s="2"/>
      <c r="G5686" s="2" t="s">
        <v>6687</v>
      </c>
    </row>
    <row r="5687">
      <c r="A5687" s="2" t="s">
        <v>6685</v>
      </c>
      <c r="B5687" s="2" t="s">
        <v>6741</v>
      </c>
      <c r="D5687" s="2"/>
      <c r="G5687" s="2" t="s">
        <v>6687</v>
      </c>
    </row>
    <row r="5688">
      <c r="A5688" s="2" t="s">
        <v>6685</v>
      </c>
      <c r="B5688" s="2" t="s">
        <v>6742</v>
      </c>
      <c r="D5688" s="2"/>
      <c r="G5688" s="2" t="s">
        <v>6687</v>
      </c>
    </row>
    <row r="5689">
      <c r="A5689" s="2" t="s">
        <v>6685</v>
      </c>
      <c r="B5689" s="2" t="s">
        <v>6743</v>
      </c>
      <c r="D5689" s="2"/>
      <c r="G5689" s="2" t="s">
        <v>6687</v>
      </c>
    </row>
    <row r="5690">
      <c r="A5690" s="2" t="s">
        <v>6685</v>
      </c>
      <c r="B5690" s="2" t="s">
        <v>6744</v>
      </c>
      <c r="D5690" s="2"/>
      <c r="G5690" s="2" t="s">
        <v>6687</v>
      </c>
    </row>
    <row r="5691">
      <c r="A5691" s="2" t="s">
        <v>6685</v>
      </c>
      <c r="B5691" s="2" t="s">
        <v>6745</v>
      </c>
      <c r="D5691" s="2"/>
      <c r="G5691" s="2" t="s">
        <v>6687</v>
      </c>
    </row>
    <row r="5692">
      <c r="A5692" s="2" t="s">
        <v>6685</v>
      </c>
      <c r="B5692" s="2" t="s">
        <v>6746</v>
      </c>
      <c r="D5692" s="2"/>
      <c r="G5692" s="2" t="s">
        <v>6687</v>
      </c>
    </row>
    <row r="5693">
      <c r="A5693" s="2" t="s">
        <v>6685</v>
      </c>
      <c r="B5693" s="2" t="s">
        <v>6747</v>
      </c>
      <c r="D5693" s="2"/>
      <c r="G5693" s="2" t="s">
        <v>6687</v>
      </c>
    </row>
    <row r="5694">
      <c r="A5694" s="2" t="s">
        <v>6685</v>
      </c>
      <c r="B5694" s="2" t="s">
        <v>6748</v>
      </c>
      <c r="D5694" s="2"/>
      <c r="G5694" s="2" t="s">
        <v>6687</v>
      </c>
    </row>
    <row r="5695">
      <c r="A5695" s="2" t="s">
        <v>6685</v>
      </c>
      <c r="B5695" s="2" t="s">
        <v>6749</v>
      </c>
      <c r="D5695" s="2"/>
      <c r="G5695" s="2" t="s">
        <v>6687</v>
      </c>
    </row>
    <row r="5696">
      <c r="A5696" s="2" t="s">
        <v>6750</v>
      </c>
      <c r="B5696" s="2" t="s">
        <v>6720</v>
      </c>
      <c r="D5696" s="2"/>
      <c r="G5696" s="2" t="s">
        <v>6687</v>
      </c>
    </row>
    <row r="5697">
      <c r="A5697" s="2" t="s">
        <v>6750</v>
      </c>
      <c r="B5697" s="163" t="s">
        <v>6731</v>
      </c>
      <c r="D5697" s="2"/>
      <c r="G5697" s="2" t="s">
        <v>6687</v>
      </c>
    </row>
    <row r="5698">
      <c r="A5698" s="2" t="s">
        <v>6751</v>
      </c>
      <c r="B5698" s="2" t="s">
        <v>6734</v>
      </c>
      <c r="D5698" s="2"/>
      <c r="G5698" s="2" t="s">
        <v>6687</v>
      </c>
    </row>
    <row r="5699">
      <c r="A5699" s="2" t="s">
        <v>6751</v>
      </c>
      <c r="B5699" s="163" t="s">
        <v>6752</v>
      </c>
      <c r="D5699" s="2"/>
      <c r="G5699" s="2" t="s">
        <v>6687</v>
      </c>
    </row>
    <row r="5700">
      <c r="A5700" s="2" t="s">
        <v>6753</v>
      </c>
      <c r="B5700" s="2" t="s">
        <v>6754</v>
      </c>
      <c r="D5700" s="2"/>
      <c r="G5700" s="2"/>
    </row>
    <row r="5701">
      <c r="A5701" s="2" t="s">
        <v>6753</v>
      </c>
      <c r="B5701" s="2" t="s">
        <v>6756</v>
      </c>
      <c r="D5701" s="2"/>
      <c r="G5701" s="2"/>
    </row>
    <row r="5702">
      <c r="A5702" s="2" t="s">
        <v>6753</v>
      </c>
      <c r="B5702" s="2" t="s">
        <v>6757</v>
      </c>
      <c r="D5702" s="2"/>
      <c r="G5702" s="2"/>
    </row>
    <row r="5703">
      <c r="A5703" s="2" t="s">
        <v>6753</v>
      </c>
      <c r="B5703" s="2" t="s">
        <v>6758</v>
      </c>
      <c r="D5703" s="2"/>
      <c r="G5703" s="2"/>
    </row>
    <row r="5704">
      <c r="A5704" s="2" t="s">
        <v>6759</v>
      </c>
      <c r="B5704" s="2" t="s">
        <v>6760</v>
      </c>
      <c r="D5704" s="2"/>
      <c r="G5704" s="2"/>
    </row>
    <row r="5705">
      <c r="A5705" s="2" t="s">
        <v>6759</v>
      </c>
      <c r="B5705" s="2" t="s">
        <v>6761</v>
      </c>
      <c r="D5705" s="2"/>
      <c r="G5705" s="2"/>
    </row>
    <row r="5706">
      <c r="A5706" s="2" t="s">
        <v>6759</v>
      </c>
      <c r="B5706" s="2" t="s">
        <v>6762</v>
      </c>
      <c r="D5706" s="2"/>
      <c r="G5706" s="2"/>
    </row>
    <row r="5707">
      <c r="A5707" s="2" t="s">
        <v>6759</v>
      </c>
      <c r="B5707" s="2" t="s">
        <v>6763</v>
      </c>
      <c r="D5707" s="2"/>
      <c r="G5707" s="2"/>
    </row>
    <row r="5708">
      <c r="A5708" s="64" t="s">
        <v>6765</v>
      </c>
      <c r="B5708" s="2" t="s">
        <v>6766</v>
      </c>
      <c r="D5708" s="2"/>
      <c r="G5708" s="2" t="s">
        <v>6767</v>
      </c>
    </row>
    <row r="5709">
      <c r="A5709" s="64" t="s">
        <v>6765</v>
      </c>
      <c r="B5709" s="2" t="s">
        <v>6768</v>
      </c>
      <c r="D5709" s="2"/>
      <c r="G5709" s="2" t="s">
        <v>6767</v>
      </c>
    </row>
    <row r="5710">
      <c r="A5710" s="64" t="s">
        <v>6765</v>
      </c>
      <c r="B5710" s="2" t="s">
        <v>6769</v>
      </c>
      <c r="D5710" s="2"/>
      <c r="G5710" s="2" t="s">
        <v>6767</v>
      </c>
    </row>
    <row r="5711">
      <c r="A5711" s="64" t="s">
        <v>6765</v>
      </c>
      <c r="B5711" s="2" t="s">
        <v>6771</v>
      </c>
      <c r="D5711" s="2"/>
      <c r="G5711" s="2" t="s">
        <v>6767</v>
      </c>
    </row>
    <row r="5712">
      <c r="A5712" s="64" t="s">
        <v>6765</v>
      </c>
      <c r="B5712" s="2" t="s">
        <v>6772</v>
      </c>
      <c r="D5712" s="2"/>
      <c r="G5712" s="2" t="s">
        <v>6767</v>
      </c>
    </row>
    <row r="5713">
      <c r="A5713" s="2" t="s">
        <v>6773</v>
      </c>
      <c r="B5713" s="2" t="s">
        <v>6774</v>
      </c>
      <c r="D5713" s="2"/>
      <c r="G5713" s="2" t="s">
        <v>6767</v>
      </c>
    </row>
    <row r="5714">
      <c r="A5714" s="2" t="s">
        <v>6775</v>
      </c>
      <c r="B5714" s="2" t="s">
        <v>6776</v>
      </c>
      <c r="D5714" s="2"/>
      <c r="G5714" s="2" t="s">
        <v>6767</v>
      </c>
    </row>
    <row r="5715">
      <c r="A5715" s="2" t="s">
        <v>6775</v>
      </c>
      <c r="B5715" s="2" t="s">
        <v>6777</v>
      </c>
      <c r="D5715" s="2"/>
      <c r="G5715" s="2" t="s">
        <v>6767</v>
      </c>
    </row>
    <row r="5716">
      <c r="A5716" s="2" t="s">
        <v>6775</v>
      </c>
      <c r="B5716" s="2" t="s">
        <v>6778</v>
      </c>
      <c r="D5716" s="2"/>
      <c r="G5716" s="2" t="s">
        <v>6767</v>
      </c>
    </row>
    <row r="5717">
      <c r="A5717" s="2" t="s">
        <v>6775</v>
      </c>
      <c r="B5717" s="2" t="s">
        <v>6779</v>
      </c>
      <c r="D5717" s="2"/>
      <c r="G5717" s="2" t="s">
        <v>6767</v>
      </c>
    </row>
    <row r="5718">
      <c r="A5718" s="2" t="s">
        <v>6775</v>
      </c>
      <c r="B5718" s="2" t="s">
        <v>6780</v>
      </c>
      <c r="D5718" s="2"/>
      <c r="G5718" s="2" t="s">
        <v>6767</v>
      </c>
    </row>
    <row r="5719">
      <c r="A5719" s="2" t="s">
        <v>6775</v>
      </c>
      <c r="B5719" s="2" t="s">
        <v>6781</v>
      </c>
      <c r="D5719" s="2"/>
      <c r="G5719" s="2" t="s">
        <v>6767</v>
      </c>
    </row>
    <row r="5720">
      <c r="A5720" s="2" t="s">
        <v>6775</v>
      </c>
      <c r="B5720" s="2" t="s">
        <v>6783</v>
      </c>
      <c r="D5720" s="2"/>
      <c r="G5720" s="2" t="s">
        <v>6767</v>
      </c>
    </row>
    <row r="5721">
      <c r="A5721" s="2" t="s">
        <v>6775</v>
      </c>
      <c r="B5721" s="2" t="s">
        <v>6784</v>
      </c>
      <c r="D5721" s="2"/>
      <c r="G5721" s="2" t="s">
        <v>6767</v>
      </c>
    </row>
    <row r="5722">
      <c r="A5722" s="2" t="s">
        <v>6775</v>
      </c>
      <c r="B5722" s="2" t="s">
        <v>6785</v>
      </c>
      <c r="D5722" s="2"/>
      <c r="G5722" s="2" t="s">
        <v>6767</v>
      </c>
    </row>
    <row r="5723">
      <c r="A5723" s="2" t="s">
        <v>6775</v>
      </c>
      <c r="B5723" s="2" t="s">
        <v>6786</v>
      </c>
      <c r="D5723" s="2"/>
      <c r="G5723" s="2" t="s">
        <v>6767</v>
      </c>
    </row>
    <row r="5724">
      <c r="A5724" s="2" t="s">
        <v>6775</v>
      </c>
      <c r="B5724" s="2" t="s">
        <v>6788</v>
      </c>
      <c r="D5724" s="2"/>
      <c r="G5724" s="2" t="s">
        <v>6767</v>
      </c>
    </row>
    <row r="5725">
      <c r="A5725" s="2" t="s">
        <v>6775</v>
      </c>
      <c r="B5725" s="2" t="s">
        <v>6789</v>
      </c>
      <c r="D5725" s="2"/>
      <c r="G5725" s="2" t="s">
        <v>6767</v>
      </c>
    </row>
    <row r="5726">
      <c r="A5726" s="2" t="s">
        <v>6775</v>
      </c>
      <c r="B5726" s="2" t="s">
        <v>6790</v>
      </c>
      <c r="D5726" s="2"/>
      <c r="G5726" s="2" t="s">
        <v>6767</v>
      </c>
    </row>
    <row r="5727">
      <c r="A5727" s="2" t="s">
        <v>6775</v>
      </c>
      <c r="B5727" s="2" t="s">
        <v>6791</v>
      </c>
      <c r="D5727" s="2"/>
      <c r="G5727" s="2" t="s">
        <v>6767</v>
      </c>
    </row>
    <row r="5728">
      <c r="A5728" s="2" t="s">
        <v>6775</v>
      </c>
      <c r="B5728" s="2" t="s">
        <v>6792</v>
      </c>
      <c r="D5728" s="2"/>
      <c r="G5728" s="2" t="s">
        <v>6767</v>
      </c>
    </row>
    <row r="5729">
      <c r="A5729" s="2" t="s">
        <v>6775</v>
      </c>
      <c r="B5729" s="2" t="s">
        <v>6793</v>
      </c>
      <c r="D5729" s="2"/>
      <c r="G5729" s="2" t="s">
        <v>6767</v>
      </c>
    </row>
    <row r="5730">
      <c r="A5730" s="2" t="s">
        <v>6775</v>
      </c>
      <c r="B5730" s="2" t="s">
        <v>6794</v>
      </c>
      <c r="D5730" s="2"/>
      <c r="G5730" s="2" t="s">
        <v>6767</v>
      </c>
    </row>
    <row r="5731">
      <c r="A5731" s="64" t="s">
        <v>6765</v>
      </c>
      <c r="B5731" s="2" t="s">
        <v>6795</v>
      </c>
      <c r="D5731" s="2" t="s">
        <v>6796</v>
      </c>
      <c r="G5731" s="2"/>
    </row>
    <row r="5732">
      <c r="A5732" s="2" t="s">
        <v>6775</v>
      </c>
      <c r="B5732" s="2" t="s">
        <v>6798</v>
      </c>
      <c r="D5732" s="2" t="s">
        <v>6796</v>
      </c>
      <c r="G5732" s="2"/>
    </row>
    <row r="5733">
      <c r="A5733" s="2" t="s">
        <v>6775</v>
      </c>
      <c r="B5733" s="2" t="s">
        <v>6799</v>
      </c>
      <c r="D5733" s="2" t="s">
        <v>6796</v>
      </c>
      <c r="G5733" s="2"/>
    </row>
    <row r="5734">
      <c r="A5734" s="2" t="s">
        <v>6775</v>
      </c>
      <c r="B5734" s="2" t="s">
        <v>6800</v>
      </c>
      <c r="D5734" s="2" t="s">
        <v>6796</v>
      </c>
      <c r="G5734" s="2"/>
    </row>
    <row r="5735">
      <c r="A5735" s="2" t="s">
        <v>6775</v>
      </c>
      <c r="B5735" s="2" t="s">
        <v>6801</v>
      </c>
      <c r="D5735" s="2" t="s">
        <v>6796</v>
      </c>
      <c r="G5735" s="2"/>
    </row>
    <row r="5736">
      <c r="A5736" s="2" t="s">
        <v>6775</v>
      </c>
      <c r="B5736" s="2" t="s">
        <v>6802</v>
      </c>
      <c r="D5736" s="2" t="s">
        <v>6796</v>
      </c>
      <c r="G5736" s="2"/>
    </row>
    <row r="5737">
      <c r="A5737" s="2" t="s">
        <v>6804</v>
      </c>
      <c r="B5737" s="2" t="s">
        <v>6805</v>
      </c>
      <c r="D5737" s="2" t="s">
        <v>6806</v>
      </c>
      <c r="G5737" s="2"/>
    </row>
    <row r="5738">
      <c r="A5738" s="2" t="s">
        <v>6804</v>
      </c>
      <c r="B5738" s="2" t="s">
        <v>6807</v>
      </c>
      <c r="D5738" s="2" t="s">
        <v>6806</v>
      </c>
      <c r="G5738" s="2"/>
    </row>
    <row r="5739">
      <c r="A5739" s="2" t="s">
        <v>6804</v>
      </c>
      <c r="B5739" s="2" t="s">
        <v>6808</v>
      </c>
      <c r="D5739" s="2" t="s">
        <v>6806</v>
      </c>
      <c r="G5739" s="2"/>
    </row>
    <row r="5740">
      <c r="A5740" s="2" t="s">
        <v>6804</v>
      </c>
      <c r="B5740" s="2" t="s">
        <v>6809</v>
      </c>
      <c r="D5740" s="2" t="s">
        <v>6806</v>
      </c>
      <c r="G5740" s="2"/>
    </row>
    <row r="5741">
      <c r="A5741" s="2" t="s">
        <v>6804</v>
      </c>
      <c r="B5741" s="2" t="s">
        <v>6810</v>
      </c>
      <c r="D5741" s="2" t="s">
        <v>6806</v>
      </c>
      <c r="G5741" s="2"/>
    </row>
    <row r="5742">
      <c r="A5742" s="2" t="s">
        <v>6804</v>
      </c>
      <c r="B5742" s="2" t="s">
        <v>6811</v>
      </c>
      <c r="D5742" s="2" t="s">
        <v>6806</v>
      </c>
      <c r="G5742" s="2"/>
    </row>
    <row r="5743">
      <c r="A5743" s="2" t="s">
        <v>6812</v>
      </c>
      <c r="B5743" s="2" t="s">
        <v>6813</v>
      </c>
      <c r="D5743" s="2" t="s">
        <v>6806</v>
      </c>
      <c r="G5743" s="2"/>
    </row>
    <row r="5744">
      <c r="A5744" s="2" t="s">
        <v>6812</v>
      </c>
      <c r="B5744" s="2" t="s">
        <v>6814</v>
      </c>
      <c r="D5744" s="2" t="s">
        <v>6806</v>
      </c>
      <c r="G5744" s="2"/>
    </row>
    <row r="5745">
      <c r="A5745" s="2" t="s">
        <v>6812</v>
      </c>
      <c r="B5745" s="2" t="s">
        <v>6815</v>
      </c>
      <c r="D5745" s="2" t="s">
        <v>6806</v>
      </c>
      <c r="G5745" s="2"/>
    </row>
    <row r="5746">
      <c r="A5746" s="2" t="s">
        <v>6812</v>
      </c>
      <c r="B5746" s="2" t="s">
        <v>6816</v>
      </c>
      <c r="D5746" s="2" t="s">
        <v>6806</v>
      </c>
      <c r="G5746" s="2"/>
    </row>
    <row r="5747">
      <c r="A5747" s="2" t="s">
        <v>6812</v>
      </c>
      <c r="B5747" s="2" t="s">
        <v>6817</v>
      </c>
      <c r="D5747" s="2" t="s">
        <v>6806</v>
      </c>
      <c r="G5747" s="2"/>
    </row>
    <row r="5748">
      <c r="A5748" s="2" t="s">
        <v>6812</v>
      </c>
      <c r="B5748" s="2" t="s">
        <v>6818</v>
      </c>
      <c r="D5748" s="2" t="s">
        <v>6806</v>
      </c>
      <c r="G5748" s="2"/>
    </row>
    <row r="5749">
      <c r="A5749" s="2" t="s">
        <v>6812</v>
      </c>
      <c r="B5749" s="2" t="s">
        <v>6819</v>
      </c>
      <c r="D5749" s="2" t="s">
        <v>6806</v>
      </c>
      <c r="G5749" s="2"/>
    </row>
    <row r="5750">
      <c r="A5750" s="2" t="s">
        <v>6812</v>
      </c>
      <c r="B5750" s="2" t="s">
        <v>6820</v>
      </c>
      <c r="D5750" s="2" t="s">
        <v>6806</v>
      </c>
      <c r="G5750" s="2"/>
    </row>
    <row r="5751">
      <c r="A5751" s="2" t="s">
        <v>6812</v>
      </c>
      <c r="B5751" s="2" t="s">
        <v>6821</v>
      </c>
      <c r="D5751" s="2" t="s">
        <v>6806</v>
      </c>
      <c r="G5751" s="2"/>
    </row>
    <row r="5752">
      <c r="A5752" s="2" t="s">
        <v>6812</v>
      </c>
      <c r="B5752" s="2" t="s">
        <v>6823</v>
      </c>
      <c r="D5752" s="2" t="s">
        <v>6806</v>
      </c>
      <c r="G5752" s="2"/>
    </row>
    <row r="5753">
      <c r="A5753" s="2" t="s">
        <v>6812</v>
      </c>
      <c r="B5753" s="2" t="s">
        <v>6824</v>
      </c>
      <c r="D5753" s="2" t="s">
        <v>6806</v>
      </c>
      <c r="G5753" s="2"/>
    </row>
    <row r="5754">
      <c r="A5754" s="2" t="s">
        <v>6812</v>
      </c>
      <c r="B5754" s="2" t="s">
        <v>6825</v>
      </c>
      <c r="D5754" s="2" t="s">
        <v>6806</v>
      </c>
      <c r="G5754" s="2"/>
    </row>
    <row r="5755">
      <c r="A5755" s="2" t="s">
        <v>6812</v>
      </c>
      <c r="B5755" s="2" t="s">
        <v>6826</v>
      </c>
      <c r="D5755" s="2" t="s">
        <v>6806</v>
      </c>
      <c r="G5755" s="2"/>
    </row>
    <row r="5756">
      <c r="A5756" s="2" t="s">
        <v>6812</v>
      </c>
      <c r="B5756" s="2" t="s">
        <v>6827</v>
      </c>
      <c r="D5756" s="2" t="s">
        <v>6806</v>
      </c>
      <c r="G5756" s="2"/>
    </row>
    <row r="5757">
      <c r="A5757" s="2" t="s">
        <v>6812</v>
      </c>
      <c r="B5757" s="2" t="s">
        <v>6828</v>
      </c>
      <c r="D5757" s="2" t="s">
        <v>6806</v>
      </c>
      <c r="G5757" s="2"/>
    </row>
    <row r="5758">
      <c r="A5758" s="2" t="s">
        <v>6812</v>
      </c>
      <c r="B5758" s="2" t="s">
        <v>6829</v>
      </c>
      <c r="D5758" s="2" t="s">
        <v>6806</v>
      </c>
      <c r="G5758" s="2"/>
    </row>
    <row r="5759">
      <c r="A5759" s="2" t="s">
        <v>6812</v>
      </c>
      <c r="B5759" s="2" t="s">
        <v>6830</v>
      </c>
      <c r="D5759" s="2" t="s">
        <v>6806</v>
      </c>
      <c r="G5759" s="2"/>
    </row>
    <row r="5760">
      <c r="A5760" s="2" t="s">
        <v>6812</v>
      </c>
      <c r="B5760" s="2" t="s">
        <v>6831</v>
      </c>
      <c r="D5760" s="2" t="s">
        <v>6806</v>
      </c>
      <c r="G5760" s="2"/>
    </row>
    <row r="5761">
      <c r="A5761" s="2" t="s">
        <v>6812</v>
      </c>
      <c r="B5761" s="2" t="s">
        <v>6832</v>
      </c>
      <c r="D5761" s="2" t="s">
        <v>6806</v>
      </c>
      <c r="G5761" s="2"/>
    </row>
    <row r="5762">
      <c r="A5762" s="2" t="s">
        <v>6812</v>
      </c>
      <c r="B5762" s="2" t="s">
        <v>6833</v>
      </c>
      <c r="D5762" s="2" t="s">
        <v>6806</v>
      </c>
      <c r="G5762" s="2"/>
    </row>
    <row r="5763">
      <c r="A5763" s="2" t="s">
        <v>6812</v>
      </c>
      <c r="B5763" s="2" t="s">
        <v>6834</v>
      </c>
      <c r="D5763" s="2" t="s">
        <v>6806</v>
      </c>
      <c r="G5763" s="2"/>
    </row>
    <row r="5764">
      <c r="A5764" s="2" t="s">
        <v>6812</v>
      </c>
      <c r="B5764" s="2" t="s">
        <v>6835</v>
      </c>
      <c r="D5764" s="2" t="s">
        <v>6806</v>
      </c>
      <c r="G5764" s="2"/>
    </row>
    <row r="5765">
      <c r="A5765" s="2" t="s">
        <v>6812</v>
      </c>
      <c r="B5765" s="2" t="s">
        <v>6836</v>
      </c>
      <c r="D5765" s="2" t="s">
        <v>6806</v>
      </c>
      <c r="G5765" s="2"/>
    </row>
    <row r="5766">
      <c r="A5766" s="2" t="s">
        <v>6812</v>
      </c>
      <c r="B5766" s="2" t="s">
        <v>6838</v>
      </c>
      <c r="D5766" s="2" t="s">
        <v>6806</v>
      </c>
      <c r="G5766" s="2"/>
    </row>
    <row r="5767">
      <c r="A5767" s="2" t="s">
        <v>6812</v>
      </c>
      <c r="B5767" s="2" t="s">
        <v>6839</v>
      </c>
      <c r="D5767" s="2" t="s">
        <v>6806</v>
      </c>
      <c r="G5767" s="2"/>
    </row>
    <row r="5768">
      <c r="A5768" s="2" t="s">
        <v>6840</v>
      </c>
      <c r="B5768" s="2" t="s">
        <v>6841</v>
      </c>
      <c r="D5768" s="2"/>
      <c r="G5768" s="2" t="s">
        <v>6842</v>
      </c>
    </row>
    <row r="5769">
      <c r="A5769" s="2" t="s">
        <v>6840</v>
      </c>
      <c r="B5769" s="2" t="s">
        <v>6843</v>
      </c>
      <c r="D5769" s="2"/>
      <c r="G5769" s="2" t="s">
        <v>6842</v>
      </c>
    </row>
    <row r="5770">
      <c r="A5770" s="2" t="s">
        <v>6840</v>
      </c>
      <c r="B5770" s="2" t="s">
        <v>6844</v>
      </c>
      <c r="D5770" s="2"/>
      <c r="G5770" s="2" t="s">
        <v>6842</v>
      </c>
    </row>
    <row r="5771">
      <c r="A5771" s="2" t="s">
        <v>6840</v>
      </c>
      <c r="B5771" s="2" t="s">
        <v>6845</v>
      </c>
      <c r="D5771" s="2"/>
      <c r="G5771" s="2" t="s">
        <v>6842</v>
      </c>
    </row>
    <row r="5772">
      <c r="A5772" s="2" t="s">
        <v>6846</v>
      </c>
      <c r="B5772" s="2" t="s">
        <v>6847</v>
      </c>
      <c r="D5772" s="2"/>
      <c r="G5772" s="2" t="s">
        <v>6842</v>
      </c>
    </row>
    <row r="5773">
      <c r="A5773" s="2" t="s">
        <v>6846</v>
      </c>
      <c r="B5773" s="2" t="s">
        <v>6849</v>
      </c>
      <c r="D5773" s="2"/>
      <c r="G5773" s="2" t="s">
        <v>6842</v>
      </c>
    </row>
    <row r="5774">
      <c r="A5774" s="2" t="s">
        <v>6846</v>
      </c>
      <c r="B5774" s="2" t="s">
        <v>6850</v>
      </c>
      <c r="D5774" s="2"/>
      <c r="G5774" s="2" t="s">
        <v>6842</v>
      </c>
    </row>
    <row r="5775">
      <c r="A5775" s="2" t="s">
        <v>6846</v>
      </c>
      <c r="B5775" s="2" t="s">
        <v>6851</v>
      </c>
      <c r="D5775" s="2"/>
      <c r="G5775" s="2" t="s">
        <v>6842</v>
      </c>
    </row>
    <row r="5776">
      <c r="A5776" s="2" t="s">
        <v>6846</v>
      </c>
      <c r="B5776" s="2" t="s">
        <v>6852</v>
      </c>
      <c r="D5776" s="2"/>
      <c r="G5776" s="2" t="s">
        <v>6842</v>
      </c>
    </row>
    <row r="5777">
      <c r="A5777" s="2" t="s">
        <v>6853</v>
      </c>
      <c r="B5777" s="187" t="s">
        <v>6854</v>
      </c>
      <c r="D5777" s="2"/>
      <c r="G5777" s="186" t="s">
        <v>6855</v>
      </c>
    </row>
    <row r="5778">
      <c r="A5778" s="2" t="s">
        <v>6853</v>
      </c>
      <c r="B5778" s="187" t="s">
        <v>6856</v>
      </c>
      <c r="D5778" s="2"/>
      <c r="G5778" s="186" t="s">
        <v>6855</v>
      </c>
    </row>
    <row r="5779">
      <c r="A5779" s="2" t="s">
        <v>6857</v>
      </c>
      <c r="B5779" s="2" t="s">
        <v>6858</v>
      </c>
      <c r="D5779" s="2"/>
      <c r="G5779" s="186" t="s">
        <v>6855</v>
      </c>
    </row>
    <row r="5780">
      <c r="A5780" s="2" t="s">
        <v>6857</v>
      </c>
      <c r="B5780" s="2" t="s">
        <v>6859</v>
      </c>
      <c r="D5780" s="2"/>
      <c r="G5780" s="186" t="s">
        <v>6855</v>
      </c>
    </row>
    <row r="5781">
      <c r="A5781" s="2" t="s">
        <v>6857</v>
      </c>
      <c r="B5781" s="2" t="s">
        <v>6860</v>
      </c>
      <c r="D5781" s="2"/>
      <c r="G5781" s="186" t="s">
        <v>6855</v>
      </c>
    </row>
    <row r="5782">
      <c r="A5782" s="2" t="s">
        <v>6857</v>
      </c>
      <c r="B5782" s="2" t="s">
        <v>6861</v>
      </c>
      <c r="D5782" s="2"/>
      <c r="G5782" s="186" t="s">
        <v>6855</v>
      </c>
    </row>
    <row r="5783">
      <c r="A5783" s="2" t="s">
        <v>6862</v>
      </c>
      <c r="B5783" s="2" t="s">
        <v>6863</v>
      </c>
      <c r="D5783" s="2"/>
      <c r="G5783" s="186" t="s">
        <v>6855</v>
      </c>
    </row>
    <row r="5784">
      <c r="A5784" s="2" t="s">
        <v>6862</v>
      </c>
      <c r="B5784" s="2" t="s">
        <v>6864</v>
      </c>
      <c r="D5784" s="2"/>
      <c r="G5784" s="186"/>
    </row>
    <row r="5785">
      <c r="A5785" s="2" t="s">
        <v>6865</v>
      </c>
      <c r="B5785" s="2" t="s">
        <v>6866</v>
      </c>
      <c r="D5785" s="2" t="s">
        <v>6867</v>
      </c>
      <c r="G5785" s="2"/>
    </row>
    <row r="5786">
      <c r="A5786" s="2" t="s">
        <v>6865</v>
      </c>
      <c r="B5786" s="2" t="s">
        <v>6868</v>
      </c>
      <c r="D5786" s="2" t="s">
        <v>6867</v>
      </c>
      <c r="G5786" s="2"/>
    </row>
    <row r="5787">
      <c r="A5787" s="2" t="s">
        <v>6865</v>
      </c>
      <c r="B5787" s="2" t="s">
        <v>6869</v>
      </c>
      <c r="D5787" s="2" t="s">
        <v>6867</v>
      </c>
      <c r="G5787" s="2"/>
    </row>
    <row r="5788">
      <c r="A5788" s="2" t="s">
        <v>6865</v>
      </c>
      <c r="B5788" s="2" t="s">
        <v>6870</v>
      </c>
      <c r="D5788" s="2" t="s">
        <v>6867</v>
      </c>
      <c r="G5788" s="2"/>
    </row>
    <row r="5789">
      <c r="A5789" s="2" t="s">
        <v>6865</v>
      </c>
      <c r="B5789" s="2" t="s">
        <v>6871</v>
      </c>
      <c r="D5789" s="2" t="s">
        <v>6867</v>
      </c>
      <c r="G5789" s="2"/>
    </row>
    <row r="5790">
      <c r="A5790" s="2" t="s">
        <v>6865</v>
      </c>
      <c r="B5790" s="2" t="s">
        <v>6872</v>
      </c>
      <c r="D5790" s="2" t="s">
        <v>6867</v>
      </c>
      <c r="G5790" s="2"/>
    </row>
    <row r="5791">
      <c r="A5791" s="2" t="s">
        <v>6873</v>
      </c>
      <c r="B5791" s="2" t="s">
        <v>6874</v>
      </c>
      <c r="D5791" s="2" t="s">
        <v>6867</v>
      </c>
      <c r="G5791" s="2"/>
    </row>
    <row r="5792">
      <c r="A5792" s="2" t="s">
        <v>6873</v>
      </c>
      <c r="B5792" s="163" t="s">
        <v>6875</v>
      </c>
      <c r="D5792" s="2" t="s">
        <v>6867</v>
      </c>
      <c r="G5792" s="2"/>
    </row>
    <row r="5793">
      <c r="A5793" s="64" t="s">
        <v>6876</v>
      </c>
      <c r="B5793" s="2" t="s">
        <v>6877</v>
      </c>
      <c r="D5793" s="2" t="s">
        <v>6867</v>
      </c>
      <c r="G5793" s="2"/>
    </row>
    <row r="5794">
      <c r="A5794" s="64" t="s">
        <v>6876</v>
      </c>
      <c r="B5794" s="2" t="s">
        <v>6879</v>
      </c>
      <c r="D5794" s="2" t="s">
        <v>6867</v>
      </c>
      <c r="G5794" s="2"/>
    </row>
    <row r="5795">
      <c r="A5795" s="64" t="s">
        <v>6876</v>
      </c>
      <c r="B5795" s="2" t="s">
        <v>6880</v>
      </c>
      <c r="D5795" s="2" t="s">
        <v>6867</v>
      </c>
      <c r="G5795" s="2"/>
    </row>
    <row r="5796">
      <c r="A5796" s="64" t="s">
        <v>6876</v>
      </c>
      <c r="B5796" s="2" t="s">
        <v>6881</v>
      </c>
      <c r="D5796" s="2" t="s">
        <v>6867</v>
      </c>
      <c r="G5796" s="2"/>
    </row>
    <row r="5797">
      <c r="A5797" s="64" t="s">
        <v>6876</v>
      </c>
      <c r="B5797" s="2" t="s">
        <v>6882</v>
      </c>
      <c r="D5797" s="2" t="s">
        <v>6867</v>
      </c>
      <c r="G5797" s="2"/>
    </row>
    <row r="5798">
      <c r="A5798" s="64" t="s">
        <v>6876</v>
      </c>
      <c r="B5798" s="2" t="s">
        <v>6883</v>
      </c>
      <c r="D5798" s="2" t="s">
        <v>6867</v>
      </c>
      <c r="G5798" s="2"/>
    </row>
    <row r="5799">
      <c r="A5799" s="64" t="s">
        <v>6876</v>
      </c>
      <c r="B5799" s="2" t="s">
        <v>6884</v>
      </c>
      <c r="D5799" s="2" t="s">
        <v>6867</v>
      </c>
      <c r="G5799" s="2"/>
    </row>
    <row r="5800">
      <c r="A5800" s="64" t="s">
        <v>6876</v>
      </c>
      <c r="B5800" s="2" t="s">
        <v>6885</v>
      </c>
      <c r="D5800" s="2" t="s">
        <v>6867</v>
      </c>
      <c r="G5800" s="2"/>
    </row>
    <row r="5801">
      <c r="A5801" s="64" t="s">
        <v>6876</v>
      </c>
      <c r="B5801" s="2" t="s">
        <v>6886</v>
      </c>
      <c r="D5801" s="2" t="s">
        <v>6867</v>
      </c>
      <c r="G5801" s="2"/>
    </row>
    <row r="5802">
      <c r="A5802" s="64" t="s">
        <v>6876</v>
      </c>
      <c r="B5802" s="2" t="s">
        <v>6887</v>
      </c>
      <c r="D5802" s="2" t="s">
        <v>6867</v>
      </c>
      <c r="G5802" s="2"/>
    </row>
    <row r="5803">
      <c r="A5803" s="64" t="s">
        <v>6876</v>
      </c>
      <c r="B5803" s="2" t="s">
        <v>6888</v>
      </c>
      <c r="D5803" s="2" t="s">
        <v>6867</v>
      </c>
      <c r="G5803" s="2"/>
    </row>
    <row r="5804">
      <c r="A5804" s="64" t="s">
        <v>6876</v>
      </c>
      <c r="B5804" s="2" t="s">
        <v>6889</v>
      </c>
      <c r="D5804" s="2" t="s">
        <v>6867</v>
      </c>
      <c r="G5804" s="2"/>
    </row>
    <row r="5805">
      <c r="A5805" s="64" t="s">
        <v>6876</v>
      </c>
      <c r="B5805" s="2" t="s">
        <v>6890</v>
      </c>
      <c r="D5805" s="2" t="s">
        <v>6867</v>
      </c>
      <c r="G5805" s="2"/>
    </row>
    <row r="5806">
      <c r="A5806" s="64" t="s">
        <v>6876</v>
      </c>
      <c r="B5806" s="2" t="s">
        <v>6891</v>
      </c>
      <c r="D5806" s="2" t="s">
        <v>6867</v>
      </c>
      <c r="G5806" s="2"/>
    </row>
    <row r="5807">
      <c r="A5807" s="64" t="s">
        <v>6876</v>
      </c>
      <c r="B5807" s="2" t="s">
        <v>6892</v>
      </c>
      <c r="D5807" s="2" t="s">
        <v>6867</v>
      </c>
      <c r="G5807" s="2"/>
    </row>
    <row r="5808">
      <c r="A5808" s="64" t="s">
        <v>6876</v>
      </c>
      <c r="B5808" s="2" t="s">
        <v>6893</v>
      </c>
      <c r="D5808" s="2" t="s">
        <v>6867</v>
      </c>
      <c r="G5808" s="2"/>
    </row>
    <row r="5809">
      <c r="A5809" s="64" t="s">
        <v>6876</v>
      </c>
      <c r="B5809" s="2" t="s">
        <v>6894</v>
      </c>
      <c r="D5809" s="2" t="s">
        <v>6867</v>
      </c>
      <c r="G5809" s="2"/>
    </row>
    <row r="5810">
      <c r="A5810" s="64" t="s">
        <v>6876</v>
      </c>
      <c r="B5810" s="2" t="s">
        <v>6895</v>
      </c>
      <c r="D5810" s="2" t="s">
        <v>6867</v>
      </c>
      <c r="G5810" s="2"/>
    </row>
    <row r="5811">
      <c r="A5811" s="64" t="s">
        <v>6876</v>
      </c>
      <c r="B5811" s="2" t="s">
        <v>6897</v>
      </c>
      <c r="D5811" s="2" t="s">
        <v>6867</v>
      </c>
      <c r="G5811" s="2"/>
    </row>
    <row r="5812">
      <c r="A5812" s="64" t="s">
        <v>6876</v>
      </c>
      <c r="B5812" s="2" t="s">
        <v>6898</v>
      </c>
      <c r="D5812" s="2" t="s">
        <v>6867</v>
      </c>
      <c r="G5812" s="2"/>
    </row>
    <row r="5813">
      <c r="A5813" s="64" t="s">
        <v>6876</v>
      </c>
      <c r="B5813" s="2" t="s">
        <v>6899</v>
      </c>
      <c r="D5813" s="2" t="s">
        <v>6867</v>
      </c>
      <c r="G5813" s="2"/>
    </row>
    <row r="5814">
      <c r="A5814" s="64" t="s">
        <v>6876</v>
      </c>
      <c r="B5814" s="2" t="s">
        <v>6900</v>
      </c>
      <c r="D5814" s="2" t="s">
        <v>6867</v>
      </c>
      <c r="G5814" s="2"/>
    </row>
    <row r="5815">
      <c r="A5815" s="64" t="s">
        <v>6876</v>
      </c>
      <c r="B5815" s="2" t="s">
        <v>6901</v>
      </c>
      <c r="D5815" s="2" t="s">
        <v>6867</v>
      </c>
      <c r="G5815" s="2"/>
    </row>
    <row r="5816">
      <c r="A5816" s="64" t="s">
        <v>6876</v>
      </c>
      <c r="B5816" s="2" t="s">
        <v>6902</v>
      </c>
      <c r="D5816" s="2" t="s">
        <v>6867</v>
      </c>
      <c r="G5816" s="2"/>
    </row>
    <row r="5817">
      <c r="A5817" s="64" t="s">
        <v>6876</v>
      </c>
      <c r="B5817" s="2" t="s">
        <v>6903</v>
      </c>
      <c r="D5817" s="2" t="s">
        <v>6867</v>
      </c>
      <c r="G5817" s="2"/>
    </row>
    <row r="5818">
      <c r="A5818" s="64" t="s">
        <v>6876</v>
      </c>
      <c r="B5818" s="2" t="s">
        <v>6905</v>
      </c>
      <c r="D5818" s="2" t="s">
        <v>6867</v>
      </c>
      <c r="G5818" s="2"/>
    </row>
    <row r="5819">
      <c r="A5819" s="64" t="s">
        <v>6876</v>
      </c>
      <c r="B5819" s="2" t="s">
        <v>6875</v>
      </c>
      <c r="D5819" s="2" t="s">
        <v>6867</v>
      </c>
      <c r="G5819" s="2"/>
    </row>
    <row r="5820">
      <c r="A5820" s="64" t="s">
        <v>6876</v>
      </c>
      <c r="B5820" s="2" t="s">
        <v>6906</v>
      </c>
      <c r="D5820" s="2" t="s">
        <v>6867</v>
      </c>
      <c r="G5820" s="2"/>
    </row>
    <row r="5821">
      <c r="A5821" s="64" t="s">
        <v>6876</v>
      </c>
      <c r="B5821" s="2" t="s">
        <v>6907</v>
      </c>
      <c r="D5821" s="2" t="s">
        <v>6867</v>
      </c>
      <c r="G5821" s="2"/>
    </row>
    <row r="5822">
      <c r="A5822" s="64" t="s">
        <v>6876</v>
      </c>
      <c r="B5822" s="2" t="s">
        <v>6908</v>
      </c>
      <c r="D5822" s="2" t="s">
        <v>6867</v>
      </c>
      <c r="G5822" s="2"/>
    </row>
    <row r="5823">
      <c r="A5823" s="64" t="s">
        <v>6876</v>
      </c>
      <c r="B5823" s="2" t="s">
        <v>6909</v>
      </c>
      <c r="D5823" s="2" t="s">
        <v>6867</v>
      </c>
      <c r="G5823" s="2"/>
    </row>
    <row r="5824">
      <c r="A5824" s="64" t="s">
        <v>6876</v>
      </c>
      <c r="B5824" s="2" t="s">
        <v>6910</v>
      </c>
      <c r="D5824" s="2" t="s">
        <v>6867</v>
      </c>
      <c r="G5824" s="2"/>
    </row>
    <row r="5825">
      <c r="A5825" s="64" t="s">
        <v>6876</v>
      </c>
      <c r="B5825" s="2" t="s">
        <v>6868</v>
      </c>
      <c r="D5825" s="2" t="s">
        <v>6867</v>
      </c>
      <c r="G5825" s="2"/>
    </row>
    <row r="5826">
      <c r="A5826" s="64" t="s">
        <v>6876</v>
      </c>
      <c r="B5826" s="2" t="s">
        <v>6911</v>
      </c>
      <c r="D5826" s="2" t="s">
        <v>6867</v>
      </c>
      <c r="G5826" s="2"/>
    </row>
    <row r="5827">
      <c r="A5827" s="64" t="s">
        <v>6876</v>
      </c>
      <c r="B5827" s="2" t="s">
        <v>6912</v>
      </c>
      <c r="D5827" s="2" t="s">
        <v>6867</v>
      </c>
      <c r="G5827" s="2"/>
    </row>
    <row r="5828">
      <c r="A5828" s="64" t="s">
        <v>6876</v>
      </c>
      <c r="B5828" s="2" t="s">
        <v>6913</v>
      </c>
      <c r="D5828" s="2" t="s">
        <v>6867</v>
      </c>
      <c r="G5828" s="2"/>
    </row>
    <row r="5829">
      <c r="A5829" s="64" t="s">
        <v>6876</v>
      </c>
      <c r="B5829" s="2" t="s">
        <v>6914</v>
      </c>
      <c r="D5829" s="2" t="s">
        <v>6867</v>
      </c>
      <c r="G5829" s="2"/>
    </row>
    <row r="5830">
      <c r="A5830" s="64" t="s">
        <v>6876</v>
      </c>
      <c r="B5830" s="2" t="s">
        <v>6915</v>
      </c>
      <c r="D5830" s="2" t="s">
        <v>6867</v>
      </c>
      <c r="G5830" s="2"/>
    </row>
    <row r="5831">
      <c r="A5831" s="64" t="s">
        <v>6876</v>
      </c>
      <c r="B5831" s="2" t="s">
        <v>6916</v>
      </c>
      <c r="D5831" s="2" t="s">
        <v>6867</v>
      </c>
      <c r="G5831" s="2"/>
    </row>
    <row r="5832">
      <c r="A5832" s="64" t="s">
        <v>6876</v>
      </c>
      <c r="B5832" s="2" t="s">
        <v>6917</v>
      </c>
      <c r="D5832" s="2" t="s">
        <v>6867</v>
      </c>
      <c r="G5832" s="2"/>
    </row>
    <row r="5833">
      <c r="A5833" s="64" t="s">
        <v>6876</v>
      </c>
      <c r="B5833" s="2" t="s">
        <v>6918</v>
      </c>
      <c r="D5833" s="2" t="s">
        <v>6867</v>
      </c>
      <c r="G5833" s="2"/>
    </row>
    <row r="5834">
      <c r="A5834" s="64" t="s">
        <v>6876</v>
      </c>
      <c r="B5834" s="2" t="s">
        <v>6920</v>
      </c>
      <c r="D5834" s="2" t="s">
        <v>6867</v>
      </c>
      <c r="G5834" s="2"/>
    </row>
    <row r="5835">
      <c r="A5835" s="64" t="s">
        <v>6876</v>
      </c>
      <c r="B5835" s="2" t="s">
        <v>6921</v>
      </c>
      <c r="D5835" s="2" t="s">
        <v>6867</v>
      </c>
      <c r="G5835" s="2"/>
    </row>
    <row r="5836">
      <c r="A5836" s="64" t="s">
        <v>6876</v>
      </c>
      <c r="B5836" s="2" t="s">
        <v>6922</v>
      </c>
      <c r="D5836" s="2" t="s">
        <v>6867</v>
      </c>
      <c r="G5836" s="2"/>
    </row>
    <row r="5837">
      <c r="A5837" s="64" t="s">
        <v>6876</v>
      </c>
      <c r="B5837" s="2" t="s">
        <v>6923</v>
      </c>
      <c r="D5837" s="2" t="s">
        <v>6867</v>
      </c>
      <c r="G5837" s="2"/>
    </row>
    <row r="5838">
      <c r="A5838" s="64" t="s">
        <v>6876</v>
      </c>
      <c r="B5838" s="2" t="s">
        <v>6924</v>
      </c>
      <c r="D5838" s="2" t="s">
        <v>6867</v>
      </c>
      <c r="G5838" s="2"/>
    </row>
    <row r="5839">
      <c r="A5839" s="64" t="s">
        <v>6876</v>
      </c>
      <c r="B5839" s="2" t="s">
        <v>6926</v>
      </c>
      <c r="D5839" s="2" t="s">
        <v>6867</v>
      </c>
      <c r="G5839" s="2"/>
    </row>
    <row r="5840">
      <c r="A5840" s="64" t="s">
        <v>6876</v>
      </c>
      <c r="B5840" s="2" t="s">
        <v>6928</v>
      </c>
      <c r="D5840" s="2" t="s">
        <v>6867</v>
      </c>
      <c r="G5840" s="2"/>
    </row>
    <row r="5841">
      <c r="A5841" s="64" t="s">
        <v>6876</v>
      </c>
      <c r="B5841" s="2" t="s">
        <v>6929</v>
      </c>
      <c r="D5841" s="2" t="s">
        <v>6867</v>
      </c>
      <c r="G5841" s="2"/>
    </row>
    <row r="5842">
      <c r="A5842" s="64" t="s">
        <v>6876</v>
      </c>
      <c r="B5842" s="2" t="s">
        <v>6930</v>
      </c>
      <c r="D5842" s="2" t="s">
        <v>6867</v>
      </c>
      <c r="G5842" s="2"/>
    </row>
    <row r="5843">
      <c r="A5843" s="64" t="s">
        <v>6876</v>
      </c>
      <c r="B5843" s="2" t="s">
        <v>6931</v>
      </c>
      <c r="D5843" s="2" t="s">
        <v>6867</v>
      </c>
      <c r="G5843" s="2"/>
    </row>
    <row r="5844">
      <c r="A5844" s="64" t="s">
        <v>6876</v>
      </c>
      <c r="B5844" s="2" t="s">
        <v>6932</v>
      </c>
      <c r="D5844" s="2" t="s">
        <v>6867</v>
      </c>
      <c r="G5844" s="2"/>
    </row>
    <row r="5845">
      <c r="A5845" s="64" t="s">
        <v>6876</v>
      </c>
      <c r="B5845" s="2" t="s">
        <v>6933</v>
      </c>
      <c r="D5845" s="2" t="s">
        <v>6867</v>
      </c>
      <c r="G5845" s="2"/>
    </row>
    <row r="5846">
      <c r="A5846" s="64" t="s">
        <v>6876</v>
      </c>
      <c r="B5846" s="2" t="s">
        <v>6934</v>
      </c>
      <c r="D5846" s="2" t="s">
        <v>6867</v>
      </c>
      <c r="G5846" s="2"/>
    </row>
    <row r="5847">
      <c r="A5847" s="64" t="s">
        <v>6876</v>
      </c>
      <c r="B5847" s="2" t="s">
        <v>6935</v>
      </c>
      <c r="D5847" s="2" t="s">
        <v>6867</v>
      </c>
      <c r="G5847" s="2"/>
    </row>
    <row r="5848">
      <c r="A5848" s="64" t="s">
        <v>6876</v>
      </c>
      <c r="B5848" s="2" t="s">
        <v>6936</v>
      </c>
      <c r="D5848" s="2" t="s">
        <v>6867</v>
      </c>
      <c r="G5848" s="2"/>
    </row>
    <row r="5849">
      <c r="A5849" s="64" t="s">
        <v>6876</v>
      </c>
      <c r="B5849" s="2" t="s">
        <v>6937</v>
      </c>
      <c r="D5849" s="2" t="s">
        <v>6867</v>
      </c>
      <c r="G5849" s="2"/>
    </row>
    <row r="5850">
      <c r="A5850" s="64" t="s">
        <v>6876</v>
      </c>
      <c r="B5850" s="2" t="s">
        <v>6938</v>
      </c>
      <c r="D5850" s="2" t="s">
        <v>6867</v>
      </c>
      <c r="G5850" s="2"/>
    </row>
    <row r="5851">
      <c r="A5851" s="64" t="s">
        <v>6876</v>
      </c>
      <c r="B5851" s="2" t="s">
        <v>6939</v>
      </c>
      <c r="D5851" s="2" t="s">
        <v>6867</v>
      </c>
      <c r="G5851" s="2"/>
    </row>
    <row r="5852">
      <c r="A5852" s="64" t="s">
        <v>6876</v>
      </c>
      <c r="B5852" s="2" t="s">
        <v>6869</v>
      </c>
      <c r="D5852" s="2" t="s">
        <v>6867</v>
      </c>
      <c r="G5852" s="2"/>
    </row>
    <row r="5853">
      <c r="A5853" s="64" t="s">
        <v>6876</v>
      </c>
      <c r="B5853" s="2" t="s">
        <v>6940</v>
      </c>
      <c r="D5853" s="2" t="s">
        <v>6867</v>
      </c>
      <c r="G5853" s="2"/>
    </row>
    <row r="5854">
      <c r="A5854" s="64" t="s">
        <v>6876</v>
      </c>
      <c r="B5854" s="2" t="s">
        <v>6942</v>
      </c>
      <c r="D5854" s="2" t="s">
        <v>6867</v>
      </c>
      <c r="G5854" s="2"/>
    </row>
    <row r="5855">
      <c r="A5855" s="64" t="s">
        <v>6876</v>
      </c>
      <c r="B5855" s="2" t="s">
        <v>6943</v>
      </c>
      <c r="D5855" s="2" t="s">
        <v>6867</v>
      </c>
      <c r="G5855" s="2"/>
    </row>
    <row r="5856">
      <c r="A5856" s="64" t="s">
        <v>6876</v>
      </c>
      <c r="B5856" s="2" t="s">
        <v>6944</v>
      </c>
      <c r="D5856" s="2" t="s">
        <v>6867</v>
      </c>
      <c r="G5856" s="2"/>
    </row>
    <row r="5857">
      <c r="A5857" s="64" t="s">
        <v>6876</v>
      </c>
      <c r="B5857" s="2" t="s">
        <v>6945</v>
      </c>
      <c r="D5857" s="2" t="s">
        <v>6867</v>
      </c>
      <c r="G5857" s="2"/>
    </row>
    <row r="5858">
      <c r="A5858" s="64" t="s">
        <v>6876</v>
      </c>
      <c r="B5858" s="2" t="s">
        <v>6947</v>
      </c>
      <c r="D5858" s="2" t="s">
        <v>6867</v>
      </c>
      <c r="G5858" s="2"/>
    </row>
    <row r="5859">
      <c r="A5859" s="64" t="s">
        <v>6876</v>
      </c>
      <c r="B5859" s="2" t="s">
        <v>6949</v>
      </c>
      <c r="D5859" s="2" t="s">
        <v>6867</v>
      </c>
      <c r="G5859" s="2"/>
    </row>
    <row r="5860">
      <c r="A5860" s="64" t="s">
        <v>6876</v>
      </c>
      <c r="B5860" s="2" t="s">
        <v>6950</v>
      </c>
      <c r="D5860" s="2" t="s">
        <v>6867</v>
      </c>
      <c r="G5860" s="2"/>
    </row>
    <row r="5861">
      <c r="A5861" s="64" t="s">
        <v>6876</v>
      </c>
      <c r="B5861" s="2" t="s">
        <v>6951</v>
      </c>
      <c r="D5861" s="2" t="s">
        <v>6867</v>
      </c>
      <c r="G5861" s="2"/>
    </row>
    <row r="5862">
      <c r="A5862" s="64" t="s">
        <v>6876</v>
      </c>
      <c r="B5862" s="2" t="s">
        <v>6957</v>
      </c>
      <c r="D5862" s="2" t="s">
        <v>6867</v>
      </c>
      <c r="G5862" s="2"/>
    </row>
    <row r="5863">
      <c r="A5863" s="64" t="s">
        <v>6876</v>
      </c>
      <c r="B5863" s="2" t="s">
        <v>6958</v>
      </c>
      <c r="D5863" s="2" t="s">
        <v>6867</v>
      </c>
      <c r="G5863" s="2"/>
    </row>
    <row r="5864">
      <c r="A5864" s="64" t="s">
        <v>6876</v>
      </c>
      <c r="B5864" s="2" t="s">
        <v>6959</v>
      </c>
      <c r="D5864" s="2" t="s">
        <v>6867</v>
      </c>
      <c r="G5864" s="2"/>
    </row>
    <row r="5865">
      <c r="A5865" s="64" t="s">
        <v>6876</v>
      </c>
      <c r="B5865" s="2" t="s">
        <v>6960</v>
      </c>
      <c r="D5865" s="2" t="s">
        <v>6867</v>
      </c>
      <c r="G5865" s="2"/>
    </row>
    <row r="5866">
      <c r="A5866" s="64" t="s">
        <v>6876</v>
      </c>
      <c r="B5866" s="2" t="s">
        <v>6961</v>
      </c>
      <c r="D5866" s="2" t="s">
        <v>6867</v>
      </c>
      <c r="G5866" s="2"/>
    </row>
    <row r="5867">
      <c r="A5867" s="64" t="s">
        <v>6876</v>
      </c>
      <c r="B5867" s="2" t="s">
        <v>6962</v>
      </c>
      <c r="D5867" s="2" t="s">
        <v>6867</v>
      </c>
      <c r="G5867" s="2"/>
    </row>
    <row r="5868">
      <c r="A5868" s="64" t="s">
        <v>6876</v>
      </c>
      <c r="B5868" s="2" t="s">
        <v>6963</v>
      </c>
      <c r="D5868" s="2" t="s">
        <v>6867</v>
      </c>
      <c r="G5868" s="2"/>
    </row>
    <row r="5869">
      <c r="A5869" s="64" t="s">
        <v>6876</v>
      </c>
      <c r="B5869" s="2" t="s">
        <v>6964</v>
      </c>
      <c r="D5869" s="2" t="s">
        <v>6867</v>
      </c>
      <c r="G5869" s="2"/>
    </row>
    <row r="5870">
      <c r="A5870" s="64" t="s">
        <v>6876</v>
      </c>
      <c r="B5870" s="2" t="s">
        <v>6965</v>
      </c>
      <c r="D5870" s="2" t="s">
        <v>6867</v>
      </c>
      <c r="G5870" s="2"/>
    </row>
    <row r="5871">
      <c r="A5871" s="64" t="s">
        <v>6876</v>
      </c>
      <c r="B5871" s="2" t="s">
        <v>6966</v>
      </c>
      <c r="D5871" s="2" t="s">
        <v>6867</v>
      </c>
      <c r="G5871" s="2"/>
    </row>
    <row r="5872">
      <c r="A5872" s="64" t="s">
        <v>6876</v>
      </c>
      <c r="B5872" s="2" t="s">
        <v>6967</v>
      </c>
      <c r="D5872" s="2" t="s">
        <v>6867</v>
      </c>
      <c r="G5872" s="2"/>
    </row>
    <row r="5873">
      <c r="A5873" s="64" t="s">
        <v>6876</v>
      </c>
      <c r="B5873" s="2" t="s">
        <v>6968</v>
      </c>
      <c r="D5873" s="2" t="s">
        <v>6867</v>
      </c>
      <c r="G5873" s="2"/>
    </row>
    <row r="5874">
      <c r="A5874" s="64" t="s">
        <v>6876</v>
      </c>
      <c r="B5874" s="2" t="s">
        <v>6969</v>
      </c>
      <c r="D5874" s="2" t="s">
        <v>6867</v>
      </c>
      <c r="G5874" s="2"/>
    </row>
    <row r="5875">
      <c r="A5875" s="64" t="s">
        <v>6876</v>
      </c>
      <c r="B5875" s="2" t="s">
        <v>6970</v>
      </c>
      <c r="D5875" s="2" t="s">
        <v>6867</v>
      </c>
      <c r="G5875" s="2"/>
    </row>
    <row r="5876">
      <c r="A5876" s="64" t="s">
        <v>6876</v>
      </c>
      <c r="B5876" s="2" t="s">
        <v>6971</v>
      </c>
      <c r="D5876" s="2" t="s">
        <v>6867</v>
      </c>
      <c r="G5876" s="2"/>
    </row>
    <row r="5877">
      <c r="A5877" s="64" t="s">
        <v>6876</v>
      </c>
      <c r="B5877" s="2" t="s">
        <v>6972</v>
      </c>
      <c r="D5877" s="2" t="s">
        <v>6867</v>
      </c>
      <c r="G5877" s="2"/>
    </row>
    <row r="5878">
      <c r="A5878" s="64" t="s">
        <v>6876</v>
      </c>
      <c r="B5878" s="2" t="s">
        <v>6974</v>
      </c>
      <c r="D5878" s="2" t="s">
        <v>6867</v>
      </c>
      <c r="G5878" s="2"/>
    </row>
    <row r="5879">
      <c r="A5879" s="64" t="s">
        <v>6876</v>
      </c>
      <c r="B5879" s="2" t="s">
        <v>6975</v>
      </c>
      <c r="D5879" s="2" t="s">
        <v>6867</v>
      </c>
      <c r="G5879" s="2"/>
    </row>
    <row r="5880">
      <c r="A5880" s="64" t="s">
        <v>6876</v>
      </c>
      <c r="B5880" s="2" t="s">
        <v>6976</v>
      </c>
      <c r="D5880" s="2" t="s">
        <v>6867</v>
      </c>
      <c r="G5880" s="2"/>
    </row>
    <row r="5881">
      <c r="A5881" s="64" t="s">
        <v>6876</v>
      </c>
      <c r="B5881" s="2" t="s">
        <v>6977</v>
      </c>
      <c r="D5881" s="2" t="s">
        <v>6867</v>
      </c>
      <c r="G5881" s="2"/>
    </row>
    <row r="5882">
      <c r="A5882" s="64" t="s">
        <v>6876</v>
      </c>
      <c r="B5882" s="2" t="s">
        <v>6978</v>
      </c>
      <c r="D5882" s="2" t="s">
        <v>6867</v>
      </c>
      <c r="G5882" s="2"/>
    </row>
    <row r="5883">
      <c r="A5883" s="64" t="s">
        <v>6876</v>
      </c>
      <c r="B5883" s="2" t="s">
        <v>6980</v>
      </c>
      <c r="D5883" s="2" t="s">
        <v>6867</v>
      </c>
      <c r="G5883" s="2"/>
    </row>
    <row r="5884">
      <c r="A5884" s="64" t="s">
        <v>6876</v>
      </c>
      <c r="B5884" s="2" t="s">
        <v>6982</v>
      </c>
      <c r="D5884" s="2" t="s">
        <v>6867</v>
      </c>
      <c r="G5884" s="2"/>
    </row>
    <row r="5885">
      <c r="A5885" s="64" t="s">
        <v>6876</v>
      </c>
      <c r="B5885" s="2" t="s">
        <v>6983</v>
      </c>
      <c r="D5885" s="2" t="s">
        <v>6867</v>
      </c>
      <c r="G5885" s="2"/>
    </row>
    <row r="5886">
      <c r="A5886" s="64" t="s">
        <v>6876</v>
      </c>
      <c r="B5886" s="2" t="s">
        <v>6866</v>
      </c>
      <c r="D5886" s="2" t="s">
        <v>6867</v>
      </c>
      <c r="G5886" s="2"/>
    </row>
    <row r="5887">
      <c r="A5887" s="64" t="s">
        <v>6876</v>
      </c>
      <c r="B5887" s="2" t="s">
        <v>6984</v>
      </c>
      <c r="D5887" s="2" t="s">
        <v>6867</v>
      </c>
      <c r="G5887" s="2"/>
    </row>
    <row r="5888">
      <c r="A5888" s="64" t="s">
        <v>6876</v>
      </c>
      <c r="B5888" s="2" t="s">
        <v>6985</v>
      </c>
      <c r="D5888" s="2" t="s">
        <v>6867</v>
      </c>
      <c r="G5888" s="2"/>
    </row>
    <row r="5889">
      <c r="A5889" s="64" t="s">
        <v>6876</v>
      </c>
      <c r="B5889" s="2" t="s">
        <v>6986</v>
      </c>
      <c r="D5889" s="2" t="s">
        <v>6867</v>
      </c>
      <c r="G5889" s="2"/>
    </row>
    <row r="5890">
      <c r="A5890" s="64" t="s">
        <v>6876</v>
      </c>
      <c r="B5890" s="2" t="s">
        <v>6987</v>
      </c>
      <c r="D5890" s="2" t="s">
        <v>6867</v>
      </c>
      <c r="G5890" s="2"/>
    </row>
    <row r="5891">
      <c r="A5891" s="64" t="s">
        <v>6876</v>
      </c>
      <c r="B5891" s="2" t="s">
        <v>6988</v>
      </c>
      <c r="D5891" s="2" t="s">
        <v>6867</v>
      </c>
      <c r="G5891" s="2"/>
    </row>
    <row r="5892">
      <c r="A5892" s="64" t="s">
        <v>6876</v>
      </c>
      <c r="B5892" s="2" t="s">
        <v>6989</v>
      </c>
      <c r="D5892" s="2" t="s">
        <v>6867</v>
      </c>
      <c r="G5892" s="2"/>
    </row>
    <row r="5893">
      <c r="A5893" s="64" t="s">
        <v>6876</v>
      </c>
      <c r="B5893" s="2" t="s">
        <v>6990</v>
      </c>
      <c r="D5893" s="2" t="s">
        <v>6867</v>
      </c>
      <c r="G5893" s="2"/>
    </row>
    <row r="5894">
      <c r="A5894" s="64" t="s">
        <v>6876</v>
      </c>
      <c r="B5894" s="2" t="s">
        <v>6991</v>
      </c>
      <c r="D5894" s="2" t="s">
        <v>6867</v>
      </c>
      <c r="G5894" s="2"/>
    </row>
    <row r="5895">
      <c r="A5895" s="64" t="s">
        <v>6876</v>
      </c>
      <c r="B5895" s="2" t="s">
        <v>6992</v>
      </c>
      <c r="D5895" s="2" t="s">
        <v>6867</v>
      </c>
      <c r="G5895" s="2"/>
    </row>
    <row r="5896">
      <c r="A5896" s="64" t="s">
        <v>6876</v>
      </c>
      <c r="B5896" s="2" t="s">
        <v>6993</v>
      </c>
      <c r="D5896" s="2" t="s">
        <v>6867</v>
      </c>
      <c r="G5896" s="2"/>
    </row>
    <row r="5897">
      <c r="A5897" s="64" t="s">
        <v>6876</v>
      </c>
      <c r="B5897" s="2" t="s">
        <v>6994</v>
      </c>
      <c r="D5897" s="2" t="s">
        <v>6867</v>
      </c>
      <c r="G5897" s="2"/>
    </row>
    <row r="5898">
      <c r="A5898" s="64" t="s">
        <v>6876</v>
      </c>
      <c r="B5898" s="2" t="s">
        <v>6996</v>
      </c>
      <c r="D5898" s="2" t="s">
        <v>6867</v>
      </c>
      <c r="G5898" s="2"/>
    </row>
    <row r="5899">
      <c r="A5899" s="64" t="s">
        <v>6876</v>
      </c>
      <c r="B5899" s="2" t="s">
        <v>6997</v>
      </c>
      <c r="D5899" s="2" t="s">
        <v>6867</v>
      </c>
      <c r="G5899" s="2"/>
    </row>
    <row r="5900">
      <c r="A5900" s="64" t="s">
        <v>6876</v>
      </c>
      <c r="B5900" s="2" t="s">
        <v>6998</v>
      </c>
      <c r="D5900" s="2" t="s">
        <v>6867</v>
      </c>
      <c r="G5900" s="2"/>
    </row>
    <row r="5901">
      <c r="A5901" s="64" t="s">
        <v>6876</v>
      </c>
      <c r="B5901" s="2" t="s">
        <v>6999</v>
      </c>
      <c r="D5901" s="2" t="s">
        <v>6867</v>
      </c>
      <c r="G5901" s="2"/>
    </row>
    <row r="5902">
      <c r="A5902" s="64" t="s">
        <v>6876</v>
      </c>
      <c r="B5902" s="2" t="s">
        <v>7000</v>
      </c>
      <c r="D5902" s="2" t="s">
        <v>6867</v>
      </c>
      <c r="G5902" s="2"/>
    </row>
    <row r="5903">
      <c r="A5903" s="64" t="s">
        <v>6876</v>
      </c>
      <c r="B5903" s="2" t="s">
        <v>7001</v>
      </c>
      <c r="D5903" s="2" t="s">
        <v>6867</v>
      </c>
      <c r="G5903" s="2"/>
    </row>
    <row r="5904">
      <c r="A5904" s="64" t="s">
        <v>6876</v>
      </c>
      <c r="B5904" s="2" t="s">
        <v>7003</v>
      </c>
      <c r="D5904" s="2" t="s">
        <v>6867</v>
      </c>
      <c r="G5904" s="2"/>
    </row>
    <row r="5905">
      <c r="A5905" s="64" t="s">
        <v>6876</v>
      </c>
      <c r="B5905" s="2" t="s">
        <v>7004</v>
      </c>
      <c r="D5905" s="2" t="s">
        <v>6867</v>
      </c>
      <c r="G5905" s="2"/>
    </row>
    <row r="5906">
      <c r="A5906" s="64" t="s">
        <v>6876</v>
      </c>
      <c r="B5906" s="2" t="s">
        <v>7005</v>
      </c>
      <c r="D5906" s="2" t="s">
        <v>6867</v>
      </c>
      <c r="G5906" s="2"/>
    </row>
    <row r="5907">
      <c r="A5907" s="64" t="s">
        <v>6876</v>
      </c>
      <c r="B5907" s="2" t="s">
        <v>7006</v>
      </c>
      <c r="D5907" s="2" t="s">
        <v>6867</v>
      </c>
      <c r="G5907" s="2"/>
    </row>
    <row r="5908">
      <c r="A5908" s="64" t="s">
        <v>6876</v>
      </c>
      <c r="B5908" s="2" t="s">
        <v>7007</v>
      </c>
      <c r="D5908" s="2" t="s">
        <v>6867</v>
      </c>
      <c r="G5908" s="2"/>
    </row>
    <row r="5909">
      <c r="A5909" s="64" t="s">
        <v>6876</v>
      </c>
      <c r="B5909" s="2" t="s">
        <v>7008</v>
      </c>
      <c r="D5909" s="2" t="s">
        <v>6867</v>
      </c>
      <c r="G5909" s="2"/>
    </row>
    <row r="5910">
      <c r="A5910" s="64" t="s">
        <v>6876</v>
      </c>
      <c r="B5910" s="2" t="s">
        <v>7009</v>
      </c>
      <c r="D5910" s="2" t="s">
        <v>6867</v>
      </c>
      <c r="G5910" s="2"/>
    </row>
    <row r="5911">
      <c r="A5911" s="64" t="s">
        <v>6876</v>
      </c>
      <c r="B5911" s="2" t="s">
        <v>7010</v>
      </c>
      <c r="D5911" s="2" t="s">
        <v>6867</v>
      </c>
      <c r="G5911" s="2"/>
    </row>
    <row r="5912">
      <c r="A5912" s="64" t="s">
        <v>6876</v>
      </c>
      <c r="B5912" s="2" t="s">
        <v>7011</v>
      </c>
      <c r="D5912" s="2" t="s">
        <v>6867</v>
      </c>
      <c r="G5912" s="2"/>
    </row>
    <row r="5913">
      <c r="A5913" s="64" t="s">
        <v>6876</v>
      </c>
      <c r="B5913" s="2" t="s">
        <v>7012</v>
      </c>
      <c r="D5913" s="2" t="s">
        <v>6867</v>
      </c>
      <c r="G5913" s="2"/>
    </row>
    <row r="5914">
      <c r="A5914" s="64" t="s">
        <v>6876</v>
      </c>
      <c r="B5914" s="2" t="s">
        <v>7013</v>
      </c>
      <c r="D5914" s="2" t="s">
        <v>6867</v>
      </c>
      <c r="G5914" s="2"/>
    </row>
    <row r="5915">
      <c r="A5915" s="64" t="s">
        <v>6876</v>
      </c>
      <c r="B5915" s="2" t="s">
        <v>7014</v>
      </c>
      <c r="D5915" s="2" t="s">
        <v>6867</v>
      </c>
      <c r="G5915" s="2"/>
    </row>
    <row r="5916">
      <c r="A5916" s="2" t="s">
        <v>7015</v>
      </c>
      <c r="B5916" s="2" t="s">
        <v>6686</v>
      </c>
      <c r="D5916" s="2"/>
      <c r="G5916" s="2" t="s">
        <v>6687</v>
      </c>
    </row>
    <row r="5917">
      <c r="A5917" s="2" t="s">
        <v>7015</v>
      </c>
      <c r="B5917" s="2" t="s">
        <v>6688</v>
      </c>
      <c r="D5917" s="2"/>
      <c r="G5917" s="2" t="s">
        <v>6687</v>
      </c>
    </row>
    <row r="5918">
      <c r="A5918" s="2" t="s">
        <v>7015</v>
      </c>
      <c r="B5918" s="2" t="s">
        <v>6689</v>
      </c>
      <c r="D5918" s="2"/>
      <c r="G5918" s="2" t="s">
        <v>6687</v>
      </c>
    </row>
    <row r="5919">
      <c r="A5919" s="2" t="s">
        <v>7015</v>
      </c>
      <c r="B5919" s="2" t="s">
        <v>6690</v>
      </c>
      <c r="D5919" s="2"/>
      <c r="G5919" s="2" t="s">
        <v>6687</v>
      </c>
    </row>
    <row r="5920">
      <c r="A5920" s="2" t="s">
        <v>7015</v>
      </c>
      <c r="B5920" s="2" t="s">
        <v>6691</v>
      </c>
      <c r="D5920" s="2"/>
      <c r="G5920" s="2" t="s">
        <v>6687</v>
      </c>
    </row>
    <row r="5921">
      <c r="A5921" s="2" t="s">
        <v>7015</v>
      </c>
      <c r="B5921" s="2" t="s">
        <v>6693</v>
      </c>
      <c r="D5921" s="2"/>
      <c r="G5921" s="2" t="s">
        <v>6687</v>
      </c>
    </row>
    <row r="5922">
      <c r="A5922" s="2" t="s">
        <v>7015</v>
      </c>
      <c r="B5922" s="2" t="s">
        <v>6694</v>
      </c>
      <c r="D5922" s="2"/>
      <c r="G5922" s="2" t="s">
        <v>6687</v>
      </c>
    </row>
    <row r="5923">
      <c r="A5923" s="2" t="s">
        <v>7015</v>
      </c>
      <c r="B5923" s="2" t="s">
        <v>6695</v>
      </c>
      <c r="D5923" s="2"/>
      <c r="G5923" s="2" t="s">
        <v>6687</v>
      </c>
    </row>
    <row r="5924">
      <c r="A5924" s="2" t="s">
        <v>7015</v>
      </c>
      <c r="B5924" s="2" t="s">
        <v>6696</v>
      </c>
      <c r="D5924" s="2"/>
      <c r="G5924" s="2" t="s">
        <v>6687</v>
      </c>
    </row>
    <row r="5925">
      <c r="A5925" s="2" t="s">
        <v>7015</v>
      </c>
      <c r="B5925" s="2" t="s">
        <v>6698</v>
      </c>
      <c r="D5925" s="2"/>
      <c r="G5925" s="2" t="s">
        <v>6687</v>
      </c>
    </row>
    <row r="5926">
      <c r="A5926" s="2" t="s">
        <v>7015</v>
      </c>
      <c r="B5926" s="2" t="s">
        <v>6699</v>
      </c>
      <c r="D5926" s="2"/>
      <c r="G5926" s="2" t="s">
        <v>6687</v>
      </c>
    </row>
    <row r="5927">
      <c r="A5927" s="2" t="s">
        <v>7015</v>
      </c>
      <c r="B5927" s="2" t="s">
        <v>6701</v>
      </c>
      <c r="D5927" s="2"/>
      <c r="G5927" s="2" t="s">
        <v>6687</v>
      </c>
    </row>
    <row r="5928">
      <c r="A5928" s="2" t="s">
        <v>7015</v>
      </c>
      <c r="B5928" s="2" t="s">
        <v>6702</v>
      </c>
      <c r="D5928" s="2"/>
      <c r="G5928" s="2" t="s">
        <v>6687</v>
      </c>
    </row>
    <row r="5929">
      <c r="A5929" s="2" t="s">
        <v>7015</v>
      </c>
      <c r="B5929" s="2" t="s">
        <v>6703</v>
      </c>
      <c r="D5929" s="2"/>
      <c r="G5929" s="2" t="s">
        <v>6687</v>
      </c>
    </row>
    <row r="5930">
      <c r="A5930" s="2" t="s">
        <v>7015</v>
      </c>
      <c r="B5930" s="2" t="s">
        <v>6704</v>
      </c>
      <c r="D5930" s="2"/>
      <c r="G5930" s="2" t="s">
        <v>6687</v>
      </c>
    </row>
    <row r="5931">
      <c r="A5931" s="2" t="s">
        <v>7015</v>
      </c>
      <c r="B5931" s="2" t="s">
        <v>6705</v>
      </c>
      <c r="D5931" s="2"/>
      <c r="G5931" s="2" t="s">
        <v>6687</v>
      </c>
    </row>
    <row r="5932">
      <c r="A5932" s="2" t="s">
        <v>7015</v>
      </c>
      <c r="B5932" s="2" t="s">
        <v>6706</v>
      </c>
      <c r="D5932" s="2"/>
      <c r="G5932" s="2" t="s">
        <v>6687</v>
      </c>
    </row>
    <row r="5933">
      <c r="A5933" s="2" t="s">
        <v>7015</v>
      </c>
      <c r="B5933" s="2" t="s">
        <v>6707</v>
      </c>
      <c r="D5933" s="2"/>
      <c r="G5933" s="2" t="s">
        <v>6687</v>
      </c>
    </row>
    <row r="5934">
      <c r="A5934" s="2" t="s">
        <v>7015</v>
      </c>
      <c r="B5934" s="2" t="s">
        <v>6708</v>
      </c>
      <c r="D5934" s="2"/>
      <c r="G5934" s="2" t="s">
        <v>6687</v>
      </c>
    </row>
    <row r="5935">
      <c r="A5935" s="2" t="s">
        <v>7015</v>
      </c>
      <c r="B5935" s="2" t="s">
        <v>6709</v>
      </c>
      <c r="D5935" s="2"/>
      <c r="G5935" s="2" t="s">
        <v>6687</v>
      </c>
    </row>
    <row r="5936">
      <c r="A5936" s="2" t="s">
        <v>7015</v>
      </c>
      <c r="B5936" s="2" t="s">
        <v>6711</v>
      </c>
      <c r="D5936" s="2"/>
      <c r="G5936" s="2" t="s">
        <v>6687</v>
      </c>
    </row>
    <row r="5937">
      <c r="A5937" s="2" t="s">
        <v>7015</v>
      </c>
      <c r="B5937" s="2" t="s">
        <v>6712</v>
      </c>
      <c r="D5937" s="2"/>
      <c r="G5937" s="2" t="s">
        <v>6687</v>
      </c>
    </row>
    <row r="5938">
      <c r="A5938" s="2" t="s">
        <v>7015</v>
      </c>
      <c r="B5938" s="2" t="s">
        <v>6713</v>
      </c>
      <c r="D5938" s="2"/>
      <c r="G5938" s="2" t="s">
        <v>6687</v>
      </c>
    </row>
    <row r="5939">
      <c r="A5939" s="2" t="s">
        <v>7015</v>
      </c>
      <c r="B5939" s="2" t="s">
        <v>6714</v>
      </c>
      <c r="D5939" s="2"/>
      <c r="G5939" s="2" t="s">
        <v>6687</v>
      </c>
    </row>
    <row r="5940">
      <c r="A5940" s="2" t="s">
        <v>7015</v>
      </c>
      <c r="B5940" s="2" t="s">
        <v>6715</v>
      </c>
      <c r="D5940" s="2"/>
      <c r="G5940" s="2" t="s">
        <v>6687</v>
      </c>
    </row>
    <row r="5941">
      <c r="A5941" s="2" t="s">
        <v>7015</v>
      </c>
      <c r="B5941" s="2" t="s">
        <v>6716</v>
      </c>
      <c r="D5941" s="2"/>
      <c r="G5941" s="2" t="s">
        <v>6687</v>
      </c>
    </row>
    <row r="5942">
      <c r="A5942" s="2" t="s">
        <v>7015</v>
      </c>
      <c r="B5942" s="2" t="s">
        <v>6717</v>
      </c>
      <c r="D5942" s="2"/>
      <c r="G5942" s="2" t="s">
        <v>6687</v>
      </c>
    </row>
    <row r="5943">
      <c r="A5943" s="2" t="s">
        <v>7015</v>
      </c>
      <c r="B5943" s="2" t="s">
        <v>6719</v>
      </c>
      <c r="D5943" s="2"/>
      <c r="G5943" s="2" t="s">
        <v>6687</v>
      </c>
    </row>
    <row r="5944">
      <c r="A5944" s="2" t="s">
        <v>7015</v>
      </c>
      <c r="B5944" s="2" t="s">
        <v>6720</v>
      </c>
      <c r="D5944" s="2"/>
      <c r="G5944" s="2" t="s">
        <v>6687</v>
      </c>
    </row>
    <row r="5945">
      <c r="A5945" s="2" t="s">
        <v>7015</v>
      </c>
      <c r="B5945" s="2" t="s">
        <v>6721</v>
      </c>
      <c r="D5945" s="2"/>
      <c r="G5945" s="2" t="s">
        <v>6687</v>
      </c>
    </row>
    <row r="5946">
      <c r="A5946" s="2" t="s">
        <v>7015</v>
      </c>
      <c r="B5946" s="2" t="s">
        <v>6722</v>
      </c>
      <c r="D5946" s="2"/>
      <c r="G5946" s="2" t="s">
        <v>6687</v>
      </c>
    </row>
    <row r="5947">
      <c r="A5947" s="2" t="s">
        <v>7015</v>
      </c>
      <c r="B5947" s="2" t="s">
        <v>6723</v>
      </c>
      <c r="D5947" s="2"/>
      <c r="G5947" s="2" t="s">
        <v>6687</v>
      </c>
    </row>
    <row r="5948">
      <c r="A5948" s="2" t="s">
        <v>7015</v>
      </c>
      <c r="B5948" s="2" t="s">
        <v>6724</v>
      </c>
      <c r="D5948" s="2"/>
      <c r="G5948" s="2" t="s">
        <v>6687</v>
      </c>
    </row>
    <row r="5949">
      <c r="A5949" s="2" t="s">
        <v>7015</v>
      </c>
      <c r="B5949" s="2" t="s">
        <v>6725</v>
      </c>
      <c r="D5949" s="2"/>
      <c r="G5949" s="2" t="s">
        <v>6687</v>
      </c>
    </row>
    <row r="5950">
      <c r="A5950" s="2" t="s">
        <v>7015</v>
      </c>
      <c r="B5950" s="2" t="s">
        <v>6726</v>
      </c>
      <c r="D5950" s="2"/>
      <c r="G5950" s="2" t="s">
        <v>6687</v>
      </c>
    </row>
    <row r="5951">
      <c r="A5951" s="2" t="s">
        <v>7015</v>
      </c>
      <c r="B5951" s="2" t="s">
        <v>6727</v>
      </c>
      <c r="D5951" s="2"/>
      <c r="G5951" s="2" t="s">
        <v>6687</v>
      </c>
    </row>
    <row r="5952">
      <c r="A5952" s="2" t="s">
        <v>7015</v>
      </c>
      <c r="B5952" s="2" t="s">
        <v>6728</v>
      </c>
      <c r="D5952" s="2"/>
      <c r="G5952" s="2" t="s">
        <v>6687</v>
      </c>
    </row>
    <row r="5953">
      <c r="A5953" s="2" t="s">
        <v>7015</v>
      </c>
      <c r="B5953" s="2" t="s">
        <v>6729</v>
      </c>
      <c r="D5953" s="2"/>
      <c r="G5953" s="2" t="s">
        <v>6687</v>
      </c>
    </row>
    <row r="5954">
      <c r="A5954" s="2" t="s">
        <v>7015</v>
      </c>
      <c r="B5954" s="2" t="s">
        <v>6730</v>
      </c>
      <c r="D5954" s="2"/>
      <c r="G5954" s="2" t="s">
        <v>6687</v>
      </c>
    </row>
    <row r="5955">
      <c r="A5955" s="2" t="s">
        <v>7015</v>
      </c>
      <c r="B5955" s="2" t="s">
        <v>6731</v>
      </c>
      <c r="D5955" s="2"/>
      <c r="G5955" s="2" t="s">
        <v>6687</v>
      </c>
    </row>
    <row r="5956">
      <c r="A5956" s="2" t="s">
        <v>7015</v>
      </c>
      <c r="B5956" s="2" t="s">
        <v>6732</v>
      </c>
      <c r="D5956" s="2"/>
      <c r="G5956" s="2" t="s">
        <v>6687</v>
      </c>
    </row>
    <row r="5957">
      <c r="A5957" s="2" t="s">
        <v>7015</v>
      </c>
      <c r="B5957" s="2" t="s">
        <v>6734</v>
      </c>
      <c r="D5957" s="2"/>
      <c r="G5957" s="2" t="s">
        <v>6687</v>
      </c>
    </row>
    <row r="5958">
      <c r="A5958" s="2" t="s">
        <v>7015</v>
      </c>
      <c r="B5958" s="2" t="s">
        <v>6735</v>
      </c>
      <c r="D5958" s="2"/>
      <c r="G5958" s="2" t="s">
        <v>6687</v>
      </c>
    </row>
    <row r="5959">
      <c r="A5959" s="2" t="s">
        <v>7015</v>
      </c>
      <c r="B5959" s="2" t="s">
        <v>6736</v>
      </c>
      <c r="D5959" s="2"/>
      <c r="G5959" s="2" t="s">
        <v>6687</v>
      </c>
    </row>
    <row r="5960">
      <c r="A5960" s="2" t="s">
        <v>7015</v>
      </c>
      <c r="B5960" s="2" t="s">
        <v>6737</v>
      </c>
      <c r="D5960" s="2"/>
      <c r="G5960" s="2" t="s">
        <v>6687</v>
      </c>
    </row>
    <row r="5961">
      <c r="A5961" s="2" t="s">
        <v>7015</v>
      </c>
      <c r="B5961" s="2" t="s">
        <v>6738</v>
      </c>
      <c r="D5961" s="2"/>
      <c r="G5961" s="2" t="s">
        <v>6687</v>
      </c>
    </row>
    <row r="5962">
      <c r="A5962" s="2" t="s">
        <v>7015</v>
      </c>
      <c r="B5962" s="2" t="s">
        <v>6739</v>
      </c>
      <c r="D5962" s="2"/>
      <c r="G5962" s="2" t="s">
        <v>6687</v>
      </c>
    </row>
    <row r="5963">
      <c r="A5963" s="2" t="s">
        <v>7015</v>
      </c>
      <c r="B5963" s="2" t="s">
        <v>6741</v>
      </c>
      <c r="D5963" s="2"/>
      <c r="G5963" s="2" t="s">
        <v>6687</v>
      </c>
    </row>
    <row r="5964">
      <c r="A5964" s="2" t="s">
        <v>7015</v>
      </c>
      <c r="B5964" s="2" t="s">
        <v>6742</v>
      </c>
      <c r="D5964" s="2"/>
      <c r="G5964" s="2" t="s">
        <v>6687</v>
      </c>
    </row>
    <row r="5965">
      <c r="A5965" s="2" t="s">
        <v>7015</v>
      </c>
      <c r="B5965" s="2" t="s">
        <v>6743</v>
      </c>
      <c r="D5965" s="2"/>
      <c r="G5965" s="2" t="s">
        <v>6687</v>
      </c>
    </row>
    <row r="5966">
      <c r="A5966" s="2" t="s">
        <v>7015</v>
      </c>
      <c r="B5966" s="2" t="s">
        <v>6744</v>
      </c>
      <c r="D5966" s="2"/>
      <c r="G5966" s="2" t="s">
        <v>6687</v>
      </c>
    </row>
    <row r="5967">
      <c r="A5967" s="2" t="s">
        <v>7015</v>
      </c>
      <c r="B5967" s="2" t="s">
        <v>6745</v>
      </c>
      <c r="D5967" s="2"/>
      <c r="G5967" s="2" t="s">
        <v>6687</v>
      </c>
    </row>
    <row r="5968">
      <c r="A5968" s="2" t="s">
        <v>7015</v>
      </c>
      <c r="B5968" s="2" t="s">
        <v>6746</v>
      </c>
      <c r="D5968" s="2"/>
      <c r="G5968" s="2" t="s">
        <v>6687</v>
      </c>
    </row>
    <row r="5969">
      <c r="A5969" s="2" t="s">
        <v>7015</v>
      </c>
      <c r="B5969" s="2" t="s">
        <v>6747</v>
      </c>
      <c r="D5969" s="2"/>
      <c r="G5969" s="2" t="s">
        <v>6687</v>
      </c>
    </row>
    <row r="5970">
      <c r="A5970" s="2" t="s">
        <v>7015</v>
      </c>
      <c r="B5970" s="2" t="s">
        <v>6748</v>
      </c>
      <c r="D5970" s="2"/>
      <c r="G5970" s="2" t="s">
        <v>6687</v>
      </c>
    </row>
    <row r="5971">
      <c r="A5971" s="2" t="s">
        <v>7015</v>
      </c>
      <c r="B5971" s="2" t="s">
        <v>6749</v>
      </c>
      <c r="D5971" s="2"/>
      <c r="G5971" s="2" t="s">
        <v>6687</v>
      </c>
    </row>
    <row r="5972">
      <c r="A5972" s="2" t="s">
        <v>7025</v>
      </c>
      <c r="B5972" s="2" t="s">
        <v>7026</v>
      </c>
      <c r="D5972" s="2"/>
      <c r="G5972" s="2" t="s">
        <v>6687</v>
      </c>
    </row>
    <row r="5973">
      <c r="A5973" s="2" t="s">
        <v>7025</v>
      </c>
      <c r="B5973" s="163" t="s">
        <v>7028</v>
      </c>
      <c r="D5973" s="2"/>
      <c r="G5973" s="2" t="s">
        <v>6687</v>
      </c>
    </row>
    <row r="5974">
      <c r="A5974" s="64" t="s">
        <v>7030</v>
      </c>
      <c r="B5974" s="2" t="s">
        <v>6720</v>
      </c>
      <c r="D5974" s="2"/>
      <c r="G5974" s="2" t="s">
        <v>6687</v>
      </c>
    </row>
    <row r="5975">
      <c r="A5975" s="64" t="s">
        <v>7030</v>
      </c>
      <c r="B5975" s="163" t="s">
        <v>6731</v>
      </c>
      <c r="D5975" s="2"/>
      <c r="G5975" s="2" t="s">
        <v>6687</v>
      </c>
    </row>
    <row r="5976">
      <c r="A5976" s="2" t="s">
        <v>7031</v>
      </c>
      <c r="B5976" s="2" t="s">
        <v>7032</v>
      </c>
      <c r="D5976" s="2"/>
      <c r="G5976" s="2" t="s">
        <v>7033</v>
      </c>
    </row>
    <row r="5977">
      <c r="A5977" s="2" t="s">
        <v>7031</v>
      </c>
      <c r="B5977" s="163" t="s">
        <v>7034</v>
      </c>
      <c r="D5977" s="2"/>
      <c r="G5977" s="2" t="s">
        <v>7033</v>
      </c>
    </row>
    <row r="5978">
      <c r="A5978" s="64" t="s">
        <v>7035</v>
      </c>
      <c r="B5978" s="2" t="s">
        <v>7034</v>
      </c>
      <c r="D5978" s="2"/>
      <c r="G5978" s="2" t="s">
        <v>7033</v>
      </c>
    </row>
    <row r="5979">
      <c r="A5979" s="64" t="s">
        <v>7035</v>
      </c>
      <c r="B5979" s="2" t="s">
        <v>7036</v>
      </c>
      <c r="D5979" s="2"/>
      <c r="G5979" s="2" t="s">
        <v>7033</v>
      </c>
    </row>
    <row r="5980">
      <c r="A5980" s="64" t="s">
        <v>7035</v>
      </c>
      <c r="B5980" s="2" t="s">
        <v>7037</v>
      </c>
      <c r="D5980" s="2"/>
      <c r="G5980" s="2" t="s">
        <v>7033</v>
      </c>
    </row>
    <row r="5981">
      <c r="A5981" s="64" t="s">
        <v>7035</v>
      </c>
      <c r="B5981" s="2" t="s">
        <v>7038</v>
      </c>
      <c r="D5981" s="2"/>
      <c r="G5981" s="2" t="s">
        <v>7033</v>
      </c>
    </row>
    <row r="5982">
      <c r="A5982" s="2" t="s">
        <v>7039</v>
      </c>
      <c r="B5982" s="2" t="s">
        <v>7040</v>
      </c>
      <c r="D5982" s="2"/>
      <c r="G5982" s="2" t="s">
        <v>7033</v>
      </c>
    </row>
    <row r="5983">
      <c r="A5983" s="2" t="s">
        <v>7039</v>
      </c>
      <c r="B5983" s="2" t="s">
        <v>7041</v>
      </c>
      <c r="D5983" s="2"/>
      <c r="G5983" s="2" t="s">
        <v>7033</v>
      </c>
    </row>
    <row r="5984">
      <c r="A5984" s="2" t="s">
        <v>7039</v>
      </c>
      <c r="B5984" s="2" t="s">
        <v>7040</v>
      </c>
      <c r="D5984" s="2"/>
      <c r="G5984" s="2" t="s">
        <v>7033</v>
      </c>
    </row>
    <row r="5985">
      <c r="A5985" s="2" t="s">
        <v>7039</v>
      </c>
      <c r="B5985" s="2" t="s">
        <v>7042</v>
      </c>
      <c r="D5985" s="2"/>
      <c r="G5985" s="2" t="s">
        <v>7033</v>
      </c>
    </row>
    <row r="5986">
      <c r="A5986" s="2" t="s">
        <v>7039</v>
      </c>
      <c r="B5986" s="2" t="s">
        <v>7043</v>
      </c>
      <c r="D5986" s="2"/>
      <c r="G5986" s="2" t="s">
        <v>7033</v>
      </c>
    </row>
    <row r="5987">
      <c r="A5987" s="2" t="s">
        <v>7039</v>
      </c>
      <c r="B5987" s="2" t="s">
        <v>7044</v>
      </c>
      <c r="D5987" s="2"/>
      <c r="G5987" s="2" t="s">
        <v>7033</v>
      </c>
    </row>
    <row r="5988">
      <c r="A5988" s="2" t="s">
        <v>7039</v>
      </c>
      <c r="B5988" s="2" t="s">
        <v>7046</v>
      </c>
      <c r="D5988" s="2"/>
      <c r="G5988" s="2" t="s">
        <v>7033</v>
      </c>
    </row>
    <row r="5989">
      <c r="A5989" s="2" t="s">
        <v>7039</v>
      </c>
      <c r="B5989" s="2" t="s">
        <v>7032</v>
      </c>
      <c r="D5989" s="2"/>
      <c r="G5989" s="2" t="s">
        <v>7033</v>
      </c>
    </row>
    <row r="5990">
      <c r="A5990" s="2" t="s">
        <v>7039</v>
      </c>
      <c r="B5990" s="2" t="s">
        <v>7047</v>
      </c>
      <c r="D5990" s="2"/>
      <c r="G5990" s="2" t="s">
        <v>7033</v>
      </c>
    </row>
    <row r="5991">
      <c r="A5991" s="2" t="s">
        <v>7039</v>
      </c>
      <c r="B5991" s="2" t="s">
        <v>7048</v>
      </c>
      <c r="D5991" s="2"/>
      <c r="G5991" s="2" t="s">
        <v>7033</v>
      </c>
    </row>
    <row r="5992">
      <c r="A5992" s="2" t="s">
        <v>7039</v>
      </c>
      <c r="B5992" s="2" t="s">
        <v>7049</v>
      </c>
      <c r="D5992" s="2"/>
      <c r="G5992" s="2" t="s">
        <v>7033</v>
      </c>
    </row>
    <row r="5993">
      <c r="A5993" s="2" t="s">
        <v>7039</v>
      </c>
      <c r="B5993" s="2" t="s">
        <v>7040</v>
      </c>
      <c r="D5993" s="2"/>
      <c r="G5993" s="2" t="s">
        <v>7033</v>
      </c>
    </row>
    <row r="5994">
      <c r="A5994" s="2" t="s">
        <v>7039</v>
      </c>
      <c r="B5994" s="2" t="s">
        <v>7051</v>
      </c>
      <c r="D5994" s="2"/>
      <c r="G5994" s="2" t="s">
        <v>7033</v>
      </c>
    </row>
    <row r="5995">
      <c r="A5995" s="2" t="s">
        <v>7039</v>
      </c>
      <c r="B5995" s="2" t="s">
        <v>7041</v>
      </c>
      <c r="D5995" s="2"/>
      <c r="G5995" s="2" t="s">
        <v>7033</v>
      </c>
    </row>
    <row r="5996">
      <c r="A5996" s="2" t="s">
        <v>7039</v>
      </c>
      <c r="B5996" s="2" t="s">
        <v>7053</v>
      </c>
      <c r="D5996" s="2"/>
      <c r="G5996" s="2" t="s">
        <v>7033</v>
      </c>
    </row>
    <row r="5997">
      <c r="A5997" s="2" t="s">
        <v>7039</v>
      </c>
      <c r="B5997" s="2" t="s">
        <v>7036</v>
      </c>
      <c r="D5997" s="2"/>
      <c r="G5997" s="2" t="s">
        <v>7033</v>
      </c>
    </row>
    <row r="5998">
      <c r="A5998" s="2" t="s">
        <v>7039</v>
      </c>
      <c r="B5998" s="2" t="s">
        <v>7040</v>
      </c>
      <c r="D5998" s="2"/>
      <c r="G5998" s="2" t="s">
        <v>7033</v>
      </c>
    </row>
    <row r="5999">
      <c r="A5999" s="2" t="s">
        <v>7039</v>
      </c>
      <c r="B5999" s="2" t="s">
        <v>7040</v>
      </c>
      <c r="D5999" s="2"/>
      <c r="G5999" s="2" t="s">
        <v>7033</v>
      </c>
    </row>
    <row r="6000">
      <c r="A6000" s="2" t="s">
        <v>7039</v>
      </c>
      <c r="B6000" s="2" t="s">
        <v>7054</v>
      </c>
      <c r="D6000" s="2"/>
      <c r="G6000" s="2" t="s">
        <v>7033</v>
      </c>
    </row>
    <row r="6001">
      <c r="A6001" s="2" t="s">
        <v>7039</v>
      </c>
      <c r="B6001" s="2" t="s">
        <v>7055</v>
      </c>
      <c r="D6001" s="2"/>
      <c r="G6001" s="2" t="s">
        <v>7033</v>
      </c>
    </row>
    <row r="6002">
      <c r="A6002" s="2" t="s">
        <v>7039</v>
      </c>
      <c r="B6002" s="2" t="s">
        <v>7032</v>
      </c>
      <c r="D6002" s="2"/>
      <c r="G6002" s="2" t="s">
        <v>7033</v>
      </c>
    </row>
    <row r="6003">
      <c r="A6003" s="2" t="s">
        <v>7039</v>
      </c>
      <c r="B6003" s="2" t="s">
        <v>7056</v>
      </c>
      <c r="D6003" s="2"/>
      <c r="G6003" s="2" t="s">
        <v>7033</v>
      </c>
    </row>
    <row r="6004">
      <c r="A6004" s="2" t="s">
        <v>7039</v>
      </c>
      <c r="B6004" s="2" t="s">
        <v>7057</v>
      </c>
      <c r="D6004" s="2"/>
      <c r="G6004" s="2" t="s">
        <v>7033</v>
      </c>
    </row>
    <row r="6005">
      <c r="A6005" s="2" t="s">
        <v>7039</v>
      </c>
      <c r="B6005" s="2" t="s">
        <v>7057</v>
      </c>
      <c r="D6005" s="2"/>
      <c r="G6005" s="2" t="s">
        <v>7033</v>
      </c>
    </row>
    <row r="6006">
      <c r="A6006" s="2" t="s">
        <v>7039</v>
      </c>
      <c r="B6006" s="2" t="s">
        <v>7058</v>
      </c>
      <c r="D6006" s="2"/>
      <c r="G6006" s="2" t="s">
        <v>7033</v>
      </c>
    </row>
    <row r="6007">
      <c r="A6007" s="2" t="s">
        <v>7039</v>
      </c>
      <c r="B6007" s="2" t="s">
        <v>7059</v>
      </c>
      <c r="D6007" s="2"/>
      <c r="G6007" s="2" t="s">
        <v>7033</v>
      </c>
    </row>
    <row r="6008">
      <c r="A6008" s="2" t="s">
        <v>7039</v>
      </c>
      <c r="B6008" s="2" t="s">
        <v>7041</v>
      </c>
      <c r="D6008" s="2"/>
      <c r="G6008" s="2" t="s">
        <v>7033</v>
      </c>
    </row>
    <row r="6009">
      <c r="A6009" s="2" t="s">
        <v>7039</v>
      </c>
      <c r="B6009" s="2" t="s">
        <v>7041</v>
      </c>
      <c r="D6009" s="2"/>
      <c r="G6009" s="2" t="s">
        <v>7033</v>
      </c>
    </row>
    <row r="6010">
      <c r="A6010" s="2" t="s">
        <v>7039</v>
      </c>
      <c r="B6010" s="2" t="s">
        <v>7040</v>
      </c>
      <c r="D6010" s="2"/>
      <c r="G6010" s="2" t="s">
        <v>7033</v>
      </c>
    </row>
    <row r="6011">
      <c r="A6011" s="2" t="s">
        <v>7039</v>
      </c>
      <c r="B6011" s="2" t="s">
        <v>7040</v>
      </c>
      <c r="D6011" s="2"/>
      <c r="G6011" s="2" t="s">
        <v>7033</v>
      </c>
    </row>
    <row r="6012">
      <c r="A6012" s="2" t="s">
        <v>7039</v>
      </c>
      <c r="B6012" s="2" t="s">
        <v>7040</v>
      </c>
      <c r="D6012" s="2"/>
      <c r="G6012" s="2" t="s">
        <v>7033</v>
      </c>
    </row>
    <row r="6013">
      <c r="A6013" s="2" t="s">
        <v>7039</v>
      </c>
      <c r="B6013" s="2" t="s">
        <v>7058</v>
      </c>
      <c r="D6013" s="2"/>
      <c r="G6013" s="2" t="s">
        <v>7033</v>
      </c>
    </row>
    <row r="6014">
      <c r="A6014" s="2" t="s">
        <v>7039</v>
      </c>
      <c r="B6014" s="2" t="s">
        <v>7040</v>
      </c>
      <c r="D6014" s="2"/>
      <c r="G6014" s="2" t="s">
        <v>7033</v>
      </c>
    </row>
    <row r="6015">
      <c r="A6015" s="2" t="s">
        <v>7039</v>
      </c>
      <c r="B6015" s="2" t="s">
        <v>7061</v>
      </c>
      <c r="D6015" s="2"/>
      <c r="G6015" s="2" t="s">
        <v>7033</v>
      </c>
    </row>
    <row r="6016">
      <c r="A6016" s="2" t="s">
        <v>7039</v>
      </c>
      <c r="B6016" s="2" t="s">
        <v>7062</v>
      </c>
      <c r="D6016" s="2"/>
      <c r="G6016" s="2" t="s">
        <v>7033</v>
      </c>
    </row>
    <row r="6017">
      <c r="A6017" s="2" t="s">
        <v>7039</v>
      </c>
      <c r="B6017" s="2" t="s">
        <v>7063</v>
      </c>
      <c r="D6017" s="2"/>
      <c r="G6017" s="2" t="s">
        <v>7033</v>
      </c>
    </row>
    <row r="6018">
      <c r="A6018" s="2" t="s">
        <v>7039</v>
      </c>
      <c r="B6018" s="2" t="s">
        <v>7065</v>
      </c>
      <c r="D6018" s="2"/>
      <c r="G6018" s="2" t="s">
        <v>7033</v>
      </c>
    </row>
    <row r="6019">
      <c r="A6019" s="2" t="s">
        <v>7039</v>
      </c>
      <c r="B6019" s="2" t="s">
        <v>7067</v>
      </c>
      <c r="D6019" s="2"/>
      <c r="G6019" s="2" t="s">
        <v>7033</v>
      </c>
    </row>
    <row r="6020">
      <c r="A6020" s="2" t="s">
        <v>7039</v>
      </c>
      <c r="B6020" s="2" t="s">
        <v>7038</v>
      </c>
      <c r="D6020" s="2"/>
      <c r="G6020" s="2" t="s">
        <v>7033</v>
      </c>
    </row>
    <row r="6021">
      <c r="A6021" s="2" t="s">
        <v>7039</v>
      </c>
      <c r="B6021" s="2" t="s">
        <v>7068</v>
      </c>
      <c r="D6021" s="2"/>
      <c r="G6021" s="2" t="s">
        <v>7033</v>
      </c>
    </row>
    <row r="6022">
      <c r="A6022" s="2" t="s">
        <v>7039</v>
      </c>
      <c r="B6022" s="2" t="s">
        <v>7069</v>
      </c>
      <c r="D6022" s="2"/>
      <c r="G6022" s="2" t="s">
        <v>7033</v>
      </c>
    </row>
    <row r="6023">
      <c r="A6023" s="2" t="s">
        <v>7039</v>
      </c>
      <c r="B6023" s="2" t="s">
        <v>7057</v>
      </c>
      <c r="D6023" s="2"/>
      <c r="G6023" s="2" t="s">
        <v>7033</v>
      </c>
    </row>
    <row r="6024">
      <c r="A6024" s="2" t="s">
        <v>7039</v>
      </c>
      <c r="B6024" s="2" t="s">
        <v>7070</v>
      </c>
      <c r="D6024" s="2"/>
      <c r="G6024" s="2" t="s">
        <v>7033</v>
      </c>
    </row>
    <row r="6025">
      <c r="A6025" s="2" t="s">
        <v>7039</v>
      </c>
      <c r="B6025" s="2" t="s">
        <v>7032</v>
      </c>
      <c r="D6025" s="2"/>
      <c r="G6025" s="2" t="s">
        <v>7033</v>
      </c>
    </row>
    <row r="6026">
      <c r="A6026" s="2" t="s">
        <v>7039</v>
      </c>
      <c r="B6026" s="2" t="s">
        <v>7071</v>
      </c>
      <c r="D6026" s="2"/>
      <c r="G6026" s="2" t="s">
        <v>7033</v>
      </c>
    </row>
    <row r="6027">
      <c r="A6027" s="2" t="s">
        <v>7039</v>
      </c>
      <c r="B6027" s="2" t="s">
        <v>7038</v>
      </c>
      <c r="D6027" s="2"/>
      <c r="G6027" s="2" t="s">
        <v>7033</v>
      </c>
    </row>
    <row r="6028">
      <c r="A6028" s="2" t="s">
        <v>7039</v>
      </c>
      <c r="B6028" s="2" t="s">
        <v>7072</v>
      </c>
      <c r="D6028" s="2"/>
      <c r="G6028" s="2" t="s">
        <v>7033</v>
      </c>
    </row>
    <row r="6029">
      <c r="A6029" s="2" t="s">
        <v>7039</v>
      </c>
      <c r="B6029" s="2" t="s">
        <v>7058</v>
      </c>
      <c r="D6029" s="2"/>
      <c r="G6029" s="2" t="s">
        <v>7033</v>
      </c>
    </row>
    <row r="6030">
      <c r="A6030" s="2" t="s">
        <v>7039</v>
      </c>
      <c r="B6030" s="2" t="s">
        <v>7073</v>
      </c>
      <c r="D6030" s="2"/>
      <c r="G6030" s="2" t="s">
        <v>7033</v>
      </c>
    </row>
    <row r="6031">
      <c r="A6031" s="2" t="s">
        <v>7039</v>
      </c>
      <c r="B6031" s="2" t="s">
        <v>7074</v>
      </c>
      <c r="D6031" s="2"/>
      <c r="G6031" s="2" t="s">
        <v>7033</v>
      </c>
    </row>
    <row r="6032">
      <c r="A6032" s="2" t="s">
        <v>7039</v>
      </c>
      <c r="B6032" s="2" t="s">
        <v>7075</v>
      </c>
      <c r="D6032" s="2"/>
      <c r="G6032" s="2" t="s">
        <v>7033</v>
      </c>
    </row>
    <row r="6033">
      <c r="A6033" s="2" t="s">
        <v>7039</v>
      </c>
      <c r="B6033" s="2" t="s">
        <v>7077</v>
      </c>
      <c r="D6033" s="2"/>
      <c r="G6033" s="2" t="s">
        <v>7033</v>
      </c>
    </row>
    <row r="6034">
      <c r="A6034" s="2" t="s">
        <v>7039</v>
      </c>
      <c r="B6034" s="2" t="s">
        <v>7040</v>
      </c>
      <c r="D6034" s="2"/>
      <c r="G6034" s="2" t="s">
        <v>7033</v>
      </c>
    </row>
    <row r="6035">
      <c r="A6035" s="2" t="s">
        <v>7039</v>
      </c>
      <c r="B6035" s="2" t="s">
        <v>7040</v>
      </c>
      <c r="D6035" s="2"/>
      <c r="G6035" s="2" t="s">
        <v>7033</v>
      </c>
    </row>
    <row r="6036">
      <c r="A6036" s="2" t="s">
        <v>7039</v>
      </c>
      <c r="B6036" s="2" t="s">
        <v>7038</v>
      </c>
      <c r="D6036" s="2"/>
      <c r="G6036" s="2" t="s">
        <v>7033</v>
      </c>
    </row>
    <row r="6037">
      <c r="A6037" s="2" t="s">
        <v>7039</v>
      </c>
      <c r="B6037" s="2" t="s">
        <v>7058</v>
      </c>
      <c r="D6037" s="2"/>
      <c r="G6037" s="2" t="s">
        <v>7033</v>
      </c>
    </row>
    <row r="6038">
      <c r="A6038" s="2" t="s">
        <v>7039</v>
      </c>
      <c r="B6038" s="2" t="s">
        <v>7062</v>
      </c>
      <c r="D6038" s="2"/>
      <c r="G6038" s="2" t="s">
        <v>7033</v>
      </c>
    </row>
    <row r="6039">
      <c r="A6039" s="2" t="s">
        <v>7039</v>
      </c>
      <c r="B6039" s="2" t="s">
        <v>7080</v>
      </c>
      <c r="D6039" s="2"/>
      <c r="G6039" s="2" t="s">
        <v>7033</v>
      </c>
    </row>
    <row r="6040">
      <c r="A6040" s="2" t="s">
        <v>7039</v>
      </c>
      <c r="B6040" s="2" t="s">
        <v>7040</v>
      </c>
      <c r="D6040" s="2"/>
      <c r="G6040" s="2" t="s">
        <v>7033</v>
      </c>
    </row>
    <row r="6041">
      <c r="A6041" s="2" t="s">
        <v>7039</v>
      </c>
      <c r="B6041" s="2" t="s">
        <v>7062</v>
      </c>
      <c r="D6041" s="2"/>
      <c r="G6041" s="2" t="s">
        <v>7033</v>
      </c>
    </row>
    <row r="6042">
      <c r="A6042" s="2" t="s">
        <v>7039</v>
      </c>
      <c r="B6042" s="2" t="s">
        <v>7061</v>
      </c>
      <c r="D6042" s="2"/>
      <c r="G6042" s="2" t="s">
        <v>7033</v>
      </c>
    </row>
    <row r="6043">
      <c r="A6043" s="2" t="s">
        <v>7039</v>
      </c>
      <c r="B6043" s="2" t="s">
        <v>7071</v>
      </c>
      <c r="D6043" s="2"/>
      <c r="G6043" s="2" t="s">
        <v>7033</v>
      </c>
    </row>
    <row r="6044">
      <c r="A6044" s="2" t="s">
        <v>7039</v>
      </c>
      <c r="B6044" s="2" t="s">
        <v>7062</v>
      </c>
      <c r="D6044" s="2"/>
      <c r="G6044" s="2" t="s">
        <v>7033</v>
      </c>
    </row>
    <row r="6045">
      <c r="A6045" s="2" t="s">
        <v>7039</v>
      </c>
      <c r="B6045" s="2" t="s">
        <v>7081</v>
      </c>
      <c r="D6045" s="2"/>
      <c r="G6045" s="2" t="s">
        <v>7033</v>
      </c>
    </row>
    <row r="6046">
      <c r="A6046" s="2" t="s">
        <v>7039</v>
      </c>
      <c r="B6046" s="2" t="s">
        <v>7082</v>
      </c>
      <c r="D6046" s="2"/>
      <c r="G6046" s="2" t="s">
        <v>7033</v>
      </c>
    </row>
    <row r="6047">
      <c r="A6047" s="2" t="s">
        <v>7039</v>
      </c>
      <c r="B6047" s="2" t="s">
        <v>7041</v>
      </c>
      <c r="D6047" s="2"/>
      <c r="G6047" s="2" t="s">
        <v>7033</v>
      </c>
    </row>
    <row r="6048">
      <c r="A6048" s="2" t="s">
        <v>7039</v>
      </c>
      <c r="B6048" s="2" t="s">
        <v>7083</v>
      </c>
      <c r="D6048" s="2"/>
      <c r="G6048" s="2" t="s">
        <v>7033</v>
      </c>
    </row>
    <row r="6049">
      <c r="A6049" s="2" t="s">
        <v>7039</v>
      </c>
      <c r="B6049" s="2" t="s">
        <v>7042</v>
      </c>
      <c r="D6049" s="2"/>
      <c r="G6049" s="2" t="s">
        <v>7033</v>
      </c>
    </row>
    <row r="6050">
      <c r="A6050" s="2" t="s">
        <v>7039</v>
      </c>
      <c r="B6050" s="2" t="s">
        <v>7037</v>
      </c>
      <c r="D6050" s="2"/>
      <c r="G6050" s="2" t="s">
        <v>7033</v>
      </c>
    </row>
    <row r="6051">
      <c r="A6051" s="2" t="s">
        <v>7039</v>
      </c>
      <c r="B6051" s="2" t="s">
        <v>7084</v>
      </c>
      <c r="D6051" s="2"/>
      <c r="G6051" s="2" t="s">
        <v>7033</v>
      </c>
    </row>
    <row r="6052">
      <c r="A6052" s="2" t="s">
        <v>7039</v>
      </c>
      <c r="B6052" s="2" t="s">
        <v>7082</v>
      </c>
      <c r="D6052" s="2"/>
      <c r="G6052" s="2" t="s">
        <v>7033</v>
      </c>
    </row>
    <row r="6053">
      <c r="A6053" s="2" t="s">
        <v>7039</v>
      </c>
      <c r="B6053" s="2" t="s">
        <v>7085</v>
      </c>
      <c r="D6053" s="2"/>
      <c r="G6053" s="2" t="s">
        <v>7033</v>
      </c>
    </row>
    <row r="6054">
      <c r="A6054" s="2" t="s">
        <v>7039</v>
      </c>
      <c r="B6054" s="2" t="s">
        <v>7086</v>
      </c>
      <c r="D6054" s="2"/>
      <c r="G6054" s="2" t="s">
        <v>7033</v>
      </c>
    </row>
    <row r="6055">
      <c r="A6055" s="2" t="s">
        <v>7039</v>
      </c>
      <c r="B6055" s="2" t="s">
        <v>7077</v>
      </c>
      <c r="D6055" s="2"/>
      <c r="G6055" s="2" t="s">
        <v>7033</v>
      </c>
    </row>
    <row r="6056">
      <c r="A6056" s="2" t="s">
        <v>7039</v>
      </c>
      <c r="B6056" s="2" t="s">
        <v>7075</v>
      </c>
      <c r="D6056" s="2"/>
      <c r="G6056" s="2" t="s">
        <v>7033</v>
      </c>
    </row>
    <row r="6057">
      <c r="A6057" s="2" t="s">
        <v>7039</v>
      </c>
      <c r="B6057" s="2" t="s">
        <v>7051</v>
      </c>
      <c r="D6057" s="2"/>
      <c r="G6057" s="2" t="s">
        <v>7033</v>
      </c>
    </row>
    <row r="6058">
      <c r="A6058" s="2" t="s">
        <v>7039</v>
      </c>
      <c r="B6058" s="2" t="s">
        <v>7049</v>
      </c>
      <c r="D6058" s="2"/>
      <c r="G6058" s="2" t="s">
        <v>7033</v>
      </c>
    </row>
    <row r="6059">
      <c r="A6059" s="2" t="s">
        <v>7039</v>
      </c>
      <c r="B6059" s="2" t="s">
        <v>7088</v>
      </c>
      <c r="D6059" s="2"/>
      <c r="G6059" s="2" t="s">
        <v>7033</v>
      </c>
    </row>
    <row r="6060">
      <c r="A6060" s="2" t="s">
        <v>7039</v>
      </c>
      <c r="B6060" s="2" t="s">
        <v>7089</v>
      </c>
      <c r="D6060" s="2"/>
      <c r="G6060" s="2" t="s">
        <v>7033</v>
      </c>
    </row>
    <row r="6061">
      <c r="A6061" s="2" t="s">
        <v>7039</v>
      </c>
      <c r="B6061" s="2" t="s">
        <v>7090</v>
      </c>
      <c r="D6061" s="2"/>
      <c r="G6061" s="2" t="s">
        <v>7033</v>
      </c>
    </row>
    <row r="6062">
      <c r="A6062" s="2" t="s">
        <v>7039</v>
      </c>
      <c r="B6062" s="2" t="s">
        <v>7070</v>
      </c>
      <c r="D6062" s="2"/>
      <c r="G6062" s="2" t="s">
        <v>7033</v>
      </c>
    </row>
    <row r="6063">
      <c r="A6063" s="2" t="s">
        <v>7039</v>
      </c>
      <c r="B6063" s="2" t="s">
        <v>7032</v>
      </c>
      <c r="D6063" s="2"/>
      <c r="G6063" s="2" t="s">
        <v>7033</v>
      </c>
    </row>
    <row r="6064">
      <c r="A6064" s="2" t="s">
        <v>7039</v>
      </c>
      <c r="B6064" s="2" t="s">
        <v>7090</v>
      </c>
      <c r="D6064" s="2"/>
      <c r="G6064" s="2" t="s">
        <v>7033</v>
      </c>
    </row>
    <row r="6065">
      <c r="A6065" s="2" t="s">
        <v>7039</v>
      </c>
      <c r="B6065" s="2" t="s">
        <v>7091</v>
      </c>
      <c r="D6065" s="2"/>
      <c r="G6065" s="2" t="s">
        <v>7033</v>
      </c>
    </row>
    <row r="6066">
      <c r="A6066" s="2" t="s">
        <v>7039</v>
      </c>
      <c r="B6066" s="2" t="s">
        <v>7081</v>
      </c>
      <c r="D6066" s="2"/>
      <c r="G6066" s="2" t="s">
        <v>7033</v>
      </c>
    </row>
    <row r="6067">
      <c r="A6067" s="2" t="s">
        <v>7039</v>
      </c>
      <c r="B6067" s="2" t="s">
        <v>7071</v>
      </c>
      <c r="D6067" s="2"/>
      <c r="G6067" s="2" t="s">
        <v>7033</v>
      </c>
    </row>
    <row r="6068">
      <c r="A6068" s="2" t="s">
        <v>7039</v>
      </c>
      <c r="B6068" s="2" t="s">
        <v>7038</v>
      </c>
      <c r="D6068" s="2"/>
      <c r="G6068" s="2" t="s">
        <v>7033</v>
      </c>
    </row>
    <row r="6069">
      <c r="A6069" s="2" t="s">
        <v>7039</v>
      </c>
      <c r="B6069" s="2" t="s">
        <v>7089</v>
      </c>
      <c r="D6069" s="2"/>
      <c r="G6069" s="2" t="s">
        <v>7033</v>
      </c>
    </row>
    <row r="6070">
      <c r="A6070" s="2" t="s">
        <v>7039</v>
      </c>
      <c r="B6070" s="2" t="s">
        <v>7081</v>
      </c>
      <c r="D6070" s="2"/>
      <c r="G6070" s="2" t="s">
        <v>7033</v>
      </c>
    </row>
    <row r="6071">
      <c r="A6071" s="2" t="s">
        <v>7039</v>
      </c>
      <c r="B6071" s="2" t="s">
        <v>7062</v>
      </c>
      <c r="D6071" s="2"/>
      <c r="G6071" s="2" t="s">
        <v>7033</v>
      </c>
    </row>
    <row r="6072">
      <c r="A6072" s="2" t="s">
        <v>7039</v>
      </c>
      <c r="B6072" s="2" t="s">
        <v>7093</v>
      </c>
      <c r="D6072" s="2"/>
      <c r="G6072" s="2" t="s">
        <v>7033</v>
      </c>
    </row>
    <row r="6073">
      <c r="A6073" s="2" t="s">
        <v>7039</v>
      </c>
      <c r="B6073" s="2" t="s">
        <v>7081</v>
      </c>
      <c r="D6073" s="2"/>
      <c r="G6073" s="2" t="s">
        <v>7033</v>
      </c>
    </row>
    <row r="6074">
      <c r="A6074" s="2" t="s">
        <v>7039</v>
      </c>
      <c r="B6074" s="2" t="s">
        <v>7067</v>
      </c>
      <c r="D6074" s="2"/>
      <c r="G6074" s="2" t="s">
        <v>7033</v>
      </c>
    </row>
    <row r="6075">
      <c r="A6075" s="2" t="s">
        <v>7039</v>
      </c>
      <c r="B6075" s="2" t="s">
        <v>7063</v>
      </c>
      <c r="D6075" s="2"/>
      <c r="G6075" s="2" t="s">
        <v>7033</v>
      </c>
    </row>
    <row r="6076">
      <c r="A6076" s="2" t="s">
        <v>7039</v>
      </c>
      <c r="B6076" s="2" t="s">
        <v>7057</v>
      </c>
      <c r="D6076" s="2"/>
      <c r="G6076" s="2" t="s">
        <v>7033</v>
      </c>
    </row>
    <row r="6077">
      <c r="A6077" s="2" t="s">
        <v>7039</v>
      </c>
      <c r="B6077" s="2" t="s">
        <v>7065</v>
      </c>
      <c r="D6077" s="2"/>
      <c r="G6077" s="2" t="s">
        <v>7033</v>
      </c>
    </row>
    <row r="6078">
      <c r="A6078" s="2" t="s">
        <v>7039</v>
      </c>
      <c r="B6078" s="2" t="s">
        <v>7094</v>
      </c>
      <c r="D6078" s="2"/>
      <c r="G6078" s="2" t="s">
        <v>7033</v>
      </c>
    </row>
    <row r="6079">
      <c r="A6079" s="2" t="s">
        <v>7039</v>
      </c>
      <c r="B6079" s="2" t="s">
        <v>7082</v>
      </c>
      <c r="D6079" s="2"/>
      <c r="G6079" s="2" t="s">
        <v>7033</v>
      </c>
    </row>
    <row r="6080">
      <c r="A6080" s="2" t="s">
        <v>7039</v>
      </c>
      <c r="B6080" s="2" t="s">
        <v>7040</v>
      </c>
      <c r="D6080" s="2"/>
      <c r="G6080" s="2" t="s">
        <v>7033</v>
      </c>
    </row>
    <row r="6081">
      <c r="A6081" s="2" t="s">
        <v>7039</v>
      </c>
      <c r="B6081" s="2" t="s">
        <v>7081</v>
      </c>
      <c r="D6081" s="2"/>
      <c r="G6081" s="2" t="s">
        <v>7033</v>
      </c>
    </row>
    <row r="6082">
      <c r="A6082" s="2" t="s">
        <v>7039</v>
      </c>
      <c r="B6082" s="2" t="s">
        <v>7042</v>
      </c>
      <c r="D6082" s="2"/>
      <c r="G6082" s="2" t="s">
        <v>7033</v>
      </c>
    </row>
    <row r="6083">
      <c r="A6083" s="2" t="s">
        <v>7039</v>
      </c>
      <c r="B6083" s="2" t="s">
        <v>7071</v>
      </c>
      <c r="D6083" s="2"/>
      <c r="G6083" s="2" t="s">
        <v>7033</v>
      </c>
    </row>
    <row r="6084">
      <c r="A6084" s="2" t="s">
        <v>7039</v>
      </c>
      <c r="B6084" s="2" t="s">
        <v>7061</v>
      </c>
      <c r="D6084" s="2"/>
      <c r="G6084" s="2" t="s">
        <v>7033</v>
      </c>
    </row>
    <row r="6085">
      <c r="A6085" s="2" t="s">
        <v>7096</v>
      </c>
      <c r="B6085" s="2" t="s">
        <v>7097</v>
      </c>
      <c r="D6085" s="2"/>
      <c r="G6085" s="2" t="s">
        <v>7098</v>
      </c>
    </row>
    <row r="6086">
      <c r="A6086" s="2"/>
      <c r="B6086" s="2"/>
      <c r="D6086" s="2"/>
      <c r="G6086" s="2"/>
    </row>
    <row r="6087">
      <c r="A6087" s="2"/>
      <c r="B6087" s="2"/>
      <c r="D6087" s="2"/>
      <c r="G6087" s="2"/>
    </row>
    <row r="6088">
      <c r="A6088" s="2"/>
      <c r="B6088" s="2"/>
      <c r="D6088" s="2"/>
      <c r="G6088" s="2"/>
    </row>
    <row r="6089">
      <c r="A6089" s="2"/>
      <c r="B6089" s="2"/>
      <c r="D6089" s="2"/>
      <c r="G6089" s="2"/>
    </row>
    <row r="6090">
      <c r="A6090" s="2"/>
      <c r="B6090" s="2"/>
      <c r="D6090" s="2"/>
      <c r="G6090" s="2"/>
    </row>
    <row r="6091">
      <c r="A6091" s="2"/>
      <c r="B6091" s="2"/>
      <c r="D6091" s="2"/>
      <c r="G6091" s="2"/>
    </row>
    <row r="6092">
      <c r="A6092" s="2"/>
      <c r="B6092" s="2"/>
      <c r="D6092" s="2"/>
      <c r="G6092" s="2"/>
    </row>
    <row r="6093">
      <c r="A6093" s="2"/>
      <c r="B6093" s="2"/>
      <c r="D6093" s="2"/>
      <c r="G6093" s="2"/>
    </row>
    <row r="6094">
      <c r="A6094" s="2"/>
      <c r="B6094" s="2"/>
      <c r="D6094" s="2"/>
      <c r="G6094" s="2"/>
    </row>
    <row r="6095">
      <c r="A6095" s="2"/>
      <c r="B6095" s="2"/>
      <c r="D6095" s="2"/>
      <c r="G6095" s="2"/>
    </row>
    <row r="6096">
      <c r="A6096" s="2"/>
      <c r="B6096" s="2"/>
      <c r="D6096" s="2"/>
      <c r="G6096" s="2"/>
    </row>
    <row r="6097">
      <c r="A6097" s="2"/>
      <c r="B6097" s="2"/>
      <c r="D6097" s="2"/>
      <c r="G6097" s="2"/>
    </row>
    <row r="6098">
      <c r="A6098" s="2"/>
      <c r="B6098" s="2"/>
      <c r="D6098" s="2"/>
      <c r="G6098" s="2"/>
    </row>
    <row r="6099">
      <c r="A6099" s="2"/>
      <c r="B6099" s="2"/>
      <c r="D6099" s="2"/>
      <c r="G6099" s="2"/>
    </row>
    <row r="6100">
      <c r="A6100" s="2"/>
      <c r="B6100" s="2"/>
      <c r="D6100" s="2"/>
      <c r="G6100" s="2"/>
    </row>
    <row r="6101">
      <c r="A6101" s="2"/>
      <c r="B6101" s="2"/>
      <c r="D6101" s="2"/>
      <c r="G6101" s="2"/>
    </row>
    <row r="6102">
      <c r="A6102" s="2"/>
      <c r="B6102" s="2"/>
      <c r="D6102" s="2"/>
      <c r="G6102" s="2"/>
    </row>
    <row r="6103">
      <c r="A6103" s="2"/>
      <c r="B6103" s="2"/>
      <c r="D6103" s="2"/>
      <c r="G6103" s="2"/>
    </row>
    <row r="6104">
      <c r="A6104" s="2"/>
      <c r="B6104" s="2"/>
      <c r="D6104" s="2"/>
      <c r="G6104" s="2"/>
    </row>
    <row r="6105">
      <c r="A6105" s="2"/>
      <c r="B6105" s="2"/>
      <c r="D6105" s="2"/>
      <c r="G6105" s="2"/>
    </row>
    <row r="6106">
      <c r="A6106" s="2"/>
      <c r="B6106" s="2"/>
      <c r="D6106" s="2"/>
      <c r="G6106" s="2"/>
    </row>
    <row r="6107">
      <c r="A6107" s="2"/>
      <c r="B6107" s="2"/>
      <c r="D6107" s="2"/>
      <c r="G6107" s="2"/>
    </row>
    <row r="6108">
      <c r="A6108" s="2"/>
      <c r="B6108" s="2"/>
      <c r="D6108" s="2"/>
      <c r="G6108" s="2"/>
    </row>
    <row r="6109">
      <c r="A6109" s="2"/>
      <c r="B6109" s="2"/>
      <c r="D6109" s="2"/>
      <c r="G6109" s="2"/>
    </row>
    <row r="6110">
      <c r="A6110" s="2"/>
      <c r="B6110" s="2"/>
      <c r="D6110" s="2"/>
      <c r="G6110" s="2"/>
    </row>
    <row r="6111">
      <c r="A6111" s="2"/>
      <c r="B6111" s="2"/>
      <c r="D6111" s="2"/>
      <c r="G6111" s="2"/>
    </row>
    <row r="6112">
      <c r="A6112" s="2"/>
      <c r="B6112" s="2"/>
      <c r="D6112" s="2"/>
      <c r="G6112" s="2"/>
    </row>
    <row r="6113">
      <c r="A6113" s="2"/>
      <c r="B6113" s="2"/>
      <c r="D6113" s="2"/>
      <c r="G6113" s="2"/>
    </row>
    <row r="6114">
      <c r="A6114" s="2"/>
      <c r="B6114" s="2"/>
      <c r="D6114" s="2"/>
      <c r="G6114" s="2"/>
    </row>
    <row r="6115">
      <c r="A6115" s="2"/>
      <c r="B6115" s="2"/>
      <c r="D6115" s="2"/>
      <c r="G6115" s="2"/>
    </row>
    <row r="6116">
      <c r="A6116" s="2"/>
      <c r="B6116" s="2"/>
      <c r="D6116" s="2"/>
      <c r="G6116" s="2"/>
    </row>
    <row r="6117">
      <c r="A6117" s="2"/>
      <c r="B6117" s="2"/>
      <c r="D6117" s="2"/>
      <c r="G6117" s="2"/>
    </row>
    <row r="6118">
      <c r="A6118" s="2"/>
      <c r="B6118" s="2"/>
      <c r="D6118" s="2"/>
      <c r="G6118" s="2"/>
    </row>
    <row r="6119">
      <c r="A6119" s="2"/>
      <c r="B6119" s="2"/>
      <c r="D6119" s="2"/>
      <c r="G6119" s="2"/>
    </row>
    <row r="6120">
      <c r="A6120" s="2"/>
      <c r="B6120" s="2"/>
      <c r="D6120" s="2"/>
      <c r="G6120" s="2"/>
    </row>
    <row r="6121">
      <c r="A6121" s="2"/>
      <c r="B6121" s="2"/>
      <c r="D6121" s="2"/>
      <c r="G6121" s="2"/>
    </row>
    <row r="6122">
      <c r="A6122" s="2"/>
      <c r="B6122" s="2"/>
      <c r="D6122" s="2"/>
      <c r="G6122" s="2"/>
    </row>
    <row r="6123">
      <c r="A6123" s="2"/>
      <c r="B6123" s="2"/>
      <c r="D6123" s="2"/>
      <c r="G6123" s="2"/>
    </row>
    <row r="6124">
      <c r="A6124" s="2"/>
      <c r="B6124" s="2"/>
      <c r="D6124" s="2"/>
      <c r="G6124" s="2"/>
    </row>
    <row r="6125">
      <c r="A6125" s="2"/>
      <c r="B6125" s="2"/>
      <c r="D6125" s="2"/>
      <c r="G6125" s="2"/>
    </row>
    <row r="6126">
      <c r="A6126" s="2"/>
      <c r="B6126" s="2"/>
      <c r="D6126" s="2"/>
      <c r="G6126" s="2"/>
    </row>
    <row r="6127">
      <c r="A6127" s="2"/>
      <c r="B6127" s="2"/>
      <c r="D6127" s="2"/>
      <c r="G6127" s="2"/>
    </row>
    <row r="6128">
      <c r="A6128" s="2"/>
      <c r="B6128" s="2"/>
      <c r="D6128" s="2"/>
      <c r="G6128" s="2"/>
    </row>
    <row r="6129">
      <c r="A6129" s="2"/>
      <c r="B6129" s="2"/>
      <c r="D6129" s="2"/>
      <c r="G6129" s="2"/>
    </row>
    <row r="6130">
      <c r="A6130" s="2"/>
      <c r="B6130" s="2"/>
      <c r="D6130" s="2"/>
      <c r="G6130" s="2"/>
    </row>
    <row r="6131">
      <c r="A6131" s="2"/>
      <c r="B6131" s="2"/>
      <c r="D6131" s="2"/>
      <c r="G6131" s="2"/>
    </row>
    <row r="6132">
      <c r="A6132" s="2"/>
      <c r="B6132" s="2"/>
      <c r="D6132" s="2"/>
      <c r="G6132" s="2"/>
    </row>
    <row r="6133">
      <c r="A6133" s="2"/>
      <c r="B6133" s="2"/>
      <c r="D6133" s="2"/>
      <c r="G6133" s="2"/>
    </row>
    <row r="6134">
      <c r="A6134" s="2"/>
      <c r="B6134" s="2"/>
      <c r="D6134" s="2"/>
      <c r="G6134" s="2"/>
    </row>
    <row r="6135">
      <c r="A6135" s="2"/>
      <c r="B6135" s="2"/>
      <c r="D6135" s="2"/>
      <c r="G6135" s="2"/>
    </row>
    <row r="6136">
      <c r="A6136" s="2"/>
      <c r="B6136" s="2"/>
      <c r="D6136" s="2"/>
      <c r="G6136" s="2"/>
    </row>
    <row r="6137">
      <c r="A6137" s="2"/>
      <c r="B6137" s="2"/>
      <c r="D6137" s="2"/>
      <c r="G6137" s="2"/>
    </row>
    <row r="6138">
      <c r="A6138" s="2"/>
      <c r="B6138" s="2"/>
      <c r="D6138" s="2"/>
      <c r="G6138" s="2"/>
    </row>
    <row r="6139">
      <c r="A6139" s="2"/>
      <c r="B6139" s="2"/>
      <c r="D6139" s="2"/>
      <c r="G6139" s="2"/>
    </row>
    <row r="6140">
      <c r="A6140" s="2"/>
      <c r="B6140" s="2"/>
      <c r="D6140" s="2"/>
      <c r="G6140" s="2"/>
    </row>
    <row r="6141">
      <c r="A6141" s="2"/>
      <c r="B6141" s="2"/>
      <c r="D6141" s="2"/>
      <c r="G6141" s="2"/>
    </row>
    <row r="6142">
      <c r="A6142" s="2"/>
      <c r="B6142" s="2"/>
      <c r="D6142" s="2"/>
      <c r="G6142" s="2"/>
    </row>
    <row r="6143">
      <c r="A6143" s="2"/>
      <c r="B6143" s="2"/>
      <c r="D6143" s="2"/>
      <c r="G6143" s="2"/>
    </row>
    <row r="6144">
      <c r="A6144" s="2"/>
      <c r="B6144" s="2"/>
      <c r="D6144" s="2"/>
      <c r="G6144" s="2"/>
    </row>
    <row r="6145">
      <c r="A6145" s="2"/>
      <c r="B6145" s="2"/>
      <c r="D6145" s="2"/>
      <c r="G6145" s="2"/>
    </row>
    <row r="6146">
      <c r="A6146" s="2"/>
      <c r="B6146" s="2"/>
      <c r="D6146" s="2"/>
      <c r="G6146" s="2"/>
    </row>
    <row r="6147">
      <c r="A6147" s="2"/>
      <c r="B6147" s="2"/>
      <c r="D6147" s="2"/>
      <c r="G6147" s="2"/>
    </row>
    <row r="6148">
      <c r="A6148" s="2"/>
      <c r="B6148" s="2"/>
      <c r="D6148" s="2"/>
      <c r="G6148" s="2"/>
    </row>
    <row r="6149">
      <c r="A6149" s="2"/>
      <c r="B6149" s="2"/>
      <c r="D6149" s="2"/>
      <c r="G6149" s="2"/>
    </row>
    <row r="6150">
      <c r="A6150" s="2"/>
      <c r="B6150" s="2"/>
      <c r="D6150" s="2"/>
      <c r="G6150" s="2"/>
    </row>
    <row r="6151">
      <c r="A6151" s="2"/>
      <c r="B6151" s="2"/>
      <c r="D6151" s="2"/>
      <c r="G6151" s="2"/>
    </row>
    <row r="6152">
      <c r="A6152" s="2"/>
      <c r="B6152" s="2"/>
      <c r="D6152" s="2"/>
      <c r="G6152" s="2"/>
    </row>
    <row r="6153">
      <c r="A6153" s="2"/>
      <c r="B6153" s="2"/>
      <c r="D6153" s="2"/>
      <c r="G6153" s="2"/>
    </row>
    <row r="6154">
      <c r="A6154" s="2"/>
      <c r="B6154" s="2"/>
      <c r="D6154" s="2"/>
      <c r="G6154" s="2"/>
    </row>
    <row r="6155">
      <c r="A6155" s="2"/>
      <c r="B6155" s="2"/>
      <c r="D6155" s="2"/>
      <c r="G6155" s="2"/>
    </row>
    <row r="6156">
      <c r="A6156" s="2"/>
      <c r="B6156" s="2"/>
      <c r="D6156" s="2"/>
      <c r="G6156" s="2"/>
    </row>
    <row r="6157">
      <c r="A6157" s="2"/>
      <c r="B6157" s="2"/>
      <c r="D6157" s="2"/>
      <c r="G6157" s="2"/>
    </row>
    <row r="6158">
      <c r="A6158" s="2"/>
      <c r="B6158" s="2"/>
      <c r="D6158" s="2"/>
      <c r="G6158" s="2"/>
    </row>
    <row r="6159">
      <c r="A6159" s="2"/>
      <c r="B6159" s="2"/>
      <c r="D6159" s="2"/>
      <c r="G6159" s="2"/>
    </row>
    <row r="6160">
      <c r="A6160" s="2"/>
      <c r="B6160" s="2"/>
      <c r="D6160" s="2"/>
      <c r="G6160" s="2"/>
    </row>
    <row r="6161">
      <c r="A6161" s="2"/>
      <c r="B6161" s="2"/>
      <c r="D6161" s="2"/>
      <c r="G6161" s="2"/>
    </row>
    <row r="6162">
      <c r="A6162" s="2"/>
      <c r="B6162" s="2"/>
      <c r="D6162" s="2"/>
      <c r="G6162" s="2"/>
    </row>
    <row r="6163">
      <c r="A6163" s="2"/>
      <c r="B6163" s="2"/>
      <c r="D6163" s="2"/>
      <c r="G6163" s="2"/>
    </row>
    <row r="6164">
      <c r="A6164" s="2"/>
      <c r="B6164" s="2"/>
      <c r="D6164" s="2"/>
      <c r="G6164" s="2"/>
    </row>
    <row r="6165">
      <c r="A6165" s="2"/>
      <c r="B6165" s="2"/>
      <c r="D6165" s="2"/>
      <c r="G6165" s="2"/>
    </row>
    <row r="6166">
      <c r="A6166" s="2"/>
      <c r="B6166" s="2"/>
      <c r="D6166" s="2"/>
      <c r="G6166" s="2"/>
    </row>
    <row r="6167">
      <c r="A6167" s="2"/>
      <c r="B6167" s="2"/>
      <c r="D6167" s="2"/>
      <c r="G6167" s="2"/>
    </row>
    <row r="6168">
      <c r="A6168" s="2"/>
      <c r="B6168" s="2"/>
      <c r="D6168" s="2"/>
      <c r="G6168" s="2"/>
    </row>
    <row r="6169">
      <c r="A6169" s="2"/>
      <c r="B6169" s="2"/>
      <c r="D6169" s="2"/>
      <c r="G6169" s="2"/>
    </row>
    <row r="6170">
      <c r="A6170" s="2"/>
      <c r="B6170" s="2"/>
      <c r="D6170" s="2"/>
      <c r="G6170" s="2"/>
    </row>
    <row r="6171">
      <c r="A6171" s="2"/>
      <c r="B6171" s="2"/>
      <c r="D6171" s="2"/>
      <c r="G6171" s="2"/>
    </row>
    <row r="6172">
      <c r="A6172" s="2"/>
      <c r="B6172" s="2"/>
      <c r="D6172" s="2"/>
      <c r="G6172" s="2"/>
    </row>
    <row r="6173">
      <c r="A6173" s="2"/>
      <c r="B6173" s="2"/>
      <c r="D6173" s="2"/>
      <c r="G6173" s="2"/>
    </row>
    <row r="6174">
      <c r="A6174" s="2"/>
      <c r="B6174" s="2"/>
      <c r="D6174" s="2"/>
      <c r="G6174" s="2"/>
    </row>
    <row r="6175">
      <c r="A6175" s="2"/>
      <c r="B6175" s="2"/>
      <c r="D6175" s="2"/>
      <c r="G6175" s="2"/>
    </row>
    <row r="6176">
      <c r="A6176" s="2"/>
      <c r="B6176" s="2"/>
      <c r="D6176" s="2"/>
      <c r="G6176" s="2"/>
    </row>
    <row r="6177">
      <c r="A6177" s="2"/>
      <c r="B6177" s="2"/>
      <c r="D6177" s="2"/>
      <c r="G6177" s="2"/>
    </row>
    <row r="6178">
      <c r="A6178" s="2"/>
      <c r="B6178" s="2"/>
      <c r="D6178" s="2"/>
      <c r="G6178" s="2"/>
    </row>
    <row r="6179">
      <c r="A6179" s="2"/>
      <c r="B6179" s="2"/>
      <c r="D6179" s="2"/>
      <c r="G6179" s="2"/>
    </row>
    <row r="6180">
      <c r="A6180" s="2"/>
      <c r="B6180" s="2"/>
      <c r="D6180" s="2"/>
      <c r="G6180" s="2"/>
    </row>
    <row r="6181">
      <c r="A6181" s="2"/>
      <c r="B6181" s="2"/>
      <c r="D6181" s="2"/>
      <c r="G6181" s="2"/>
    </row>
    <row r="6182">
      <c r="A6182" s="2"/>
      <c r="B6182" s="2"/>
      <c r="D6182" s="2"/>
      <c r="G6182" s="2"/>
    </row>
    <row r="6183">
      <c r="A6183" s="2"/>
      <c r="B6183" s="2"/>
      <c r="D6183" s="2"/>
      <c r="G6183" s="2"/>
    </row>
    <row r="6184">
      <c r="A6184" s="2"/>
      <c r="B6184" s="2"/>
      <c r="D6184" s="2"/>
      <c r="G6184" s="2"/>
    </row>
    <row r="6185">
      <c r="A6185" s="2"/>
      <c r="B6185" s="2"/>
      <c r="D6185" s="2"/>
      <c r="G6185" s="2"/>
    </row>
    <row r="6186">
      <c r="A6186" s="2"/>
      <c r="B6186" s="2"/>
      <c r="D6186" s="2"/>
      <c r="G6186" s="2"/>
    </row>
    <row r="6187">
      <c r="A6187" s="2"/>
      <c r="B6187" s="2"/>
      <c r="D6187" s="2"/>
      <c r="G6187" s="2"/>
    </row>
    <row r="6188">
      <c r="A6188" s="2"/>
      <c r="B6188" s="2"/>
      <c r="D6188" s="2"/>
      <c r="G6188" s="2"/>
    </row>
    <row r="6189">
      <c r="A6189" s="2"/>
      <c r="B6189" s="2"/>
      <c r="D6189" s="2"/>
      <c r="G6189" s="2"/>
    </row>
    <row r="6190">
      <c r="A6190" s="2"/>
      <c r="B6190" s="2"/>
      <c r="D6190" s="2"/>
      <c r="G6190" s="2"/>
    </row>
    <row r="6191">
      <c r="A6191" s="2"/>
      <c r="B6191" s="2"/>
      <c r="D6191" s="2"/>
      <c r="G6191" s="2"/>
    </row>
    <row r="6192">
      <c r="A6192" s="2"/>
      <c r="B6192" s="2"/>
      <c r="D6192" s="2"/>
      <c r="G6192" s="2"/>
    </row>
    <row r="6193">
      <c r="A6193" s="2"/>
      <c r="B6193" s="2"/>
      <c r="D6193" s="2"/>
      <c r="G6193" s="2"/>
    </row>
    <row r="6194">
      <c r="A6194" s="2"/>
      <c r="B6194" s="2"/>
      <c r="D6194" s="2"/>
      <c r="G6194" s="2"/>
    </row>
    <row r="6195">
      <c r="A6195" s="2"/>
      <c r="B6195" s="2"/>
      <c r="D6195" s="2"/>
      <c r="G6195" s="2"/>
    </row>
    <row r="6196">
      <c r="A6196" s="2"/>
      <c r="B6196" s="2"/>
      <c r="D6196" s="2"/>
      <c r="G6196" s="2"/>
    </row>
    <row r="6197">
      <c r="A6197" s="2"/>
      <c r="B6197" s="2"/>
      <c r="D6197" s="2"/>
      <c r="G6197" s="2"/>
    </row>
    <row r="6198">
      <c r="A6198" s="2"/>
      <c r="B6198" s="2"/>
      <c r="D6198" s="2"/>
      <c r="G6198" s="2"/>
    </row>
    <row r="6199">
      <c r="A6199" s="2"/>
      <c r="B6199" s="2"/>
      <c r="D6199" s="2"/>
      <c r="G6199" s="2"/>
    </row>
    <row r="6200">
      <c r="A6200" s="2"/>
      <c r="B6200" s="2"/>
      <c r="D6200" s="2"/>
      <c r="G6200" s="2"/>
    </row>
    <row r="6201">
      <c r="A6201" s="2"/>
      <c r="B6201" s="2"/>
      <c r="D6201" s="2"/>
      <c r="G6201" s="2"/>
    </row>
    <row r="6202">
      <c r="A6202" s="2"/>
      <c r="B6202" s="2"/>
      <c r="D6202" s="2"/>
      <c r="G6202" s="2"/>
    </row>
    <row r="6203">
      <c r="A6203" s="2"/>
      <c r="B6203" s="2"/>
      <c r="D6203" s="2"/>
      <c r="G6203" s="2"/>
    </row>
    <row r="6204">
      <c r="A6204" s="2"/>
      <c r="B6204" s="2"/>
      <c r="D6204" s="2"/>
      <c r="G6204" s="2"/>
    </row>
    <row r="6205">
      <c r="A6205" s="2"/>
      <c r="B6205" s="2"/>
      <c r="D6205" s="2"/>
      <c r="G6205" s="2"/>
    </row>
    <row r="6206">
      <c r="A6206" s="2"/>
      <c r="B6206" s="2"/>
      <c r="D6206" s="2"/>
      <c r="G6206" s="2"/>
    </row>
    <row r="6207">
      <c r="A6207" s="2"/>
      <c r="B6207" s="2"/>
      <c r="D6207" s="2"/>
      <c r="G6207" s="2"/>
    </row>
    <row r="6208">
      <c r="A6208" s="2"/>
      <c r="B6208" s="2"/>
      <c r="D6208" s="2"/>
      <c r="G6208" s="2"/>
    </row>
    <row r="6209">
      <c r="A6209" s="2"/>
      <c r="B6209" s="2"/>
      <c r="D6209" s="2"/>
      <c r="G6209" s="2"/>
    </row>
    <row r="6210">
      <c r="A6210" s="2"/>
      <c r="B6210" s="2"/>
      <c r="D6210" s="2"/>
      <c r="G6210" s="2"/>
    </row>
    <row r="6211">
      <c r="A6211" s="2"/>
      <c r="B6211" s="2"/>
      <c r="D6211" s="2"/>
      <c r="G6211" s="2"/>
    </row>
    <row r="6212">
      <c r="A6212" s="2"/>
      <c r="B6212" s="2"/>
      <c r="D6212" s="2"/>
      <c r="G6212" s="2"/>
    </row>
    <row r="6213">
      <c r="A6213" s="2"/>
      <c r="B6213" s="2"/>
      <c r="D6213" s="2"/>
      <c r="G6213" s="2"/>
    </row>
    <row r="6214">
      <c r="A6214" s="2"/>
      <c r="B6214" s="2"/>
      <c r="D6214" s="2"/>
      <c r="G6214" s="2"/>
    </row>
    <row r="6215">
      <c r="A6215" s="2"/>
      <c r="B6215" s="2"/>
      <c r="D6215" s="2"/>
      <c r="G6215" s="2"/>
    </row>
    <row r="6216">
      <c r="A6216" s="2"/>
      <c r="B6216" s="2"/>
      <c r="D6216" s="2"/>
      <c r="G6216" s="2"/>
    </row>
    <row r="6217">
      <c r="A6217" s="2"/>
      <c r="B6217" s="2"/>
      <c r="D6217" s="2"/>
      <c r="G6217" s="2"/>
    </row>
    <row r="6218">
      <c r="A6218" s="2"/>
      <c r="B6218" s="2"/>
      <c r="D6218" s="2"/>
      <c r="G6218" s="2"/>
    </row>
    <row r="6219">
      <c r="A6219" s="2"/>
      <c r="B6219" s="2"/>
      <c r="D6219" s="2"/>
      <c r="G6219" s="2"/>
    </row>
    <row r="6220">
      <c r="A6220" s="2"/>
      <c r="B6220" s="2"/>
      <c r="D6220" s="2"/>
      <c r="G6220" s="2"/>
    </row>
    <row r="6221">
      <c r="A6221" s="2"/>
      <c r="B6221" s="2"/>
      <c r="D6221" s="2"/>
      <c r="G6221" s="2"/>
    </row>
    <row r="6222">
      <c r="A6222" s="2"/>
      <c r="B6222" s="2"/>
      <c r="D6222" s="2"/>
      <c r="G6222" s="2"/>
    </row>
    <row r="6223">
      <c r="A6223" s="2"/>
      <c r="B6223" s="2"/>
      <c r="D6223" s="2"/>
      <c r="G6223" s="2"/>
    </row>
    <row r="6224">
      <c r="A6224" s="2"/>
      <c r="B6224" s="2"/>
      <c r="D6224" s="2"/>
      <c r="G6224" s="2"/>
    </row>
    <row r="6225">
      <c r="A6225" s="2"/>
      <c r="B6225" s="2"/>
      <c r="D6225" s="2"/>
      <c r="G6225" s="2"/>
    </row>
    <row r="6226">
      <c r="A6226" s="2"/>
      <c r="B6226" s="2"/>
      <c r="D6226" s="2"/>
      <c r="G6226" s="2"/>
    </row>
    <row r="6227">
      <c r="A6227" s="2"/>
      <c r="B6227" s="2"/>
      <c r="D6227" s="2"/>
      <c r="G6227" s="2"/>
    </row>
    <row r="6228">
      <c r="A6228" s="2"/>
      <c r="B6228" s="2"/>
      <c r="D6228" s="2"/>
      <c r="G6228" s="2"/>
    </row>
    <row r="6229">
      <c r="A6229" s="2"/>
      <c r="B6229" s="2"/>
      <c r="D6229" s="2"/>
      <c r="G6229" s="2"/>
    </row>
    <row r="6230">
      <c r="A6230" s="2"/>
      <c r="B6230" s="2"/>
      <c r="D6230" s="2"/>
      <c r="G6230" s="2"/>
    </row>
    <row r="6231">
      <c r="A6231" s="2"/>
      <c r="B6231" s="2"/>
      <c r="D6231" s="2"/>
      <c r="G6231" s="2"/>
    </row>
    <row r="6232">
      <c r="A6232" s="2"/>
      <c r="B6232" s="2"/>
      <c r="D6232" s="2"/>
      <c r="G6232" s="2"/>
    </row>
    <row r="6233">
      <c r="A6233" s="2"/>
      <c r="B6233" s="2"/>
      <c r="D6233" s="2"/>
      <c r="G6233" s="2"/>
    </row>
    <row r="6234">
      <c r="A6234" s="2"/>
      <c r="B6234" s="2"/>
      <c r="D6234" s="2"/>
      <c r="G6234" s="2"/>
    </row>
    <row r="6235">
      <c r="A6235" s="2"/>
      <c r="B6235" s="2"/>
      <c r="D6235" s="2"/>
      <c r="G6235" s="2"/>
    </row>
    <row r="6236">
      <c r="A6236" s="2"/>
      <c r="B6236" s="2"/>
      <c r="D6236" s="2"/>
      <c r="G6236" s="2"/>
    </row>
    <row r="6237">
      <c r="A6237" s="2"/>
      <c r="B6237" s="2"/>
      <c r="D6237" s="2"/>
      <c r="G6237" s="2"/>
    </row>
    <row r="6238">
      <c r="A6238" s="2"/>
      <c r="B6238" s="2"/>
      <c r="D6238" s="2"/>
      <c r="G6238" s="2"/>
    </row>
    <row r="6239">
      <c r="A6239" s="2"/>
      <c r="B6239" s="2"/>
      <c r="D6239" s="2"/>
      <c r="G6239" s="2"/>
    </row>
    <row r="6240">
      <c r="A6240" s="2"/>
      <c r="B6240" s="2"/>
      <c r="D6240" s="2"/>
      <c r="G6240" s="2"/>
    </row>
    <row r="6241">
      <c r="A6241" s="2"/>
      <c r="B6241" s="2"/>
      <c r="D6241" s="2"/>
      <c r="G6241" s="2"/>
    </row>
    <row r="6242">
      <c r="A6242" s="2"/>
      <c r="B6242" s="2"/>
      <c r="D6242" s="2"/>
      <c r="G6242" s="2"/>
    </row>
    <row r="6243">
      <c r="A6243" s="2"/>
      <c r="B6243" s="2"/>
      <c r="D6243" s="2"/>
      <c r="G6243" s="2"/>
    </row>
    <row r="6244">
      <c r="A6244" s="2"/>
      <c r="B6244" s="2"/>
      <c r="D6244" s="2"/>
      <c r="G6244" s="2"/>
    </row>
    <row r="6245">
      <c r="A6245" s="2"/>
      <c r="B6245" s="2"/>
      <c r="D6245" s="2"/>
      <c r="G6245" s="2"/>
    </row>
    <row r="6246">
      <c r="A6246" s="2"/>
      <c r="B6246" s="2"/>
      <c r="D6246" s="2"/>
      <c r="G6246" s="2"/>
    </row>
    <row r="6247">
      <c r="A6247" s="2"/>
      <c r="B6247" s="2"/>
      <c r="D6247" s="2"/>
      <c r="G6247" s="2"/>
    </row>
    <row r="6248">
      <c r="A6248" s="2"/>
      <c r="B6248" s="2"/>
      <c r="D6248" s="2"/>
      <c r="G6248" s="2"/>
    </row>
    <row r="6249">
      <c r="A6249" s="2"/>
      <c r="B6249" s="2"/>
      <c r="D6249" s="2"/>
      <c r="G6249" s="2"/>
    </row>
    <row r="6250">
      <c r="A6250" s="2"/>
      <c r="B6250" s="2"/>
      <c r="D6250" s="2"/>
      <c r="G6250" s="2"/>
    </row>
    <row r="6251">
      <c r="A6251" s="2"/>
      <c r="B6251" s="2"/>
      <c r="D6251" s="2"/>
      <c r="G6251" s="2"/>
    </row>
    <row r="6252">
      <c r="A6252" s="2"/>
      <c r="B6252" s="2"/>
      <c r="D6252" s="2"/>
      <c r="G6252" s="2"/>
    </row>
    <row r="6253">
      <c r="A6253" s="2"/>
      <c r="B6253" s="2"/>
      <c r="D6253" s="2"/>
      <c r="G6253" s="2"/>
    </row>
    <row r="6254">
      <c r="A6254" s="2"/>
      <c r="B6254" s="2"/>
      <c r="D6254" s="2"/>
      <c r="G6254" s="2"/>
    </row>
    <row r="6255">
      <c r="A6255" s="2"/>
      <c r="B6255" s="2"/>
      <c r="D6255" s="2"/>
      <c r="G6255" s="2"/>
    </row>
    <row r="6256">
      <c r="A6256" s="2"/>
      <c r="B6256" s="2"/>
      <c r="D6256" s="2"/>
      <c r="G6256" s="2"/>
    </row>
    <row r="6257">
      <c r="A6257" s="2"/>
      <c r="B6257" s="2"/>
      <c r="D6257" s="2"/>
      <c r="G6257" s="2"/>
    </row>
    <row r="6258">
      <c r="A6258" s="2"/>
      <c r="B6258" s="2"/>
      <c r="D6258" s="2"/>
      <c r="G6258" s="2"/>
    </row>
    <row r="6259">
      <c r="A6259" s="2"/>
      <c r="B6259" s="2"/>
      <c r="D6259" s="2"/>
      <c r="G6259" s="2"/>
    </row>
    <row r="6260">
      <c r="A6260" s="2"/>
      <c r="B6260" s="2"/>
      <c r="D6260" s="2"/>
      <c r="G6260" s="2"/>
    </row>
    <row r="6261">
      <c r="A6261" s="2"/>
      <c r="B6261" s="2"/>
      <c r="D6261" s="2"/>
      <c r="G6261" s="2"/>
    </row>
    <row r="6262">
      <c r="A6262" s="2"/>
      <c r="B6262" s="2"/>
      <c r="D6262" s="2"/>
      <c r="G6262" s="2"/>
    </row>
    <row r="6263">
      <c r="A6263" s="2"/>
      <c r="B6263" s="2"/>
      <c r="D6263" s="2"/>
      <c r="G6263" s="2"/>
    </row>
    <row r="6264">
      <c r="A6264" s="2"/>
      <c r="B6264" s="2"/>
      <c r="D6264" s="2"/>
      <c r="G6264" s="2"/>
    </row>
    <row r="6265">
      <c r="A6265" s="2"/>
      <c r="B6265" s="2"/>
      <c r="D6265" s="2"/>
      <c r="G6265" s="2"/>
    </row>
    <row r="6266">
      <c r="A6266" s="2"/>
      <c r="B6266" s="2"/>
      <c r="D6266" s="2"/>
      <c r="G6266" s="2"/>
    </row>
    <row r="6267">
      <c r="A6267" s="2"/>
      <c r="B6267" s="2"/>
      <c r="D6267" s="2"/>
      <c r="G6267" s="2"/>
    </row>
    <row r="6268">
      <c r="A6268" s="2"/>
      <c r="B6268" s="2"/>
      <c r="D6268" s="2"/>
      <c r="G6268" s="2"/>
    </row>
    <row r="6269">
      <c r="A6269" s="2"/>
      <c r="B6269" s="2"/>
      <c r="D6269" s="2"/>
      <c r="G6269" s="2"/>
    </row>
    <row r="6270">
      <c r="A6270" s="2"/>
      <c r="B6270" s="2"/>
      <c r="D6270" s="2"/>
      <c r="G6270" s="2"/>
    </row>
    <row r="6271">
      <c r="A6271" s="2"/>
      <c r="B6271" s="2"/>
      <c r="D6271" s="2"/>
      <c r="G6271" s="2"/>
    </row>
    <row r="6272">
      <c r="A6272" s="2"/>
      <c r="B6272" s="2"/>
      <c r="D6272" s="2"/>
      <c r="G6272" s="2"/>
    </row>
    <row r="6273">
      <c r="A6273" s="2"/>
      <c r="B6273" s="2"/>
      <c r="D6273" s="2"/>
      <c r="G6273" s="2"/>
    </row>
    <row r="6274">
      <c r="A6274" s="2"/>
      <c r="B6274" s="2"/>
      <c r="D6274" s="2"/>
      <c r="G6274" s="2"/>
    </row>
    <row r="6275">
      <c r="A6275" s="2"/>
      <c r="B6275" s="2"/>
      <c r="D6275" s="2"/>
      <c r="G6275" s="2"/>
    </row>
    <row r="6276">
      <c r="A6276" s="2"/>
      <c r="B6276" s="2"/>
      <c r="D6276" s="2"/>
      <c r="G6276" s="2"/>
    </row>
    <row r="6277">
      <c r="A6277" s="2"/>
      <c r="B6277" s="2"/>
      <c r="D6277" s="2"/>
      <c r="G6277" s="2"/>
    </row>
    <row r="6278">
      <c r="A6278" s="2"/>
      <c r="B6278" s="2"/>
      <c r="D6278" s="2"/>
      <c r="G6278" s="2"/>
    </row>
    <row r="6279">
      <c r="A6279" s="2"/>
      <c r="B6279" s="2"/>
      <c r="D6279" s="2"/>
      <c r="G6279" s="2"/>
    </row>
    <row r="6280">
      <c r="A6280" s="2"/>
      <c r="B6280" s="2"/>
      <c r="D6280" s="2"/>
      <c r="G6280" s="2"/>
    </row>
    <row r="6281">
      <c r="A6281" s="2"/>
      <c r="B6281" s="2"/>
      <c r="D6281" s="2"/>
      <c r="G6281" s="2"/>
    </row>
    <row r="6282">
      <c r="A6282" s="2"/>
      <c r="B6282" s="2"/>
      <c r="D6282" s="2"/>
      <c r="G6282" s="2"/>
    </row>
    <row r="6283">
      <c r="A6283" s="2"/>
      <c r="B6283" s="2"/>
      <c r="D6283" s="2"/>
      <c r="G6283" s="2"/>
    </row>
    <row r="6284">
      <c r="A6284" s="2"/>
      <c r="B6284" s="2"/>
      <c r="D6284" s="2"/>
      <c r="G6284" s="2"/>
    </row>
    <row r="6285">
      <c r="A6285" s="2"/>
      <c r="B6285" s="2"/>
      <c r="D6285" s="2"/>
      <c r="G6285" s="2"/>
    </row>
    <row r="6286">
      <c r="A6286" s="2"/>
      <c r="B6286" s="2"/>
      <c r="D6286" s="2"/>
      <c r="G6286" s="2"/>
    </row>
    <row r="6287">
      <c r="A6287" s="2"/>
      <c r="B6287" s="2"/>
      <c r="D6287" s="2"/>
      <c r="G6287" s="2"/>
    </row>
    <row r="6288">
      <c r="A6288" s="2"/>
      <c r="B6288" s="2"/>
      <c r="D6288" s="2"/>
      <c r="G6288" s="2"/>
    </row>
    <row r="6289">
      <c r="A6289" s="2"/>
      <c r="B6289" s="2"/>
      <c r="D6289" s="2"/>
      <c r="G6289" s="2"/>
    </row>
    <row r="6290">
      <c r="A6290" s="2"/>
      <c r="B6290" s="2"/>
      <c r="D6290" s="2"/>
      <c r="G6290" s="2"/>
    </row>
    <row r="6291">
      <c r="A6291" s="2"/>
      <c r="B6291" s="2"/>
      <c r="D6291" s="2"/>
      <c r="G6291" s="2"/>
    </row>
    <row r="6292">
      <c r="A6292" s="2"/>
      <c r="B6292" s="2"/>
      <c r="D6292" s="2"/>
      <c r="G6292" s="2"/>
    </row>
    <row r="6293">
      <c r="A6293" s="2"/>
      <c r="B6293" s="2"/>
      <c r="D6293" s="2"/>
      <c r="G6293" s="2"/>
    </row>
    <row r="6294">
      <c r="A6294" s="2"/>
      <c r="B6294" s="2"/>
      <c r="D6294" s="2"/>
      <c r="G6294" s="2"/>
    </row>
    <row r="6295">
      <c r="A6295" s="2"/>
      <c r="B6295" s="2"/>
      <c r="D6295" s="2"/>
      <c r="G6295" s="2"/>
    </row>
    <row r="6296">
      <c r="A6296" s="2"/>
      <c r="B6296" s="2"/>
      <c r="D6296" s="2"/>
      <c r="G6296" s="2"/>
    </row>
    <row r="6297">
      <c r="A6297" s="2"/>
      <c r="B6297" s="2"/>
      <c r="D6297" s="2"/>
      <c r="G6297" s="2"/>
    </row>
    <row r="6298">
      <c r="A6298" s="2"/>
      <c r="B6298" s="2"/>
      <c r="D6298" s="2"/>
      <c r="G6298" s="2"/>
    </row>
    <row r="6299">
      <c r="A6299" s="2"/>
      <c r="B6299" s="2"/>
      <c r="D6299" s="2"/>
      <c r="G6299" s="2"/>
    </row>
    <row r="6300">
      <c r="A6300" s="2"/>
      <c r="B6300" s="2"/>
      <c r="D6300" s="2"/>
      <c r="G6300" s="2"/>
    </row>
    <row r="6301">
      <c r="A6301" s="2"/>
      <c r="B6301" s="2"/>
      <c r="D6301" s="2"/>
      <c r="G6301" s="2"/>
    </row>
    <row r="6302">
      <c r="A6302" s="2"/>
      <c r="B6302" s="2"/>
      <c r="D6302" s="2"/>
      <c r="G6302" s="2"/>
    </row>
    <row r="6303">
      <c r="A6303" s="2"/>
      <c r="B6303" s="2"/>
      <c r="D6303" s="2"/>
      <c r="G6303" s="2"/>
    </row>
    <row r="6304">
      <c r="A6304" s="2"/>
      <c r="B6304" s="2"/>
      <c r="D6304" s="2"/>
      <c r="G6304" s="2"/>
    </row>
    <row r="6305">
      <c r="A6305" s="2"/>
      <c r="B6305" s="2"/>
      <c r="D6305" s="2"/>
      <c r="G6305" s="2"/>
    </row>
    <row r="6306">
      <c r="A6306" s="2"/>
      <c r="B6306" s="2"/>
      <c r="D6306" s="2"/>
      <c r="G6306" s="2"/>
    </row>
    <row r="6307">
      <c r="A6307" s="2"/>
      <c r="B6307" s="2"/>
      <c r="D6307" s="2"/>
      <c r="G6307" s="2"/>
    </row>
    <row r="6308">
      <c r="A6308" s="2"/>
      <c r="B6308" s="2"/>
      <c r="D6308" s="2"/>
      <c r="G6308" s="2"/>
    </row>
    <row r="6309">
      <c r="A6309" s="2"/>
      <c r="B6309" s="2"/>
      <c r="D6309" s="2"/>
      <c r="G6309" s="2"/>
    </row>
    <row r="6310">
      <c r="A6310" s="2"/>
      <c r="B6310" s="2"/>
      <c r="D6310" s="2"/>
      <c r="G6310" s="2"/>
    </row>
    <row r="6311">
      <c r="A6311" s="2"/>
      <c r="B6311" s="2"/>
      <c r="D6311" s="2"/>
      <c r="G6311" s="2"/>
    </row>
    <row r="6312">
      <c r="A6312" s="2"/>
      <c r="B6312" s="2"/>
      <c r="D6312" s="2"/>
      <c r="G6312" s="2"/>
    </row>
    <row r="6313">
      <c r="A6313" s="2"/>
      <c r="B6313" s="2"/>
      <c r="D6313" s="2"/>
      <c r="G6313" s="2"/>
    </row>
    <row r="6314">
      <c r="A6314" s="2"/>
      <c r="B6314" s="2"/>
      <c r="D6314" s="2"/>
      <c r="G6314" s="2"/>
    </row>
    <row r="6315">
      <c r="A6315" s="2"/>
      <c r="B6315" s="2"/>
      <c r="D6315" s="2"/>
      <c r="G6315" s="2"/>
    </row>
    <row r="6316">
      <c r="A6316" s="2"/>
      <c r="B6316" s="2"/>
      <c r="D6316" s="2"/>
      <c r="G6316" s="2"/>
    </row>
    <row r="6317">
      <c r="A6317" s="2"/>
      <c r="B6317" s="2"/>
      <c r="D6317" s="2"/>
      <c r="G6317" s="2"/>
    </row>
    <row r="6318">
      <c r="A6318" s="2"/>
      <c r="B6318" s="2"/>
      <c r="D6318" s="2"/>
      <c r="G6318" s="2"/>
    </row>
    <row r="6319">
      <c r="A6319" s="2"/>
      <c r="B6319" s="2"/>
      <c r="D6319" s="2"/>
      <c r="G6319" s="2"/>
    </row>
    <row r="6320">
      <c r="A6320" s="2"/>
      <c r="B6320" s="2"/>
      <c r="D6320" s="2"/>
      <c r="G6320" s="2"/>
    </row>
    <row r="6321">
      <c r="A6321" s="2"/>
      <c r="B6321" s="2"/>
      <c r="D6321" s="2"/>
      <c r="G6321" s="2"/>
    </row>
    <row r="6322">
      <c r="A6322" s="2"/>
      <c r="B6322" s="2"/>
      <c r="D6322" s="2"/>
      <c r="G6322" s="2"/>
    </row>
    <row r="6323">
      <c r="A6323" s="2"/>
      <c r="B6323" s="2"/>
      <c r="D6323" s="2"/>
      <c r="G6323" s="2"/>
    </row>
    <row r="6324">
      <c r="A6324" s="2"/>
      <c r="B6324" s="2"/>
      <c r="D6324" s="2"/>
      <c r="G6324" s="2"/>
    </row>
    <row r="6325">
      <c r="A6325" s="2"/>
      <c r="B6325" s="2"/>
      <c r="D6325" s="2"/>
      <c r="G6325" s="2"/>
    </row>
    <row r="6326">
      <c r="A6326" s="2"/>
      <c r="B6326" s="2"/>
      <c r="D6326" s="2"/>
      <c r="G6326" s="2"/>
    </row>
    <row r="6327">
      <c r="A6327" s="2"/>
      <c r="B6327" s="2"/>
      <c r="D6327" s="2"/>
      <c r="G6327" s="2"/>
    </row>
    <row r="6328">
      <c r="A6328" s="2"/>
      <c r="B6328" s="2"/>
      <c r="D6328" s="2"/>
      <c r="G6328" s="2"/>
    </row>
    <row r="6329">
      <c r="A6329" s="2"/>
      <c r="B6329" s="2"/>
      <c r="D6329" s="2"/>
      <c r="G6329" s="2"/>
    </row>
    <row r="6330">
      <c r="A6330" s="2"/>
      <c r="B6330" s="2"/>
      <c r="D6330" s="2"/>
      <c r="G6330" s="2"/>
    </row>
    <row r="6331">
      <c r="A6331" s="2"/>
      <c r="B6331" s="2"/>
      <c r="D6331" s="2"/>
      <c r="G6331" s="2"/>
    </row>
    <row r="6332">
      <c r="A6332" s="2"/>
      <c r="B6332" s="2"/>
      <c r="D6332" s="2"/>
      <c r="G6332" s="2"/>
    </row>
    <row r="6333">
      <c r="A6333" s="2"/>
      <c r="B6333" s="2"/>
      <c r="D6333" s="2"/>
      <c r="G6333" s="2"/>
    </row>
    <row r="6334">
      <c r="A6334" s="2"/>
      <c r="B6334" s="2"/>
      <c r="D6334" s="2"/>
      <c r="G6334" s="2"/>
    </row>
    <row r="6335">
      <c r="A6335" s="2"/>
      <c r="B6335" s="2"/>
      <c r="D6335" s="2"/>
      <c r="G6335" s="2"/>
    </row>
    <row r="6336">
      <c r="A6336" s="2"/>
      <c r="B6336" s="2"/>
      <c r="D6336" s="2"/>
      <c r="G6336" s="2"/>
    </row>
    <row r="6337">
      <c r="A6337" s="2"/>
      <c r="B6337" s="2"/>
      <c r="D6337" s="2"/>
      <c r="G6337" s="2"/>
    </row>
    <row r="6338">
      <c r="A6338" s="2"/>
      <c r="B6338" s="2"/>
      <c r="D6338" s="2"/>
      <c r="G6338" s="2"/>
    </row>
    <row r="6339">
      <c r="A6339" s="2"/>
      <c r="B6339" s="2"/>
      <c r="D6339" s="2"/>
      <c r="G6339" s="2"/>
    </row>
    <row r="6340">
      <c r="A6340" s="2"/>
      <c r="B6340" s="2"/>
      <c r="D6340" s="2"/>
      <c r="G6340" s="2"/>
    </row>
    <row r="6341">
      <c r="A6341" s="2"/>
      <c r="B6341" s="2"/>
      <c r="D6341" s="2"/>
      <c r="G6341" s="2"/>
    </row>
    <row r="6342">
      <c r="A6342" s="2"/>
      <c r="B6342" s="2"/>
      <c r="D6342" s="2"/>
      <c r="G6342" s="2"/>
    </row>
    <row r="6343">
      <c r="A6343" s="2"/>
      <c r="B6343" s="2"/>
      <c r="D6343" s="2"/>
      <c r="G6343" s="2"/>
    </row>
    <row r="6344">
      <c r="A6344" s="2"/>
      <c r="B6344" s="2"/>
      <c r="D6344" s="2"/>
      <c r="G6344" s="2"/>
    </row>
    <row r="6345">
      <c r="A6345" s="2"/>
      <c r="B6345" s="2"/>
      <c r="D6345" s="2"/>
      <c r="G6345" s="2"/>
    </row>
    <row r="6346">
      <c r="A6346" s="2"/>
      <c r="B6346" s="2"/>
      <c r="D6346" s="2"/>
      <c r="G6346" s="2"/>
    </row>
    <row r="6347">
      <c r="A6347" s="2"/>
      <c r="B6347" s="2"/>
      <c r="D6347" s="2"/>
      <c r="G6347" s="2"/>
    </row>
    <row r="6348">
      <c r="A6348" s="2"/>
      <c r="B6348" s="2"/>
      <c r="D6348" s="2"/>
      <c r="G6348" s="2"/>
    </row>
    <row r="6349">
      <c r="A6349" s="2"/>
      <c r="B6349" s="2"/>
      <c r="D6349" s="2"/>
      <c r="G6349" s="2"/>
    </row>
    <row r="6350">
      <c r="A6350" s="2"/>
      <c r="B6350" s="2"/>
      <c r="D6350" s="2"/>
      <c r="G6350" s="2"/>
    </row>
    <row r="6351">
      <c r="A6351" s="2"/>
      <c r="B6351" s="2"/>
      <c r="D6351" s="2"/>
      <c r="G6351" s="2"/>
    </row>
    <row r="6352">
      <c r="A6352" s="2"/>
      <c r="B6352" s="2"/>
      <c r="D6352" s="2"/>
      <c r="G6352" s="2"/>
    </row>
    <row r="6353">
      <c r="A6353" s="2"/>
      <c r="B6353" s="2"/>
      <c r="D6353" s="2"/>
      <c r="G6353" s="2"/>
    </row>
    <row r="6354">
      <c r="A6354" s="2"/>
      <c r="B6354" s="2"/>
      <c r="D6354" s="2"/>
      <c r="G6354" s="2"/>
    </row>
    <row r="6355">
      <c r="A6355" s="2"/>
      <c r="B6355" s="2"/>
      <c r="D6355" s="2"/>
      <c r="G6355" s="2"/>
    </row>
    <row r="6356">
      <c r="A6356" s="2"/>
      <c r="B6356" s="2"/>
      <c r="D6356" s="2"/>
      <c r="G6356" s="2"/>
    </row>
    <row r="6357">
      <c r="A6357" s="2"/>
      <c r="B6357" s="2"/>
      <c r="D6357" s="2"/>
      <c r="G6357" s="2"/>
    </row>
    <row r="6358">
      <c r="A6358" s="2"/>
      <c r="B6358" s="2"/>
      <c r="D6358" s="2"/>
      <c r="G6358" s="2"/>
    </row>
    <row r="6359">
      <c r="A6359" s="2"/>
      <c r="B6359" s="2"/>
      <c r="D6359" s="2"/>
      <c r="G6359" s="2"/>
    </row>
    <row r="6360">
      <c r="A6360" s="2"/>
      <c r="B6360" s="2"/>
      <c r="D6360" s="2"/>
      <c r="G6360" s="2"/>
    </row>
    <row r="6361">
      <c r="A6361" s="2"/>
      <c r="B6361" s="2"/>
      <c r="D6361" s="2"/>
      <c r="G6361" s="2"/>
    </row>
    <row r="6362">
      <c r="A6362" s="2"/>
      <c r="B6362" s="2"/>
      <c r="D6362" s="2"/>
      <c r="G6362" s="2"/>
    </row>
    <row r="6363">
      <c r="A6363" s="2"/>
      <c r="B6363" s="2"/>
      <c r="D6363" s="2"/>
      <c r="G6363" s="2"/>
    </row>
    <row r="6364">
      <c r="A6364" s="2"/>
      <c r="B6364" s="2"/>
      <c r="D6364" s="2"/>
      <c r="G6364" s="2"/>
    </row>
    <row r="6365">
      <c r="A6365" s="2"/>
      <c r="B6365" s="2"/>
      <c r="D6365" s="2"/>
      <c r="G6365" s="2"/>
    </row>
    <row r="6366">
      <c r="A6366" s="2"/>
      <c r="B6366" s="2"/>
      <c r="D6366" s="2"/>
      <c r="G6366" s="2"/>
    </row>
    <row r="6367">
      <c r="A6367" s="2"/>
      <c r="B6367" s="2"/>
      <c r="D6367" s="2"/>
      <c r="G6367" s="2"/>
    </row>
    <row r="6368">
      <c r="A6368" s="2"/>
      <c r="B6368" s="2"/>
      <c r="D6368" s="2"/>
      <c r="G6368" s="2"/>
    </row>
    <row r="6369">
      <c r="A6369" s="2"/>
      <c r="B6369" s="2"/>
      <c r="D6369" s="2"/>
      <c r="G6369" s="2"/>
    </row>
    <row r="6370">
      <c r="A6370" s="2"/>
      <c r="B6370" s="2"/>
      <c r="D6370" s="2"/>
      <c r="G6370" s="2"/>
    </row>
    <row r="6371">
      <c r="A6371" s="2"/>
      <c r="B6371" s="2"/>
      <c r="D6371" s="2"/>
      <c r="G6371" s="2"/>
    </row>
    <row r="6372">
      <c r="A6372" s="2"/>
      <c r="B6372" s="2"/>
      <c r="D6372" s="2"/>
      <c r="G6372" s="2"/>
    </row>
    <row r="6373">
      <c r="A6373" s="2"/>
      <c r="B6373" s="2"/>
      <c r="D6373" s="2"/>
      <c r="G6373" s="2"/>
    </row>
    <row r="6374">
      <c r="A6374" s="2"/>
      <c r="B6374" s="2"/>
      <c r="D6374" s="2"/>
      <c r="G6374" s="2"/>
    </row>
    <row r="6375">
      <c r="A6375" s="2"/>
      <c r="B6375" s="2"/>
      <c r="D6375" s="2"/>
      <c r="G6375" s="2"/>
    </row>
    <row r="6376">
      <c r="A6376" s="2"/>
      <c r="B6376" s="2"/>
      <c r="D6376" s="2"/>
      <c r="G6376" s="2"/>
    </row>
    <row r="6377">
      <c r="A6377" s="2"/>
      <c r="B6377" s="2"/>
      <c r="D6377" s="2"/>
      <c r="G6377" s="2"/>
    </row>
    <row r="6378">
      <c r="A6378" s="2"/>
      <c r="B6378" s="2"/>
      <c r="D6378" s="2"/>
      <c r="G6378" s="2"/>
    </row>
    <row r="6379">
      <c r="A6379" s="2"/>
      <c r="B6379" s="2"/>
      <c r="D6379" s="2"/>
      <c r="G6379" s="2"/>
    </row>
    <row r="6380">
      <c r="A6380" s="2"/>
      <c r="B6380" s="2"/>
      <c r="D6380" s="2"/>
      <c r="G6380" s="2"/>
    </row>
    <row r="6381">
      <c r="A6381" s="2"/>
      <c r="B6381" s="2"/>
      <c r="D6381" s="2"/>
      <c r="G6381" s="2"/>
    </row>
    <row r="6382">
      <c r="A6382" s="2"/>
      <c r="B6382" s="2"/>
      <c r="D6382" s="2"/>
      <c r="G6382" s="2"/>
    </row>
    <row r="6383">
      <c r="A6383" s="2"/>
      <c r="B6383" s="2"/>
      <c r="D6383" s="2"/>
      <c r="G6383" s="2"/>
    </row>
    <row r="6384">
      <c r="A6384" s="2"/>
      <c r="B6384" s="2"/>
      <c r="D6384" s="2"/>
      <c r="G6384" s="2"/>
    </row>
    <row r="6385">
      <c r="A6385" s="2"/>
      <c r="B6385" s="2"/>
      <c r="D6385" s="2"/>
      <c r="G6385" s="2"/>
    </row>
    <row r="6386">
      <c r="A6386" s="2"/>
      <c r="B6386" s="2"/>
      <c r="D6386" s="2"/>
      <c r="G6386" s="2"/>
    </row>
    <row r="6387">
      <c r="A6387" s="2"/>
      <c r="B6387" s="2"/>
      <c r="D6387" s="2"/>
      <c r="G6387" s="2"/>
    </row>
    <row r="6388">
      <c r="A6388" s="2"/>
      <c r="B6388" s="2"/>
      <c r="D6388" s="2"/>
      <c r="G6388" s="2"/>
    </row>
    <row r="6389">
      <c r="A6389" s="2"/>
      <c r="B6389" s="2"/>
      <c r="D6389" s="2"/>
      <c r="G6389" s="2"/>
    </row>
    <row r="6390">
      <c r="A6390" s="2"/>
      <c r="B6390" s="2"/>
      <c r="D6390" s="2"/>
      <c r="G6390" s="2"/>
    </row>
    <row r="6391">
      <c r="A6391" s="2"/>
      <c r="B6391" s="2"/>
      <c r="D6391" s="2"/>
      <c r="G6391" s="2"/>
    </row>
    <row r="6392">
      <c r="A6392" s="2"/>
      <c r="B6392" s="2"/>
      <c r="D6392" s="2"/>
      <c r="G6392" s="2"/>
    </row>
    <row r="6393">
      <c r="A6393" s="2"/>
      <c r="B6393" s="2"/>
      <c r="D6393" s="2"/>
      <c r="G6393" s="2"/>
    </row>
    <row r="6394">
      <c r="A6394" s="2"/>
      <c r="B6394" s="2"/>
      <c r="D6394" s="2"/>
      <c r="G6394" s="2"/>
    </row>
    <row r="6395">
      <c r="A6395" s="2"/>
      <c r="B6395" s="2"/>
      <c r="D6395" s="2"/>
      <c r="G6395" s="2"/>
    </row>
    <row r="6396">
      <c r="A6396" s="2"/>
      <c r="B6396" s="2"/>
      <c r="D6396" s="2"/>
      <c r="G6396" s="2"/>
    </row>
    <row r="6397">
      <c r="A6397" s="2"/>
      <c r="B6397" s="2"/>
      <c r="D6397" s="2"/>
      <c r="G6397" s="2"/>
    </row>
    <row r="6398">
      <c r="A6398" s="2"/>
      <c r="B6398" s="2"/>
      <c r="D6398" s="2"/>
      <c r="G6398" s="2"/>
    </row>
    <row r="6399">
      <c r="A6399" s="2"/>
      <c r="B6399" s="2"/>
      <c r="D6399" s="2"/>
      <c r="G6399" s="2"/>
    </row>
    <row r="6400">
      <c r="A6400" s="2"/>
      <c r="B6400" s="2"/>
      <c r="D6400" s="2"/>
      <c r="G6400" s="2"/>
    </row>
    <row r="6401">
      <c r="A6401" s="2"/>
      <c r="B6401" s="2"/>
      <c r="D6401" s="2"/>
      <c r="G6401" s="2"/>
    </row>
    <row r="6402">
      <c r="A6402" s="2"/>
      <c r="B6402" s="2"/>
      <c r="D6402" s="2"/>
      <c r="G6402" s="2"/>
    </row>
    <row r="6403">
      <c r="A6403" s="2"/>
      <c r="B6403" s="2"/>
      <c r="D6403" s="2"/>
      <c r="G6403" s="2"/>
    </row>
    <row r="6404">
      <c r="A6404" s="2"/>
      <c r="B6404" s="2"/>
      <c r="D6404" s="2"/>
      <c r="G6404" s="2"/>
    </row>
    <row r="6405">
      <c r="A6405" s="2"/>
      <c r="B6405" s="2"/>
      <c r="D6405" s="2"/>
      <c r="G6405" s="2"/>
    </row>
    <row r="6406">
      <c r="A6406" s="2"/>
      <c r="B6406" s="2"/>
      <c r="D6406" s="2"/>
      <c r="G6406" s="2"/>
    </row>
    <row r="6407">
      <c r="A6407" s="2"/>
      <c r="B6407" s="2"/>
      <c r="D6407" s="2"/>
      <c r="G6407" s="2"/>
    </row>
    <row r="6408">
      <c r="A6408" s="2"/>
      <c r="B6408" s="2"/>
      <c r="D6408" s="2"/>
      <c r="G6408" s="2"/>
    </row>
    <row r="6409">
      <c r="A6409" s="2"/>
      <c r="B6409" s="2"/>
      <c r="D6409" s="2"/>
      <c r="G6409" s="2"/>
    </row>
    <row r="6410">
      <c r="A6410" s="2"/>
      <c r="B6410" s="2"/>
      <c r="D6410" s="2"/>
      <c r="G6410" s="2"/>
    </row>
    <row r="6411">
      <c r="A6411" s="2"/>
      <c r="B6411" s="2"/>
      <c r="D6411" s="2"/>
      <c r="G6411" s="2"/>
    </row>
    <row r="6412">
      <c r="A6412" s="2"/>
      <c r="B6412" s="2"/>
      <c r="D6412" s="2"/>
      <c r="G6412" s="2"/>
    </row>
    <row r="6413">
      <c r="A6413" s="2"/>
      <c r="B6413" s="2"/>
      <c r="D6413" s="2"/>
      <c r="G6413" s="2"/>
    </row>
    <row r="6414">
      <c r="A6414" s="2"/>
      <c r="B6414" s="2"/>
      <c r="D6414" s="2"/>
      <c r="G6414" s="2"/>
    </row>
    <row r="6415">
      <c r="A6415" s="2"/>
      <c r="B6415" s="2"/>
      <c r="D6415" s="2"/>
      <c r="G6415" s="2"/>
    </row>
    <row r="6416">
      <c r="A6416" s="2"/>
      <c r="B6416" s="2"/>
      <c r="D6416" s="2"/>
      <c r="G6416" s="2"/>
    </row>
    <row r="6417">
      <c r="A6417" s="2"/>
      <c r="B6417" s="2"/>
      <c r="D6417" s="2"/>
      <c r="G6417" s="2"/>
    </row>
    <row r="6418">
      <c r="A6418" s="2"/>
      <c r="B6418" s="2"/>
      <c r="D6418" s="2"/>
      <c r="G6418" s="2"/>
    </row>
    <row r="6419">
      <c r="A6419" s="2"/>
      <c r="B6419" s="2"/>
      <c r="D6419" s="2"/>
      <c r="G6419" s="2"/>
    </row>
    <row r="6420">
      <c r="A6420" s="2"/>
      <c r="B6420" s="2"/>
      <c r="D6420" s="2"/>
      <c r="G6420" s="2"/>
    </row>
    <row r="6421">
      <c r="A6421" s="2"/>
      <c r="B6421" s="2"/>
      <c r="D6421" s="2"/>
      <c r="G6421" s="2"/>
    </row>
    <row r="6422">
      <c r="A6422" s="2"/>
      <c r="B6422" s="2"/>
      <c r="D6422" s="2"/>
      <c r="G6422" s="2"/>
    </row>
    <row r="6423">
      <c r="A6423" s="2"/>
      <c r="B6423" s="2"/>
      <c r="D6423" s="2"/>
      <c r="G6423" s="2"/>
    </row>
    <row r="6424">
      <c r="A6424" s="2"/>
      <c r="B6424" s="2"/>
      <c r="D6424" s="2"/>
      <c r="G6424" s="2"/>
    </row>
    <row r="6425">
      <c r="A6425" s="2"/>
      <c r="B6425" s="2"/>
      <c r="D6425" s="2"/>
      <c r="G6425" s="2"/>
    </row>
    <row r="6426">
      <c r="A6426" s="2"/>
      <c r="B6426" s="2"/>
      <c r="D6426" s="2"/>
      <c r="G6426" s="2"/>
    </row>
    <row r="6427">
      <c r="A6427" s="2"/>
      <c r="B6427" s="2"/>
      <c r="D6427" s="2"/>
      <c r="G6427" s="2"/>
    </row>
    <row r="6428">
      <c r="A6428" s="2"/>
      <c r="B6428" s="2"/>
      <c r="D6428" s="2"/>
      <c r="G6428" s="2"/>
    </row>
    <row r="6429">
      <c r="A6429" s="2"/>
      <c r="B6429" s="2"/>
      <c r="D6429" s="2"/>
      <c r="G6429" s="2"/>
    </row>
    <row r="6430">
      <c r="A6430" s="2"/>
      <c r="B6430" s="2"/>
      <c r="D6430" s="2"/>
      <c r="G6430" s="2"/>
    </row>
    <row r="6431">
      <c r="A6431" s="2"/>
      <c r="B6431" s="2"/>
      <c r="D6431" s="2"/>
      <c r="G6431" s="2"/>
    </row>
    <row r="6432">
      <c r="A6432" s="2"/>
      <c r="B6432" s="2"/>
      <c r="D6432" s="2"/>
      <c r="G6432" s="2"/>
    </row>
    <row r="6433">
      <c r="A6433" s="2"/>
      <c r="B6433" s="2"/>
      <c r="D6433" s="2"/>
      <c r="G6433" s="2"/>
    </row>
    <row r="6434">
      <c r="A6434" s="2"/>
      <c r="B6434" s="2"/>
      <c r="D6434" s="2"/>
      <c r="G6434" s="2"/>
    </row>
    <row r="6435">
      <c r="A6435" s="2"/>
      <c r="B6435" s="2"/>
      <c r="D6435" s="2"/>
      <c r="G6435" s="2"/>
    </row>
    <row r="6436">
      <c r="A6436" s="2"/>
      <c r="B6436" s="2"/>
      <c r="D6436" s="2"/>
      <c r="G6436" s="2"/>
    </row>
    <row r="6437">
      <c r="A6437" s="2"/>
      <c r="B6437" s="2"/>
      <c r="D6437" s="2"/>
      <c r="G6437" s="2"/>
    </row>
    <row r="6438">
      <c r="A6438" s="2"/>
      <c r="B6438" s="2"/>
      <c r="D6438" s="2"/>
      <c r="G6438" s="2"/>
    </row>
    <row r="6439">
      <c r="A6439" s="2"/>
      <c r="B6439" s="2"/>
      <c r="D6439" s="2"/>
      <c r="G6439" s="2"/>
    </row>
    <row r="6440">
      <c r="A6440" s="2"/>
      <c r="B6440" s="2"/>
      <c r="D6440" s="2"/>
      <c r="G6440" s="2"/>
    </row>
    <row r="6441">
      <c r="A6441" s="2"/>
      <c r="B6441" s="2"/>
      <c r="D6441" s="2"/>
      <c r="G6441" s="2"/>
    </row>
    <row r="6442">
      <c r="A6442" s="2"/>
      <c r="B6442" s="2"/>
      <c r="D6442" s="2"/>
      <c r="G6442" s="2"/>
    </row>
    <row r="6443">
      <c r="A6443" s="2"/>
      <c r="B6443" s="2"/>
      <c r="D6443" s="2"/>
      <c r="G6443" s="2"/>
    </row>
    <row r="6444">
      <c r="A6444" s="2"/>
      <c r="B6444" s="2"/>
      <c r="D6444" s="2"/>
      <c r="G6444" s="2"/>
    </row>
    <row r="6445">
      <c r="A6445" s="2"/>
      <c r="B6445" s="2"/>
      <c r="D6445" s="2"/>
      <c r="G6445" s="2"/>
    </row>
    <row r="6446">
      <c r="A6446" s="2"/>
      <c r="B6446" s="2"/>
      <c r="D6446" s="2"/>
      <c r="G6446" s="2"/>
    </row>
    <row r="6447">
      <c r="A6447" s="2"/>
      <c r="B6447" s="2"/>
      <c r="D6447" s="2"/>
      <c r="G6447" s="2"/>
    </row>
    <row r="6448">
      <c r="A6448" s="2"/>
      <c r="B6448" s="2"/>
      <c r="D6448" s="2"/>
      <c r="G6448" s="2"/>
    </row>
    <row r="6449">
      <c r="A6449" s="2"/>
      <c r="B6449" s="2"/>
      <c r="D6449" s="2"/>
      <c r="G6449" s="2"/>
    </row>
    <row r="6450">
      <c r="A6450" s="2"/>
      <c r="B6450" s="2"/>
      <c r="D6450" s="2"/>
      <c r="G6450" s="2"/>
    </row>
    <row r="6451">
      <c r="A6451" s="2"/>
      <c r="B6451" s="2"/>
      <c r="D6451" s="2"/>
      <c r="G6451" s="2"/>
    </row>
    <row r="6452">
      <c r="A6452" s="2"/>
      <c r="B6452" s="2"/>
      <c r="D6452" s="2"/>
      <c r="G6452" s="2"/>
    </row>
    <row r="6453">
      <c r="A6453" s="2"/>
      <c r="B6453" s="2"/>
      <c r="D6453" s="2"/>
      <c r="G6453" s="2"/>
    </row>
    <row r="6454">
      <c r="A6454" s="2"/>
      <c r="B6454" s="2"/>
      <c r="D6454" s="2"/>
      <c r="G6454" s="2"/>
    </row>
    <row r="6455">
      <c r="A6455" s="2"/>
      <c r="B6455" s="2"/>
      <c r="D6455" s="2"/>
      <c r="G6455" s="2"/>
    </row>
    <row r="6456">
      <c r="A6456" s="2"/>
      <c r="B6456" s="2"/>
      <c r="D6456" s="2"/>
      <c r="G6456" s="2"/>
    </row>
    <row r="6457">
      <c r="A6457" s="2"/>
      <c r="B6457" s="2"/>
      <c r="D6457" s="2"/>
      <c r="G6457" s="2"/>
    </row>
    <row r="6458">
      <c r="A6458" s="2"/>
      <c r="B6458" s="2"/>
      <c r="D6458" s="2"/>
      <c r="G6458" s="2"/>
    </row>
    <row r="6459">
      <c r="A6459" s="2"/>
      <c r="B6459" s="2"/>
      <c r="D6459" s="2"/>
      <c r="G6459" s="2"/>
    </row>
    <row r="6460">
      <c r="A6460" s="2"/>
      <c r="B6460" s="2"/>
      <c r="D6460" s="2"/>
      <c r="G6460" s="2"/>
    </row>
    <row r="6461">
      <c r="A6461" s="2"/>
      <c r="B6461" s="2"/>
      <c r="D6461" s="2"/>
      <c r="G6461" s="2"/>
    </row>
    <row r="6462">
      <c r="A6462" s="2"/>
      <c r="B6462" s="2"/>
      <c r="D6462" s="2"/>
      <c r="G6462" s="2"/>
    </row>
    <row r="6463">
      <c r="A6463" s="2"/>
      <c r="B6463" s="2"/>
      <c r="D6463" s="2"/>
      <c r="G6463" s="2"/>
    </row>
    <row r="6464">
      <c r="A6464" s="2"/>
      <c r="B6464" s="2"/>
      <c r="D6464" s="2"/>
      <c r="G6464" s="2"/>
    </row>
    <row r="6465">
      <c r="A6465" s="2"/>
      <c r="B6465" s="2"/>
      <c r="D6465" s="2"/>
      <c r="G6465" s="2"/>
    </row>
    <row r="6466">
      <c r="A6466" s="2"/>
      <c r="B6466" s="2"/>
      <c r="D6466" s="2"/>
      <c r="G6466" s="2"/>
    </row>
    <row r="6467">
      <c r="A6467" s="2"/>
      <c r="B6467" s="2"/>
      <c r="D6467" s="2"/>
      <c r="G6467" s="2"/>
    </row>
    <row r="6468">
      <c r="A6468" s="2"/>
      <c r="B6468" s="2"/>
      <c r="D6468" s="2"/>
      <c r="G6468" s="2"/>
    </row>
    <row r="6469">
      <c r="A6469" s="2"/>
      <c r="B6469" s="2"/>
      <c r="D6469" s="2"/>
      <c r="G6469" s="2"/>
    </row>
    <row r="6470">
      <c r="A6470" s="2"/>
      <c r="B6470" s="2"/>
      <c r="D6470" s="2"/>
      <c r="G6470" s="2"/>
    </row>
    <row r="6471">
      <c r="A6471" s="2"/>
      <c r="B6471" s="2"/>
      <c r="D6471" s="2"/>
      <c r="G6471" s="2"/>
    </row>
    <row r="6472">
      <c r="A6472" s="2"/>
      <c r="B6472" s="2"/>
      <c r="D6472" s="2"/>
      <c r="G6472" s="2"/>
    </row>
    <row r="6473">
      <c r="A6473" s="2"/>
      <c r="B6473" s="2"/>
      <c r="D6473" s="2"/>
      <c r="G6473" s="2"/>
    </row>
    <row r="6474">
      <c r="A6474" s="2"/>
      <c r="B6474" s="2"/>
      <c r="D6474" s="2"/>
      <c r="G6474" s="2"/>
    </row>
    <row r="6475">
      <c r="A6475" s="2"/>
      <c r="B6475" s="2"/>
      <c r="D6475" s="2"/>
      <c r="G6475" s="2"/>
    </row>
    <row r="6476">
      <c r="A6476" s="2"/>
      <c r="B6476" s="2"/>
      <c r="D6476" s="2"/>
      <c r="G6476" s="2"/>
    </row>
    <row r="6477">
      <c r="A6477" s="2"/>
      <c r="B6477" s="2"/>
      <c r="D6477" s="2"/>
      <c r="G6477" s="2"/>
    </row>
    <row r="6478">
      <c r="A6478" s="2"/>
      <c r="B6478" s="2"/>
      <c r="D6478" s="2"/>
      <c r="G6478" s="2"/>
    </row>
    <row r="6479">
      <c r="A6479" s="2"/>
      <c r="B6479" s="2"/>
      <c r="D6479" s="2"/>
      <c r="G6479" s="2"/>
    </row>
    <row r="6480">
      <c r="A6480" s="2"/>
      <c r="B6480" s="2"/>
      <c r="D6480" s="2"/>
      <c r="G6480" s="2"/>
    </row>
    <row r="6481">
      <c r="A6481" s="2"/>
      <c r="B6481" s="2"/>
      <c r="D6481" s="2"/>
      <c r="G6481" s="2"/>
    </row>
    <row r="6482">
      <c r="A6482" s="2"/>
      <c r="B6482" s="2"/>
      <c r="D6482" s="2"/>
      <c r="G6482" s="2"/>
    </row>
    <row r="6483">
      <c r="A6483" s="2"/>
      <c r="B6483" s="2"/>
      <c r="D6483" s="2"/>
      <c r="G6483" s="2"/>
    </row>
    <row r="6484">
      <c r="A6484" s="2"/>
      <c r="B6484" s="2"/>
      <c r="D6484" s="2"/>
      <c r="G6484" s="2"/>
    </row>
    <row r="6485">
      <c r="A6485" s="2"/>
      <c r="B6485" s="2"/>
      <c r="D6485" s="2"/>
      <c r="G6485" s="2"/>
    </row>
    <row r="6486">
      <c r="A6486" s="2"/>
      <c r="B6486" s="2"/>
      <c r="D6486" s="2"/>
      <c r="G6486" s="2"/>
    </row>
    <row r="6487">
      <c r="A6487" s="2"/>
      <c r="B6487" s="2"/>
      <c r="D6487" s="2"/>
      <c r="G6487" s="2"/>
    </row>
    <row r="6488">
      <c r="A6488" s="2"/>
      <c r="B6488" s="2"/>
      <c r="D6488" s="2"/>
      <c r="G6488" s="2"/>
    </row>
    <row r="6489">
      <c r="A6489" s="2"/>
      <c r="B6489" s="2"/>
      <c r="D6489" s="2"/>
      <c r="G6489" s="2"/>
    </row>
    <row r="6490">
      <c r="A6490" s="2"/>
      <c r="B6490" s="2"/>
      <c r="D6490" s="2"/>
      <c r="G6490" s="2"/>
    </row>
    <row r="6491">
      <c r="A6491" s="2"/>
      <c r="B6491" s="2"/>
      <c r="D6491" s="2"/>
      <c r="G6491" s="2"/>
    </row>
    <row r="6492">
      <c r="A6492" s="2"/>
      <c r="B6492" s="2"/>
      <c r="D6492" s="2"/>
      <c r="G6492" s="2"/>
    </row>
    <row r="6493">
      <c r="A6493" s="2"/>
      <c r="B6493" s="2"/>
      <c r="D6493" s="2"/>
      <c r="G6493" s="2"/>
    </row>
    <row r="6494">
      <c r="A6494" s="2"/>
      <c r="B6494" s="2"/>
      <c r="D6494" s="2"/>
      <c r="G6494" s="2"/>
    </row>
    <row r="6495">
      <c r="A6495" s="2"/>
      <c r="B6495" s="2"/>
      <c r="D6495" s="2"/>
      <c r="G6495" s="2"/>
    </row>
    <row r="6496">
      <c r="A6496" s="2"/>
      <c r="B6496" s="2"/>
      <c r="D6496" s="2"/>
      <c r="G6496" s="2"/>
    </row>
    <row r="6497">
      <c r="A6497" s="2"/>
      <c r="B6497" s="2"/>
      <c r="D6497" s="2"/>
      <c r="G6497" s="2"/>
    </row>
    <row r="6498">
      <c r="A6498" s="2"/>
      <c r="B6498" s="2"/>
      <c r="D6498" s="2"/>
      <c r="G6498" s="2"/>
    </row>
    <row r="6499">
      <c r="A6499" s="2"/>
      <c r="B6499" s="2"/>
      <c r="D6499" s="2"/>
      <c r="G6499" s="2"/>
    </row>
    <row r="6500">
      <c r="A6500" s="2"/>
      <c r="B6500" s="2"/>
      <c r="D6500" s="2"/>
      <c r="G6500" s="2"/>
    </row>
    <row r="6501">
      <c r="A6501" s="2"/>
      <c r="B6501" s="2"/>
      <c r="D6501" s="2"/>
      <c r="G6501" s="2"/>
    </row>
    <row r="6502">
      <c r="A6502" s="2"/>
      <c r="B6502" s="2"/>
      <c r="D6502" s="2"/>
      <c r="G6502" s="2"/>
    </row>
    <row r="6503">
      <c r="A6503" s="2"/>
      <c r="B6503" s="2"/>
      <c r="D6503" s="2"/>
      <c r="G6503" s="2"/>
    </row>
    <row r="6504">
      <c r="A6504" s="2"/>
      <c r="B6504" s="2"/>
      <c r="D6504" s="2"/>
      <c r="G6504" s="2"/>
    </row>
    <row r="6505">
      <c r="A6505" s="2"/>
      <c r="B6505" s="2"/>
      <c r="D6505" s="2"/>
      <c r="G6505" s="2"/>
    </row>
    <row r="6506">
      <c r="A6506" s="2"/>
      <c r="B6506" s="2"/>
      <c r="D6506" s="2"/>
      <c r="G6506" s="2"/>
    </row>
    <row r="6507">
      <c r="A6507" s="2"/>
      <c r="B6507" s="2"/>
      <c r="D6507" s="2"/>
      <c r="G6507" s="2"/>
    </row>
    <row r="6508">
      <c r="A6508" s="2"/>
      <c r="B6508" s="2"/>
      <c r="D6508" s="2"/>
      <c r="G6508" s="2"/>
    </row>
    <row r="6509">
      <c r="A6509" s="2"/>
      <c r="B6509" s="2"/>
      <c r="D6509" s="2"/>
      <c r="G6509" s="2"/>
    </row>
    <row r="6510">
      <c r="A6510" s="2"/>
      <c r="B6510" s="2"/>
      <c r="D6510" s="2"/>
      <c r="G6510" s="2"/>
    </row>
    <row r="6511">
      <c r="A6511" s="2"/>
      <c r="B6511" s="2"/>
      <c r="D6511" s="2"/>
      <c r="G6511" s="2"/>
    </row>
    <row r="6512">
      <c r="A6512" s="2"/>
      <c r="B6512" s="2"/>
      <c r="D6512" s="2"/>
      <c r="G6512" s="2"/>
    </row>
    <row r="6513">
      <c r="A6513" s="2"/>
      <c r="B6513" s="2"/>
      <c r="D6513" s="2"/>
      <c r="G6513" s="2"/>
    </row>
    <row r="6514">
      <c r="A6514" s="2"/>
      <c r="B6514" s="2"/>
      <c r="D6514" s="2"/>
      <c r="G6514" s="2"/>
    </row>
    <row r="6515">
      <c r="A6515" s="2"/>
      <c r="B6515" s="2"/>
      <c r="D6515" s="2"/>
      <c r="G6515" s="2"/>
    </row>
    <row r="6516">
      <c r="A6516" s="2"/>
      <c r="B6516" s="2"/>
      <c r="D6516" s="2"/>
      <c r="G6516" s="2"/>
    </row>
    <row r="6517">
      <c r="A6517" s="2"/>
      <c r="B6517" s="2"/>
      <c r="D6517" s="2"/>
      <c r="G6517" s="2"/>
    </row>
    <row r="6518">
      <c r="A6518" s="2"/>
      <c r="B6518" s="2"/>
      <c r="D6518" s="2"/>
      <c r="G6518" s="2"/>
    </row>
    <row r="6519">
      <c r="A6519" s="2"/>
      <c r="B6519" s="2"/>
      <c r="D6519" s="2"/>
      <c r="G6519" s="2"/>
    </row>
    <row r="6520">
      <c r="A6520" s="2"/>
      <c r="B6520" s="2"/>
      <c r="D6520" s="2"/>
      <c r="G6520" s="2"/>
    </row>
    <row r="6521">
      <c r="A6521" s="2"/>
      <c r="B6521" s="2"/>
      <c r="D6521" s="2"/>
      <c r="G6521" s="2"/>
    </row>
    <row r="6522">
      <c r="A6522" s="2"/>
      <c r="B6522" s="2"/>
      <c r="D6522" s="2"/>
      <c r="G6522" s="2"/>
    </row>
    <row r="6523">
      <c r="A6523" s="2"/>
      <c r="B6523" s="2"/>
      <c r="D6523" s="2"/>
      <c r="G6523" s="2"/>
    </row>
    <row r="6524">
      <c r="A6524" s="2"/>
      <c r="B6524" s="2"/>
      <c r="D6524" s="2"/>
      <c r="G6524" s="2"/>
    </row>
    <row r="6525">
      <c r="A6525" s="2"/>
      <c r="B6525" s="2"/>
      <c r="D6525" s="2"/>
      <c r="G6525" s="2"/>
    </row>
    <row r="6526">
      <c r="A6526" s="2"/>
      <c r="B6526" s="2"/>
      <c r="D6526" s="2"/>
      <c r="G6526" s="2"/>
    </row>
    <row r="6527">
      <c r="A6527" s="2"/>
      <c r="B6527" s="2"/>
      <c r="D6527" s="2"/>
      <c r="G6527" s="2"/>
    </row>
    <row r="6528">
      <c r="A6528" s="2"/>
      <c r="B6528" s="2"/>
      <c r="D6528" s="2"/>
      <c r="G6528" s="2"/>
    </row>
    <row r="6529">
      <c r="A6529" s="2"/>
      <c r="B6529" s="2"/>
      <c r="D6529" s="2"/>
      <c r="G6529" s="2"/>
    </row>
    <row r="6530">
      <c r="A6530" s="2"/>
      <c r="B6530" s="2"/>
      <c r="D6530" s="2"/>
      <c r="G6530" s="2"/>
    </row>
    <row r="6531">
      <c r="A6531" s="2"/>
      <c r="B6531" s="2"/>
      <c r="D6531" s="2"/>
      <c r="G6531" s="2"/>
    </row>
    <row r="6532">
      <c r="A6532" s="2"/>
      <c r="B6532" s="2"/>
      <c r="D6532" s="2"/>
      <c r="G6532" s="2"/>
    </row>
    <row r="6533">
      <c r="A6533" s="2"/>
      <c r="B6533" s="2"/>
      <c r="D6533" s="2"/>
      <c r="G6533" s="2"/>
    </row>
    <row r="6534">
      <c r="A6534" s="2"/>
      <c r="B6534" s="2"/>
      <c r="D6534" s="2"/>
      <c r="G6534" s="2"/>
    </row>
    <row r="6535">
      <c r="A6535" s="2"/>
      <c r="B6535" s="2"/>
      <c r="D6535" s="2"/>
      <c r="G6535" s="2"/>
    </row>
    <row r="6536">
      <c r="A6536" s="2"/>
      <c r="B6536" s="2"/>
      <c r="D6536" s="2"/>
      <c r="G6536" s="2"/>
    </row>
    <row r="6537">
      <c r="A6537" s="2"/>
      <c r="B6537" s="2"/>
      <c r="D6537" s="2"/>
      <c r="G6537" s="2"/>
    </row>
    <row r="6538">
      <c r="A6538" s="2"/>
      <c r="B6538" s="2"/>
      <c r="D6538" s="2"/>
      <c r="G6538" s="2"/>
    </row>
    <row r="6539">
      <c r="A6539" s="2"/>
      <c r="B6539" s="2"/>
      <c r="D6539" s="2"/>
      <c r="G6539" s="2"/>
    </row>
    <row r="6540">
      <c r="A6540" s="2"/>
      <c r="B6540" s="2"/>
      <c r="D6540" s="2"/>
      <c r="G6540" s="2"/>
    </row>
    <row r="6541">
      <c r="A6541" s="2"/>
      <c r="B6541" s="2"/>
      <c r="D6541" s="2"/>
      <c r="G6541" s="2"/>
    </row>
    <row r="6542">
      <c r="A6542" s="2"/>
      <c r="B6542" s="2"/>
      <c r="D6542" s="2"/>
      <c r="G6542" s="2"/>
    </row>
    <row r="6543">
      <c r="A6543" s="2"/>
      <c r="B6543" s="2"/>
      <c r="D6543" s="2"/>
      <c r="G6543" s="2"/>
    </row>
    <row r="6544">
      <c r="A6544" s="2"/>
      <c r="B6544" s="2"/>
      <c r="D6544" s="2"/>
      <c r="G6544" s="2"/>
    </row>
    <row r="6545">
      <c r="A6545" s="2"/>
      <c r="B6545" s="2"/>
      <c r="D6545" s="2"/>
      <c r="G6545" s="2"/>
    </row>
    <row r="6546">
      <c r="A6546" s="2"/>
      <c r="B6546" s="2"/>
      <c r="D6546" s="2"/>
      <c r="G6546" s="2"/>
    </row>
    <row r="6547">
      <c r="A6547" s="2"/>
      <c r="B6547" s="2"/>
      <c r="D6547" s="2"/>
      <c r="G6547" s="2"/>
    </row>
    <row r="6548">
      <c r="A6548" s="2"/>
      <c r="B6548" s="2"/>
      <c r="D6548" s="2"/>
      <c r="G6548" s="2"/>
    </row>
    <row r="6549">
      <c r="A6549" s="2"/>
      <c r="B6549" s="2"/>
      <c r="D6549" s="2"/>
      <c r="G6549" s="2"/>
    </row>
    <row r="6550">
      <c r="A6550" s="2"/>
      <c r="B6550" s="2"/>
      <c r="D6550" s="2"/>
      <c r="G6550" s="2"/>
    </row>
    <row r="6551">
      <c r="A6551" s="2"/>
      <c r="B6551" s="2"/>
      <c r="D6551" s="2"/>
      <c r="G6551" s="2"/>
    </row>
    <row r="6552">
      <c r="A6552" s="2"/>
      <c r="B6552" s="2"/>
      <c r="D6552" s="2"/>
      <c r="G6552" s="2"/>
    </row>
    <row r="6553">
      <c r="A6553" s="2"/>
      <c r="B6553" s="2"/>
      <c r="D6553" s="2"/>
      <c r="G6553" s="2"/>
    </row>
    <row r="6554">
      <c r="A6554" s="2"/>
      <c r="B6554" s="2"/>
      <c r="D6554" s="2"/>
      <c r="G6554" s="2"/>
    </row>
    <row r="6555">
      <c r="A6555" s="2"/>
      <c r="B6555" s="2"/>
      <c r="D6555" s="2"/>
      <c r="G6555" s="2"/>
    </row>
    <row r="6556">
      <c r="A6556" s="2"/>
      <c r="B6556" s="2"/>
      <c r="D6556" s="2"/>
      <c r="G6556" s="2"/>
    </row>
    <row r="6557">
      <c r="A6557" s="2"/>
      <c r="B6557" s="2"/>
      <c r="D6557" s="2"/>
      <c r="G6557" s="2"/>
    </row>
    <row r="6558">
      <c r="A6558" s="2"/>
      <c r="B6558" s="2"/>
      <c r="D6558" s="2"/>
      <c r="G6558" s="2"/>
    </row>
    <row r="6559">
      <c r="A6559" s="2"/>
      <c r="B6559" s="2"/>
      <c r="D6559" s="2"/>
      <c r="G6559" s="2"/>
    </row>
    <row r="6560">
      <c r="A6560" s="2"/>
      <c r="B6560" s="2"/>
      <c r="D6560" s="2"/>
      <c r="G6560" s="2"/>
    </row>
    <row r="6561">
      <c r="A6561" s="2"/>
      <c r="B6561" s="2"/>
      <c r="D6561" s="2"/>
      <c r="G6561" s="2"/>
    </row>
    <row r="6562">
      <c r="A6562" s="2"/>
      <c r="B6562" s="2"/>
      <c r="D6562" s="2"/>
      <c r="G6562" s="2"/>
    </row>
    <row r="6563">
      <c r="A6563" s="2"/>
      <c r="B6563" s="2"/>
      <c r="D6563" s="2"/>
      <c r="G6563" s="2"/>
    </row>
    <row r="6564">
      <c r="A6564" s="2"/>
      <c r="B6564" s="2"/>
      <c r="D6564" s="2"/>
      <c r="G6564" s="2"/>
    </row>
    <row r="6565">
      <c r="A6565" s="2"/>
      <c r="B6565" s="2"/>
      <c r="D6565" s="2"/>
      <c r="G6565" s="2"/>
    </row>
    <row r="6566">
      <c r="A6566" s="2"/>
      <c r="B6566" s="2"/>
      <c r="D6566" s="2"/>
      <c r="G6566" s="2"/>
    </row>
    <row r="6567">
      <c r="A6567" s="2"/>
      <c r="B6567" s="2"/>
      <c r="D6567" s="2"/>
      <c r="G6567" s="2"/>
    </row>
    <row r="6568">
      <c r="A6568" s="2"/>
      <c r="B6568" s="2"/>
      <c r="D6568" s="2"/>
      <c r="G6568" s="2"/>
    </row>
    <row r="6569">
      <c r="A6569" s="2"/>
      <c r="B6569" s="2"/>
      <c r="D6569" s="2"/>
      <c r="G6569" s="2"/>
    </row>
    <row r="6570">
      <c r="A6570" s="2"/>
      <c r="B6570" s="2"/>
      <c r="D6570" s="2"/>
      <c r="G6570" s="2"/>
    </row>
    <row r="6571">
      <c r="A6571" s="2"/>
      <c r="B6571" s="2"/>
      <c r="D6571" s="2"/>
      <c r="G6571" s="2"/>
    </row>
    <row r="6572">
      <c r="A6572" s="2"/>
      <c r="B6572" s="2"/>
      <c r="D6572" s="2"/>
      <c r="G6572" s="2"/>
    </row>
    <row r="6573">
      <c r="A6573" s="2"/>
      <c r="B6573" s="2"/>
      <c r="D6573" s="2"/>
      <c r="G6573" s="2"/>
    </row>
    <row r="6574">
      <c r="A6574" s="2"/>
      <c r="B6574" s="2"/>
      <c r="D6574" s="2"/>
      <c r="G6574" s="2"/>
    </row>
    <row r="6575">
      <c r="A6575" s="2"/>
      <c r="B6575" s="2"/>
      <c r="D6575" s="2"/>
      <c r="G6575" s="2"/>
    </row>
    <row r="6576">
      <c r="A6576" s="2"/>
      <c r="B6576" s="2"/>
      <c r="D6576" s="2"/>
      <c r="G6576" s="2"/>
    </row>
    <row r="6577">
      <c r="A6577" s="2"/>
      <c r="B6577" s="2"/>
      <c r="D6577" s="2"/>
      <c r="G6577" s="2"/>
    </row>
    <row r="6578">
      <c r="A6578" s="2"/>
      <c r="B6578" s="2"/>
      <c r="D6578" s="2"/>
      <c r="G6578" s="2"/>
    </row>
    <row r="6579">
      <c r="A6579" s="2"/>
      <c r="B6579" s="2"/>
      <c r="D6579" s="2"/>
      <c r="G6579" s="2"/>
    </row>
    <row r="6580">
      <c r="A6580" s="2"/>
      <c r="B6580" s="2"/>
      <c r="D6580" s="2"/>
      <c r="G6580" s="2"/>
    </row>
    <row r="6581">
      <c r="A6581" s="2"/>
      <c r="B6581" s="2"/>
      <c r="D6581" s="2"/>
      <c r="G6581" s="2"/>
    </row>
    <row r="6582">
      <c r="A6582" s="2"/>
      <c r="B6582" s="2"/>
      <c r="D6582" s="2"/>
      <c r="G6582" s="2"/>
    </row>
    <row r="6583">
      <c r="A6583" s="2"/>
      <c r="B6583" s="2"/>
      <c r="D6583" s="2"/>
      <c r="G6583" s="2"/>
    </row>
    <row r="6584">
      <c r="A6584" s="2"/>
      <c r="B6584" s="2"/>
      <c r="D6584" s="2"/>
      <c r="G6584" s="2"/>
    </row>
    <row r="6585">
      <c r="A6585" s="2"/>
      <c r="B6585" s="2"/>
      <c r="D6585" s="2"/>
      <c r="G6585" s="2"/>
    </row>
    <row r="6586">
      <c r="A6586" s="2"/>
      <c r="B6586" s="2"/>
      <c r="D6586" s="2"/>
      <c r="G6586" s="2"/>
    </row>
    <row r="6587">
      <c r="A6587" s="2"/>
      <c r="B6587" s="2"/>
      <c r="D6587" s="2"/>
      <c r="G6587" s="2"/>
    </row>
    <row r="6588">
      <c r="A6588" s="2"/>
      <c r="B6588" s="2"/>
      <c r="D6588" s="2"/>
      <c r="G6588" s="2"/>
    </row>
    <row r="6589">
      <c r="A6589" s="2"/>
      <c r="B6589" s="2"/>
      <c r="D6589" s="2"/>
      <c r="G6589" s="2"/>
    </row>
    <row r="6590">
      <c r="A6590" s="2"/>
      <c r="B6590" s="2"/>
      <c r="D6590" s="2"/>
      <c r="G6590" s="2"/>
    </row>
    <row r="6591">
      <c r="A6591" s="2"/>
      <c r="B6591" s="2"/>
      <c r="D6591" s="2"/>
      <c r="G6591" s="2"/>
    </row>
    <row r="6592">
      <c r="A6592" s="2"/>
      <c r="B6592" s="2"/>
      <c r="D6592" s="2"/>
      <c r="G6592" s="2"/>
    </row>
    <row r="6593">
      <c r="A6593" s="2"/>
      <c r="B6593" s="2"/>
      <c r="D6593" s="2"/>
      <c r="G6593" s="2"/>
    </row>
    <row r="6594">
      <c r="A6594" s="2"/>
      <c r="B6594" s="2"/>
      <c r="D6594" s="2"/>
      <c r="G6594" s="2"/>
    </row>
    <row r="6595">
      <c r="A6595" s="2"/>
      <c r="B6595" s="2"/>
      <c r="D6595" s="2"/>
      <c r="G6595" s="2"/>
    </row>
    <row r="6596">
      <c r="A6596" s="2"/>
      <c r="B6596" s="2"/>
      <c r="D6596" s="2"/>
      <c r="G6596" s="2"/>
    </row>
    <row r="6597">
      <c r="A6597" s="2"/>
      <c r="B6597" s="2"/>
      <c r="D6597" s="2"/>
      <c r="G6597" s="2"/>
    </row>
    <row r="6598">
      <c r="A6598" s="2"/>
      <c r="B6598" s="2"/>
      <c r="D6598" s="2"/>
      <c r="G6598" s="2"/>
    </row>
    <row r="6599">
      <c r="A6599" s="2"/>
      <c r="B6599" s="2"/>
      <c r="D6599" s="2"/>
      <c r="G6599" s="2"/>
    </row>
    <row r="6600">
      <c r="A6600" s="2"/>
      <c r="B6600" s="2"/>
      <c r="D6600" s="2"/>
      <c r="G6600" s="2"/>
    </row>
    <row r="6601">
      <c r="A6601" s="2"/>
      <c r="B6601" s="2"/>
      <c r="D6601" s="2"/>
      <c r="G6601" s="2"/>
    </row>
    <row r="6602">
      <c r="A6602" s="2"/>
      <c r="B6602" s="2"/>
      <c r="D6602" s="2"/>
      <c r="G6602" s="2"/>
    </row>
    <row r="6603">
      <c r="A6603" s="2"/>
      <c r="B6603" s="2"/>
      <c r="D6603" s="2"/>
      <c r="G6603" s="2"/>
    </row>
    <row r="6604">
      <c r="A6604" s="2"/>
      <c r="B6604" s="2"/>
      <c r="D6604" s="2"/>
      <c r="G6604" s="2"/>
    </row>
    <row r="6605">
      <c r="A6605" s="2"/>
      <c r="B6605" s="2"/>
      <c r="D6605" s="2"/>
      <c r="G6605" s="2"/>
    </row>
    <row r="6606">
      <c r="A6606" s="2"/>
      <c r="B6606" s="2"/>
      <c r="D6606" s="2"/>
      <c r="G6606" s="2"/>
    </row>
    <row r="6607">
      <c r="A6607" s="2"/>
      <c r="B6607" s="2"/>
      <c r="D6607" s="2"/>
      <c r="G6607" s="2"/>
    </row>
    <row r="6608">
      <c r="A6608" s="2"/>
      <c r="B6608" s="2"/>
      <c r="D6608" s="2"/>
      <c r="G6608" s="2"/>
    </row>
    <row r="6609">
      <c r="A6609" s="2"/>
      <c r="B6609" s="2"/>
      <c r="D6609" s="2"/>
      <c r="G6609" s="2"/>
    </row>
    <row r="6610">
      <c r="A6610" s="2"/>
      <c r="B6610" s="2"/>
      <c r="D6610" s="2"/>
      <c r="G6610" s="2"/>
    </row>
    <row r="6611">
      <c r="A6611" s="2"/>
      <c r="B6611" s="2"/>
      <c r="D6611" s="2"/>
      <c r="G6611" s="2"/>
    </row>
  </sheetData>
  <hyperlinks>
    <hyperlink r:id="rId1" ref="B3017"/>
    <hyperlink r:id="rId2" ref="B3019"/>
    <hyperlink r:id="rId3" ref="B3021"/>
    <hyperlink r:id="rId4" ref="B3024"/>
    <hyperlink r:id="rId5" ref="B3025"/>
    <hyperlink r:id="rId6" ref="B3026"/>
    <hyperlink r:id="rId7" ref="B3027"/>
    <hyperlink r:id="rId8" ref="B3029"/>
    <hyperlink r:id="rId9" ref="B3033"/>
    <hyperlink r:id="rId10" ref="B3038"/>
    <hyperlink r:id="rId11" ref="B3039"/>
    <hyperlink r:id="rId12" ref="B3041"/>
    <hyperlink r:id="rId13" ref="B3042"/>
    <hyperlink r:id="rId14" ref="B3043"/>
    <hyperlink r:id="rId15" ref="B3044"/>
    <hyperlink r:id="rId16" ref="B3048"/>
    <hyperlink r:id="rId17" ref="B3049"/>
    <hyperlink r:id="rId18" ref="B3051"/>
    <hyperlink r:id="rId19" ref="B3053"/>
    <hyperlink r:id="rId20" ref="B3054"/>
    <hyperlink r:id="rId21" ref="B3055"/>
    <hyperlink r:id="rId22" ref="B3056"/>
    <hyperlink r:id="rId23" ref="B3059"/>
    <hyperlink r:id="rId24" ref="B3060"/>
    <hyperlink r:id="rId25" ref="B3061"/>
    <hyperlink r:id="rId26" ref="B3063"/>
    <hyperlink r:id="rId27" ref="B3067"/>
    <hyperlink r:id="rId28" ref="B3070"/>
    <hyperlink r:id="rId29" ref="B3071"/>
    <hyperlink r:id="rId30" ref="B3072"/>
    <hyperlink r:id="rId31" ref="B3074"/>
    <hyperlink r:id="rId32" ref="B3076"/>
    <hyperlink r:id="rId33" ref="B3077"/>
    <hyperlink r:id="rId34" ref="B3082"/>
    <hyperlink r:id="rId35" ref="B3083"/>
    <hyperlink r:id="rId36" ref="B3084"/>
    <hyperlink r:id="rId37" ref="B3085"/>
    <hyperlink r:id="rId38" ref="B3086"/>
    <hyperlink r:id="rId39" ref="B3091"/>
    <hyperlink r:id="rId40" ref="B3093"/>
  </hyperlinks>
  <drawing r:id="rId41"/>
</worksheet>
</file>
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call Analysis" sheetId="1" state="visible" r:id="rId3"/>
    <sheet name="Categorizations" sheetId="2" state="visible" r:id="rId4"/>
    <sheet name="Pesticides" sheetId="3" state="visible" r:id="rId5"/>
    <sheet name="Explode Multiple Categorization" sheetId="4" state="visible" r:id="rId6"/>
    <sheet name="Heavy Metals" sheetId="5" state="visible" r:id="rId7"/>
  </sheets>
  <externalReferences>
    <externalReference r:id="rId8"/>
  </externalReferenc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tc={273cfd50-d327-4fdb-94ce-3b78309a8042}</author>
    <author>tc={5a0a2fc0-985e-4b31-b945-9300111414e4}</author>
    <author>tc={bdf683d1-2d12-43e6-bf0e-1eaafe1cf63e}</author>
    <author>tc={dc73f1f0-8ab3-45fe-8555-317db00f9dc4}</author>
  </authors>
  <commentList>
    <comment ref="B1" authorId="1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Often, businesses take a recall action before the state does, and this field contains that information when available.
</t>
        </r>
      </text>
    </comment>
    <comment ref="C1" authorId="3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Recall Announcement Date
</t>
        </r>
      </text>
    </comment>
    <comment ref="E1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Web Link
</t>
        </r>
      </text>
    </comment>
    <comment ref="G1" authorId="2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 contains Type Mandatory Vs. Voluntary when available (shady when not done in the public view or hidden) and 'Medical Cannabis Advisory' vs. 'Adult Use Recall' from Maine.
</t>
        </r>
      </text>
    </comment>
  </commentList>
</comments>
</file>

<file path=xl/sharedStrings.xml><?xml version="1.0" encoding="utf-8"?>
<sst xmlns="http://schemas.openxmlformats.org/spreadsheetml/2006/main" count="7643" uniqueCount="2022">
  <si>
    <t xml:space="preserve">ID</t>
  </si>
  <si>
    <t xml:space="preserve">Business Recall Date</t>
  </si>
  <si>
    <t xml:space="preserve">Reg Recall Ann</t>
  </si>
  <si>
    <t xml:space="preserve">State</t>
  </si>
  <si>
    <t xml:space="preserve">Link</t>
  </si>
  <si>
    <t xml:space="preserve">Web Archive Link</t>
  </si>
  <si>
    <t xml:space="preserve">Type</t>
  </si>
  <si>
    <t xml:space="preserve">Product Type</t>
  </si>
  <si>
    <t xml:space="preserve">Brand Name / Product Name</t>
  </si>
  <si>
    <t xml:space="preserve">Company / Producer</t>
  </si>
  <si>
    <t xml:space="preserve">Lab</t>
  </si>
  <si>
    <t xml:space="preserve">MSO</t>
  </si>
  <si>
    <t xml:space="preserve">Dated?</t>
  </si>
  <si>
    <t xml:space="preserve">Harvest or Package Date</t>
  </si>
  <si>
    <t xml:space="preserve">Sale Date</t>
  </si>
  <si>
    <t xml:space="preserve">Reason</t>
  </si>
  <si>
    <t xml:space="preserve">Source</t>
  </si>
  <si>
    <t xml:space="preserve">Category</t>
  </si>
  <si>
    <t xml:space="preserve">Tight Category</t>
  </si>
  <si>
    <t xml:space="preserve">43781AlaskaCalm N Collective, LLC</t>
  </si>
  <si>
    <t xml:space="preserve">Alaska</t>
  </si>
  <si>
    <t xml:space="preserve">https://web.archive.org/web/20230619022017/https://www.commerce.alaska.gov/web/Portals/9/pub/MCB/Minutes/2020/01.23/Tab6.pdf#page=7#page=7</t>
  </si>
  <si>
    <t xml:space="preserve">Mandatory</t>
  </si>
  <si>
    <t xml:space="preserve">Unspecified</t>
  </si>
  <si>
    <t xml:space="preserve">Calm N Collective</t>
  </si>
  <si>
    <t xml:space="preserve">Calm N Collective, LLC</t>
  </si>
  <si>
    <t xml:space="preserve">N</t>
  </si>
  <si>
    <t xml:space="preserve">Clonex, Root Pac, Big Time Exterminator, Super Thrive</t>
  </si>
  <si>
    <t xml:space="preserve">State Page</t>
  </si>
  <si>
    <t xml:space="preserve">44988AlaskaWill’s World Extracts</t>
  </si>
  <si>
    <t xml:space="preserve">https://web.archive.org/web/20250719042132/https://www.commerce.alaska.gov/web/Portals/9/pub/HomePage/Press%20Release/Director%20Advisory.administrativehold.3.2.23.final%20(2).pdf</t>
  </si>
  <si>
    <t xml:space="preserve">Concentrates</t>
  </si>
  <si>
    <t xml:space="preserve">All marijuana concentrates in any form and infused joints manufactured by Will’s World Extracts,</t>
  </si>
  <si>
    <t xml:space="preserve">Will’s World Extracts</t>
  </si>
  <si>
    <t xml:space="preserve">unregistered and unlicensed THC concentrates</t>
  </si>
  <si>
    <t xml:space="preserve">State Recall Page</t>
  </si>
  <si>
    <t xml:space="preserve">Arizona</t>
  </si>
  <si>
    <t xml:space="preserve">https://web.archive.org/web/20260000000000*/https://www.azdhs.gov/director/public-information-office/index.php#news-release-062321</t>
  </si>
  <si>
    <t xml:space="preserve">Voluntary</t>
  </si>
  <si>
    <t xml:space="preserve">Flower</t>
  </si>
  <si>
    <t xml:space="preserve">Harvest Platinum 14g Pre Pack Indica Flower (Glazed Apricot Gelato)</t>
  </si>
  <si>
    <t xml:space="preserve">Harvest Platinum</t>
  </si>
  <si>
    <t xml:space="preserve">C</t>
  </si>
  <si>
    <t xml:space="preserve">Salmonella</t>
  </si>
  <si>
    <t xml:space="preserve">44370Harvest Platinum 2</t>
  </si>
  <si>
    <t xml:space="preserve">https://www.azdhs.gov/director/public-information-office/index.php#news-release-062321</t>
  </si>
  <si>
    <t xml:space="preserve">Harvest Platinum  14g Pre Pack Sativa Flower (Tiger Haze)</t>
  </si>
  <si>
    <t xml:space="preserve">Aspergillus</t>
  </si>
  <si>
    <t xml:space="preserve">Modern Flower 3.5g Pre Pack Indica Flower (Orange Acai)</t>
  </si>
  <si>
    <t xml:space="preserve">Modern Flower</t>
  </si>
  <si>
    <t xml:space="preserve">Aspergillus sp.</t>
  </si>
  <si>
    <t xml:space="preserve">Sol Flower Dispensaries and Establishments Tahiti Lime</t>
  </si>
  <si>
    <t xml:space="preserve">Sol Flower</t>
  </si>
  <si>
    <t xml:space="preserve">EHF (Elephant Head Farms) HAT Trick #17 Flower</t>
  </si>
  <si>
    <t xml:space="preserve">EHF</t>
  </si>
  <si>
    <t xml:space="preserve">Pre-Roll</t>
  </si>
  <si>
    <t xml:space="preserve">Mohave Cannabis Preroll</t>
  </si>
  <si>
    <t xml:space="preserve">Mohave</t>
  </si>
  <si>
    <t xml:space="preserve">Tru Infusion Flower Caked Up Cherries</t>
  </si>
  <si>
    <t xml:space="preserve">Tru Infusion</t>
  </si>
  <si>
    <t xml:space="preserve">Flower, Pre-Roll</t>
  </si>
  <si>
    <t xml:space="preserve">The Pharm Chemistry #1 (HD 3/24/21)</t>
  </si>
  <si>
    <t xml:space="preserve">Pharm Chemistry</t>
  </si>
  <si>
    <t xml:space="preserve">44511ArizonaBaked Bros / Toasted</t>
  </si>
  <si>
    <t xml:space="preserve">https://www.azdhs.gov/director/public-information-office/index.php#news-release-111121</t>
  </si>
  <si>
    <t xml:space="preserve">Baked Bros</t>
  </si>
  <si>
    <t xml:space="preserve">44511ArizonaToasted</t>
  </si>
  <si>
    <t xml:space="preserve">Distillate</t>
  </si>
  <si>
    <t xml:space="preserve">Toasted</t>
  </si>
  <si>
    <t xml:space="preserve">44875ArizonaPP Wellness</t>
  </si>
  <si>
    <t xml:space="preserve">https://www.azdhs.gov/director/public-information-office/index.php#news-release-111022</t>
  </si>
  <si>
    <t xml:space="preserve">PP Wellness El Alquimista</t>
  </si>
  <si>
    <t xml:space="preserve">PP Wellness</t>
  </si>
  <si>
    <t xml:space="preserve">44875ArizonaPP Wellness2</t>
  </si>
  <si>
    <t xml:space="preserve">PP Wellness Tangie Head</t>
  </si>
  <si>
    <t xml:space="preserve">44875ArizonaPP Wellness3</t>
  </si>
  <si>
    <t xml:space="preserve">PP Wellness Nasty Girl</t>
  </si>
  <si>
    <t xml:space="preserve">44875ArizonaPP Wellness4</t>
  </si>
  <si>
    <t xml:space="preserve">PP Wellness The Juice</t>
  </si>
  <si>
    <t xml:space="preserve">44875ArizonaPP Wellness5</t>
  </si>
  <si>
    <t xml:space="preserve">PP Wellness Gorilla Grapevine</t>
  </si>
  <si>
    <t xml:space="preserve">44875ArizonaPP Wellness6</t>
  </si>
  <si>
    <t xml:space="preserve">AZDHS | Financial Services</t>
  </si>
  <si>
    <t xml:space="preserve">https://www.azdhs.gov/policy-intergovernmental-affairs/index.php#news-release-032123</t>
  </si>
  <si>
    <t xml:space="preserve">Muddy Waters</t>
  </si>
  <si>
    <t xml:space="preserve">Source One Meds</t>
  </si>
  <si>
    <t xml:space="preserve">https://www.azdhs.gov/director/public-information-office/index.php#news-release-032123</t>
  </si>
  <si>
    <t xml:space="preserve">Mango Sunrise</t>
  </si>
  <si>
    <t xml:space="preserve">Nature’s Wonder</t>
  </si>
  <si>
    <t xml:space="preserve">Blood Oath</t>
  </si>
  <si>
    <t xml:space="preserve">Potent Planet</t>
  </si>
  <si>
    <t xml:space="preserve">Jenny Kush</t>
  </si>
  <si>
    <t xml:space="preserve">Deep Root pHarm</t>
  </si>
  <si>
    <t xml:space="preserve">Big Mac</t>
  </si>
  <si>
    <t xml:space="preserve">45079ArizonaTruinfusion</t>
  </si>
  <si>
    <t xml:space="preserve">https://www.azdhs.gov/policy-intergovernmental-affairs/index.php#news-release-060223</t>
  </si>
  <si>
    <t xml:space="preserve">Truinfusion Zombie Cookies</t>
  </si>
  <si>
    <t xml:space="preserve">Truinfusion</t>
  </si>
  <si>
    <t xml:space="preserve">45079ArizonaTruinfusion2</t>
  </si>
  <si>
    <t xml:space="preserve">Truinfusion Peach Gas</t>
  </si>
  <si>
    <t xml:space="preserve">https://www.azdhs.gov/policy-intergovernmental-affairs/index.php#news-release-072423</t>
  </si>
  <si>
    <t xml:space="preserve">Grow Sciences Divinity</t>
  </si>
  <si>
    <t xml:space="preserve">Grow Sciences</t>
  </si>
  <si>
    <t xml:space="preserve">Y</t>
  </si>
  <si>
    <t xml:space="preserve">Grow Sciences MAC</t>
  </si>
  <si>
    <t xml:space="preserve">Soothing Options Gelato 41</t>
  </si>
  <si>
    <t xml:space="preserve">Soothing Options</t>
  </si>
  <si>
    <t xml:space="preserve">https://www.azdhs.gov/policy-intergovernmental-affairs/index.php#news-release-080723</t>
  </si>
  <si>
    <t xml:space="preserve">Nirvana Center Cloud 9 Gummies (Grape)</t>
  </si>
  <si>
    <t xml:space="preserve">Nirvana Center</t>
  </si>
  <si>
    <t xml:space="preserve">https://www.azdhs.gov/policy-intergovernmental-affairs/index.php#news-release-082323</t>
  </si>
  <si>
    <t xml:space="preserve">Grow Sciences Tropicana Punch</t>
  </si>
  <si>
    <t xml:space="preserve">https://www.azdhs.gov/policy-intergovernmental-affairs/index.php#news-release-102023</t>
  </si>
  <si>
    <t xml:space="preserve">Curaleaf  MnC</t>
  </si>
  <si>
    <t xml:space="preserve">Curaleaf</t>
  </si>
  <si>
    <t xml:space="preserve">https://www.azdhs.gov/policy-intergovernmental-affairs/index.php#news-release-110923</t>
  </si>
  <si>
    <t xml:space="preserve">Concentrate</t>
  </si>
  <si>
    <t xml:space="preserve">GLOBE FARMACY INC. EX LR GUAVA MAC</t>
  </si>
  <si>
    <t xml:space="preserve">GLOBE FARMACY INC.</t>
  </si>
  <si>
    <t xml:space="preserve">GLOBE FARMACY INC. EX LHR ORZ</t>
  </si>
  <si>
    <t xml:space="preserve">https://www.azdhs.gov/policy-intergovernmental-affairs/index.php#news-release-112723</t>
  </si>
  <si>
    <t xml:space="preserve">Nirvana Center Grim Reefer</t>
  </si>
  <si>
    <t xml:space="preserve">https://www.azdhs.gov/policy-intergovernmental-affairs/index.php#news-release-050624</t>
  </si>
  <si>
    <t xml:space="preserve">The Flower Shop</t>
  </si>
  <si>
    <t xml:space="preserve">https://www.azdhs.gov/documents/policy-intergovernmental-affairs/public-information/news-releases/news-release-for-recall-7-10-24.pdf</t>
  </si>
  <si>
    <t xml:space="preserve">DIME Mint OG</t>
  </si>
  <si>
    <t xml:space="preserve">Nature’s Wonder Inc</t>
  </si>
  <si>
    <t xml:space="preserve">Piperonyl butoxide (Pesticide)</t>
  </si>
  <si>
    <t xml:space="preserve">https://arizonastatecannabis.org/news-25oct2025</t>
  </si>
  <si>
    <t xml:space="preserve">Elba Holdings</t>
  </si>
  <si>
    <t xml:space="preserve">Aspergillus, Lead</t>
  </si>
  <si>
    <t xml:space="preserve">Press</t>
  </si>
  <si>
    <t xml:space="preserve">https://www.fox10phoenix.com/news/arizona-announces-marijuana-recall-amid-contamination-worries-heres-what-know</t>
  </si>
  <si>
    <t xml:space="preserve">Concentrate, Edibles</t>
  </si>
  <si>
    <t xml:space="preserve">Pressd / Baked Bros</t>
  </si>
  <si>
    <t xml:space="preserve">Kaycha</t>
  </si>
  <si>
    <t xml:space="preserve">Spinosad </t>
  </si>
  <si>
    <t xml:space="preserve">https://www.kvoa.com/news/arizona/marijuana-products-in-arizona-recalled-after-fungus-found-in-batches/article_a5dcfa01-e49f-48c4-8db0-0c0dd10fbdd5.html</t>
  </si>
  <si>
    <t xml:space="preserve">https://web.archive.org/web/20260319223623/https://www.kvoa.com/news/arizona/aspergillus-scare-prompts-arizona-marijuana-product-recall/article_cbc7c23a-dd1e-4c3f-9a01-5fc4ab80402b.html</t>
  </si>
  <si>
    <t xml:space="preserve">Legacy &amp; Co's Super Yuzu and Nature’s Wonder's Trap Queen,</t>
  </si>
  <si>
    <t xml:space="preserve">Legacy &amp; Co</t>
  </si>
  <si>
    <t xml:space="preserve">https://web.archive.org/web/20260904154150/https://www.fox10phoenix.com/news/marijuana-azdhs-announces-voluntary-recall-amid-contamination-worries</t>
  </si>
  <si>
    <t xml:space="preserve">Legacy &amp; Co's Cheech &amp; Chongs PreRolls </t>
  </si>
  <si>
    <t xml:space="preserve">https://directorsblog.health.azdhs.gov/recall-notice/</t>
  </si>
  <si>
    <t xml:space="preserve">https://web.archive.org/web/20260520010915/https://www.fox10phoenix.com/news/marijuana-products-recalled-arizona-due-possible-fungus-contamination</t>
  </si>
  <si>
    <t xml:space="preserve">Not Specified</t>
  </si>
  <si>
    <t xml:space="preserve">Forever 46, Golden Leaf Wellness, Tru infusion / Nature's Wonder</t>
  </si>
  <si>
    <t xml:space="preserve">Forever 46</t>
  </si>
  <si>
    <t xml:space="preserve">https://www.kvoa.com/news/arizona/arizona-marijuana-recall-possible-fungus-found-in-2-products/article_2c0b2be7-80bc-4716-aa22-c0e68eb2a394.html</t>
  </si>
  <si>
    <t xml:space="preserve">Infused Flower</t>
  </si>
  <si>
    <t xml:space="preserve">Level One Labs</t>
  </si>
  <si>
    <t xml:space="preserve">Level One</t>
  </si>
  <si>
    <t xml:space="preserve">https://web.archive.org/web/20260723094334/https://www.kvoa.com/news/arizona/arizona-marijuana-recall-possible-fungus-found-in-2-products/article_2c0b2be7-80bc-4716-aa22-c0e68eb2a394.html</t>
  </si>
  <si>
    <t xml:space="preserve">Dr. Zodiak's Moonrock Infused Bulk Snowballz and Bobby Blue's Buckshots</t>
  </si>
  <si>
    <t xml:space="preserve">Dr Zodiak</t>
  </si>
  <si>
    <t xml:space="preserve">Failed Testing for Aspergillus reported as passing</t>
  </si>
  <si>
    <t xml:space="preserve">43101CaliforniaSequoia Analytical Labs</t>
  </si>
  <si>
    <t xml:space="preserve">California</t>
  </si>
  <si>
    <t xml:space="preserve">https://www.upi.com/Top_News/US/2018/12/24/California-marijuana-recall-threatens-state-cannabis-industry/3001545673498/</t>
  </si>
  <si>
    <t xml:space="preserve">Various</t>
  </si>
  <si>
    <t xml:space="preserve">Unknown</t>
  </si>
  <si>
    <t xml:space="preserve">Sequoia Analytical Labs</t>
  </si>
  <si>
    <t xml:space="preserve">Issue with Lab</t>
  </si>
  <si>
    <t xml:space="preserve">44587CaliforniaClaybourne Co. Head Banger</t>
  </si>
  <si>
    <t xml:space="preserve">https://cannabis.ca.gov/resources/cannabis-recalls-and-safety-notices/</t>
  </si>
  <si>
    <t xml:space="preserve">Claybourne Co. Head Banger</t>
  </si>
  <si>
    <t xml:space="preserve">Aspergillus </t>
  </si>
  <si>
    <t xml:space="preserve">44832CaliforniaRefined Xtraction</t>
  </si>
  <si>
    <t xml:space="preserve">Refined Xtraction</t>
  </si>
  <si>
    <t xml:space="preserve">Prohibited Product</t>
  </si>
  <si>
    <t xml:space="preserve">44847CaliforniaMetta Distribution</t>
  </si>
  <si>
    <t xml:space="preserve">Edible</t>
  </si>
  <si>
    <t xml:space="preserve">Metta Distribution</t>
  </si>
  <si>
    <t xml:space="preserve">44918CaliforniaLakewood Libations, Inc.</t>
  </si>
  <si>
    <t xml:space="preserve">Beverage</t>
  </si>
  <si>
    <t xml:space="preserve">Lakewood Libations, Inc.</t>
  </si>
  <si>
    <t xml:space="preserve">potential packaging defect.</t>
  </si>
  <si>
    <t xml:space="preserve">45065CaliforniaRCW Manufacturing</t>
  </si>
  <si>
    <t xml:space="preserve">RCW Manufacturing</t>
  </si>
  <si>
    <t xml:space="preserve">Over-pressurization</t>
  </si>
  <si>
    <t xml:space="preserve">45121CaliforniaLast Minute Venture, LLC</t>
  </si>
  <si>
    <t xml:space="preserve">https://cannabis.ca.gov/2023/07/voluntary-recall-last-minute-venture-llc-cannalean-brand-products/</t>
  </si>
  <si>
    <t xml:space="preserve">Tincture</t>
  </si>
  <si>
    <t xml:space="preserve">Last Minute Venture, LLC</t>
  </si>
  <si>
    <t xml:space="preserve">Outdated warning on labe</t>
  </si>
  <si>
    <t xml:space="preserve">https://cannabis.ca.gov/resources/cannabis-recalls-and-safety-notices/left-coast-llc-lil-leftys/</t>
  </si>
  <si>
    <t xml:space="preserve">Infused pre-rolls</t>
  </si>
  <si>
    <t xml:space="preserve">Left Coast, LLC</t>
  </si>
  <si>
    <t xml:space="preserve">exceed allowable THC concentration limits</t>
  </si>
  <si>
    <t xml:space="preserve">https://cannabis.ca.gov/resources/cannabis-recalls-and-safety-notices/grizzly-peak-farms-llc-zoap-cannabis-flower/</t>
  </si>
  <si>
    <t xml:space="preserve">Grizzly Peak Farms, LLC </t>
  </si>
  <si>
    <t xml:space="preserve">failed testing for the Category I pesticide, chlorfenapyr </t>
  </si>
  <si>
    <t xml:space="preserve">https://cannabis.ca.gov/resources/cannabis-recalls-and-safety-notices/echsen-industries/</t>
  </si>
  <si>
    <t xml:space="preserve">Infused Pre-Roll</t>
  </si>
  <si>
    <t xml:space="preserve">Echsen Industries, LLC</t>
  </si>
  <si>
    <t xml:space="preserve">Pesticides: Spiromesifen</t>
  </si>
  <si>
    <t xml:space="preserve">https://cannabis.ca.gov/resources/cannabis-recalls-and-safety-notices/urban-therapies-distribution-llc/</t>
  </si>
  <si>
    <t xml:space="preserve">Urban Therapies Distribution, LLC</t>
  </si>
  <si>
    <t xml:space="preserve">presence of Aspergillus flavus.</t>
  </si>
  <si>
    <t xml:space="preserve">https://recalls.cannabis.ca.gov/recalls/6761bc0d449a15805975db02</t>
  </si>
  <si>
    <t xml:space="preserve">Integrated Vaporizer</t>
  </si>
  <si>
    <t xml:space="preserve">90nine Bridge Co Holdings, LLC</t>
  </si>
  <si>
    <t xml:space="preserve">https://cannabis.ca.gov/resources/cannabis-recalls-and-safety-notices/roundtrip-pistachio-flower/</t>
  </si>
  <si>
    <t xml:space="preserve">Kind Op Corp</t>
  </si>
  <si>
    <t xml:space="preserve">presence of Aspergillus sp.</t>
  </si>
  <si>
    <t xml:space="preserve">https://cannabis.ca.gov/resources/cannabis-recalls-and-safety-notices/lowell-big-buds/</t>
  </si>
  <si>
    <t xml:space="preserve">Cypress Cannabis </t>
  </si>
  <si>
    <t xml:space="preserve">https://cannabis.ca.gov/resources/cannabis-recalls-and-safety-notices/grizzly-peak-premium-indoor-flower/</t>
  </si>
  <si>
    <t xml:space="preserve">Grizzly Peak Farms, LLC</t>
  </si>
  <si>
    <t xml:space="preserve">https://cannabis.ca.gov/resources/cannabis-recalls-and-safety-notices/panda-pen/</t>
  </si>
  <si>
    <t xml:space="preserve">Vape Cartridge</t>
  </si>
  <si>
    <t xml:space="preserve">DGU, LLC</t>
  </si>
  <si>
    <t xml:space="preserve">obstruction of the informational label </t>
  </si>
  <si>
    <t xml:space="preserve">https://recalls.cannabis.ca.gov/recalls/6761aeec449a15805975dae9</t>
  </si>
  <si>
    <t xml:space="preserve">Discount Caregivers</t>
  </si>
  <si>
    <t xml:space="preserve">presence of Aspergillus fumigatus</t>
  </si>
  <si>
    <t xml:space="preserve">https://recalls.cannabis.ca.gov/recalls/6761acd7d62cebee0c5c9943</t>
  </si>
  <si>
    <t xml:space="preserve">JC Rad Inc. </t>
  </si>
  <si>
    <t xml:space="preserve">presence of Aspergillus niger</t>
  </si>
  <si>
    <t xml:space="preserve">https://recalls.cannabis.ca.gov/recalls/6761abdbd62cebee0c5c993d</t>
  </si>
  <si>
    <t xml:space="preserve">Mammoth Distribution, Heavy Hitters, CA Manufacturing Co-op</t>
  </si>
  <si>
    <t xml:space="preserve">https://recalls.cannabis.ca.gov/recalls/6761bccb449a15805975db06</t>
  </si>
  <si>
    <t xml:space="preserve">UPNORTH Distribution </t>
  </si>
  <si>
    <t xml:space="preserve">presence of Aspergillus terreus</t>
  </si>
  <si>
    <t xml:space="preserve">https://recalls.cannabis.ca.gov/recalls/6761b4b3449a15805975dafe</t>
  </si>
  <si>
    <t xml:space="preserve">Malibu Gold, LLC</t>
  </si>
  <si>
    <t xml:space="preserve">inaccurate THC content labeling</t>
  </si>
  <si>
    <t xml:space="preserve">https://recalls.cannabis.ca.gov/recalls/6761b362449a15805975daf9</t>
  </si>
  <si>
    <t xml:space="preserve">Northern Emeralds </t>
  </si>
  <si>
    <t xml:space="preserve">https://cannabis.ca.gov/resources/cannabis-recalls-and-safety-notices/8-track-pre-roll/</t>
  </si>
  <si>
    <t xml:space="preserve">Urbina, Inc</t>
  </si>
  <si>
    <t xml:space="preserve">presence of Aspergillus niger and Aspergillus flavus, and due to inaccurate labeling, that reports more THC than the product contains. </t>
  </si>
  <si>
    <t xml:space="preserve">https://recalls.cannabis.ca.gov/recalls/6761bc23449a15805975db04</t>
  </si>
  <si>
    <t xml:space="preserve">Snap Distro SV</t>
  </si>
  <si>
    <t xml:space="preserve">https://cannabis.ca.gov/resources/cannabis-recalls-and-safety-notices/canndescent-california-100-whole-flower-pre-rolls/</t>
  </si>
  <si>
    <t xml:space="preserve">TBP Indoor Facilities, Inc. </t>
  </si>
  <si>
    <t xml:space="preserve"> presence of Aspergillus spp. and due to inaccurate labeling that reports more cannabinoid content than the product contains.</t>
  </si>
  <si>
    <t xml:space="preserve">https://cannabis.ca.gov/resources/cannabis-recalls-and-safety-notices/cali-kosher-flower/</t>
  </si>
  <si>
    <t xml:space="preserve">JDI Farms </t>
  </si>
  <si>
    <t xml:space="preserve">inaccurate labeling, that reports more cannabinoid content</t>
  </si>
  <si>
    <t xml:space="preserve">https://cannabis.ca.gov/resources/cannabis-recalls-and-safety-notices/lax-packs-premium-flower/</t>
  </si>
  <si>
    <t xml:space="preserve">Crafted Canopy Co. LLC</t>
  </si>
  <si>
    <t xml:space="preserve">Aspergillus fumigatus, and due to inaccurate labeling</t>
  </si>
  <si>
    <t xml:space="preserve">https://recalls.cannabis.ca.gov/recalls/67607f90e7333c2117ce13c2</t>
  </si>
  <si>
    <t xml:space="preserve">Epic Bros Enterprises, Inc.</t>
  </si>
  <si>
    <t xml:space="preserve">packaging safety issues</t>
  </si>
  <si>
    <t xml:space="preserve">https://recalls.cannabis.ca.gov/recalls/676075d467bff701781d9596</t>
  </si>
  <si>
    <t xml:space="preserve">Paet Real Estate LLC</t>
  </si>
  <si>
    <t xml:space="preserve">presence of Aspergillus niger, and due to inaccurate labeling</t>
  </si>
  <si>
    <t xml:space="preserve">https://recalls.cannabis.ca.gov/recalls/67608282141ebf4b23e92734</t>
  </si>
  <si>
    <t xml:space="preserve">WEST COAST CURE PREMIUM CURE Flower</t>
  </si>
  <si>
    <t xml:space="preserve">Shield Management Group, LLC</t>
  </si>
  <si>
    <t xml:space="preserve">inaccurate labeling that reports more cannabinoid content</t>
  </si>
  <si>
    <t xml:space="preserve">https://recalls.cannabis.ca.gov/recalls/67608d79141ebf4b23e92757</t>
  </si>
  <si>
    <t xml:space="preserve">CUREpen PREMIUM THC OIL Vape Cartridge</t>
  </si>
  <si>
    <t xml:space="preserve">Alkhemist DM LLC</t>
  </si>
  <si>
    <t xml:space="preserve">presence of the pesticide chlorfenapyr</t>
  </si>
  <si>
    <t xml:space="preserve">https://recalls.cannabis.ca.gov/recalls/67607a66e7333c2117ce13ab</t>
  </si>
  <si>
    <t xml:space="preserve">WCC CUREpen PREMIUM THC OIL Vape Cartridge</t>
  </si>
  <si>
    <t xml:space="preserve">https://cannabis.ca.gov/resources/cannabis-recalls-and-safety-notices/west-coast-cure-live-resin-vape-cartridge/</t>
  </si>
  <si>
    <t xml:space="preserve">WEST COAST CURE CUREpen Vape Cartridge</t>
  </si>
  <si>
    <t xml:space="preserve">https://cannabis.ca.gov/resources/cannabis-recalls-and-safety-notices/west-coast-cure-curepen-vape-cartridge/</t>
  </si>
  <si>
    <t xml:space="preserve">WEST COAST CURE LIVE RESIN Vape Cartridge</t>
  </si>
  <si>
    <t xml:space="preserve">https://cannabis.ca.gov/resources/cannabis-recalls-and-safety-notices/backpackboyz-premium-vape/</t>
  </si>
  <si>
    <t xml:space="preserve">CIRCLES Cannabis Oil Vaporizer Vape Cartridge</t>
  </si>
  <si>
    <t xml:space="preserve">K.U.S.H. (KINDER UNDERSTANDING SENSITIVE HEALING) COLLECTIVE</t>
  </si>
  <si>
    <t xml:space="preserve">https://cannabis.ca.gov/resources/cannabis-recalls-and-safety-notices/circles-cannabis-oil-vaporizer/</t>
  </si>
  <si>
    <t xml:space="preserve">Backpackboyz PREMIUM VAPE Integrated Vaporizer</t>
  </si>
  <si>
    <t xml:space="preserve">https://recalls.cannabis.ca.gov/recalls/67608170e7333c2117ce13c5</t>
  </si>
  <si>
    <t xml:space="preserve">The Bake Shop LA</t>
  </si>
  <si>
    <t xml:space="preserve">https://cannabis.ca.gov/resources/cannabis-recalls-and-safety-notices/kush-creaturz-flower/</t>
  </si>
  <si>
    <t xml:space="preserve">Kush Creaturz Donny Dank</t>
  </si>
  <si>
    <t xml:space="preserve">GC Global, LLC</t>
  </si>
  <si>
    <t xml:space="preserve">labeling attractive to Children</t>
  </si>
  <si>
    <t xml:space="preserve">Kush Creaturz OG Suzie Slop</t>
  </si>
  <si>
    <t xml:space="preserve">Kush Creaturz</t>
  </si>
  <si>
    <t xml:space="preserve">Kush Creaturz Randy Resin</t>
  </si>
  <si>
    <t xml:space="preserve">Kush Creaturz Marty Mids</t>
  </si>
  <si>
    <t xml:space="preserve">Kush Creaturz Limonene Linda</t>
  </si>
  <si>
    <t xml:space="preserve">Kush Creaturz Frank the Fuego Man</t>
  </si>
  <si>
    <t xml:space="preserve">https://cannabis.ca.gov/resources/cannabis-recalls-and-safety-notices/lowell-35s-10-tall-pre-roll/</t>
  </si>
  <si>
    <t xml:space="preserve">Lowell 35’s 10 Tall Pre-Rolls Afternoon Delight</t>
  </si>
  <si>
    <t xml:space="preserve">Cypress Manufacturing</t>
  </si>
  <si>
    <t xml:space="preserve">Aspergillus niger</t>
  </si>
  <si>
    <t xml:space="preserve">https://recalls.cannabis.ca.gov/recalls/67607f00e7333c2117ce13bd</t>
  </si>
  <si>
    <t xml:space="preserve">Almora Naturally Better Single Origin Cannabis Flower</t>
  </si>
  <si>
    <t xml:space="preserve">Fluids Manufacturing, Inc.</t>
  </si>
  <si>
    <t xml:space="preserve">Mammoth Distribution, Heavy Hitters</t>
  </si>
  <si>
    <t xml:space="preserve">Adulterated: Microbial Contamination (Aspergillus niger)</t>
  </si>
  <si>
    <t xml:space="preserve">https://recalls.cannabis.ca.gov/recalls/676060ab2dec600a5fdab838</t>
  </si>
  <si>
    <t xml:space="preserve">Glass House Farms Cannabis Flower Pre-Roll</t>
  </si>
  <si>
    <t xml:space="preserve">Adulterated: Microbial Contamination (Aspergillus flavus)</t>
  </si>
  <si>
    <t xml:space="preserve">https://recalls.cannabis.ca.gov/recalls/67607b92e7333c2117ce13b7</t>
  </si>
  <si>
    <t xml:space="preserve">Flor Flower</t>
  </si>
  <si>
    <t xml:space="preserve">Purple Star MD Collective</t>
  </si>
  <si>
    <t xml:space="preserve">https://recalls.cannabis.ca.gov/recalls/67607b87e7333c2117ce13b5</t>
  </si>
  <si>
    <t xml:space="preserve">NHPR Flower</t>
  </si>
  <si>
    <t xml:space="preserve">BTD, Inc.</t>
  </si>
  <si>
    <t xml:space="preserve">https://recalls.cannabis.ca.gov/recalls/676061d02dec600a5fdab847</t>
  </si>
  <si>
    <t xml:space="preserve">West Coast Cure Live Resin Diamonds Concentrate</t>
  </si>
  <si>
    <t xml:space="preserve">Adulterated: Pesticide Category I Contamination (Chlorfenapyr)</t>
  </si>
  <si>
    <t xml:space="preserve">https://recalls.cannabis.ca.gov/recalls/67607a8ce7333c2117ce13b0</t>
  </si>
  <si>
    <t xml:space="preserve">Vape Cartridges</t>
  </si>
  <si>
    <t xml:space="preserve">CUREpen Premium THC Oil Vape Cartridge</t>
  </si>
  <si>
    <t xml:space="preserve">https://recalls.cannabis.ca.gov/recalls/6760641e2dec600a5fdab874</t>
  </si>
  <si>
    <t xml:space="preserve">Cloud Cannabis Oil Vaporizer Vape Cartridge</t>
  </si>
  <si>
    <t xml:space="preserve">K.U.S.H. COLLECTIVE</t>
  </si>
  <si>
    <t xml:space="preserve">https://recalls.cannabis.ca.gov/recalls/676071c2348fc6641c270943</t>
  </si>
  <si>
    <t xml:space="preserve">Circles Cannabis Oil Vaporizer Vape Cartridge</t>
  </si>
  <si>
    <t xml:space="preserve">https://recalls.cannabis.ca.gov/recalls/676078ffe7333c2117ce13a3</t>
  </si>
  <si>
    <t xml:space="preserve">Retro Hits Premium Cannabis Distillate Vape Cartridge</t>
  </si>
  <si>
    <t xml:space="preserve">Misbranded: Other</t>
  </si>
  <si>
    <t xml:space="preserve">https://recalls.cannabis.ca.gov/recalls/675cd072db9d2f38e6a8bfc9</t>
  </si>
  <si>
    <t xml:space="preserve">CLSICS 10 Hash Infused Dog Walkers Infused Pre-Roll</t>
  </si>
  <si>
    <t xml:space="preserve">Scislc, LLC</t>
  </si>
  <si>
    <t xml:space="preserve">Adulterated: Pesticide Category I Contamination (Paclobutrazol)</t>
  </si>
  <si>
    <t xml:space="preserve">https://recalls.cannabis.ca.gov/recalls/675c9df9d777de57d7f3a530</t>
  </si>
  <si>
    <t xml:space="preserve">Lime Ready to Roll Infused Flower</t>
  </si>
  <si>
    <t xml:space="preserve">LVLUP MANUFACTURING LLC</t>
  </si>
  <si>
    <t xml:space="preserve">https://recalls.cannabis.ca.gov/recalls/676062d92dec600a5fdab858</t>
  </si>
  <si>
    <t xml:space="preserve">Lime Ultra 5 Pack Infused Pre-Roll</t>
  </si>
  <si>
    <t xml:space="preserve">LVLUP Manufacturing LLC</t>
  </si>
  <si>
    <t xml:space="preserve">Adulterated and Misbranded: Pesticide Category I Contamination (Chlorfenapyr); Inaccurate Labeling (Cannabinoid inflation)</t>
  </si>
  <si>
    <t xml:space="preserve">https://recalls.cannabis.ca.gov/recalls/67606ff62dec600a5fdab8c0</t>
  </si>
  <si>
    <t xml:space="preserve">Mary Mary Premium Cannabis Pre-Roll</t>
  </si>
  <si>
    <t xml:space="preserve">3L Distribution, Inc.</t>
  </si>
  <si>
    <t xml:space="preserve">Adulterated: Microbial Contamination (Aspergillus niger); Microbial Contamination (Aspergillus terreus)</t>
  </si>
  <si>
    <t xml:space="preserve">https://recalls.cannabis.ca.gov/recalls/67607231348fc6641c27094a</t>
  </si>
  <si>
    <t xml:space="preserve">All natural Henry's Original Premium Cannabis Smokes Pre-Roll</t>
  </si>
  <si>
    <t xml:space="preserve">Event Horizon Technologies, Inc.</t>
  </si>
  <si>
    <t xml:space="preserve">https://recalls.cannabis.ca.gov/recalls/676321559f9bcc32fed462a9</t>
  </si>
  <si>
    <t xml:space="preserve">Flower products packaged by Higher Ground Holdings, LLC Flower</t>
  </si>
  <si>
    <t xml:space="preserve">Higher Ground Holdings, LLC</t>
  </si>
  <si>
    <t xml:space="preserve">Adulterated and Misbranded: Microbial Contamination (Aspergillus niger); Inaccurate Labeling (Cannabinoid inflation)</t>
  </si>
  <si>
    <t xml:space="preserve">https://recalls.cannabis.ca.gov/recalls/6761e5bc66acba23980354d6</t>
  </si>
  <si>
    <t xml:space="preserve">West Coast Cure Pre-Roll, Integrated Vaporizer, and Vape Cartridge</t>
  </si>
  <si>
    <t xml:space="preserve">Potentially Adulterated: Pesticide Category I Contamination and/or Pesticide Category II Contamination</t>
  </si>
  <si>
    <t xml:space="preserve">https://recalls.cannabis.ca.gov/recalls/6761ec9694a546fcd1a88412</t>
  </si>
  <si>
    <t xml:space="preserve">Cali Heights Integrated Vaporizer and Vape Cartridge</t>
  </si>
  <si>
    <t xml:space="preserve">Green Leaf Caregivers</t>
  </si>
  <si>
    <t xml:space="preserve">https://recalls.cannabis.ca.gov/recalls/67605ca02dec600a5fdab80d</t>
  </si>
  <si>
    <t xml:space="preserve">Project Moonwalk Cannabis Infused THC Sorbet Edible</t>
  </si>
  <si>
    <t xml:space="preserve">SW Ventures LLC</t>
  </si>
  <si>
    <t xml:space="preserve">Potentially Adulterated and Misbranded: Prohibited Product</t>
  </si>
  <si>
    <t xml:space="preserve">https://recalls.cannabis.ca.gov/recalls/6761f01694a546fcd1a88422</t>
  </si>
  <si>
    <t xml:space="preserve">Embargo alert for products manufactured by K.U.S.H. Collective - Integrated Vaporizer and Vape Cartridge</t>
  </si>
  <si>
    <t xml:space="preserve">Potentially Adulterated and Misbranded: Other</t>
  </si>
  <si>
    <t xml:space="preserve">https://recalls.cannabis.ca.gov/recalls/676052bb754559745e2d2bf5</t>
  </si>
  <si>
    <t xml:space="preserve">Josh Wax Pre Roll Multipack Pre-Roll</t>
  </si>
  <si>
    <t xml:space="preserve">ZASP</t>
  </si>
  <si>
    <t xml:space="preserve">Adulterated: Heavy Metal Contamination (Arsenic)</t>
  </si>
  <si>
    <t xml:space="preserve">https://recalls.cannabis.ca.gov/recalls/675cda3e89feb03b44eca7ca</t>
  </si>
  <si>
    <t xml:space="preserve">Phire Premium Concentrate Vape Cartridge</t>
  </si>
  <si>
    <t xml:space="preserve">Phire Laboratories &amp; Distribution Inc.</t>
  </si>
  <si>
    <t xml:space="preserve">Potentially Adulterated: Pesticide Category I Contamination</t>
  </si>
  <si>
    <t xml:space="preserve">https://recalls.cannabis.ca.gov/recalls/675cd92adb9d2f38e6a8bfd9</t>
  </si>
  <si>
    <t xml:space="preserve">Rove Drink Loud THC Shot Beverage</t>
  </si>
  <si>
    <t xml:space="preserve">Aureus LLC</t>
  </si>
  <si>
    <t xml:space="preserve">Adulterated: Prohibited Product</t>
  </si>
  <si>
    <t xml:space="preserve">https://recalls.cannabis.ca.gov/recalls/675cd52bdb9d2f38e6a8bfd2</t>
  </si>
  <si>
    <t xml:space="preserve">Flav Vape Cartridge and Integrated Vaporizer</t>
  </si>
  <si>
    <t xml:space="preserve">DGU LLC</t>
  </si>
  <si>
    <t xml:space="preserve">October 16, 2023  </t>
  </si>
  <si>
    <t xml:space="preserve">https://recalls.cannabis.ca.gov/recalls/675cd7eadb9d2f38e6a8bfd7</t>
  </si>
  <si>
    <t xml:space="preserve">Kind Republic Vape Cartridge</t>
  </si>
  <si>
    <t xml:space="preserve">MBM Kosher</t>
  </si>
  <si>
    <t xml:space="preserve">https://recalls.cannabis.ca.gov/recalls/675cd698db9d2f38e6a8bfd4</t>
  </si>
  <si>
    <t xml:space="preserve">CRU Pre-Roll</t>
  </si>
  <si>
    <t xml:space="preserve">Industrial Court L11, LLC</t>
  </si>
  <si>
    <t xml:space="preserve">Potentially Adulterated: Pesticide Category II Contamination</t>
  </si>
  <si>
    <t xml:space="preserve">https://recalls.cannabis.ca.gov/recalls/6761ac09d62cebee0c5c993f</t>
  </si>
  <si>
    <t xml:space="preserve">CRU Integrated Vaporizer</t>
  </si>
  <si>
    <t xml:space="preserve">https://recalls.cannabis.ca.gov/recalls/675ca701d777de57d7f3a540</t>
  </si>
  <si>
    <t xml:space="preserve">STIIIZY Premium THC Pods Vape Cartridge</t>
  </si>
  <si>
    <t xml:space="preserve">Ironworks Collective Inc.</t>
  </si>
  <si>
    <t xml:space="preserve">https://recalls.cannabis.ca.gov/recalls/6761fe8594a546fcd1a88447</t>
  </si>
  <si>
    <t xml:space="preserve">Dixie Elixir Beverage</t>
  </si>
  <si>
    <t xml:space="preserve">https://recalls.cannabis.ca.gov/recalls/6761f90394a546fcd1a8843a</t>
  </si>
  <si>
    <t xml:space="preserve">Connected Flower</t>
  </si>
  <si>
    <t xml:space="preserve">2JC LLC</t>
  </si>
  <si>
    <t xml:space="preserve">Adulterated and Misbranded: Microbial Contamination (Aspergillus spp.); Inaccurate Labeling (Cannabinoid inflation)</t>
  </si>
  <si>
    <t xml:space="preserve">https://recalls.cannabis.ca.gov/recalls/6761c1de449a15805975db10</t>
  </si>
  <si>
    <t xml:space="preserve">Connected Flower and Pre-Roll</t>
  </si>
  <si>
    <t xml:space="preserve">https://recalls.cannabis.ca.gov/recalls/676352eb82281c7c02888fb4</t>
  </si>
  <si>
    <t xml:space="preserve">Flavorz Integrated Vaporizer</t>
  </si>
  <si>
    <t xml:space="preserve">Saints Place, LLC</t>
  </si>
  <si>
    <t xml:space="preserve">Potentially Adulterated: Solvent Category I Contamination (Methylene chloride)</t>
  </si>
  <si>
    <t xml:space="preserve">https://recalls.cannabis.ca.gov/recalls/67743be120de76de169418b0</t>
  </si>
  <si>
    <t xml:space="preserve">Cream of the Crop Flower</t>
  </si>
  <si>
    <t xml:space="preserve">NLT NCA LC – 5851, LLC</t>
  </si>
  <si>
    <t xml:space="preserve">Adulterated and Misbranded: Inaccurate Labeling (Cannabinoid inflation); Microbial Contamination (Aspergillus spp.)</t>
  </si>
  <si>
    <t xml:space="preserve">https://recalls.cannabis.ca.gov/recalls/677c1ce27b818645f37d81b5</t>
  </si>
  <si>
    <t xml:space="preserve">Alien Labs Flower</t>
  </si>
  <si>
    <t xml:space="preserve">https://recalls.cannabis.ca.gov/recalls/678a9dcd3820f840e8dab8d9</t>
  </si>
  <si>
    <t xml:space="preserve">Noah's Premium Live Rosin Diamond Infused Pre-Roll</t>
  </si>
  <si>
    <t xml:space="preserve">Lucky Family Brands Inc.</t>
  </si>
  <si>
    <t xml:space="preserve">Invalid Batch Testing; Exceeds Concentration limit</t>
  </si>
  <si>
    <t xml:space="preserve">https://recalls.cannabis.ca.gov/recalls/67995807ff1d541902f51156</t>
  </si>
  <si>
    <t xml:space="preserve">Top Shelf Cultivation Flower</t>
  </si>
  <si>
    <t xml:space="preserve">The Back House</t>
  </si>
  <si>
    <t xml:space="preserve">Adulterated: Microbial Contamination (Aspergillus spp.)</t>
  </si>
  <si>
    <t xml:space="preserve">https://recalls.cannabis.ca.gov/recalls/679aa03c6c2cf8a3a782d944</t>
  </si>
  <si>
    <t xml:space="preserve">Jeeter and Baby Jeeter Pre-Roll</t>
  </si>
  <si>
    <t xml:space="preserve">Med for America Inc.</t>
  </si>
  <si>
    <t xml:space="preserve">https://recalls.cannabis.ca.gov/recalls/67a26199d7bedce43a97eac8</t>
  </si>
  <si>
    <t xml:space="preserve">Canna America live resin Integrated Vaporizer</t>
  </si>
  <si>
    <t xml:space="preserve">Chico California Cannabis Co.</t>
  </si>
  <si>
    <t xml:space="preserve">Potentially Misbranded: Other (Invalid Batch Testing)</t>
  </si>
  <si>
    <t xml:space="preserve">https://recalls.cannabis.ca.gov/recalls/67a3ed7d027ff9b39bd5c651</t>
  </si>
  <si>
    <t xml:space="preserve">Tonik Beverage</t>
  </si>
  <si>
    <t xml:space="preserve">Baked Betty’s LLC</t>
  </si>
  <si>
    <t xml:space="preserve">Potentially Adulterated and Misbranded: Other (label / gmp)</t>
  </si>
  <si>
    <t xml:space="preserve">https://recalls.cannabis.ca.gov/recalls/67b65de006adb198f38bbd2a</t>
  </si>
  <si>
    <t xml:space="preserve">West Coast Cure Diamond Infused Flower</t>
  </si>
  <si>
    <t xml:space="preserve">Shield Management Group LLC</t>
  </si>
  <si>
    <t xml:space="preserve">Adulterated: Other (Incomplete Testing)</t>
  </si>
  <si>
    <t xml:space="preserve">https://recalls.cannabis.ca.gov/recalls/67b8bf5feee6bdf8bdc4f05d</t>
  </si>
  <si>
    <t xml:space="preserve">Black Pearl Infused Flower</t>
  </si>
  <si>
    <t xml:space="preserve">https://recalls.cannabis.ca.gov/recalls/67b8d224dcf312eab06ec3c9</t>
  </si>
  <si>
    <t xml:space="preserve">Culture Cannabis and The Drop Infused Flower</t>
  </si>
  <si>
    <t xml:space="preserve">Therapeutic Health Collective Inc</t>
  </si>
  <si>
    <t xml:space="preserve">https://recalls.cannabis.ca.gov/recalls/67b7be7906f27bfc532c0345</t>
  </si>
  <si>
    <t xml:space="preserve">American Weed Co., Yum Yumz and High 90's Infused Flower</t>
  </si>
  <si>
    <t xml:space="preserve">Alkhemists LLC</t>
  </si>
  <si>
    <t xml:space="preserve">https://recalls.cannabis.ca.gov/recalls/67c0a8966a1df8e2aab2a805</t>
  </si>
  <si>
    <t xml:space="preserve">Adulterated: Microbial Contamination (Aspergillus spp.); Inaccurate Labeling (Cannabinoid inflation)</t>
  </si>
  <si>
    <t xml:space="preserve">https://recalls.cannabis.ca.gov/recalls/67c7586fb3647b7230d6851d</t>
  </si>
  <si>
    <t xml:space="preserve">go NXT LVL</t>
  </si>
  <si>
    <t xml:space="preserve">https://recalls.cannabis.ca.gov/recalls/67c63ac9abf1dacdb9277769</t>
  </si>
  <si>
    <t xml:space="preserve">Herbarium and Dona Pablo Pre-Roll</t>
  </si>
  <si>
    <t xml:space="preserve">Little Cottage Caregivers LLC</t>
  </si>
  <si>
    <t xml:space="preserve">https://recalls.cannabis.ca.gov/recalls/67c8a860cb103f654b157bf9</t>
  </si>
  <si>
    <t xml:space="preserve">Hard Eighth Infused Flower</t>
  </si>
  <si>
    <t xml:space="preserve">45723Lucky Family Brands Inc.2</t>
  </si>
  <si>
    <t xml:space="preserve">https://recalls.cannabis.ca.gov/recalls/67ca15a2d3e118305ac6204e</t>
  </si>
  <si>
    <t xml:space="preserve">Noah's Premium Pre-Roll and Infused Pre-Roll</t>
  </si>
  <si>
    <t xml:space="preserve">45723Lucky Family Brands Inc.3</t>
  </si>
  <si>
    <t xml:space="preserve">https://recalls.cannabis.ca.gov/recalls/67ca292d29119e4c62d9f0bd</t>
  </si>
  <si>
    <t xml:space="preserve">Lucky Family Brands Inc. Pre-Roll</t>
  </si>
  <si>
    <t xml:space="preserve">https://recalls.cannabis.ca.gov/recalls/67cb5ccd9b4d75e795d8ead3</t>
  </si>
  <si>
    <t xml:space="preserve">Kingston Royal VS1 Infused Flower</t>
  </si>
  <si>
    <t xml:space="preserve">The Green Zone Inc.</t>
  </si>
  <si>
    <t xml:space="preserve">https://recalls.cannabis.ca.gov/recalls/67cb5ddc9b4d75e795d8ead5</t>
  </si>
  <si>
    <t xml:space="preserve">https://recalls.cannabis.ca.gov/recalls/67cf2bf64e313b143eeeefaf</t>
  </si>
  <si>
    <t xml:space="preserve">Vintage Cannabis Infused Flower</t>
  </si>
  <si>
    <t xml:space="preserve">Broadway Alliance LLC</t>
  </si>
  <si>
    <t xml:space="preserve">https://recalls.cannabis.ca.gov/recalls/67cb5f3e9b4d75e795d8ead7</t>
  </si>
  <si>
    <t xml:space="preserve">Caps Apothecary Inc. Infused Flower and Infused Pre-Roll</t>
  </si>
  <si>
    <t xml:space="preserve">Bare Dispensary</t>
  </si>
  <si>
    <t xml:space="preserve">https://recalls.cannabis.ca.gov/recalls/67d09f9f5c03fd67e1699304</t>
  </si>
  <si>
    <t xml:space="preserve">Poppy Flower Roll-Ups Infused Flower</t>
  </si>
  <si>
    <t xml:space="preserve">Med Care Farms 2.0 LLC</t>
  </si>
  <si>
    <t xml:space="preserve">https://recalls.cannabis.ca.gov/recalls/67e1c59a764a2b6664808b45</t>
  </si>
  <si>
    <t xml:space="preserve">Ape Vape Cartridge and Integrated Vaporizer</t>
  </si>
  <si>
    <t xml:space="preserve">Artisan Canna Cigars LLC</t>
  </si>
  <si>
    <t xml:space="preserve">https://recalls.cannabis.ca.gov/recalls/67d4467a4106f28998de60cc</t>
  </si>
  <si>
    <t xml:space="preserve">Tree of Life Flower</t>
  </si>
  <si>
    <t xml:space="preserve">Redwood Herbal Alliance</t>
  </si>
  <si>
    <t xml:space="preserve">https://recalls.cannabis.ca.gov/recalls/67e2f72be1d586b2abb40828</t>
  </si>
  <si>
    <t xml:space="preserve">Secrets by Cream of the Crop Infused Pre-Roll</t>
  </si>
  <si>
    <t xml:space="preserve">Terpx Inc.</t>
  </si>
  <si>
    <t xml:space="preserve">https://recalls.cannabis.ca.gov/recalls/67d9a58bee53fc0e4a85cfd0</t>
  </si>
  <si>
    <t xml:space="preserve">Connected and Alien Labs Flower</t>
  </si>
  <si>
    <t xml:space="preserve">https://recalls.cannabis.ca.gov/recalls/67edc40ed271b2cd4fb6700b</t>
  </si>
  <si>
    <t xml:space="preserve">Brite Flower</t>
  </si>
  <si>
    <t xml:space="preserve">Golden State Recycling Collective Inc.</t>
  </si>
  <si>
    <t xml:space="preserve">https://recalls.cannabis.ca.gov/recalls/67edaf9003fb5784226ca7f3</t>
  </si>
  <si>
    <t xml:space="preserve">Pearl Pharma Flower</t>
  </si>
  <si>
    <t xml:space="preserve">Kanaplya LLC</t>
  </si>
  <si>
    <t xml:space="preserve">Adulterated: Microbial Contamination (Aspergillus fumigatus); Microbial Contamination (Aspergillus terreus)</t>
  </si>
  <si>
    <t xml:space="preserve">https://recalls.cannabis.ca.gov/recalls/67edb9ef03fb5784226ca7f7</t>
  </si>
  <si>
    <t xml:space="preserve">Tyson Jab Jar Infused Pre-Roll</t>
  </si>
  <si>
    <t xml:space="preserve">3L Distribution Inc.</t>
  </si>
  <si>
    <t xml:space="preserve">Adulterated: Microbial Contamination (Aspergillus flavus); Microbial Contamination (Aspergillus niger); Microbial Contamination (Aspergillus terreus)</t>
  </si>
  <si>
    <t xml:space="preserve">https://recalls.cannabis.ca.gov/recalls/67eecc81eeed9a2d044639f6</t>
  </si>
  <si>
    <t xml:space="preserve">ERB Flower</t>
  </si>
  <si>
    <t xml:space="preserve">Greenfield Distribution Inc.</t>
  </si>
  <si>
    <t xml:space="preserve">Adulterated: Microbial Contamination (Aspergillus niger); Microbial Contamination (Aspergillus flavus); Microbial Contamination (Aspergillus terreus)</t>
  </si>
  <si>
    <t xml:space="preserve">https://recalls.cannabis.ca.gov/recalls/67cb60539b4d75e795d8eada</t>
  </si>
  <si>
    <t xml:space="preserve">Awesome Dope Edible and Honey Edible</t>
  </si>
  <si>
    <t xml:space="preserve">Zasp</t>
  </si>
  <si>
    <t xml:space="preserve">https://recalls.cannabis.ca.gov/recalls/67eef04f7e45d7785194736a</t>
  </si>
  <si>
    <t xml:space="preserve">Nice Guys Flower and Infused Pre-Roll</t>
  </si>
  <si>
    <t xml:space="preserve">DBM Industries LLC</t>
  </si>
  <si>
    <t xml:space="preserve">Adulterated: Microbial Contamination (Aspergillus niger); Microbial Contamination (Aspergillus fumigatus); Microbial Contamination (Aspergillus flavus); Microbial Contamination (Aspergillus terreus)</t>
  </si>
  <si>
    <t xml:space="preserve">https://recalls.cannabis.ca.gov/recalls/67f044164c8fed4662b01b99</t>
  </si>
  <si>
    <t xml:space="preserve">Rollers Delight Infused Pre-Roll</t>
  </si>
  <si>
    <t xml:space="preserve">https://recalls.cannabis.ca.gov/recalls/67ec59be4becf15d41092d3b</t>
  </si>
  <si>
    <t xml:space="preserve">Oakfruitland (OFL) Pre-Roll</t>
  </si>
  <si>
    <t xml:space="preserve">Oak2Fruitland Inc.</t>
  </si>
  <si>
    <t xml:space="preserve">https://recalls.cannabis.ca.gov/recalls/67f44320ef33cec4b8c75618</t>
  </si>
  <si>
    <t xml:space="preserve">Honey Edible</t>
  </si>
  <si>
    <t xml:space="preserve">I.O.N. Distribution LLC</t>
  </si>
  <si>
    <t xml:space="preserve">https://recalls.cannabis.ca.gov/recalls/67f93629a6af6c345158589b</t>
  </si>
  <si>
    <t xml:space="preserve">Nug Flower</t>
  </si>
  <si>
    <t xml:space="preserve">https://recalls.cannabis.ca.gov/recalls/67f42df6ef33cec4b8c75611</t>
  </si>
  <si>
    <t xml:space="preserve">Alien Labs Flower and Pre-Roll</t>
  </si>
  <si>
    <t xml:space="preserve">457622JC LLC 2</t>
  </si>
  <si>
    <t xml:space="preserve">https://recalls.cannabis.ca.gov/recalls/67fd4d20f04bba13cf57a67a</t>
  </si>
  <si>
    <t xml:space="preserve">457622JC LLC 3</t>
  </si>
  <si>
    <t xml:space="preserve">https://recalls.cannabis.ca.gov/recalls/67fd4fdff04bba13cf57a683</t>
  </si>
  <si>
    <t xml:space="preserve">Smoken Promises Flower and Pre-Roll</t>
  </si>
  <si>
    <t xml:space="preserve">https://recalls.cannabis.ca.gov/recalls/67f6dd47ad69398ae71adddf</t>
  </si>
  <si>
    <t xml:space="preserve">Smartweed Flower</t>
  </si>
  <si>
    <t xml:space="preserve">Valley Holistic Caregivers Inc.</t>
  </si>
  <si>
    <t xml:space="preserve">Adulterated and Misbranded: misrepresentative testing</t>
  </si>
  <si>
    <t xml:space="preserve">https://recalls.cannabis.ca.gov/recalls/68080bb50a02d94b409051c1</t>
  </si>
  <si>
    <t xml:space="preserve">Hi Pre-Roll</t>
  </si>
  <si>
    <t xml:space="preserve">Adulterated and Misbranded: Microbial Contamination (Aspergillus terreus); Microbial Contamination (Aspergillus niger); Microbial Contamination (Aspergillus flavus); Inaccurate Labeling (Cannabinoid inflation)</t>
  </si>
  <si>
    <t xml:space="preserve">https://recalls.cannabis.ca.gov/recalls/68110cdec31741749dfed970</t>
  </si>
  <si>
    <t xml:space="preserve">N'Refused Edible</t>
  </si>
  <si>
    <t xml:space="preserve">Crafton Select LLC</t>
  </si>
  <si>
    <t xml:space="preserve">45777Crafton Select LLC 2</t>
  </si>
  <si>
    <t xml:space="preserve">https://recalls.cannabis.ca.gov/recalls/68111fa2c31741749dfed972</t>
  </si>
  <si>
    <t xml:space="preserve">Personals Flower</t>
  </si>
  <si>
    <t xml:space="preserve">45777Crafton Select LLC 3</t>
  </si>
  <si>
    <t xml:space="preserve">https://recalls.cannabis.ca.gov/recalls/6814ee606c27402413d2d041</t>
  </si>
  <si>
    <t xml:space="preserve">Grasshoppers Peanut Butter Cups Edible</t>
  </si>
  <si>
    <t xml:space="preserve">https://recalls.cannabis.ca.gov/recalls/6813b5e2171a2609a7b46d63</t>
  </si>
  <si>
    <t xml:space="preserve">Moods Liquid Dab Tincture</t>
  </si>
  <si>
    <t xml:space="preserve">Collective Minds LLC</t>
  </si>
  <si>
    <t xml:space="preserve">Adulterated and Misbranded: Other Inn</t>
  </si>
  <si>
    <t xml:space="preserve">https://recalls.cannabis.ca.gov/recalls/6815444781aae3b8cf89b805</t>
  </si>
  <si>
    <t xml:space="preserve">She's Baked Lemonade Stand Edible</t>
  </si>
  <si>
    <t xml:space="preserve">Magic Show LLC</t>
  </si>
  <si>
    <t xml:space="preserve">45783Magic Show LLC 2</t>
  </si>
  <si>
    <t xml:space="preserve">https://recalls.cannabis.ca.gov/recalls/681a690ede8dfd7993fb4d2d</t>
  </si>
  <si>
    <t xml:space="preserve">Mainstage Edible</t>
  </si>
  <si>
    <t xml:space="preserve">https://recalls.cannabis.ca.gov/recalls/68263e4690232c8644ea388d</t>
  </si>
  <si>
    <t xml:space="preserve">Brite Beverage</t>
  </si>
  <si>
    <t xml:space="preserve">United Medical Alliance LLC</t>
  </si>
  <si>
    <t xml:space="preserve">Adulterated: Prohibited Product; Other</t>
  </si>
  <si>
    <t xml:space="preserve">https://recalls.cannabis.ca.gov/recalls/6826696d651df98cac943a90</t>
  </si>
  <si>
    <t xml:space="preserve">Legion of Dank Delights Edible</t>
  </si>
  <si>
    <t xml:space="preserve">Full Spectrum Group Inc.</t>
  </si>
  <si>
    <t xml:space="preserve">Adulterated and Misbranded: Other; Inaccurate Labeling (Cannabinoid inflation)</t>
  </si>
  <si>
    <t xml:space="preserve">https://recalls.cannabis.ca.gov/recalls/6830b01b19b3195b7d15ab2c</t>
  </si>
  <si>
    <t xml:space="preserve">Adulterated and Misbranded: Other</t>
  </si>
  <si>
    <t xml:space="preserve">45804Crafton Select LLC 2</t>
  </si>
  <si>
    <t xml:space="preserve">https://recalls.cannabis.ca.gov/recalls/6830bace19b3195b7d15ab32</t>
  </si>
  <si>
    <t xml:space="preserve">45804Crafton Select LLC 3</t>
  </si>
  <si>
    <t xml:space="preserve">https://recalls.cannabis.ca.gov/recalls/6830c47e19b3195b7d15ab3c</t>
  </si>
  <si>
    <t xml:space="preserve">https://recalls.cannabis.ca.gov/recalls/6830e5eedc244dc5ad4cd0fa</t>
  </si>
  <si>
    <t xml:space="preserve">Multiple</t>
  </si>
  <si>
    <t xml:space="preserve">Quickies Flower, Pre-Roll, Infused Pre-Roll, and Vape Cartridge</t>
  </si>
  <si>
    <t xml:space="preserve">https://recalls.cannabis.ca.gov/recalls/68430a9c756a3425f6e09241</t>
  </si>
  <si>
    <t xml:space="preserve">Adulterated and Misbranded: Other misleading</t>
  </si>
  <si>
    <t xml:space="preserve">https://recalls.cannabis.ca.gov/recalls/685085643f86ce0b7a6948f5</t>
  </si>
  <si>
    <t xml:space="preserve">Rove Ice Packs Infused Pre-Roll</t>
  </si>
  <si>
    <t xml:space="preserve">Adulterated: Microbial Contamination (Aspergillus flavus); Microbial Contamination (Aspergillus niger)</t>
  </si>
  <si>
    <t xml:space="preserve">https://recalls.cannabis.ca.gov/recalls/68508fed3f86ce0b7a6948f8</t>
  </si>
  <si>
    <t xml:space="preserve">Golden Nuggets and Solis Flower</t>
  </si>
  <si>
    <t xml:space="preserve">COMMERCE C1 LLC</t>
  </si>
  <si>
    <t xml:space="preserve">https://recalls.cannabis.ca.gov/recalls/6859c1263ac16dd9b79d4d6e</t>
  </si>
  <si>
    <t xml:space="preserve">Moca Pre-Roll</t>
  </si>
  <si>
    <t xml:space="preserve">Mheka LLC</t>
  </si>
  <si>
    <t xml:space="preserve">Adulterated: Microbial Contamination (Aspergillus fumigatus)</t>
  </si>
  <si>
    <t xml:space="preserve">https://recalls.cannabis.ca.gov/recalls/6859b52b6240f323aa90f91f</t>
  </si>
  <si>
    <t xml:space="preserve">Sluggers Flower and Pre-Roll</t>
  </si>
  <si>
    <t xml:space="preserve">Natura Distribution LLC</t>
  </si>
  <si>
    <t xml:space="preserve">https://recalls.cannabis.ca.gov/recalls/67d9957f61812ef297c873ce</t>
  </si>
  <si>
    <t xml:space="preserve">https://recalls.cannabis.ca.gov/recalls/685dc1eda34dbb6517647c95</t>
  </si>
  <si>
    <t xml:space="preserve">Pop's Weed Infused Flower</t>
  </si>
  <si>
    <t xml:space="preserve">Quality Buds LLC</t>
  </si>
  <si>
    <t xml:space="preserve">https://recalls.cannabis.ca.gov/recalls/68644cffda2ab8a7147f8fde</t>
  </si>
  <si>
    <t xml:space="preserve">Tablet</t>
  </si>
  <si>
    <t xml:space="preserve">Emerald Bay Extracts Tablet</t>
  </si>
  <si>
    <t xml:space="preserve">Emerald Bay Wellness</t>
  </si>
  <si>
    <t xml:space="preserve">Inaccurate THC</t>
  </si>
  <si>
    <t xml:space="preserve">https://recalls.cannabis.ca.gov/recalls/685ef369cc5cc22033bf6c62</t>
  </si>
  <si>
    <t xml:space="preserve">Almora Naturally Better Pre-Roll</t>
  </si>
  <si>
    <t xml:space="preserve">Fluids Manufacturing Inc.</t>
  </si>
  <si>
    <t xml:space="preserve">Adulterated: Microbial Contamination (Aspergillus fumigatus); Microbial Contamination (Aspergillus niger); Microbial Contamination (Aspergillus flavus)</t>
  </si>
  <si>
    <t xml:space="preserve">https://recalls.cannabis.ca.gov/recalls/68659c06bf883c279db9fda7</t>
  </si>
  <si>
    <t xml:space="preserve">High Power Beverage</t>
  </si>
  <si>
    <t xml:space="preserve">S&amp;J Manufacturing LLC</t>
  </si>
  <si>
    <t xml:space="preserve">Inaccurate Ingredient Label, Unverifiable GMP</t>
  </si>
  <si>
    <t xml:space="preserve">https://recalls.cannabis.ca.gov/recalls/68645cbcc770556dd1eedc84</t>
  </si>
  <si>
    <t xml:space="preserve">Malibu Skateboards Infused Pre-Roll</t>
  </si>
  <si>
    <t xml:space="preserve">TKC Group Inc.</t>
  </si>
  <si>
    <t xml:space="preserve">Adulterated: Other</t>
  </si>
  <si>
    <t xml:space="preserve">https://recalls.cannabis.ca.gov/recalls/686d9e7c2c808b9976ca6035</t>
  </si>
  <si>
    <t xml:space="preserve">Rollers Delight Infused Flower and Infused Pre-Roll</t>
  </si>
  <si>
    <t xml:space="preserve">https://recalls.cannabis.ca.gov/recalls/685ac399a5767e9bd4299cf3</t>
  </si>
  <si>
    <t xml:space="preserve">https://recalls.cannabis.ca.gov/recalls/686eebe4e18974d667a1250e</t>
  </si>
  <si>
    <t xml:space="preserve">17k Muskrat 2 Inc.</t>
  </si>
  <si>
    <t xml:space="preserve">https://recalls.cannabis.ca.gov/recalls/688931563e687541be28d909</t>
  </si>
  <si>
    <t xml:space="preserve">Konez Vape Cartridge</t>
  </si>
  <si>
    <t xml:space="preserve">City Compassionate Caregivers Inc.</t>
  </si>
  <si>
    <t xml:space="preserve">https://recalls.cannabis.ca.gov/recalls/688a598cfb4b11aeefd90243</t>
  </si>
  <si>
    <t xml:space="preserve">California Love and Megan's Brand Flower</t>
  </si>
  <si>
    <t xml:space="preserve">Coastal Business Distribution LLC</t>
  </si>
  <si>
    <t xml:space="preserve">https://recalls.cannabis.ca.gov/recalls/688d39f0608329d100bd15b9</t>
  </si>
  <si>
    <t xml:space="preserve">Sluggers Infused Pre-Roll</t>
  </si>
  <si>
    <t xml:space="preserve">Natura Manufacturing LLC</t>
  </si>
  <si>
    <t xml:space="preserve">45874Natura Manufacturing LLC 2</t>
  </si>
  <si>
    <t xml:space="preserve">https://recalls.cannabis.ca.gov/recalls/688d39f9608329d100bd15bc</t>
  </si>
  <si>
    <t xml:space="preserve">Iced Infused Flower and Infused Pre-Roll</t>
  </si>
  <si>
    <t xml:space="preserve">https://recalls.cannabis.ca.gov/recalls/689a0f741ddade6d2bbbdb25</t>
  </si>
  <si>
    <t xml:space="preserve">Himalaya Vape Cartridge</t>
  </si>
  <si>
    <t xml:space="preserve">Korben Labs LLC</t>
  </si>
  <si>
    <t xml:space="preserve">Adulterated and Misbranded: Prohibited Product</t>
  </si>
  <si>
    <t xml:space="preserve">https://recalls.cannabis.ca.gov/recalls/6896301db1a1dbf6ed2660e4</t>
  </si>
  <si>
    <t xml:space="preserve">8-Track Pre-Roll</t>
  </si>
  <si>
    <t xml:space="preserve">Young Bulls LLC</t>
  </si>
  <si>
    <t xml:space="preserve">https://recalls.cannabis.ca.gov/recalls/68a38a94a2543acbbf481d07</t>
  </si>
  <si>
    <t xml:space="preserve">Mr. Zips Vape Cartridge</t>
  </si>
  <si>
    <t xml:space="preserve">Adulterated: Pesticide Category I Contamination (Daminozide)</t>
  </si>
  <si>
    <t xml:space="preserve">https://recalls.cannabis.ca.gov/recalls/68af7d32f9fe68d804e858be</t>
  </si>
  <si>
    <t xml:space="preserve">Punch Vape Cartridge</t>
  </si>
  <si>
    <t xml:space="preserve">Punch Media LLC</t>
  </si>
  <si>
    <t xml:space="preserve">https://recalls.cannabis.ca.gov/recalls/68bb3c9f277fb53dceadb5f7</t>
  </si>
  <si>
    <t xml:space="preserve">Olala Beverage</t>
  </si>
  <si>
    <t xml:space="preserve">Euphoric Life Inc.</t>
  </si>
  <si>
    <t xml:space="preserve">45909Euphoric Life Inc.2</t>
  </si>
  <si>
    <t xml:space="preserve">https://recalls.cannabis.ca.gov/recalls/68bb3fdd277fb53dceadb5fd</t>
  </si>
  <si>
    <t xml:space="preserve">Reefresh Beverage</t>
  </si>
  <si>
    <t xml:space="preserve">45909Euphoric Life Inc.3</t>
  </si>
  <si>
    <t xml:space="preserve">https://recalls.cannabis.ca.gov/recalls/68bb4102277fb53dceadb600</t>
  </si>
  <si>
    <t xml:space="preserve">Voila Beverage</t>
  </si>
  <si>
    <t xml:space="preserve">45909Euphoric Life Inc.4</t>
  </si>
  <si>
    <t xml:space="preserve">https://recalls.cannabis.ca.gov/recalls/68bb4247277fb53dceadb603</t>
  </si>
  <si>
    <t xml:space="preserve">Live Oro Beverage</t>
  </si>
  <si>
    <t xml:space="preserve">https://recalls.cannabis.ca.gov/recalls/68c9eaf9ee3f253d00cfa2be</t>
  </si>
  <si>
    <t xml:space="preserve">Terpys Infused Flower</t>
  </si>
  <si>
    <t xml:space="preserve">Crème de Canna Collective</t>
  </si>
  <si>
    <t xml:space="preserve">https://recalls.cannabis.ca.gov/recalls/68cd9bbc430614b40340b9ca</t>
  </si>
  <si>
    <t xml:space="preserve">Catalyst Pre-Roll</t>
  </si>
  <si>
    <t xml:space="preserve">Odyssey Agricultural Development LLC</t>
  </si>
  <si>
    <t xml:space="preserve">https://recalls.cannabis.ca.gov/recalls/68dc1e41372f5d5e380d20f1</t>
  </si>
  <si>
    <t xml:space="preserve">Zurpz Integrated Vaporizer</t>
  </si>
  <si>
    <t xml:space="preserve">https://recalls.cannabis.ca.gov/recalls/68f01187a1ea37801c910981</t>
  </si>
  <si>
    <t xml:space="preserve">Cities Pre-Roll</t>
  </si>
  <si>
    <t xml:space="preserve">Mar Bay Gardens</t>
  </si>
  <si>
    <t xml:space="preserve">https://recalls.cannabis.ca.gov/recalls/691508e4bfd28f115bd1da13</t>
  </si>
  <si>
    <t xml:space="preserve">Humble Bounty Flower</t>
  </si>
  <si>
    <t xml:space="preserve">PJC Wellness LLC</t>
  </si>
  <si>
    <t xml:space="preserve">Distributor Without License; No Surveillance of Sampling</t>
  </si>
  <si>
    <t xml:space="preserve">https://recalls.cannabis.ca.gov/recalls/680813de0a02d94b409051cb</t>
  </si>
  <si>
    <t xml:space="preserve">Caviar Gold Infused Pre-Roll</t>
  </si>
  <si>
    <t xml:space="preserve">The Distillate Company LLC</t>
  </si>
  <si>
    <t xml:space="preserve">https://recalls.cannabis.ca.gov/recalls/6924e7173e31dcbd909c9f63</t>
  </si>
  <si>
    <t xml:space="preserve">CLSICS Edible</t>
  </si>
  <si>
    <t xml:space="preserve">Scislc LLC</t>
  </si>
  <si>
    <t xml:space="preserve">https://recalls.cannabis.ca.gov/recalls/6925e7cc4fdb2651d21000be</t>
  </si>
  <si>
    <t xml:space="preserve">Zurpz Connoisseur Integrated Vaporizer</t>
  </si>
  <si>
    <t xml:space="preserve">Crown Genetics LLC</t>
  </si>
  <si>
    <t xml:space="preserve">https://recalls.cannabis.ca.gov/recalls/691f827fb0f55be0f7377c9b</t>
  </si>
  <si>
    <t xml:space="preserve">PotShot Beverage</t>
  </si>
  <si>
    <t xml:space="preserve">No GMP</t>
  </si>
  <si>
    <t xml:space="preserve">https://recalls.cannabis.ca.gov/recalls/6926012c57a72c517a7927fc</t>
  </si>
  <si>
    <t xml:space="preserve">Pure Beauty Flower</t>
  </si>
  <si>
    <t xml:space="preserve">Fluids Manufacturing Inc</t>
  </si>
  <si>
    <t xml:space="preserve">https://recalls.cannabis.ca.gov/recalls/69263e87a4fa6eedebd6c039</t>
  </si>
  <si>
    <t xml:space="preserve">Honey King Infused Pre-Roll</t>
  </si>
  <si>
    <t xml:space="preserve">TKC Group</t>
  </si>
  <si>
    <t xml:space="preserve">https://recalls.cannabis.ca.gov/recalls/692de8526885e3b780908abf</t>
  </si>
  <si>
    <t xml:space="preserve">Coastal Sun Greenhouse Flower</t>
  </si>
  <si>
    <t xml:space="preserve">Strong Agronomy Management Inc.</t>
  </si>
  <si>
    <t xml:space="preserve">https://recalls.cannabis.ca.gov/recalls/69449011220ee0d97a09e7c2</t>
  </si>
  <si>
    <t xml:space="preserve">Vibe Flower</t>
  </si>
  <si>
    <t xml:space="preserve">Sacramento Confidential Delivery Inc.</t>
  </si>
  <si>
    <t xml:space="preserve">https://recalls.cannabis.ca.gov/recalls/6949c333275295130057a2b5</t>
  </si>
  <si>
    <t xml:space="preserve">Herba-Lean THC MCT Tincture</t>
  </si>
  <si>
    <t xml:space="preserve">McHenry Business Services LLC</t>
  </si>
  <si>
    <t xml:space="preserve">Distributor Without License</t>
  </si>
  <si>
    <t xml:space="preserve">46014McHenry Business Services LLC 2</t>
  </si>
  <si>
    <t xml:space="preserve">https://recalls.cannabis.ca.gov/recalls/6949c49c275295130057a2b9</t>
  </si>
  <si>
    <t xml:space="preserve">Canna-Lean THC Tincture</t>
  </si>
  <si>
    <t xml:space="preserve">https://recalls.cannabis.ca.gov/recalls/69612a25c92173ffea4e8179</t>
  </si>
  <si>
    <t xml:space="preserve">Blazrade Integrated Vaporizer</t>
  </si>
  <si>
    <t xml:space="preserve">Arbala Weed LLC</t>
  </si>
  <si>
    <t xml:space="preserve">https://recalls.cannabis.ca.gov/recalls/69851e0f298cd056cfb16d79</t>
  </si>
  <si>
    <t xml:space="preserve">Punch Bar Edible</t>
  </si>
  <si>
    <t xml:space="preserve">Inaccurate Ingredient Label</t>
  </si>
  <si>
    <t xml:space="preserve">https://recalls.cannabis.ca.gov/recalls/6998af38ba87ca08bd8caba5</t>
  </si>
  <si>
    <t xml:space="preserve">Tiny Fires Flower</t>
  </si>
  <si>
    <t xml:space="preserve">Commerce C1 LLC</t>
  </si>
  <si>
    <t xml:space="preserve">https://recalls.cannabis.ca.gov/recalls/69a205cb8fa6fba508b1b4fb</t>
  </si>
  <si>
    <t xml:space="preserve">West Coast Cure Pre-Roll</t>
  </si>
  <si>
    <t xml:space="preserve">https://recalls.cannabis.ca.gov/recalls/69a21d3f96df1c8b70f43527</t>
  </si>
  <si>
    <t xml:space="preserve">Left Coast Flower</t>
  </si>
  <si>
    <t xml:space="preserve">Left Coast LLC</t>
  </si>
  <si>
    <t xml:space="preserve">https://recalls.cannabis.ca.gov/recalls/69a85ce32d19d8796b0803db</t>
  </si>
  <si>
    <t xml:space="preserve">Punch Edibles &amp; Extracts</t>
  </si>
  <si>
    <t xml:space="preserve">https://recalls.cannabis.ca.gov/recalls/69b1b5a32a82b185bbc723ca</t>
  </si>
  <si>
    <t xml:space="preserve">https://web.archive.org/web/20260806223017/https://recalls.cannabis.ca.gov/recalls/69b1b5a32a82b185bbc723ca</t>
  </si>
  <si>
    <t xml:space="preserve">Luigi Integrated Vaporizer</t>
  </si>
  <si>
    <t xml:space="preserve">Vampa Oil LLC</t>
  </si>
  <si>
    <t xml:space="preserve">Distillate from an Unknown and Unidentifiable Source ( Adulterated and Misbranded: Other) </t>
  </si>
  <si>
    <t xml:space="preserve">https://recalls.cannabis.ca.gov/recalls/69bac321a64de26e1f61b1bc</t>
  </si>
  <si>
    <t xml:space="preserve">https://web.archive.org/web/20260806223948/https://recalls.cannabis.ca.gov/recalls/69bac321a64de26e1f61b1bc</t>
  </si>
  <si>
    <t xml:space="preserve">Firehouse Dispensary Infused Pre-Roll</t>
  </si>
  <si>
    <t xml:space="preserve">2130 South Yale Distro LLC</t>
  </si>
  <si>
    <t xml:space="preserve">the inner packaging is missing required labeling.</t>
  </si>
  <si>
    <t xml:space="preserve">https://recalls.cannabis.ca.gov/recalls/69c454e93e73b4fb85e02ce0</t>
  </si>
  <si>
    <t xml:space="preserve">https://web.archive.org/web/20260806224527/https://recalls.cannabis.ca.gov/recalls/69c454e93e73b4fb85e02ce0</t>
  </si>
  <si>
    <t xml:space="preserve">Korova Edible</t>
  </si>
  <si>
    <t xml:space="preserve">Master Extracts, Inc.</t>
  </si>
  <si>
    <t xml:space="preserve">contains the synthetic cannabinoids THC-O and THCP.</t>
  </si>
  <si>
    <t xml:space="preserve">https://recalls.cannabis.ca.gov/recalls/69dfd9e6f9ee786037778a16</t>
  </si>
  <si>
    <t xml:space="preserve">https://recalls.cannabis.ca.gov/recalls/69f5062022586b8849e9ca84</t>
  </si>
  <si>
    <t xml:space="preserve">https://web.archive.org/web/20260806225451/https://recalls.cannabis.ca.gov/recalls/69f5062022586b8849e9ca84</t>
  </si>
  <si>
    <t xml:space="preserve">failure to list allergens on the ingredients list.</t>
  </si>
  <si>
    <t xml:space="preserve">https://recalls.cannabis.ca.gov/recalls/69fcd4c2c3306dd2d846ad42</t>
  </si>
  <si>
    <t xml:space="preserve">https://web.archive.org/web/20260806225823/https://recalls.cannabis.ca.gov/recalls/69fcd4c2c3306dd2d846ad42</t>
  </si>
  <si>
    <t xml:space="preserve">Canna Creamery Edible</t>
  </si>
  <si>
    <t xml:space="preserve">Elevation Distro, LLC</t>
  </si>
  <si>
    <t xml:space="preserve">https://recalls.cannabis.ca.gov/recalls/6a1dc9de98859a29f3f06962</t>
  </si>
  <si>
    <t xml:space="preserve">https://web.archive.org/web/20260806230128/https://recalls.cannabis.ca.gov/recalls/6a1dc9de98859a29f3f06962</t>
  </si>
  <si>
    <t xml:space="preserve">Teds Budz Flower Lamar Odom Rookie </t>
  </si>
  <si>
    <t xml:space="preserve">Ted's Budz LLC</t>
  </si>
  <si>
    <t xml:space="preserve">presence of Aspergillus terreus.</t>
  </si>
  <si>
    <t xml:space="preserve">https://recalls.cannabis.ca.gov/recalls/6a232de738fb6c5513a12792</t>
  </si>
  <si>
    <t xml:space="preserve">https://web.archive.org/web/20260806230803/https://recalls.cannabis.ca.gov/recalls/6a232de738fb6c5513a12792</t>
  </si>
  <si>
    <t xml:space="preserve">White Rabbit Flower</t>
  </si>
  <si>
    <t xml:space="preserve">Poundtown SHM LLC</t>
  </si>
  <si>
    <t xml:space="preserve">incomplete and incorrect regulatory compliance testing.</t>
  </si>
  <si>
    <t xml:space="preserve">https://recalls.cannabis.ca.gov/recalls/6a298137bb2d05e9afc2c265</t>
  </si>
  <si>
    <t xml:space="preserve">https://web.archive.org/web/20260806231110/https://recalls.cannabis.ca.gov/recalls/6a298137bb2d05e9afc2c265</t>
  </si>
  <si>
    <t xml:space="preserve">Hud's Buds Flower</t>
  </si>
  <si>
    <t xml:space="preserve">https://recalls.cannabis.ca.gov/recalls/6a39b80122dc5a363f09adc6</t>
  </si>
  <si>
    <t xml:space="preserve">https://web.archive.org/web/20260806231358/https://recalls.cannabis.ca.gov/recalls/6a39b80122dc5a363f09adc6</t>
  </si>
  <si>
    <t xml:space="preserve">Flower products packaged by The Higher Path Flower</t>
  </si>
  <si>
    <t xml:space="preserve">The Higher Path Patients' Association</t>
  </si>
  <si>
    <t xml:space="preserve">https://recalls.cannabis.ca.gov/recalls/6a39ba986d79688bab955d8f</t>
  </si>
  <si>
    <t xml:space="preserve">https://web.archive.org/web/20260806231718/https://recalls.cannabis.ca.gov/recalls/6a39ba986d79688bab955d8f</t>
  </si>
  <si>
    <t xml:space="preserve">Pre-roll products packaged by The Higher Path Pre-Roll</t>
  </si>
  <si>
    <t xml:space="preserve">https://recalls.cannabis.ca.gov/recalls/6a39be622b28878ef4fac90d</t>
  </si>
  <si>
    <t xml:space="preserve">https://web.archive.org/web/20260806232059/https://recalls.cannabis.ca.gov/recalls/6a39be622b28878ef4fac90d</t>
  </si>
  <si>
    <t xml:space="preserve">Infused pre-roll products packaged by The Higher Path Infused Pre-Roll</t>
  </si>
  <si>
    <t xml:space="preserve">https://recalls.cannabis.ca.gov/recalls/6a3c3b5b3e7bbb565418e5a5</t>
  </si>
  <si>
    <t xml:space="preserve">https://web.archive.org/web/20260806232613/https://recalls.cannabis.ca.gov/recalls/6a3c3b5b3e7bbb565418e5a5</t>
  </si>
  <si>
    <t xml:space="preserve">Lavinia Before Sex Edible</t>
  </si>
  <si>
    <t xml:space="preserve">KGJMK OPCO INC</t>
  </si>
  <si>
    <t xml:space="preserve">false and misleading health-related claims.</t>
  </si>
  <si>
    <t xml:space="preserve">https://recalls.cannabis.ca.gov/recalls/6a43e400469891f7ecd256ae</t>
  </si>
  <si>
    <t xml:space="preserve">https://web.archive.org/web/20260806233125/https://recalls.cannabis.ca.gov/recalls/6a43e400469891f7ecd256ae</t>
  </si>
  <si>
    <t xml:space="preserve">Stiiizy Vape Cartridge and Integrated Vaporizer</t>
  </si>
  <si>
    <t xml:space="preserve">Ironworks Collective, Inc</t>
  </si>
  <si>
    <t xml:space="preserve"> Pesticide Category II Contamination (Pyrethrins). </t>
  </si>
  <si>
    <t xml:space="preserve">https://recalls.cannabis.ca.gov/recalls/6a68dfdbc5b39a34e10f7334</t>
  </si>
  <si>
    <t xml:space="preserve">https://web.archive.org/web/20260806233329/https://recalls.cannabis.ca.gov/recalls/6a68dfdbc5b39a34e10f7334</t>
  </si>
  <si>
    <t xml:space="preserve">Baddies Worldwide Flower</t>
  </si>
  <si>
    <t xml:space="preserve">Green Earth Pharmacy Inc.</t>
  </si>
  <si>
    <t xml:space="preserve">packaging and labeling that is attractive to children.</t>
  </si>
  <si>
    <t xml:space="preserve">https://recalls.cannabis.ca.gov/recalls/6a7def131ecec3939f89bbf8</t>
  </si>
  <si>
    <t xml:space="preserve">https://web.archive.org/web/20260904162908/https://recalls.cannabis.ca.gov/recalls/6a7def131ecec3939f89bbf8</t>
  </si>
  <si>
    <t xml:space="preserve">Not Your Father's Beverage</t>
  </si>
  <si>
    <t xml:space="preserve">LP Roadrunner Logistics LLC</t>
  </si>
  <si>
    <t xml:space="preserve">https://recalls.cannabis.ca.gov/recalls/6a7df5f743ccda90f01aa8d9</t>
  </si>
  <si>
    <t xml:space="preserve">https://web.archive.org/web/20260904164303/https://recalls.cannabis.ca.gov/recalls/6a7df5f743ccda90f01aa8d9</t>
  </si>
  <si>
    <t xml:space="preserve">St Ides</t>
  </si>
  <si>
    <t xml:space="preserve">https://recalls.cannabis.ca.gov/recalls/6a8f33edb98914ac1cbf7ad5</t>
  </si>
  <si>
    <t xml:space="preserve">https://web.archive.org/web/20260904164937/https://recalls.cannabis.ca.gov/recalls/6a8f33edb98914ac1cbf7ad5</t>
  </si>
  <si>
    <t xml:space="preserve">ASHE Vape Cartridge</t>
  </si>
  <si>
    <t xml:space="preserve">Crown Genetics, LLC</t>
  </si>
  <si>
    <t xml:space="preserve">https://recalls.cannabis.ca.gov/recalls/6aa070a00b3990d0d1911b0b</t>
  </si>
  <si>
    <t xml:space="preserve">https://web.archive.org/web/20261006171958/https://recalls.cannabis.ca.gov/recalls/6aa070a00b3990d0d1911b0b</t>
  </si>
  <si>
    <t xml:space="preserve">Mwah Integrated Vaporizer</t>
  </si>
  <si>
    <t xml:space="preserve">MTN Group, Inc.</t>
  </si>
  <si>
    <t xml:space="preserve">https://recalls.cannabis.ca.gov/recalls/6aa1a4bcb4769c715186bad8</t>
  </si>
  <si>
    <t xml:space="preserve">https://web.archive.org/web/20261006173158/https://accounts.google.com/v3/signin/identifier?continue=https://docs.google.com/spreadsheets/d/17JBmDRWDa_EDOp6PvbQLT1gbOnHdK5XleaaQwNZ9ie4/edit?gid%3D0&amp;followup=https://docs.google.com/spreadsheets/d/17JBmDRWDa_EDOp6PvbQLT1gbOnHdK5XleaaQwNZ9ie4/edit?gid%3D0&amp;ltmpl=sheets&amp;osid=1&amp;passive=1209600&amp;service=wise&amp;flowName=GlifWebSignIn&amp;flowEntry=ServiceLogin&amp;dsh=S-1087237001:1791307916246548</t>
  </si>
  <si>
    <t xml:space="preserve">Iced Infused Flower</t>
  </si>
  <si>
    <t xml:space="preserve">Natura Distribution LLC, A2B; Heritage Co-Pack</t>
  </si>
  <si>
    <t xml:space="preserve">some of the cannabis used to make these cannabis goods was sourced from a third party cultivator who produced cannabis under unsanitary conditions and the methods, facilities, or controls used to cultivate the cannabis did not conform with pesticide statutes and regulations.</t>
  </si>
  <si>
    <t xml:space="preserve">https://recalls.cannabis.ca.gov/recalls/6aa2e912f2accebd33e19a65</t>
  </si>
  <si>
    <t xml:space="preserve">https://web.archive.org/web/20261006173540/https://recalls.cannabis.ca.gov/recalls/6aa2e912f2accebd33e19a65</t>
  </si>
  <si>
    <t xml:space="preserve">Tree House Flower</t>
  </si>
  <si>
    <t xml:space="preserve">Peace and Joy LLC</t>
  </si>
  <si>
    <t xml:space="preserve">https://recalls.cannabis.ca.gov/recalls/6aa2ec645346d55ff8c73669</t>
  </si>
  <si>
    <t xml:space="preserve">https://web.archive.org/web/20261006183543/https://recalls.cannabis.ca.gov/recalls/6aa2ec645346d55ff8c73669</t>
  </si>
  <si>
    <t xml:space="preserve">Martini's Pre-Roll</t>
  </si>
  <si>
    <t xml:space="preserve">some of the cannabis used to make these cannabis goods was sourced from a third-party cultivator who produced cannabis under unsanitary conditions and the methods, facilities, or controls used to cultivate the cannabis did not conform with pesticide statutes and regulations.</t>
  </si>
  <si>
    <t xml:space="preserve">https://recalls.cannabis.ca.gov/recalls/6aa1c7498a36944d2b7efd81</t>
  </si>
  <si>
    <t xml:space="preserve">Cali Lean Tincture</t>
  </si>
  <si>
    <t xml:space="preserve">510 Consultants LLC</t>
  </si>
  <si>
    <t xml:space="preserve">https://recalls.cannabis.ca.gov/recalls/6aa4651fa0feceb139d91ef9</t>
  </si>
  <si>
    <t xml:space="preserve">https://web.archive.org/web/20261006184842/https://recalls.cannabis.ca.gov/recalls/6aa4651fa0feceb139d91ef9</t>
  </si>
  <si>
    <t xml:space="preserve">the presence of Aspergillus niger and Aspergillus terreus.</t>
  </si>
  <si>
    <t xml:space="preserve">Colorado</t>
  </si>
  <si>
    <t xml:space="preserve">https://web.archive.org/web/20160913223139/https://www.denvergov.org/content/denvergov/en/environmental-health/about-us/news-room/2015/mahatma-concentrates-recalls-marijuana-product-due-to-possible-p.html</t>
  </si>
  <si>
    <t xml:space="preserve">Mahatma Concentrates</t>
  </si>
  <si>
    <t xml:space="preserve">Imidacloprid, Mycobutanil and Avermectin</t>
  </si>
  <si>
    <t xml:space="preserve">City Recall Page</t>
  </si>
  <si>
    <t xml:space="preserve">https://web.archive.org/web/20160913211656/https://www.denvergov.org/content/denvergov/en/environmental-health/about-us/news-room/2015/TwoBusinessesRecallMarijuanaProducts.html</t>
  </si>
  <si>
    <t xml:space="preserve">Sacred Seed</t>
  </si>
  <si>
    <t xml:space="preserve">Mycobutanil, Spiromefesin and Avermectin</t>
  </si>
  <si>
    <t xml:space="preserve">Denver-Rec</t>
  </si>
  <si>
    <t xml:space="preserve">https://web.archive.org/web/20160913222800/https://www.denvergov.org/content/denvergov/en/environmental-health/about-us/news-room/2015/two-denver-cultivation-facilities-recall-marijuana-products--due.html</t>
  </si>
  <si>
    <t xml:space="preserve">TruCannabis/Colorado Care Facility</t>
  </si>
  <si>
    <t xml:space="preserve">Mycobutanil, Spiromefesin and Imidacloprid</t>
  </si>
  <si>
    <t xml:space="preserve">https://web.archive.org/web/20160913223522/https://www.denvergov.org/content/denvergov/en/environmental-health/about-us/news-room/2015/nature_s-cure-recalls-marijuana-products-due-to-possible-pestici.html</t>
  </si>
  <si>
    <t xml:space="preserve">Nature’s Cure/Colfax Pot Shop</t>
  </si>
  <si>
    <t xml:space="preserve">Spiromefesin</t>
  </si>
  <si>
    <t xml:space="preserve">https://web.archive.org/web/20180429040251/http://www.denvergov.org/content/denvergov/en/environmental-health/about-us/news-room/2015/green-cross-recalls-marijuana-products-due-to-possible-pesticide.html</t>
  </si>
  <si>
    <t xml:space="preserve">EdiPure/Green Cross</t>
  </si>
  <si>
    <t xml:space="preserve">https://web.archive.org/web/20160731234447/http://www.denvergov.org/content/denvergov/en/environmental-health/about-us/news-room/2015/gaia_s-garden-recalls-marijuana-products-due-to-possible-pestici.html</t>
  </si>
  <si>
    <t xml:space="preserve">Gaia’s Garden</t>
  </si>
  <si>
    <t xml:space="preserve">https://web.archive.org/web/20151205052712/https://www.denvergov.org/content/denvergov/en/environmental-health/about-us/news-room/2015/Marijuana-product-recall.html</t>
  </si>
  <si>
    <t xml:space="preserve">Lab710 Concentrates</t>
  </si>
  <si>
    <t xml:space="preserve">Imidacloprid</t>
  </si>
  <si>
    <t xml:space="preserve">https://web.archive.org/web/20151216222102/http://www.denvergov.org/content/denvergov/en/environmental-health/about-us/news-room/2015/gaia_s-garden-recalls-marijuana-products-due-to-possible-pestici.html</t>
  </si>
  <si>
    <t xml:space="preserve">https://web.archive.org/web/20160913215642/https://www.denvergov.org/content/denvergov/en/environmental-health/about-us/news-room/2015/edipure-recalls-marijuana-products-due-to-pesticide-residues.html</t>
  </si>
  <si>
    <t xml:space="preserve">EdiPure</t>
  </si>
  <si>
    <t xml:space="preserve">Myclobutanil, Avermectin, and Imidacloprid</t>
  </si>
  <si>
    <t xml:space="preserve">https://www.thecannabist.co/2015/12/04/pesticide-pot-recall-list-marijuana/44711/</t>
  </si>
  <si>
    <t xml:space="preserve">Advanced Medical Alternatives</t>
  </si>
  <si>
    <t xml:space="preserve">unspecified pesticide</t>
  </si>
  <si>
    <t xml:space="preserve">Caviar Kings, Neos, RevTec</t>
  </si>
  <si>
    <t xml:space="preserve">imidacloprid and myclobutanil</t>
  </si>
  <si>
    <t xml:space="preserve">myclobutanil and etoxazole</t>
  </si>
  <si>
    <t xml:space="preserve">Mountain High Suckers</t>
  </si>
  <si>
    <t xml:space="preserve">42417ColoradoHigh Mountain Medz LLC</t>
  </si>
  <si>
    <t xml:space="preserve">https://sbg.colorado.gov/sites/sbg/files/MED%20Levity%20Advisory%2002192016_1_1.pdf</t>
  </si>
  <si>
    <t xml:space="preserve">High Mountain Medz LLC</t>
  </si>
  <si>
    <t xml:space="preserve">Myclobutanil</t>
  </si>
  <si>
    <t xml:space="preserve">42417ColoradoDr Releaf Inc</t>
  </si>
  <si>
    <t xml:space="preserve">https://sbg.colorado.gov/sites/sbg/files/MED%20Dr.%20Releaf%20Advisory%2002192016_1_1.pdf</t>
  </si>
  <si>
    <t xml:space="preserve">Dr Releaf Inc</t>
  </si>
  <si>
    <t xml:space="preserve">42423ColoradoXG Platinum Corporation</t>
  </si>
  <si>
    <t xml:space="preserve">https://sbg.colorado.gov/sites/sbg/files/2.23.16%20XG%20Platinum%20HSA_1_1.pdf</t>
  </si>
  <si>
    <t xml:space="preserve">XG Platinum Corporation</t>
  </si>
  <si>
    <t xml:space="preserve">Myclobutanil and Etoxazole</t>
  </si>
  <si>
    <t xml:space="preserve">42424ColoradoRocky Mountain Organic Medicine Inc</t>
  </si>
  <si>
    <t xml:space="preserve">https://sbg.colorado.gov/sites/sbg/files/Health%20%26%20Safety%20Advisory%20-%20RMO%202-24-16%20Final_1_1.pdf</t>
  </si>
  <si>
    <t xml:space="preserve">Rocky Mountain Organic Medicine Inc</t>
  </si>
  <si>
    <t xml:space="preserve">Myclobutanil and Spinosyn A,</t>
  </si>
  <si>
    <t xml:space="preserve">42425ColoradoBack to the Garden Health &amp; Wellness Center LLC</t>
  </si>
  <si>
    <t xml:space="preserve">https://sbg.colorado.gov/sites/sbg/files/2.25.16%20BTTG%20final_1_1.pdf</t>
  </si>
  <si>
    <t xml:space="preserve">Back to the Garden Health &amp; Wellness Center LLC</t>
  </si>
  <si>
    <t xml:space="preserve">Myclobutanil and Avermectin Bla</t>
  </si>
  <si>
    <t xml:space="preserve">42436ColoradoSunrise Solutions LLC</t>
  </si>
  <si>
    <t xml:space="preserve">https://sbg.colorado.gov/sites/sbg/files/160307%20Advisory%20-%20Sunrise%20Solutions_Final%20%281%29_2_1.pdf</t>
  </si>
  <si>
    <t xml:space="preserve">Sunrise Solutions LLC</t>
  </si>
  <si>
    <t xml:space="preserve">Etoxazole and Imidacloprid</t>
  </si>
  <si>
    <t xml:space="preserve">42438ColoradoArtisanal Medicinals.</t>
  </si>
  <si>
    <t xml:space="preserve">https://sbg.colorado.gov/sites/sbg/files/CNW%20Final%2003092016_1.pdf</t>
  </si>
  <si>
    <t xml:space="preserve">Artisanal Medicinals.</t>
  </si>
  <si>
    <t xml:space="preserve">42439ColoradoHeadquarters Emporium and Dispensary LLC</t>
  </si>
  <si>
    <t xml:space="preserve">https://sbg.colorado.gov/sites/sbg/files/Headquarters%20Emp%20HSA%20final%2003102016_1_1.pdf</t>
  </si>
  <si>
    <t xml:space="preserve">Headquarters Emporium and Dispensary LLC</t>
  </si>
  <si>
    <t xml:space="preserve">Spiromesifin</t>
  </si>
  <si>
    <t xml:space="preserve">42439ColoradoSkinny Pineapple Inc</t>
  </si>
  <si>
    <t xml:space="preserve">https://sbg.colorado.gov/sites/sbg/files/SkinnyPineapple%20Final%2003102016_1_1.pdf</t>
  </si>
  <si>
    <t xml:space="preserve">Skinny Pineapple Inc</t>
  </si>
  <si>
    <t xml:space="preserve">Avermectin</t>
  </si>
  <si>
    <t xml:space="preserve">42443ColoradoAdvanced Medical Alternatives LLC</t>
  </si>
  <si>
    <t xml:space="preserve">https://sbg.colorado.gov/sites/sbg/files/AMA%20Final%2003142016_1_1.pdf</t>
  </si>
  <si>
    <t xml:space="preserve">Advanced Medical Alternatives LLC</t>
  </si>
  <si>
    <t xml:space="preserve">42443ColoradoRR Services LLC</t>
  </si>
  <si>
    <t xml:space="preserve">https://sbg.colorado.gov/sites/sbg/files/RR%20Services%20Final%2003142016_1_1.pdf</t>
  </si>
  <si>
    <t xml:space="preserve">RR Services LLC</t>
  </si>
  <si>
    <t xml:space="preserve">42446ColoradoMGI Inc</t>
  </si>
  <si>
    <t xml:space="preserve">https://sbg.colorado.gov/sites/sbg/files/MGI%20HSA%2003172016_1_1.pdf</t>
  </si>
  <si>
    <t xml:space="preserve">MGI Inc</t>
  </si>
  <si>
    <t xml:space="preserve">42450ColoradoColorados Best Inc</t>
  </si>
  <si>
    <t xml:space="preserve">https://sbg.colorado.gov/sites/sbg/files/Colorados%20Best%2003212016_1.pdf</t>
  </si>
  <si>
    <t xml:space="preserve">Colorados Best Inc</t>
  </si>
  <si>
    <t xml:space="preserve">42452ColoradoFirehouse Organics Central LLC</t>
  </si>
  <si>
    <t xml:space="preserve">https://sbg.colorado.gov/sites/sbg/files/Firehouse%20central%20final%2003232016%20%281%29_1.pdf</t>
  </si>
  <si>
    <t xml:space="preserve">Firehouse Organics Central LLC</t>
  </si>
  <si>
    <t xml:space="preserve">42461ColoradoHealth Depot LLC</t>
  </si>
  <si>
    <t xml:space="preserve">https://sbg.colorado.gov/sites/sbg/files/Health%20Depot%20LLC%2004012016_1_1.pdf</t>
  </si>
  <si>
    <t xml:space="preserve">Health Depot LLC</t>
  </si>
  <si>
    <t xml:space="preserve">42461ColoradoWanna LLC</t>
  </si>
  <si>
    <t xml:space="preserve">https://sbg.colorado.gov/sites/sbg/files/Wanna%20LLC%2004012016_1_1.pdf</t>
  </si>
  <si>
    <t xml:space="preserve">Wanna LLC</t>
  </si>
  <si>
    <t xml:space="preserve">42465ColoradoACME HEALING CENTER OF RIDGWAY LLC</t>
  </si>
  <si>
    <t xml:space="preserve">https://sbg.colorado.gov/sites/sbg/files/ACME%20Healing%20Center%20of%20Ridgway%20LLC%2004052016_1_1.pdf</t>
  </si>
  <si>
    <t xml:space="preserve">ACME HEALING CENTER OF RIDGWAY LLC</t>
  </si>
  <si>
    <t xml:space="preserve">42467ColoradoFlower Power Botanicals LLC</t>
  </si>
  <si>
    <t xml:space="preserve">https://sbg.colorado.gov/sites/sbg/files/Flower%20Power%20HSA%2004072016_1_1.pdf</t>
  </si>
  <si>
    <t xml:space="preserve">Flower Power Botanicals LLC</t>
  </si>
  <si>
    <t xml:space="preserve">Azoxystrobin and Imidacloprid</t>
  </si>
  <si>
    <t xml:space="preserve">42467ColoradoJ and J ENTERPRISES Inc</t>
  </si>
  <si>
    <t xml:space="preserve">https://sbg.colorado.gov/sites/sbg/files/J%20and%20J%2004072016_1_1.pdf</t>
  </si>
  <si>
    <t xml:space="preserve">J and J ENTERPRISES Inc</t>
  </si>
  <si>
    <t xml:space="preserve">Etoxazole</t>
  </si>
  <si>
    <t xml:space="preserve">42481ColoradoGrow Life LLC</t>
  </si>
  <si>
    <t xml:space="preserve">https://sbg.colorado.gov/sites/sbg/files/Grow%20Life%20HSA%2004212016_1_1.pdf</t>
  </si>
  <si>
    <t xml:space="preserve">Grow Life LLC</t>
  </si>
  <si>
    <t xml:space="preserve">42482ColoradoMedicine Man LLC</t>
  </si>
  <si>
    <t xml:space="preserve">https://sbg.colorado.gov/sites/sbg/files/Medicine%20Man%20HSA%2004222016_1.pdf</t>
  </si>
  <si>
    <t xml:space="preserve">Medicine Man LLC</t>
  </si>
  <si>
    <t xml:space="preserve">42486ColoradoKazimer LLC</t>
  </si>
  <si>
    <t xml:space="preserve">https://sbg.colorado.gov/sites/sbg/files/Kazimer%20HSA%20%2004162016_1_1.pdf</t>
  </si>
  <si>
    <t xml:space="preserve">Kazimer LLC</t>
  </si>
  <si>
    <t xml:space="preserve">42513ColoradoBest Budz LLC.</t>
  </si>
  <si>
    <t xml:space="preserve">https://sbg.colorado.gov/sites/sbg/files/Best%20Budz%20HSA%2005232016_1_1.pdf</t>
  </si>
  <si>
    <t xml:space="preserve">Best Budz LLC.</t>
  </si>
  <si>
    <t xml:space="preserve">Myclobutanil and Spiromesifin</t>
  </si>
  <si>
    <t xml:space="preserve">42513ColoradoBiomeds LLC</t>
  </si>
  <si>
    <t xml:space="preserve">https://sbg.colorado.gov/sites/sbg/files/Biomeds%20HSA%2005232016_1_1.pdf</t>
  </si>
  <si>
    <t xml:space="preserve">Biomeds LLC</t>
  </si>
  <si>
    <t xml:space="preserve">Propiconazole</t>
  </si>
  <si>
    <t xml:space="preserve">42620ColoradoAlternative Medicine on Capitol Hill</t>
  </si>
  <si>
    <t xml:space="preserve">https://sbg.colorado.gov/sites/sbg/files/9.7.16%20AMOCH%20HSA_1.pdf</t>
  </si>
  <si>
    <t xml:space="preserve">Alternative Medicine on Capitol Hill</t>
  </si>
  <si>
    <t xml:space="preserve">42620ColoradoGreen Natural Solutions, Inc</t>
  </si>
  <si>
    <t xml:space="preserve">https://sbg.colorado.gov/sites/sbg/files/9.7.16%20Green%20Naturals%20HSA_1.pdf</t>
  </si>
  <si>
    <t xml:space="preserve">Green Natural Solutions, Inc</t>
  </si>
  <si>
    <t xml:space="preserve">Myclobutanil and Spinosyn</t>
  </si>
  <si>
    <t xml:space="preserve">42626ColoradoSouthern Colorado Medical Marijuana, LLC</t>
  </si>
  <si>
    <t xml:space="preserve">https://sbg.colorado.gov/sites/sbg/files/9.13.16%20Southern%20Colorado%20HSA_1.pdf</t>
  </si>
  <si>
    <t xml:space="preserve">Southern Colorado Medical Marijuana, LLC</t>
  </si>
  <si>
    <t xml:space="preserve">Imidacloprid, Spiromesifin, Myclobutanil, and Avermectin</t>
  </si>
  <si>
    <t xml:space="preserve">42626ColoradoThe Tea Pot, LLC.</t>
  </si>
  <si>
    <t xml:space="preserve">https://sbg.colorado.gov/sites/sbg/files/9.13.16%20The%20Tea%20Pot_1.pdf</t>
  </si>
  <si>
    <t xml:space="preserve">The Tea Pot, LLC.</t>
  </si>
  <si>
    <t xml:space="preserve">42636ColoradoJVT Enterprises Inc. dba</t>
  </si>
  <si>
    <t xml:space="preserve">https://sbg.colorado.gov/sites/sbg/files/JVT%20Enterprises%20HSA%2009232016_1.pdf</t>
  </si>
  <si>
    <t xml:space="preserve">JVT Enterprises Inc. dba</t>
  </si>
  <si>
    <t xml:space="preserve">42636ColoradoWash Park Boutique LLC</t>
  </si>
  <si>
    <t xml:space="preserve">https://sbg.colorado.gov/sites/sbg/files/HSA%20Wash%20Park%20Boutique%20HSA%2009232016_1.pdf</t>
  </si>
  <si>
    <t xml:space="preserve">Wash Park Boutique LLC</t>
  </si>
  <si>
    <t xml:space="preserve">42662ColoradoGreen Meadows Wellness LLC,</t>
  </si>
  <si>
    <t xml:space="preserve">https://drive.google.com/file/d/1VfVYuvXn63TWF1ZzeDR83DcrX1qkO9Yt/view?usp=sharing</t>
  </si>
  <si>
    <t xml:space="preserve">Green Meadows Wellness LLC,</t>
  </si>
  <si>
    <t xml:space="preserve">42851ColoradoHerbal Options, LLC</t>
  </si>
  <si>
    <t xml:space="preserve">https://sbg.colorado.gov/sites/sbg/files/Herbal%20Options%20HSA%2004262017_1_1.pdf</t>
  </si>
  <si>
    <t xml:space="preserve">Herbal Options, LLC</t>
  </si>
  <si>
    <t xml:space="preserve">Pyrimethanil, Tebuconazole, and Spinosyn</t>
  </si>
  <si>
    <t xml:space="preserve">42851ColoradoRocky Mountain Ways, LLC</t>
  </si>
  <si>
    <t xml:space="preserve">https://sbg.colorado.gov/sites/sbg/files/Rocky%20Mtn%20Ways%20HSA%2004262017_1_1.pdf</t>
  </si>
  <si>
    <t xml:space="preserve">Rocky Mountain Ways, LLC</t>
  </si>
  <si>
    <t xml:space="preserve">42940ColoradoKirke LLC</t>
  </si>
  <si>
    <t xml:space="preserve">https://sbg.colorado.gov/sites/sbg/files/documents/7.19%20Kirke.pdf</t>
  </si>
  <si>
    <t xml:space="preserve">Kirke LLC</t>
  </si>
  <si>
    <t xml:space="preserve">Myclobutanil, Bifenazate, Avermectin, and Imidacloprid</t>
  </si>
  <si>
    <t xml:space="preserve">42940ColoradoMetro Denver Telluride Health Center LLC</t>
  </si>
  <si>
    <t xml:space="preserve">https://sbg.colorado.gov/sites/sbg/files/documents/Metro%20Denver%20Telluride%20HSA%2007202017.pdf</t>
  </si>
  <si>
    <t xml:space="preserve">Metro Denver Telluride Health Center LLC</t>
  </si>
  <si>
    <t xml:space="preserve">43000ColoradoRK Enterprises LTD</t>
  </si>
  <si>
    <t xml:space="preserve">https://drive.google.com/file/d/1ujY1WAdeo6T8TUTehRd0N3O8ayw5eAsD/view?usp=sharing</t>
  </si>
  <si>
    <t xml:space="preserve">RK Enterprises LTD</t>
  </si>
  <si>
    <t xml:space="preserve">43042ColoradoTree of Wellness INC</t>
  </si>
  <si>
    <t xml:space="preserve">https://sbg.colorado.gov/sites/sbg/files/HSATree%20of%20Wellness%2011032017_2.pdf</t>
  </si>
  <si>
    <t xml:space="preserve">Tree of Wellness INC</t>
  </si>
  <si>
    <t xml:space="preserve">43056ColoradoCiti-Med LLC</t>
  </si>
  <si>
    <t xml:space="preserve">https://sbg.colorado.gov/sites/sbg/files/HSA%20Citi-Med%2011172017_2.pdf</t>
  </si>
  <si>
    <t xml:space="preserve">Citi-Med LLC</t>
  </si>
  <si>
    <t xml:space="preserve">43061ColoradoPikes Peak Cannabis Caregivers LLC</t>
  </si>
  <si>
    <t xml:space="preserve">https://sbg.colorado.gov/sites/sbg/files/HSA%20Pikes%20Peak%20Cannabis%20Caregivers%20for%20Life%20402-00123%20and%20403-01328_1.pdf</t>
  </si>
  <si>
    <t xml:space="preserve">Pikes Peak Cannabis Caregivers LLC</t>
  </si>
  <si>
    <t xml:space="preserve">43124ColoradoBronnor Corp</t>
  </si>
  <si>
    <t xml:space="preserve">https://sbg.colorado.gov/sites/sbg/files/01242018%20Bronner%20Corp%20HSA.pdf</t>
  </si>
  <si>
    <t xml:space="preserve">Bronnor Corp</t>
  </si>
  <si>
    <t xml:space="preserve">residual Ethanol</t>
  </si>
  <si>
    <t xml:space="preserve">43425ColoradoColorado Wellness Centers LLC</t>
  </si>
  <si>
    <t xml:space="preserve">https://sbg.colorado.gov/sites/sbg/files/181121%20HSA%20CWC.pdf</t>
  </si>
  <si>
    <t xml:space="preserve">Colorado Wellness Centers LLC</t>
  </si>
  <si>
    <t xml:space="preserve">Pyriproxyfen</t>
  </si>
  <si>
    <t xml:space="preserve">43432ColoradoCrossroads Wellness LLC</t>
  </si>
  <si>
    <t xml:space="preserve">https://sbg.colorado.gov/sites/sbg/files/Crossroads%20Wellness%20HSA%20Final.pdf</t>
  </si>
  <si>
    <t xml:space="preserve">Crossroads Wellness LLC</t>
  </si>
  <si>
    <t xml:space="preserve">Bifenthrin and Diuron</t>
  </si>
  <si>
    <t xml:space="preserve">43566ColoradoMile High Medical LLC</t>
  </si>
  <si>
    <t xml:space="preserve">https://sbg.colorado.gov/sites/sbg/files/HSA%20Mile%20High%20Medical%2004112019.pdf</t>
  </si>
  <si>
    <t xml:space="preserve">Mile High Medical LLC</t>
  </si>
  <si>
    <t xml:space="preserve">Diuron</t>
  </si>
  <si>
    <t xml:space="preserve">43693ColoradoHerbal Wellness LLC.</t>
  </si>
  <si>
    <t xml:space="preserve">https://sbg.colorado.gov/sites/sbg/files/documents/190816%20Public%20Health%20and%20Safety%20Advisory-%20Herbal%20Wellness%2C%20LLC.pdf</t>
  </si>
  <si>
    <t xml:space="preserve">Herbal Wellness LLC.</t>
  </si>
  <si>
    <t xml:space="preserve">microbial contamination</t>
  </si>
  <si>
    <t xml:space="preserve">43791ColoradoSeveral</t>
  </si>
  <si>
    <t xml:space="preserve">https://drive.google.com/open?id=1RJSbwmD5DzoI-E09vDshbUATjN9wvx6h</t>
  </si>
  <si>
    <t xml:space="preserve">Several</t>
  </si>
  <si>
    <t xml:space="preserve">43894ColoradoCliintel Capital Group LLC, others</t>
  </si>
  <si>
    <t xml:space="preserve">https://drive.google.com/open?id=1oZxftn0twX4egl0ZPGDbIi0UL12ey3uS</t>
  </si>
  <si>
    <t xml:space="preserve">Cliintel Capital Group LLC, others</t>
  </si>
  <si>
    <t xml:space="preserve">Prohibited Additives</t>
  </si>
  <si>
    <t xml:space="preserve">44022ColoradoKinfolk Farms, LLC</t>
  </si>
  <si>
    <t xml:space="preserve">https://drive.google.com/file/d/1fA2Md16UM1sp028SKLWjIme7_Cvc_3Qs/view</t>
  </si>
  <si>
    <t xml:space="preserve">Kinfolk Farms, LLC</t>
  </si>
  <si>
    <t xml:space="preserve">44069Colorado4900 Jackson LLC</t>
  </si>
  <si>
    <t xml:space="preserve">https://drive.google.com/file/d/15p7-15uOMGjz84uqEYz5hpUljx-oP62p/view</t>
  </si>
  <si>
    <t xml:space="preserve">4900 Jackson LLC</t>
  </si>
  <si>
    <t xml:space="preserve">yeast and mold</t>
  </si>
  <si>
    <t xml:space="preserve">44112ColoradoEvan D Management, LLC</t>
  </si>
  <si>
    <t xml:space="preserve">https://drive.google.com/file/d/1xowig7vPtl-lz_xUAALt3DIxeGua1xY6/view?usp=sharing</t>
  </si>
  <si>
    <t xml:space="preserve">Evan D Management, LLC</t>
  </si>
  <si>
    <t xml:space="preserve">Arsenic, Yeast, and mold</t>
  </si>
  <si>
    <t xml:space="preserve">44140ColoradoPhysician Preferred Products LLC</t>
  </si>
  <si>
    <t xml:space="preserve">https://sbg.colorado.gov/sites/sbg/files/201105%20HSA%20Physician%20Preferred%20Products%20LLC%20403-01905.pdf</t>
  </si>
  <si>
    <t xml:space="preserve">Physician Preferred Products LLC</t>
  </si>
  <si>
    <t xml:space="preserve">44204ColoradoCarrick-Harvest, LLC</t>
  </si>
  <si>
    <t xml:space="preserve">https://sbg.colorado.gov/sites/sbg/files/documents/Health%20and%20Safety%20Advisory%20-%20Carrick-Harvest%20LLC.pdf</t>
  </si>
  <si>
    <t xml:space="preserve">Carrick-Harvest, LLC</t>
  </si>
  <si>
    <t xml:space="preserve">44237ColoradoMedically Correct LLC</t>
  </si>
  <si>
    <t xml:space="preserve">https://sbg.colorado.gov/sites/sbg/files/documents/210210%20FINAL%20Medically%20Correct%20HSA.pdf</t>
  </si>
  <si>
    <t xml:space="preserve">Medically Correct LLC</t>
  </si>
  <si>
    <t xml:space="preserve">mislabeling Cannabinoid Content (5 mg vs 10 mg)</t>
  </si>
  <si>
    <t xml:space="preserve">44286ColoradoTZ Financial, LLC</t>
  </si>
  <si>
    <t xml:space="preserve">https://sbg.colorado.gov/sites/sbg/files/documents/20210330%20TZ%20Financial%20LLC%20403R-00123%20HSA%20Final.pdf</t>
  </si>
  <si>
    <t xml:space="preserve">TZ Financial, LLC</t>
  </si>
  <si>
    <t xml:space="preserve">Cadmium</t>
  </si>
  <si>
    <t xml:space="preserve">44305ColoradoPrimal LLC</t>
  </si>
  <si>
    <t xml:space="preserve">https://sbg.colorado.gov/sites/sbg/files/documents/210419%20HSA%20Primal%20LLC%20402-01058%20Final.pdf</t>
  </si>
  <si>
    <t xml:space="preserve">Primal LLC</t>
  </si>
  <si>
    <t xml:space="preserve">Lead, Yeast, and mold</t>
  </si>
  <si>
    <t xml:space="preserve">44484ColoradoThe Chronic Factory LLC</t>
  </si>
  <si>
    <t xml:space="preserve">https://sbg.colorado.gov/sites/sbg/files/Health_and_Safety_Advisory_The_Chronic_Factory_LLC.pdf</t>
  </si>
  <si>
    <t xml:space="preserve">The Chronic Factory LLC</t>
  </si>
  <si>
    <t xml:space="preserve">44518ColoradoFIRST CLASS LLC</t>
  </si>
  <si>
    <t xml:space="preserve">https://drive.google.com/file/d/1ap4Pkw4aJxhvzy9G0tbZNkViwE69_6Ry/view?usp=sharing</t>
  </si>
  <si>
    <t xml:space="preserve">FIRST CLASS LLC</t>
  </si>
  <si>
    <t xml:space="preserve">Mercury</t>
  </si>
  <si>
    <t xml:space="preserve">44538ColoradoTree Farmers LLC</t>
  </si>
  <si>
    <t xml:space="preserve">https://sbg.colorado.gov/sites/sbg/files/documents/Health_and_Safety_Advisory_Tree_Farmers_LLC_211208.pdf</t>
  </si>
  <si>
    <t xml:space="preserve">Tree Farmers LLC</t>
  </si>
  <si>
    <t xml:space="preserve">44544ColoradoInnovative Fusion LLC</t>
  </si>
  <si>
    <t xml:space="preserve">https://sbg.colorado.gov/sites/sbg/files/documents/Health_and_Safety_Advisory_211214_REVISED_HSA_Innovative_Fusion_LLC.pdf</t>
  </si>
  <si>
    <t xml:space="preserve">Innovative Fusion LLC</t>
  </si>
  <si>
    <t xml:space="preserve">untested and contaminated</t>
  </si>
  <si>
    <t xml:space="preserve">44594ColoradoDJR Colorado, LLC</t>
  </si>
  <si>
    <t xml:space="preserve">https://docs.google.com/document/d/1S_40b2SJe9L_ZeHc-fK7Klq19YMnDROTX3cy81itYks/edit</t>
  </si>
  <si>
    <t xml:space="preserve">DJR Colorado, LLC</t>
  </si>
  <si>
    <t xml:space="preserve">44620ColoradoJEM Dutch Acres, LLC</t>
  </si>
  <si>
    <t xml:space="preserve">https://drive.google.com/file/d/1I-nbQQyv4UKLNghmjmbliC_WVa8fkpeJ/view</t>
  </si>
  <si>
    <t xml:space="preserve">JEM Dutch Acres, LLC</t>
  </si>
  <si>
    <t xml:space="preserve">lead</t>
  </si>
  <si>
    <t xml:space="preserve">44631ColoradoLivWell</t>
  </si>
  <si>
    <t xml:space="preserve">https://sbg.colorado.gov/sites/sbg/files/Health_and_Safety_Advisory_LivWell_I_LLC_403R-00252.pdf</t>
  </si>
  <si>
    <t xml:space="preserve">LivWell</t>
  </si>
  <si>
    <t xml:space="preserve">Untested, yeast and mold</t>
  </si>
  <si>
    <t xml:space="preserve">44671ColoradoFresh Baked, LLC</t>
  </si>
  <si>
    <t xml:space="preserve">https://sbg.colorado.gov/sites/sbg/files/documents/220420Final_Fresh_Baked_LLC_403R-00250_HSA.pdf</t>
  </si>
  <si>
    <t xml:space="preserve">Fresh Baked, LLC</t>
  </si>
  <si>
    <t xml:space="preserve">44684ColoradoCanna Meds Wellness Center LLC</t>
  </si>
  <si>
    <t xml:space="preserve">https://sbg.colorado.gov/sites/sbg/files/220503_HSA_Canna_Meds_Wellness_Center_LLC.pdf</t>
  </si>
  <si>
    <t xml:space="preserve">Canna Meds Wellness Center LLC</t>
  </si>
  <si>
    <t xml:space="preserve">44699ColoradoFresh Baked, LLC</t>
  </si>
  <si>
    <t xml:space="preserve">https://sbg.colorado.gov/sites/sbg/files/220518_Fresh_Baked_LLC_403R-00250_HSA_2.pdf</t>
  </si>
  <si>
    <t xml:space="preserve">44756ColoradoDune Valley Farms, LLC</t>
  </si>
  <si>
    <t xml:space="preserve">https://sbg.colorado.gov/sites/sbg/files/220714_Dune_Valley_Farms_LLC_403R-00850_HSA.pdf</t>
  </si>
  <si>
    <t xml:space="preserve">Dune Valley Farms, LLC</t>
  </si>
  <si>
    <t xml:space="preserve">44764ColoradoSima Sciences, LLC / 1906</t>
  </si>
  <si>
    <t xml:space="preserve">https://sbg.colorado.gov/sites/sbg/files/220722_Informational_%20Notification_RE_Adverse_Health_Events_Reported_Related_to_1906_Midnight_Drops.pdf</t>
  </si>
  <si>
    <t xml:space="preserve">Sima Sciences, LLC / 1906</t>
  </si>
  <si>
    <t xml:space="preserve">informational notification based on multiple reports of adverse health events</t>
  </si>
  <si>
    <t xml:space="preserve">44846ColoradoLivWell</t>
  </si>
  <si>
    <t xml:space="preserve">https://sbg.colorado.gov/sites/sbg/files/221012_HSA_Beyond_Broadway_LLC.pdf</t>
  </si>
  <si>
    <t xml:space="preserve">yeast and mold and Aspergillus</t>
  </si>
  <si>
    <t xml:space="preserve">44860ColoradoSDJ, LLC</t>
  </si>
  <si>
    <t xml:space="preserve">https://sbg.colorado.gov/sites/sbg/files/221026_SDJ_LLC_HSA.docx.pdf</t>
  </si>
  <si>
    <t xml:space="preserve">SDJ, LLC</t>
  </si>
  <si>
    <t xml:space="preserve">Untested; Mold, Yeast, Aspergillus</t>
  </si>
  <si>
    <t xml:space="preserve">44888ColoradoBeddor Claude LLC</t>
  </si>
  <si>
    <t xml:space="preserve">https://sbg.colorado.gov/sites/sbg/files/221123_HSA_Beddor_Claude_LLC.docx.pdf</t>
  </si>
  <si>
    <t xml:space="preserve">Beddor Claude LLC</t>
  </si>
  <si>
    <t xml:space="preserve">44910Colorado240 Arthur Avenue LLC</t>
  </si>
  <si>
    <t xml:space="preserve">https://sbg.colorado.gov/sites/sbg/files/221215_HSA_240_Arthur_Avenue_LLC.pdf</t>
  </si>
  <si>
    <t xml:space="preserve">240 Arthur Avenue LLC</t>
  </si>
  <si>
    <t xml:space="preserve">44931ColoradoJolet Ventures LLC</t>
  </si>
  <si>
    <t xml:space="preserve">https://sbg.colorado.gov/sites/sbg/files/FINAL_HSA_Jolet_Ventures_403R-00132.pdf</t>
  </si>
  <si>
    <t xml:space="preserve">Jolet Ventures LLC</t>
  </si>
  <si>
    <t xml:space="preserve">44931ColoradoSISSCO LLC</t>
  </si>
  <si>
    <t xml:space="preserve">https://sbg.colorado.gov/sites/sbg/files/FINAL_HSA_Sissco_LLC_403-00840_403R-00333.pdf</t>
  </si>
  <si>
    <t xml:space="preserve">SISSCO LLC</t>
  </si>
  <si>
    <t xml:space="preserve">44953ColoradoPhysician Preferred Products LLC</t>
  </si>
  <si>
    <t xml:space="preserve">https://sbg.colorado.gov/sites/sbg/files/230126%20Health%20and%20Safety%20Advisory_%20Physician%20Preferred%20Products%20LLC%20%28DBA%20Doc%E2%80%99s%20Apothecary%29.pdf</t>
  </si>
  <si>
    <t xml:space="preserve">44994ColoradoGreen Street LLC.</t>
  </si>
  <si>
    <t xml:space="preserve">https://sbg.colorado.gov/sites/sbg/files/230309_CORRECTED_Health_and_Safety_Advisory_Green_Street_LLC.pdf</t>
  </si>
  <si>
    <t xml:space="preserve">Green Street LLC.</t>
  </si>
  <si>
    <t xml:space="preserve">45005ColoradoMJ Durango LLC</t>
  </si>
  <si>
    <t xml:space="preserve">https://sbg.colorado.gov/sites/sbg/files/documents/230320_HSA_MJ_Durango.pdf</t>
  </si>
  <si>
    <t xml:space="preserve">MJ Durango LLC</t>
  </si>
  <si>
    <t xml:space="preserve">45008ColoradoCarrick-Harvest, LLC</t>
  </si>
  <si>
    <t xml:space="preserve">https://sbg.colorado.gov/sites/sbg/files/documents/230322_Updated_HSA_Carrick-Harvest.docx.pdf</t>
  </si>
  <si>
    <t xml:space="preserve">45028ColoradoBBM Enterprises, LLC</t>
  </si>
  <si>
    <t xml:space="preserve">https://sbg.colorado.gov/sites/sbg/files/documents/230412_BBM_Enterprises_LLC_HSA.pdf</t>
  </si>
  <si>
    <t xml:space="preserve">BBM Enterprises, LLC</t>
  </si>
  <si>
    <t xml:space="preserve">45028ColoradoCOS Investments LLC</t>
  </si>
  <si>
    <t xml:space="preserve">https://sbg.colorado.gov/sites/sbg/files/documents/230412_COS_Investments_LLC_HSA.pdf</t>
  </si>
  <si>
    <t xml:space="preserve">COS Investments LLC</t>
  </si>
  <si>
    <t xml:space="preserve">45028ColoradoTrinidad Cultivation Services Inc</t>
  </si>
  <si>
    <t xml:space="preserve">https://sbg.colorado.gov/sites/sbg/files/documents/230412_Trinidad_Cultivation_Services_HSA.pdf</t>
  </si>
  <si>
    <t xml:space="preserve">Trinidad Cultivation Services Inc</t>
  </si>
  <si>
    <t xml:space="preserve">Total Yeast and Mold or Aspergillus</t>
  </si>
  <si>
    <t xml:space="preserve">45033ColoradoLong Gone Farms LLC</t>
  </si>
  <si>
    <t xml:space="preserve">https://sbg.colorado.gov/sites/sbg/files/documents/230417_Long_Gone_Farms_HSA.pdf</t>
  </si>
  <si>
    <t xml:space="preserve">Long Gone Farms LLC</t>
  </si>
  <si>
    <t xml:space="preserve">45054ColoradoBig Mountain Organics, LLC</t>
  </si>
  <si>
    <t xml:space="preserve">https://sbg.colorado.gov/sites/sbg/files/documents/230508_Big_Mountain_Organics_LLC_HSA.docx.pdf</t>
  </si>
  <si>
    <t xml:space="preserve">Big Mountain Organics, LLC</t>
  </si>
  <si>
    <t xml:space="preserve">45055ColoradoMJ Durango LLC</t>
  </si>
  <si>
    <t xml:space="preserve">https://sbg.colorado.gov/sites/sbg/files/documents/230509_MJ_Durango_HSA.pdf</t>
  </si>
  <si>
    <t xml:space="preserve">45069ColoradoGT Retail, LLC</t>
  </si>
  <si>
    <t xml:space="preserve">https://sbg.colorado.gov/sites/sbg/files/documents/230523_GT_Retail_LLC_HSA.pdf</t>
  </si>
  <si>
    <t xml:space="preserve">GT Retail, LLC</t>
  </si>
  <si>
    <t xml:space="preserve">45078ColoradoSima Sciences, LLC / 1906</t>
  </si>
  <si>
    <t xml:space="preserve">https://sbg.colorado.gov/sites/sbg/files/documents/230601%20Informational%20Notification%20RE_%20Adverse%20Health%20Events%20Reported%20Related%20to%201906%20Midnight%20Drops.pdf</t>
  </si>
  <si>
    <t xml:space="preserve">Possible Adverse effects due to Corydalis rhizome</t>
  </si>
  <si>
    <t xml:space="preserve">45089ColoradoKind Care of Colorado, LLC</t>
  </si>
  <si>
    <t xml:space="preserve">https://sbg.colorado.gov/sites/sbg/files/documents/230612%20HSA%20Kind%20Care%20of%20Colorado%20LLC%20402-00841%20%26%20402R-00516.pdf</t>
  </si>
  <si>
    <t xml:space="preserve">Kind Care of Colorado, LLC</t>
  </si>
  <si>
    <t xml:space="preserve">Total Yeast and Mold</t>
  </si>
  <si>
    <t xml:space="preserve">45099ColoradoTumbleweed Steamboat, LLC</t>
  </si>
  <si>
    <t xml:space="preserve">https://sbg.colorado.gov/sites/sbg/files/documents/230622%20Tumbleweed%20Steamboat%20LLC%20HSA%20memo.pdf</t>
  </si>
  <si>
    <t xml:space="preserve">Tumbleweed Steamboat, LLC</t>
  </si>
  <si>
    <t xml:space="preserve">45162ColoradoP2C3, LLC</t>
  </si>
  <si>
    <t xml:space="preserve">https://sbg.colorado.gov/sites/sbg/files/documents/230824%20P2C3%2C%20LLC%20HSA%20%20Revised.pdf</t>
  </si>
  <si>
    <t xml:space="preserve">P2C3, LLC</t>
  </si>
  <si>
    <t xml:space="preserve">https://drive.google.com/file/d/1YHAR9H4TClbzgUXNwLn8q3uh-NAxVoG8/view</t>
  </si>
  <si>
    <t xml:space="preserve">Snaxland</t>
  </si>
  <si>
    <t xml:space="preserve">NOCO Farm LLC,</t>
  </si>
  <si>
    <t xml:space="preserve">https://drive.google.com/file/d/11ZQK6nVV01HHHKjuJM-_leTDFSiPbLFn/view</t>
  </si>
  <si>
    <t xml:space="preserve">Kuma.</t>
  </si>
  <si>
    <t xml:space="preserve">Wild Horse Enterprises,</t>
  </si>
  <si>
    <t xml:space="preserve">https://med.colorado.gov/sites/med/files/documents/240830_SLOW_BURN_FARM_%20LLC_2024-0127_HSA_MEMO.pdf</t>
  </si>
  <si>
    <t xml:space="preserve">Non-Voluntary</t>
  </si>
  <si>
    <t xml:space="preserve">SLOW BURN FARMS, LLC</t>
  </si>
  <si>
    <t xml:space="preserve">Multiple: Pesticides / Aspergillus</t>
  </si>
  <si>
    <t xml:space="preserve">https://drive.google.com/file/d/19WkOCu8hxtPrD_NbEIiARDM6r6TAv91B/view</t>
  </si>
  <si>
    <t xml:space="preserve">Wyld 2:1 Gummies</t>
  </si>
  <si>
    <t xml:space="preserve">Wyld</t>
  </si>
  <si>
    <t xml:space="preserve">Discrepancy between inner and outer label</t>
  </si>
  <si>
    <t xml:space="preserve">https://drive.google.com/file/d/1Ouz0dMZyAoBPFFfo9cKvW7RWSfsX92Ea/view</t>
  </si>
  <si>
    <t xml:space="preserve">Bloom County</t>
  </si>
  <si>
    <t xml:space="preserve">RR Services, LLC</t>
  </si>
  <si>
    <t xml:space="preserve">Total Yeast and Mold and Aspergillus.</t>
  </si>
  <si>
    <t xml:space="preserve">https://drive.google.com/file/d/1_wFzm3GOJfzE6tmSqIhIcyvtI8ocZJDf/view</t>
  </si>
  <si>
    <t xml:space="preserve">Levels IV Inc and SKL Holdings III LLC</t>
  </si>
  <si>
    <t xml:space="preserve">Total Yeast and Mold exceeds limits</t>
  </si>
  <si>
    <t xml:space="preserve">https://drive.google.com/file/d/1idBqkIEOYMygYTyIrTMjdJZgRSjlyX_O/view</t>
  </si>
  <si>
    <t xml:space="preserve">Bud &amp; Mary's Cannabis</t>
  </si>
  <si>
    <t xml:space="preserve">Medpharm Holdings, LLC</t>
  </si>
  <si>
    <t xml:space="preserve">https://docs.google.com/spreadsheets/d/10YkN4Rqg58UGLMEH5R_pS1_9uNAoTdNG2UDLxc21FXs/edit?gid=0#gid=0</t>
  </si>
  <si>
    <t xml:space="preserve">Denver Dab Company</t>
  </si>
  <si>
    <t xml:space="preserve">Luminescence Labs Inc</t>
  </si>
  <si>
    <t xml:space="preserve">Pesticides</t>
  </si>
  <si>
    <t xml:space="preserve">https://drive.google.com/file/d/1-8eWEfr3zRc4GI3VXz5GTGJHl-Am0P1W/view</t>
  </si>
  <si>
    <t xml:space="preserve">Fox Street Wellness, LLC</t>
  </si>
  <si>
    <t xml:space="preserve">Total Yeast and Mold and Moisture Content</t>
  </si>
  <si>
    <t xml:space="preserve">https://drive.google.com/file/d/1iAnXF7p_mCzCHRMVsxGmuYuGdA7lrBwR/view</t>
  </si>
  <si>
    <t xml:space="preserve">Purplebee’s.</t>
  </si>
  <si>
    <t xml:space="preserve">PBS HOLDCO LLC</t>
  </si>
  <si>
    <t xml:space="preserve">https://drive.google.com/file/d/1XjvXw1cBy9RUUsRO95g9YQVBYN2aPKP4/view</t>
  </si>
  <si>
    <t xml:space="preserve">Magic City Farms 1 LLC.</t>
  </si>
  <si>
    <t xml:space="preserve">https://drive.google.com/file/d/1S-DzTLFKhdxm9scoC-EgZSoyHluy3oCm/view</t>
  </si>
  <si>
    <t xml:space="preserve">Dadirri</t>
  </si>
  <si>
    <t xml:space="preserve">Verv LLC</t>
  </si>
  <si>
    <t xml:space="preserve">Chlorfenapyr</t>
  </si>
  <si>
    <t xml:space="preserve">https://drive.google.com/file/d/1uTORm-zZZvUK2YC_Tbh59h_0rcQZPjjT/view</t>
  </si>
  <si>
    <t xml:space="preserve">Smokiez.</t>
  </si>
  <si>
    <t xml:space="preserve">C&amp;R Colorado LLC</t>
  </si>
  <si>
    <t xml:space="preserve">Chlorfenapyr.</t>
  </si>
  <si>
    <t xml:space="preserve">https://drive.google.com/file/d/1CiIaN9i_LaRfkPphezsddl7jz6QYva7p/view</t>
  </si>
  <si>
    <t xml:space="preserve">Clearview Industries, LLC.</t>
  </si>
  <si>
    <t xml:space="preserve">Bifenazate, Fluopyram, and Myclobutanil.</t>
  </si>
  <si>
    <t xml:space="preserve">https://drive.google.com/file/d/1PXcEnUUvJ0FhKHSGMPAdqc7xq6oSlZPJ/view</t>
  </si>
  <si>
    <t xml:space="preserve">Flower and Pre-Roll</t>
  </si>
  <si>
    <t xml:space="preserve">710 Labs.</t>
  </si>
  <si>
    <t xml:space="preserve">CSV CO LLC and Jolet Ventures LLC,</t>
  </si>
  <si>
    <t xml:space="preserve">https://drive.google.com/file/d/1Fv-ODcgUshxPwdKn31ODct8y0ZZ4n_gN/view</t>
  </si>
  <si>
    <t xml:space="preserve">Pre-Rolls and Concentrates</t>
  </si>
  <si>
    <t xml:space="preserve">TS Labs Recreational</t>
  </si>
  <si>
    <t xml:space="preserve">Checker Six, LLC</t>
  </si>
  <si>
    <t xml:space="preserve">https://drive.google.com/file/d/1BHySC8XCeVLWUZPjUgiyYtlaRfJC5Pin/view</t>
  </si>
  <si>
    <t xml:space="preserve">RRSA, LLC</t>
  </si>
  <si>
    <t xml:space="preserve">Total Yeast and Mold, Arsenic, Cadmium, Lead</t>
  </si>
  <si>
    <t xml:space="preserve">https://drive.google.com/file/d/1d9dxbbcp38qhitq_nnBXNGXx8tihY-eu/view</t>
  </si>
  <si>
    <t xml:space="preserve">Phoneix Farmstead, LLC</t>
  </si>
  <si>
    <t xml:space="preserve">Concentrates and Vape Cartridges</t>
  </si>
  <si>
    <t xml:space="preserve">Karing Kind.</t>
  </si>
  <si>
    <t xml:space="preserve">Karing Kind, LLC,</t>
  </si>
  <si>
    <t xml:space="preserve">https://drive.google.com/file/d/1wxGzfS5E5CvpSdIl0p3_wpaUGOVlg7-O/view</t>
  </si>
  <si>
    <t xml:space="preserve">1:11.</t>
  </si>
  <si>
    <t xml:space="preserve">1-11 LLC,</t>
  </si>
  <si>
    <t xml:space="preserve">elemental impurities.</t>
  </si>
  <si>
    <t xml:space="preserve">https://drive.google.com/file/d/1UAGSwwkSjaNBMT4_55iNo-xjhiBuTt4H/view</t>
  </si>
  <si>
    <t xml:space="preserve">Double C Farms LLC.</t>
  </si>
  <si>
    <t xml:space="preserve">Total Yeast and Mold, elemental impurities</t>
  </si>
  <si>
    <t xml:space="preserve">45987Karing Kind, LLCe1</t>
  </si>
  <si>
    <t xml:space="preserve">https://drive.google.com/file/d/155K5itnbbcG9r6nxemU_8UHDu709cMJB/view</t>
  </si>
  <si>
    <t xml:space="preserve">chlorfenapyr and paclobutrazol.</t>
  </si>
  <si>
    <t xml:space="preserve">Vaporizer Cartridges, Infused Pre-Rolls</t>
  </si>
  <si>
    <t xml:space="preserve">Stash House CO.</t>
  </si>
  <si>
    <t xml:space="preserve">CC Brands, LLC,</t>
  </si>
  <si>
    <t xml:space="preserve">Chlorfenapyr and Fluopyram.</t>
  </si>
  <si>
    <t xml:space="preserve">https://drive.google.com/file/d/19q__x77AyU7ZTTrhGXGGMJNjWyJ9R5Sj/view</t>
  </si>
  <si>
    <t xml:space="preserve">Rotation.</t>
  </si>
  <si>
    <t xml:space="preserve">Rotation, LLC,</t>
  </si>
  <si>
    <t xml:space="preserve">https://drive.google.com/file/d/1hVBxJXY-_7ZXrCz3yI0J7CENF9eas4Dy/view</t>
  </si>
  <si>
    <t xml:space="preserve">Egozi Ventures, LLC.</t>
  </si>
  <si>
    <t xml:space="preserve">https://drive.google.com/file/d/1GKnyLFccnLupVkDLLZwADODi7o8x40Cd/view</t>
  </si>
  <si>
    <t xml:space="preserve">Not Specified (Flower presumed)</t>
  </si>
  <si>
    <t xml:space="preserve">Higher Grade</t>
  </si>
  <si>
    <t xml:space="preserve">HG LTD</t>
  </si>
  <si>
    <t xml:space="preserve">https://drive.google.com/file/d/1KvyOhoFc8TmE6_A6Tn_8_pEVBsfHd8Yc/view</t>
  </si>
  <si>
    <t xml:space="preserve">Skin and Body Products</t>
  </si>
  <si>
    <t xml:space="preserve">My brothers flower.</t>
  </si>
  <si>
    <t xml:space="preserve">MBF Labs</t>
  </si>
  <si>
    <t xml:space="preserve">myclobutanil.</t>
  </si>
  <si>
    <t xml:space="preserve">https://drive.google.com/file/d/1r3Tyzturym13Qc6BjpToStviBvOOtUwk/view</t>
  </si>
  <si>
    <t xml:space="preserve">Morganic Concentrates.</t>
  </si>
  <si>
    <t xml:space="preserve">Dutch Botanicals LLC</t>
  </si>
  <si>
    <t xml:space="preserve">hexythiazox, fluopyram, bifenazate</t>
  </si>
  <si>
    <t xml:space="preserve">45987Karing Kind, LLCe2</t>
  </si>
  <si>
    <t xml:space="preserve">https://drive.google.com/file/d/1pD-nht94Id2_tmp6-WDPiFNciH67jxVq/view</t>
  </si>
  <si>
    <t xml:space="preserve">https://drive.google.com/file/d/13YLI15IZ7lGFeVAnZES8vw1jlCuMczC5/view</t>
  </si>
  <si>
    <t xml:space="preserve">Sweetwater Cannabis.</t>
  </si>
  <si>
    <t xml:space="preserve">Sweetwater Group, LLC,</t>
  </si>
  <si>
    <t xml:space="preserve">46044HG LTD e1</t>
  </si>
  <si>
    <t xml:space="preserve">https://drive.google.com/file/d/1WFrJsUtGrK0J9CibBjMAwK4i_kXtlpvK/view</t>
  </si>
  <si>
    <t xml:space="preserve">https://drive.google.com/file/d/1eNsw8cITFVIFlTvpF1KXNHiFP1jWxaJB/view</t>
  </si>
  <si>
    <t xml:space="preserve">High Octane.</t>
  </si>
  <si>
    <t xml:space="preserve">RMRC LLC</t>
  </si>
  <si>
    <t xml:space="preserve">Total Yeast and Mold.</t>
  </si>
  <si>
    <t xml:space="preserve">https://drive.google.com/file/d/1s5YrlVCaIsEywcYMU-ughAiXbQnLFe0V/view</t>
  </si>
  <si>
    <t xml:space="preserve">Total Yeast and Mold, cadmium</t>
  </si>
  <si>
    <t xml:space="preserve">https://drive.google.com/file/d/1VrpYPuL0r4KFSuO54ewvJnInXZE2J7vK/view</t>
  </si>
  <si>
    <t xml:space="preserve">https://web.archive.org/web/20260806233910/https://drive.google.com/file/d/1VrpYPuL0r4KFSuO54ewvJnInXZE2J7vK/view</t>
  </si>
  <si>
    <t xml:space="preserve">David Jackson LLC, dba Timberline Extracts</t>
  </si>
  <si>
    <t xml:space="preserve">chlorfenapyr.</t>
  </si>
  <si>
    <t xml:space="preserve">https://drive.google.com/file/d/1mCGOawrQC-Z9FCU08ES4kPJSokQb2WXR/view</t>
  </si>
  <si>
    <t xml:space="preserve">https://web.archive.org/web/20260806234403/https://drive.google.com/file/d/1mCGOawrQC-Z9FCU08ES4kPJSokQb2WXR/view</t>
  </si>
  <si>
    <t xml:space="preserve">Juicy Concentrates</t>
  </si>
  <si>
    <t xml:space="preserve">J&amp;C Corp</t>
  </si>
  <si>
    <t xml:space="preserve">https://drive.google.com/file/d/1ektS_ZuQhTvhUfmVgYhLqrjRv58bEouX/view</t>
  </si>
  <si>
    <t xml:space="preserve">https://web.archive.org/web/20260806234654/https://drive.google.com/file/d/1ektS_ZuQhTvhUfmVgYhLqrjRv58bEouX/view</t>
  </si>
  <si>
    <t xml:space="preserve">Levels IV Inc (403R-00235)</t>
  </si>
  <si>
    <t xml:space="preserve">403R-00235</t>
  </si>
  <si>
    <t xml:space="preserve">https://drive.google.com/file/d/1OQT5HDn3okfuhUnoP9h3c7_GZ9ZYnBvd/view</t>
  </si>
  <si>
    <t xml:space="preserve">https://web.archive.org/web/20260806235112/https://drive.google.com/file/d/1OQT5HDn3okfuhUnoP9h3c7_GZ9ZYnBvd/view</t>
  </si>
  <si>
    <t xml:space="preserve">Arkansas Valley Organics.</t>
  </si>
  <si>
    <t xml:space="preserve">Arkansas Valley Organics, LLC,</t>
  </si>
  <si>
    <t xml:space="preserve">https://drive.google.com/file/d/1Kh6Irf6lmLqr2t8WdPi6-PZGzX0BHIHH/view</t>
  </si>
  <si>
    <t xml:space="preserve">https://web.archive.org/web/20260806235447/https://drive.google.com/file/d/1Kh6Irf6lmLqr2t8WdPi6-PZGzX0BHIHH/view</t>
  </si>
  <si>
    <t xml:space="preserve">Natural Alternatives for Health Corp.</t>
  </si>
  <si>
    <t xml:space="preserve">Total Yeast and Mold and Aspergillus</t>
  </si>
  <si>
    <t xml:space="preserve">https://drive.google.com/file/d/1yFEI1eJSuhjnk8tqt75XekV5lOs2kJzb/view</t>
  </si>
  <si>
    <t xml:space="preserve">Vaporizer Cartridges</t>
  </si>
  <si>
    <t xml:space="preserve">Workhorse Global LLC and WH Acoma LLC</t>
  </si>
  <si>
    <t xml:space="preserve">Non-bontanically Derived Compounds</t>
  </si>
  <si>
    <t xml:space="preserve">https://drive.google.com/file/d/1Ucb5LAtuLsvm6rL2QwEXLC4wYLqdLRMi/view</t>
  </si>
  <si>
    <t xml:space="preserve">https://web.archive.org/web/20260807000323/https://drive.google.com/file/d/1Ucb5LAtuLsvm6rL2QwEXLC4wYLqdLRMi/view</t>
  </si>
  <si>
    <t xml:space="preserve">Colorado’s Best Dabs.</t>
  </si>
  <si>
    <t xml:space="preserve">Colorado Medical Processing LLC,</t>
  </si>
  <si>
    <t xml:space="preserve">https://docs.google.com/spreadsheets/d/17JBmDRWDa_EDOp6PvbQLT1gbOnHdK5XleaaQwNZ9ie4/edit?gid=0#gid=0</t>
  </si>
  <si>
    <t xml:space="preserve">Not Stated</t>
  </si>
  <si>
    <t xml:space="preserve">Locol Love </t>
  </si>
  <si>
    <t xml:space="preserve">Navajo Management LLC,</t>
  </si>
  <si>
    <t xml:space="preserve">Packs Bluecifer Berry Kush Indica 2g</t>
  </si>
  <si>
    <t xml:space="preserve">CC Brands, LLC, (Stash House)</t>
  </si>
  <si>
    <t xml:space="preserve">Butane above the acceptable limit</t>
  </si>
  <si>
    <t xml:space="preserve">Craft</t>
  </si>
  <si>
    <t xml:space="preserve">StayCon LLC</t>
  </si>
  <si>
    <t xml:space="preserve">Bona Fides</t>
  </si>
  <si>
    <t xml:space="preserve">Methylene Chloride</t>
  </si>
  <si>
    <t xml:space="preserve">Connecticut</t>
  </si>
  <si>
    <t xml:space="preserve">https://www.reddit.com/r/Connecticut/comments/1qemph5/recall_on_brix_cannabis/#lightbox</t>
  </si>
  <si>
    <t xml:space="preserve">Brix</t>
  </si>
  <si>
    <t xml:space="preserve">Lead</t>
  </si>
  <si>
    <t xml:space="preserve">Reddit, Leak</t>
  </si>
  <si>
    <t xml:space="preserve">https://www.ctinsider.com/cannabis/article/curaleaf-medical-cannabis-product-recall-ct-20322956.php</t>
  </si>
  <si>
    <t xml:space="preserve"> yeast and mold </t>
  </si>
  <si>
    <t xml:space="preserve">44062FloridaSurterra Wellness</t>
  </si>
  <si>
    <t xml:space="preserve">Florida</t>
  </si>
  <si>
    <t xml:space="preserve">https://www.floridahealth.gov/newsroom/2020/08/081820-ommu-press-release.pr.html</t>
  </si>
  <si>
    <t xml:space="preserve">Surterra Wellness</t>
  </si>
  <si>
    <t xml:space="preserve">State press release</t>
  </si>
  <si>
    <t xml:space="preserve">44512FloridaCuraleaf</t>
  </si>
  <si>
    <t xml:space="preserve">https://www.floridahealth.gov/_documents/newsroom/press-releases/2021/11/20211108-cur-press-release.pdf</t>
  </si>
  <si>
    <t xml:space="preserve">44540IllinoisVerano Holdings</t>
  </si>
  <si>
    <t xml:space="preserve">Illinois</t>
  </si>
  <si>
    <t xml:space="preserve">https://chicago.suntimes.com/2021/12/10/22821308/marijuana-regulation-illinois-legal-weed-mag-landrace-consumers-cannabis-industry</t>
  </si>
  <si>
    <t xml:space="preserve">Shady</t>
  </si>
  <si>
    <t xml:space="preserve">Verano Holdings</t>
  </si>
  <si>
    <t xml:space="preserve">state agency</t>
  </si>
  <si>
    <t xml:space="preserve">42140MaineWellness Connection of Maine</t>
  </si>
  <si>
    <t xml:space="preserve">Maine</t>
  </si>
  <si>
    <t xml:space="preserve">https://www.centralmaine.com/2015/09/05/wellness-connection-of-maine-recalls-two-strains-of-medical-marijuana/</t>
  </si>
  <si>
    <t xml:space="preserve">Wellness Connection of Maine</t>
  </si>
  <si>
    <t xml:space="preserve">https://www.maine.gov/dafs/ocp/recalls/cannabis-cured-9-2024</t>
  </si>
  <si>
    <t xml:space="preserve">Adult Use Recall</t>
  </si>
  <si>
    <t xml:space="preserve">Cannabis Cured</t>
  </si>
  <si>
    <t xml:space="preserve">https://www.maine.gov/dafs/ocp/recalls/nova-farms-10-2024</t>
  </si>
  <si>
    <t xml:space="preserve">Flower, Pre-Rolls, Blunts</t>
  </si>
  <si>
    <t xml:space="preserve">Nova Farms</t>
  </si>
  <si>
    <t xml:space="preserve">Microbials (aerobic bacteria and Enterobacteriaceae) and Yeast and Mold</t>
  </si>
  <si>
    <t xml:space="preserve">https://www.maine.gov/dafs/ocp/recalls/leb-city-11-2024</t>
  </si>
  <si>
    <t xml:space="preserve">Leb City Greeneries</t>
  </si>
  <si>
    <t xml:space="preserve">45576Nova Farms e1</t>
  </si>
  <si>
    <t xml:space="preserve">https://www.maine.gov/dafs/ocp/recalls/norco-10-2025</t>
  </si>
  <si>
    <t xml:space="preserve">NorCO Outdoor Cannabis</t>
  </si>
  <si>
    <t xml:space="preserve">45957NorCO Outdoor Cannabis e1</t>
  </si>
  <si>
    <t xml:space="preserve">https://www.maine.gov/dafs/ocp/recalls/norco-12-2025</t>
  </si>
  <si>
    <t xml:space="preserve">Yeast and Mold, Microbials, Arsenic</t>
  </si>
  <si>
    <t xml:space="preserve">https://www.maine.gov/dafs/ocp/recalls/marijuanaville-1-2026</t>
  </si>
  <si>
    <t xml:space="preserve">Medical Cannabis Patient Advisory </t>
  </si>
  <si>
    <t xml:space="preserve">MarijuanaVille</t>
  </si>
  <si>
    <t xml:space="preserve">Bifenthrin and other pesticides</t>
  </si>
  <si>
    <t xml:space="preserve">https://www.maine.gov/dafs/ocp/recalls/northwoods-5-2026</t>
  </si>
  <si>
    <t xml:space="preserve">https://web.archive.org/save/https://www.maine.gov/dafs/ocp/recalls/northwoods-5-2026</t>
  </si>
  <si>
    <t xml:space="preserve">Northwoods Caregiver, LLC</t>
  </si>
  <si>
    <t xml:space="preserve">Piperonyl Butoxide and Total Yeast and Mold</t>
  </si>
  <si>
    <t xml:space="preserve">https://www.maine.gov/dafs/ocp/recalls/green-trap-6-2026</t>
  </si>
  <si>
    <t xml:space="preserve">https://web.archive.org/save/https://www.maine.gov/dafs/ocp/recalls/green-trap-6-2026</t>
  </si>
  <si>
    <t xml:space="preserve">Green Trap Drip Burger</t>
  </si>
  <si>
    <t xml:space="preserve">Green Trap</t>
  </si>
  <si>
    <t xml:space="preserve">https://www.maine.gov/dafs/ocp/recalls/klouds-society-6-2026</t>
  </si>
  <si>
    <t xml:space="preserve">https://web.archive.org/web/20260807002447/https://www.maine.gov/dafs/ocp/recalls/klouds-society-6-2026</t>
  </si>
  <si>
    <t xml:space="preserve">Vaporizer </t>
  </si>
  <si>
    <t xml:space="preserve">ChoicesLab 2-in-1 disposable vape</t>
  </si>
  <si>
    <t xml:space="preserve">So many pesticides</t>
  </si>
  <si>
    <t xml:space="preserve">https://www.maine.gov/dafs/ocp/recalls/ganja-world-9-2026</t>
  </si>
  <si>
    <t xml:space="preserve">https://web.archive.org/web/20261006210001/https://www.maine.gov/dafs/ocp/recalls/ganja-world-9-2026</t>
  </si>
  <si>
    <t xml:space="preserve">Ganja World</t>
  </si>
  <si>
    <t xml:space="preserve">Butane</t>
  </si>
  <si>
    <t xml:space="preserve">Maryland</t>
  </si>
  <si>
    <t xml:space="preserve">https://cannabis.maryland.gov/Documents/2025_PDF_Files/Bulletins/Recall%20Notification.pdf</t>
  </si>
  <si>
    <t xml:space="preserve">Not Specified </t>
  </si>
  <si>
    <t xml:space="preserve">Hi Color Max Chocolate Milk</t>
  </si>
  <si>
    <t xml:space="preserve">Not Specified, Locations Listed</t>
  </si>
  <si>
    <t xml:space="preserve">total coliforms.</t>
  </si>
  <si>
    <t xml:space="preserve">44609MassachusettsACK Natural, LLC</t>
  </si>
  <si>
    <t xml:space="preserve">Massachusetts</t>
  </si>
  <si>
    <t xml:space="preserve">https://masscannabiscontrol.com/2022/02/cannabis-control-commission-alerts-the-public-to-quarantine-order-requiring-ack-natural-llc-to-recall-its-marijuana-and-marijuana-products/</t>
  </si>
  <si>
    <t xml:space="preserve">ACK Natural, LLC</t>
  </si>
  <si>
    <t xml:space="preserve">Mycotoxins</t>
  </si>
  <si>
    <t xml:space="preserve">Cannabis Control Commision </t>
  </si>
  <si>
    <t xml:space="preserve">44862MassachusettsACK Natural, LLC</t>
  </si>
  <si>
    <t xml:space="preserve">https://masscannabiscontrol.com/2021/10/quarantine-order-g-l-c-94g-%c2%a7%c2%a7-4axi-and-xix-935-cmr-500-340-quarantine-order-and-935-cmr-501-340-quarantine-order/</t>
  </si>
  <si>
    <t xml:space="preserve">Untested</t>
  </si>
  <si>
    <t xml:space="preserve">https://masscannabiscontrol.com/2025/02/notice-massachusetts-cannabis-control-commission-public-health-and-safety-advisory-potentially-contaminated-marijuana-products-sold-between-may-31-2024-and-january-23-2025-february-3-2025/</t>
  </si>
  <si>
    <t xml:space="preserve">https://masscannabiscontrol.com/2025/02/notice-massachusetts-cannabis-control-commission-public-health-and-safety-advisory-potentially-contaminated-marijuana-products-sold-between-september-18-2024-and-january-30-2025-february-3/</t>
  </si>
  <si>
    <t xml:space="preserve">https://masscannabiscontrol.com/2025/08/notice-massachusetts-cannabis-control-commission-public-health-and-safety-advisory-contaminated-and-potentially-contaminated-marijuana-products-august-6-2025/</t>
  </si>
  <si>
    <t xml:space="preserve">Not Specified, No Locations Listed</t>
  </si>
  <si>
    <t xml:space="preserve">43469MichiganChoice Labs, LLC.</t>
  </si>
  <si>
    <t xml:space="preserve">Michigan</t>
  </si>
  <si>
    <t xml:space="preserve">https://www.michigan.gov/cra/-/media/Project/Websites/cra/bulletin/1Public-Health-an-Safety-Advisory/Public_Health_and_Safety_Advisory_1-4-2019_Final_642608_7.pdf?rev=1d41645ec2ee4765a1fc1530279d1bad&amp;hash=30327154BC6A3EF673FE772154B88856</t>
  </si>
  <si>
    <t xml:space="preserve">Choice Labs, LLC.</t>
  </si>
  <si>
    <t xml:space="preserve">unable to verify testing</t>
  </si>
  <si>
    <t xml:space="preserve">43507MichiganCompassionate Care By Design</t>
  </si>
  <si>
    <t xml:space="preserve">https://www.michigan.gov/cra/-/media/Project/Websites/cra/bulletin/1Public-Health-an-Safety-Advisory/Public_Health_and_Safety_Advisory_CCBD_1-10-19_643369_7.pdf?rev=c778c23b3db649e5ba57b6802a7caddb&amp;hash=539ED0B6BFE0DA9ABA691327FBB334C6</t>
  </si>
  <si>
    <t xml:space="preserve">Compassionate Care By Design</t>
  </si>
  <si>
    <t xml:space="preserve">Failed Testing</t>
  </si>
  <si>
    <t xml:space="preserve">43522MichiganElite Wellness Vassar</t>
  </si>
  <si>
    <t xml:space="preserve">https://www.michigan.gov/cra/-/media/Project/Websites/cra/bulletin/1Public-Health-an-Safety-Advisory/Public_Health_and_Safety_Advisory_664_Vassar_LLC_Elite_Wellness_Vassar_2-6-2019_003_645544_7.pdf?rev=a0fd4848db594909a577f76615c3b601&amp;hash=1DD185D2E6BF9AC2DF886691FF0958A3</t>
  </si>
  <si>
    <t xml:space="preserve">Elite Wellness Vassar</t>
  </si>
  <si>
    <t xml:space="preserve">43567MichiganNot Disclosed</t>
  </si>
  <si>
    <t xml:space="preserve">https://www.michigan.gov/cra/-/media/Project/Websites/cra/bulletin/1Public-Health-an-Safety-Advisory/Public_Health_and_Safety_Advisory_Lead_Contamination_in_Vape_Cartridges_4-12-2019_652464_7.pdf?rev=6549195f142f469c8c8f72186bec538c&amp;hash=470D11A50F6DB94EF6911B083354576F</t>
  </si>
  <si>
    <t xml:space="preserve">Not Disclosed</t>
  </si>
  <si>
    <t xml:space="preserve">43684MichiganFreya Farms</t>
  </si>
  <si>
    <t xml:space="preserve">https://www.michigan.gov/cra/-/media/Project/Websites/cra/bulletin/1Public-Health-an-Safety-Advisory/The_Spott_Public_Health_and_Safety_Advisory_Bulletin_080719_662637_7.pdf?rev=65b3c1e4670543d09a14c40cf50fce43&amp;hash=C8EF735869E39C58ECD0886845E2523A</t>
  </si>
  <si>
    <t xml:space="preserve">Freya Farms</t>
  </si>
  <si>
    <t xml:space="preserve">Lab Potency Labeling Issues</t>
  </si>
  <si>
    <t xml:space="preserve">43693MichiganIron Laboratories</t>
  </si>
  <si>
    <t xml:space="preserve">https://www.michigan.gov/cra/-/media/Project/Websites/cra/bulletin/1Public-Health-an-Safety-Advisory/Iron_Labs_Public_Health_and_Safety_Advisory_Bulletin_081619_663601_7.pdf?rev=48fd02603c0a44419c83059c4d56292c&amp;hash=7E474D9480AECA4AC720B2060B9A0DBD</t>
  </si>
  <si>
    <t xml:space="preserve">Iron Laboratories</t>
  </si>
  <si>
    <t xml:space="preserve">43707MichiganIron Laboratories</t>
  </si>
  <si>
    <t xml:space="preserve">https://www.michigan.gov/cra/-/media/Project/Websites/cra/bulletin/1Public-Health-an-Safety-Advisory/public-health-safety-advisory-iron-lab-recall-08302019_664856_7.pdf?rev=b638ef9b02dc46729e3f0575c3c13329&amp;hash=DB534585A391AA9D1BBC7B779E9B8E73</t>
  </si>
  <si>
    <t xml:space="preserve">43816MichiganSeveral</t>
  </si>
  <si>
    <t xml:space="preserve">https://www.michigan.gov/cra/-/media/Project/Websites/cra/bulletin/1Public-Health-an-Safety-Advisory/VitaminEPublic_Health_and_Safety_Advisory_674168_7.pdf?rev=2a3fc07778df4bb4aebaa5a7e66a950d&amp;hash=1D050C55F7F71A488714315AEB6256D4</t>
  </si>
  <si>
    <t xml:space="preserve">43840MichiganUndisclosed</t>
  </si>
  <si>
    <t xml:space="preserve">https://www.michigan.gov/cra/-/media/Project/Websites/lara/about/Folder5/Public_Health_and_Safety_Advisory_Bulletin.pdf?rev=dc510ae2fa264bcc8c06aa1a2b4b8668&amp;hash=623D5BADE4C99D847963CA865199F600</t>
  </si>
  <si>
    <t xml:space="preserve">Undisclosed</t>
  </si>
  <si>
    <t xml:space="preserve">chemical residue, microbes, metals, residual solvents, toxins from fungus</t>
  </si>
  <si>
    <t xml:space="preserve">State regulatory agency press release</t>
  </si>
  <si>
    <t xml:space="preserve">43847MichiganUndisclosed</t>
  </si>
  <si>
    <t xml:space="preserve">https://www.michigan.gov/cra/-/media/Project/Websites/cra/bulletin/1Public-Health-an-Safety-Advisory/Public_Health_and_Safety_Advisory_Bulletin_678819_7.pdf?rev=e73ec2ae43d9413681e6c790fbd8d1ea&amp;hash=5AAF2D6FCA6AED9084F211CF38DB62D0</t>
  </si>
  <si>
    <t xml:space="preserve">43850MichiganUndisclosed</t>
  </si>
  <si>
    <t xml:space="preserve">https://www.michigan.gov/cra/-/media/Project/Websites/cra/bulletin/1Public-Health-an-Safety-Advisory/Public_Health_and_Safety_Advisory_676863_7.pdf?rev=ffaad15d875041a481593909d2c39c71&amp;hash=054A2DEE39F652D7EA52146968EBC83F</t>
  </si>
  <si>
    <t xml:space="preserve">43852MichiganUndisclosed</t>
  </si>
  <si>
    <t xml:space="preserve">https://www.michigan.gov/cra/-/media/Project/Websites/cra/bulletin/1Public-Health-an-Safety-Advisory/Plan_BVitaminEPublic_Health_and_Safety_Advisory_01222020_679263_7.pdf?rev=bca9494704d24630b9e9f920d9743a9f&amp;hash=C57D4E3C86303A96E407F055731EE2A0</t>
  </si>
  <si>
    <t xml:space="preserve">43868MichiganUndisclosed</t>
  </si>
  <si>
    <t xml:space="preserve">https://www.michigan.gov/cra/-/media/Project/Websites/cra/bulletin/1Public-Health-an-Safety-Advisory/Bulletin_-_020620_vitamin_E_recall_680676_7.pdf?rev=6f42e52007e3493a861785147bf708f3&amp;hash=CA31FE4FAA34B75AD2643E927EFA7C21</t>
  </si>
  <si>
    <t xml:space="preserve">43910MichiganUndisclosed</t>
  </si>
  <si>
    <t xml:space="preserve">https://www.michigan.gov/cra/-/media/Project/Websites/cra/bulletin/1Public-Health-an-Safety-Advisory/Vape_Carts_Recall_-_03202020_684355_7.pdf?rev=781b71cd09c14e29a23196354f6496f5&amp;hash=9FC520927F7B132901318D345884C891</t>
  </si>
  <si>
    <t xml:space="preserve">44049MichiganKinfolk Farms, LLC,</t>
  </si>
  <si>
    <t xml:space="preserve">https://www.michigan.gov/cra/-/media/Project/Websites/cra/bulletin/1Public-Health-an-Safety-Advisory/3843_Euclid_Recall_Notice_698577_7.pdf?rev=575192df3b56454fa1f281775c754f59&amp;hash=F53E6204E6825E25C10F86DEF4D81D77</t>
  </si>
  <si>
    <t xml:space="preserve">Kinfolk Farms, LLC,</t>
  </si>
  <si>
    <t xml:space="preserve">Saliva Contamination</t>
  </si>
  <si>
    <t xml:space="preserve">44091MichiganUndisclosed</t>
  </si>
  <si>
    <t xml:space="preserve">https://www.michigan.gov/cra/-/media/Project/Websites/cra/bulletin/1Public-Health-an-Safety-Advisory/9-17-2020_MRA_recall_health_and_safety_bulletin_702606_7.pdf?rev=ed2a117406a6463d99cbff9287b4a55b&amp;hash=FCD0E3B0C0427E2A67A9D48AC06E8FF9</t>
  </si>
  <si>
    <t xml:space="preserve">44384MichiganUndisclosed</t>
  </si>
  <si>
    <t xml:space="preserve">https://www.michigan.gov/cra/-/media/Project/Websites/cra/bulletin/1Public-Health-an-Safety-Advisory/3843_Euclid_Recall_Notice_7-7-2021_FINAL_729720_7.pdf?rev=7ed2a67934fa43d9a2de8ad259aac5b2&amp;hash=6942B7C8D4E3239800D68B4F6FD46B5C</t>
  </si>
  <si>
    <t xml:space="preserve">unapproved testing and sampling</t>
  </si>
  <si>
    <t xml:space="preserve">44463MichiganMichigan Medical Marijuana, LLC</t>
  </si>
  <si>
    <t xml:space="preserve">https://www.michigan.gov/cra/-/media/Project/Websites/cra/bulletin/1Public-Health-an-Safety-Advisory/DRAFTMichiganMedicalMarijuanaLLCAUGB000128DBAGLOPublicHealthandSafetyAdvisoryBulletinDHv27366207.pdf?rev=42d521521a1b4f6ca7b5742950b7b737&amp;hash=A28C8FE63CCDA3BC7D26D84CCFC21BC6</t>
  </si>
  <si>
    <t xml:space="preserve">Michigan Medical Marijuana, LLC</t>
  </si>
  <si>
    <t xml:space="preserve">Bifenthrin and Chlorfenapyr</t>
  </si>
  <si>
    <t xml:space="preserve">44517MichiganViridis</t>
  </si>
  <si>
    <t xml:space="preserve">https://web.archive.org/web/20221104175751/https://www.michigan.gov/cra/-/media/Project/Websites/cra/bulletin/1Public-Health-an-Safety-Advisory/111821_Notification_of_Marijuana_Product_Recall_Viridis_Bulletin_Update_741566_7.pdf?rev=17c593bdbd564a1ca1cf589fafdec38b&amp;hash=9AEC302EDA4DC8C5E87097379BFC1A7D</t>
  </si>
  <si>
    <t xml:space="preserve">Viridis</t>
  </si>
  <si>
    <t xml:space="preserve">Unreliable test results</t>
  </si>
  <si>
    <t xml:space="preserve">44880MichiganMoonrock Blunt</t>
  </si>
  <si>
    <t xml:space="preserve">https://www.michigan.gov/cra/-/media/Project/Websites/cra/bulletin/1Public-Health-an-Safety-Advisory/Public-Health-and-Safety-Advisory---Marijuana-Consumer-Alert---111522-(002).pdf?rev=5e161e5217be4e92aa3a647108dae628&amp;hash=0DDBB7A9E318F9D54E6D8A6721BAF240</t>
  </si>
  <si>
    <t xml:space="preserve">Moonrock Blunt</t>
  </si>
  <si>
    <t xml:space="preserve">https://www.michigan.gov/cra/-/media/Project/Websites/cra/bulletin/1Public-Health-an-Safety-Advisory/Public-Health-and-Safety-Advisory---Voluntary-Recall---Weed-Bar_Final-(772023).pdf?rev=bc225217e56a400b81503d5d0d0b990c&amp;hash=B2C99489BE3B79F7868CBA606C0EC645</t>
  </si>
  <si>
    <t xml:space="preserve">Bloomfield Development Group Grow, LLC</t>
  </si>
  <si>
    <t xml:space="preserve">Non-Compliant Packaging</t>
  </si>
  <si>
    <t xml:space="preserve">https://www.michigan.gov/cra/-/media/Project/Websites/cra/bulletin/1Public-Health-an-Safety-Advisory/Public-Health-and-Safety-Advisory---Marijuana-Consumer-Alert--Flight-Vapes--FINAL.pdf?rev=6040378ee85e454eab531e551e37528e&amp;hash=3D6029D6929D54E9C5040E382B6A1572</t>
  </si>
  <si>
    <t xml:space="preserve">Sky Labs, LLC</t>
  </si>
  <si>
    <t xml:space="preserve">presence of banned chemical residue </t>
  </si>
  <si>
    <t xml:space="preserve">https://www.michigan.gov/cra/-/media/Project/Websites/cra/bulletin/health-safety/Public-Health-and-Safety-Advisory---Voluntary-Recall---SBCMI_-FINAL.pdf?rev=a8116ff5facd4c8fb0edfc3804c651f0&amp;hash=13F0C4155A6C4FE4BE2E178F68DE1A1F</t>
  </si>
  <si>
    <t xml:space="preserve">Shango</t>
  </si>
  <si>
    <t xml:space="preserve">SBCMI, LLC</t>
  </si>
  <si>
    <t xml:space="preserve">non-compliant creation and packaging.</t>
  </si>
  <si>
    <t xml:space="preserve">https://www.michigan.gov/cra/-/media/Project/Websites/cra/bulletin/1Public-Health-an-Safety-Advisory/RecallBulletin110823FINAL.pdf?rev=ce7bc38437e94cab9f10ff967d1d4886&amp;hash=E22EA5B355923BEFA6E6E134E1052B76</t>
  </si>
  <si>
    <t xml:space="preserve">Armada Cannabis Co. Cannabis Apple Cider</t>
  </si>
  <si>
    <t xml:space="preserve">VBJG Mt. Clemens, LLC</t>
  </si>
  <si>
    <t xml:space="preserve">were not compliantly produced</t>
  </si>
  <si>
    <t xml:space="preserve">https://www.michigan.gov/cra/-/media/Project/Websites/cra/bulletin/1Public-Health-an-Safety-Advisory/Recall-Bulletin-112023---FINAL.pdf?rev=747ba59d2b4349bcbae99420672cf590&amp;hash=C7DEB9EBB5AF04BCD47AF8E7DD307BCA</t>
  </si>
  <si>
    <t xml:space="preserve">Sweet Cheeks White Chocolate</t>
  </si>
  <si>
    <t xml:space="preserve">Exceeds Maximum Dosage</t>
  </si>
  <si>
    <t xml:space="preserve">https://www.michigan.gov/cra/-/media/Project/Websites/cra/bulletin/1Public-Health-an-Safety-Advisory/Recall-Bulletin---Flavor-Galaxy---FINAL.pdf?rev=b8a5df78c4b94b47b0dc9874cd7beedc&amp;hash=AD8FF73EE3D0A44A976381C012110C63</t>
  </si>
  <si>
    <t xml:space="preserve">Flavor Galaxy LLC (many Products)</t>
  </si>
  <si>
    <t xml:space="preserve">Flavor Galaxy LLC</t>
  </si>
  <si>
    <t xml:space="preserve">Not Properly Tracked</t>
  </si>
  <si>
    <t xml:space="preserve">https://www.michigan.gov/cra/-/media/Project/Websites/cra/bulletin/1Public-Health-an-Safety-Advisory/Public-Health-and-Safety-Advisory---Flavor-Galaxy---FINAL.pdf?rev=d3953bd7527247d2bb6222398c814499&amp;hash=36B9C6D838E469CC999978762560FDC5</t>
  </si>
  <si>
    <t xml:space="preserve">Pre-Rolls, Infused Pre-Rolls, and Vape Carts</t>
  </si>
  <si>
    <t xml:space="preserve">Flavor Galaxy</t>
  </si>
  <si>
    <t xml:space="preserve">Invalid Sampling</t>
  </si>
  <si>
    <t xml:space="preserve">https://www.michigan.gov/cra/-/media/Project/Websites/cra/bulletin/1Public-Health-an-Safety-Advisory/Recall-Bulletin---Flavor-Galaxy---FINAL.pdf?rev=b8a5df78c4b94b47b0dc9874cd7beedc&amp;hash=7682C403EE558A9A77BB33095E8DC10B</t>
  </si>
  <si>
    <t xml:space="preserve">Platinum Vape </t>
  </si>
  <si>
    <t xml:space="preserve">RWB Michigan LLC</t>
  </si>
  <si>
    <t xml:space="preserve">https://www.michigan.gov/cra/-/media/Project/Websites/cra/bulletin/1Public-Health-an-Safety-Advisory/Exhale-Public-health-and-Safety-Bulletin-021125.pdf?rev=1421222a965141769356ce7980221106&amp;hash=B8BB13DDB11F7190506481172C79E4A4</t>
  </si>
  <si>
    <t xml:space="preserve">Exhale Systems Inc (</t>
  </si>
  <si>
    <t xml:space="preserve">Exhale Systems Inc</t>
  </si>
  <si>
    <t xml:space="preserve">MCT Oil</t>
  </si>
  <si>
    <t xml:space="preserve">https://www.michigan.gov/cra/-/media/Project/Websites/cra/bulletin/1Public-Health-an-Safety-Advisory/Voluntary-Product-Recall-Sky-Cannabis-LLC.pdf?rev=d484c2a12e614cefa7bf45ee9688e617&amp;hash=233AE731E64AAA2A206459E2E8E17743</t>
  </si>
  <si>
    <t xml:space="preserve">Sky Cannabis LLC</t>
  </si>
  <si>
    <t xml:space="preserve">https://www.michigan.gov/cra/-/media/Project/Websites/cra/bulletin/1Public-Health-an-Safety-Advisory/9225-Press-Release--CRA-Announces-Voluntary-Vape-Recall-House-Brands-Distro.pdf?rev=eaaa4828c3dc47d19936b92e581f1615&amp;hash=E1AD671E04BBECA360ED1F72AD8DA752</t>
  </si>
  <si>
    <t xml:space="preserve">House Brands Distro</t>
  </si>
  <si>
    <t xml:space="preserve">IVP Holding, LLC</t>
  </si>
  <si>
    <t xml:space="preserve"> contains a banned chemical </t>
  </si>
  <si>
    <t xml:space="preserve">https://www.michigan.gov/cra/bulletins/public-health-and-safety-advisory-bulletins-recalls/public-health-and-safety-advisory-voluntary-product-recall-fantasy-farms-llc</t>
  </si>
  <si>
    <t xml:space="preserve">Sublingual</t>
  </si>
  <si>
    <t xml:space="preserve">Fantasy Farms</t>
  </si>
  <si>
    <t xml:space="preserve">Fantasy Farms, LLC</t>
  </si>
  <si>
    <t xml:space="preserve">Caffeine not allowable in sublingual product</t>
  </si>
  <si>
    <t xml:space="preserve">https://www.michigan.gov/cra/-/media/Project/Websites/cra/bulletin/1Public-Health-an-Safety-Advisory/Public-Health-and-Safety-Advisory--Voluntary-Product-Recall-Season-3-LLC.pdf?rev=994a8e3f0759405c80c26511a708b7eb&amp;hash=2D14C030F33DE6A778D80E03C464030D</t>
  </si>
  <si>
    <t xml:space="preserve">https://web.archive.org/web/20261006214226/https://www.michigan.gov/cra/-/media/Project/Websites/cra/bulletin/1Public-Health-an-Safety-Advisory/Public-Health-and-Safety-Advisory--Voluntary-Product-Recall-Season-3-LLC.pdf?rev=994a8e3f0759405c80c26511a708b7eb&amp;hash=2D14C030F33DE6A778D80E03C464030D</t>
  </si>
  <si>
    <t xml:space="preserve">Nuggz Nectar Infused Drink</t>
  </si>
  <si>
    <t xml:space="preserve">Season 3 LLC</t>
  </si>
  <si>
    <t xml:space="preserve">Contains more THC than allowed</t>
  </si>
  <si>
    <t xml:space="preserve">https://www.michigan.gov/cra/bulletins/public-health-and-safety-advisory-bulletins-recalls/public-health-and-safety-advisory-voluntary-product-recall-fawn-river-cultivation-company-llc</t>
  </si>
  <si>
    <t xml:space="preserve">https://web.archive.org/web/20260923084326/https://www.michigan.gov/cra/bulletins/public-health-and-safety-advisory-bulletins-recalls/public-health-and-safety-advisory-voluntary-product-recall-fawn-river-cultivation-company-llc</t>
  </si>
  <si>
    <t xml:space="preserve">Green Crack 1G Live Rosin Dab</t>
  </si>
  <si>
    <t xml:space="preserve">Fawn River Cultivation Company</t>
  </si>
  <si>
    <t xml:space="preserve">product contains a banned chemical</t>
  </si>
  <si>
    <t xml:space="preserve">Mississippi</t>
  </si>
  <si>
    <t xml:space="preserve">https://www.mmcp.ms.gov/compliance/compliance-bulletins-announcements</t>
  </si>
  <si>
    <t xml:space="preserve">Kelly’s Green</t>
  </si>
  <si>
    <t xml:space="preserve">Mold</t>
  </si>
  <si>
    <t xml:space="preserve">Missouri</t>
  </si>
  <si>
    <t xml:space="preserve">https://health.mo.gov/safety/cannabis/pdf/notice-of-product-recall041025.pdf</t>
  </si>
  <si>
    <t xml:space="preserve">Infused Pre-Rolls, Vape Cartridges, Blunts</t>
  </si>
  <si>
    <t xml:space="preserve">Delta Extraction, LLC,</t>
  </si>
  <si>
    <t xml:space="preserve">Use of unregulated cannabis</t>
  </si>
  <si>
    <t xml:space="preserve">https://health.mo.gov/safety/cannabis/pdf/notice-of-product-recall080624.pdf</t>
  </si>
  <si>
    <t xml:space="preserve">NGWMO, LLC</t>
  </si>
  <si>
    <t xml:space="preserve">Invalid Testing</t>
  </si>
  <si>
    <t xml:space="preserve">https://health.mo.gov/safety/cannabis/pdf/notice-of-product-recall080824-508.pdf</t>
  </si>
  <si>
    <t xml:space="preserve">Flower, Concentrates, Vape Cartridges</t>
  </si>
  <si>
    <t xml:space="preserve"> C&amp;C Manufacturing, LLC,</t>
  </si>
  <si>
    <t xml:space="preserve">https://health.mo.gov/safety/cannabis/pdf/notice-of-product-recall083024.pdf</t>
  </si>
  <si>
    <t xml:space="preserve">Flower, Concentrates, Vape Cartridges, Edibles</t>
  </si>
  <si>
    <t xml:space="preserve">Blue Sky Health &amp; Wellness, LLC</t>
  </si>
  <si>
    <t xml:space="preserve">Flower, Pre-Rolls, Cartridges, Concentrates</t>
  </si>
  <si>
    <t xml:space="preserve">ClearWater Science, LLC</t>
  </si>
  <si>
    <t xml:space="preserve">https://health.mo.gov/safety/cannabis/pdf/notice-of-product-recall1115524.pdf</t>
  </si>
  <si>
    <t xml:space="preserve">Edibles, Beverages</t>
  </si>
  <si>
    <t xml:space="preserve">Noah’s Arc Foundation MAN97, LLC</t>
  </si>
  <si>
    <t xml:space="preserve">https://health.mo.gov/safety/cannabis/pdf/man-044-notice-of-product-recall-041825.pdf</t>
  </si>
  <si>
    <t xml:space="preserve">Honey Green, LLC</t>
  </si>
  <si>
    <t xml:space="preserve">Inaccurate Label</t>
  </si>
  <si>
    <t xml:space="preserve">https://health.mo.gov/safety/cannabis/pdf/man-10-notice-of-product-recall-041825-ada.pdf</t>
  </si>
  <si>
    <t xml:space="preserve">1913 Carrollton Manufacturing LLC</t>
  </si>
  <si>
    <t xml:space="preserve">https://health.mo.gov/safety/cannabis/pdf/notice-of-product-recall-042925-508.pdf</t>
  </si>
  <si>
    <t xml:space="preserve">Nodaway Holdings LLC</t>
  </si>
  <si>
    <t xml:space="preserve">https://health.mo.gov/safety/cannabis/pdf/notice-of-product-recall-070125-ada.pdf</t>
  </si>
  <si>
    <t xml:space="preserve">Bootheel CannaCare Columbia LLC</t>
  </si>
  <si>
    <t xml:space="preserve">https://health.mo.gov/business-professionals/cannabis-regulation/licensee-compliance-guidance/product-recalls#accordion-item-title-24981</t>
  </si>
  <si>
    <t xml:space="preserve">https://web.archive.org/web/20260904171924/https://health.mo.gov/business-professionals/cannabis-regulation/licensee-compliance-guidance/product-recalls#accordion-item-title-24981</t>
  </si>
  <si>
    <t xml:space="preserve">Sinise - Permanent Marker</t>
  </si>
  <si>
    <t xml:space="preserve">Sinse Cultivation Cherokee, LLC i</t>
  </si>
  <si>
    <t xml:space="preserve">https://health.mo.gov/business-professionals/cannabis-regulation/licensee-compliance-guidance/product-recalls#accordion-item-title-24976</t>
  </si>
  <si>
    <t xml:space="preserve">CPC of Missouri – Smithville, LLC</t>
  </si>
  <si>
    <t xml:space="preserve">not tested in accordance with the requirements</t>
  </si>
  <si>
    <t xml:space="preserve">https://health.mo.gov/sites/health/files/media/pdf/2026/09/dcr-notice-of-recall-09-02-26-ada.pdf</t>
  </si>
  <si>
    <t xml:space="preserve">https://web.archive.org/web/20261006220158/https://health.mo.gov/sites/health/files/media/pdf/2026/09/dcr-notice-of-recall-09-02-26-ada.pdf</t>
  </si>
  <si>
    <t xml:space="preserve">GF Extraction Lab LLC</t>
  </si>
  <si>
    <t xml:space="preserve">Synthetic Derivation of Cannabinoids</t>
  </si>
  <si>
    <t xml:space="preserve">https://health.mo.gov/business-professionals/cannabis-regulation/licensee-compliance-guidance/product-recalls</t>
  </si>
  <si>
    <t xml:space="preserve">Infused Pre-Rolls</t>
  </si>
  <si>
    <t xml:space="preserve">Juicy - Juicy J's - Infused Pre Rolls -</t>
  </si>
  <si>
    <t xml:space="preserve">CCMRB Processing, LLC</t>
  </si>
  <si>
    <t xml:space="preserve">Montana</t>
  </si>
  <si>
    <t xml:space="preserve">https://revenuefiles.mt.gov/files/Cannabis/Cannabis-Product-Recalls/Broughton_aka_Starrbuds_Item_Recall.pdf</t>
  </si>
  <si>
    <t xml:space="preserve">Concentrate, Pre-Roll, Vape Cartridges, Edibles</t>
  </si>
  <si>
    <t xml:space="preserve">BROUGHTON, Inc., </t>
  </si>
  <si>
    <t xml:space="preserve">Presence of a Contaminant</t>
  </si>
  <si>
    <t xml:space="preserve">https://revenuefiles.mt.gov/files/Cannabis/Cannabis-Product-Recalls/Marijuana-Product-Recall-SJ-Strategic-Enterprises.pdf</t>
  </si>
  <si>
    <t xml:space="preserve">S&amp;J Strategic Enterprises</t>
  </si>
  <si>
    <t xml:space="preserve">Not Tested</t>
  </si>
  <si>
    <t xml:space="preserve">44247NevadaUndisclosed</t>
  </si>
  <si>
    <t xml:space="preserve">Nevada</t>
  </si>
  <si>
    <t xml:space="preserve">https://ccbnvdev.wpengine.com/wp-content/uploads/2021/02/CCB-Public-Health-and-Safety-Advisory-2021-01.pdf</t>
  </si>
  <si>
    <t xml:space="preserve">Failed Microbial Testing</t>
  </si>
  <si>
    <t xml:space="preserve">44385NevadaWyld</t>
  </si>
  <si>
    <t xml:space="preserve">https://ccbnvdev.wpengine.com/wp-content/uploads/2021/07/Corrected-CCB-Public-Health-and-Safety-Bulletin-2021-1.pdf</t>
  </si>
  <si>
    <t xml:space="preserve">potentially inaccurate THC labeling by lab </t>
  </si>
  <si>
    <t xml:space="preserve">44505NevadaKindibles, LLC</t>
  </si>
  <si>
    <t xml:space="preserve">https://ccbnvdev.wpengine.com/wp-content/uploads/2021/11/Public-Health-and-Safety-Bulletin-2021-2-for-release.pdf</t>
  </si>
  <si>
    <t xml:space="preserve">Kindibles, LLC</t>
  </si>
  <si>
    <t xml:space="preserve">44624NevadaNLVG</t>
  </si>
  <si>
    <t xml:space="preserve">https://ccbnvdev.wpengine.com/wp-content/uploads/2022/03/Public-Health-and-Safety-Bulletin-2022-01-for-release.pdf</t>
  </si>
  <si>
    <t xml:space="preserve">NLVG</t>
  </si>
  <si>
    <t xml:space="preserve">44650NevadaTHC Production, LLC</t>
  </si>
  <si>
    <t xml:space="preserve">https://ccbnvdev.wpengine.com/wp-content/uploads/2022/03/Public-Health-and-Safety-Bulletin-2022-02-for-release.pdf</t>
  </si>
  <si>
    <t xml:space="preserve">THC Production, LLC</t>
  </si>
  <si>
    <t xml:space="preserve">Ingredients mislabeled</t>
  </si>
  <si>
    <t xml:space="preserve">44945NevadaWyld, others</t>
  </si>
  <si>
    <t xml:space="preserve">https://ccb.nv.gov/wp-content/uploads/2023/02/Public-Health-and-Safety-Bulletin-2023-01-Updated-02-09-23.pdf</t>
  </si>
  <si>
    <t xml:space="preserve">Wyld, others</t>
  </si>
  <si>
    <t xml:space="preserve">Ethephon</t>
  </si>
  <si>
    <t xml:space="preserve">45038NevadaCircle S Farms LLC</t>
  </si>
  <si>
    <t xml:space="preserve">https://ccb.nv.gov/wp-content/uploads/2023/04/Public-Health-and-Safety-Bulletin-2023-02.pdf</t>
  </si>
  <si>
    <t xml:space="preserve">Circle S Farms LLC</t>
  </si>
  <si>
    <t xml:space="preserve">45100NevadaPhantom Farms</t>
  </si>
  <si>
    <t xml:space="preserve">https://ccb.nv.gov/wp-content/uploads/2023/06/CCB-Public-Health-and-Safety-Bulletin-2023-03-6-23-23for-release-1.pdf</t>
  </si>
  <si>
    <t xml:space="preserve">Phantom Farms</t>
  </si>
  <si>
    <t xml:space="preserve">https://ccb.nv.gov/wp-content/uploads/2024/07/Public-Safety-and-Health-Bulletin-2024-02.pdf</t>
  </si>
  <si>
    <t xml:space="preserve">Kynd Energy Sour Green Apple (S)</t>
  </si>
  <si>
    <t xml:space="preserve">Kynd LLC</t>
  </si>
  <si>
    <t xml:space="preserve">Prohibited Product: THCv from unapproved source</t>
  </si>
  <si>
    <t xml:space="preserve">https://ccb.nv.gov/wp-content/uploads/2024/06/Public-Safety-and-Health-Bulletin-2024-01.pdf</t>
  </si>
  <si>
    <t xml:space="preserve">Kynd Balance Black Cherry</t>
  </si>
  <si>
    <t xml:space="preserve">Incorrect THC:CBD ratio on label</t>
  </si>
  <si>
    <t xml:space="preserve">Kynd Balance Black Cherry (</t>
  </si>
  <si>
    <t xml:space="preserve">KYND</t>
  </si>
  <si>
    <t xml:space="preserve">https://ccb.nv.gov/wp-content/uploads/2024/07/Public-Safety-and-Health-Bulletin-2024-03.pdf</t>
  </si>
  <si>
    <t xml:space="preserve">Kynd Energy Sour Green Apple</t>
  </si>
  <si>
    <t xml:space="preserve">Unapproved Cannabinoid Source</t>
  </si>
  <si>
    <t xml:space="preserve">Mutliple</t>
  </si>
  <si>
    <t xml:space="preserve">Prohibited Product / Additives</t>
  </si>
  <si>
    <t xml:space="preserve">Not Listed</t>
  </si>
  <si>
    <t xml:space="preserve">https://ccb.nv.gov/wp-content/uploads/2024/11/Public-Health-Safety-Bulletin-2024-04-for-release-11-05-24.pdf</t>
  </si>
  <si>
    <t xml:space="preserve">cannabis flower, shake/trim and uninfused pre-rolls, infused edibles, infused flower, infused pre-rolls, or cannabis concentrates.</t>
  </si>
  <si>
    <t xml:space="preserve">Various </t>
  </si>
  <si>
    <t xml:space="preserve"> Redwood Warehouse, LLC </t>
  </si>
  <si>
    <t xml:space="preserve">Conserve SC</t>
  </si>
  <si>
    <t xml:space="preserve">https://ccb.nv.gov/wp-content/uploads/2025/09/Public-Health-and-Safety-Bulletin-2025-01.pdf</t>
  </si>
  <si>
    <t xml:space="preserve">uninfused pre-rolls and whole flower</t>
  </si>
  <si>
    <t xml:space="preserve">Invalid Testing; Contaminated with Aspergillus or Mold</t>
  </si>
  <si>
    <t xml:space="preserve">December 12th, 2025</t>
  </si>
  <si>
    <t xml:space="preserve">https://ccb.nv.gov/wp-content/uploads/2025/12/Public-Health-and-Safety-Bulletin-2025-02-Amended-.pdf</t>
  </si>
  <si>
    <t xml:space="preserve">Greenway Medical, LLC</t>
  </si>
  <si>
    <t xml:space="preserve">Eagle 20</t>
  </si>
  <si>
    <t xml:space="preserve">New Jersey</t>
  </si>
  <si>
    <t xml:space="preserve">https://headynj.com/recall-of-moldy-curaleaf-cannabis-sold-by-curaleaf-gti-rise-issued/</t>
  </si>
  <si>
    <t xml:space="preserve">Mold </t>
  </si>
  <si>
    <t xml:space="preserve">https://nj.gov//cannabis/documents/Advisories/Recalls/Consumer%20Advisory%20Notice_Green%20Medicine.pdf</t>
  </si>
  <si>
    <t xml:space="preserve">Green Joy</t>
  </si>
  <si>
    <t xml:space="preserve">Green Medicine NJ</t>
  </si>
  <si>
    <t xml:space="preserve">Hair and insects</t>
  </si>
  <si>
    <t xml:space="preserve">https://www.nj.gov/cannabis/adult-personal/recalls/</t>
  </si>
  <si>
    <t xml:space="preserve">https://web.archive.org/web/20260807004545/https://www.nj.gov/cannabis/documents/Advisories/Recalls/Consumer%20Advisory%20Notice_Peach%20Elixer%20ButACake%205mg.pdf</t>
  </si>
  <si>
    <t xml:space="preserve">ButACake Peach Elixir 5mg</t>
  </si>
  <si>
    <t xml:space="preserve">Potential packaging and structural compromise</t>
  </si>
  <si>
    <t xml:space="preserve">44648New MexicoSacred Garden</t>
  </si>
  <si>
    <t xml:space="preserve">New Mexico</t>
  </si>
  <si>
    <t xml:space="preserve">https://web.archive.org/web/20220617160150/https://ccd.rld.state.nm.us/wp-content/uploads/2022/03/Sacred-Garden.pdf</t>
  </si>
  <si>
    <t xml:space="preserve">Sacred Garden</t>
  </si>
  <si>
    <t xml:space="preserve">flowering bodies/ mold</t>
  </si>
  <si>
    <t xml:space="preserve">https://www.rld.nm.gov/2024/03/22/consumer-health-and-safety-advisory-cannabis-control-division-recalls-cannabis-concentrates-sold-at-got-greens/#:~:text=Products%20subject%20to%20this%20recall,Diamonds%2C%20and%20OG%20Kush%20Shatter.</t>
  </si>
  <si>
    <t xml:space="preserve">Purple Kush Live Sugar, Cali Dream Live Sugar, Jigglers Live Diamonds, and OG Kush Shatter.</t>
  </si>
  <si>
    <t xml:space="preserve">Cowboy RX, Sandia Botanicals, and Seven Clover,</t>
  </si>
  <si>
    <t xml:space="preserve">malathion</t>
  </si>
  <si>
    <t xml:space="preserve">https://www.rld.nm.gov/wp-content/uploads/2024/04/3.22.2024-Recall-Details.pdf</t>
  </si>
  <si>
    <t xml:space="preserve">Got Greens </t>
  </si>
  <si>
    <t xml:space="preserve">https://www.rld.nm.gov/wp-content/uploads/2024/11/Recall-Notification-9.4.24.pdf</t>
  </si>
  <si>
    <t xml:space="preserve">Maggie’s Farm</t>
  </si>
  <si>
    <t xml:space="preserve">WH Agriculture, LLC</t>
  </si>
  <si>
    <t xml:space="preserve">pyrethrins</t>
  </si>
  <si>
    <t xml:space="preserve">https://www.rld.nm.gov/wp-content/uploads/2024/11/24.11.RC_.MANU-2022-0060-Recall-Order-Final.pdf</t>
  </si>
  <si>
    <t xml:space="preserve">Pre-rolls and roll-your-own products</t>
  </si>
  <si>
    <t xml:space="preserve">Stash House</t>
  </si>
  <si>
    <t xml:space="preserve">JBS Technologies NM, LLC</t>
  </si>
  <si>
    <t xml:space="preserve">pesticide Spinosyn</t>
  </si>
  <si>
    <t xml:space="preserve">https://www.rld.nm.gov/2026/02/26/state-recalls-medical-cannabis-edible/</t>
  </si>
  <si>
    <t xml:space="preserve">GH Kush Pops</t>
  </si>
  <si>
    <t xml:space="preserve">GH LLC</t>
  </si>
  <si>
    <t xml:space="preserve">THC content above legal limit</t>
  </si>
  <si>
    <t xml:space="preserve">New York</t>
  </si>
  <si>
    <t xml:space="preserve">https://www.syracuse.com/marijuana/2022/08/curaleaf-forced-to-remove-thousands-of-medical-marijuana-products-from-ny-dispensaries.html?e=ba462af342cab4070905a0f77a2ed0c5&amp;utm_source=Sailthru&amp;utm_medium=email&amp;utm_campaign=Cannabis%208.12.22%20AM&amp;utm_term=Newsletter_cannabis</t>
  </si>
  <si>
    <t xml:space="preserve">THC overstated via dry weight / wet weight</t>
  </si>
  <si>
    <t xml:space="preserve">https://www.syracuse.com/marijuana/2022/10/curaleaf-recalls-over-marijuana-labeling-piling-up-in-new-york.html</t>
  </si>
  <si>
    <t xml:space="preserve">https://cannabis.ny.gov/past-recalls</t>
  </si>
  <si>
    <t xml:space="preserve">IndoGro LLC</t>
  </si>
  <si>
    <t xml:space="preserve">Unspecified Pesticides, Product not from Approved Producer</t>
  </si>
  <si>
    <t xml:space="preserve">East End Flower Farm LTD</t>
  </si>
  <si>
    <t xml:space="preserve">Not appropriately tested, Pesticides</t>
  </si>
  <si>
    <t xml:space="preserve">https://cannabis.ny.gov/current-recalls</t>
  </si>
  <si>
    <t xml:space="preserve">Flower, Pre-Roll, Infused Pre-Roll, Edible</t>
  </si>
  <si>
    <t xml:space="preserve">Keystone State Testing New York.</t>
  </si>
  <si>
    <t xml:space="preserve">Ohio</t>
  </si>
  <si>
    <t xml:space="preserve">https://web.archive.org/web/20220513012729/https://medicalmarijuana.ohio.gov/documents/recalls/recall%20notices%20and%20summaries/archived%20recall%20notices/archived%20recall%20notices.pdf</t>
  </si>
  <si>
    <t xml:space="preserve">Standard Wellness</t>
  </si>
  <si>
    <t xml:space="preserve">One Orijin</t>
  </si>
  <si>
    <t xml:space="preserve">Galenas</t>
  </si>
  <si>
    <t xml:space="preserve">Pure Ohio Wellness</t>
  </si>
  <si>
    <t xml:space="preserve">Verano Brands</t>
  </si>
  <si>
    <t xml:space="preserve">GTI Ohio</t>
  </si>
  <si>
    <t xml:space="preserve">Beneleaves Limited</t>
  </si>
  <si>
    <t xml:space="preserve">Certified Cultivators</t>
  </si>
  <si>
    <t xml:space="preserve">Physical Contamination</t>
  </si>
  <si>
    <t xml:space="preserve">Green Investment Partners, LLC</t>
  </si>
  <si>
    <t xml:space="preserve">Total Yeast And Mold</t>
  </si>
  <si>
    <t xml:space="preserve">https://www.wfmj.com/story/50287035/ohio-medical-marijuana-control-program-recalls-edible-medical-marijuana-products</t>
  </si>
  <si>
    <t xml:space="preserve">Smokiez Sweet Tropical Fruit Gummies</t>
  </si>
  <si>
    <t xml:space="preserve">BeneLeaves Limited</t>
  </si>
  <si>
    <t xml:space="preserve">https://com.ohio.gov/divisions-and-programs/cannabis-control/product-safety/zzz-product-recall-2024-01</t>
  </si>
  <si>
    <t xml:space="preserve">Standard Farms Carrot Cake Fudge 2-pk</t>
  </si>
  <si>
    <t xml:space="preserve"> Standard Farms Ohio, LLC </t>
  </si>
  <si>
    <t xml:space="preserve">Mold and Spoilage</t>
  </si>
  <si>
    <t xml:space="preserve">https://com.ohio.gov/divisions-and-programs/cannabis-control/product-safety/yyy-product-recall-2024-04</t>
  </si>
  <si>
    <t xml:space="preserve">Paragon Premium Cannabis</t>
  </si>
  <si>
    <t xml:space="preserve">Paragon Development Group, LLC</t>
  </si>
  <si>
    <t xml:space="preserve">Not Childproof Packaging</t>
  </si>
  <si>
    <t xml:space="preserve">https://com.ohio.gov/divisions-and-programs/cannabis-control/product-safety/YProduct-Recall-2025-02-Beneleaves</t>
  </si>
  <si>
    <t xml:space="preserve">Various Capsules, Vape Products, and Edibles</t>
  </si>
  <si>
    <t xml:space="preserve">Beneleaves Limited –</t>
  </si>
  <si>
    <t xml:space="preserve">pril 13, 2023</t>
  </si>
  <si>
    <t xml:space="preserve">https://com.ohio.gov/divisions-and-programs/cannabis-control/product-safety/X-Product-Recall-Beneleaves-Chocolate</t>
  </si>
  <si>
    <t xml:space="preserve">Koala Bars Koala Classic </t>
  </si>
  <si>
    <t xml:space="preserve">Beneleaves Limited,</t>
  </si>
  <si>
    <t xml:space="preserve">https://com.ohio.gov/divisions-and-programs/cannabis-control/product-safety/WWW-product-recall-2025-04</t>
  </si>
  <si>
    <t xml:space="preserve">Ohio Processing Plant LLC</t>
  </si>
  <si>
    <t xml:space="preserve">Ohio Processing Plant LLC </t>
  </si>
  <si>
    <t xml:space="preserve">Does not include universal symbol</t>
  </si>
  <si>
    <t xml:space="preserve">https://com.ohio.gov/divisions-and-programs/cannabis-control/product-safety/W-Product-Recall-2025-06-Klutch-Processing</t>
  </si>
  <si>
    <t xml:space="preserve">Klutch Processing, LLC</t>
  </si>
  <si>
    <t xml:space="preserve">https://com.ohio.gov/divisions-and-programs/cannabis-control/product-safety/WW-Product-Recall-2025-05-Green-Investment-Partners</t>
  </si>
  <si>
    <t xml:space="preserve">Green Investment Partners, LLC </t>
  </si>
  <si>
    <t xml:space="preserve">https://com.ohio.gov/divisions-and-programs/cannabis-control/product-safety/VV-Product-Recall-2025-08-Curaleaf</t>
  </si>
  <si>
    <t xml:space="preserve">Curaleaf OGT, Inc.</t>
  </si>
  <si>
    <t xml:space="preserve">https://com.ohio.gov/divisions-and-programs/cannabis-control/product-safety/VVV-Product-Recall-2025-07-GTI</t>
  </si>
  <si>
    <t xml:space="preserve">GTI Ohio, LLC</t>
  </si>
  <si>
    <t xml:space="preserve">https://com.ohio.gov/divisions-and-programs/cannabis-control/product-safety/V-Product-Recall-2025-09-Hundred-Percent-Labs</t>
  </si>
  <si>
    <t xml:space="preserve">Hundred Percent Labs</t>
  </si>
  <si>
    <t xml:space="preserve">Multiple: Attractive to Children, Inaccurate Ingredient Label</t>
  </si>
  <si>
    <t xml:space="preserve">https://com.ohio.gov/divisions-and-programs/cannabis-control/product-safety/UU-Product-Alert-2025-07-Standard-Farms</t>
  </si>
  <si>
    <t xml:space="preserve">Standard Farms Ohio LLC</t>
  </si>
  <si>
    <t xml:space="preserve">https://com.ohio.gov/divisions-and-programs/cannabis-control/product-safety/U-Product-Recall-2026-01</t>
  </si>
  <si>
    <t xml:space="preserve">Marichron Pharma LLC</t>
  </si>
  <si>
    <t xml:space="preserve">Marichron Pharma LLC </t>
  </si>
  <si>
    <t xml:space="preserve">https://com.ohio.gov/divisions-and-programs/cannabis-control/product-safety/TTT-Product-Recall-2026-02</t>
  </si>
  <si>
    <t xml:space="preserve">Harvest Processing, LLC</t>
  </si>
  <si>
    <t xml:space="preserve">https://com.ohio.gov/divisions-and-programs/cannabis-control/product-safety/TT-Product-Recall-2026-03</t>
  </si>
  <si>
    <t xml:space="preserve">Modern Flower Minis </t>
  </si>
  <si>
    <t xml:space="preserve">Harvest Grows, LLC,</t>
  </si>
  <si>
    <t xml:space="preserve">https://com.ohio.gov/divisions-and-programs/cannabis-control/product-safety/T-Product-Alert-2026-01</t>
  </si>
  <si>
    <t xml:space="preserve">https://web.archive.org/web/20260807130043/https://com.ohio.gov/divisions-and-programs/cannabis-control/product-safety/T-Product-Alert-2026-01</t>
  </si>
  <si>
    <t xml:space="preserve">Non-Recall Alert</t>
  </si>
  <si>
    <t xml:space="preserve">Vaporizer</t>
  </si>
  <si>
    <t xml:space="preserve">Appalachian Pharm Processing, LLC</t>
  </si>
  <si>
    <t xml:space="preserve">non-compliant and inaccurate labeling.</t>
  </si>
  <si>
    <t xml:space="preserve">https://com.ohio.gov/divisions-and-programs/cannabis-control/product-safety/SSS-Product-Recall-2024-04</t>
  </si>
  <si>
    <t xml:space="preserve">https://web.archive.org/save/https://com.ohio.gov/divisions-and-programs/cannabis-control/product-safety/SSS-Product-Recall-2024-04</t>
  </si>
  <si>
    <t xml:space="preserve">Buckeye Relief LLC</t>
  </si>
  <si>
    <t xml:space="preserve">Food Allergens (Soy)</t>
  </si>
  <si>
    <t xml:space="preserve">https://com.ohio.gov/divisions-and-programs/cannabis-control/product-safety/SS-Product-Recall</t>
  </si>
  <si>
    <t xml:space="preserve">https://web.archive.org/web/20260807135531/https://com.ohio.gov/divisions-and-programs/cannabis-control/product-safety/SS-Product-Recall</t>
  </si>
  <si>
    <t xml:space="preserve">https://com.ohio.gov/divisions-and-programs/cannabis-control/product-safety/s-Product-Recall-2026-06-Pure-Ohio-Wellness</t>
  </si>
  <si>
    <t xml:space="preserve">Pure Ohio Wellness </t>
  </si>
  <si>
    <t xml:space="preserve">containing mold in excess of the allowable threshold</t>
  </si>
  <si>
    <t xml:space="preserve">Oklahoma</t>
  </si>
  <si>
    <t xml:space="preserve">https://oklahoma.gov/content/dam/ok/en/omma/docs/2022/2022.05.19_Recall%20Product%20List.pdf</t>
  </si>
  <si>
    <t xml:space="preserve">Scale Laboratories</t>
  </si>
  <si>
    <t xml:space="preserve">mold, yeast, aspergillus, salmonella and E. coli.</t>
  </si>
  <si>
    <t xml:space="preserve">https://oklahoma.gov/content/dam/ok/en/omma/docs/2022/2022.09.16_Emergency%20Order%20of%20Embargo%20and%20Recall.pdf</t>
  </si>
  <si>
    <t xml:space="preserve">products that failed testing made it to shelves</t>
  </si>
  <si>
    <t xml:space="preserve">https://oklahoma.gov/omma/embargoed-and-recalled-products/product-recall-nov-3-2023.html#recall-product-and-business-list</t>
  </si>
  <si>
    <t xml:space="preserve">Not Properly Tested</t>
  </si>
  <si>
    <t xml:space="preserve">https://oklahoma.gov/omma/embargoed-and-recalled-products/product-recall-june-10-2024.html</t>
  </si>
  <si>
    <t xml:space="preserve">Graves Farm Organics LLC</t>
  </si>
  <si>
    <t xml:space="preserve">permethrin, spiromesifen</t>
  </si>
  <si>
    <t xml:space="preserve">https://oklahoma.gov/omma/recalls/embargoed-and-recalled-products/product-recall-june-10-2024.html</t>
  </si>
  <si>
    <t xml:space="preserve">spiromesifen and permethrin</t>
  </si>
  <si>
    <t xml:space="preserve">https://oklahoma.gov/omma/recalls/embargoed-and-recalled-products.html#accordion-08efa350b5-item-4d4e4ec992</t>
  </si>
  <si>
    <t xml:space="preserve">Payzos Flower &amp; Buds</t>
  </si>
  <si>
    <t xml:space="preserve">PAK Family Farm, LL</t>
  </si>
  <si>
    <t xml:space="preserve">Cadmium, Arsenic</t>
  </si>
  <si>
    <t xml:space="preserve">https://oklahoma.gov/omma/recalls/embargoed-and-recalled-products/product-recall-october-10-2025.html</t>
  </si>
  <si>
    <t xml:space="preserve">Pre-Roll, Infused Pre-Roll, Edibles,</t>
  </si>
  <si>
    <t xml:space="preserve">Rocking R Cannabis</t>
  </si>
  <si>
    <t xml:space="preserve">Michael William Redus</t>
  </si>
  <si>
    <t xml:space="preserve">Improper Testing Methods</t>
  </si>
  <si>
    <t xml:space="preserve">Oct. 13, 2025,</t>
  </si>
  <si>
    <t xml:space="preserve">https://oklahoma.gov/omma/recalls/embargoed-and-recalled-products/product-recall-october-23-2025.html</t>
  </si>
  <si>
    <t xml:space="preserve">Vape Catridges, Infused Pre-Rolls</t>
  </si>
  <si>
    <t xml:space="preserve">Ruby Mae’s LLC</t>
  </si>
  <si>
    <t xml:space="preserve">Ruby Mae’s LLC </t>
  </si>
  <si>
    <t xml:space="preserve">https://oklahoma.gov/omma/recalls/embargoed-and-recalled-products/product-recall-october-24-2025.html</t>
  </si>
  <si>
    <t xml:space="preserve">Green Delight 2 LLC</t>
  </si>
  <si>
    <t xml:space="preserve">Failed Pesticide Testing</t>
  </si>
  <si>
    <t xml:space="preserve">https://oklahoma.gov/omma/recalls/embargoed-and-recalled-products/product-recall-novober-25-2025.html</t>
  </si>
  <si>
    <t xml:space="preserve">Vice Capital Extraction, LLC</t>
  </si>
  <si>
    <t xml:space="preserve">failed harvest batch testing for microbials</t>
  </si>
  <si>
    <t xml:space="preserve">https://oklahoma.gov/omma/recalls/embargoed-and-recalled-products/product-recall-december-23-2025.html</t>
  </si>
  <si>
    <t xml:space="preserve">Carter County Extracts, Inc.</t>
  </si>
  <si>
    <t xml:space="preserve">https://oklahoma.gov/omma/recalls/embargoed-and-recalled-products/product-recall-march-19-20261.html</t>
  </si>
  <si>
    <t xml:space="preserve">https://web.archive.org/web/20260807141842/https://oklahoma.gov/omma/recalls/embargoed-and-recalled-products/product-recall-march-19-20261.html</t>
  </si>
  <si>
    <t xml:space="preserve">Pre-Rolls</t>
  </si>
  <si>
    <t xml:space="preserve">Green Leaf Lab</t>
  </si>
  <si>
    <t xml:space="preserve">mandatory recall for medical marijuana products tested by Greenleaf Labs LLC</t>
  </si>
  <si>
    <t xml:space="preserve">https://oklahoma.gov/omma/recalls/embargoed-and-recalled-products/product-recall-march-23-2026.html</t>
  </si>
  <si>
    <t xml:space="preserve">Pre-Roll (Infused)</t>
  </si>
  <si>
    <t xml:space="preserve">Sunny Roads Processing 2, LLC</t>
  </si>
  <si>
    <t xml:space="preserve">o pesticide content above allowable thresholds</t>
  </si>
  <si>
    <t xml:space="preserve">42811OregonEmerald Wave Estate, LLC</t>
  </si>
  <si>
    <t xml:space="preserve">Oregon</t>
  </si>
  <si>
    <t xml:space="preserve">https://web.archive.org/web/20170326224431/https://www.oregon.gov/olcc/Docs/news/news_releases/2017/nr_03_18_17_Emerald_Wave_recall.pdf</t>
  </si>
  <si>
    <t xml:space="preserve">Emerald Wave Estate, LLC</t>
  </si>
  <si>
    <t xml:space="preserve">44176OregonBulk Naturals LLC (True Terpenes)</t>
  </si>
  <si>
    <t xml:space="preserve">https://www.oregon.gov/olcc/Docs/news/news_releases/2020/nr_121120_Cannabis_Product_Recall.pdf</t>
  </si>
  <si>
    <t xml:space="preserve">Bulk Naturals LLC (True Terpenes)</t>
  </si>
  <si>
    <t xml:space="preserve">44202OregonEcotest Lab</t>
  </si>
  <si>
    <t xml:space="preserve">https://www.oregon.gov/olcc/Docs/news/news_releases/2021/nr_010621_MJ_PR_Medical_Marijuana_Recall.pdf</t>
  </si>
  <si>
    <t xml:space="preserve">Ecotest Lab</t>
  </si>
  <si>
    <t xml:space="preserve">Abamectin</t>
  </si>
  <si>
    <t xml:space="preserve">44337OregonNaked Extracts</t>
  </si>
  <si>
    <t xml:space="preserve">https://www.oregon.gov/olcc/Docs/news/news_releases/2021/nr052121_MJ_PR_Recall_Naked_Extracts.pdf</t>
  </si>
  <si>
    <t xml:space="preserve">Naked Extracts</t>
  </si>
  <si>
    <t xml:space="preserve">44460OregonSelect (Curaleaf)</t>
  </si>
  <si>
    <t xml:space="preserve">https://www.oregon.gov/olcc/Docs/news/news_releases/2021/nr092121-Cannabis-Product-Recall-Cura-Select-CBD.pdf</t>
  </si>
  <si>
    <t xml:space="preserve">Select (Curaleaf)</t>
  </si>
  <si>
    <t xml:space="preserve">44463OregonSelect (Curaleaf)</t>
  </si>
  <si>
    <t xml:space="preserve">https://www.oregon.gov/olcc/Docs/news/news_releases/2021/nr092421-Cannabis-Product-Recall-Expanded-Cura-Select-THC.pdf</t>
  </si>
  <si>
    <t xml:space="preserve">44791OregonYHN</t>
  </si>
  <si>
    <t xml:space="preserve">https://www.oregon.gov/olcc/Docs/news/news_releases/2022/nr081822-Cannabis-Product-Advisory-Dark-Horse.pdf</t>
  </si>
  <si>
    <t xml:space="preserve">YHN</t>
  </si>
  <si>
    <t xml:space="preserve">44875OregonMagic Bubbly</t>
  </si>
  <si>
    <t xml:space="preserve">https://www.oregon.gov/olcc/Docs/Bubbly-Recall.pdf</t>
  </si>
  <si>
    <t xml:space="preserve">Magic Bubbly</t>
  </si>
  <si>
    <t xml:space="preserve">Pressure Buildup</t>
  </si>
  <si>
    <t xml:space="preserve">44897OregonBobsled / Quantum Alchemy</t>
  </si>
  <si>
    <t xml:space="preserve">https://www.oregon.gov/olcc/Docs/news/news_releases/2022/nr120222-Cannabis-Product-Recall-Pesticide-Bobsled-QuantumAlchemy.pdf</t>
  </si>
  <si>
    <t xml:space="preserve">Bobsled / Quantum Alchemy</t>
  </si>
  <si>
    <t xml:space="preserve">44910OregonChocowana Bar</t>
  </si>
  <si>
    <t xml:space="preserve">https://www.oregon.gov/olcc/Docs/Recall-Notice-Oregon-Original-Chocowana-Bar.pdf</t>
  </si>
  <si>
    <t xml:space="preserve">Chocowana Bar</t>
  </si>
  <si>
    <t xml:space="preserve">44938OregonPlank Road Laboratories, Inc.</t>
  </si>
  <si>
    <t xml:space="preserve">https://www.oregon.gov/olcc/Docs/news/news_releases/2023/nr011223-Cannabis-Product-Recall-Firefly.pdf</t>
  </si>
  <si>
    <t xml:space="preserve">Plank Road Laboratories, Inc.</t>
  </si>
  <si>
    <t xml:space="preserve">44952OregonSwell Companies Limited</t>
  </si>
  <si>
    <t xml:space="preserve">https://www.oregon.gov/olcc/Docs/news/news_releases/2023/nr012623-Recall-Notice-Cannabis-PREE-Labs.pdf</t>
  </si>
  <si>
    <t xml:space="preserve">Swell Companies Limited</t>
  </si>
  <si>
    <t xml:space="preserve">Pyrethrins and Piperonyl butoxide</t>
  </si>
  <si>
    <t xml:space="preserve">44971OregonPlank Road Laboratories, Inc.</t>
  </si>
  <si>
    <t xml:space="preserve">https://www.oregon.gov/olcc/Docs/news/news_releases/2023/nr021423-Cannabis-Product-Recall-Firefly-Expansion.pdf</t>
  </si>
  <si>
    <t xml:space="preserve">44988OregonAvitas</t>
  </si>
  <si>
    <t xml:space="preserve">https://www.oregon.gov/olcc/marijuana/Documents/Avitas-Recall-Notice.pdf</t>
  </si>
  <si>
    <t xml:space="preserve">Avitas</t>
  </si>
  <si>
    <t xml:space="preserve">45000OregonThe Hapy Kitchen</t>
  </si>
  <si>
    <t xml:space="preserve">https://www.oregon.gov/olcc/marijuana/Documents/Recall-Notice-Hapy-Kitchen.pdf</t>
  </si>
  <si>
    <t xml:space="preserve">The Hapy Kitchen</t>
  </si>
  <si>
    <t xml:space="preserve">45029OregonDutch Gold Extracts</t>
  </si>
  <si>
    <t xml:space="preserve">https://www.oregon.gov/olcc/marijuana/Documents/Recall-Notice-Crumble-Apple-Crisp.pdf</t>
  </si>
  <si>
    <t xml:space="preserve">Dutch Gold Extracts</t>
  </si>
  <si>
    <t xml:space="preserve">Presence of Delta-8</t>
  </si>
  <si>
    <t xml:space="preserve">45097OregonOregon Cannabis Collective</t>
  </si>
  <si>
    <t xml:space="preserve">https://www.oregon.gov/olcc/marijuana/Documents/Recall-Notice-Covert-Extracts.pdf</t>
  </si>
  <si>
    <t xml:space="preserve">Oregon Cannabis Collective</t>
  </si>
  <si>
    <t xml:space="preserve">incorrect Packaging (not childproof)</t>
  </si>
  <si>
    <t xml:space="preserve">State Recall page</t>
  </si>
  <si>
    <t xml:space="preserve">45103OregonGreenworks Farms / Nectar Markets</t>
  </si>
  <si>
    <t xml:space="preserve">https://www.oregon.gov/olcc/Docs/news/news_releases/2023/nr062623-Cannabis-Recall.pdf</t>
  </si>
  <si>
    <t xml:space="preserve">Greenworks Farms / Nectar Markets</t>
  </si>
  <si>
    <t xml:space="preserve">Mercury, Cadmium, Mold</t>
  </si>
  <si>
    <t xml:space="preserve">45120OregonBend Cannabis Company</t>
  </si>
  <si>
    <t xml:space="preserve">https://www.oregon.gov/olcc/Docs/news/news_releases/2023/nr071323-Cannabis-Arsenic-Recall.pdf</t>
  </si>
  <si>
    <t xml:space="preserve">Bend Cannabis Company</t>
  </si>
  <si>
    <t xml:space="preserve">Arsenic</t>
  </si>
  <si>
    <t xml:space="preserve">45121OregonBend Cannabis Company</t>
  </si>
  <si>
    <t xml:space="preserve">https://www.oregon.gov/olcc/Docs/Dr-Jollys-Recall-9.22.2023.pdf</t>
  </si>
  <si>
    <t xml:space="preserve">Dr. Jolly's Tincture</t>
  </si>
  <si>
    <t xml:space="preserve">Dr. Jolly's</t>
  </si>
  <si>
    <t xml:space="preserve">https://www.oregon.gov/olcc/marijuana/Documents/Epoch-Investments-Quality-Drugs-Fruit-Chews-Recall.pdf</t>
  </si>
  <si>
    <t xml:space="preserve">Quality Drugs</t>
  </si>
  <si>
    <t xml:space="preserve">Epoch Investments LLC</t>
  </si>
  <si>
    <t xml:space="preserve">https://www.oregon.gov/olcc/marijuana/Documents/LTRMN-Beacoup-Gummy-Recall.pdf</t>
  </si>
  <si>
    <t xml:space="preserve">Beaucoup Gummies</t>
  </si>
  <si>
    <t xml:space="preserve">LTRMN Inc</t>
  </si>
  <si>
    <t xml:space="preserve">QA Recall by Vendor</t>
  </si>
  <si>
    <t xml:space="preserve">https://content.govdelivery.com/accounts/OLCC/bulletins/3c9046e</t>
  </si>
  <si>
    <t xml:space="preserve">Gary Payton Flower</t>
  </si>
  <si>
    <t xml:space="preserve">Atlas Farms (Lopaka Farms LLC)</t>
  </si>
  <si>
    <t xml:space="preserve">IMIDACLOPRID</t>
  </si>
  <si>
    <t xml:space="preserve">https://www.oregon.gov/olcc/Docs/news/news_releases/2025/nr012325%20Elitextrx-Recall.pdf</t>
  </si>
  <si>
    <t xml:space="preserve">Elitextrx 1:1 Crispy</t>
  </si>
  <si>
    <t xml:space="preserve">ELITEXTRX, LLC</t>
  </si>
  <si>
    <t xml:space="preserve">https://www.oregon.gov/olcc/Docs/news/news_releases/2025/MJ-Cookie-Recall.pdf</t>
  </si>
  <si>
    <t xml:space="preserve">Lissa’s Fresh Baked Cookie Bites</t>
  </si>
  <si>
    <t xml:space="preserve">C&amp;R Oregon Corporation or Green Box MFG LLC</t>
  </si>
  <si>
    <t xml:space="preserve">Pennsylvania</t>
  </si>
  <si>
    <t xml:space="preserve">https://www.pa.gov/content/dam/copapwp-pagov/en/health/documents/topics/documents/programs/medical-marijuana/DOH%20-%20Withdraw%20of%20Products%20Containing%20Additives%20Not%20Approved%20for%20Inhalation%20by%20the%20FDA.pdf</t>
  </si>
  <si>
    <t xml:space="preserve">Withdraw of products not safe for inhalation</t>
  </si>
  <si>
    <t xml:space="preserve">Press </t>
  </si>
  <si>
    <t xml:space="preserve">https://ir.ayrwellness.com/news-events/press-releases/detail/274/canntech-pa-issues-recall-of-oral-tinctures</t>
  </si>
  <si>
    <t xml:space="preserve">https://web.archive.org/save/https://ir.ayrwellness.com/news-events/press-releases/detail/274/canntech-pa-issues-recall-of-oral-tinctures</t>
  </si>
  <si>
    <t xml:space="preserve">Tinctures</t>
  </si>
  <si>
    <t xml:space="preserve">Ayr Wellness</t>
  </si>
  <si>
    <t xml:space="preserve">Inaccurate THC on label</t>
  </si>
  <si>
    <t xml:space="preserve">Vermont</t>
  </si>
  <si>
    <t xml:space="preserve">https://ccb.vermont.gov/consumer-protection-warning-holland-cannabis-company</t>
  </si>
  <si>
    <t xml:space="preserve">Holland Cannabis Company</t>
  </si>
  <si>
    <t xml:space="preserve">Holland</t>
  </si>
  <si>
    <t xml:space="preserve">Pesticide Contamination</t>
  </si>
  <si>
    <t xml:space="preserve">https://ccb.vermont.gov/consumer-protection-warning-holland-cannabis-company-0</t>
  </si>
  <si>
    <t xml:space="preserve">Pesticide Contamination (Myclobutanil)</t>
  </si>
  <si>
    <t xml:space="preserve">42713WashingtonGrow Op Farms</t>
  </si>
  <si>
    <t xml:space="preserve">Washington</t>
  </si>
  <si>
    <t xml:space="preserve">https://lcb.wa.gov/marj/notice_of_recalls</t>
  </si>
  <si>
    <t xml:space="preserve">Grow Op Farms</t>
  </si>
  <si>
    <t xml:space="preserve">42873WashingtonSpinning Heads</t>
  </si>
  <si>
    <t xml:space="preserve">Spinning Heads</t>
  </si>
  <si>
    <t xml:space="preserve">42941WashingtonFreya Farms</t>
  </si>
  <si>
    <t xml:space="preserve">43392WashingtonClandestine Consulting</t>
  </si>
  <si>
    <t xml:space="preserve">Clandestine Consulting</t>
  </si>
  <si>
    <t xml:space="preserve">43511WashingtonEmerald Peaks</t>
  </si>
  <si>
    <t xml:space="preserve">Emerald Peaks</t>
  </si>
  <si>
    <t xml:space="preserve">43570WashingtonAuricag</t>
  </si>
  <si>
    <t xml:space="preserve">Auricag</t>
  </si>
  <si>
    <t xml:space="preserve">43573WashingtonBotanical Arts</t>
  </si>
  <si>
    <t xml:space="preserve">Botanical Arts</t>
  </si>
  <si>
    <t xml:space="preserve">43591WashingtonSkagit Organics</t>
  </si>
  <si>
    <t xml:space="preserve">Skagit Organics</t>
  </si>
  <si>
    <t xml:space="preserve">43591WashingtonMountain HI</t>
  </si>
  <si>
    <t xml:space="preserve">Mountain HI</t>
  </si>
  <si>
    <t xml:space="preserve">43594WashingtonPacific Glo</t>
  </si>
  <si>
    <t xml:space="preserve">Pacific Glo</t>
  </si>
  <si>
    <t xml:space="preserve">43595WashingtonWashington Grow Solutions</t>
  </si>
  <si>
    <t xml:space="preserve">Washington Grow Solutions</t>
  </si>
  <si>
    <t xml:space="preserve">43649WashingtonAurum Farms</t>
  </si>
  <si>
    <t xml:space="preserve">Aurum Farms</t>
  </si>
  <si>
    <t xml:space="preserve">43662WashingtonDB3</t>
  </si>
  <si>
    <t xml:space="preserve">DB3</t>
  </si>
  <si>
    <t xml:space="preserve">43669WashingtonFirebros</t>
  </si>
  <si>
    <t xml:space="preserve">Firebros</t>
  </si>
  <si>
    <t xml:space="preserve">43669WashingtonMink Farm Organics</t>
  </si>
  <si>
    <t xml:space="preserve">Mink Farm Organics</t>
  </si>
  <si>
    <t xml:space="preserve">43671WashingtonFreya Farms</t>
  </si>
  <si>
    <t xml:space="preserve">44155WashingtonVerdelux Chocolates</t>
  </si>
  <si>
    <t xml:space="preserve">Verdelux Chocolates</t>
  </si>
  <si>
    <t xml:space="preserve">44281WashingtonHJG LLC</t>
  </si>
  <si>
    <t xml:space="preserve">HJG LLC</t>
  </si>
  <si>
    <t xml:space="preserve">44285WashingtonBlooming City</t>
  </si>
  <si>
    <t xml:space="preserve">Blooming City</t>
  </si>
  <si>
    <t xml:space="preserve">44299WashingtonHeavenly Buds</t>
  </si>
  <si>
    <t xml:space="preserve">Heavenly Buds</t>
  </si>
  <si>
    <t xml:space="preserve">44390WashingtonClandestine Consulting</t>
  </si>
  <si>
    <t xml:space="preserve">44397WashingtonOMG Sykes</t>
  </si>
  <si>
    <t xml:space="preserve">OMG Sykes</t>
  </si>
  <si>
    <t xml:space="preserve">44804WashingtonStirling Horticulture</t>
  </si>
  <si>
    <t xml:space="preserve">Stirling Horticulture</t>
  </si>
  <si>
    <t xml:space="preserve">44942WashingtonPioneer Production and Processing</t>
  </si>
  <si>
    <t xml:space="preserve">Pioneer Production and Processing</t>
  </si>
  <si>
    <t xml:space="preserve">45022WashingtonOkanogan Gold</t>
  </si>
  <si>
    <t xml:space="preserve">Okanogan Gold</t>
  </si>
  <si>
    <t xml:space="preserve">45022WashingtonWalden Cannabis</t>
  </si>
  <si>
    <t xml:space="preserve">Walden Cannabis</t>
  </si>
  <si>
    <t xml:space="preserve">45022WashingtonSweet Leaf Sowers</t>
  </si>
  <si>
    <t xml:space="preserve">Sweet Leaf Sowers</t>
  </si>
  <si>
    <t xml:space="preserve">45022WashingtonWalden</t>
  </si>
  <si>
    <t xml:space="preserve">Walden</t>
  </si>
  <si>
    <t xml:space="preserve">45022WashingtonKibble Junction,</t>
  </si>
  <si>
    <t xml:space="preserve">Kibble Junction,</t>
  </si>
  <si>
    <t xml:space="preserve">45048WashingtonMt. Baker Homegrown, LLC</t>
  </si>
  <si>
    <t xml:space="preserve">Mt. Baker Homegrown, LLC</t>
  </si>
  <si>
    <t xml:space="preserve">45051WashingtonBanano Buds</t>
  </si>
  <si>
    <t xml:space="preserve">Banano Buds</t>
  </si>
  <si>
    <t xml:space="preserve">45055WashingtonMutual Benefit Agriculture, LLC</t>
  </si>
  <si>
    <t xml:space="preserve">Mutual Benefit Agriculture, LLC</t>
  </si>
  <si>
    <t xml:space="preserve">45055WashingtonWAWD, LLC</t>
  </si>
  <si>
    <t xml:space="preserve">WAWD, LLC</t>
  </si>
  <si>
    <t xml:space="preserve">45140WashingtonOlympic Reef, LLC</t>
  </si>
  <si>
    <t xml:space="preserve">Olympic Reef, LLC</t>
  </si>
  <si>
    <t xml:space="preserve">https://lcb.wa.gov/examiners/recalls</t>
  </si>
  <si>
    <t xml:space="preserve">Green Bluff Greenhouse</t>
  </si>
  <si>
    <t xml:space="preserve">Diphenylamine (DPA),O-phenylphenol (OPP),</t>
  </si>
  <si>
    <t xml:space="preserve">Washington Bud Company</t>
  </si>
  <si>
    <t xml:space="preserve">Titty Sprinkles</t>
  </si>
  <si>
    <t xml:space="preserve">Playa Grande </t>
  </si>
  <si>
    <t xml:space="preserve">Above pesticide action levels.</t>
  </si>
  <si>
    <t xml:space="preserve">Magenta Hasplant</t>
  </si>
  <si>
    <t xml:space="preserve">Vert Corporation</t>
  </si>
  <si>
    <t xml:space="preserve">Orange State</t>
  </si>
  <si>
    <t xml:space="preserve"> Orange State </t>
  </si>
  <si>
    <t xml:space="preserve">Dichlenobil</t>
  </si>
  <si>
    <t xml:space="preserve">Vaporizer Catridge</t>
  </si>
  <si>
    <t xml:space="preserve">Northwest Cannabis Solutions</t>
  </si>
  <si>
    <t xml:space="preserve">High Level of concern for pesticides/residual solvents. </t>
  </si>
  <si>
    <t xml:space="preserve">Edible, Infused Pre-Roll, </t>
  </si>
  <si>
    <t xml:space="preserve">GTO Oil</t>
  </si>
  <si>
    <t xml:space="preserve">Green Bluff Orchards</t>
  </si>
  <si>
    <t xml:space="preserve">O-phenylphenol </t>
  </si>
  <si>
    <t xml:space="preserve">Big Frank</t>
  </si>
  <si>
    <t xml:space="preserve">ALKI HERBAL 412371</t>
  </si>
  <si>
    <t xml:space="preserve">pesticides above action level</t>
  </si>
  <si>
    <t xml:space="preserve">Tight Cat</t>
  </si>
  <si>
    <t xml:space="preserve">Hair and Insects</t>
  </si>
  <si>
    <t xml:space="preserve">Contaminants</t>
  </si>
  <si>
    <t xml:space="preserve">Prohibited Additives / Product</t>
  </si>
  <si>
    <t xml:space="preserve">Synthetic Cannabinoids</t>
  </si>
  <si>
    <t xml:space="preserve">Mislabeled</t>
  </si>
  <si>
    <t xml:space="preserve">Other</t>
  </si>
  <si>
    <t xml:space="preserve">Packaging</t>
  </si>
  <si>
    <t xml:space="preserve">NonCompliant Product</t>
  </si>
  <si>
    <t xml:space="preserve">Attractive Label</t>
  </si>
  <si>
    <t xml:space="preserve">Microbial Contamination</t>
  </si>
  <si>
    <t xml:space="preserve">Heavy Metals</t>
  </si>
  <si>
    <t xml:space="preserve">Microbial</t>
  </si>
  <si>
    <t xml:space="preserve">Solvent</t>
  </si>
  <si>
    <t xml:space="preserve">Lab Issue</t>
  </si>
  <si>
    <t xml:space="preserve">Adverse Health Events</t>
  </si>
  <si>
    <t xml:space="preserve">Lead Contamination</t>
  </si>
  <si>
    <t xml:space="preserve">Microbes</t>
  </si>
  <si>
    <t xml:space="preserve">E. coli</t>
  </si>
  <si>
    <t xml:space="preserve">Myclobutinyl pesticide</t>
  </si>
  <si>
    <t xml:space="preserve">pesticide Imidacloprid</t>
  </si>
  <si>
    <t xml:space="preserve">pesticide residues</t>
  </si>
  <si>
    <t xml:space="preserve">possible Aspergillus contamination</t>
  </si>
  <si>
    <t xml:space="preserve">possible Salmonella or Aspergillus Contamination</t>
  </si>
  <si>
    <t xml:space="preserve">Prohibited Additive</t>
  </si>
  <si>
    <t xml:space="preserve">Unapproved pesticide, Ethephon.</t>
  </si>
  <si>
    <t xml:space="preserve">Unapproved Testing and Sampling</t>
  </si>
  <si>
    <t xml:space="preserve">Diverted Product</t>
  </si>
  <si>
    <t xml:space="preserve">Vaping Lung: Death</t>
  </si>
  <si>
    <t xml:space="preserve">Pesticide</t>
  </si>
  <si>
    <t xml:space="preserve">Physical Contanimation</t>
  </si>
  <si>
    <t xml:space="preserve">Too much THC</t>
  </si>
  <si>
    <t xml:space="preserve">Unapproved Dosage</t>
  </si>
  <si>
    <t xml:space="preserve">Chemical Resiue</t>
  </si>
  <si>
    <t xml:space="preserve">Multiple (Aspergillus, THC Inflation)</t>
  </si>
  <si>
    <t xml:space="preserve">potential presence of Aspergillus flavus, and due to inaccurate labeling that reports more THC </t>
  </si>
  <si>
    <t xml:space="preserve">Multiple (Pesticides, THC Inflation)</t>
  </si>
  <si>
    <t xml:space="preserve">Adulterated / Misbranded</t>
  </si>
  <si>
    <t xml:space="preserve">Multiple (Aspergillus, THC inflation)</t>
  </si>
  <si>
    <t xml:space="preserve">Multiple (Invalid Testing, Prohibited Product)</t>
  </si>
  <si>
    <t xml:space="preserve">Multiple: Inaccurate Ingredient Label, Lacking GMP</t>
  </si>
  <si>
    <t xml:space="preserve">Inacurate Ingredient Label</t>
  </si>
  <si>
    <t xml:space="preserve">Multiple: Inaccurate Product Type, Lacking GMP, Exceeds THC, Acidified Beverage</t>
  </si>
  <si>
    <t xml:space="preserve">Multiple: Attractive to Children, THC Inflation</t>
  </si>
  <si>
    <t xml:space="preserve">Multiple: Invalid Testing, Attractive Labeling</t>
  </si>
  <si>
    <t xml:space="preserve">Multiple: Invalid Testing, Misleading Label</t>
  </si>
  <si>
    <t xml:space="preserve">Multiple </t>
  </si>
  <si>
    <t xml:space="preserve">Multiple: inaccurate Ingredient Label, Unverifiable GMP</t>
  </si>
  <si>
    <t xml:space="preserve">Multiple: Distributor Without License; No Surveillance of Sampling</t>
  </si>
  <si>
    <t xml:space="preserve">Multiple: Yeast and Mold, Aspergillus</t>
  </si>
  <si>
    <t xml:space="preserve">Multiple: Total Yeast and Mold, Moisture Content</t>
  </si>
  <si>
    <t xml:space="preserve">Multiple: Total Yeast and Mold, Heavy Metals</t>
  </si>
  <si>
    <t xml:space="preserve">Multiple: Total Yeast and Mold, Cadmium</t>
  </si>
  <si>
    <t xml:space="preserve">Multiple - Microbials and Yeast and Mold</t>
  </si>
  <si>
    <t xml:space="preserve">Reason Not Given</t>
  </si>
  <si>
    <t xml:space="preserve">Multiple- Yeast and Mold, Microbials, Heavy Metal</t>
  </si>
  <si>
    <t xml:space="preserve">Bifenthrin.</t>
  </si>
  <si>
    <t xml:space="preserve">Coliforms</t>
  </si>
  <si>
    <t xml:space="preserve">Invalid Testing (Sampling)</t>
  </si>
  <si>
    <t xml:space="preserve">Above THC</t>
  </si>
  <si>
    <t xml:space="preserve">Over THC Threshhold</t>
  </si>
  <si>
    <t xml:space="preserve">Unspecified Contaminant</t>
  </si>
  <si>
    <t xml:space="preserve">Multiple: invalid testing, aspergillus, mold</t>
  </si>
  <si>
    <t xml:space="preserve">Foreign matter, like insects, in product</t>
  </si>
  <si>
    <t xml:space="preserve">Multiple: Unspecified Pesticides, Product not from Approved Producer</t>
  </si>
  <si>
    <t xml:space="preserve">Multiple: not appropriately tested, pesticdes</t>
  </si>
  <si>
    <t xml:space="preserve">Labeling Issue</t>
  </si>
  <si>
    <t xml:space="preserve">Multiple: Spoilage and Mold</t>
  </si>
  <si>
    <t xml:space="preserve">Aspergillus, Cadmium, Mercury</t>
  </si>
  <si>
    <t xml:space="preserve">Multiple: Aspergillus, Heavy Metal</t>
  </si>
  <si>
    <t xml:space="preserve">Multiple: Pesticides / Solvents</t>
  </si>
  <si>
    <t xml:space="preserve">Spinosad</t>
  </si>
  <si>
    <t xml:space="preserve">Multiple: Aspergillus, Lab Issue</t>
  </si>
  <si>
    <t xml:space="preserve">Untracable Source</t>
  </si>
  <si>
    <t xml:space="preserve">Allergens</t>
  </si>
  <si>
    <t xml:space="preserve">Incomplete Testing</t>
  </si>
  <si>
    <t xml:space="preserve">Prohibited Product in Supply Chain</t>
  </si>
  <si>
    <t xml:space="preserve">unsafe levels of yeast and mold.</t>
  </si>
  <si>
    <t xml:space="preserve">Pyrethrins</t>
  </si>
  <si>
    <t xml:space="preserve">Piperonyl butoxide</t>
  </si>
  <si>
    <t xml:space="preserve">Bifenthrin</t>
  </si>
  <si>
    <t xml:space="preserve">spiromesifen</t>
  </si>
  <si>
    <t xml:space="preserve">permethrin</t>
  </si>
  <si>
    <t xml:space="preserve">Bifenazate</t>
  </si>
  <si>
    <t xml:space="preserve">Pyrimethanil</t>
  </si>
  <si>
    <t xml:space="preserve">Tebuconazole</t>
  </si>
  <si>
    <t xml:space="preserve">Spinosyn</t>
  </si>
  <si>
    <t xml:space="preserve">Azoxystrobin</t>
  </si>
  <si>
    <t xml:space="preserve">indolbutyric acid (IBA)</t>
  </si>
  <si>
    <t xml:space="preserve">Spinosyn A</t>
  </si>
  <si>
    <t xml:space="preserve">chlorfenapyr</t>
  </si>
  <si>
    <t xml:space="preserve">paclobutrazal</t>
  </si>
  <si>
    <t xml:space="preserve">Unspecified highly hazardous </t>
  </si>
  <si>
    <t xml:space="preserve">Unspecified moderate hazards</t>
  </si>
  <si>
    <t xml:space="preserve">Daminozide</t>
  </si>
  <si>
    <t xml:space="preserve">Thiabendazole</t>
  </si>
  <si>
    <t xml:space="preserve">Fluopyram</t>
  </si>
  <si>
    <t xml:space="preserve">Fluopyram.</t>
  </si>
  <si>
    <t xml:space="preserve">paclobutrazol</t>
  </si>
  <si>
    <t xml:space="preserve">myclobutanil</t>
  </si>
  <si>
    <t xml:space="preserve">hexythiazox</t>
  </si>
  <si>
    <t xml:space="preserve">fluopyram</t>
  </si>
  <si>
    <t xml:space="preserve">bifenazate</t>
  </si>
  <si>
    <t xml:space="preserve">Cypermethrin</t>
  </si>
  <si>
    <t xml:space="preserve">Permethrin</t>
  </si>
  <si>
    <t xml:space="preserve">Spiromesifen</t>
  </si>
  <si>
    <t xml:space="preserve">Pyridaben</t>
  </si>
  <si>
    <t xml:space="preserve">Malathion</t>
  </si>
  <si>
    <t xml:space="preserve">Unspecified Pesticides</t>
  </si>
  <si>
    <t xml:space="preserve">Diphenylamine (DPA)</t>
  </si>
  <si>
    <t xml:space="preserve">O-phenylphenol (OPP)</t>
  </si>
  <si>
    <t xml:space="preserve">Piperonyl Butoxide</t>
  </si>
  <si>
    <t xml:space="preserve">Malathion A</t>
  </si>
  <si>
    <t xml:space="preserve">Aspergillus?</t>
  </si>
  <si>
    <t xml:space="preserve">Enterobacteriaceae</t>
  </si>
  <si>
    <t xml:space="preserve">Heavy Metal</t>
  </si>
  <si>
    <t xml:space="preserve">Unspecified Heavy Metals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</si>
</sst>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m/d/yyyy"/>
    <numFmt numFmtId="167" formatCode="mm/dd/yyyy"/>
    <numFmt numFmtId="168" formatCode="mmmm\ d&quot;, &quot;yyyy"/>
    <numFmt numFmtId="169" formatCode="mmm&quot;. &quot;d&quot;, &quot;yyyy"/>
  </numFmts>
  <fonts count="3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u val="single"/>
      <sz val="11"/>
      <color rgb="FF1155CC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name val="Arial"/>
      <family val="2"/>
    </font>
    <font>
      <sz val="11"/>
      <color rgb="FF58595B"/>
      <name val="proxima-nova, Arial, sans-serif"/>
      <family val="0"/>
      <charset val="1"/>
    </font>
    <font>
      <sz val="9"/>
      <color rgb="FF58595B"/>
      <name val="tahoma, arial, helvetica, sans-"/>
      <family val="0"/>
      <charset val="1"/>
    </font>
    <font>
      <sz val="12"/>
      <color rgb="FF000000"/>
      <name val="Poppins"/>
      <family val="0"/>
      <charset val="1"/>
    </font>
    <font>
      <sz val="12"/>
      <color rgb="FF141414"/>
      <name val="&quot;Helvetica Neue&quot;"/>
      <family val="0"/>
      <charset val="1"/>
    </font>
    <font>
      <sz val="12"/>
      <color rgb="FF1C2E36"/>
      <name val="&quot;times new roman&quot;"/>
      <family val="0"/>
      <charset val="1"/>
    </font>
    <font>
      <sz val="12"/>
      <color rgb="FF212529"/>
      <name val="Roboto"/>
      <family val="0"/>
      <charset val="1"/>
    </font>
    <font>
      <sz val="14"/>
      <color rgb="FF464646"/>
      <name val="&quot;Open Sans&quot;"/>
      <family val="0"/>
      <charset val="1"/>
    </font>
    <font>
      <sz val="11"/>
      <color rgb="FF000000"/>
      <name val="Arial"/>
      <family val="0"/>
      <charset val="1"/>
    </font>
    <font>
      <sz val="12"/>
      <color rgb="FF0F0F0F"/>
      <name val="Arial"/>
      <family val="0"/>
      <charset val="1"/>
    </font>
    <font>
      <sz val="9"/>
      <color rgb="FF1F1F1F"/>
      <name val="Google Sans"/>
      <family val="0"/>
      <charset val="1"/>
    </font>
    <font>
      <sz val="14"/>
      <color rgb="FF464646"/>
      <name val="Open Sans"/>
      <family val="0"/>
      <charset val="1"/>
    </font>
    <font>
      <sz val="12"/>
      <color rgb="FF333333"/>
      <name val="Montserrat"/>
      <family val="0"/>
      <charset val="1"/>
    </font>
    <font>
      <sz val="12"/>
      <color rgb="FFFFFFFF"/>
      <name val="Google Sans"/>
      <family val="0"/>
      <charset val="1"/>
    </font>
    <font>
      <sz val="9"/>
      <color rgb="FF58595B"/>
      <name val="Arial"/>
      <family val="0"/>
      <charset val="1"/>
    </font>
    <font>
      <sz val="11"/>
      <color rgb="FF58595B"/>
      <name val="Proxima-nova"/>
      <family val="0"/>
      <charset val="1"/>
    </font>
    <font>
      <sz val="12"/>
      <color theme="1"/>
      <name val="Poppins"/>
      <family val="0"/>
      <charset val="1"/>
    </font>
    <font>
      <b val="true"/>
      <sz val="14"/>
      <color rgb="FF141414"/>
      <name val="Helvetica Neue"/>
      <family val="0"/>
      <charset val="1"/>
    </font>
    <font>
      <sz val="11"/>
      <color rgb="FF141414"/>
      <name val="Helvetica Neue"/>
      <family val="0"/>
      <charset val="1"/>
    </font>
    <font>
      <b val="true"/>
      <sz val="12"/>
      <color rgb="FFEEF0FF"/>
      <name val="Google Sans"/>
      <family val="0"/>
      <charset val="1"/>
    </font>
    <font>
      <b val="true"/>
      <sz val="14"/>
      <color theme="1"/>
      <name val="Arial"/>
      <family val="0"/>
      <charset val="1"/>
    </font>
    <font>
      <sz val="12"/>
      <color rgb="FF141414"/>
      <name val="Helvetica Neue"/>
      <family val="0"/>
      <charset val="1"/>
    </font>
    <font>
      <sz val="12"/>
      <color rgb="FF1C2E36"/>
      <name val="Times new roman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6F8F9"/>
      </patternFill>
    </fill>
    <fill>
      <patternFill patternType="solid">
        <fgColor rgb="FFEAD1DC"/>
        <bgColor rgb="FFEFEFEF"/>
      </patternFill>
    </fill>
    <fill>
      <patternFill patternType="solid">
        <fgColor rgb="FFF6F6F6"/>
        <bgColor rgb="FFF6F8F9"/>
      </patternFill>
    </fill>
    <fill>
      <patternFill patternType="solid">
        <fgColor rgb="FFEFEFEF"/>
        <bgColor rgb="FFEEF0FF"/>
      </patternFill>
    </fill>
    <fill>
      <patternFill patternType="solid">
        <fgColor rgb="FF000000"/>
        <bgColor rgb="FF0F0F0F"/>
      </patternFill>
    </fill>
    <fill>
      <patternFill patternType="solid">
        <fgColor rgb="FF22242A"/>
        <bgColor rgb="FF212529"/>
      </patternFill>
    </fill>
    <fill>
      <patternFill patternType="solid">
        <fgColor rgb="FFF6F8F9"/>
        <bgColor rgb="FFF6F6F6"/>
      </patternFill>
    </fill>
    <fill>
      <patternFill patternType="solid">
        <fgColor rgb="FFFFF2CC"/>
        <bgColor rgb="FFEFEF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EAD1DC"/>
          <bgColor rgb="FF000000"/>
        </patternFill>
      </fill>
    </dxf>
    <dxf>
      <fill>
        <patternFill patternType="solid">
          <fgColor rgb="FFF6F6F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12529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464646"/>
          <bgColor rgb="FF000000"/>
        </patternFill>
      </fill>
    </dxf>
    <dxf>
      <fill>
        <patternFill patternType="solid">
          <fgColor rgb="FF0F0F0F"/>
          <bgColor rgb="FF000000"/>
        </patternFill>
      </fill>
    </dxf>
    <dxf>
      <fill>
        <patternFill patternType="solid">
          <fgColor rgb="FF22242A"/>
          <bgColor rgb="FF000000"/>
        </patternFill>
      </fill>
    </dxf>
    <dxf>
      <fill>
        <patternFill patternType="solid">
          <fgColor rgb="FFF6F8F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F0F0F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F0FF"/>
      <rgbColor rgb="FF22242A"/>
      <rgbColor rgb="FFFF8080"/>
      <rgbColor rgb="FF1155CC"/>
      <rgbColor rgb="FFEAD1DC"/>
      <rgbColor rgb="FF141414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F6F6F6"/>
      <rgbColor rgb="FFF6F8F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8595B"/>
      <rgbColor rgb="FF969696"/>
      <rgbColor rgb="FF1C2E36"/>
      <rgbColor rgb="FF339966"/>
      <rgbColor rgb="FF1F1F1F"/>
      <rgbColor rgb="FF212529"/>
      <rgbColor rgb="FF993300"/>
      <rgbColor rgb="FF993366"/>
      <rgbColor rgb="FF46464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externalLink" Target="externalLinks/externalLink1.xml"/><Relationship Id="rId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Recall%20Data%202.0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State OV"/>
      <sheetName val="Recall Analysis"/>
      <sheetName val="Categorizations"/>
      <sheetName val="Rescinded"/>
      <sheetName val="Categorization Explode Multiple"/>
      <sheetName val="Allowable Pesticide List Links"/>
      <sheetName val="Pesticides"/>
      <sheetName val="Pesticide Info"/>
      <sheetName val="California Allowables"/>
      <sheetName val="Colorado Allowables"/>
      <sheetName val="MSO"/>
      <sheetName val="Heavy Metals"/>
      <sheetName val="ID To Products"/>
      <sheetName val="Batches"/>
    </sheetNames>
    <sheetDataSet>
      <sheetData sheetId="0"/>
      <sheetData sheetId="1"/>
      <sheetData sheetId="2"/>
      <sheetData sheetId="3">
        <row r="1">
          <cell r="A1" t="str">
            <v>Reason</v>
          </cell>
        </row>
        <row r="2">
          <cell r="A2" t="str">
            <v>Bifenthrin and Chlorfenapyr</v>
          </cell>
        </row>
        <row r="3">
          <cell r="A3" t="str">
            <v>Pyrethrins and Piperonyl butoxide</v>
          </cell>
        </row>
        <row r="4">
          <cell r="A4" t="str">
            <v>Abamectin</v>
          </cell>
        </row>
        <row r="5">
          <cell r="A5" t="str">
            <v>imidacloprid and myclobutanil</v>
          </cell>
        </row>
        <row r="6">
          <cell r="A6" t="str">
            <v>permethrin, spiromesifen</v>
          </cell>
        </row>
        <row r="7">
          <cell r="A7" t="str">
            <v>malathion</v>
          </cell>
        </row>
        <row r="8">
          <cell r="A8" t="str">
            <v>Ethephon</v>
          </cell>
        </row>
        <row r="9">
          <cell r="A9" t="str">
            <v>unspecified pesticide</v>
          </cell>
        </row>
        <row r="10">
          <cell r="A10" t="str">
            <v>Diuron</v>
          </cell>
        </row>
        <row r="11">
          <cell r="A11" t="str">
            <v>Bifenthrin and Diuron</v>
          </cell>
        </row>
        <row r="12">
          <cell r="A12" t="str">
            <v>Pyriproxyfen</v>
          </cell>
        </row>
        <row r="13">
          <cell r="A13" t="str">
            <v>Myclobutanil, Bifenazate, Avermectin, and Imidacloprid</v>
          </cell>
        </row>
        <row r="14">
          <cell r="A14" t="str">
            <v>Pyrimethanil, Tebuconazole, and Spinosyn</v>
          </cell>
        </row>
        <row r="15">
          <cell r="A15" t="str">
            <v>Imidacloprid, Spiromesifin, Myclobutanil, and Avermectin</v>
          </cell>
        </row>
        <row r="16">
          <cell r="A16" t="str">
            <v>Myclobutanil and Spinosyn</v>
          </cell>
        </row>
        <row r="17">
          <cell r="A17" t="str">
            <v>Propiconazole</v>
          </cell>
        </row>
        <row r="18">
          <cell r="A18" t="str">
            <v>Myclobutanil and Spiromesifin</v>
          </cell>
        </row>
        <row r="19">
          <cell r="A19" t="str">
            <v>Myclobutanil</v>
          </cell>
        </row>
        <row r="20">
          <cell r="A20" t="str">
            <v>Etoxazole</v>
          </cell>
        </row>
        <row r="21">
          <cell r="A21" t="str">
            <v>Azoxystrobin and Imidacloprid</v>
          </cell>
        </row>
        <row r="22">
          <cell r="A22" t="str">
            <v>Avermectin</v>
          </cell>
        </row>
        <row r="23">
          <cell r="A23" t="str">
            <v>Spiromesifin</v>
          </cell>
        </row>
        <row r="24">
          <cell r="A24" t="str">
            <v>Myclobutanil and Avermectin Bla</v>
          </cell>
        </row>
        <row r="25">
          <cell r="A25" t="str">
            <v>Clonex, Root Pac, Big Time Exterminator, Super Thrive</v>
          </cell>
        </row>
        <row r="26">
          <cell r="A26" t="str">
            <v>Etoxazole and Imidacloprid</v>
          </cell>
        </row>
        <row r="27">
          <cell r="A27" t="str">
            <v>Myclobutanil and Etoxazole</v>
          </cell>
        </row>
        <row r="28">
          <cell r="A28" t="str">
            <v>Myclobutanil and Spinosyn A,</v>
          </cell>
        </row>
        <row r="29">
          <cell r="A29" t="str">
            <v>Piperonyl butoxide (Pesticide)</v>
          </cell>
        </row>
        <row r="30">
          <cell r="A30" t="str">
            <v>Imidacloprid</v>
          </cell>
        </row>
        <row r="31">
          <cell r="A31" t="str">
            <v>Myclobutanil, Avermectin, and Imidacloprid</v>
          </cell>
        </row>
        <row r="32">
          <cell r="A32" t="str">
            <v>Mycobutanil, Spiromefesin and Imidacloprid</v>
          </cell>
        </row>
        <row r="33">
          <cell r="A33" t="str">
            <v>Spiromefesin</v>
          </cell>
        </row>
        <row r="34">
          <cell r="A34" t="str">
            <v>Mycobutanil, Spiromefesin and Avermectin</v>
          </cell>
        </row>
        <row r="35">
          <cell r="A35" t="str">
            <v>Imidacloprid, Mycobutanil and Avermectin</v>
          </cell>
        </row>
        <row r="36">
          <cell r="A36" t="str">
            <v>Pesticides</v>
          </cell>
        </row>
        <row r="37">
          <cell r="A37" t="str">
            <v>Pesticide Contamination (Myclobutanil)</v>
          </cell>
        </row>
        <row r="38">
          <cell r="A38" t="str">
            <v>Hair and insects</v>
          </cell>
        </row>
        <row r="39">
          <cell r="A39" t="str">
            <v>Prohibited Product / Additives</v>
          </cell>
        </row>
        <row r="40">
          <cell r="A40" t="str">
            <v>Prohibited Product: THCv from unapproved source</v>
          </cell>
        </row>
        <row r="41">
          <cell r="A41" t="str">
            <v>Inaccurate Label</v>
          </cell>
        </row>
        <row r="42">
          <cell r="A42" t="str">
            <v>Not Properly Tracked</v>
          </cell>
        </row>
        <row r="43">
          <cell r="A43" t="str">
            <v>Exceeds Maximum Dosage</v>
          </cell>
        </row>
        <row r="44">
          <cell r="A44" t="str">
            <v>non-compliant creation and packaging.</v>
          </cell>
        </row>
        <row r="45">
          <cell r="A45" t="str">
            <v>were not compliantly produced</v>
          </cell>
        </row>
        <row r="46">
          <cell r="A46" t="str">
            <v>labeling attractive to Children</v>
          </cell>
        </row>
        <row r="47">
          <cell r="A47" t="str">
            <v>Aspergillus niger</v>
          </cell>
        </row>
        <row r="48">
          <cell r="A48" t="str">
            <v>Piperonyl butoxide (Pesticide)</v>
          </cell>
        </row>
        <row r="49">
          <cell r="A49" t="str">
            <v>Mold</v>
          </cell>
        </row>
        <row r="50">
          <cell r="A50" t="str">
            <v>Aspergillus </v>
          </cell>
        </row>
        <row r="51">
          <cell r="A51" t="str">
            <v>Arsenic, Yeast, and mold</v>
          </cell>
        </row>
        <row r="52">
          <cell r="A52" t="str">
            <v>Arsenic, Yeast, and mold</v>
          </cell>
        </row>
        <row r="53">
          <cell r="A53" t="str">
            <v>Aspergillus</v>
          </cell>
        </row>
        <row r="54">
          <cell r="A54" t="str">
            <v>Cadmium</v>
          </cell>
        </row>
        <row r="55">
          <cell r="A55" t="str">
            <v>chemical residue, microbes, metals, residual solvents, toxins from fungus</v>
          </cell>
        </row>
        <row r="56">
          <cell r="A56" t="str">
            <v>chemical residue, microbes, metals, residual solvents, toxins from fungus</v>
          </cell>
        </row>
        <row r="57">
          <cell r="A57" t="str">
            <v>chemical residue, microbes, metals, residual solvents, toxins from fungus</v>
          </cell>
        </row>
        <row r="58">
          <cell r="A58" t="str">
            <v>chemical residue, microbes, metals, residual solvents, toxins from fungus</v>
          </cell>
        </row>
        <row r="59">
          <cell r="A59" t="str">
            <v>chemical residue, microbes, metals, residual solvents, toxins from fungus</v>
          </cell>
        </row>
        <row r="60">
          <cell r="A60" t="str">
            <v>chemical residue, microbes, metals, residual solvents, toxins from fungus</v>
          </cell>
        </row>
        <row r="61">
          <cell r="A61" t="str">
            <v>chemical residue, microbes, metals, residual solvents, toxins from fungus</v>
          </cell>
        </row>
        <row r="62">
          <cell r="A62" t="str">
            <v>state agency</v>
          </cell>
        </row>
        <row r="63">
          <cell r="A63" t="str">
            <v>Cadmium</v>
          </cell>
        </row>
        <row r="64">
          <cell r="A64" t="str">
            <v>Failed Microbial Testing</v>
          </cell>
        </row>
        <row r="65">
          <cell r="A65" t="str">
            <v>Failed Testing</v>
          </cell>
        </row>
        <row r="66">
          <cell r="A66" t="str">
            <v>flowering bodies/ mold</v>
          </cell>
        </row>
        <row r="67">
          <cell r="A67" t="str">
            <v>Inaccurate THC</v>
          </cell>
        </row>
        <row r="68">
          <cell r="A68" t="str">
            <v>Incorrect THC:CBD ratio on label</v>
          </cell>
        </row>
        <row r="69">
          <cell r="A69" t="str">
            <v>informational notification based on multiple reports of adverse health events</v>
          </cell>
        </row>
        <row r="70">
          <cell r="A70" t="str">
            <v>Ingredients mislabeled</v>
          </cell>
        </row>
        <row r="71">
          <cell r="A71" t="str">
            <v>Issue with Lab</v>
          </cell>
        </row>
        <row r="72">
          <cell r="A72" t="str">
            <v>Lab Potency Labeling Issues</v>
          </cell>
        </row>
        <row r="73">
          <cell r="A73" t="str">
            <v>Lab Potency Labeling Issues</v>
          </cell>
        </row>
        <row r="74">
          <cell r="A74" t="str">
            <v>Lead</v>
          </cell>
        </row>
        <row r="75">
          <cell r="A75" t="str">
            <v>Lead Contamination</v>
          </cell>
        </row>
        <row r="76">
          <cell r="A76" t="str">
            <v>Lead, Yeast, and mold</v>
          </cell>
        </row>
        <row r="77">
          <cell r="A77" t="str">
            <v>Lead, Yeast, and mold</v>
          </cell>
        </row>
        <row r="78">
          <cell r="A78" t="str">
            <v>Mercury</v>
          </cell>
        </row>
        <row r="79">
          <cell r="A79" t="str">
            <v>Microbes</v>
          </cell>
        </row>
        <row r="80">
          <cell r="A80" t="str">
            <v>microbial contamination</v>
          </cell>
        </row>
        <row r="81">
          <cell r="A81" t="str">
            <v>mislabeling Cannabinoid Content (5 mg vs 10 mg)</v>
          </cell>
        </row>
        <row r="82">
          <cell r="A82" t="str">
            <v>mold, yeast, aspergillus, salmonella and E. coli.</v>
          </cell>
        </row>
        <row r="83">
          <cell r="A83" t="str">
            <v>mold, yeast, aspergillus, salmonella and E. coli.</v>
          </cell>
        </row>
        <row r="84">
          <cell r="A84" t="str">
            <v>mold, yeast, aspergillus, salmonella and E. coli.</v>
          </cell>
        </row>
        <row r="85">
          <cell r="A85" t="str">
            <v>mold, yeast, aspergillus, salmonella and E. coli.</v>
          </cell>
        </row>
        <row r="86">
          <cell r="A86" t="str">
            <v>Myclobutinyl pesticide</v>
          </cell>
        </row>
        <row r="87">
          <cell r="A87" t="str">
            <v>Mycotoxins</v>
          </cell>
        </row>
        <row r="88">
          <cell r="A88" t="str">
            <v>Not Listed</v>
          </cell>
        </row>
        <row r="89">
          <cell r="A89" t="str">
            <v>Pesticide Contamination</v>
          </cell>
        </row>
        <row r="90">
          <cell r="A90" t="str">
            <v>pesticide Imidacloprid</v>
          </cell>
        </row>
        <row r="91">
          <cell r="A91" t="str">
            <v>pesticide residues</v>
          </cell>
        </row>
        <row r="92">
          <cell r="A92" t="str">
            <v>possible Aspergillus contamination</v>
          </cell>
        </row>
        <row r="93">
          <cell r="A93" t="str">
            <v>possible Salmonella or Aspergillus Contamination</v>
          </cell>
        </row>
        <row r="94">
          <cell r="A94" t="str">
            <v>possible Salmonella or Aspergillus Contamination</v>
          </cell>
        </row>
        <row r="95">
          <cell r="A95" t="str">
            <v>potential packaging defect.</v>
          </cell>
        </row>
        <row r="96">
          <cell r="A96" t="str">
            <v>potentially inaccurate THC labeling by lab </v>
          </cell>
        </row>
        <row r="97">
          <cell r="A97" t="str">
            <v>potentially inaccurate THC labeling by lab </v>
          </cell>
        </row>
        <row r="98">
          <cell r="A98" t="str">
            <v>Pressure Buildup</v>
          </cell>
        </row>
        <row r="99">
          <cell r="A99" t="str">
            <v>products that failed testing made it to shelves</v>
          </cell>
        </row>
        <row r="100">
          <cell r="A100" t="str">
            <v>Prohibited Additive</v>
          </cell>
        </row>
        <row r="101">
          <cell r="A101" t="str">
            <v>Prohibited Additives</v>
          </cell>
        </row>
        <row r="102">
          <cell r="A102" t="str">
            <v>Prohibited Product</v>
          </cell>
        </row>
        <row r="103">
          <cell r="A103" t="str">
            <v>residual Ethanol</v>
          </cell>
        </row>
        <row r="104">
          <cell r="A104" t="str">
            <v>Saliva Contamination</v>
          </cell>
        </row>
        <row r="105">
          <cell r="A105" t="str">
            <v>THC overstated via dry weight / wet weight</v>
          </cell>
        </row>
        <row r="106">
          <cell r="A106" t="str">
            <v>THC overstated via dry weight / wet weight</v>
          </cell>
        </row>
        <row r="107">
          <cell r="A107" t="str">
            <v>unable to verify testing</v>
          </cell>
        </row>
        <row r="108">
          <cell r="A108" t="str">
            <v>Unapproved pesticide, Ethephon.</v>
          </cell>
        </row>
        <row r="109">
          <cell r="A109" t="str">
            <v>Unapproved Testing and Sampling</v>
          </cell>
        </row>
        <row r="110">
          <cell r="A110" t="str">
            <v>Unapproved Testing and Sampling</v>
          </cell>
        </row>
        <row r="111">
          <cell r="A111" t="str">
            <v>unregistered and unlicensed THC concentrates</v>
          </cell>
        </row>
        <row r="112">
          <cell r="A112" t="str">
            <v>Unreliable test results</v>
          </cell>
        </row>
        <row r="113">
          <cell r="A113" t="str">
            <v>Untested</v>
          </cell>
        </row>
        <row r="114">
          <cell r="A114" t="str">
            <v>untested and contaminated</v>
          </cell>
        </row>
        <row r="115">
          <cell r="A115" t="str">
            <v>untested and contaminated</v>
          </cell>
        </row>
        <row r="116">
          <cell r="A116" t="str">
            <v>Untested, yeast and mold</v>
          </cell>
        </row>
        <row r="117">
          <cell r="A117" t="str">
            <v>Untested; Mold, Yeast, Aspergillus</v>
          </cell>
        </row>
        <row r="118">
          <cell r="A118" t="str">
            <v>Untested; Mold, Yeast, Aspergillus</v>
          </cell>
        </row>
        <row r="119">
          <cell r="A119" t="str">
            <v>Vaping Lung: Death</v>
          </cell>
        </row>
        <row r="120">
          <cell r="A120" t="str">
            <v>yeast and mold</v>
          </cell>
        </row>
        <row r="121">
          <cell r="A121" t="str">
            <v>yeast and mold and Aspergillus</v>
          </cell>
        </row>
        <row r="122">
          <cell r="A122" t="str">
            <v>yeast and mold and Aspergillus</v>
          </cell>
        </row>
        <row r="123">
          <cell r="A123" t="str">
            <v>Over-pressurization</v>
          </cell>
        </row>
        <row r="124">
          <cell r="A124" t="str">
            <v>Total Yeast and Mold</v>
          </cell>
        </row>
        <row r="125">
          <cell r="A125" t="str">
            <v>Possible Adverse effects due to Corydalis rhizome</v>
          </cell>
        </row>
        <row r="126">
          <cell r="A126" t="str">
            <v>Total Yeast and Mold or Aspergillus</v>
          </cell>
        </row>
        <row r="127">
          <cell r="A127" t="str">
            <v>Total Yeast and Mold or Aspergillus</v>
          </cell>
        </row>
        <row r="128">
          <cell r="A128" t="str">
            <v>Non-Compliant Packaging</v>
          </cell>
        </row>
        <row r="129">
          <cell r="A129" t="str">
            <v>Pesticide</v>
          </cell>
        </row>
        <row r="130">
          <cell r="A130" t="str">
            <v>Mold </v>
          </cell>
        </row>
        <row r="131">
          <cell r="A131" t="str">
            <v>Not Properly Tested</v>
          </cell>
        </row>
        <row r="132">
          <cell r="A132" t="str">
            <v>Arsenic</v>
          </cell>
        </row>
        <row r="133">
          <cell r="A133" t="str">
            <v>Mercury</v>
          </cell>
        </row>
        <row r="134">
          <cell r="A134" t="str">
            <v>incorrect Packaging (not childproof)</v>
          </cell>
        </row>
        <row r="135">
          <cell r="A135" t="str">
            <v>Presence of Delta-8</v>
          </cell>
        </row>
        <row r="136">
          <cell r="A136" t="str">
            <v>Physical Contamination</v>
          </cell>
        </row>
        <row r="137">
          <cell r="A137" t="str">
            <v>Outdated warning on labe</v>
          </cell>
        </row>
        <row r="138">
          <cell r="A138" t="str">
            <v>Total Yeast and Mold and Aspergillus</v>
          </cell>
        </row>
        <row r="139">
          <cell r="A139" t="str">
            <v>Total Yeast and Mold and Aspergillus</v>
          </cell>
        </row>
        <row r="140">
          <cell r="A140" t="str">
            <v>Total Yeast and Mold and Aspergillus</v>
          </cell>
        </row>
        <row r="141">
          <cell r="A141" t="str">
            <v>Too much THC</v>
          </cell>
        </row>
        <row r="142">
          <cell r="A142" t="str">
            <v>presence of banned chemical residue </v>
          </cell>
        </row>
        <row r="143">
          <cell r="A143" t="str">
            <v>Mercury, Cadmium, Mold</v>
          </cell>
        </row>
        <row r="144">
          <cell r="A144" t="str">
            <v>Mercury, Cadmium, Mold</v>
          </cell>
        </row>
        <row r="145">
          <cell r="A145" t="str">
            <v>Mercury, Cadmium, Mold</v>
          </cell>
        </row>
        <row r="146">
          <cell r="A146" t="str">
            <v>Myclobutanil</v>
          </cell>
        </row>
        <row r="147">
          <cell r="A147" t="str">
            <v>exceed allowable THC concentration limits</v>
          </cell>
        </row>
        <row r="148">
          <cell r="A148" t="str">
            <v>failed testing for the Category I pesticide, chlorfenapyr </v>
          </cell>
        </row>
        <row r="149">
          <cell r="A149" t="str">
            <v>Pesticides: Spiromesifen</v>
          </cell>
        </row>
        <row r="150">
          <cell r="A150" t="str">
            <v>presence of Aspergillus flavus.</v>
          </cell>
        </row>
        <row r="151">
          <cell r="A151" t="str">
            <v>presence of Aspergillus sp.</v>
          </cell>
        </row>
        <row r="152">
          <cell r="A152" t="str">
            <v>obstruction of the informational label </v>
          </cell>
        </row>
        <row r="153">
          <cell r="A153" t="str">
            <v>presence of Aspergillus fumigatus</v>
          </cell>
        </row>
        <row r="154">
          <cell r="A154" t="str">
            <v>presence of Aspergillus niger</v>
          </cell>
        </row>
        <row r="155">
          <cell r="A155" t="str">
            <v>presence of Aspergillus terreus</v>
          </cell>
        </row>
        <row r="156">
          <cell r="A156" t="str">
            <v>inaccurate THC content labeling</v>
          </cell>
        </row>
        <row r="157">
          <cell r="A157" t="str">
            <v>presence of Aspergillus niger and Aspergillus flavus, and due to inaccurate labeling, that reports more THC than the product contains. </v>
          </cell>
        </row>
        <row r="158">
          <cell r="A158" t="str">
            <v>potential presence of Aspergillus flavus, and due to inaccurate labeling that reports more THC </v>
          </cell>
        </row>
        <row r="159">
          <cell r="A159" t="str">
            <v>inaccurate labeling that reports more cannabinoid content</v>
          </cell>
        </row>
        <row r="160">
          <cell r="A160" t="str">
            <v> presence of Aspergillus spp. and due to inaccurate labeling that reports more cannabinoid content than the product contains.</v>
          </cell>
        </row>
        <row r="161">
          <cell r="A161" t="str">
            <v>inaccurate labeling, that reports more cannabinoid content</v>
          </cell>
        </row>
        <row r="162">
          <cell r="A162" t="str">
            <v>Aspergillus fumigatus, and due to inaccurate labeling</v>
          </cell>
        </row>
        <row r="163">
          <cell r="A163" t="str">
            <v>packaging safety issues</v>
          </cell>
        </row>
        <row r="164">
          <cell r="A164" t="str">
            <v>presence of Aspergillus niger, and due to inaccurate labeling</v>
          </cell>
        </row>
        <row r="165">
          <cell r="A165" t="str">
            <v>presence of the pesticide chlorfenapyr</v>
          </cell>
        </row>
        <row r="166">
          <cell r="A166" t="str">
            <v>Aspergillus sp.</v>
          </cell>
        </row>
        <row r="167">
          <cell r="A167" t="str">
            <v>Salmonella</v>
          </cell>
        </row>
        <row r="168">
          <cell r="A168" t="str">
            <v>Adulterated: Microbial Contamination (Aspergillus niger)</v>
          </cell>
        </row>
        <row r="169">
          <cell r="A169" t="str">
            <v>Adulterated: Microbial Contamination (Aspergillus flavus)</v>
          </cell>
        </row>
        <row r="170">
          <cell r="A170" t="str">
            <v>Adulterated: Pesticide Category I Contamination (Chlorfenapyr)</v>
          </cell>
        </row>
        <row r="171">
          <cell r="A171" t="str">
            <v>Misbranded: Other</v>
          </cell>
        </row>
        <row r="172">
          <cell r="A172" t="str">
            <v>Adulterated: Pesticide Category I Contamination (Paclobutrazol)</v>
          </cell>
        </row>
        <row r="173">
          <cell r="A173" t="str">
            <v>Adulterated and Misbranded: Pesticide Category I Contamination (Chlorfenapyr); Inaccurate Labeling (Cannabinoid inflation)</v>
          </cell>
        </row>
        <row r="174">
          <cell r="A174" t="str">
            <v>Adulterated and Misbranded: Pesticide Category I Contamination (Chlorfenapyr); Inaccurate Labeling (Cannabinoid inflation)</v>
          </cell>
        </row>
        <row r="175">
          <cell r="A175" t="str">
            <v>Adulterated: Microbial Contamination (Aspergillus niger); Microbial Contamination (Aspergillus terreus)</v>
          </cell>
        </row>
        <row r="176">
          <cell r="A176" t="str">
            <v>Adulterated and Misbranded: Microbial Contamination (Aspergillus niger); Inaccurate Labeling (Cannabinoid inflation)</v>
          </cell>
        </row>
        <row r="177">
          <cell r="A177" t="str">
            <v>Potentially Adulterated: Pesticide Category I Contamination and/or Pesticide Category II Contamination</v>
          </cell>
        </row>
        <row r="178">
          <cell r="A178" t="str">
            <v>Potentially Adulterated and Misbranded: Prohibited Product</v>
          </cell>
        </row>
        <row r="179">
          <cell r="A179" t="str">
            <v>Potentially Adulterated and Misbranded: Other</v>
          </cell>
        </row>
        <row r="180">
          <cell r="A180" t="str">
            <v>Adulterated: Heavy Metal Contamination (Arsenic)</v>
          </cell>
        </row>
        <row r="181">
          <cell r="A181" t="str">
            <v>Potentially Adulterated: Pesticide Category I Contamination</v>
          </cell>
        </row>
        <row r="182">
          <cell r="A182" t="str">
            <v>Adulterated: Prohibited Product</v>
          </cell>
        </row>
        <row r="183">
          <cell r="A183" t="str">
            <v>Potentially Adulterated: Pesticide Category II Contamination</v>
          </cell>
        </row>
        <row r="184">
          <cell r="A184" t="str">
            <v>Adulterated and Misbranded: Microbial Contamination (Aspergillus spp.); Inaccurate Labeling (Cannabinoid inflation)</v>
          </cell>
        </row>
        <row r="185">
          <cell r="A185" t="str">
            <v>Potentially Adulterated: Solvent Category I Contamination (Methylene chloride)</v>
          </cell>
        </row>
        <row r="186">
          <cell r="A186" t="str">
            <v>Adulterated and Misbranded: Inaccurate Labeling (Cannabinoid inflation); Microbial Contamination (Aspergillus spp.)</v>
          </cell>
        </row>
        <row r="187">
          <cell r="A187" t="str">
            <v>Invalid Batch Testing; Exceeds Concentration limit</v>
          </cell>
        </row>
        <row r="188">
          <cell r="A188" t="str">
            <v>Adulterated: Microbial Contamination (Aspergillus spp.)</v>
          </cell>
        </row>
        <row r="189">
          <cell r="A189" t="str">
            <v>Potentially Misbranded: Other (Invalid Batch Testing)</v>
          </cell>
        </row>
        <row r="190">
          <cell r="A190" t="str">
            <v>Potentially Adulterated and Misbranded: Other (label / gmp)</v>
          </cell>
        </row>
        <row r="191">
          <cell r="A191" t="str">
            <v>Adulterated: Other (Incomplete Testing)</v>
          </cell>
        </row>
        <row r="192">
          <cell r="A192" t="str">
            <v>Adulterated: Microbial Contamination (Aspergillus spp.); Inaccurate Labeling (Cannabinoid inflation)</v>
          </cell>
        </row>
        <row r="193">
          <cell r="A193" t="str">
            <v>Adulterated: Microbial Contamination (Aspergillus fumigatus); Microbial Contamination (Aspergillus terreus)</v>
          </cell>
        </row>
        <row r="194">
          <cell r="A194" t="str">
            <v>Adulterated: Microbial Contamination (Aspergillus flavus); Microbial Contamination (Aspergillus niger); Microbial Contamination (Aspergillus terreus)</v>
          </cell>
        </row>
        <row r="195">
          <cell r="A195" t="str">
            <v>Adulterated: Microbial Contamination (Aspergillus niger); Microbial Contamination (Aspergillus flavus); Microbial Contamination (Aspergillus terreus)</v>
          </cell>
        </row>
        <row r="196">
          <cell r="A196" t="str">
            <v>Adulterated: Microbial Contamination (Aspergillus niger); Microbial Contamination (Aspergillus fumigatus); Microbial Contamination (Aspergillus flavus); Microbial Contamination (Aspergillus terreus)</v>
          </cell>
        </row>
        <row r="197">
          <cell r="A197" t="str">
            <v>Adulterated and Misbranded: misrepresentative testing</v>
          </cell>
        </row>
        <row r="198">
          <cell r="A198" t="str">
            <v>Adulterated and Misbranded: Microbial Contamination (Aspergillus terreus); Microbial Contamination (Aspergillus niger); Microbial Contamination (Aspergillus flavus); Inaccurate Labeling (Cannabinoid inflation)</v>
          </cell>
        </row>
        <row r="199">
          <cell r="A199" t="str">
            <v>Adulterated and Misbranded: Other Inn</v>
          </cell>
        </row>
        <row r="200">
          <cell r="A200" t="str">
            <v>Adulterated: Prohibited Product; Other</v>
          </cell>
        </row>
        <row r="201">
          <cell r="A201" t="str">
            <v>Adulterated and Misbranded: Other; Inaccurate Labeling (Cannabinoid inflation)</v>
          </cell>
        </row>
        <row r="202">
          <cell r="A202" t="str">
            <v>Adulterated and Misbranded: Other</v>
          </cell>
        </row>
        <row r="203">
          <cell r="A203" t="str">
            <v>Adulterated and Misbranded: Other misleading</v>
          </cell>
        </row>
        <row r="204">
          <cell r="A204" t="str">
            <v>Adulterated: Microbial Contamination (Aspergillus flavus); Microbial Contamination (Aspergillus niger)</v>
          </cell>
        </row>
        <row r="205">
          <cell r="A205" t="str">
            <v>Adulterated: Microbial Contamination (Aspergillus fumigatus)</v>
          </cell>
        </row>
        <row r="206">
          <cell r="A206" t="str">
            <v>Adulterated: Microbial Contamination (Aspergillus fumigatus); Microbial Contamination (Aspergillus niger); Microbial Contamination (Aspergillus flavus)</v>
          </cell>
        </row>
        <row r="207">
          <cell r="A207" t="str">
            <v>Inaccurate Ingredient Label</v>
          </cell>
        </row>
        <row r="208">
          <cell r="A208" t="str">
            <v>Adulterated: Other</v>
          </cell>
        </row>
        <row r="209">
          <cell r="A209" t="str">
            <v>Adulterated and Misbranded: Prohibited Product</v>
          </cell>
        </row>
        <row r="210">
          <cell r="A210" t="str">
            <v>Adulterated: Pesticide Category I Contamination (Daminozide)</v>
          </cell>
        </row>
        <row r="211">
          <cell r="A211" t="str">
            <v>Inaccurate Ingredient Label, Unverifiable GMP</v>
          </cell>
        </row>
        <row r="212">
          <cell r="A212" t="str">
            <v>Distributor Without License; No Surveillance of Sampling</v>
          </cell>
        </row>
        <row r="213">
          <cell r="A213" t="str">
            <v>No GMP</v>
          </cell>
        </row>
        <row r="214">
          <cell r="A214" t="str">
            <v>Distributor Without License</v>
          </cell>
        </row>
        <row r="215">
          <cell r="A215" t="str">
            <v>Multiple: Pesticides / Aspergillus</v>
          </cell>
        </row>
        <row r="216">
          <cell r="A216" t="str">
            <v>Discrepancy between inner and outer label</v>
          </cell>
        </row>
        <row r="217">
          <cell r="A217" t="str">
            <v>Total Yeast and Mold and Aspergillus.</v>
          </cell>
        </row>
        <row r="218">
          <cell r="A218" t="str">
            <v>Total Yeast and Mold exceeds limits</v>
          </cell>
        </row>
        <row r="219">
          <cell r="A219" t="str">
            <v>Total Yeast and Mold and Moisture Content</v>
          </cell>
        </row>
        <row r="220">
          <cell r="A220" t="str">
            <v>Chlorfenapyr</v>
          </cell>
        </row>
        <row r="221">
          <cell r="A221" t="str">
            <v>Chlorfenapyr.</v>
          </cell>
        </row>
        <row r="222">
          <cell r="A222" t="str">
            <v>Bifenazate, Fluopyram, and Myclobutanil.</v>
          </cell>
        </row>
        <row r="223">
          <cell r="A223" t="str">
            <v>Total Yeast and Mold, Arsenic, Cadmium, Lead</v>
          </cell>
        </row>
        <row r="224">
          <cell r="A224" t="str">
            <v>elemental impurities.</v>
          </cell>
        </row>
        <row r="225">
          <cell r="A225" t="str">
            <v>Total Yeast and Mold, elemental impurities</v>
          </cell>
        </row>
        <row r="226">
          <cell r="A226" t="str">
            <v>Chlorfenapyr and Fluopyram.</v>
          </cell>
        </row>
        <row r="227">
          <cell r="A227" t="str">
            <v>chlorfenapyr and paclobutrazol.</v>
          </cell>
        </row>
        <row r="228">
          <cell r="A228" t="str">
            <v>myclobutanil.</v>
          </cell>
        </row>
        <row r="229">
          <cell r="A229" t="str">
            <v>hexythiazox, fluopyram, bifenazate</v>
          </cell>
        </row>
        <row r="230">
          <cell r="A230" t="str">
            <v>Total Yeast and Mold.</v>
          </cell>
        </row>
        <row r="231">
          <cell r="A231" t="str">
            <v>Total Yeast and Mold, cadmium</v>
          </cell>
        </row>
        <row r="232">
          <cell r="A232" t="str">
            <v> yeast and mold </v>
          </cell>
        </row>
        <row r="233">
          <cell r="A233" t="str">
            <v>Microbials (aerobic bacteria and Enterobacteriaceae) and Yeast and Mold</v>
          </cell>
        </row>
        <row r="234">
          <cell r="A234" t="str">
            <v>Reason Not Given</v>
          </cell>
        </row>
        <row r="235">
          <cell r="A235" t="str">
            <v>Yeast and Mold, Microbials, Arsenic</v>
          </cell>
        </row>
        <row r="236">
          <cell r="A236" t="str">
            <v>Bifenthrin.</v>
          </cell>
        </row>
        <row r="237">
          <cell r="A237" t="str">
            <v>Bifenthrin and other pesticides</v>
          </cell>
        </row>
        <row r="238">
          <cell r="A238" t="str">
            <v>Total Yeast and Mold</v>
          </cell>
        </row>
        <row r="239">
          <cell r="A239" t="str">
            <v>total coliforms.</v>
          </cell>
        </row>
        <row r="240">
          <cell r="A240" t="str">
            <v>Invalid Sampling</v>
          </cell>
        </row>
        <row r="241">
          <cell r="A241" t="str">
            <v>MCT Oil</v>
          </cell>
        </row>
        <row r="242">
          <cell r="A242" t="str">
            <v> contains a banned chemical </v>
          </cell>
        </row>
        <row r="243">
          <cell r="A243" t="str">
            <v>Above THC</v>
          </cell>
        </row>
        <row r="244">
          <cell r="A244" t="str">
            <v>Use of unregulated cannabis</v>
          </cell>
        </row>
        <row r="245">
          <cell r="A245" t="str">
            <v>Invalid Testing</v>
          </cell>
        </row>
        <row r="246">
          <cell r="A246" t="str">
            <v>Inaccurate Ingredient Label</v>
          </cell>
        </row>
        <row r="247">
          <cell r="A247" t="str">
            <v>Presence of a Contaminant</v>
          </cell>
        </row>
        <row r="248">
          <cell r="A248" t="str">
            <v>Not Tested</v>
          </cell>
        </row>
        <row r="249">
          <cell r="A249" t="str">
            <v>Unapproved Cannabinoid Source</v>
          </cell>
        </row>
        <row r="250">
          <cell r="A250" t="str">
            <v>Conserve SC</v>
          </cell>
        </row>
        <row r="251">
          <cell r="A251" t="str">
            <v>Invalid Testing; Contaminated with Aspergillus or Mold</v>
          </cell>
        </row>
        <row r="252">
          <cell r="A252" t="str">
            <v>Eagle 20</v>
          </cell>
        </row>
        <row r="253">
          <cell r="A253" t="str">
            <v>Foreign matter, like insects, in product</v>
          </cell>
        </row>
        <row r="254">
          <cell r="A254" t="str">
            <v>THC content above legal limit</v>
          </cell>
        </row>
        <row r="255">
          <cell r="A255" t="str">
            <v>pesticide Spinosyn</v>
          </cell>
        </row>
        <row r="256">
          <cell r="A256" t="str">
            <v>pyrethrins</v>
          </cell>
        </row>
        <row r="257">
          <cell r="A257" t="str">
            <v>Unspecified Pesticides, Product not from Approved Producer</v>
          </cell>
        </row>
        <row r="258">
          <cell r="A258" t="str">
            <v>Not appropriately tested, Pesticides</v>
          </cell>
        </row>
        <row r="259">
          <cell r="A259" t="str">
            <v>Does not include universal symbol</v>
          </cell>
        </row>
        <row r="260">
          <cell r="A260" t="str">
            <v>Multiple: Attractive to Children, Inaccurate Ingredient Label</v>
          </cell>
        </row>
        <row r="261">
          <cell r="A261" t="str">
            <v>Not Childproof Packaging</v>
          </cell>
        </row>
        <row r="262">
          <cell r="A262" t="str">
            <v>Mold and Spoilage</v>
          </cell>
        </row>
        <row r="263">
          <cell r="A263" t="str">
            <v>spiromesifen and permethrin</v>
          </cell>
        </row>
        <row r="264">
          <cell r="A264" t="str">
            <v>Cadmium, Arsenic</v>
          </cell>
        </row>
        <row r="265">
          <cell r="A265" t="str">
            <v>Improper Testing Methods</v>
          </cell>
        </row>
        <row r="266">
          <cell r="A266" t="str">
            <v>Failed Pesticide Testing</v>
          </cell>
        </row>
        <row r="267">
          <cell r="A267" t="str">
            <v>failed harvest batch testing for microbials</v>
          </cell>
        </row>
        <row r="268">
          <cell r="A268" t="str">
            <v>QA Recall by Vendor</v>
          </cell>
        </row>
        <row r="269">
          <cell r="A269" t="str">
            <v>Aspergillus, Cadmium, Mercury</v>
          </cell>
        </row>
        <row r="270">
          <cell r="A270" t="str">
            <v>Withdraw of products not safe for inhalation</v>
          </cell>
        </row>
        <row r="271">
          <cell r="A271" t="str">
            <v>pesticides above action level</v>
          </cell>
        </row>
        <row r="272">
          <cell r="A272" t="str">
            <v>O-phenylphenol </v>
          </cell>
        </row>
        <row r="273">
          <cell r="A273" t="str">
            <v>High Level of concern for pesticides/residual solvents. </v>
          </cell>
        </row>
        <row r="274">
          <cell r="A274" t="str">
            <v>Dichlenobil</v>
          </cell>
        </row>
        <row r="275">
          <cell r="A275" t="str">
            <v>Diphenylamine (DPA),O-phenylphenol (OPP),</v>
          </cell>
        </row>
        <row r="276">
          <cell r="A276" t="str">
            <v>Above pesticide action levels.</v>
          </cell>
        </row>
        <row r="277">
          <cell r="A277" t="str">
            <v>Aspergillus, Lead</v>
          </cell>
        </row>
        <row r="278">
          <cell r="A278" t="str">
            <v>Aspergillus, Lead</v>
          </cell>
        </row>
        <row r="279">
          <cell r="A279" t="str">
            <v>Spinosad</v>
          </cell>
        </row>
        <row r="280">
          <cell r="A280" t="str">
            <v>Failed Testing for Aspergillus reported as passing</v>
          </cell>
        </row>
        <row r="281">
          <cell r="A281" t="str">
            <v>Distillate from an Unknown and Unidentifiable Source ( Adulterated and Misbranded: Other) </v>
          </cell>
        </row>
        <row r="282">
          <cell r="A282" t="str">
            <v>the inner packaging is missing required labeling.</v>
          </cell>
        </row>
        <row r="283">
          <cell r="A283" t="str">
            <v>contains the synthetic cannabinoids THC-O and THCP.</v>
          </cell>
        </row>
        <row r="284">
          <cell r="A284" t="str">
            <v>failure to list allergens on the ingredients list.</v>
          </cell>
        </row>
        <row r="285">
          <cell r="A285" t="str">
            <v>presence of Aspergillus terreus.</v>
          </cell>
        </row>
        <row r="286">
          <cell r="A286" t="str">
            <v>incomplete and incorrect regulatory compliance testing.</v>
          </cell>
        </row>
        <row r="287">
          <cell r="A287" t="str">
            <v>false and misleading health-related claims.</v>
          </cell>
        </row>
        <row r="288">
          <cell r="A288" t="str">
            <v> Pesticide Category II Contamination (Pyrethrins). </v>
          </cell>
        </row>
        <row r="289">
          <cell r="A289" t="str">
            <v>packaging and labeling that is attractive to children.</v>
          </cell>
        </row>
        <row r="290">
          <cell r="A290" t="str">
            <v>Non-bontanically Derived Compounds</v>
          </cell>
        </row>
        <row r="291">
          <cell r="A291" t="str">
            <v>Piperonyl Butoxide and Total Yeast and Mold</v>
          </cell>
        </row>
        <row r="292">
          <cell r="A292" t="str">
            <v>Piperonyl Butoxide and Total Yeast and Mold</v>
          </cell>
        </row>
        <row r="293">
          <cell r="A293" t="str">
            <v>So many pesticides</v>
          </cell>
        </row>
        <row r="294">
          <cell r="A294" t="str">
            <v>Potential packaging and structural compromise</v>
          </cell>
        </row>
        <row r="295">
          <cell r="A295" t="str">
            <v>non-compliant and inaccurate labeling.</v>
          </cell>
        </row>
        <row r="296">
          <cell r="A296" t="str">
            <v>Food Allergens (Soy)</v>
          </cell>
        </row>
        <row r="297">
          <cell r="A297" t="str">
            <v>o pesticide content above allowable thresholds</v>
          </cell>
        </row>
        <row r="298">
          <cell r="A298" t="str">
            <v>mandatory recall for medical marijuana products tested by Greenleaf Labs LLC</v>
          </cell>
        </row>
        <row r="299">
          <cell r="A299" t="str">
            <v>Inaccurate THC on label</v>
          </cell>
        </row>
        <row r="300">
          <cell r="A300" t="str">
            <v>Spinosad </v>
          </cell>
        </row>
        <row r="301">
          <cell r="A301" t="str">
            <v>not tested in accordance with the requirements</v>
          </cell>
        </row>
        <row r="302">
          <cell r="A302" t="str">
            <v>some of the cannabis used to make these cannabis goods was sourced from a third party cultivator who produced cannabis under unsanitary conditions and the methods, facilities, or controls used to cultivate the cannabis did not conform with pesticide statutes and regulations.</v>
          </cell>
        </row>
        <row r="303">
          <cell r="A303" t="str">
            <v>some of the cannabis used to make these cannabis goods was sourced from a third-party cultivator who produced cannabis under unsanitary conditions and the methods, facilities, or controls used to cultivate the cannabis did not conform with pesticide statutes and regulations.</v>
          </cell>
        </row>
        <row r="304">
          <cell r="A304" t="str">
            <v>the presence of Aspergillus niger and Aspergillus terreus.</v>
          </cell>
        </row>
        <row r="305">
          <cell r="A305" t="str">
            <v>Butane above the acceptable limit</v>
          </cell>
        </row>
        <row r="306">
          <cell r="A306" t="str">
            <v>Butane</v>
          </cell>
        </row>
        <row r="307">
          <cell r="A307" t="str">
            <v>Diverted Product</v>
          </cell>
        </row>
        <row r="308">
          <cell r="A308" t="str">
            <v>unsafe levels of yeast and mold.</v>
          </cell>
        </row>
        <row r="309">
          <cell r="A309" t="str">
            <v>product contains a banned chemical</v>
          </cell>
        </row>
        <row r="310">
          <cell r="A310" t="str">
            <v>Contains more THC than allowed</v>
          </cell>
        </row>
        <row r="311">
          <cell r="A311" t="str">
            <v>Caffeine not allowable in sublingual product</v>
          </cell>
        </row>
        <row r="312">
          <cell r="A312" t="str">
            <v>Synthetic Derivation of Cannabinoids</v>
          </cell>
        </row>
        <row r="313">
          <cell r="A313" t="str">
            <v>containing mold in excess of the allowable threshold</v>
          </cell>
        </row>
        <row r="314">
          <cell r="A314" t="str">
            <v>Methylene Chloride</v>
          </cell>
        </row>
        <row r="315">
          <cell r="A315" t="str">
            <v>Category</v>
          </cell>
        </row>
        <row r="316">
          <cell r="A316" t="str">
            <v>Pesticides</v>
          </cell>
        </row>
        <row r="317">
          <cell r="A317" t="str">
            <v>Pesticides</v>
          </cell>
        </row>
        <row r="318">
          <cell r="A318" t="str">
            <v>Pesticides</v>
          </cell>
        </row>
        <row r="319">
          <cell r="A319" t="str">
            <v>Pesticides</v>
          </cell>
        </row>
        <row r="320">
          <cell r="A320" t="str">
            <v>Pesticides</v>
          </cell>
        </row>
        <row r="321">
          <cell r="A321" t="str">
            <v>Pesticides</v>
          </cell>
        </row>
        <row r="322">
          <cell r="A322" t="str">
            <v>Pesticides</v>
          </cell>
        </row>
        <row r="323">
          <cell r="A323" t="str">
            <v>Pesticides</v>
          </cell>
        </row>
        <row r="324">
          <cell r="A324" t="str">
            <v>Pesticides</v>
          </cell>
        </row>
        <row r="325">
          <cell r="A325" t="str">
            <v>Pesticides</v>
          </cell>
        </row>
        <row r="326">
          <cell r="A326" t="str">
            <v>Pesticides</v>
          </cell>
        </row>
        <row r="327">
          <cell r="A327" t="str">
            <v>Pesticides</v>
          </cell>
        </row>
        <row r="328">
          <cell r="A328" t="str">
            <v>Pesticides</v>
          </cell>
        </row>
        <row r="329">
          <cell r="A329" t="str">
            <v>Pesticides</v>
          </cell>
        </row>
        <row r="330">
          <cell r="A330" t="str">
            <v>Pesticides</v>
          </cell>
        </row>
        <row r="331">
          <cell r="A331" t="str">
            <v>Pesticides</v>
          </cell>
        </row>
        <row r="332">
          <cell r="A332" t="str">
            <v>Pesticides</v>
          </cell>
        </row>
        <row r="333">
          <cell r="A333" t="str">
            <v>Pesticides</v>
          </cell>
        </row>
        <row r="334">
          <cell r="A334" t="str">
            <v>Pesticides</v>
          </cell>
        </row>
        <row r="335">
          <cell r="A335" t="str">
            <v>Pesticides</v>
          </cell>
        </row>
        <row r="336">
          <cell r="A336" t="str">
            <v>Pesticides</v>
          </cell>
        </row>
        <row r="337">
          <cell r="A337" t="str">
            <v>Pesticides</v>
          </cell>
        </row>
        <row r="338">
          <cell r="A338" t="str">
            <v>Pesticides</v>
          </cell>
        </row>
        <row r="339">
          <cell r="A339" t="str">
            <v>Pesticides</v>
          </cell>
        </row>
        <row r="340">
          <cell r="A340" t="str">
            <v>Pesticides</v>
          </cell>
        </row>
        <row r="341">
          <cell r="A341" t="str">
            <v>Pesticides</v>
          </cell>
        </row>
        <row r="342">
          <cell r="A342" t="str">
            <v>Pesticides</v>
          </cell>
        </row>
        <row r="343">
          <cell r="A343" t="str">
            <v>Pesticides</v>
          </cell>
        </row>
        <row r="344">
          <cell r="A344" t="str">
            <v>Pesticides</v>
          </cell>
        </row>
        <row r="345">
          <cell r="A345" t="str">
            <v>Pesticides</v>
          </cell>
        </row>
        <row r="346">
          <cell r="A346" t="str">
            <v>Pesticides</v>
          </cell>
        </row>
        <row r="347">
          <cell r="A347" t="str">
            <v>Pesticides</v>
          </cell>
        </row>
        <row r="348">
          <cell r="A348" t="str">
            <v>Pesticides</v>
          </cell>
        </row>
        <row r="349">
          <cell r="A349" t="str">
            <v>Pesticides</v>
          </cell>
        </row>
        <row r="350">
          <cell r="A350" t="str">
            <v>Pesticides</v>
          </cell>
        </row>
        <row r="351">
          <cell r="A351" t="str">
            <v>Pesticides</v>
          </cell>
        </row>
        <row r="352">
          <cell r="A352" t="str">
            <v>Hair and Insects</v>
          </cell>
        </row>
        <row r="353">
          <cell r="A353" t="str">
            <v>Prohibited Additives / Product</v>
          </cell>
        </row>
        <row r="354">
          <cell r="A354" t="str">
            <v>Synthetic Cannabinoids</v>
          </cell>
        </row>
        <row r="355">
          <cell r="A355" t="str">
            <v>Inaccurate THC</v>
          </cell>
        </row>
        <row r="356">
          <cell r="A356" t="str">
            <v>Not Properly Tracked</v>
          </cell>
        </row>
        <row r="357">
          <cell r="A357" t="str">
            <v>Inaccurate THC</v>
          </cell>
        </row>
        <row r="358">
          <cell r="A358" t="str">
            <v>Packaging</v>
          </cell>
        </row>
        <row r="359">
          <cell r="A359" t="str">
            <v>NonCompliant Product</v>
          </cell>
        </row>
        <row r="360">
          <cell r="A360" t="str">
            <v>Attractive Label</v>
          </cell>
        </row>
        <row r="361">
          <cell r="A361" t="str">
            <v>Aspergillus</v>
          </cell>
        </row>
        <row r="362">
          <cell r="A362" t="str">
            <v>Pesticides</v>
          </cell>
        </row>
        <row r="363">
          <cell r="A363" t="str">
            <v>Mold</v>
          </cell>
        </row>
        <row r="364">
          <cell r="A364" t="str">
            <v>Aspergillus</v>
          </cell>
        </row>
        <row r="365">
          <cell r="A365" t="str">
            <v>Total Yeast and Mold</v>
          </cell>
        </row>
        <row r="366">
          <cell r="A366" t="str">
            <v>Heavy Metals</v>
          </cell>
        </row>
        <row r="367">
          <cell r="A367" t="str">
            <v>Aspergillus</v>
          </cell>
        </row>
        <row r="368">
          <cell r="A368" t="str">
            <v>Heavy Metals</v>
          </cell>
        </row>
        <row r="369">
          <cell r="A369" t="str">
            <v>Heavy Metals</v>
          </cell>
        </row>
        <row r="370">
          <cell r="A370" t="str">
            <v>Total Yeast and Mold</v>
          </cell>
        </row>
        <row r="371">
          <cell r="A371" t="str">
            <v>Aspergillus</v>
          </cell>
        </row>
        <row r="372">
          <cell r="A372" t="str">
            <v>Mold</v>
          </cell>
        </row>
        <row r="373">
          <cell r="A373" t="str">
            <v>Microbial</v>
          </cell>
        </row>
        <row r="374">
          <cell r="A374" t="str">
            <v>Mycotoxins</v>
          </cell>
        </row>
        <row r="375">
          <cell r="A375" t="str">
            <v>Solvent</v>
          </cell>
        </row>
        <row r="376">
          <cell r="A376" t="str">
            <v>Other</v>
          </cell>
        </row>
        <row r="377">
          <cell r="A377" t="str">
            <v>Heavy Metals</v>
          </cell>
        </row>
        <row r="378">
          <cell r="A378" t="str">
            <v>Microbial</v>
          </cell>
        </row>
        <row r="379">
          <cell r="A379" t="str">
            <v>Failed Testing</v>
          </cell>
        </row>
        <row r="380">
          <cell r="A380" t="str">
            <v>Mold</v>
          </cell>
        </row>
        <row r="381">
          <cell r="A381" t="str">
            <v>Inaccurate THC</v>
          </cell>
        </row>
        <row r="382">
          <cell r="A382" t="str">
            <v>Inaccurate THC</v>
          </cell>
        </row>
        <row r="383">
          <cell r="A383" t="str">
            <v>Adverse Health Events</v>
          </cell>
        </row>
        <row r="384">
          <cell r="A384" t="str">
            <v>Mislabeled</v>
          </cell>
        </row>
        <row r="385">
          <cell r="A385" t="str">
            <v>Lab Issue</v>
          </cell>
        </row>
        <row r="386">
          <cell r="A386" t="str">
            <v>Inaccurate THC</v>
          </cell>
        </row>
        <row r="387">
          <cell r="A387" t="str">
            <v>Inaccurate THC</v>
          </cell>
        </row>
        <row r="388">
          <cell r="A388" t="str">
            <v>Lead</v>
          </cell>
        </row>
        <row r="389">
          <cell r="A389" t="str">
            <v>Lead</v>
          </cell>
        </row>
        <row r="390">
          <cell r="A390" t="str">
            <v>Lead</v>
          </cell>
        </row>
        <row r="391">
          <cell r="A391" t="str">
            <v>Total Yeast and Mold</v>
          </cell>
        </row>
        <row r="392">
          <cell r="A392" t="str">
            <v>Mercury</v>
          </cell>
        </row>
        <row r="393">
          <cell r="A393" t="str">
            <v>Microbial</v>
          </cell>
        </row>
        <row r="394">
          <cell r="A394" t="str">
            <v>Microbial</v>
          </cell>
        </row>
        <row r="395">
          <cell r="A395" t="str">
            <v>Inaccurate THC</v>
          </cell>
        </row>
        <row r="396">
          <cell r="A396" t="str">
            <v>Total Yeast and Mold</v>
          </cell>
        </row>
        <row r="397">
          <cell r="A397" t="str">
            <v>Aspergillus</v>
          </cell>
        </row>
        <row r="398">
          <cell r="A398" t="str">
            <v>Salmonella</v>
          </cell>
        </row>
        <row r="399">
          <cell r="A399" t="str">
            <v>E. coli</v>
          </cell>
        </row>
        <row r="400">
          <cell r="A400" t="str">
            <v>Pesticides</v>
          </cell>
        </row>
        <row r="401">
          <cell r="A401" t="str">
            <v>Mycotoxins</v>
          </cell>
        </row>
        <row r="402">
          <cell r="A402" t="str">
            <v>Other</v>
          </cell>
        </row>
        <row r="403">
          <cell r="A403" t="str">
            <v>Pesticides</v>
          </cell>
        </row>
        <row r="404">
          <cell r="A404" t="str">
            <v>Pesticides</v>
          </cell>
        </row>
        <row r="405">
          <cell r="A405" t="str">
            <v>Pesticides</v>
          </cell>
        </row>
        <row r="406">
          <cell r="A406" t="str">
            <v>Aspergillus</v>
          </cell>
        </row>
        <row r="407">
          <cell r="A407" t="str">
            <v>Aspergillus</v>
          </cell>
        </row>
        <row r="408">
          <cell r="A408" t="str">
            <v>Salmonella</v>
          </cell>
        </row>
        <row r="409">
          <cell r="A409" t="str">
            <v>Packaging</v>
          </cell>
        </row>
        <row r="410">
          <cell r="A410" t="str">
            <v>Inaccurate THC</v>
          </cell>
        </row>
        <row r="411">
          <cell r="A411" t="str">
            <v>Lab Issue</v>
          </cell>
        </row>
        <row r="412">
          <cell r="A412" t="str">
            <v>Packaging</v>
          </cell>
        </row>
        <row r="413">
          <cell r="A413" t="str">
            <v>Failed Testing</v>
          </cell>
        </row>
        <row r="414">
          <cell r="A414" t="str">
            <v>Prohibited Additives / Product</v>
          </cell>
        </row>
        <row r="415">
          <cell r="A415" t="str">
            <v>Prohibited Additives / Product</v>
          </cell>
        </row>
        <row r="416">
          <cell r="A416" t="str">
            <v>Prohibited Additives / Product</v>
          </cell>
        </row>
        <row r="417">
          <cell r="A417" t="str">
            <v>Solvent</v>
          </cell>
        </row>
        <row r="418">
          <cell r="A418" t="str">
            <v>Other</v>
          </cell>
        </row>
        <row r="419">
          <cell r="A419" t="str">
            <v>Inaccurate THC</v>
          </cell>
        </row>
        <row r="420">
          <cell r="A420" t="str">
            <v>Inaccurate THC</v>
          </cell>
        </row>
        <row r="421">
          <cell r="A421" t="str">
            <v>Untested</v>
          </cell>
        </row>
        <row r="422">
          <cell r="A422" t="str">
            <v>Pesticides</v>
          </cell>
        </row>
        <row r="423">
          <cell r="A423" t="str">
            <v>Untested</v>
          </cell>
        </row>
        <row r="424">
          <cell r="A424" t="str">
            <v>Lab Issue</v>
          </cell>
        </row>
        <row r="425">
          <cell r="A425" t="str">
            <v>Diverted Product</v>
          </cell>
        </row>
        <row r="426">
          <cell r="A426" t="str">
            <v>Lab Issue</v>
          </cell>
        </row>
        <row r="427">
          <cell r="A427" t="str">
            <v>Untested</v>
          </cell>
        </row>
        <row r="428">
          <cell r="A428" t="str">
            <v>Mold</v>
          </cell>
        </row>
        <row r="429">
          <cell r="A429" t="str">
            <v>Untested</v>
          </cell>
        </row>
        <row r="430">
          <cell r="A430" t="str">
            <v>Total Yeast and Mold</v>
          </cell>
        </row>
        <row r="431">
          <cell r="A431" t="str">
            <v>Total Yeast and Mold</v>
          </cell>
        </row>
        <row r="432">
          <cell r="A432" t="str">
            <v>Aspergillus</v>
          </cell>
        </row>
        <row r="433">
          <cell r="A433" t="str">
            <v>Adverse Health Events</v>
          </cell>
        </row>
        <row r="434">
          <cell r="A434" t="str">
            <v>Total Yeast and Mold</v>
          </cell>
        </row>
        <row r="435">
          <cell r="A435" t="str">
            <v>Total Yeast and Mold</v>
          </cell>
        </row>
        <row r="436">
          <cell r="A436" t="str">
            <v>Aspergillus</v>
          </cell>
        </row>
        <row r="437">
          <cell r="A437" t="str">
            <v>Packaging</v>
          </cell>
        </row>
        <row r="438">
          <cell r="A438" t="str">
            <v>Total Yeast and Mold</v>
          </cell>
        </row>
        <row r="439">
          <cell r="A439" t="str">
            <v>Adverse Health Events</v>
          </cell>
        </row>
        <row r="440">
          <cell r="A440" t="str">
            <v>Total Yeast and Mold</v>
          </cell>
        </row>
        <row r="441">
          <cell r="A441" t="str">
            <v>Aspergillus</v>
          </cell>
        </row>
        <row r="442">
          <cell r="A442" t="str">
            <v>Packaging</v>
          </cell>
        </row>
        <row r="443">
          <cell r="A443" t="str">
            <v>Pesticides</v>
          </cell>
        </row>
        <row r="444">
          <cell r="A444" t="str">
            <v>Total Yeast and Mold</v>
          </cell>
        </row>
        <row r="445">
          <cell r="A445" t="str">
            <v>Untested</v>
          </cell>
        </row>
        <row r="446">
          <cell r="A446" t="str">
            <v>Arsenic</v>
          </cell>
        </row>
        <row r="447">
          <cell r="A447" t="str">
            <v>Mercury</v>
          </cell>
        </row>
        <row r="448">
          <cell r="A448" t="str">
            <v>Packaging</v>
          </cell>
        </row>
        <row r="449">
          <cell r="A449" t="str">
            <v>Synthetic Cannabinoids</v>
          </cell>
        </row>
        <row r="450">
          <cell r="A450" t="str">
            <v>Physical Contanimation</v>
          </cell>
        </row>
        <row r="451">
          <cell r="A451" t="str">
            <v>Mislabeled</v>
          </cell>
        </row>
        <row r="452">
          <cell r="A452" t="str">
            <v>Aspergillus</v>
          </cell>
        </row>
        <row r="453">
          <cell r="A453" t="str">
            <v>Total Yeast and Mold</v>
          </cell>
        </row>
        <row r="454">
          <cell r="A454" t="str">
            <v>Total Yeast and Mold</v>
          </cell>
        </row>
        <row r="455">
          <cell r="A455" t="str">
            <v>Unapproved Dosage</v>
          </cell>
        </row>
        <row r="456">
          <cell r="A456" t="str">
            <v>Chemical Resiue</v>
          </cell>
        </row>
        <row r="457">
          <cell r="A457" t="str">
            <v>Mercury</v>
          </cell>
        </row>
        <row r="458">
          <cell r="A458" t="str">
            <v>Cadmium</v>
          </cell>
        </row>
        <row r="459">
          <cell r="A459" t="str">
            <v>Mold</v>
          </cell>
        </row>
        <row r="460">
          <cell r="A460" t="str">
            <v>Pesticides</v>
          </cell>
        </row>
        <row r="461">
          <cell r="A461" t="str">
            <v>Inaccurate THC</v>
          </cell>
        </row>
        <row r="462">
          <cell r="A462" t="str">
            <v>Pesticides</v>
          </cell>
        </row>
        <row r="463">
          <cell r="A463" t="str">
            <v>Pesticides</v>
          </cell>
        </row>
        <row r="464">
          <cell r="A464" t="str">
            <v>Aspergillus</v>
          </cell>
        </row>
        <row r="465">
          <cell r="A465" t="str">
            <v>Aspergillus</v>
          </cell>
        </row>
        <row r="466">
          <cell r="A466" t="str">
            <v>Mislabeled</v>
          </cell>
        </row>
        <row r="467">
          <cell r="A467" t="str">
            <v>Aspergillus</v>
          </cell>
        </row>
        <row r="468">
          <cell r="A468" t="str">
            <v>Aspergillus</v>
          </cell>
        </row>
        <row r="469">
          <cell r="A469" t="str">
            <v>Aspergillus</v>
          </cell>
        </row>
        <row r="470">
          <cell r="A470" t="str">
            <v>Inaccurate THC</v>
          </cell>
        </row>
        <row r="471">
          <cell r="A471" t="str">
            <v>Multiple (Aspergillus, THC Inflation)</v>
          </cell>
        </row>
        <row r="472">
          <cell r="A472" t="str">
            <v>Multiple (Aspergillus, THC Inflation)</v>
          </cell>
        </row>
        <row r="473">
          <cell r="A473" t="str">
            <v>Inaccurate THC</v>
          </cell>
        </row>
        <row r="474">
          <cell r="A474" t="str">
            <v>Multiple (Aspergillus, THC Inflation)</v>
          </cell>
        </row>
        <row r="475">
          <cell r="A475" t="str">
            <v>Inaccurate THC</v>
          </cell>
        </row>
        <row r="476">
          <cell r="A476" t="str">
            <v>Multiple (Aspergillus, THC Inflation)</v>
          </cell>
        </row>
        <row r="477">
          <cell r="A477" t="str">
            <v>Packaging</v>
          </cell>
        </row>
        <row r="478">
          <cell r="A478" t="str">
            <v>Multiple (Aspergillus, THC Inflation)</v>
          </cell>
        </row>
        <row r="479">
          <cell r="A479" t="str">
            <v>Pesticides</v>
          </cell>
        </row>
        <row r="480">
          <cell r="A480" t="str">
            <v>Aspergillus</v>
          </cell>
        </row>
        <row r="481">
          <cell r="A481" t="str">
            <v>Salmonella</v>
          </cell>
        </row>
        <row r="482">
          <cell r="A482" t="str">
            <v>Aspergillus</v>
          </cell>
        </row>
        <row r="483">
          <cell r="A483" t="str">
            <v>Aspergillus</v>
          </cell>
        </row>
        <row r="484">
          <cell r="A484" t="str">
            <v>Pesticides</v>
          </cell>
        </row>
        <row r="485">
          <cell r="A485" t="str">
            <v>Attractive Label</v>
          </cell>
        </row>
        <row r="486">
          <cell r="A486" t="str">
            <v>Pesticides</v>
          </cell>
        </row>
        <row r="487">
          <cell r="A487" t="str">
            <v>Pesticides</v>
          </cell>
        </row>
        <row r="488">
          <cell r="A488" t="str">
            <v>Multiple (Pesticides, THC Inflation)</v>
          </cell>
        </row>
        <row r="489">
          <cell r="A489" t="str">
            <v>Aspergillus</v>
          </cell>
        </row>
        <row r="490">
          <cell r="A490" t="str">
            <v>Multiple (Aspergillus, THC Inflation)</v>
          </cell>
        </row>
        <row r="491">
          <cell r="A491" t="str">
            <v>Pesticides</v>
          </cell>
        </row>
        <row r="492">
          <cell r="A492" t="str">
            <v>Prohibited Additives / Product</v>
          </cell>
        </row>
        <row r="493">
          <cell r="A493" t="str">
            <v>Adulterated / Misbranded</v>
          </cell>
        </row>
        <row r="494">
          <cell r="A494" t="str">
            <v>Arsenic</v>
          </cell>
        </row>
        <row r="495">
          <cell r="A495" t="str">
            <v>Pesticides</v>
          </cell>
        </row>
        <row r="496">
          <cell r="A496" t="str">
            <v>Prohibited Additives / Product</v>
          </cell>
        </row>
        <row r="497">
          <cell r="A497" t="str">
            <v>Pesticides</v>
          </cell>
        </row>
        <row r="498">
          <cell r="A498" t="str">
            <v>Multiple (Aspergillus, THC Inflation)</v>
          </cell>
        </row>
        <row r="499">
          <cell r="A499" t="str">
            <v>Solvent</v>
          </cell>
        </row>
        <row r="500">
          <cell r="A500" t="str">
            <v>Multiple (Aspergillus, THC inflation)</v>
          </cell>
        </row>
        <row r="501">
          <cell r="A501" t="str">
            <v>Multiple (Invalid Testing, Prohibited Product)</v>
          </cell>
        </row>
        <row r="502">
          <cell r="A502" t="str">
            <v>Aspergillus</v>
          </cell>
        </row>
        <row r="503">
          <cell r="A503" t="str">
            <v>Invalid Testing</v>
          </cell>
        </row>
        <row r="504">
          <cell r="A504" t="str">
            <v>Multiple: Inaccurate Ingredient Label, Lacking GMP</v>
          </cell>
        </row>
        <row r="505">
          <cell r="A505" t="str">
            <v>Invalid Testing</v>
          </cell>
        </row>
        <row r="506">
          <cell r="A506" t="str">
            <v>Multiple (Aspergillus, THC Inflation)</v>
          </cell>
        </row>
        <row r="507">
          <cell r="A507" t="str">
            <v>Aspergillus</v>
          </cell>
        </row>
        <row r="508">
          <cell r="A508" t="str">
            <v>Aspergillus</v>
          </cell>
        </row>
        <row r="509">
          <cell r="A509" t="str">
            <v>Aspergillus</v>
          </cell>
        </row>
        <row r="510">
          <cell r="A510" t="str">
            <v>Aspergillus</v>
          </cell>
        </row>
        <row r="511">
          <cell r="A511" t="str">
            <v>Invalid Testing</v>
          </cell>
        </row>
        <row r="512">
          <cell r="A512" t="str">
            <v>Multiple: Inaccurate Ingredient Label, Lacking GMP</v>
          </cell>
        </row>
        <row r="513">
          <cell r="A513" t="str">
            <v>Inacurate Ingredient Label</v>
          </cell>
        </row>
        <row r="514">
          <cell r="A514" t="str">
            <v>Multiple: Inaccurate Product Type, Lacking GMP, Exceeds THC, Acidified Beverage</v>
          </cell>
        </row>
        <row r="515">
          <cell r="A515" t="str">
            <v>Multiple: Attractive to Children, THC Inflation</v>
          </cell>
        </row>
        <row r="516">
          <cell r="A516" t="str">
            <v>Multiple: Invalid Testing, Attractive Labeling</v>
          </cell>
        </row>
        <row r="517">
          <cell r="A517" t="str">
            <v>Multiple: Invalid Testing, Misleading Label</v>
          </cell>
        </row>
        <row r="518">
          <cell r="A518" t="str">
            <v>Aspergillus</v>
          </cell>
        </row>
        <row r="519">
          <cell r="A519" t="str">
            <v>Aspergillus</v>
          </cell>
        </row>
        <row r="520">
          <cell r="A520" t="str">
            <v>Multiple </v>
          </cell>
        </row>
        <row r="521">
          <cell r="A521" t="str">
            <v>Inaccurate Ingredient Label</v>
          </cell>
        </row>
        <row r="522">
          <cell r="A522" t="str">
            <v>Prohibited Additives / Product</v>
          </cell>
        </row>
        <row r="523">
          <cell r="A523" t="str">
            <v>Prohibited Additives / Product</v>
          </cell>
        </row>
        <row r="524">
          <cell r="A524" t="str">
            <v>Pesticides</v>
          </cell>
        </row>
        <row r="525">
          <cell r="A525" t="str">
            <v>Multiple: inaccurate Ingredient Label, Unverifiable GMP</v>
          </cell>
        </row>
        <row r="526">
          <cell r="A526" t="str">
            <v>Multiple: Distributor Without License; No Surveillance of Sampling</v>
          </cell>
        </row>
        <row r="527">
          <cell r="A527" t="str">
            <v>No GMP</v>
          </cell>
        </row>
        <row r="528">
          <cell r="A528" t="str">
            <v>Distributor Without License</v>
          </cell>
        </row>
        <row r="529">
          <cell r="A529" t="str">
            <v>Multiple: Pesticides / Aspergillus</v>
          </cell>
        </row>
        <row r="530">
          <cell r="A530" t="str">
            <v>Inaccurate THC</v>
          </cell>
        </row>
        <row r="531">
          <cell r="A531" t="str">
            <v>Multiple: Yeast and Mold, Aspergillus</v>
          </cell>
        </row>
        <row r="532">
          <cell r="A532" t="str">
            <v>Total Yeast and Mold</v>
          </cell>
        </row>
        <row r="533">
          <cell r="A533" t="str">
            <v>Multiple: Total Yeast and Mold, Moisture Content</v>
          </cell>
        </row>
        <row r="534">
          <cell r="A534" t="str">
            <v>Pesticides</v>
          </cell>
        </row>
        <row r="535">
          <cell r="A535" t="str">
            <v>Pesticides</v>
          </cell>
        </row>
        <row r="536">
          <cell r="A536" t="str">
            <v>Pesticides</v>
          </cell>
        </row>
        <row r="537">
          <cell r="A537" t="str">
            <v>Multiple: Total Yeast and Mold, Heavy Metals</v>
          </cell>
        </row>
        <row r="538">
          <cell r="A538" t="str">
            <v>Heavy Metals</v>
          </cell>
        </row>
        <row r="539">
          <cell r="A539" t="str">
            <v>Multiple: Total Yeast and Mold, Heavy Metals</v>
          </cell>
        </row>
        <row r="540">
          <cell r="A540" t="str">
            <v>Pesticides</v>
          </cell>
        </row>
        <row r="541">
          <cell r="A541" t="str">
            <v>Pesticides</v>
          </cell>
        </row>
        <row r="542">
          <cell r="A542" t="str">
            <v>Pesticides</v>
          </cell>
        </row>
        <row r="543">
          <cell r="A543" t="str">
            <v>Pesticides</v>
          </cell>
        </row>
        <row r="544">
          <cell r="A544" t="str">
            <v>Total Yeast and Mold</v>
          </cell>
        </row>
        <row r="545">
          <cell r="A545" t="str">
            <v>Multiple: Total Yeast and Mold, Cadmium</v>
          </cell>
        </row>
        <row r="546">
          <cell r="A546" t="str">
            <v>Total Yeast and Mold</v>
          </cell>
        </row>
        <row r="547">
          <cell r="A547" t="str">
            <v>Multiple - Microbials and Yeast and Mold</v>
          </cell>
        </row>
        <row r="548">
          <cell r="A548" t="str">
            <v>Reason Not Given</v>
          </cell>
        </row>
        <row r="549">
          <cell r="A549" t="str">
            <v>Multiple- Yeast and Mold, Microbials, Heavy Metal</v>
          </cell>
        </row>
        <row r="550">
          <cell r="A550" t="str">
            <v>Pesticides</v>
          </cell>
        </row>
        <row r="551">
          <cell r="A551" t="str">
            <v>Pesticides</v>
          </cell>
        </row>
        <row r="552">
          <cell r="A552" t="str">
            <v>Total Yeast and Mold</v>
          </cell>
        </row>
        <row r="553">
          <cell r="A553" t="str">
            <v>Coliforms</v>
          </cell>
        </row>
        <row r="554">
          <cell r="A554" t="str">
            <v>Invalid Testing (Sampling)</v>
          </cell>
        </row>
        <row r="555">
          <cell r="A555" t="str">
            <v>Prohibited Additives / Product</v>
          </cell>
        </row>
        <row r="556">
          <cell r="A556" t="str">
            <v>Prohibited Additives / Product</v>
          </cell>
        </row>
        <row r="557">
          <cell r="A557" t="str">
            <v>Over THC Threshhold</v>
          </cell>
        </row>
        <row r="558">
          <cell r="A558" t="str">
            <v>Diverted Product</v>
          </cell>
        </row>
        <row r="559">
          <cell r="A559" t="str">
            <v>Invalid Testing</v>
          </cell>
        </row>
        <row r="560">
          <cell r="A560" t="str">
            <v>Inaccurate Ingredient Label</v>
          </cell>
        </row>
        <row r="561">
          <cell r="A561" t="str">
            <v>Unspecified Contaminant</v>
          </cell>
        </row>
        <row r="562">
          <cell r="A562" t="str">
            <v>Not Tested</v>
          </cell>
        </row>
        <row r="563">
          <cell r="A563" t="str">
            <v>Prohibited Additives / Product</v>
          </cell>
        </row>
        <row r="564">
          <cell r="A564" t="str">
            <v>Pesticides</v>
          </cell>
        </row>
        <row r="565">
          <cell r="A565" t="str">
            <v>Multiple: invalid testing, aspergillus, mold</v>
          </cell>
        </row>
        <row r="566">
          <cell r="A566" t="str">
            <v>Pesticides</v>
          </cell>
        </row>
        <row r="567">
          <cell r="A567" t="str">
            <v>Contaminants</v>
          </cell>
        </row>
        <row r="568">
          <cell r="A568" t="str">
            <v>Over THC Threshhold</v>
          </cell>
        </row>
        <row r="569">
          <cell r="A569" t="str">
            <v>Pesticides</v>
          </cell>
        </row>
        <row r="570">
          <cell r="A570" t="str">
            <v>Pesticides</v>
          </cell>
        </row>
        <row r="571">
          <cell r="A571" t="str">
            <v>Multiple: Unspecified Pesticides, Product not from Approved Producer</v>
          </cell>
        </row>
        <row r="572">
          <cell r="A572" t="str">
            <v>Multiple: not appropriately tested, pesticdes</v>
          </cell>
        </row>
        <row r="573">
          <cell r="A573" t="str">
            <v>Labeling Issue</v>
          </cell>
        </row>
        <row r="574">
          <cell r="A574" t="str">
            <v>Multiple: Attractive to Children, Inaccurate Ingredient Label</v>
          </cell>
        </row>
        <row r="575">
          <cell r="A575" t="str">
            <v>Packaging</v>
          </cell>
        </row>
        <row r="576">
          <cell r="A576" t="str">
            <v>Multiple: Spoilage and Mold</v>
          </cell>
        </row>
        <row r="577">
          <cell r="A577" t="str">
            <v>Pesticides</v>
          </cell>
        </row>
        <row r="578">
          <cell r="A578" t="str">
            <v>Heavy Metals</v>
          </cell>
        </row>
        <row r="579">
          <cell r="A579" t="str">
            <v>Invalid Testing</v>
          </cell>
        </row>
        <row r="580">
          <cell r="A580" t="str">
            <v>Pesticides</v>
          </cell>
        </row>
        <row r="581">
          <cell r="A581" t="str">
            <v>Microbial</v>
          </cell>
        </row>
        <row r="582">
          <cell r="A582" t="str">
            <v>QA Recall by Vendor</v>
          </cell>
        </row>
        <row r="583">
          <cell r="A583" t="str">
            <v>Multiple: Aspergillus, Heavy Metal</v>
          </cell>
        </row>
        <row r="584">
          <cell r="A584" t="str">
            <v>Prohibited Additives / Product</v>
          </cell>
        </row>
        <row r="585">
          <cell r="A585" t="str">
            <v>Pesticides</v>
          </cell>
        </row>
        <row r="586">
          <cell r="A586" t="str">
            <v>Pesticides</v>
          </cell>
        </row>
        <row r="587">
          <cell r="A587" t="str">
            <v>Multiple: Pesticides / Solvents</v>
          </cell>
        </row>
        <row r="588">
          <cell r="A588" t="str">
            <v>Pesticides</v>
          </cell>
        </row>
        <row r="589">
          <cell r="A589" t="str">
            <v>Pesticides</v>
          </cell>
        </row>
        <row r="590">
          <cell r="A590" t="str">
            <v>Pesticides</v>
          </cell>
        </row>
        <row r="591">
          <cell r="A591" t="str">
            <v>Aspergillus</v>
          </cell>
        </row>
        <row r="592">
          <cell r="A592" t="str">
            <v>Lead</v>
          </cell>
        </row>
        <row r="593">
          <cell r="A593" t="str">
            <v>Pesticides</v>
          </cell>
        </row>
        <row r="594">
          <cell r="A594" t="str">
            <v>Multiple: Aspergillus, Lab Issue</v>
          </cell>
        </row>
        <row r="595">
          <cell r="A595" t="str">
            <v>Untracable Source</v>
          </cell>
        </row>
        <row r="596">
          <cell r="A596" t="str">
            <v>Mislabeled</v>
          </cell>
        </row>
        <row r="597">
          <cell r="A597" t="str">
            <v>Synthetic Cannabinoids</v>
          </cell>
        </row>
        <row r="598">
          <cell r="A598" t="str">
            <v>Allergens</v>
          </cell>
        </row>
        <row r="599">
          <cell r="A599" t="str">
            <v>Aspergillus</v>
          </cell>
        </row>
        <row r="600">
          <cell r="A600" t="str">
            <v>Incomplete Testing</v>
          </cell>
        </row>
        <row r="601">
          <cell r="A601" t="str">
            <v>Mislabeled</v>
          </cell>
        </row>
        <row r="602">
          <cell r="A602" t="str">
            <v>Pesticides</v>
          </cell>
        </row>
        <row r="603">
          <cell r="A603" t="str">
            <v>Attractive Label</v>
          </cell>
        </row>
        <row r="604">
          <cell r="A604" t="str">
            <v>Prohibited Additives / Product</v>
          </cell>
        </row>
        <row r="605">
          <cell r="A605" t="str">
            <v>Pesticides</v>
          </cell>
        </row>
        <row r="606">
          <cell r="A606" t="str">
            <v>Total Yeast and Mold</v>
          </cell>
        </row>
        <row r="607">
          <cell r="A607" t="str">
            <v>Pesticides</v>
          </cell>
        </row>
        <row r="608">
          <cell r="A608" t="str">
            <v>Packaging</v>
          </cell>
        </row>
        <row r="609">
          <cell r="A609" t="str">
            <v>Inaccurate THC</v>
          </cell>
        </row>
        <row r="610">
          <cell r="A610" t="str">
            <v>Allergens</v>
          </cell>
        </row>
        <row r="611">
          <cell r="A611" t="str">
            <v>Pesticides</v>
          </cell>
        </row>
        <row r="612">
          <cell r="A612" t="str">
            <v>Incomplete Testing</v>
          </cell>
        </row>
        <row r="613">
          <cell r="A613" t="str">
            <v>Inaccurate THC</v>
          </cell>
        </row>
        <row r="614">
          <cell r="A614" t="str">
            <v>Pesticides</v>
          </cell>
        </row>
        <row r="615">
          <cell r="A615" t="str">
            <v>Incomplete Testing</v>
          </cell>
        </row>
        <row r="616">
          <cell r="A616" t="str">
            <v>Prohibited Product in Supply Chain</v>
          </cell>
        </row>
        <row r="617">
          <cell r="A617" t="str">
            <v>Prohibited Product in Supply Chain</v>
          </cell>
        </row>
        <row r="618">
          <cell r="A618" t="str">
            <v>Aspergillus</v>
          </cell>
        </row>
        <row r="619">
          <cell r="A619" t="str">
            <v>Solvent</v>
          </cell>
        </row>
        <row r="620">
          <cell r="A620" t="str">
            <v>Solvent</v>
          </cell>
        </row>
        <row r="621">
          <cell r="A621" t="str">
            <v>Diverted Product</v>
          </cell>
        </row>
        <row r="622">
          <cell r="A622" t="str">
            <v>Total Yeast and Mold</v>
          </cell>
        </row>
        <row r="623">
          <cell r="A623" t="str">
            <v>Unspecified Contaminant</v>
          </cell>
        </row>
        <row r="624">
          <cell r="A624" t="str">
            <v>Over THC Threshhold</v>
          </cell>
        </row>
        <row r="625">
          <cell r="A625" t="str">
            <v>Prohibited Additive</v>
          </cell>
        </row>
        <row r="626">
          <cell r="A626" t="str">
            <v>Synthetic Cannabinoids</v>
          </cell>
        </row>
        <row r="627">
          <cell r="A627" t="str">
            <v>Total Yeast and Mold</v>
          </cell>
        </row>
        <row r="628">
          <cell r="A628" t="str">
            <v>Solvent</v>
          </cell>
        </row>
        <row r="629">
          <cell r="A629" t="str">
            <v>Tight Cat</v>
          </cell>
        </row>
        <row r="630">
          <cell r="A630" t="str">
            <v>Pesticides</v>
          </cell>
        </row>
        <row r="631">
          <cell r="A631" t="str">
            <v>Pesticides</v>
          </cell>
        </row>
        <row r="632">
          <cell r="A632" t="str">
            <v>Pesticides</v>
          </cell>
        </row>
        <row r="633">
          <cell r="A633" t="str">
            <v>Pesticides</v>
          </cell>
        </row>
        <row r="634">
          <cell r="A634" t="str">
            <v>Pesticides</v>
          </cell>
        </row>
        <row r="635">
          <cell r="A635" t="str">
            <v>Pesticides</v>
          </cell>
        </row>
        <row r="636">
          <cell r="A636" t="str">
            <v>Pesticides</v>
          </cell>
        </row>
        <row r="637">
          <cell r="A637" t="str">
            <v>Pesticides</v>
          </cell>
        </row>
        <row r="638">
          <cell r="A638" t="str">
            <v>Pesticides</v>
          </cell>
        </row>
        <row r="639">
          <cell r="A639" t="str">
            <v>Pesticides</v>
          </cell>
        </row>
        <row r="640">
          <cell r="A640" t="str">
            <v>Pesticides</v>
          </cell>
        </row>
        <row r="641">
          <cell r="A641" t="str">
            <v>Pesticides</v>
          </cell>
        </row>
        <row r="642">
          <cell r="A642" t="str">
            <v>Pesticides</v>
          </cell>
        </row>
        <row r="643">
          <cell r="A643" t="str">
            <v>Pesticides</v>
          </cell>
        </row>
        <row r="644">
          <cell r="A644" t="str">
            <v>Pesticides</v>
          </cell>
        </row>
        <row r="645">
          <cell r="A645" t="str">
            <v>Pesticides</v>
          </cell>
        </row>
        <row r="646">
          <cell r="A646" t="str">
            <v>Pesticides</v>
          </cell>
        </row>
        <row r="647">
          <cell r="A647" t="str">
            <v>Pesticides</v>
          </cell>
        </row>
        <row r="648">
          <cell r="A648" t="str">
            <v>Pesticides</v>
          </cell>
        </row>
        <row r="649">
          <cell r="A649" t="str">
            <v>Pesticides</v>
          </cell>
        </row>
        <row r="650">
          <cell r="A650" t="str">
            <v>Pesticides</v>
          </cell>
        </row>
        <row r="651">
          <cell r="A651" t="str">
            <v>Pesticides</v>
          </cell>
        </row>
        <row r="652">
          <cell r="A652" t="str">
            <v>Pesticides</v>
          </cell>
        </row>
        <row r="653">
          <cell r="A653" t="str">
            <v>Pesticides</v>
          </cell>
        </row>
        <row r="654">
          <cell r="A654" t="str">
            <v>Pesticides</v>
          </cell>
        </row>
        <row r="655">
          <cell r="A655" t="str">
            <v>Pesticides</v>
          </cell>
        </row>
        <row r="656">
          <cell r="A656" t="str">
            <v>Pesticides</v>
          </cell>
        </row>
        <row r="657">
          <cell r="A657" t="str">
            <v>Pesticides</v>
          </cell>
        </row>
        <row r="658">
          <cell r="A658" t="str">
            <v>Pesticides</v>
          </cell>
        </row>
        <row r="659">
          <cell r="A659" t="str">
            <v>Pesticides</v>
          </cell>
        </row>
        <row r="660">
          <cell r="A660" t="str">
            <v>Pesticides</v>
          </cell>
        </row>
        <row r="661">
          <cell r="A661" t="str">
            <v>Pesticides</v>
          </cell>
        </row>
        <row r="662">
          <cell r="A662" t="str">
            <v>Pesticides</v>
          </cell>
        </row>
        <row r="663">
          <cell r="A663" t="str">
            <v>Pesticides</v>
          </cell>
        </row>
        <row r="664">
          <cell r="A664" t="str">
            <v>Pesticides</v>
          </cell>
        </row>
        <row r="665">
          <cell r="A665" t="str">
            <v>Pesticides</v>
          </cell>
        </row>
        <row r="666">
          <cell r="A666" t="str">
            <v>Contaminants</v>
          </cell>
        </row>
        <row r="667">
          <cell r="A667" t="str">
            <v>Prohibited Additives / Product</v>
          </cell>
        </row>
        <row r="668">
          <cell r="A668" t="str">
            <v>Prohibited Additives / Product</v>
          </cell>
        </row>
        <row r="669">
          <cell r="A669" t="str">
            <v>Mislabeled</v>
          </cell>
        </row>
        <row r="670">
          <cell r="A670" t="str">
            <v>Other</v>
          </cell>
        </row>
        <row r="671">
          <cell r="A671" t="str">
            <v>Inaccurate THC</v>
          </cell>
        </row>
        <row r="672">
          <cell r="A672" t="str">
            <v>Packaging</v>
          </cell>
        </row>
        <row r="673">
          <cell r="A673" t="str">
            <v>Prohibited Additives / Product</v>
          </cell>
        </row>
        <row r="674">
          <cell r="A674" t="str">
            <v>Packaging</v>
          </cell>
        </row>
        <row r="675">
          <cell r="A675" t="str">
            <v>Microbial Contamination</v>
          </cell>
        </row>
        <row r="676">
          <cell r="A676" t="str">
            <v>Pesticides</v>
          </cell>
        </row>
        <row r="677">
          <cell r="A677" t="str">
            <v>Microbial Contamination</v>
          </cell>
        </row>
        <row r="678">
          <cell r="A678" t="str">
            <v>Microbial Contamination</v>
          </cell>
        </row>
        <row r="679">
          <cell r="A679" t="str">
            <v>Microbial Contamination</v>
          </cell>
        </row>
        <row r="680">
          <cell r="A680" t="str">
            <v>Heavy Metals</v>
          </cell>
        </row>
        <row r="681">
          <cell r="A681" t="str">
            <v>Microbial Contamination</v>
          </cell>
        </row>
        <row r="682">
          <cell r="A682" t="str">
            <v>Heavy Metals</v>
          </cell>
        </row>
        <row r="683">
          <cell r="A683" t="str">
            <v>Heavy Metals</v>
          </cell>
        </row>
        <row r="684">
          <cell r="A684" t="str">
            <v>Microbial Contamination</v>
          </cell>
        </row>
        <row r="685">
          <cell r="A685" t="str">
            <v>Microbial Contamination</v>
          </cell>
        </row>
        <row r="686">
          <cell r="A686" t="str">
            <v>Microbial Contamination</v>
          </cell>
        </row>
        <row r="687">
          <cell r="A687" t="str">
            <v>Microbial Contamination</v>
          </cell>
        </row>
        <row r="688">
          <cell r="A688" t="str">
            <v>Mycotoxins</v>
          </cell>
        </row>
        <row r="689">
          <cell r="A689" t="str">
            <v>Solvent</v>
          </cell>
        </row>
        <row r="690">
          <cell r="A690" t="str">
            <v>Other</v>
          </cell>
        </row>
        <row r="691">
          <cell r="A691" t="str">
            <v>Heavy Metals</v>
          </cell>
        </row>
        <row r="692">
          <cell r="A692" t="str">
            <v>Microbial Contamination</v>
          </cell>
        </row>
        <row r="693">
          <cell r="A693" t="str">
            <v>Lab Issue</v>
          </cell>
        </row>
        <row r="694">
          <cell r="A694" t="str">
            <v>Microbial Contamination</v>
          </cell>
        </row>
        <row r="695">
          <cell r="A695" t="str">
            <v>Inaccurate THC</v>
          </cell>
        </row>
        <row r="696">
          <cell r="A696" t="str">
            <v>Inaccurate THC</v>
          </cell>
        </row>
        <row r="697">
          <cell r="A697" t="str">
            <v>Adverse Health Events</v>
          </cell>
        </row>
        <row r="698">
          <cell r="A698" t="str">
            <v>Mislabeled</v>
          </cell>
        </row>
        <row r="699">
          <cell r="A699" t="str">
            <v>Lab Issue</v>
          </cell>
        </row>
        <row r="700">
          <cell r="A700" t="str">
            <v>Lab Issue</v>
          </cell>
        </row>
        <row r="701">
          <cell r="A701" t="str">
            <v>Inaccurate THC</v>
          </cell>
        </row>
        <row r="702">
          <cell r="A702" t="str">
            <v>Heavy Metals</v>
          </cell>
        </row>
        <row r="703">
          <cell r="A703" t="str">
            <v>Heavy Metals</v>
          </cell>
        </row>
        <row r="704">
          <cell r="A704" t="str">
            <v>Heavy Metals</v>
          </cell>
        </row>
        <row r="705">
          <cell r="A705" t="str">
            <v>Microbial Contamination</v>
          </cell>
        </row>
        <row r="706">
          <cell r="A706" t="str">
            <v>Heavy Metals</v>
          </cell>
        </row>
        <row r="707">
          <cell r="A707" t="str">
            <v>Microbial Contamination</v>
          </cell>
        </row>
        <row r="708">
          <cell r="A708" t="str">
            <v>Microbial Contamination</v>
          </cell>
        </row>
        <row r="709">
          <cell r="A709" t="str">
            <v>Inaccurate THC</v>
          </cell>
        </row>
        <row r="710">
          <cell r="A710" t="str">
            <v>Microbial Contamination</v>
          </cell>
        </row>
        <row r="711">
          <cell r="A711" t="str">
            <v>Microbial Contamination</v>
          </cell>
        </row>
        <row r="712">
          <cell r="A712" t="str">
            <v>Microbial Contamination</v>
          </cell>
        </row>
        <row r="713">
          <cell r="A713" t="str">
            <v>Microbial Contamination</v>
          </cell>
        </row>
        <row r="714">
          <cell r="A714" t="str">
            <v>Pesticides</v>
          </cell>
        </row>
        <row r="715">
          <cell r="A715" t="str">
            <v>Mycotoxins</v>
          </cell>
        </row>
        <row r="716">
          <cell r="A716" t="str">
            <v>Other</v>
          </cell>
        </row>
        <row r="717">
          <cell r="A717" t="str">
            <v>Pesticides</v>
          </cell>
        </row>
        <row r="718">
          <cell r="A718" t="str">
            <v>Pesticides</v>
          </cell>
        </row>
        <row r="719">
          <cell r="A719" t="str">
            <v>Pesticides</v>
          </cell>
        </row>
        <row r="720">
          <cell r="A720" t="str">
            <v>Pesticides</v>
          </cell>
        </row>
        <row r="721">
          <cell r="A721" t="str">
            <v>Microbial Contamination</v>
          </cell>
        </row>
        <row r="722">
          <cell r="A722" t="str">
            <v>Microbial Contamination</v>
          </cell>
        </row>
        <row r="723">
          <cell r="A723" t="str">
            <v>Packaging</v>
          </cell>
        </row>
        <row r="724">
          <cell r="A724" t="str">
            <v>Inaccurate THC</v>
          </cell>
        </row>
        <row r="725">
          <cell r="A725" t="str">
            <v>Lab Issue</v>
          </cell>
        </row>
        <row r="726">
          <cell r="A726" t="str">
            <v>Packaging</v>
          </cell>
        </row>
        <row r="727">
          <cell r="A727" t="str">
            <v>Lab Issue</v>
          </cell>
        </row>
        <row r="728">
          <cell r="A728" t="str">
            <v>Prohibited Additives / Product</v>
          </cell>
        </row>
        <row r="729">
          <cell r="A729" t="str">
            <v>Prohibited Additives / Product</v>
          </cell>
        </row>
        <row r="730">
          <cell r="A730" t="str">
            <v>Prohibited Additives / Product</v>
          </cell>
        </row>
        <row r="731">
          <cell r="A731" t="str">
            <v>Solvent</v>
          </cell>
        </row>
        <row r="732">
          <cell r="A732" t="str">
            <v>Contaminants</v>
          </cell>
        </row>
        <row r="733">
          <cell r="A733" t="str">
            <v>Inaccurate THC</v>
          </cell>
        </row>
        <row r="734">
          <cell r="A734" t="str">
            <v>Lab Issue</v>
          </cell>
        </row>
        <row r="735">
          <cell r="A735" t="str">
            <v>Lab Issue</v>
          </cell>
        </row>
        <row r="736">
          <cell r="A736" t="str">
            <v>Pesticides</v>
          </cell>
        </row>
        <row r="737">
          <cell r="A737" t="str">
            <v>Lab Issue</v>
          </cell>
        </row>
        <row r="738">
          <cell r="A738" t="str">
            <v>Lab Issue</v>
          </cell>
        </row>
        <row r="739">
          <cell r="A739" t="str">
            <v>Prohibited Additives / Product</v>
          </cell>
        </row>
        <row r="740">
          <cell r="A740" t="str">
            <v>Lab Issue</v>
          </cell>
        </row>
        <row r="741">
          <cell r="A741" t="str">
            <v>Lab Issue</v>
          </cell>
        </row>
        <row r="742">
          <cell r="A742" t="str">
            <v>Microbial Contamination</v>
          </cell>
        </row>
        <row r="743">
          <cell r="A743" t="str">
            <v>Lab Issue</v>
          </cell>
        </row>
        <row r="744">
          <cell r="A744" t="str">
            <v>Microbial Contamination</v>
          </cell>
        </row>
        <row r="745">
          <cell r="A745" t="str">
            <v>Microbial Contamination</v>
          </cell>
        </row>
        <row r="746">
          <cell r="A746" t="str">
            <v>Microbial Contamination</v>
          </cell>
        </row>
        <row r="747">
          <cell r="A747" t="str">
            <v>Adverse Health Events</v>
          </cell>
        </row>
        <row r="748">
          <cell r="A748" t="str">
            <v>Microbial Contamination</v>
          </cell>
        </row>
        <row r="749">
          <cell r="A749" t="str">
            <v>Microbial Contamination</v>
          </cell>
        </row>
        <row r="750">
          <cell r="A750" t="str">
            <v>Microbial Contamination</v>
          </cell>
        </row>
        <row r="751">
          <cell r="A751" t="str">
            <v>Packaging</v>
          </cell>
        </row>
        <row r="752">
          <cell r="A752" t="str">
            <v>Microbial Contamination</v>
          </cell>
        </row>
        <row r="753">
          <cell r="A753" t="str">
            <v>Adverse Health Events</v>
          </cell>
        </row>
        <row r="754">
          <cell r="A754" t="str">
            <v>Microbial Contamination</v>
          </cell>
        </row>
        <row r="755">
          <cell r="A755" t="str">
            <v>Microbial Contamination</v>
          </cell>
        </row>
        <row r="756">
          <cell r="A756" t="str">
            <v>Packaging</v>
          </cell>
        </row>
        <row r="757">
          <cell r="A757" t="str">
            <v>Pesticides</v>
          </cell>
        </row>
        <row r="758">
          <cell r="A758" t="str">
            <v>Microbial Contamination</v>
          </cell>
        </row>
        <row r="759">
          <cell r="A759" t="str">
            <v>Lab Issue</v>
          </cell>
        </row>
        <row r="760">
          <cell r="A760" t="str">
            <v>Heavy Metals</v>
          </cell>
        </row>
        <row r="761">
          <cell r="A761" t="str">
            <v>Heavy Metals</v>
          </cell>
        </row>
        <row r="762">
          <cell r="A762" t="str">
            <v>Packaging</v>
          </cell>
        </row>
        <row r="763">
          <cell r="A763" t="str">
            <v>Prohibited Additives / Product</v>
          </cell>
        </row>
        <row r="764">
          <cell r="A764" t="str">
            <v>Contaminants</v>
          </cell>
        </row>
        <row r="765">
          <cell r="A765" t="str">
            <v>Mislabeled</v>
          </cell>
        </row>
        <row r="766">
          <cell r="A766" t="str">
            <v>Microbial Contamination</v>
          </cell>
        </row>
        <row r="767">
          <cell r="A767" t="str">
            <v>Microbial Contamination</v>
          </cell>
        </row>
        <row r="768">
          <cell r="A768" t="str">
            <v>Microbial Contamination</v>
          </cell>
        </row>
        <row r="769">
          <cell r="A769" t="str">
            <v>Prohibited Additives / Product</v>
          </cell>
        </row>
        <row r="770">
          <cell r="A770" t="str">
            <v>Contaminants</v>
          </cell>
        </row>
        <row r="771">
          <cell r="A771" t="str">
            <v>Heavy Metals</v>
          </cell>
        </row>
        <row r="772">
          <cell r="A772" t="str">
            <v>Heavy Metals</v>
          </cell>
        </row>
        <row r="773">
          <cell r="A773" t="str">
            <v>Microbial Contamination</v>
          </cell>
        </row>
        <row r="774">
          <cell r="A774" t="str">
            <v>Pesticides</v>
          </cell>
        </row>
        <row r="775">
          <cell r="A775" t="str">
            <v>Inaccurate THC</v>
          </cell>
        </row>
        <row r="776">
          <cell r="A776" t="str">
            <v>Pesticides</v>
          </cell>
        </row>
        <row r="777">
          <cell r="A777" t="str">
            <v>Pesticides</v>
          </cell>
        </row>
        <row r="778">
          <cell r="A778" t="str">
            <v>Microbial Contamination</v>
          </cell>
        </row>
        <row r="779">
          <cell r="A779" t="str">
            <v>Microbial Contamination</v>
          </cell>
        </row>
        <row r="780">
          <cell r="A780" t="str">
            <v>Mislabeled</v>
          </cell>
        </row>
        <row r="781">
          <cell r="A781" t="str">
            <v>Microbial Contamination</v>
          </cell>
        </row>
        <row r="782">
          <cell r="A782" t="str">
            <v>Mislabeled</v>
          </cell>
        </row>
        <row r="783">
          <cell r="A783" t="str">
            <v>Microbial Contamination</v>
          </cell>
        </row>
        <row r="784">
          <cell r="A784" t="str">
            <v>Inaccurate THC</v>
          </cell>
        </row>
        <row r="785">
          <cell r="A785" t="str">
            <v>Multiple</v>
          </cell>
        </row>
        <row r="786">
          <cell r="A786" t="str">
            <v>Mislabeled</v>
          </cell>
        </row>
        <row r="787">
          <cell r="A787" t="str">
            <v>Inaccurate THC</v>
          </cell>
        </row>
        <row r="788">
          <cell r="A788" t="str">
            <v>Multiple</v>
          </cell>
        </row>
        <row r="789">
          <cell r="A789" t="str">
            <v>Inaccurate THC</v>
          </cell>
        </row>
        <row r="790">
          <cell r="A790" t="str">
            <v>Multiple</v>
          </cell>
        </row>
        <row r="791">
          <cell r="A791" t="str">
            <v>Packaging</v>
          </cell>
        </row>
        <row r="792">
          <cell r="A792" t="str">
            <v>Multiple</v>
          </cell>
        </row>
        <row r="793">
          <cell r="A793" t="str">
            <v>Packaging</v>
          </cell>
        </row>
        <row r="794">
          <cell r="A794" t="str">
            <v>Microbial Contamination</v>
          </cell>
        </row>
        <row r="795">
          <cell r="A795" t="str">
            <v>Microbial Contamination</v>
          </cell>
        </row>
        <row r="796">
          <cell r="A796" t="str">
            <v>Microbial Contamination</v>
          </cell>
        </row>
        <row r="797">
          <cell r="A797" t="str">
            <v>Microbial Contamination</v>
          </cell>
        </row>
        <row r="798">
          <cell r="A798" t="str">
            <v>Pesticides</v>
          </cell>
        </row>
        <row r="799">
          <cell r="A799" t="str">
            <v>Packaging</v>
          </cell>
        </row>
        <row r="800">
          <cell r="A800" t="str">
            <v>Pesticides</v>
          </cell>
        </row>
        <row r="801">
          <cell r="A801" t="str">
            <v>Pesticides</v>
          </cell>
        </row>
        <row r="802">
          <cell r="A802" t="str">
            <v>Multiple</v>
          </cell>
        </row>
        <row r="803">
          <cell r="A803" t="str">
            <v>Microbial Contamination</v>
          </cell>
        </row>
        <row r="804">
          <cell r="A804" t="str">
            <v>Multiple</v>
          </cell>
        </row>
        <row r="805">
          <cell r="A805" t="str">
            <v>Pesticides</v>
          </cell>
        </row>
        <row r="806">
          <cell r="A806" t="str">
            <v>Prohibited Additives / Product</v>
          </cell>
        </row>
        <row r="807">
          <cell r="A807" t="str">
            <v>Mislabeled</v>
          </cell>
        </row>
        <row r="808">
          <cell r="A808" t="str">
            <v>Heavy Metals</v>
          </cell>
        </row>
        <row r="809">
          <cell r="A809" t="str">
            <v>Pesticides</v>
          </cell>
        </row>
        <row r="810">
          <cell r="A810" t="str">
            <v>Prohibited Additives / Product</v>
          </cell>
        </row>
        <row r="811">
          <cell r="A811" t="str">
            <v>Pesticides</v>
          </cell>
        </row>
        <row r="812">
          <cell r="A812" t="str">
            <v>Multiple</v>
          </cell>
        </row>
        <row r="813">
          <cell r="A813" t="str">
            <v>Solvent</v>
          </cell>
        </row>
        <row r="814">
          <cell r="A814" t="str">
            <v>Multiple</v>
          </cell>
        </row>
        <row r="815">
          <cell r="A815" t="str">
            <v>Lab Issue</v>
          </cell>
        </row>
        <row r="816">
          <cell r="A816" t="str">
            <v>Microbial Contamination</v>
          </cell>
        </row>
        <row r="817">
          <cell r="A817" t="str">
            <v>Lab Issue</v>
          </cell>
        </row>
        <row r="818">
          <cell r="A818" t="str">
            <v>Mislabeled</v>
          </cell>
        </row>
        <row r="819">
          <cell r="A819" t="str">
            <v>Lab Issue</v>
          </cell>
        </row>
        <row r="820">
          <cell r="A820" t="str">
            <v>Multiple</v>
          </cell>
        </row>
        <row r="821">
          <cell r="A821" t="str">
            <v>Microbial Contamination</v>
          </cell>
        </row>
        <row r="822">
          <cell r="A822" t="str">
            <v>Multiple</v>
          </cell>
        </row>
        <row r="823">
          <cell r="A823" t="str">
            <v>Microbial Contamination</v>
          </cell>
        </row>
        <row r="824">
          <cell r="A824" t="str">
            <v>Microbial Contamination</v>
          </cell>
        </row>
        <row r="825">
          <cell r="A825" t="str">
            <v>Lab Issue</v>
          </cell>
        </row>
        <row r="826">
          <cell r="A826" t="str">
            <v>Multiple</v>
          </cell>
        </row>
        <row r="827">
          <cell r="A827" t="str">
            <v>Mislabeled</v>
          </cell>
        </row>
        <row r="828">
          <cell r="A828" t="str">
            <v>Multiple</v>
          </cell>
        </row>
        <row r="829">
          <cell r="A829" t="str">
            <v>Multiple</v>
          </cell>
        </row>
        <row r="830">
          <cell r="A830" t="str">
            <v>Mislabeled</v>
          </cell>
        </row>
        <row r="831">
          <cell r="A831" t="str">
            <v>Multiple</v>
          </cell>
        </row>
        <row r="832">
          <cell r="A832" t="str">
            <v>Microbial Contamination</v>
          </cell>
        </row>
        <row r="833">
          <cell r="A833" t="str">
            <v>Microbial Contamination</v>
          </cell>
        </row>
        <row r="834">
          <cell r="A834" t="str">
            <v>Microbial Contamination</v>
          </cell>
        </row>
        <row r="835">
          <cell r="A835" t="str">
            <v>Mislabeled</v>
          </cell>
        </row>
        <row r="836">
          <cell r="A836" t="str">
            <v>Prohibited Additives / Product</v>
          </cell>
        </row>
        <row r="837">
          <cell r="A837" t="str">
            <v>Prohibited Additives / Product</v>
          </cell>
        </row>
        <row r="838">
          <cell r="A838" t="str">
            <v>Pesticides</v>
          </cell>
        </row>
        <row r="839">
          <cell r="A839" t="str">
            <v>Multiple</v>
          </cell>
        </row>
        <row r="840">
          <cell r="A840" t="str">
            <v>Multiple</v>
          </cell>
        </row>
        <row r="841">
          <cell r="A841" t="str">
            <v>Other</v>
          </cell>
        </row>
        <row r="842">
          <cell r="A842" t="str">
            <v>Other</v>
          </cell>
        </row>
        <row r="843">
          <cell r="A843" t="str">
            <v>Multiple</v>
          </cell>
        </row>
        <row r="844">
          <cell r="A844" t="str">
            <v>Inaccurate THC</v>
          </cell>
        </row>
        <row r="845">
          <cell r="A845" t="str">
            <v>Multiple</v>
          </cell>
        </row>
        <row r="846">
          <cell r="A846" t="str">
            <v>Microbial Contamination</v>
          </cell>
        </row>
        <row r="847">
          <cell r="A847" t="str">
            <v>Multiple</v>
          </cell>
        </row>
        <row r="848">
          <cell r="A848" t="str">
            <v>Pesticides</v>
          </cell>
        </row>
        <row r="849">
          <cell r="A849" t="str">
            <v>Pesticides</v>
          </cell>
        </row>
        <row r="850">
          <cell r="A850" t="str">
            <v>Pesticides</v>
          </cell>
        </row>
        <row r="851">
          <cell r="A851" t="str">
            <v>Multiple</v>
          </cell>
        </row>
        <row r="852">
          <cell r="A852" t="str">
            <v>Heavy Metals</v>
          </cell>
        </row>
        <row r="853">
          <cell r="A853" t="str">
            <v>Multiple</v>
          </cell>
        </row>
        <row r="854">
          <cell r="A854" t="str">
            <v>Pesticides</v>
          </cell>
        </row>
        <row r="855">
          <cell r="A855" t="str">
            <v>Pesticides</v>
          </cell>
        </row>
        <row r="856">
          <cell r="A856" t="str">
            <v>Pesticides</v>
          </cell>
        </row>
        <row r="857">
          <cell r="A857" t="str">
            <v>Pesticides</v>
          </cell>
        </row>
        <row r="858">
          <cell r="A858" t="str">
            <v>Microbial Contamination</v>
          </cell>
        </row>
        <row r="859">
          <cell r="A859" t="str">
            <v>Multiple</v>
          </cell>
        </row>
        <row r="860">
          <cell r="A860" t="str">
            <v>Microbial Contamination</v>
          </cell>
        </row>
        <row r="861">
          <cell r="A861" t="str">
            <v>Multiple</v>
          </cell>
        </row>
        <row r="862">
          <cell r="A862" t="str">
            <v>Reason Not Given</v>
          </cell>
        </row>
        <row r="863">
          <cell r="A863" t="str">
            <v>Multiple</v>
          </cell>
        </row>
        <row r="864">
          <cell r="A864" t="str">
            <v>Pesticides</v>
          </cell>
        </row>
        <row r="865">
          <cell r="A865" t="str">
            <v>Pesticides</v>
          </cell>
        </row>
        <row r="866">
          <cell r="A866" t="str">
            <v>Microbial Contamination</v>
          </cell>
        </row>
        <row r="867">
          <cell r="A867" t="str">
            <v>Microbial Contamination</v>
          </cell>
        </row>
        <row r="868">
          <cell r="A868" t="str">
            <v>Lab Issue</v>
          </cell>
        </row>
        <row r="869">
          <cell r="A869" t="str">
            <v>Prohibited Additives / Product</v>
          </cell>
        </row>
        <row r="870">
          <cell r="A870" t="str">
            <v>Prohibited Additives / Product</v>
          </cell>
        </row>
        <row r="871">
          <cell r="A871" t="str">
            <v>Prohibited Additives / Product</v>
          </cell>
        </row>
        <row r="872">
          <cell r="A872" t="str">
            <v>Prohibited Additives / Product</v>
          </cell>
        </row>
        <row r="873">
          <cell r="A873" t="str">
            <v>Lab Issue</v>
          </cell>
        </row>
        <row r="874">
          <cell r="A874" t="str">
            <v>Prohibited Additives / Product</v>
          </cell>
        </row>
        <row r="875">
          <cell r="A875" t="str">
            <v>Lab Issue</v>
          </cell>
        </row>
        <row r="876">
          <cell r="A876" t="str">
            <v>Lab Issue</v>
          </cell>
        </row>
        <row r="877">
          <cell r="A877" t="str">
            <v>Prohibited Additives / Product</v>
          </cell>
        </row>
        <row r="878">
          <cell r="A878" t="str">
            <v>Pesticides</v>
          </cell>
        </row>
        <row r="879">
          <cell r="A879" t="str">
            <v>Multiple</v>
          </cell>
        </row>
        <row r="880">
          <cell r="A880" t="str">
            <v>Pesticides</v>
          </cell>
        </row>
        <row r="881">
          <cell r="A881" t="str">
            <v>Contaminants</v>
          </cell>
        </row>
        <row r="882">
          <cell r="A882" t="str">
            <v>Prohibited Additives / Product</v>
          </cell>
        </row>
        <row r="883">
          <cell r="A883" t="str">
            <v>Pesticides</v>
          </cell>
        </row>
        <row r="884">
          <cell r="A884" t="str">
            <v>Pesticides</v>
          </cell>
        </row>
        <row r="885">
          <cell r="A885" t="str">
            <v>Pesticides</v>
          </cell>
        </row>
        <row r="886">
          <cell r="A886" t="str">
            <v>Pesticides</v>
          </cell>
        </row>
        <row r="887">
          <cell r="A887" t="str">
            <v>Mislabeled</v>
          </cell>
        </row>
        <row r="888">
          <cell r="A888" t="str">
            <v>Multiple</v>
          </cell>
        </row>
        <row r="889">
          <cell r="A889" t="str">
            <v>Packaging</v>
          </cell>
        </row>
        <row r="890">
          <cell r="A890" t="str">
            <v>Multiple</v>
          </cell>
        </row>
        <row r="891">
          <cell r="A891" t="str">
            <v>Pesticides</v>
          </cell>
        </row>
        <row r="892">
          <cell r="A892" t="str">
            <v>Heavy Metals</v>
          </cell>
        </row>
        <row r="893">
          <cell r="A893" t="str">
            <v>Lab Issue</v>
          </cell>
        </row>
        <row r="894">
          <cell r="A894" t="str">
            <v>Pesticides</v>
          </cell>
        </row>
        <row r="895">
          <cell r="A895" t="str">
            <v>Microbial Contamination</v>
          </cell>
        </row>
        <row r="896">
          <cell r="A896" t="str">
            <v>Other</v>
          </cell>
        </row>
        <row r="897">
          <cell r="A897" t="str">
            <v>Multiple</v>
          </cell>
        </row>
        <row r="898">
          <cell r="A898" t="str">
            <v>Prohibited Additives / Product</v>
          </cell>
        </row>
        <row r="899">
          <cell r="A899" t="str">
            <v>Pesticides</v>
          </cell>
        </row>
        <row r="900">
          <cell r="A900" t="str">
            <v>Pesticides</v>
          </cell>
        </row>
        <row r="901">
          <cell r="A901" t="str">
            <v>Pesticides</v>
          </cell>
        </row>
        <row r="902">
          <cell r="A902" t="str">
            <v>Pesticides</v>
          </cell>
        </row>
        <row r="903">
          <cell r="A903" t="str">
            <v>Multiple</v>
          </cell>
        </row>
        <row r="904">
          <cell r="A904" t="str">
            <v>Pesticides</v>
          </cell>
        </row>
        <row r="905">
          <cell r="A905" t="str">
            <v>Multiple</v>
          </cell>
        </row>
        <row r="906">
          <cell r="A906" t="str">
            <v>Multiple</v>
          </cell>
        </row>
        <row r="907">
          <cell r="A907" t="str">
            <v>Pesticides</v>
          </cell>
        </row>
        <row r="908">
          <cell r="A908" t="str">
            <v>Multiple</v>
          </cell>
        </row>
        <row r="909">
          <cell r="A909" t="str">
            <v>Multiple</v>
          </cell>
        </row>
        <row r="910">
          <cell r="A910" t="str">
            <v>Mislabeled</v>
          </cell>
        </row>
        <row r="911">
          <cell r="A911" t="str">
            <v>Prohibited Additives / Product</v>
          </cell>
        </row>
        <row r="912">
          <cell r="A912" t="str">
            <v>Mislabeled</v>
          </cell>
        </row>
        <row r="913">
          <cell r="A913" t="str">
            <v>Microbial Contamination</v>
          </cell>
        </row>
        <row r="914">
          <cell r="A914" t="str">
            <v>Lab Issue</v>
          </cell>
        </row>
        <row r="915">
          <cell r="A915" t="str">
            <v>Mislabeled</v>
          </cell>
        </row>
        <row r="916">
          <cell r="A916" t="str">
            <v>Pesticides</v>
          </cell>
        </row>
        <row r="917">
          <cell r="A917" t="str">
            <v>Packaging</v>
          </cell>
        </row>
        <row r="918">
          <cell r="A918" t="str">
            <v>Prohibited Additives / Product</v>
          </cell>
        </row>
        <row r="919">
          <cell r="A919" t="str">
            <v>Pesticides</v>
          </cell>
        </row>
        <row r="920">
          <cell r="A920" t="str">
            <v>Microbial Contamination</v>
          </cell>
        </row>
        <row r="921">
          <cell r="A921" t="str">
            <v>Pesticides</v>
          </cell>
        </row>
        <row r="922">
          <cell r="A922" t="str">
            <v>Packaging</v>
          </cell>
        </row>
        <row r="923">
          <cell r="A923" t="str">
            <v>Inaccurate THC</v>
          </cell>
        </row>
        <row r="924">
          <cell r="A924" t="str">
            <v>Mislabeled</v>
          </cell>
        </row>
        <row r="925">
          <cell r="A925" t="str">
            <v>Pesticides</v>
          </cell>
        </row>
        <row r="926">
          <cell r="A926" t="str">
            <v>Lab Issue</v>
          </cell>
        </row>
        <row r="927">
          <cell r="A927" t="str">
            <v>Inaccurate THC</v>
          </cell>
        </row>
        <row r="928">
          <cell r="A928" t="str">
            <v>Pesticides</v>
          </cell>
        </row>
        <row r="929">
          <cell r="A929" t="str">
            <v>Lab Issue</v>
          </cell>
        </row>
        <row r="930">
          <cell r="A930" t="str">
            <v>Prohibited Additives / Product</v>
          </cell>
        </row>
        <row r="931">
          <cell r="A931" t="str">
            <v>Prohibited Additives / Product</v>
          </cell>
        </row>
        <row r="932">
          <cell r="A932" t="str">
            <v>Aspergillus</v>
          </cell>
        </row>
        <row r="933">
          <cell r="A933" t="str">
            <v>Solvent</v>
          </cell>
        </row>
        <row r="934">
          <cell r="A934" t="str">
            <v>Solvent</v>
          </cell>
        </row>
        <row r="935">
          <cell r="A935" t="str">
            <v>Prohibited Additives / Product</v>
          </cell>
        </row>
        <row r="936">
          <cell r="A936" t="str">
            <v>Microbial Contamination</v>
          </cell>
        </row>
        <row r="937">
          <cell r="A937" t="str">
            <v>Contaminants</v>
          </cell>
        </row>
        <row r="938">
          <cell r="A938" t="str">
            <v>Prohibited Additives / Product</v>
          </cell>
        </row>
        <row r="939">
          <cell r="A939" t="str">
            <v>Prohibited Additives / Product</v>
          </cell>
        </row>
        <row r="940">
          <cell r="A940" t="str">
            <v>Prohibited Additives / Product</v>
          </cell>
        </row>
        <row r="941">
          <cell r="A941" t="str">
            <v>Microbial Contamination</v>
          </cell>
        </row>
        <row r="942">
          <cell r="A942" t="str">
            <v>Solvent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ables/table1.xml><?xml version="1.0" encoding="utf-8"?>
<table xmlns="http://schemas.openxmlformats.org/spreadsheetml/2006/main" id="1" name="Table_1" displayName="Table_1" ref="A251:AJP256" headerRowCount="0" totalsRowCount="0" totalsRowShown="0">
  <tableColumns count="95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  <tableColumn id="157" name="Column157"/>
    <tableColumn id="158" name="Column158"/>
    <tableColumn id="159" name="Column159"/>
    <tableColumn id="160" name="Column160"/>
    <tableColumn id="161" name="Column161"/>
    <tableColumn id="162" name="Column162"/>
    <tableColumn id="163" name="Column163"/>
    <tableColumn id="164" name="Column164"/>
    <tableColumn id="165" name="Column165"/>
    <tableColumn id="166" name="Column166"/>
    <tableColumn id="167" name="Column167"/>
    <tableColumn id="168" name="Column168"/>
    <tableColumn id="169" name="Column169"/>
    <tableColumn id="170" name="Column170"/>
    <tableColumn id="171" name="Column171"/>
    <tableColumn id="172" name="Column172"/>
    <tableColumn id="173" name="Column173"/>
    <tableColumn id="174" name="Column174"/>
    <tableColumn id="175" name="Column175"/>
    <tableColumn id="176" name="Column176"/>
    <tableColumn id="177" name="Column177"/>
    <tableColumn id="178" name="Column178"/>
    <tableColumn id="179" name="Column179"/>
    <tableColumn id="180" name="Column180"/>
    <tableColumn id="181" name="Column181"/>
    <tableColumn id="182" name="Column182"/>
    <tableColumn id="183" name="Column183"/>
    <tableColumn id="184" name="Column184"/>
    <tableColumn id="185" name="Column185"/>
    <tableColumn id="186" name="Column186"/>
    <tableColumn id="187" name="Column187"/>
    <tableColumn id="188" name="Column188"/>
    <tableColumn id="189" name="Column189"/>
    <tableColumn id="190" name="Column190"/>
    <tableColumn id="191" name="Column191"/>
    <tableColumn id="192" name="Column192"/>
    <tableColumn id="193" name="Column193"/>
    <tableColumn id="194" name="Column194"/>
    <tableColumn id="195" name="Column195"/>
    <tableColumn id="196" name="Column196"/>
    <tableColumn id="197" name="Column197"/>
    <tableColumn id="198" name="Column198"/>
    <tableColumn id="199" name="Column199"/>
    <tableColumn id="200" name="Column200"/>
    <tableColumn id="201" name="Column201"/>
    <tableColumn id="202" name="Column202"/>
    <tableColumn id="203" name="Column203"/>
    <tableColumn id="204" name="Column204"/>
    <tableColumn id="205" name="Column205"/>
    <tableColumn id="206" name="Column206"/>
    <tableColumn id="207" name="Column207"/>
    <tableColumn id="208" name="Column208"/>
    <tableColumn id="209" name="Column209"/>
    <tableColumn id="210" name="Column210"/>
    <tableColumn id="211" name="Column211"/>
    <tableColumn id="212" name="Column212"/>
    <tableColumn id="213" name="Column213"/>
    <tableColumn id="214" name="Column214"/>
    <tableColumn id="215" name="Column215"/>
    <tableColumn id="216" name="Column216"/>
    <tableColumn id="217" name="Column217"/>
    <tableColumn id="218" name="Column218"/>
    <tableColumn id="219" name="Column219"/>
    <tableColumn id="220" name="Column220"/>
    <tableColumn id="221" name="Column221"/>
    <tableColumn id="222" name="Column222"/>
    <tableColumn id="223" name="Column223"/>
    <tableColumn id="224" name="Column224"/>
    <tableColumn id="225" name="Column225"/>
    <tableColumn id="226" name="Column226"/>
    <tableColumn id="227" name="Column227"/>
    <tableColumn id="228" name="Column228"/>
    <tableColumn id="229" name="Column229"/>
    <tableColumn id="230" name="Column230"/>
    <tableColumn id="231" name="Column231"/>
    <tableColumn id="232" name="Column232"/>
    <tableColumn id="233" name="Column233"/>
    <tableColumn id="234" name="Column234"/>
    <tableColumn id="235" name="Column235"/>
    <tableColumn id="236" name="Column236"/>
    <tableColumn id="237" name="Column237"/>
    <tableColumn id="238" name="Column238"/>
    <tableColumn id="239" name="Column239"/>
    <tableColumn id="240" name="Column240"/>
    <tableColumn id="241" name="Column241"/>
    <tableColumn id="242" name="Column242"/>
    <tableColumn id="243" name="Column243"/>
    <tableColumn id="244" name="Column244"/>
    <tableColumn id="245" name="Column245"/>
    <tableColumn id="246" name="Column246"/>
    <tableColumn id="247" name="Column247"/>
    <tableColumn id="248" name="Column248"/>
    <tableColumn id="249" name="Column249"/>
    <tableColumn id="250" name="Column250"/>
    <tableColumn id="251" name="Column251"/>
    <tableColumn id="252" name="Column252"/>
    <tableColumn id="253" name="Column253"/>
    <tableColumn id="254" name="Column254"/>
    <tableColumn id="255" name="Column255"/>
    <tableColumn id="256" name="Column256"/>
    <tableColumn id="257" name="Column257"/>
    <tableColumn id="258" name="Column258"/>
    <tableColumn id="259" name="Column259"/>
    <tableColumn id="260" name="Column260"/>
    <tableColumn id="261" name="Column261"/>
    <tableColumn id="262" name="Column262"/>
    <tableColumn id="263" name="Column263"/>
    <tableColumn id="264" name="Column264"/>
    <tableColumn id="265" name="Column265"/>
    <tableColumn id="266" name="Column266"/>
    <tableColumn id="267" name="Column267"/>
    <tableColumn id="268" name="Column268"/>
    <tableColumn id="269" name="Column269"/>
    <tableColumn id="270" name="Column270"/>
    <tableColumn id="271" name="Column271"/>
    <tableColumn id="272" name="Column272"/>
    <tableColumn id="273" name="Column273"/>
    <tableColumn id="274" name="Column274"/>
    <tableColumn id="275" name="Column275"/>
    <tableColumn id="276" name="Column276"/>
    <tableColumn id="277" name="Column277"/>
    <tableColumn id="278" name="Column278"/>
    <tableColumn id="279" name="Column279"/>
    <tableColumn id="280" name="Column280"/>
    <tableColumn id="281" name="Column281"/>
    <tableColumn id="282" name="Column282"/>
    <tableColumn id="283" name="Column283"/>
    <tableColumn id="284" name="Column284"/>
    <tableColumn id="285" name="Column285"/>
    <tableColumn id="286" name="Column286"/>
    <tableColumn id="287" name="Column287"/>
    <tableColumn id="288" name="Column288"/>
    <tableColumn id="289" name="Column289"/>
    <tableColumn id="290" name="Column290"/>
    <tableColumn id="291" name="Column291"/>
    <tableColumn id="292" name="Column292"/>
    <tableColumn id="293" name="Column293"/>
    <tableColumn id="294" name="Column294"/>
    <tableColumn id="295" name="Column295"/>
    <tableColumn id="296" name="Column296"/>
    <tableColumn id="297" name="Column297"/>
    <tableColumn id="298" name="Column298"/>
    <tableColumn id="299" name="Column299"/>
    <tableColumn id="300" name="Column300"/>
    <tableColumn id="301" name="Column301"/>
    <tableColumn id="302" name="Column302"/>
    <tableColumn id="303" name="Column303"/>
    <tableColumn id="304" name="Column304"/>
    <tableColumn id="305" name="Column305"/>
    <tableColumn id="306" name="Column306"/>
    <tableColumn id="307" name="Column307"/>
    <tableColumn id="308" name="Column308"/>
    <tableColumn id="309" name="Column309"/>
    <tableColumn id="310" name="Column310"/>
    <tableColumn id="311" name="Column311"/>
    <tableColumn id="312" name="Column312"/>
    <tableColumn id="313" name="Column313"/>
    <tableColumn id="314" name="Column314"/>
    <tableColumn id="315" name="Column315"/>
    <tableColumn id="316" name="Column316"/>
    <tableColumn id="317" name="Column317"/>
    <tableColumn id="318" name="Column318"/>
    <tableColumn id="319" name="Column319"/>
    <tableColumn id="320" name="Column320"/>
    <tableColumn id="321" name="Column321"/>
    <tableColumn id="322" name="Column322"/>
    <tableColumn id="323" name="Column323"/>
    <tableColumn id="324" name="Column324"/>
    <tableColumn id="325" name="Column325"/>
    <tableColumn id="326" name="Column326"/>
    <tableColumn id="327" name="Column327"/>
    <tableColumn id="328" name="Column328"/>
    <tableColumn id="329" name="Column329"/>
    <tableColumn id="330" name="Column330"/>
    <tableColumn id="331" name="Column331"/>
    <tableColumn id="332" name="Column332"/>
    <tableColumn id="333" name="Column333"/>
    <tableColumn id="334" name="Column334"/>
    <tableColumn id="335" name="Column335"/>
    <tableColumn id="336" name="Column336"/>
    <tableColumn id="337" name="Column337"/>
    <tableColumn id="338" name="Column338"/>
    <tableColumn id="339" name="Column339"/>
    <tableColumn id="340" name="Column340"/>
    <tableColumn id="341" name="Column341"/>
    <tableColumn id="342" name="Column342"/>
    <tableColumn id="343" name="Column343"/>
    <tableColumn id="344" name="Column344"/>
    <tableColumn id="345" name="Column345"/>
    <tableColumn id="346" name="Column346"/>
    <tableColumn id="347" name="Column347"/>
    <tableColumn id="348" name="Column348"/>
    <tableColumn id="349" name="Column349"/>
    <tableColumn id="350" name="Column350"/>
    <tableColumn id="351" name="Column351"/>
    <tableColumn id="352" name="Column352"/>
    <tableColumn id="353" name="Column353"/>
    <tableColumn id="354" name="Column354"/>
    <tableColumn id="355" name="Column355"/>
    <tableColumn id="356" name="Column356"/>
    <tableColumn id="357" name="Column357"/>
    <tableColumn id="358" name="Column358"/>
    <tableColumn id="359" name="Column359"/>
    <tableColumn id="360" name="Column360"/>
    <tableColumn id="361" name="Column361"/>
    <tableColumn id="362" name="Column362"/>
    <tableColumn id="363" name="Column363"/>
    <tableColumn id="364" name="Column364"/>
    <tableColumn id="365" name="Column365"/>
    <tableColumn id="366" name="Column366"/>
    <tableColumn id="367" name="Column367"/>
    <tableColumn id="368" name="Column368"/>
    <tableColumn id="369" name="Column369"/>
    <tableColumn id="370" name="Column370"/>
    <tableColumn id="371" name="Column371"/>
    <tableColumn id="372" name="Column372"/>
    <tableColumn id="373" name="Column373"/>
    <tableColumn id="374" name="Column374"/>
    <tableColumn id="375" name="Column375"/>
    <tableColumn id="376" name="Column376"/>
    <tableColumn id="377" name="Column377"/>
    <tableColumn id="378" name="Column378"/>
    <tableColumn id="379" name="Column379"/>
    <tableColumn id="380" name="Column380"/>
    <tableColumn id="381" name="Column381"/>
    <tableColumn id="382" name="Column382"/>
    <tableColumn id="383" name="Column383"/>
    <tableColumn id="384" name="Column384"/>
    <tableColumn id="385" name="Column385"/>
    <tableColumn id="386" name="Column386"/>
    <tableColumn id="387" name="Column387"/>
    <tableColumn id="388" name="Column388"/>
    <tableColumn id="389" name="Column389"/>
    <tableColumn id="390" name="Column390"/>
    <tableColumn id="391" name="Column391"/>
    <tableColumn id="392" name="Column392"/>
    <tableColumn id="393" name="Column393"/>
    <tableColumn id="394" name="Column394"/>
    <tableColumn id="395" name="Column395"/>
    <tableColumn id="396" name="Column396"/>
    <tableColumn id="397" name="Column397"/>
    <tableColumn id="398" name="Column398"/>
    <tableColumn id="399" name="Column399"/>
    <tableColumn id="400" name="Column400"/>
    <tableColumn id="401" name="Column401"/>
    <tableColumn id="402" name="Column402"/>
    <tableColumn id="403" name="Column403"/>
    <tableColumn id="404" name="Column404"/>
    <tableColumn id="405" name="Column405"/>
    <tableColumn id="406" name="Column406"/>
    <tableColumn id="407" name="Column407"/>
    <tableColumn id="408" name="Column408"/>
    <tableColumn id="409" name="Column409"/>
    <tableColumn id="410" name="Column410"/>
    <tableColumn id="411" name="Column411"/>
    <tableColumn id="412" name="Column412"/>
    <tableColumn id="413" name="Column413"/>
    <tableColumn id="414" name="Column414"/>
    <tableColumn id="415" name="Column415"/>
    <tableColumn id="416" name="Column416"/>
    <tableColumn id="417" name="Column417"/>
    <tableColumn id="418" name="Column418"/>
    <tableColumn id="419" name="Column419"/>
    <tableColumn id="420" name="Column420"/>
    <tableColumn id="421" name="Column421"/>
    <tableColumn id="422" name="Column422"/>
    <tableColumn id="423" name="Column423"/>
    <tableColumn id="424" name="Column424"/>
    <tableColumn id="425" name="Column425"/>
    <tableColumn id="426" name="Column426"/>
    <tableColumn id="427" name="Column427"/>
    <tableColumn id="428" name="Column428"/>
    <tableColumn id="429" name="Column429"/>
    <tableColumn id="430" name="Column430"/>
    <tableColumn id="431" name="Column431"/>
    <tableColumn id="432" name="Column432"/>
    <tableColumn id="433" name="Column433"/>
    <tableColumn id="434" name="Column434"/>
    <tableColumn id="435" name="Column435"/>
    <tableColumn id="436" name="Column436"/>
    <tableColumn id="437" name="Column437"/>
    <tableColumn id="438" name="Column438"/>
    <tableColumn id="439" name="Column439"/>
    <tableColumn id="440" name="Column440"/>
    <tableColumn id="441" name="Column441"/>
    <tableColumn id="442" name="Column442"/>
    <tableColumn id="443" name="Column443"/>
    <tableColumn id="444" name="Column444"/>
    <tableColumn id="445" name="Column445"/>
    <tableColumn id="446" name="Column446"/>
    <tableColumn id="447" name="Column447"/>
    <tableColumn id="448" name="Column448"/>
    <tableColumn id="449" name="Column449"/>
    <tableColumn id="450" name="Column450"/>
    <tableColumn id="451" name="Column451"/>
    <tableColumn id="452" name="Column452"/>
    <tableColumn id="453" name="Column453"/>
    <tableColumn id="454" name="Column454"/>
    <tableColumn id="455" name="Column455"/>
    <tableColumn id="456" name="Column456"/>
    <tableColumn id="457" name="Column457"/>
    <tableColumn id="458" name="Column458"/>
    <tableColumn id="459" name="Column459"/>
    <tableColumn id="460" name="Column460"/>
    <tableColumn id="461" name="Column461"/>
    <tableColumn id="462" name="Column462"/>
    <tableColumn id="463" name="Column463"/>
    <tableColumn id="464" name="Column464"/>
    <tableColumn id="465" name="Column465"/>
    <tableColumn id="466" name="Column466"/>
    <tableColumn id="467" name="Column467"/>
    <tableColumn id="468" name="Column468"/>
    <tableColumn id="469" name="Column469"/>
    <tableColumn id="470" name="Column470"/>
    <tableColumn id="471" name="Column471"/>
    <tableColumn id="472" name="Column472"/>
    <tableColumn id="473" name="Column473"/>
    <tableColumn id="474" name="Column474"/>
    <tableColumn id="475" name="Column475"/>
    <tableColumn id="476" name="Column476"/>
    <tableColumn id="477" name="Column477"/>
    <tableColumn id="478" name="Column478"/>
    <tableColumn id="479" name="Column479"/>
    <tableColumn id="480" name="Column480"/>
    <tableColumn id="481" name="Column481"/>
    <tableColumn id="482" name="Column482"/>
    <tableColumn id="483" name="Column483"/>
    <tableColumn id="484" name="Column484"/>
    <tableColumn id="485" name="Column485"/>
    <tableColumn id="486" name="Column486"/>
    <tableColumn id="487" name="Column487"/>
    <tableColumn id="488" name="Column488"/>
    <tableColumn id="489" name="Column489"/>
    <tableColumn id="490" name="Column490"/>
    <tableColumn id="491" name="Column491"/>
    <tableColumn id="492" name="Column492"/>
    <tableColumn id="493" name="Column493"/>
    <tableColumn id="494" name="Column494"/>
    <tableColumn id="495" name="Column495"/>
    <tableColumn id="496" name="Column496"/>
    <tableColumn id="497" name="Column497"/>
    <tableColumn id="498" name="Column498"/>
    <tableColumn id="499" name="Column499"/>
    <tableColumn id="500" name="Column500"/>
    <tableColumn id="501" name="Column501"/>
    <tableColumn id="502" name="Column502"/>
    <tableColumn id="503" name="Column503"/>
    <tableColumn id="504" name="Column504"/>
    <tableColumn id="505" name="Column505"/>
    <tableColumn id="506" name="Column506"/>
    <tableColumn id="507" name="Column507"/>
    <tableColumn id="508" name="Column508"/>
    <tableColumn id="509" name="Column509"/>
    <tableColumn id="510" name="Column510"/>
    <tableColumn id="511" name="Column511"/>
    <tableColumn id="512" name="Column512"/>
    <tableColumn id="513" name="Column513"/>
    <tableColumn id="514" name="Column514"/>
    <tableColumn id="515" name="Column515"/>
    <tableColumn id="516" name="Column516"/>
    <tableColumn id="517" name="Column517"/>
    <tableColumn id="518" name="Column518"/>
    <tableColumn id="519" name="Column519"/>
    <tableColumn id="520" name="Column520"/>
    <tableColumn id="521" name="Column521"/>
    <tableColumn id="522" name="Column522"/>
    <tableColumn id="523" name="Column523"/>
    <tableColumn id="524" name="Column524"/>
    <tableColumn id="525" name="Column525"/>
    <tableColumn id="526" name="Column526"/>
    <tableColumn id="527" name="Column527"/>
    <tableColumn id="528" name="Column528"/>
    <tableColumn id="529" name="Column529"/>
    <tableColumn id="530" name="Column530"/>
    <tableColumn id="531" name="Column531"/>
    <tableColumn id="532" name="Column532"/>
    <tableColumn id="533" name="Column533"/>
    <tableColumn id="534" name="Column534"/>
    <tableColumn id="535" name="Column535"/>
    <tableColumn id="536" name="Column536"/>
    <tableColumn id="537" name="Column537"/>
    <tableColumn id="538" name="Column538"/>
    <tableColumn id="539" name="Column539"/>
    <tableColumn id="540" name="Column540"/>
    <tableColumn id="541" name="Column541"/>
    <tableColumn id="542" name="Column542"/>
    <tableColumn id="543" name="Column543"/>
    <tableColumn id="544" name="Column544"/>
    <tableColumn id="545" name="Column545"/>
    <tableColumn id="546" name="Column546"/>
    <tableColumn id="547" name="Column547"/>
    <tableColumn id="548" name="Column548"/>
    <tableColumn id="549" name="Column549"/>
    <tableColumn id="550" name="Column550"/>
    <tableColumn id="551" name="Column551"/>
    <tableColumn id="552" name="Column552"/>
    <tableColumn id="553" name="Column553"/>
    <tableColumn id="554" name="Column554"/>
    <tableColumn id="555" name="Column555"/>
    <tableColumn id="556" name="Column556"/>
    <tableColumn id="557" name="Column557"/>
    <tableColumn id="558" name="Column558"/>
    <tableColumn id="559" name="Column559"/>
    <tableColumn id="560" name="Column560"/>
    <tableColumn id="561" name="Column561"/>
    <tableColumn id="562" name="Column562"/>
    <tableColumn id="563" name="Column563"/>
    <tableColumn id="564" name="Column564"/>
    <tableColumn id="565" name="Column565"/>
    <tableColumn id="566" name="Column566"/>
    <tableColumn id="567" name="Column567"/>
    <tableColumn id="568" name="Column568"/>
    <tableColumn id="569" name="Column569"/>
    <tableColumn id="570" name="Column570"/>
    <tableColumn id="571" name="Column571"/>
    <tableColumn id="572" name="Column572"/>
    <tableColumn id="573" name="Column573"/>
    <tableColumn id="574" name="Column574"/>
    <tableColumn id="575" name="Column575"/>
    <tableColumn id="576" name="Column576"/>
    <tableColumn id="577" name="Column577"/>
    <tableColumn id="578" name="Column578"/>
    <tableColumn id="579" name="Column579"/>
    <tableColumn id="580" name="Column580"/>
    <tableColumn id="581" name="Column581"/>
    <tableColumn id="582" name="Column582"/>
    <tableColumn id="583" name="Column583"/>
    <tableColumn id="584" name="Column584"/>
    <tableColumn id="585" name="Column585"/>
    <tableColumn id="586" name="Column586"/>
    <tableColumn id="587" name="Column587"/>
    <tableColumn id="588" name="Column588"/>
    <tableColumn id="589" name="Column589"/>
    <tableColumn id="590" name="Column590"/>
    <tableColumn id="591" name="Column591"/>
    <tableColumn id="592" name="Column592"/>
    <tableColumn id="593" name="Column593"/>
    <tableColumn id="594" name="Column594"/>
    <tableColumn id="595" name="Column595"/>
    <tableColumn id="596" name="Column596"/>
    <tableColumn id="597" name="Column597"/>
    <tableColumn id="598" name="Column598"/>
    <tableColumn id="599" name="Column599"/>
    <tableColumn id="600" name="Column600"/>
    <tableColumn id="601" name="Column601"/>
    <tableColumn id="602" name="Column602"/>
    <tableColumn id="603" name="Column603"/>
    <tableColumn id="604" name="Column604"/>
    <tableColumn id="605" name="Column605"/>
    <tableColumn id="606" name="Column606"/>
    <tableColumn id="607" name="Column607"/>
    <tableColumn id="608" name="Column608"/>
    <tableColumn id="609" name="Column609"/>
    <tableColumn id="610" name="Column610"/>
    <tableColumn id="611" name="Column611"/>
    <tableColumn id="612" name="Column612"/>
    <tableColumn id="613" name="Column613"/>
    <tableColumn id="614" name="Column614"/>
    <tableColumn id="615" name="Column615"/>
    <tableColumn id="616" name="Column616"/>
    <tableColumn id="617" name="Column617"/>
    <tableColumn id="618" name="Column618"/>
    <tableColumn id="619" name="Column619"/>
    <tableColumn id="620" name="Column620"/>
    <tableColumn id="621" name="Column621"/>
    <tableColumn id="622" name="Column622"/>
    <tableColumn id="623" name="Column623"/>
    <tableColumn id="624" name="Column624"/>
    <tableColumn id="625" name="Column625"/>
    <tableColumn id="626" name="Column626"/>
    <tableColumn id="627" name="Column627"/>
    <tableColumn id="628" name="Column628"/>
    <tableColumn id="629" name="Column629"/>
    <tableColumn id="630" name="Column630"/>
    <tableColumn id="631" name="Column631"/>
    <tableColumn id="632" name="Column632"/>
    <tableColumn id="633" name="Column633"/>
    <tableColumn id="634" name="Column634"/>
    <tableColumn id="635" name="Column635"/>
    <tableColumn id="636" name="Column636"/>
    <tableColumn id="637" name="Column637"/>
    <tableColumn id="638" name="Column638"/>
    <tableColumn id="639" name="Column639"/>
    <tableColumn id="640" name="Column640"/>
    <tableColumn id="641" name="Column641"/>
    <tableColumn id="642" name="Column642"/>
    <tableColumn id="643" name="Column643"/>
    <tableColumn id="644" name="Column644"/>
    <tableColumn id="645" name="Column645"/>
    <tableColumn id="646" name="Column646"/>
    <tableColumn id="647" name="Column647"/>
    <tableColumn id="648" name="Column648"/>
    <tableColumn id="649" name="Column649"/>
    <tableColumn id="650" name="Column650"/>
    <tableColumn id="651" name="Column651"/>
    <tableColumn id="652" name="Column652"/>
    <tableColumn id="653" name="Column653"/>
    <tableColumn id="654" name="Column654"/>
    <tableColumn id="655" name="Column655"/>
    <tableColumn id="656" name="Column656"/>
    <tableColumn id="657" name="Column657"/>
    <tableColumn id="658" name="Column658"/>
    <tableColumn id="659" name="Column659"/>
    <tableColumn id="660" name="Column660"/>
    <tableColumn id="661" name="Column661"/>
    <tableColumn id="662" name="Column662"/>
    <tableColumn id="663" name="Column663"/>
    <tableColumn id="664" name="Column664"/>
    <tableColumn id="665" name="Column665"/>
    <tableColumn id="666" name="Column666"/>
    <tableColumn id="667" name="Column667"/>
    <tableColumn id="668" name="Column668"/>
    <tableColumn id="669" name="Column669"/>
    <tableColumn id="670" name="Column670"/>
    <tableColumn id="671" name="Column671"/>
    <tableColumn id="672" name="Column672"/>
    <tableColumn id="673" name="Column673"/>
    <tableColumn id="674" name="Column674"/>
    <tableColumn id="675" name="Column675"/>
    <tableColumn id="676" name="Column676"/>
    <tableColumn id="677" name="Column677"/>
    <tableColumn id="678" name="Column678"/>
    <tableColumn id="679" name="Column679"/>
    <tableColumn id="680" name="Column680"/>
    <tableColumn id="681" name="Column681"/>
    <tableColumn id="682" name="Column682"/>
    <tableColumn id="683" name="Column683"/>
    <tableColumn id="684" name="Column684"/>
    <tableColumn id="685" name="Column685"/>
    <tableColumn id="686" name="Column686"/>
    <tableColumn id="687" name="Column687"/>
    <tableColumn id="688" name="Column688"/>
    <tableColumn id="689" name="Column689"/>
    <tableColumn id="690" name="Column690"/>
    <tableColumn id="691" name="Column691"/>
    <tableColumn id="692" name="Column692"/>
    <tableColumn id="693" name="Column693"/>
    <tableColumn id="694" name="Column694"/>
    <tableColumn id="695" name="Column695"/>
    <tableColumn id="696" name="Column696"/>
    <tableColumn id="697" name="Column697"/>
    <tableColumn id="698" name="Column698"/>
    <tableColumn id="699" name="Column699"/>
    <tableColumn id="700" name="Column700"/>
    <tableColumn id="701" name="Column701"/>
    <tableColumn id="702" name="Column702"/>
    <tableColumn id="703" name="Column703"/>
    <tableColumn id="704" name="Column704"/>
    <tableColumn id="705" name="Column705"/>
    <tableColumn id="706" name="Column706"/>
    <tableColumn id="707" name="Column707"/>
    <tableColumn id="708" name="Column708"/>
    <tableColumn id="709" name="Column709"/>
    <tableColumn id="710" name="Column710"/>
    <tableColumn id="711" name="Column711"/>
    <tableColumn id="712" name="Column712"/>
    <tableColumn id="713" name="Column713"/>
    <tableColumn id="714" name="Column714"/>
    <tableColumn id="715" name="Column715"/>
    <tableColumn id="716" name="Column716"/>
    <tableColumn id="717" name="Column717"/>
    <tableColumn id="718" name="Column718"/>
    <tableColumn id="719" name="Column719"/>
    <tableColumn id="720" name="Column720"/>
    <tableColumn id="721" name="Column721"/>
    <tableColumn id="722" name="Column722"/>
    <tableColumn id="723" name="Column723"/>
    <tableColumn id="724" name="Column724"/>
    <tableColumn id="725" name="Column725"/>
    <tableColumn id="726" name="Column726"/>
    <tableColumn id="727" name="Column727"/>
    <tableColumn id="728" name="Column728"/>
    <tableColumn id="729" name="Column729"/>
    <tableColumn id="730" name="Column730"/>
    <tableColumn id="731" name="Column731"/>
    <tableColumn id="732" name="Column732"/>
    <tableColumn id="733" name="Column733"/>
    <tableColumn id="734" name="Column734"/>
    <tableColumn id="735" name="Column735"/>
    <tableColumn id="736" name="Column736"/>
    <tableColumn id="737" name="Column737"/>
    <tableColumn id="738" name="Column738"/>
    <tableColumn id="739" name="Column739"/>
    <tableColumn id="740" name="Column740"/>
    <tableColumn id="741" name="Column741"/>
    <tableColumn id="742" name="Column742"/>
    <tableColumn id="743" name="Column743"/>
    <tableColumn id="744" name="Column744"/>
    <tableColumn id="745" name="Column745"/>
    <tableColumn id="746" name="Column746"/>
    <tableColumn id="747" name="Column747"/>
    <tableColumn id="748" name="Column748"/>
    <tableColumn id="749" name="Column749"/>
    <tableColumn id="750" name="Column750"/>
    <tableColumn id="751" name="Column751"/>
    <tableColumn id="752" name="Column752"/>
    <tableColumn id="753" name="Column753"/>
    <tableColumn id="754" name="Column754"/>
    <tableColumn id="755" name="Column755"/>
    <tableColumn id="756" name="Column756"/>
    <tableColumn id="757" name="Column757"/>
    <tableColumn id="758" name="Column758"/>
    <tableColumn id="759" name="Column759"/>
    <tableColumn id="760" name="Column760"/>
    <tableColumn id="761" name="Column761"/>
    <tableColumn id="762" name="Column762"/>
    <tableColumn id="763" name="Column763"/>
    <tableColumn id="764" name="Column764"/>
    <tableColumn id="765" name="Column765"/>
    <tableColumn id="766" name="Column766"/>
    <tableColumn id="767" name="Column767"/>
    <tableColumn id="768" name="Column768"/>
    <tableColumn id="769" name="Column769"/>
    <tableColumn id="770" name="Column770"/>
    <tableColumn id="771" name="Column771"/>
    <tableColumn id="772" name="Column772"/>
    <tableColumn id="773" name="Column773"/>
    <tableColumn id="774" name="Column774"/>
    <tableColumn id="775" name="Column775"/>
    <tableColumn id="776" name="Column776"/>
    <tableColumn id="777" name="Column777"/>
    <tableColumn id="778" name="Column778"/>
    <tableColumn id="779" name="Column779"/>
    <tableColumn id="780" name="Column780"/>
    <tableColumn id="781" name="Column781"/>
    <tableColumn id="782" name="Column782"/>
    <tableColumn id="783" name="Column783"/>
    <tableColumn id="784" name="Column784"/>
    <tableColumn id="785" name="Column785"/>
    <tableColumn id="786" name="Column786"/>
    <tableColumn id="787" name="Column787"/>
    <tableColumn id="788" name="Column788"/>
    <tableColumn id="789" name="Column789"/>
    <tableColumn id="790" name="Column790"/>
    <tableColumn id="791" name="Column791"/>
    <tableColumn id="792" name="Column792"/>
    <tableColumn id="793" name="Column793"/>
    <tableColumn id="794" name="Column794"/>
    <tableColumn id="795" name="Column795"/>
    <tableColumn id="796" name="Column796"/>
    <tableColumn id="797" name="Column797"/>
    <tableColumn id="798" name="Column798"/>
    <tableColumn id="799" name="Column799"/>
    <tableColumn id="800" name="Column800"/>
    <tableColumn id="801" name="Column801"/>
    <tableColumn id="802" name="Column802"/>
    <tableColumn id="803" name="Column803"/>
    <tableColumn id="804" name="Column804"/>
    <tableColumn id="805" name="Column805"/>
    <tableColumn id="806" name="Column806"/>
    <tableColumn id="807" name="Column807"/>
    <tableColumn id="808" name="Column808"/>
    <tableColumn id="809" name="Column809"/>
    <tableColumn id="810" name="Column810"/>
    <tableColumn id="811" name="Column811"/>
    <tableColumn id="812" name="Column812"/>
    <tableColumn id="813" name="Column813"/>
    <tableColumn id="814" name="Column814"/>
    <tableColumn id="815" name="Column815"/>
    <tableColumn id="816" name="Column816"/>
    <tableColumn id="817" name="Column817"/>
    <tableColumn id="818" name="Column818"/>
    <tableColumn id="819" name="Column819"/>
    <tableColumn id="820" name="Column820"/>
    <tableColumn id="821" name="Column821"/>
    <tableColumn id="822" name="Column822"/>
    <tableColumn id="823" name="Column823"/>
    <tableColumn id="824" name="Column824"/>
    <tableColumn id="825" name="Column825"/>
    <tableColumn id="826" name="Column826"/>
    <tableColumn id="827" name="Column827"/>
    <tableColumn id="828" name="Column828"/>
    <tableColumn id="829" name="Column829"/>
    <tableColumn id="830" name="Column830"/>
    <tableColumn id="831" name="Column831"/>
    <tableColumn id="832" name="Column832"/>
    <tableColumn id="833" name="Column833"/>
    <tableColumn id="834" name="Column834"/>
    <tableColumn id="835" name="Column835"/>
    <tableColumn id="836" name="Column836"/>
    <tableColumn id="837" name="Column837"/>
    <tableColumn id="838" name="Column838"/>
    <tableColumn id="839" name="Column839"/>
    <tableColumn id="840" name="Column840"/>
    <tableColumn id="841" name="Column841"/>
    <tableColumn id="842" name="Column842"/>
    <tableColumn id="843" name="Column843"/>
    <tableColumn id="844" name="Column844"/>
    <tableColumn id="845" name="Column845"/>
    <tableColumn id="846" name="Column846"/>
    <tableColumn id="847" name="Column847"/>
    <tableColumn id="848" name="Column848"/>
    <tableColumn id="849" name="Column849"/>
    <tableColumn id="850" name="Column850"/>
    <tableColumn id="851" name="Column851"/>
    <tableColumn id="852" name="Column852"/>
    <tableColumn id="853" name="Column853"/>
    <tableColumn id="854" name="Column854"/>
    <tableColumn id="855" name="Column855"/>
    <tableColumn id="856" name="Column856"/>
    <tableColumn id="857" name="Column857"/>
    <tableColumn id="858" name="Column858"/>
    <tableColumn id="859" name="Column859"/>
    <tableColumn id="860" name="Column860"/>
    <tableColumn id="861" name="Column861"/>
    <tableColumn id="862" name="Column862"/>
    <tableColumn id="863" name="Column863"/>
    <tableColumn id="864" name="Column864"/>
    <tableColumn id="865" name="Column865"/>
    <tableColumn id="866" name="Column866"/>
    <tableColumn id="867" name="Column867"/>
    <tableColumn id="868" name="Column868"/>
    <tableColumn id="869" name="Column869"/>
    <tableColumn id="870" name="Column870"/>
    <tableColumn id="871" name="Column871"/>
    <tableColumn id="872" name="Column872"/>
    <tableColumn id="873" name="Column873"/>
    <tableColumn id="874" name="Column874"/>
    <tableColumn id="875" name="Column875"/>
    <tableColumn id="876" name="Column876"/>
    <tableColumn id="877" name="Column877"/>
    <tableColumn id="878" name="Column878"/>
    <tableColumn id="879" name="Column879"/>
    <tableColumn id="880" name="Column880"/>
    <tableColumn id="881" name="Column881"/>
    <tableColumn id="882" name="Column882"/>
    <tableColumn id="883" name="Column883"/>
    <tableColumn id="884" name="Column884"/>
    <tableColumn id="885" name="Column885"/>
    <tableColumn id="886" name="Column886"/>
    <tableColumn id="887" name="Column887"/>
    <tableColumn id="888" name="Column888"/>
    <tableColumn id="889" name="Column889"/>
    <tableColumn id="890" name="Column890"/>
    <tableColumn id="891" name="Column891"/>
    <tableColumn id="892" name="Column892"/>
    <tableColumn id="893" name="Column893"/>
    <tableColumn id="894" name="Column894"/>
    <tableColumn id="895" name="Column895"/>
    <tableColumn id="896" name="Column896"/>
    <tableColumn id="897" name="Column897"/>
    <tableColumn id="898" name="Column898"/>
    <tableColumn id="899" name="Column899"/>
    <tableColumn id="900" name="Column900"/>
    <tableColumn id="901" name="Column901"/>
    <tableColumn id="902" name="Column902"/>
    <tableColumn id="903" name="Column903"/>
    <tableColumn id="904" name="Column904"/>
    <tableColumn id="905" name="Column905"/>
    <tableColumn id="906" name="Column906"/>
    <tableColumn id="907" name="Column907"/>
    <tableColumn id="908" name="Column908"/>
    <tableColumn id="909" name="Column909"/>
    <tableColumn id="910" name="Column910"/>
    <tableColumn id="911" name="Column911"/>
    <tableColumn id="912" name="Column912"/>
    <tableColumn id="913" name="Column913"/>
    <tableColumn id="914" name="Column914"/>
    <tableColumn id="915" name="Column915"/>
    <tableColumn id="916" name="Column916"/>
    <tableColumn id="917" name="Column917"/>
    <tableColumn id="918" name="Column918"/>
    <tableColumn id="919" name="Column919"/>
    <tableColumn id="920" name="Column920"/>
    <tableColumn id="921" name="Column921"/>
    <tableColumn id="922" name="Column922"/>
    <tableColumn id="923" name="Column923"/>
    <tableColumn id="924" name="Column924"/>
    <tableColumn id="925" name="Column925"/>
    <tableColumn id="926" name="Column926"/>
    <tableColumn id="927" name="Column927"/>
    <tableColumn id="928" name="Column928"/>
    <tableColumn id="929" name="Column929"/>
    <tableColumn id="930" name="Column930"/>
    <tableColumn id="931" name="Column931"/>
    <tableColumn id="932" name="Column932"/>
    <tableColumn id="933" name="Column933"/>
    <tableColumn id="934" name="Column934"/>
    <tableColumn id="935" name="Column935"/>
    <tableColumn id="936" name="Column936"/>
    <tableColumn id="937" name="Column937"/>
    <tableColumn id="938" name="Column938"/>
    <tableColumn id="939" name="Column939"/>
    <tableColumn id="940" name="Column940"/>
    <tableColumn id="941" name="Column941"/>
    <tableColumn id="942" name="Column942"/>
    <tableColumn id="943" name="Column943"/>
    <tableColumn id="944" name="Column944"/>
    <tableColumn id="945" name="Column945"/>
    <tableColumn id="946" name="Column946"/>
    <tableColumn id="947" name="Column947"/>
    <tableColumn id="948" name="Column948"/>
    <tableColumn id="949" name="Column949"/>
    <tableColumn id="950" name="Column950"/>
    <tableColumn id="951" name="Column951"/>
    <tableColumn id="952" name="Column952"/>
  </tableColumns>
</table>
</file>

<file path=xl/tables/table2.xml><?xml version="1.0" encoding="utf-8"?>
<table xmlns="http://schemas.openxmlformats.org/spreadsheetml/2006/main" id="2" name="Table_2" displayName="Table_2" ref="A115:B116" headerRowCount="0" totalsRowCount="0" totalsRowShown="0">
  <tableColumns count="2">
    <tableColumn id="1" name="Column1"/>
    <tableColumn id="2" name="Column2"/>
  </tableColumns>
</table>
</file>

<file path=xl/tables/table3.xml><?xml version="1.0" encoding="utf-8"?>
<table xmlns="http://schemas.openxmlformats.org/spreadsheetml/2006/main" id="3" name="Table_3" displayName="Table_3" ref="A300:D306" headerRowCount="0" totalsRowCount="0" totalsRowShown="0">
  <tableColumns count="4">
    <tableColumn id="1" name="Column1"/>
    <tableColumn id="2" name="Column2"/>
    <tableColumn id="3" name="Column3"/>
    <tableColumn id="4" name="Column4"/>
  </tableColumns>
</table>
</file>

<file path=xl/tables/table4.xml><?xml version="1.0" encoding="utf-8"?>
<table xmlns="http://schemas.openxmlformats.org/spreadsheetml/2006/main" id="4" name="Table_4" displayName="Table_4" ref="A261:AJP266" headerRowCount="0" totalsRowCount="0" totalsRowShown="0">
  <tableColumns count="95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  <tableColumn id="157" name="Column157"/>
    <tableColumn id="158" name="Column158"/>
    <tableColumn id="159" name="Column159"/>
    <tableColumn id="160" name="Column160"/>
    <tableColumn id="161" name="Column161"/>
    <tableColumn id="162" name="Column162"/>
    <tableColumn id="163" name="Column163"/>
    <tableColumn id="164" name="Column164"/>
    <tableColumn id="165" name="Column165"/>
    <tableColumn id="166" name="Column166"/>
    <tableColumn id="167" name="Column167"/>
    <tableColumn id="168" name="Column168"/>
    <tableColumn id="169" name="Column169"/>
    <tableColumn id="170" name="Column170"/>
    <tableColumn id="171" name="Column171"/>
    <tableColumn id="172" name="Column172"/>
    <tableColumn id="173" name="Column173"/>
    <tableColumn id="174" name="Column174"/>
    <tableColumn id="175" name="Column175"/>
    <tableColumn id="176" name="Column176"/>
    <tableColumn id="177" name="Column177"/>
    <tableColumn id="178" name="Column178"/>
    <tableColumn id="179" name="Column179"/>
    <tableColumn id="180" name="Column180"/>
    <tableColumn id="181" name="Column181"/>
    <tableColumn id="182" name="Column182"/>
    <tableColumn id="183" name="Column183"/>
    <tableColumn id="184" name="Column184"/>
    <tableColumn id="185" name="Column185"/>
    <tableColumn id="186" name="Column186"/>
    <tableColumn id="187" name="Column187"/>
    <tableColumn id="188" name="Column188"/>
    <tableColumn id="189" name="Column189"/>
    <tableColumn id="190" name="Column190"/>
    <tableColumn id="191" name="Column191"/>
    <tableColumn id="192" name="Column192"/>
    <tableColumn id="193" name="Column193"/>
    <tableColumn id="194" name="Column194"/>
    <tableColumn id="195" name="Column195"/>
    <tableColumn id="196" name="Column196"/>
    <tableColumn id="197" name="Column197"/>
    <tableColumn id="198" name="Column198"/>
    <tableColumn id="199" name="Column199"/>
    <tableColumn id="200" name="Column200"/>
    <tableColumn id="201" name="Column201"/>
    <tableColumn id="202" name="Column202"/>
    <tableColumn id="203" name="Column203"/>
    <tableColumn id="204" name="Column204"/>
    <tableColumn id="205" name="Column205"/>
    <tableColumn id="206" name="Column206"/>
    <tableColumn id="207" name="Column207"/>
    <tableColumn id="208" name="Column208"/>
    <tableColumn id="209" name="Column209"/>
    <tableColumn id="210" name="Column210"/>
    <tableColumn id="211" name="Column211"/>
    <tableColumn id="212" name="Column212"/>
    <tableColumn id="213" name="Column213"/>
    <tableColumn id="214" name="Column214"/>
    <tableColumn id="215" name="Column215"/>
    <tableColumn id="216" name="Column216"/>
    <tableColumn id="217" name="Column217"/>
    <tableColumn id="218" name="Column218"/>
    <tableColumn id="219" name="Column219"/>
    <tableColumn id="220" name="Column220"/>
    <tableColumn id="221" name="Column221"/>
    <tableColumn id="222" name="Column222"/>
    <tableColumn id="223" name="Column223"/>
    <tableColumn id="224" name="Column224"/>
    <tableColumn id="225" name="Column225"/>
    <tableColumn id="226" name="Column226"/>
    <tableColumn id="227" name="Column227"/>
    <tableColumn id="228" name="Column228"/>
    <tableColumn id="229" name="Column229"/>
    <tableColumn id="230" name="Column230"/>
    <tableColumn id="231" name="Column231"/>
    <tableColumn id="232" name="Column232"/>
    <tableColumn id="233" name="Column233"/>
    <tableColumn id="234" name="Column234"/>
    <tableColumn id="235" name="Column235"/>
    <tableColumn id="236" name="Column236"/>
    <tableColumn id="237" name="Column237"/>
    <tableColumn id="238" name="Column238"/>
    <tableColumn id="239" name="Column239"/>
    <tableColumn id="240" name="Column240"/>
    <tableColumn id="241" name="Column241"/>
    <tableColumn id="242" name="Column242"/>
    <tableColumn id="243" name="Column243"/>
    <tableColumn id="244" name="Column244"/>
    <tableColumn id="245" name="Column245"/>
    <tableColumn id="246" name="Column246"/>
    <tableColumn id="247" name="Column247"/>
    <tableColumn id="248" name="Column248"/>
    <tableColumn id="249" name="Column249"/>
    <tableColumn id="250" name="Column250"/>
    <tableColumn id="251" name="Column251"/>
    <tableColumn id="252" name="Column252"/>
    <tableColumn id="253" name="Column253"/>
    <tableColumn id="254" name="Column254"/>
    <tableColumn id="255" name="Column255"/>
    <tableColumn id="256" name="Column256"/>
    <tableColumn id="257" name="Column257"/>
    <tableColumn id="258" name="Column258"/>
    <tableColumn id="259" name="Column259"/>
    <tableColumn id="260" name="Column260"/>
    <tableColumn id="261" name="Column261"/>
    <tableColumn id="262" name="Column262"/>
    <tableColumn id="263" name="Column263"/>
    <tableColumn id="264" name="Column264"/>
    <tableColumn id="265" name="Column265"/>
    <tableColumn id="266" name="Column266"/>
    <tableColumn id="267" name="Column267"/>
    <tableColumn id="268" name="Column268"/>
    <tableColumn id="269" name="Column269"/>
    <tableColumn id="270" name="Column270"/>
    <tableColumn id="271" name="Column271"/>
    <tableColumn id="272" name="Column272"/>
    <tableColumn id="273" name="Column273"/>
    <tableColumn id="274" name="Column274"/>
    <tableColumn id="275" name="Column275"/>
    <tableColumn id="276" name="Column276"/>
    <tableColumn id="277" name="Column277"/>
    <tableColumn id="278" name="Column278"/>
    <tableColumn id="279" name="Column279"/>
    <tableColumn id="280" name="Column280"/>
    <tableColumn id="281" name="Column281"/>
    <tableColumn id="282" name="Column282"/>
    <tableColumn id="283" name="Column283"/>
    <tableColumn id="284" name="Column284"/>
    <tableColumn id="285" name="Column285"/>
    <tableColumn id="286" name="Column286"/>
    <tableColumn id="287" name="Column287"/>
    <tableColumn id="288" name="Column288"/>
    <tableColumn id="289" name="Column289"/>
    <tableColumn id="290" name="Column290"/>
    <tableColumn id="291" name="Column291"/>
    <tableColumn id="292" name="Column292"/>
    <tableColumn id="293" name="Column293"/>
    <tableColumn id="294" name="Column294"/>
    <tableColumn id="295" name="Column295"/>
    <tableColumn id="296" name="Column296"/>
    <tableColumn id="297" name="Column297"/>
    <tableColumn id="298" name="Column298"/>
    <tableColumn id="299" name="Column299"/>
    <tableColumn id="300" name="Column300"/>
    <tableColumn id="301" name="Column301"/>
    <tableColumn id="302" name="Column302"/>
    <tableColumn id="303" name="Column303"/>
    <tableColumn id="304" name="Column304"/>
    <tableColumn id="305" name="Column305"/>
    <tableColumn id="306" name="Column306"/>
    <tableColumn id="307" name="Column307"/>
    <tableColumn id="308" name="Column308"/>
    <tableColumn id="309" name="Column309"/>
    <tableColumn id="310" name="Column310"/>
    <tableColumn id="311" name="Column311"/>
    <tableColumn id="312" name="Column312"/>
    <tableColumn id="313" name="Column313"/>
    <tableColumn id="314" name="Column314"/>
    <tableColumn id="315" name="Column315"/>
    <tableColumn id="316" name="Column316"/>
    <tableColumn id="317" name="Column317"/>
    <tableColumn id="318" name="Column318"/>
    <tableColumn id="319" name="Column319"/>
    <tableColumn id="320" name="Column320"/>
    <tableColumn id="321" name="Column321"/>
    <tableColumn id="322" name="Column322"/>
    <tableColumn id="323" name="Column323"/>
    <tableColumn id="324" name="Column324"/>
    <tableColumn id="325" name="Column325"/>
    <tableColumn id="326" name="Column326"/>
    <tableColumn id="327" name="Column327"/>
    <tableColumn id="328" name="Column328"/>
    <tableColumn id="329" name="Column329"/>
    <tableColumn id="330" name="Column330"/>
    <tableColumn id="331" name="Column331"/>
    <tableColumn id="332" name="Column332"/>
    <tableColumn id="333" name="Column333"/>
    <tableColumn id="334" name="Column334"/>
    <tableColumn id="335" name="Column335"/>
    <tableColumn id="336" name="Column336"/>
    <tableColumn id="337" name="Column337"/>
    <tableColumn id="338" name="Column338"/>
    <tableColumn id="339" name="Column339"/>
    <tableColumn id="340" name="Column340"/>
    <tableColumn id="341" name="Column341"/>
    <tableColumn id="342" name="Column342"/>
    <tableColumn id="343" name="Column343"/>
    <tableColumn id="344" name="Column344"/>
    <tableColumn id="345" name="Column345"/>
    <tableColumn id="346" name="Column346"/>
    <tableColumn id="347" name="Column347"/>
    <tableColumn id="348" name="Column348"/>
    <tableColumn id="349" name="Column349"/>
    <tableColumn id="350" name="Column350"/>
    <tableColumn id="351" name="Column351"/>
    <tableColumn id="352" name="Column352"/>
    <tableColumn id="353" name="Column353"/>
    <tableColumn id="354" name="Column354"/>
    <tableColumn id="355" name="Column355"/>
    <tableColumn id="356" name="Column356"/>
    <tableColumn id="357" name="Column357"/>
    <tableColumn id="358" name="Column358"/>
    <tableColumn id="359" name="Column359"/>
    <tableColumn id="360" name="Column360"/>
    <tableColumn id="361" name="Column361"/>
    <tableColumn id="362" name="Column362"/>
    <tableColumn id="363" name="Column363"/>
    <tableColumn id="364" name="Column364"/>
    <tableColumn id="365" name="Column365"/>
    <tableColumn id="366" name="Column366"/>
    <tableColumn id="367" name="Column367"/>
    <tableColumn id="368" name="Column368"/>
    <tableColumn id="369" name="Column369"/>
    <tableColumn id="370" name="Column370"/>
    <tableColumn id="371" name="Column371"/>
    <tableColumn id="372" name="Column372"/>
    <tableColumn id="373" name="Column373"/>
    <tableColumn id="374" name="Column374"/>
    <tableColumn id="375" name="Column375"/>
    <tableColumn id="376" name="Column376"/>
    <tableColumn id="377" name="Column377"/>
    <tableColumn id="378" name="Column378"/>
    <tableColumn id="379" name="Column379"/>
    <tableColumn id="380" name="Column380"/>
    <tableColumn id="381" name="Column381"/>
    <tableColumn id="382" name="Column382"/>
    <tableColumn id="383" name="Column383"/>
    <tableColumn id="384" name="Column384"/>
    <tableColumn id="385" name="Column385"/>
    <tableColumn id="386" name="Column386"/>
    <tableColumn id="387" name="Column387"/>
    <tableColumn id="388" name="Column388"/>
    <tableColumn id="389" name="Column389"/>
    <tableColumn id="390" name="Column390"/>
    <tableColumn id="391" name="Column391"/>
    <tableColumn id="392" name="Column392"/>
    <tableColumn id="393" name="Column393"/>
    <tableColumn id="394" name="Column394"/>
    <tableColumn id="395" name="Column395"/>
    <tableColumn id="396" name="Column396"/>
    <tableColumn id="397" name="Column397"/>
    <tableColumn id="398" name="Column398"/>
    <tableColumn id="399" name="Column399"/>
    <tableColumn id="400" name="Column400"/>
    <tableColumn id="401" name="Column401"/>
    <tableColumn id="402" name="Column402"/>
    <tableColumn id="403" name="Column403"/>
    <tableColumn id="404" name="Column404"/>
    <tableColumn id="405" name="Column405"/>
    <tableColumn id="406" name="Column406"/>
    <tableColumn id="407" name="Column407"/>
    <tableColumn id="408" name="Column408"/>
    <tableColumn id="409" name="Column409"/>
    <tableColumn id="410" name="Column410"/>
    <tableColumn id="411" name="Column411"/>
    <tableColumn id="412" name="Column412"/>
    <tableColumn id="413" name="Column413"/>
    <tableColumn id="414" name="Column414"/>
    <tableColumn id="415" name="Column415"/>
    <tableColumn id="416" name="Column416"/>
    <tableColumn id="417" name="Column417"/>
    <tableColumn id="418" name="Column418"/>
    <tableColumn id="419" name="Column419"/>
    <tableColumn id="420" name="Column420"/>
    <tableColumn id="421" name="Column421"/>
    <tableColumn id="422" name="Column422"/>
    <tableColumn id="423" name="Column423"/>
    <tableColumn id="424" name="Column424"/>
    <tableColumn id="425" name="Column425"/>
    <tableColumn id="426" name="Column426"/>
    <tableColumn id="427" name="Column427"/>
    <tableColumn id="428" name="Column428"/>
    <tableColumn id="429" name="Column429"/>
    <tableColumn id="430" name="Column430"/>
    <tableColumn id="431" name="Column431"/>
    <tableColumn id="432" name="Column432"/>
    <tableColumn id="433" name="Column433"/>
    <tableColumn id="434" name="Column434"/>
    <tableColumn id="435" name="Column435"/>
    <tableColumn id="436" name="Column436"/>
    <tableColumn id="437" name="Column437"/>
    <tableColumn id="438" name="Column438"/>
    <tableColumn id="439" name="Column439"/>
    <tableColumn id="440" name="Column440"/>
    <tableColumn id="441" name="Column441"/>
    <tableColumn id="442" name="Column442"/>
    <tableColumn id="443" name="Column443"/>
    <tableColumn id="444" name="Column444"/>
    <tableColumn id="445" name="Column445"/>
    <tableColumn id="446" name="Column446"/>
    <tableColumn id="447" name="Column447"/>
    <tableColumn id="448" name="Column448"/>
    <tableColumn id="449" name="Column449"/>
    <tableColumn id="450" name="Column450"/>
    <tableColumn id="451" name="Column451"/>
    <tableColumn id="452" name="Column452"/>
    <tableColumn id="453" name="Column453"/>
    <tableColumn id="454" name="Column454"/>
    <tableColumn id="455" name="Column455"/>
    <tableColumn id="456" name="Column456"/>
    <tableColumn id="457" name="Column457"/>
    <tableColumn id="458" name="Column458"/>
    <tableColumn id="459" name="Column459"/>
    <tableColumn id="460" name="Column460"/>
    <tableColumn id="461" name="Column461"/>
    <tableColumn id="462" name="Column462"/>
    <tableColumn id="463" name="Column463"/>
    <tableColumn id="464" name="Column464"/>
    <tableColumn id="465" name="Column465"/>
    <tableColumn id="466" name="Column466"/>
    <tableColumn id="467" name="Column467"/>
    <tableColumn id="468" name="Column468"/>
    <tableColumn id="469" name="Column469"/>
    <tableColumn id="470" name="Column470"/>
    <tableColumn id="471" name="Column471"/>
    <tableColumn id="472" name="Column472"/>
    <tableColumn id="473" name="Column473"/>
    <tableColumn id="474" name="Column474"/>
    <tableColumn id="475" name="Column475"/>
    <tableColumn id="476" name="Column476"/>
    <tableColumn id="477" name="Column477"/>
    <tableColumn id="478" name="Column478"/>
    <tableColumn id="479" name="Column479"/>
    <tableColumn id="480" name="Column480"/>
    <tableColumn id="481" name="Column481"/>
    <tableColumn id="482" name="Column482"/>
    <tableColumn id="483" name="Column483"/>
    <tableColumn id="484" name="Column484"/>
    <tableColumn id="485" name="Column485"/>
    <tableColumn id="486" name="Column486"/>
    <tableColumn id="487" name="Column487"/>
    <tableColumn id="488" name="Column488"/>
    <tableColumn id="489" name="Column489"/>
    <tableColumn id="490" name="Column490"/>
    <tableColumn id="491" name="Column491"/>
    <tableColumn id="492" name="Column492"/>
    <tableColumn id="493" name="Column493"/>
    <tableColumn id="494" name="Column494"/>
    <tableColumn id="495" name="Column495"/>
    <tableColumn id="496" name="Column496"/>
    <tableColumn id="497" name="Column497"/>
    <tableColumn id="498" name="Column498"/>
    <tableColumn id="499" name="Column499"/>
    <tableColumn id="500" name="Column500"/>
    <tableColumn id="501" name="Column501"/>
    <tableColumn id="502" name="Column502"/>
    <tableColumn id="503" name="Column503"/>
    <tableColumn id="504" name="Column504"/>
    <tableColumn id="505" name="Column505"/>
    <tableColumn id="506" name="Column506"/>
    <tableColumn id="507" name="Column507"/>
    <tableColumn id="508" name="Column508"/>
    <tableColumn id="509" name="Column509"/>
    <tableColumn id="510" name="Column510"/>
    <tableColumn id="511" name="Column511"/>
    <tableColumn id="512" name="Column512"/>
    <tableColumn id="513" name="Column513"/>
    <tableColumn id="514" name="Column514"/>
    <tableColumn id="515" name="Column515"/>
    <tableColumn id="516" name="Column516"/>
    <tableColumn id="517" name="Column517"/>
    <tableColumn id="518" name="Column518"/>
    <tableColumn id="519" name="Column519"/>
    <tableColumn id="520" name="Column520"/>
    <tableColumn id="521" name="Column521"/>
    <tableColumn id="522" name="Column522"/>
    <tableColumn id="523" name="Column523"/>
    <tableColumn id="524" name="Column524"/>
    <tableColumn id="525" name="Column525"/>
    <tableColumn id="526" name="Column526"/>
    <tableColumn id="527" name="Column527"/>
    <tableColumn id="528" name="Column528"/>
    <tableColumn id="529" name="Column529"/>
    <tableColumn id="530" name="Column530"/>
    <tableColumn id="531" name="Column531"/>
    <tableColumn id="532" name="Column532"/>
    <tableColumn id="533" name="Column533"/>
    <tableColumn id="534" name="Column534"/>
    <tableColumn id="535" name="Column535"/>
    <tableColumn id="536" name="Column536"/>
    <tableColumn id="537" name="Column537"/>
    <tableColumn id="538" name="Column538"/>
    <tableColumn id="539" name="Column539"/>
    <tableColumn id="540" name="Column540"/>
    <tableColumn id="541" name="Column541"/>
    <tableColumn id="542" name="Column542"/>
    <tableColumn id="543" name="Column543"/>
    <tableColumn id="544" name="Column544"/>
    <tableColumn id="545" name="Column545"/>
    <tableColumn id="546" name="Column546"/>
    <tableColumn id="547" name="Column547"/>
    <tableColumn id="548" name="Column548"/>
    <tableColumn id="549" name="Column549"/>
    <tableColumn id="550" name="Column550"/>
    <tableColumn id="551" name="Column551"/>
    <tableColumn id="552" name="Column552"/>
    <tableColumn id="553" name="Column553"/>
    <tableColumn id="554" name="Column554"/>
    <tableColumn id="555" name="Column555"/>
    <tableColumn id="556" name="Column556"/>
    <tableColumn id="557" name="Column557"/>
    <tableColumn id="558" name="Column558"/>
    <tableColumn id="559" name="Column559"/>
    <tableColumn id="560" name="Column560"/>
    <tableColumn id="561" name="Column561"/>
    <tableColumn id="562" name="Column562"/>
    <tableColumn id="563" name="Column563"/>
    <tableColumn id="564" name="Column564"/>
    <tableColumn id="565" name="Column565"/>
    <tableColumn id="566" name="Column566"/>
    <tableColumn id="567" name="Column567"/>
    <tableColumn id="568" name="Column568"/>
    <tableColumn id="569" name="Column569"/>
    <tableColumn id="570" name="Column570"/>
    <tableColumn id="571" name="Column571"/>
    <tableColumn id="572" name="Column572"/>
    <tableColumn id="573" name="Column573"/>
    <tableColumn id="574" name="Column574"/>
    <tableColumn id="575" name="Column575"/>
    <tableColumn id="576" name="Column576"/>
    <tableColumn id="577" name="Column577"/>
    <tableColumn id="578" name="Column578"/>
    <tableColumn id="579" name="Column579"/>
    <tableColumn id="580" name="Column580"/>
    <tableColumn id="581" name="Column581"/>
    <tableColumn id="582" name="Column582"/>
    <tableColumn id="583" name="Column583"/>
    <tableColumn id="584" name="Column584"/>
    <tableColumn id="585" name="Column585"/>
    <tableColumn id="586" name="Column586"/>
    <tableColumn id="587" name="Column587"/>
    <tableColumn id="588" name="Column588"/>
    <tableColumn id="589" name="Column589"/>
    <tableColumn id="590" name="Column590"/>
    <tableColumn id="591" name="Column591"/>
    <tableColumn id="592" name="Column592"/>
    <tableColumn id="593" name="Column593"/>
    <tableColumn id="594" name="Column594"/>
    <tableColumn id="595" name="Column595"/>
    <tableColumn id="596" name="Column596"/>
    <tableColumn id="597" name="Column597"/>
    <tableColumn id="598" name="Column598"/>
    <tableColumn id="599" name="Column599"/>
    <tableColumn id="600" name="Column600"/>
    <tableColumn id="601" name="Column601"/>
    <tableColumn id="602" name="Column602"/>
    <tableColumn id="603" name="Column603"/>
    <tableColumn id="604" name="Column604"/>
    <tableColumn id="605" name="Column605"/>
    <tableColumn id="606" name="Column606"/>
    <tableColumn id="607" name="Column607"/>
    <tableColumn id="608" name="Column608"/>
    <tableColumn id="609" name="Column609"/>
    <tableColumn id="610" name="Column610"/>
    <tableColumn id="611" name="Column611"/>
    <tableColumn id="612" name="Column612"/>
    <tableColumn id="613" name="Column613"/>
    <tableColumn id="614" name="Column614"/>
    <tableColumn id="615" name="Column615"/>
    <tableColumn id="616" name="Column616"/>
    <tableColumn id="617" name="Column617"/>
    <tableColumn id="618" name="Column618"/>
    <tableColumn id="619" name="Column619"/>
    <tableColumn id="620" name="Column620"/>
    <tableColumn id="621" name="Column621"/>
    <tableColumn id="622" name="Column622"/>
    <tableColumn id="623" name="Column623"/>
    <tableColumn id="624" name="Column624"/>
    <tableColumn id="625" name="Column625"/>
    <tableColumn id="626" name="Column626"/>
    <tableColumn id="627" name="Column627"/>
    <tableColumn id="628" name="Column628"/>
    <tableColumn id="629" name="Column629"/>
    <tableColumn id="630" name="Column630"/>
    <tableColumn id="631" name="Column631"/>
    <tableColumn id="632" name="Column632"/>
    <tableColumn id="633" name="Column633"/>
    <tableColumn id="634" name="Column634"/>
    <tableColumn id="635" name="Column635"/>
    <tableColumn id="636" name="Column636"/>
    <tableColumn id="637" name="Column637"/>
    <tableColumn id="638" name="Column638"/>
    <tableColumn id="639" name="Column639"/>
    <tableColumn id="640" name="Column640"/>
    <tableColumn id="641" name="Column641"/>
    <tableColumn id="642" name="Column642"/>
    <tableColumn id="643" name="Column643"/>
    <tableColumn id="644" name="Column644"/>
    <tableColumn id="645" name="Column645"/>
    <tableColumn id="646" name="Column646"/>
    <tableColumn id="647" name="Column647"/>
    <tableColumn id="648" name="Column648"/>
    <tableColumn id="649" name="Column649"/>
    <tableColumn id="650" name="Column650"/>
    <tableColumn id="651" name="Column651"/>
    <tableColumn id="652" name="Column652"/>
    <tableColumn id="653" name="Column653"/>
    <tableColumn id="654" name="Column654"/>
    <tableColumn id="655" name="Column655"/>
    <tableColumn id="656" name="Column656"/>
    <tableColumn id="657" name="Column657"/>
    <tableColumn id="658" name="Column658"/>
    <tableColumn id="659" name="Column659"/>
    <tableColumn id="660" name="Column660"/>
    <tableColumn id="661" name="Column661"/>
    <tableColumn id="662" name="Column662"/>
    <tableColumn id="663" name="Column663"/>
    <tableColumn id="664" name="Column664"/>
    <tableColumn id="665" name="Column665"/>
    <tableColumn id="666" name="Column666"/>
    <tableColumn id="667" name="Column667"/>
    <tableColumn id="668" name="Column668"/>
    <tableColumn id="669" name="Column669"/>
    <tableColumn id="670" name="Column670"/>
    <tableColumn id="671" name="Column671"/>
    <tableColumn id="672" name="Column672"/>
    <tableColumn id="673" name="Column673"/>
    <tableColumn id="674" name="Column674"/>
    <tableColumn id="675" name="Column675"/>
    <tableColumn id="676" name="Column676"/>
    <tableColumn id="677" name="Column677"/>
    <tableColumn id="678" name="Column678"/>
    <tableColumn id="679" name="Column679"/>
    <tableColumn id="680" name="Column680"/>
    <tableColumn id="681" name="Column681"/>
    <tableColumn id="682" name="Column682"/>
    <tableColumn id="683" name="Column683"/>
    <tableColumn id="684" name="Column684"/>
    <tableColumn id="685" name="Column685"/>
    <tableColumn id="686" name="Column686"/>
    <tableColumn id="687" name="Column687"/>
    <tableColumn id="688" name="Column688"/>
    <tableColumn id="689" name="Column689"/>
    <tableColumn id="690" name="Column690"/>
    <tableColumn id="691" name="Column691"/>
    <tableColumn id="692" name="Column692"/>
    <tableColumn id="693" name="Column693"/>
    <tableColumn id="694" name="Column694"/>
    <tableColumn id="695" name="Column695"/>
    <tableColumn id="696" name="Column696"/>
    <tableColumn id="697" name="Column697"/>
    <tableColumn id="698" name="Column698"/>
    <tableColumn id="699" name="Column699"/>
    <tableColumn id="700" name="Column700"/>
    <tableColumn id="701" name="Column701"/>
    <tableColumn id="702" name="Column702"/>
    <tableColumn id="703" name="Column703"/>
    <tableColumn id="704" name="Column704"/>
    <tableColumn id="705" name="Column705"/>
    <tableColumn id="706" name="Column706"/>
    <tableColumn id="707" name="Column707"/>
    <tableColumn id="708" name="Column708"/>
    <tableColumn id="709" name="Column709"/>
    <tableColumn id="710" name="Column710"/>
    <tableColumn id="711" name="Column711"/>
    <tableColumn id="712" name="Column712"/>
    <tableColumn id="713" name="Column713"/>
    <tableColumn id="714" name="Column714"/>
    <tableColumn id="715" name="Column715"/>
    <tableColumn id="716" name="Column716"/>
    <tableColumn id="717" name="Column717"/>
    <tableColumn id="718" name="Column718"/>
    <tableColumn id="719" name="Column719"/>
    <tableColumn id="720" name="Column720"/>
    <tableColumn id="721" name="Column721"/>
    <tableColumn id="722" name="Column722"/>
    <tableColumn id="723" name="Column723"/>
    <tableColumn id="724" name="Column724"/>
    <tableColumn id="725" name="Column725"/>
    <tableColumn id="726" name="Column726"/>
    <tableColumn id="727" name="Column727"/>
    <tableColumn id="728" name="Column728"/>
    <tableColumn id="729" name="Column729"/>
    <tableColumn id="730" name="Column730"/>
    <tableColumn id="731" name="Column731"/>
    <tableColumn id="732" name="Column732"/>
    <tableColumn id="733" name="Column733"/>
    <tableColumn id="734" name="Column734"/>
    <tableColumn id="735" name="Column735"/>
    <tableColumn id="736" name="Column736"/>
    <tableColumn id="737" name="Column737"/>
    <tableColumn id="738" name="Column738"/>
    <tableColumn id="739" name="Column739"/>
    <tableColumn id="740" name="Column740"/>
    <tableColumn id="741" name="Column741"/>
    <tableColumn id="742" name="Column742"/>
    <tableColumn id="743" name="Column743"/>
    <tableColumn id="744" name="Column744"/>
    <tableColumn id="745" name="Column745"/>
    <tableColumn id="746" name="Column746"/>
    <tableColumn id="747" name="Column747"/>
    <tableColumn id="748" name="Column748"/>
    <tableColumn id="749" name="Column749"/>
    <tableColumn id="750" name="Column750"/>
    <tableColumn id="751" name="Column751"/>
    <tableColumn id="752" name="Column752"/>
    <tableColumn id="753" name="Column753"/>
    <tableColumn id="754" name="Column754"/>
    <tableColumn id="755" name="Column755"/>
    <tableColumn id="756" name="Column756"/>
    <tableColumn id="757" name="Column757"/>
    <tableColumn id="758" name="Column758"/>
    <tableColumn id="759" name="Column759"/>
    <tableColumn id="760" name="Column760"/>
    <tableColumn id="761" name="Column761"/>
    <tableColumn id="762" name="Column762"/>
    <tableColumn id="763" name="Column763"/>
    <tableColumn id="764" name="Column764"/>
    <tableColumn id="765" name="Column765"/>
    <tableColumn id="766" name="Column766"/>
    <tableColumn id="767" name="Column767"/>
    <tableColumn id="768" name="Column768"/>
    <tableColumn id="769" name="Column769"/>
    <tableColumn id="770" name="Column770"/>
    <tableColumn id="771" name="Column771"/>
    <tableColumn id="772" name="Column772"/>
    <tableColumn id="773" name="Column773"/>
    <tableColumn id="774" name="Column774"/>
    <tableColumn id="775" name="Column775"/>
    <tableColumn id="776" name="Column776"/>
    <tableColumn id="777" name="Column777"/>
    <tableColumn id="778" name="Column778"/>
    <tableColumn id="779" name="Column779"/>
    <tableColumn id="780" name="Column780"/>
    <tableColumn id="781" name="Column781"/>
    <tableColumn id="782" name="Column782"/>
    <tableColumn id="783" name="Column783"/>
    <tableColumn id="784" name="Column784"/>
    <tableColumn id="785" name="Column785"/>
    <tableColumn id="786" name="Column786"/>
    <tableColumn id="787" name="Column787"/>
    <tableColumn id="788" name="Column788"/>
    <tableColumn id="789" name="Column789"/>
    <tableColumn id="790" name="Column790"/>
    <tableColumn id="791" name="Column791"/>
    <tableColumn id="792" name="Column792"/>
    <tableColumn id="793" name="Column793"/>
    <tableColumn id="794" name="Column794"/>
    <tableColumn id="795" name="Column795"/>
    <tableColumn id="796" name="Column796"/>
    <tableColumn id="797" name="Column797"/>
    <tableColumn id="798" name="Column798"/>
    <tableColumn id="799" name="Column799"/>
    <tableColumn id="800" name="Column800"/>
    <tableColumn id="801" name="Column801"/>
    <tableColumn id="802" name="Column802"/>
    <tableColumn id="803" name="Column803"/>
    <tableColumn id="804" name="Column804"/>
    <tableColumn id="805" name="Column805"/>
    <tableColumn id="806" name="Column806"/>
    <tableColumn id="807" name="Column807"/>
    <tableColumn id="808" name="Column808"/>
    <tableColumn id="809" name="Column809"/>
    <tableColumn id="810" name="Column810"/>
    <tableColumn id="811" name="Column811"/>
    <tableColumn id="812" name="Column812"/>
    <tableColumn id="813" name="Column813"/>
    <tableColumn id="814" name="Column814"/>
    <tableColumn id="815" name="Column815"/>
    <tableColumn id="816" name="Column816"/>
    <tableColumn id="817" name="Column817"/>
    <tableColumn id="818" name="Column818"/>
    <tableColumn id="819" name="Column819"/>
    <tableColumn id="820" name="Column820"/>
    <tableColumn id="821" name="Column821"/>
    <tableColumn id="822" name="Column822"/>
    <tableColumn id="823" name="Column823"/>
    <tableColumn id="824" name="Column824"/>
    <tableColumn id="825" name="Column825"/>
    <tableColumn id="826" name="Column826"/>
    <tableColumn id="827" name="Column827"/>
    <tableColumn id="828" name="Column828"/>
    <tableColumn id="829" name="Column829"/>
    <tableColumn id="830" name="Column830"/>
    <tableColumn id="831" name="Column831"/>
    <tableColumn id="832" name="Column832"/>
    <tableColumn id="833" name="Column833"/>
    <tableColumn id="834" name="Column834"/>
    <tableColumn id="835" name="Column835"/>
    <tableColumn id="836" name="Column836"/>
    <tableColumn id="837" name="Column837"/>
    <tableColumn id="838" name="Column838"/>
    <tableColumn id="839" name="Column839"/>
    <tableColumn id="840" name="Column840"/>
    <tableColumn id="841" name="Column841"/>
    <tableColumn id="842" name="Column842"/>
    <tableColumn id="843" name="Column843"/>
    <tableColumn id="844" name="Column844"/>
    <tableColumn id="845" name="Column845"/>
    <tableColumn id="846" name="Column846"/>
    <tableColumn id="847" name="Column847"/>
    <tableColumn id="848" name="Column848"/>
    <tableColumn id="849" name="Column849"/>
    <tableColumn id="850" name="Column850"/>
    <tableColumn id="851" name="Column851"/>
    <tableColumn id="852" name="Column852"/>
    <tableColumn id="853" name="Column853"/>
    <tableColumn id="854" name="Column854"/>
    <tableColumn id="855" name="Column855"/>
    <tableColumn id="856" name="Column856"/>
    <tableColumn id="857" name="Column857"/>
    <tableColumn id="858" name="Column858"/>
    <tableColumn id="859" name="Column859"/>
    <tableColumn id="860" name="Column860"/>
    <tableColumn id="861" name="Column861"/>
    <tableColumn id="862" name="Column862"/>
    <tableColumn id="863" name="Column863"/>
    <tableColumn id="864" name="Column864"/>
    <tableColumn id="865" name="Column865"/>
    <tableColumn id="866" name="Column866"/>
    <tableColumn id="867" name="Column867"/>
    <tableColumn id="868" name="Column868"/>
    <tableColumn id="869" name="Column869"/>
    <tableColumn id="870" name="Column870"/>
    <tableColumn id="871" name="Column871"/>
    <tableColumn id="872" name="Column872"/>
    <tableColumn id="873" name="Column873"/>
    <tableColumn id="874" name="Column874"/>
    <tableColumn id="875" name="Column875"/>
    <tableColumn id="876" name="Column876"/>
    <tableColumn id="877" name="Column877"/>
    <tableColumn id="878" name="Column878"/>
    <tableColumn id="879" name="Column879"/>
    <tableColumn id="880" name="Column880"/>
    <tableColumn id="881" name="Column881"/>
    <tableColumn id="882" name="Column882"/>
    <tableColumn id="883" name="Column883"/>
    <tableColumn id="884" name="Column884"/>
    <tableColumn id="885" name="Column885"/>
    <tableColumn id="886" name="Column886"/>
    <tableColumn id="887" name="Column887"/>
    <tableColumn id="888" name="Column888"/>
    <tableColumn id="889" name="Column889"/>
    <tableColumn id="890" name="Column890"/>
    <tableColumn id="891" name="Column891"/>
    <tableColumn id="892" name="Column892"/>
    <tableColumn id="893" name="Column893"/>
    <tableColumn id="894" name="Column894"/>
    <tableColumn id="895" name="Column895"/>
    <tableColumn id="896" name="Column896"/>
    <tableColumn id="897" name="Column897"/>
    <tableColumn id="898" name="Column898"/>
    <tableColumn id="899" name="Column899"/>
    <tableColumn id="900" name="Column900"/>
    <tableColumn id="901" name="Column901"/>
    <tableColumn id="902" name="Column902"/>
    <tableColumn id="903" name="Column903"/>
    <tableColumn id="904" name="Column904"/>
    <tableColumn id="905" name="Column905"/>
    <tableColumn id="906" name="Column906"/>
    <tableColumn id="907" name="Column907"/>
    <tableColumn id="908" name="Column908"/>
    <tableColumn id="909" name="Column909"/>
    <tableColumn id="910" name="Column910"/>
    <tableColumn id="911" name="Column911"/>
    <tableColumn id="912" name="Column912"/>
    <tableColumn id="913" name="Column913"/>
    <tableColumn id="914" name="Column914"/>
    <tableColumn id="915" name="Column915"/>
    <tableColumn id="916" name="Column916"/>
    <tableColumn id="917" name="Column917"/>
    <tableColumn id="918" name="Column918"/>
    <tableColumn id="919" name="Column919"/>
    <tableColumn id="920" name="Column920"/>
    <tableColumn id="921" name="Column921"/>
    <tableColumn id="922" name="Column922"/>
    <tableColumn id="923" name="Column923"/>
    <tableColumn id="924" name="Column924"/>
    <tableColumn id="925" name="Column925"/>
    <tableColumn id="926" name="Column926"/>
    <tableColumn id="927" name="Column927"/>
    <tableColumn id="928" name="Column928"/>
    <tableColumn id="929" name="Column929"/>
    <tableColumn id="930" name="Column930"/>
    <tableColumn id="931" name="Column931"/>
    <tableColumn id="932" name="Column932"/>
    <tableColumn id="933" name="Column933"/>
    <tableColumn id="934" name="Column934"/>
    <tableColumn id="935" name="Column935"/>
    <tableColumn id="936" name="Column936"/>
    <tableColumn id="937" name="Column937"/>
    <tableColumn id="938" name="Column938"/>
    <tableColumn id="939" name="Column939"/>
    <tableColumn id="940" name="Column940"/>
    <tableColumn id="941" name="Column941"/>
    <tableColumn id="942" name="Column942"/>
    <tableColumn id="943" name="Column943"/>
    <tableColumn id="944" name="Column944"/>
    <tableColumn id="945" name="Column945"/>
    <tableColumn id="946" name="Column946"/>
    <tableColumn id="947" name="Column947"/>
    <tableColumn id="948" name="Column948"/>
    <tableColumn id="949" name="Column949"/>
    <tableColumn id="950" name="Column950"/>
    <tableColumn id="951" name="Column951"/>
    <tableColumn id="952" name="Column952"/>
  </tableColumns>
</table>
</file>

<file path=xl/tables/table5.xml><?xml version="1.0" encoding="utf-8"?>
<table xmlns="http://schemas.openxmlformats.org/spreadsheetml/2006/main" id="5" name="Table_5" displayName="Table_5" ref="A271:AJP276" headerRowCount="0" totalsRowCount="0" totalsRowShown="0">
  <tableColumns count="95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  <tableColumn id="157" name="Column157"/>
    <tableColumn id="158" name="Column158"/>
    <tableColumn id="159" name="Column159"/>
    <tableColumn id="160" name="Column160"/>
    <tableColumn id="161" name="Column161"/>
    <tableColumn id="162" name="Column162"/>
    <tableColumn id="163" name="Column163"/>
    <tableColumn id="164" name="Column164"/>
    <tableColumn id="165" name="Column165"/>
    <tableColumn id="166" name="Column166"/>
    <tableColumn id="167" name="Column167"/>
    <tableColumn id="168" name="Column168"/>
    <tableColumn id="169" name="Column169"/>
    <tableColumn id="170" name="Column170"/>
    <tableColumn id="171" name="Column171"/>
    <tableColumn id="172" name="Column172"/>
    <tableColumn id="173" name="Column173"/>
    <tableColumn id="174" name="Column174"/>
    <tableColumn id="175" name="Column175"/>
    <tableColumn id="176" name="Column176"/>
    <tableColumn id="177" name="Column177"/>
    <tableColumn id="178" name="Column178"/>
    <tableColumn id="179" name="Column179"/>
    <tableColumn id="180" name="Column180"/>
    <tableColumn id="181" name="Column181"/>
    <tableColumn id="182" name="Column182"/>
    <tableColumn id="183" name="Column183"/>
    <tableColumn id="184" name="Column184"/>
    <tableColumn id="185" name="Column185"/>
    <tableColumn id="186" name="Column186"/>
    <tableColumn id="187" name="Column187"/>
    <tableColumn id="188" name="Column188"/>
    <tableColumn id="189" name="Column189"/>
    <tableColumn id="190" name="Column190"/>
    <tableColumn id="191" name="Column191"/>
    <tableColumn id="192" name="Column192"/>
    <tableColumn id="193" name="Column193"/>
    <tableColumn id="194" name="Column194"/>
    <tableColumn id="195" name="Column195"/>
    <tableColumn id="196" name="Column196"/>
    <tableColumn id="197" name="Column197"/>
    <tableColumn id="198" name="Column198"/>
    <tableColumn id="199" name="Column199"/>
    <tableColumn id="200" name="Column200"/>
    <tableColumn id="201" name="Column201"/>
    <tableColumn id="202" name="Column202"/>
    <tableColumn id="203" name="Column203"/>
    <tableColumn id="204" name="Column204"/>
    <tableColumn id="205" name="Column205"/>
    <tableColumn id="206" name="Column206"/>
    <tableColumn id="207" name="Column207"/>
    <tableColumn id="208" name="Column208"/>
    <tableColumn id="209" name="Column209"/>
    <tableColumn id="210" name="Column210"/>
    <tableColumn id="211" name="Column211"/>
    <tableColumn id="212" name="Column212"/>
    <tableColumn id="213" name="Column213"/>
    <tableColumn id="214" name="Column214"/>
    <tableColumn id="215" name="Column215"/>
    <tableColumn id="216" name="Column216"/>
    <tableColumn id="217" name="Column217"/>
    <tableColumn id="218" name="Column218"/>
    <tableColumn id="219" name="Column219"/>
    <tableColumn id="220" name="Column220"/>
    <tableColumn id="221" name="Column221"/>
    <tableColumn id="222" name="Column222"/>
    <tableColumn id="223" name="Column223"/>
    <tableColumn id="224" name="Column224"/>
    <tableColumn id="225" name="Column225"/>
    <tableColumn id="226" name="Column226"/>
    <tableColumn id="227" name="Column227"/>
    <tableColumn id="228" name="Column228"/>
    <tableColumn id="229" name="Column229"/>
    <tableColumn id="230" name="Column230"/>
    <tableColumn id="231" name="Column231"/>
    <tableColumn id="232" name="Column232"/>
    <tableColumn id="233" name="Column233"/>
    <tableColumn id="234" name="Column234"/>
    <tableColumn id="235" name="Column235"/>
    <tableColumn id="236" name="Column236"/>
    <tableColumn id="237" name="Column237"/>
    <tableColumn id="238" name="Column238"/>
    <tableColumn id="239" name="Column239"/>
    <tableColumn id="240" name="Column240"/>
    <tableColumn id="241" name="Column241"/>
    <tableColumn id="242" name="Column242"/>
    <tableColumn id="243" name="Column243"/>
    <tableColumn id="244" name="Column244"/>
    <tableColumn id="245" name="Column245"/>
    <tableColumn id="246" name="Column246"/>
    <tableColumn id="247" name="Column247"/>
    <tableColumn id="248" name="Column248"/>
    <tableColumn id="249" name="Column249"/>
    <tableColumn id="250" name="Column250"/>
    <tableColumn id="251" name="Column251"/>
    <tableColumn id="252" name="Column252"/>
    <tableColumn id="253" name="Column253"/>
    <tableColumn id="254" name="Column254"/>
    <tableColumn id="255" name="Column255"/>
    <tableColumn id="256" name="Column256"/>
    <tableColumn id="257" name="Column257"/>
    <tableColumn id="258" name="Column258"/>
    <tableColumn id="259" name="Column259"/>
    <tableColumn id="260" name="Column260"/>
    <tableColumn id="261" name="Column261"/>
    <tableColumn id="262" name="Column262"/>
    <tableColumn id="263" name="Column263"/>
    <tableColumn id="264" name="Column264"/>
    <tableColumn id="265" name="Column265"/>
    <tableColumn id="266" name="Column266"/>
    <tableColumn id="267" name="Column267"/>
    <tableColumn id="268" name="Column268"/>
    <tableColumn id="269" name="Column269"/>
    <tableColumn id="270" name="Column270"/>
    <tableColumn id="271" name="Column271"/>
    <tableColumn id="272" name="Column272"/>
    <tableColumn id="273" name="Column273"/>
    <tableColumn id="274" name="Column274"/>
    <tableColumn id="275" name="Column275"/>
    <tableColumn id="276" name="Column276"/>
    <tableColumn id="277" name="Column277"/>
    <tableColumn id="278" name="Column278"/>
    <tableColumn id="279" name="Column279"/>
    <tableColumn id="280" name="Column280"/>
    <tableColumn id="281" name="Column281"/>
    <tableColumn id="282" name="Column282"/>
    <tableColumn id="283" name="Column283"/>
    <tableColumn id="284" name="Column284"/>
    <tableColumn id="285" name="Column285"/>
    <tableColumn id="286" name="Column286"/>
    <tableColumn id="287" name="Column287"/>
    <tableColumn id="288" name="Column288"/>
    <tableColumn id="289" name="Column289"/>
    <tableColumn id="290" name="Column290"/>
    <tableColumn id="291" name="Column291"/>
    <tableColumn id="292" name="Column292"/>
    <tableColumn id="293" name="Column293"/>
    <tableColumn id="294" name="Column294"/>
    <tableColumn id="295" name="Column295"/>
    <tableColumn id="296" name="Column296"/>
    <tableColumn id="297" name="Column297"/>
    <tableColumn id="298" name="Column298"/>
    <tableColumn id="299" name="Column299"/>
    <tableColumn id="300" name="Column300"/>
    <tableColumn id="301" name="Column301"/>
    <tableColumn id="302" name="Column302"/>
    <tableColumn id="303" name="Column303"/>
    <tableColumn id="304" name="Column304"/>
    <tableColumn id="305" name="Column305"/>
    <tableColumn id="306" name="Column306"/>
    <tableColumn id="307" name="Column307"/>
    <tableColumn id="308" name="Column308"/>
    <tableColumn id="309" name="Column309"/>
    <tableColumn id="310" name="Column310"/>
    <tableColumn id="311" name="Column311"/>
    <tableColumn id="312" name="Column312"/>
    <tableColumn id="313" name="Column313"/>
    <tableColumn id="314" name="Column314"/>
    <tableColumn id="315" name="Column315"/>
    <tableColumn id="316" name="Column316"/>
    <tableColumn id="317" name="Column317"/>
    <tableColumn id="318" name="Column318"/>
    <tableColumn id="319" name="Column319"/>
    <tableColumn id="320" name="Column320"/>
    <tableColumn id="321" name="Column321"/>
    <tableColumn id="322" name="Column322"/>
    <tableColumn id="323" name="Column323"/>
    <tableColumn id="324" name="Column324"/>
    <tableColumn id="325" name="Column325"/>
    <tableColumn id="326" name="Column326"/>
    <tableColumn id="327" name="Column327"/>
    <tableColumn id="328" name="Column328"/>
    <tableColumn id="329" name="Column329"/>
    <tableColumn id="330" name="Column330"/>
    <tableColumn id="331" name="Column331"/>
    <tableColumn id="332" name="Column332"/>
    <tableColumn id="333" name="Column333"/>
    <tableColumn id="334" name="Column334"/>
    <tableColumn id="335" name="Column335"/>
    <tableColumn id="336" name="Column336"/>
    <tableColumn id="337" name="Column337"/>
    <tableColumn id="338" name="Column338"/>
    <tableColumn id="339" name="Column339"/>
    <tableColumn id="340" name="Column340"/>
    <tableColumn id="341" name="Column341"/>
    <tableColumn id="342" name="Column342"/>
    <tableColumn id="343" name="Column343"/>
    <tableColumn id="344" name="Column344"/>
    <tableColumn id="345" name="Column345"/>
    <tableColumn id="346" name="Column346"/>
    <tableColumn id="347" name="Column347"/>
    <tableColumn id="348" name="Column348"/>
    <tableColumn id="349" name="Column349"/>
    <tableColumn id="350" name="Column350"/>
    <tableColumn id="351" name="Column351"/>
    <tableColumn id="352" name="Column352"/>
    <tableColumn id="353" name="Column353"/>
    <tableColumn id="354" name="Column354"/>
    <tableColumn id="355" name="Column355"/>
    <tableColumn id="356" name="Column356"/>
    <tableColumn id="357" name="Column357"/>
    <tableColumn id="358" name="Column358"/>
    <tableColumn id="359" name="Column359"/>
    <tableColumn id="360" name="Column360"/>
    <tableColumn id="361" name="Column361"/>
    <tableColumn id="362" name="Column362"/>
    <tableColumn id="363" name="Column363"/>
    <tableColumn id="364" name="Column364"/>
    <tableColumn id="365" name="Column365"/>
    <tableColumn id="366" name="Column366"/>
    <tableColumn id="367" name="Column367"/>
    <tableColumn id="368" name="Column368"/>
    <tableColumn id="369" name="Column369"/>
    <tableColumn id="370" name="Column370"/>
    <tableColumn id="371" name="Column371"/>
    <tableColumn id="372" name="Column372"/>
    <tableColumn id="373" name="Column373"/>
    <tableColumn id="374" name="Column374"/>
    <tableColumn id="375" name="Column375"/>
    <tableColumn id="376" name="Column376"/>
    <tableColumn id="377" name="Column377"/>
    <tableColumn id="378" name="Column378"/>
    <tableColumn id="379" name="Column379"/>
    <tableColumn id="380" name="Column380"/>
    <tableColumn id="381" name="Column381"/>
    <tableColumn id="382" name="Column382"/>
    <tableColumn id="383" name="Column383"/>
    <tableColumn id="384" name="Column384"/>
    <tableColumn id="385" name="Column385"/>
    <tableColumn id="386" name="Column386"/>
    <tableColumn id="387" name="Column387"/>
    <tableColumn id="388" name="Column388"/>
    <tableColumn id="389" name="Column389"/>
    <tableColumn id="390" name="Column390"/>
    <tableColumn id="391" name="Column391"/>
    <tableColumn id="392" name="Column392"/>
    <tableColumn id="393" name="Column393"/>
    <tableColumn id="394" name="Column394"/>
    <tableColumn id="395" name="Column395"/>
    <tableColumn id="396" name="Column396"/>
    <tableColumn id="397" name="Column397"/>
    <tableColumn id="398" name="Column398"/>
    <tableColumn id="399" name="Column399"/>
    <tableColumn id="400" name="Column400"/>
    <tableColumn id="401" name="Column401"/>
    <tableColumn id="402" name="Column402"/>
    <tableColumn id="403" name="Column403"/>
    <tableColumn id="404" name="Column404"/>
    <tableColumn id="405" name="Column405"/>
    <tableColumn id="406" name="Column406"/>
    <tableColumn id="407" name="Column407"/>
    <tableColumn id="408" name="Column408"/>
    <tableColumn id="409" name="Column409"/>
    <tableColumn id="410" name="Column410"/>
    <tableColumn id="411" name="Column411"/>
    <tableColumn id="412" name="Column412"/>
    <tableColumn id="413" name="Column413"/>
    <tableColumn id="414" name="Column414"/>
    <tableColumn id="415" name="Column415"/>
    <tableColumn id="416" name="Column416"/>
    <tableColumn id="417" name="Column417"/>
    <tableColumn id="418" name="Column418"/>
    <tableColumn id="419" name="Column419"/>
    <tableColumn id="420" name="Column420"/>
    <tableColumn id="421" name="Column421"/>
    <tableColumn id="422" name="Column422"/>
    <tableColumn id="423" name="Column423"/>
    <tableColumn id="424" name="Column424"/>
    <tableColumn id="425" name="Column425"/>
    <tableColumn id="426" name="Column426"/>
    <tableColumn id="427" name="Column427"/>
    <tableColumn id="428" name="Column428"/>
    <tableColumn id="429" name="Column429"/>
    <tableColumn id="430" name="Column430"/>
    <tableColumn id="431" name="Column431"/>
    <tableColumn id="432" name="Column432"/>
    <tableColumn id="433" name="Column433"/>
    <tableColumn id="434" name="Column434"/>
    <tableColumn id="435" name="Column435"/>
    <tableColumn id="436" name="Column436"/>
    <tableColumn id="437" name="Column437"/>
    <tableColumn id="438" name="Column438"/>
    <tableColumn id="439" name="Column439"/>
    <tableColumn id="440" name="Column440"/>
    <tableColumn id="441" name="Column441"/>
    <tableColumn id="442" name="Column442"/>
    <tableColumn id="443" name="Column443"/>
    <tableColumn id="444" name="Column444"/>
    <tableColumn id="445" name="Column445"/>
    <tableColumn id="446" name="Column446"/>
    <tableColumn id="447" name="Column447"/>
    <tableColumn id="448" name="Column448"/>
    <tableColumn id="449" name="Column449"/>
    <tableColumn id="450" name="Column450"/>
    <tableColumn id="451" name="Column451"/>
    <tableColumn id="452" name="Column452"/>
    <tableColumn id="453" name="Column453"/>
    <tableColumn id="454" name="Column454"/>
    <tableColumn id="455" name="Column455"/>
    <tableColumn id="456" name="Column456"/>
    <tableColumn id="457" name="Column457"/>
    <tableColumn id="458" name="Column458"/>
    <tableColumn id="459" name="Column459"/>
    <tableColumn id="460" name="Column460"/>
    <tableColumn id="461" name="Column461"/>
    <tableColumn id="462" name="Column462"/>
    <tableColumn id="463" name="Column463"/>
    <tableColumn id="464" name="Column464"/>
    <tableColumn id="465" name="Column465"/>
    <tableColumn id="466" name="Column466"/>
    <tableColumn id="467" name="Column467"/>
    <tableColumn id="468" name="Column468"/>
    <tableColumn id="469" name="Column469"/>
    <tableColumn id="470" name="Column470"/>
    <tableColumn id="471" name="Column471"/>
    <tableColumn id="472" name="Column472"/>
    <tableColumn id="473" name="Column473"/>
    <tableColumn id="474" name="Column474"/>
    <tableColumn id="475" name="Column475"/>
    <tableColumn id="476" name="Column476"/>
    <tableColumn id="477" name="Column477"/>
    <tableColumn id="478" name="Column478"/>
    <tableColumn id="479" name="Column479"/>
    <tableColumn id="480" name="Column480"/>
    <tableColumn id="481" name="Column481"/>
    <tableColumn id="482" name="Column482"/>
    <tableColumn id="483" name="Column483"/>
    <tableColumn id="484" name="Column484"/>
    <tableColumn id="485" name="Column485"/>
    <tableColumn id="486" name="Column486"/>
    <tableColumn id="487" name="Column487"/>
    <tableColumn id="488" name="Column488"/>
    <tableColumn id="489" name="Column489"/>
    <tableColumn id="490" name="Column490"/>
    <tableColumn id="491" name="Column491"/>
    <tableColumn id="492" name="Column492"/>
    <tableColumn id="493" name="Column493"/>
    <tableColumn id="494" name="Column494"/>
    <tableColumn id="495" name="Column495"/>
    <tableColumn id="496" name="Column496"/>
    <tableColumn id="497" name="Column497"/>
    <tableColumn id="498" name="Column498"/>
    <tableColumn id="499" name="Column499"/>
    <tableColumn id="500" name="Column500"/>
    <tableColumn id="501" name="Column501"/>
    <tableColumn id="502" name="Column502"/>
    <tableColumn id="503" name="Column503"/>
    <tableColumn id="504" name="Column504"/>
    <tableColumn id="505" name="Column505"/>
    <tableColumn id="506" name="Column506"/>
    <tableColumn id="507" name="Column507"/>
    <tableColumn id="508" name="Column508"/>
    <tableColumn id="509" name="Column509"/>
    <tableColumn id="510" name="Column510"/>
    <tableColumn id="511" name="Column511"/>
    <tableColumn id="512" name="Column512"/>
    <tableColumn id="513" name="Column513"/>
    <tableColumn id="514" name="Column514"/>
    <tableColumn id="515" name="Column515"/>
    <tableColumn id="516" name="Column516"/>
    <tableColumn id="517" name="Column517"/>
    <tableColumn id="518" name="Column518"/>
    <tableColumn id="519" name="Column519"/>
    <tableColumn id="520" name="Column520"/>
    <tableColumn id="521" name="Column521"/>
    <tableColumn id="522" name="Column522"/>
    <tableColumn id="523" name="Column523"/>
    <tableColumn id="524" name="Column524"/>
    <tableColumn id="525" name="Column525"/>
    <tableColumn id="526" name="Column526"/>
    <tableColumn id="527" name="Column527"/>
    <tableColumn id="528" name="Column528"/>
    <tableColumn id="529" name="Column529"/>
    <tableColumn id="530" name="Column530"/>
    <tableColumn id="531" name="Column531"/>
    <tableColumn id="532" name="Column532"/>
    <tableColumn id="533" name="Column533"/>
    <tableColumn id="534" name="Column534"/>
    <tableColumn id="535" name="Column535"/>
    <tableColumn id="536" name="Column536"/>
    <tableColumn id="537" name="Column537"/>
    <tableColumn id="538" name="Column538"/>
    <tableColumn id="539" name="Column539"/>
    <tableColumn id="540" name="Column540"/>
    <tableColumn id="541" name="Column541"/>
    <tableColumn id="542" name="Column542"/>
    <tableColumn id="543" name="Column543"/>
    <tableColumn id="544" name="Column544"/>
    <tableColumn id="545" name="Column545"/>
    <tableColumn id="546" name="Column546"/>
    <tableColumn id="547" name="Column547"/>
    <tableColumn id="548" name="Column548"/>
    <tableColumn id="549" name="Column549"/>
    <tableColumn id="550" name="Column550"/>
    <tableColumn id="551" name="Column551"/>
    <tableColumn id="552" name="Column552"/>
    <tableColumn id="553" name="Column553"/>
    <tableColumn id="554" name="Column554"/>
    <tableColumn id="555" name="Column555"/>
    <tableColumn id="556" name="Column556"/>
    <tableColumn id="557" name="Column557"/>
    <tableColumn id="558" name="Column558"/>
    <tableColumn id="559" name="Column559"/>
    <tableColumn id="560" name="Column560"/>
    <tableColumn id="561" name="Column561"/>
    <tableColumn id="562" name="Column562"/>
    <tableColumn id="563" name="Column563"/>
    <tableColumn id="564" name="Column564"/>
    <tableColumn id="565" name="Column565"/>
    <tableColumn id="566" name="Column566"/>
    <tableColumn id="567" name="Column567"/>
    <tableColumn id="568" name="Column568"/>
    <tableColumn id="569" name="Column569"/>
    <tableColumn id="570" name="Column570"/>
    <tableColumn id="571" name="Column571"/>
    <tableColumn id="572" name="Column572"/>
    <tableColumn id="573" name="Column573"/>
    <tableColumn id="574" name="Column574"/>
    <tableColumn id="575" name="Column575"/>
    <tableColumn id="576" name="Column576"/>
    <tableColumn id="577" name="Column577"/>
    <tableColumn id="578" name="Column578"/>
    <tableColumn id="579" name="Column579"/>
    <tableColumn id="580" name="Column580"/>
    <tableColumn id="581" name="Column581"/>
    <tableColumn id="582" name="Column582"/>
    <tableColumn id="583" name="Column583"/>
    <tableColumn id="584" name="Column584"/>
    <tableColumn id="585" name="Column585"/>
    <tableColumn id="586" name="Column586"/>
    <tableColumn id="587" name="Column587"/>
    <tableColumn id="588" name="Column588"/>
    <tableColumn id="589" name="Column589"/>
    <tableColumn id="590" name="Column590"/>
    <tableColumn id="591" name="Column591"/>
    <tableColumn id="592" name="Column592"/>
    <tableColumn id="593" name="Column593"/>
    <tableColumn id="594" name="Column594"/>
    <tableColumn id="595" name="Column595"/>
    <tableColumn id="596" name="Column596"/>
    <tableColumn id="597" name="Column597"/>
    <tableColumn id="598" name="Column598"/>
    <tableColumn id="599" name="Column599"/>
    <tableColumn id="600" name="Column600"/>
    <tableColumn id="601" name="Column601"/>
    <tableColumn id="602" name="Column602"/>
    <tableColumn id="603" name="Column603"/>
    <tableColumn id="604" name="Column604"/>
    <tableColumn id="605" name="Column605"/>
    <tableColumn id="606" name="Column606"/>
    <tableColumn id="607" name="Column607"/>
    <tableColumn id="608" name="Column608"/>
    <tableColumn id="609" name="Column609"/>
    <tableColumn id="610" name="Column610"/>
    <tableColumn id="611" name="Column611"/>
    <tableColumn id="612" name="Column612"/>
    <tableColumn id="613" name="Column613"/>
    <tableColumn id="614" name="Column614"/>
    <tableColumn id="615" name="Column615"/>
    <tableColumn id="616" name="Column616"/>
    <tableColumn id="617" name="Column617"/>
    <tableColumn id="618" name="Column618"/>
    <tableColumn id="619" name="Column619"/>
    <tableColumn id="620" name="Column620"/>
    <tableColumn id="621" name="Column621"/>
    <tableColumn id="622" name="Column622"/>
    <tableColumn id="623" name="Column623"/>
    <tableColumn id="624" name="Column624"/>
    <tableColumn id="625" name="Column625"/>
    <tableColumn id="626" name="Column626"/>
    <tableColumn id="627" name="Column627"/>
    <tableColumn id="628" name="Column628"/>
    <tableColumn id="629" name="Column629"/>
    <tableColumn id="630" name="Column630"/>
    <tableColumn id="631" name="Column631"/>
    <tableColumn id="632" name="Column632"/>
    <tableColumn id="633" name="Column633"/>
    <tableColumn id="634" name="Column634"/>
    <tableColumn id="635" name="Column635"/>
    <tableColumn id="636" name="Column636"/>
    <tableColumn id="637" name="Column637"/>
    <tableColumn id="638" name="Column638"/>
    <tableColumn id="639" name="Column639"/>
    <tableColumn id="640" name="Column640"/>
    <tableColumn id="641" name="Column641"/>
    <tableColumn id="642" name="Column642"/>
    <tableColumn id="643" name="Column643"/>
    <tableColumn id="644" name="Column644"/>
    <tableColumn id="645" name="Column645"/>
    <tableColumn id="646" name="Column646"/>
    <tableColumn id="647" name="Column647"/>
    <tableColumn id="648" name="Column648"/>
    <tableColumn id="649" name="Column649"/>
    <tableColumn id="650" name="Column650"/>
    <tableColumn id="651" name="Column651"/>
    <tableColumn id="652" name="Column652"/>
    <tableColumn id="653" name="Column653"/>
    <tableColumn id="654" name="Column654"/>
    <tableColumn id="655" name="Column655"/>
    <tableColumn id="656" name="Column656"/>
    <tableColumn id="657" name="Column657"/>
    <tableColumn id="658" name="Column658"/>
    <tableColumn id="659" name="Column659"/>
    <tableColumn id="660" name="Column660"/>
    <tableColumn id="661" name="Column661"/>
    <tableColumn id="662" name="Column662"/>
    <tableColumn id="663" name="Column663"/>
    <tableColumn id="664" name="Column664"/>
    <tableColumn id="665" name="Column665"/>
    <tableColumn id="666" name="Column666"/>
    <tableColumn id="667" name="Column667"/>
    <tableColumn id="668" name="Column668"/>
    <tableColumn id="669" name="Column669"/>
    <tableColumn id="670" name="Column670"/>
    <tableColumn id="671" name="Column671"/>
    <tableColumn id="672" name="Column672"/>
    <tableColumn id="673" name="Column673"/>
    <tableColumn id="674" name="Column674"/>
    <tableColumn id="675" name="Column675"/>
    <tableColumn id="676" name="Column676"/>
    <tableColumn id="677" name="Column677"/>
    <tableColumn id="678" name="Column678"/>
    <tableColumn id="679" name="Column679"/>
    <tableColumn id="680" name="Column680"/>
    <tableColumn id="681" name="Column681"/>
    <tableColumn id="682" name="Column682"/>
    <tableColumn id="683" name="Column683"/>
    <tableColumn id="684" name="Column684"/>
    <tableColumn id="685" name="Column685"/>
    <tableColumn id="686" name="Column686"/>
    <tableColumn id="687" name="Column687"/>
    <tableColumn id="688" name="Column688"/>
    <tableColumn id="689" name="Column689"/>
    <tableColumn id="690" name="Column690"/>
    <tableColumn id="691" name="Column691"/>
    <tableColumn id="692" name="Column692"/>
    <tableColumn id="693" name="Column693"/>
    <tableColumn id="694" name="Column694"/>
    <tableColumn id="695" name="Column695"/>
    <tableColumn id="696" name="Column696"/>
    <tableColumn id="697" name="Column697"/>
    <tableColumn id="698" name="Column698"/>
    <tableColumn id="699" name="Column699"/>
    <tableColumn id="700" name="Column700"/>
    <tableColumn id="701" name="Column701"/>
    <tableColumn id="702" name="Column702"/>
    <tableColumn id="703" name="Column703"/>
    <tableColumn id="704" name="Column704"/>
    <tableColumn id="705" name="Column705"/>
    <tableColumn id="706" name="Column706"/>
    <tableColumn id="707" name="Column707"/>
    <tableColumn id="708" name="Column708"/>
    <tableColumn id="709" name="Column709"/>
    <tableColumn id="710" name="Column710"/>
    <tableColumn id="711" name="Column711"/>
    <tableColumn id="712" name="Column712"/>
    <tableColumn id="713" name="Column713"/>
    <tableColumn id="714" name="Column714"/>
    <tableColumn id="715" name="Column715"/>
    <tableColumn id="716" name="Column716"/>
    <tableColumn id="717" name="Column717"/>
    <tableColumn id="718" name="Column718"/>
    <tableColumn id="719" name="Column719"/>
    <tableColumn id="720" name="Column720"/>
    <tableColumn id="721" name="Column721"/>
    <tableColumn id="722" name="Column722"/>
    <tableColumn id="723" name="Column723"/>
    <tableColumn id="724" name="Column724"/>
    <tableColumn id="725" name="Column725"/>
    <tableColumn id="726" name="Column726"/>
    <tableColumn id="727" name="Column727"/>
    <tableColumn id="728" name="Column728"/>
    <tableColumn id="729" name="Column729"/>
    <tableColumn id="730" name="Column730"/>
    <tableColumn id="731" name="Column731"/>
    <tableColumn id="732" name="Column732"/>
    <tableColumn id="733" name="Column733"/>
    <tableColumn id="734" name="Column734"/>
    <tableColumn id="735" name="Column735"/>
    <tableColumn id="736" name="Column736"/>
    <tableColumn id="737" name="Column737"/>
    <tableColumn id="738" name="Column738"/>
    <tableColumn id="739" name="Column739"/>
    <tableColumn id="740" name="Column740"/>
    <tableColumn id="741" name="Column741"/>
    <tableColumn id="742" name="Column742"/>
    <tableColumn id="743" name="Column743"/>
    <tableColumn id="744" name="Column744"/>
    <tableColumn id="745" name="Column745"/>
    <tableColumn id="746" name="Column746"/>
    <tableColumn id="747" name="Column747"/>
    <tableColumn id="748" name="Column748"/>
    <tableColumn id="749" name="Column749"/>
    <tableColumn id="750" name="Column750"/>
    <tableColumn id="751" name="Column751"/>
    <tableColumn id="752" name="Column752"/>
    <tableColumn id="753" name="Column753"/>
    <tableColumn id="754" name="Column754"/>
    <tableColumn id="755" name="Column755"/>
    <tableColumn id="756" name="Column756"/>
    <tableColumn id="757" name="Column757"/>
    <tableColumn id="758" name="Column758"/>
    <tableColumn id="759" name="Column759"/>
    <tableColumn id="760" name="Column760"/>
    <tableColumn id="761" name="Column761"/>
    <tableColumn id="762" name="Column762"/>
    <tableColumn id="763" name="Column763"/>
    <tableColumn id="764" name="Column764"/>
    <tableColumn id="765" name="Column765"/>
    <tableColumn id="766" name="Column766"/>
    <tableColumn id="767" name="Column767"/>
    <tableColumn id="768" name="Column768"/>
    <tableColumn id="769" name="Column769"/>
    <tableColumn id="770" name="Column770"/>
    <tableColumn id="771" name="Column771"/>
    <tableColumn id="772" name="Column772"/>
    <tableColumn id="773" name="Column773"/>
    <tableColumn id="774" name="Column774"/>
    <tableColumn id="775" name="Column775"/>
    <tableColumn id="776" name="Column776"/>
    <tableColumn id="777" name="Column777"/>
    <tableColumn id="778" name="Column778"/>
    <tableColumn id="779" name="Column779"/>
    <tableColumn id="780" name="Column780"/>
    <tableColumn id="781" name="Column781"/>
    <tableColumn id="782" name="Column782"/>
    <tableColumn id="783" name="Column783"/>
    <tableColumn id="784" name="Column784"/>
    <tableColumn id="785" name="Column785"/>
    <tableColumn id="786" name="Column786"/>
    <tableColumn id="787" name="Column787"/>
    <tableColumn id="788" name="Column788"/>
    <tableColumn id="789" name="Column789"/>
    <tableColumn id="790" name="Column790"/>
    <tableColumn id="791" name="Column791"/>
    <tableColumn id="792" name="Column792"/>
    <tableColumn id="793" name="Column793"/>
    <tableColumn id="794" name="Column794"/>
    <tableColumn id="795" name="Column795"/>
    <tableColumn id="796" name="Column796"/>
    <tableColumn id="797" name="Column797"/>
    <tableColumn id="798" name="Column798"/>
    <tableColumn id="799" name="Column799"/>
    <tableColumn id="800" name="Column800"/>
    <tableColumn id="801" name="Column801"/>
    <tableColumn id="802" name="Column802"/>
    <tableColumn id="803" name="Column803"/>
    <tableColumn id="804" name="Column804"/>
    <tableColumn id="805" name="Column805"/>
    <tableColumn id="806" name="Column806"/>
    <tableColumn id="807" name="Column807"/>
    <tableColumn id="808" name="Column808"/>
    <tableColumn id="809" name="Column809"/>
    <tableColumn id="810" name="Column810"/>
    <tableColumn id="811" name="Column811"/>
    <tableColumn id="812" name="Column812"/>
    <tableColumn id="813" name="Column813"/>
    <tableColumn id="814" name="Column814"/>
    <tableColumn id="815" name="Column815"/>
    <tableColumn id="816" name="Column816"/>
    <tableColumn id="817" name="Column817"/>
    <tableColumn id="818" name="Column818"/>
    <tableColumn id="819" name="Column819"/>
    <tableColumn id="820" name="Column820"/>
    <tableColumn id="821" name="Column821"/>
    <tableColumn id="822" name="Column822"/>
    <tableColumn id="823" name="Column823"/>
    <tableColumn id="824" name="Column824"/>
    <tableColumn id="825" name="Column825"/>
    <tableColumn id="826" name="Column826"/>
    <tableColumn id="827" name="Column827"/>
    <tableColumn id="828" name="Column828"/>
    <tableColumn id="829" name="Column829"/>
    <tableColumn id="830" name="Column830"/>
    <tableColumn id="831" name="Column831"/>
    <tableColumn id="832" name="Column832"/>
    <tableColumn id="833" name="Column833"/>
    <tableColumn id="834" name="Column834"/>
    <tableColumn id="835" name="Column835"/>
    <tableColumn id="836" name="Column836"/>
    <tableColumn id="837" name="Column837"/>
    <tableColumn id="838" name="Column838"/>
    <tableColumn id="839" name="Column839"/>
    <tableColumn id="840" name="Column840"/>
    <tableColumn id="841" name="Column841"/>
    <tableColumn id="842" name="Column842"/>
    <tableColumn id="843" name="Column843"/>
    <tableColumn id="844" name="Column844"/>
    <tableColumn id="845" name="Column845"/>
    <tableColumn id="846" name="Column846"/>
    <tableColumn id="847" name="Column847"/>
    <tableColumn id="848" name="Column848"/>
    <tableColumn id="849" name="Column849"/>
    <tableColumn id="850" name="Column850"/>
    <tableColumn id="851" name="Column851"/>
    <tableColumn id="852" name="Column852"/>
    <tableColumn id="853" name="Column853"/>
    <tableColumn id="854" name="Column854"/>
    <tableColumn id="855" name="Column855"/>
    <tableColumn id="856" name="Column856"/>
    <tableColumn id="857" name="Column857"/>
    <tableColumn id="858" name="Column858"/>
    <tableColumn id="859" name="Column859"/>
    <tableColumn id="860" name="Column860"/>
    <tableColumn id="861" name="Column861"/>
    <tableColumn id="862" name="Column862"/>
    <tableColumn id="863" name="Column863"/>
    <tableColumn id="864" name="Column864"/>
    <tableColumn id="865" name="Column865"/>
    <tableColumn id="866" name="Column866"/>
    <tableColumn id="867" name="Column867"/>
    <tableColumn id="868" name="Column868"/>
    <tableColumn id="869" name="Column869"/>
    <tableColumn id="870" name="Column870"/>
    <tableColumn id="871" name="Column871"/>
    <tableColumn id="872" name="Column872"/>
    <tableColumn id="873" name="Column873"/>
    <tableColumn id="874" name="Column874"/>
    <tableColumn id="875" name="Column875"/>
    <tableColumn id="876" name="Column876"/>
    <tableColumn id="877" name="Column877"/>
    <tableColumn id="878" name="Column878"/>
    <tableColumn id="879" name="Column879"/>
    <tableColumn id="880" name="Column880"/>
    <tableColumn id="881" name="Column881"/>
    <tableColumn id="882" name="Column882"/>
    <tableColumn id="883" name="Column883"/>
    <tableColumn id="884" name="Column884"/>
    <tableColumn id="885" name="Column885"/>
    <tableColumn id="886" name="Column886"/>
    <tableColumn id="887" name="Column887"/>
    <tableColumn id="888" name="Column888"/>
    <tableColumn id="889" name="Column889"/>
    <tableColumn id="890" name="Column890"/>
    <tableColumn id="891" name="Column891"/>
    <tableColumn id="892" name="Column892"/>
    <tableColumn id="893" name="Column893"/>
    <tableColumn id="894" name="Column894"/>
    <tableColumn id="895" name="Column895"/>
    <tableColumn id="896" name="Column896"/>
    <tableColumn id="897" name="Column897"/>
    <tableColumn id="898" name="Column898"/>
    <tableColumn id="899" name="Column899"/>
    <tableColumn id="900" name="Column900"/>
    <tableColumn id="901" name="Column901"/>
    <tableColumn id="902" name="Column902"/>
    <tableColumn id="903" name="Column903"/>
    <tableColumn id="904" name="Column904"/>
    <tableColumn id="905" name="Column905"/>
    <tableColumn id="906" name="Column906"/>
    <tableColumn id="907" name="Column907"/>
    <tableColumn id="908" name="Column908"/>
    <tableColumn id="909" name="Column909"/>
    <tableColumn id="910" name="Column910"/>
    <tableColumn id="911" name="Column911"/>
    <tableColumn id="912" name="Column912"/>
    <tableColumn id="913" name="Column913"/>
    <tableColumn id="914" name="Column914"/>
    <tableColumn id="915" name="Column915"/>
    <tableColumn id="916" name="Column916"/>
    <tableColumn id="917" name="Column917"/>
    <tableColumn id="918" name="Column918"/>
    <tableColumn id="919" name="Column919"/>
    <tableColumn id="920" name="Column920"/>
    <tableColumn id="921" name="Column921"/>
    <tableColumn id="922" name="Column922"/>
    <tableColumn id="923" name="Column923"/>
    <tableColumn id="924" name="Column924"/>
    <tableColumn id="925" name="Column925"/>
    <tableColumn id="926" name="Column926"/>
    <tableColumn id="927" name="Column927"/>
    <tableColumn id="928" name="Column928"/>
    <tableColumn id="929" name="Column929"/>
    <tableColumn id="930" name="Column930"/>
    <tableColumn id="931" name="Column931"/>
    <tableColumn id="932" name="Column932"/>
    <tableColumn id="933" name="Column933"/>
    <tableColumn id="934" name="Column934"/>
    <tableColumn id="935" name="Column935"/>
    <tableColumn id="936" name="Column936"/>
    <tableColumn id="937" name="Column937"/>
    <tableColumn id="938" name="Column938"/>
    <tableColumn id="939" name="Column939"/>
    <tableColumn id="940" name="Column940"/>
    <tableColumn id="941" name="Column941"/>
    <tableColumn id="942" name="Column942"/>
    <tableColumn id="943" name="Column943"/>
    <tableColumn id="944" name="Column944"/>
    <tableColumn id="945" name="Column945"/>
    <tableColumn id="946" name="Column946"/>
    <tableColumn id="947" name="Column947"/>
    <tableColumn id="948" name="Column948"/>
    <tableColumn id="949" name="Column949"/>
    <tableColumn id="950" name="Column950"/>
    <tableColumn id="951" name="Column951"/>
    <tableColumn id="952" name="Column952"/>
  </tableColumns>
</table>
</file>

<file path=xl/tables/table6.xml><?xml version="1.0" encoding="utf-8"?>
<table xmlns="http://schemas.openxmlformats.org/spreadsheetml/2006/main" id="6" name="Table_6" displayName="Table_6" ref="A297:AJP318" headerRowCount="0" totalsRowCount="0" totalsRowShown="0">
  <tableColumns count="95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  <tableColumn id="157" name="Column157"/>
    <tableColumn id="158" name="Column158"/>
    <tableColumn id="159" name="Column159"/>
    <tableColumn id="160" name="Column160"/>
    <tableColumn id="161" name="Column161"/>
    <tableColumn id="162" name="Column162"/>
    <tableColumn id="163" name="Column163"/>
    <tableColumn id="164" name="Column164"/>
    <tableColumn id="165" name="Column165"/>
    <tableColumn id="166" name="Column166"/>
    <tableColumn id="167" name="Column167"/>
    <tableColumn id="168" name="Column168"/>
    <tableColumn id="169" name="Column169"/>
    <tableColumn id="170" name="Column170"/>
    <tableColumn id="171" name="Column171"/>
    <tableColumn id="172" name="Column172"/>
    <tableColumn id="173" name="Column173"/>
    <tableColumn id="174" name="Column174"/>
    <tableColumn id="175" name="Column175"/>
    <tableColumn id="176" name="Column176"/>
    <tableColumn id="177" name="Column177"/>
    <tableColumn id="178" name="Column178"/>
    <tableColumn id="179" name="Column179"/>
    <tableColumn id="180" name="Column180"/>
    <tableColumn id="181" name="Column181"/>
    <tableColumn id="182" name="Column182"/>
    <tableColumn id="183" name="Column183"/>
    <tableColumn id="184" name="Column184"/>
    <tableColumn id="185" name="Column185"/>
    <tableColumn id="186" name="Column186"/>
    <tableColumn id="187" name="Column187"/>
    <tableColumn id="188" name="Column188"/>
    <tableColumn id="189" name="Column189"/>
    <tableColumn id="190" name="Column190"/>
    <tableColumn id="191" name="Column191"/>
    <tableColumn id="192" name="Column192"/>
    <tableColumn id="193" name="Column193"/>
    <tableColumn id="194" name="Column194"/>
    <tableColumn id="195" name="Column195"/>
    <tableColumn id="196" name="Column196"/>
    <tableColumn id="197" name="Column197"/>
    <tableColumn id="198" name="Column198"/>
    <tableColumn id="199" name="Column199"/>
    <tableColumn id="200" name="Column200"/>
    <tableColumn id="201" name="Column201"/>
    <tableColumn id="202" name="Column202"/>
    <tableColumn id="203" name="Column203"/>
    <tableColumn id="204" name="Column204"/>
    <tableColumn id="205" name="Column205"/>
    <tableColumn id="206" name="Column206"/>
    <tableColumn id="207" name="Column207"/>
    <tableColumn id="208" name="Column208"/>
    <tableColumn id="209" name="Column209"/>
    <tableColumn id="210" name="Column210"/>
    <tableColumn id="211" name="Column211"/>
    <tableColumn id="212" name="Column212"/>
    <tableColumn id="213" name="Column213"/>
    <tableColumn id="214" name="Column214"/>
    <tableColumn id="215" name="Column215"/>
    <tableColumn id="216" name="Column216"/>
    <tableColumn id="217" name="Column217"/>
    <tableColumn id="218" name="Column218"/>
    <tableColumn id="219" name="Column219"/>
    <tableColumn id="220" name="Column220"/>
    <tableColumn id="221" name="Column221"/>
    <tableColumn id="222" name="Column222"/>
    <tableColumn id="223" name="Column223"/>
    <tableColumn id="224" name="Column224"/>
    <tableColumn id="225" name="Column225"/>
    <tableColumn id="226" name="Column226"/>
    <tableColumn id="227" name="Column227"/>
    <tableColumn id="228" name="Column228"/>
    <tableColumn id="229" name="Column229"/>
    <tableColumn id="230" name="Column230"/>
    <tableColumn id="231" name="Column231"/>
    <tableColumn id="232" name="Column232"/>
    <tableColumn id="233" name="Column233"/>
    <tableColumn id="234" name="Column234"/>
    <tableColumn id="235" name="Column235"/>
    <tableColumn id="236" name="Column236"/>
    <tableColumn id="237" name="Column237"/>
    <tableColumn id="238" name="Column238"/>
    <tableColumn id="239" name="Column239"/>
    <tableColumn id="240" name="Column240"/>
    <tableColumn id="241" name="Column241"/>
    <tableColumn id="242" name="Column242"/>
    <tableColumn id="243" name="Column243"/>
    <tableColumn id="244" name="Column244"/>
    <tableColumn id="245" name="Column245"/>
    <tableColumn id="246" name="Column246"/>
    <tableColumn id="247" name="Column247"/>
    <tableColumn id="248" name="Column248"/>
    <tableColumn id="249" name="Column249"/>
    <tableColumn id="250" name="Column250"/>
    <tableColumn id="251" name="Column251"/>
    <tableColumn id="252" name="Column252"/>
    <tableColumn id="253" name="Column253"/>
    <tableColumn id="254" name="Column254"/>
    <tableColumn id="255" name="Column255"/>
    <tableColumn id="256" name="Column256"/>
    <tableColumn id="257" name="Column257"/>
    <tableColumn id="258" name="Column258"/>
    <tableColumn id="259" name="Column259"/>
    <tableColumn id="260" name="Column260"/>
    <tableColumn id="261" name="Column261"/>
    <tableColumn id="262" name="Column262"/>
    <tableColumn id="263" name="Column263"/>
    <tableColumn id="264" name="Column264"/>
    <tableColumn id="265" name="Column265"/>
    <tableColumn id="266" name="Column266"/>
    <tableColumn id="267" name="Column267"/>
    <tableColumn id="268" name="Column268"/>
    <tableColumn id="269" name="Column269"/>
    <tableColumn id="270" name="Column270"/>
    <tableColumn id="271" name="Column271"/>
    <tableColumn id="272" name="Column272"/>
    <tableColumn id="273" name="Column273"/>
    <tableColumn id="274" name="Column274"/>
    <tableColumn id="275" name="Column275"/>
    <tableColumn id="276" name="Column276"/>
    <tableColumn id="277" name="Column277"/>
    <tableColumn id="278" name="Column278"/>
    <tableColumn id="279" name="Column279"/>
    <tableColumn id="280" name="Column280"/>
    <tableColumn id="281" name="Column281"/>
    <tableColumn id="282" name="Column282"/>
    <tableColumn id="283" name="Column283"/>
    <tableColumn id="284" name="Column284"/>
    <tableColumn id="285" name="Column285"/>
    <tableColumn id="286" name="Column286"/>
    <tableColumn id="287" name="Column287"/>
    <tableColumn id="288" name="Column288"/>
    <tableColumn id="289" name="Column289"/>
    <tableColumn id="290" name="Column290"/>
    <tableColumn id="291" name="Column291"/>
    <tableColumn id="292" name="Column292"/>
    <tableColumn id="293" name="Column293"/>
    <tableColumn id="294" name="Column294"/>
    <tableColumn id="295" name="Column295"/>
    <tableColumn id="296" name="Column296"/>
    <tableColumn id="297" name="Column297"/>
    <tableColumn id="298" name="Column298"/>
    <tableColumn id="299" name="Column299"/>
    <tableColumn id="300" name="Column300"/>
    <tableColumn id="301" name="Column301"/>
    <tableColumn id="302" name="Column302"/>
    <tableColumn id="303" name="Column303"/>
    <tableColumn id="304" name="Column304"/>
    <tableColumn id="305" name="Column305"/>
    <tableColumn id="306" name="Column306"/>
    <tableColumn id="307" name="Column307"/>
    <tableColumn id="308" name="Column308"/>
    <tableColumn id="309" name="Column309"/>
    <tableColumn id="310" name="Column310"/>
    <tableColumn id="311" name="Column311"/>
    <tableColumn id="312" name="Column312"/>
    <tableColumn id="313" name="Column313"/>
    <tableColumn id="314" name="Column314"/>
    <tableColumn id="315" name="Column315"/>
    <tableColumn id="316" name="Column316"/>
    <tableColumn id="317" name="Column317"/>
    <tableColumn id="318" name="Column318"/>
    <tableColumn id="319" name="Column319"/>
    <tableColumn id="320" name="Column320"/>
    <tableColumn id="321" name="Column321"/>
    <tableColumn id="322" name="Column322"/>
    <tableColumn id="323" name="Column323"/>
    <tableColumn id="324" name="Column324"/>
    <tableColumn id="325" name="Column325"/>
    <tableColumn id="326" name="Column326"/>
    <tableColumn id="327" name="Column327"/>
    <tableColumn id="328" name="Column328"/>
    <tableColumn id="329" name="Column329"/>
    <tableColumn id="330" name="Column330"/>
    <tableColumn id="331" name="Column331"/>
    <tableColumn id="332" name="Column332"/>
    <tableColumn id="333" name="Column333"/>
    <tableColumn id="334" name="Column334"/>
    <tableColumn id="335" name="Column335"/>
    <tableColumn id="336" name="Column336"/>
    <tableColumn id="337" name="Column337"/>
    <tableColumn id="338" name="Column338"/>
    <tableColumn id="339" name="Column339"/>
    <tableColumn id="340" name="Column340"/>
    <tableColumn id="341" name="Column341"/>
    <tableColumn id="342" name="Column342"/>
    <tableColumn id="343" name="Column343"/>
    <tableColumn id="344" name="Column344"/>
    <tableColumn id="345" name="Column345"/>
    <tableColumn id="346" name="Column346"/>
    <tableColumn id="347" name="Column347"/>
    <tableColumn id="348" name="Column348"/>
    <tableColumn id="349" name="Column349"/>
    <tableColumn id="350" name="Column350"/>
    <tableColumn id="351" name="Column351"/>
    <tableColumn id="352" name="Column352"/>
    <tableColumn id="353" name="Column353"/>
    <tableColumn id="354" name="Column354"/>
    <tableColumn id="355" name="Column355"/>
    <tableColumn id="356" name="Column356"/>
    <tableColumn id="357" name="Column357"/>
    <tableColumn id="358" name="Column358"/>
    <tableColumn id="359" name="Column359"/>
    <tableColumn id="360" name="Column360"/>
    <tableColumn id="361" name="Column361"/>
    <tableColumn id="362" name="Column362"/>
    <tableColumn id="363" name="Column363"/>
    <tableColumn id="364" name="Column364"/>
    <tableColumn id="365" name="Column365"/>
    <tableColumn id="366" name="Column366"/>
    <tableColumn id="367" name="Column367"/>
    <tableColumn id="368" name="Column368"/>
    <tableColumn id="369" name="Column369"/>
    <tableColumn id="370" name="Column370"/>
    <tableColumn id="371" name="Column371"/>
    <tableColumn id="372" name="Column372"/>
    <tableColumn id="373" name="Column373"/>
    <tableColumn id="374" name="Column374"/>
    <tableColumn id="375" name="Column375"/>
    <tableColumn id="376" name="Column376"/>
    <tableColumn id="377" name="Column377"/>
    <tableColumn id="378" name="Column378"/>
    <tableColumn id="379" name="Column379"/>
    <tableColumn id="380" name="Column380"/>
    <tableColumn id="381" name="Column381"/>
    <tableColumn id="382" name="Column382"/>
    <tableColumn id="383" name="Column383"/>
    <tableColumn id="384" name="Column384"/>
    <tableColumn id="385" name="Column385"/>
    <tableColumn id="386" name="Column386"/>
    <tableColumn id="387" name="Column387"/>
    <tableColumn id="388" name="Column388"/>
    <tableColumn id="389" name="Column389"/>
    <tableColumn id="390" name="Column390"/>
    <tableColumn id="391" name="Column391"/>
    <tableColumn id="392" name="Column392"/>
    <tableColumn id="393" name="Column393"/>
    <tableColumn id="394" name="Column394"/>
    <tableColumn id="395" name="Column395"/>
    <tableColumn id="396" name="Column396"/>
    <tableColumn id="397" name="Column397"/>
    <tableColumn id="398" name="Column398"/>
    <tableColumn id="399" name="Column399"/>
    <tableColumn id="400" name="Column400"/>
    <tableColumn id="401" name="Column401"/>
    <tableColumn id="402" name="Column402"/>
    <tableColumn id="403" name="Column403"/>
    <tableColumn id="404" name="Column404"/>
    <tableColumn id="405" name="Column405"/>
    <tableColumn id="406" name="Column406"/>
    <tableColumn id="407" name="Column407"/>
    <tableColumn id="408" name="Column408"/>
    <tableColumn id="409" name="Column409"/>
    <tableColumn id="410" name="Column410"/>
    <tableColumn id="411" name="Column411"/>
    <tableColumn id="412" name="Column412"/>
    <tableColumn id="413" name="Column413"/>
    <tableColumn id="414" name="Column414"/>
    <tableColumn id="415" name="Column415"/>
    <tableColumn id="416" name="Column416"/>
    <tableColumn id="417" name="Column417"/>
    <tableColumn id="418" name="Column418"/>
    <tableColumn id="419" name="Column419"/>
    <tableColumn id="420" name="Column420"/>
    <tableColumn id="421" name="Column421"/>
    <tableColumn id="422" name="Column422"/>
    <tableColumn id="423" name="Column423"/>
    <tableColumn id="424" name="Column424"/>
    <tableColumn id="425" name="Column425"/>
    <tableColumn id="426" name="Column426"/>
    <tableColumn id="427" name="Column427"/>
    <tableColumn id="428" name="Column428"/>
    <tableColumn id="429" name="Column429"/>
    <tableColumn id="430" name="Column430"/>
    <tableColumn id="431" name="Column431"/>
    <tableColumn id="432" name="Column432"/>
    <tableColumn id="433" name="Column433"/>
    <tableColumn id="434" name="Column434"/>
    <tableColumn id="435" name="Column435"/>
    <tableColumn id="436" name="Column436"/>
    <tableColumn id="437" name="Column437"/>
    <tableColumn id="438" name="Column438"/>
    <tableColumn id="439" name="Column439"/>
    <tableColumn id="440" name="Column440"/>
    <tableColumn id="441" name="Column441"/>
    <tableColumn id="442" name="Column442"/>
    <tableColumn id="443" name="Column443"/>
    <tableColumn id="444" name="Column444"/>
    <tableColumn id="445" name="Column445"/>
    <tableColumn id="446" name="Column446"/>
    <tableColumn id="447" name="Column447"/>
    <tableColumn id="448" name="Column448"/>
    <tableColumn id="449" name="Column449"/>
    <tableColumn id="450" name="Column450"/>
    <tableColumn id="451" name="Column451"/>
    <tableColumn id="452" name="Column452"/>
    <tableColumn id="453" name="Column453"/>
    <tableColumn id="454" name="Column454"/>
    <tableColumn id="455" name="Column455"/>
    <tableColumn id="456" name="Column456"/>
    <tableColumn id="457" name="Column457"/>
    <tableColumn id="458" name="Column458"/>
    <tableColumn id="459" name="Column459"/>
    <tableColumn id="460" name="Column460"/>
    <tableColumn id="461" name="Column461"/>
    <tableColumn id="462" name="Column462"/>
    <tableColumn id="463" name="Column463"/>
    <tableColumn id="464" name="Column464"/>
    <tableColumn id="465" name="Column465"/>
    <tableColumn id="466" name="Column466"/>
    <tableColumn id="467" name="Column467"/>
    <tableColumn id="468" name="Column468"/>
    <tableColumn id="469" name="Column469"/>
    <tableColumn id="470" name="Column470"/>
    <tableColumn id="471" name="Column471"/>
    <tableColumn id="472" name="Column472"/>
    <tableColumn id="473" name="Column473"/>
    <tableColumn id="474" name="Column474"/>
    <tableColumn id="475" name="Column475"/>
    <tableColumn id="476" name="Column476"/>
    <tableColumn id="477" name="Column477"/>
    <tableColumn id="478" name="Column478"/>
    <tableColumn id="479" name="Column479"/>
    <tableColumn id="480" name="Column480"/>
    <tableColumn id="481" name="Column481"/>
    <tableColumn id="482" name="Column482"/>
    <tableColumn id="483" name="Column483"/>
    <tableColumn id="484" name="Column484"/>
    <tableColumn id="485" name="Column485"/>
    <tableColumn id="486" name="Column486"/>
    <tableColumn id="487" name="Column487"/>
    <tableColumn id="488" name="Column488"/>
    <tableColumn id="489" name="Column489"/>
    <tableColumn id="490" name="Column490"/>
    <tableColumn id="491" name="Column491"/>
    <tableColumn id="492" name="Column492"/>
    <tableColumn id="493" name="Column493"/>
    <tableColumn id="494" name="Column494"/>
    <tableColumn id="495" name="Column495"/>
    <tableColumn id="496" name="Column496"/>
    <tableColumn id="497" name="Column497"/>
    <tableColumn id="498" name="Column498"/>
    <tableColumn id="499" name="Column499"/>
    <tableColumn id="500" name="Column500"/>
    <tableColumn id="501" name="Column501"/>
    <tableColumn id="502" name="Column502"/>
    <tableColumn id="503" name="Column503"/>
    <tableColumn id="504" name="Column504"/>
    <tableColumn id="505" name="Column505"/>
    <tableColumn id="506" name="Column506"/>
    <tableColumn id="507" name="Column507"/>
    <tableColumn id="508" name="Column508"/>
    <tableColumn id="509" name="Column509"/>
    <tableColumn id="510" name="Column510"/>
    <tableColumn id="511" name="Column511"/>
    <tableColumn id="512" name="Column512"/>
    <tableColumn id="513" name="Column513"/>
    <tableColumn id="514" name="Column514"/>
    <tableColumn id="515" name="Column515"/>
    <tableColumn id="516" name="Column516"/>
    <tableColumn id="517" name="Column517"/>
    <tableColumn id="518" name="Column518"/>
    <tableColumn id="519" name="Column519"/>
    <tableColumn id="520" name="Column520"/>
    <tableColumn id="521" name="Column521"/>
    <tableColumn id="522" name="Column522"/>
    <tableColumn id="523" name="Column523"/>
    <tableColumn id="524" name="Column524"/>
    <tableColumn id="525" name="Column525"/>
    <tableColumn id="526" name="Column526"/>
    <tableColumn id="527" name="Column527"/>
    <tableColumn id="528" name="Column528"/>
    <tableColumn id="529" name="Column529"/>
    <tableColumn id="530" name="Column530"/>
    <tableColumn id="531" name="Column531"/>
    <tableColumn id="532" name="Column532"/>
    <tableColumn id="533" name="Column533"/>
    <tableColumn id="534" name="Column534"/>
    <tableColumn id="535" name="Column535"/>
    <tableColumn id="536" name="Column536"/>
    <tableColumn id="537" name="Column537"/>
    <tableColumn id="538" name="Column538"/>
    <tableColumn id="539" name="Column539"/>
    <tableColumn id="540" name="Column540"/>
    <tableColumn id="541" name="Column541"/>
    <tableColumn id="542" name="Column542"/>
    <tableColumn id="543" name="Column543"/>
    <tableColumn id="544" name="Column544"/>
    <tableColumn id="545" name="Column545"/>
    <tableColumn id="546" name="Column546"/>
    <tableColumn id="547" name="Column547"/>
    <tableColumn id="548" name="Column548"/>
    <tableColumn id="549" name="Column549"/>
    <tableColumn id="550" name="Column550"/>
    <tableColumn id="551" name="Column551"/>
    <tableColumn id="552" name="Column552"/>
    <tableColumn id="553" name="Column553"/>
    <tableColumn id="554" name="Column554"/>
    <tableColumn id="555" name="Column555"/>
    <tableColumn id="556" name="Column556"/>
    <tableColumn id="557" name="Column557"/>
    <tableColumn id="558" name="Column558"/>
    <tableColumn id="559" name="Column559"/>
    <tableColumn id="560" name="Column560"/>
    <tableColumn id="561" name="Column561"/>
    <tableColumn id="562" name="Column562"/>
    <tableColumn id="563" name="Column563"/>
    <tableColumn id="564" name="Column564"/>
    <tableColumn id="565" name="Column565"/>
    <tableColumn id="566" name="Column566"/>
    <tableColumn id="567" name="Column567"/>
    <tableColumn id="568" name="Column568"/>
    <tableColumn id="569" name="Column569"/>
    <tableColumn id="570" name="Column570"/>
    <tableColumn id="571" name="Column571"/>
    <tableColumn id="572" name="Column572"/>
    <tableColumn id="573" name="Column573"/>
    <tableColumn id="574" name="Column574"/>
    <tableColumn id="575" name="Column575"/>
    <tableColumn id="576" name="Column576"/>
    <tableColumn id="577" name="Column577"/>
    <tableColumn id="578" name="Column578"/>
    <tableColumn id="579" name="Column579"/>
    <tableColumn id="580" name="Column580"/>
    <tableColumn id="581" name="Column581"/>
    <tableColumn id="582" name="Column582"/>
    <tableColumn id="583" name="Column583"/>
    <tableColumn id="584" name="Column584"/>
    <tableColumn id="585" name="Column585"/>
    <tableColumn id="586" name="Column586"/>
    <tableColumn id="587" name="Column587"/>
    <tableColumn id="588" name="Column588"/>
    <tableColumn id="589" name="Column589"/>
    <tableColumn id="590" name="Column590"/>
    <tableColumn id="591" name="Column591"/>
    <tableColumn id="592" name="Column592"/>
    <tableColumn id="593" name="Column593"/>
    <tableColumn id="594" name="Column594"/>
    <tableColumn id="595" name="Column595"/>
    <tableColumn id="596" name="Column596"/>
    <tableColumn id="597" name="Column597"/>
    <tableColumn id="598" name="Column598"/>
    <tableColumn id="599" name="Column599"/>
    <tableColumn id="600" name="Column600"/>
    <tableColumn id="601" name="Column601"/>
    <tableColumn id="602" name="Column602"/>
    <tableColumn id="603" name="Column603"/>
    <tableColumn id="604" name="Column604"/>
    <tableColumn id="605" name="Column605"/>
    <tableColumn id="606" name="Column606"/>
    <tableColumn id="607" name="Column607"/>
    <tableColumn id="608" name="Column608"/>
    <tableColumn id="609" name="Column609"/>
    <tableColumn id="610" name="Column610"/>
    <tableColumn id="611" name="Column611"/>
    <tableColumn id="612" name="Column612"/>
    <tableColumn id="613" name="Column613"/>
    <tableColumn id="614" name="Column614"/>
    <tableColumn id="615" name="Column615"/>
    <tableColumn id="616" name="Column616"/>
    <tableColumn id="617" name="Column617"/>
    <tableColumn id="618" name="Column618"/>
    <tableColumn id="619" name="Column619"/>
    <tableColumn id="620" name="Column620"/>
    <tableColumn id="621" name="Column621"/>
    <tableColumn id="622" name="Column622"/>
    <tableColumn id="623" name="Column623"/>
    <tableColumn id="624" name="Column624"/>
    <tableColumn id="625" name="Column625"/>
    <tableColumn id="626" name="Column626"/>
    <tableColumn id="627" name="Column627"/>
    <tableColumn id="628" name="Column628"/>
    <tableColumn id="629" name="Column629"/>
    <tableColumn id="630" name="Column630"/>
    <tableColumn id="631" name="Column631"/>
    <tableColumn id="632" name="Column632"/>
    <tableColumn id="633" name="Column633"/>
    <tableColumn id="634" name="Column634"/>
    <tableColumn id="635" name="Column635"/>
    <tableColumn id="636" name="Column636"/>
    <tableColumn id="637" name="Column637"/>
    <tableColumn id="638" name="Column638"/>
    <tableColumn id="639" name="Column639"/>
    <tableColumn id="640" name="Column640"/>
    <tableColumn id="641" name="Column641"/>
    <tableColumn id="642" name="Column642"/>
    <tableColumn id="643" name="Column643"/>
    <tableColumn id="644" name="Column644"/>
    <tableColumn id="645" name="Column645"/>
    <tableColumn id="646" name="Column646"/>
    <tableColumn id="647" name="Column647"/>
    <tableColumn id="648" name="Column648"/>
    <tableColumn id="649" name="Column649"/>
    <tableColumn id="650" name="Column650"/>
    <tableColumn id="651" name="Column651"/>
    <tableColumn id="652" name="Column652"/>
    <tableColumn id="653" name="Column653"/>
    <tableColumn id="654" name="Column654"/>
    <tableColumn id="655" name="Column655"/>
    <tableColumn id="656" name="Column656"/>
    <tableColumn id="657" name="Column657"/>
    <tableColumn id="658" name="Column658"/>
    <tableColumn id="659" name="Column659"/>
    <tableColumn id="660" name="Column660"/>
    <tableColumn id="661" name="Column661"/>
    <tableColumn id="662" name="Column662"/>
    <tableColumn id="663" name="Column663"/>
    <tableColumn id="664" name="Column664"/>
    <tableColumn id="665" name="Column665"/>
    <tableColumn id="666" name="Column666"/>
    <tableColumn id="667" name="Column667"/>
    <tableColumn id="668" name="Column668"/>
    <tableColumn id="669" name="Column669"/>
    <tableColumn id="670" name="Column670"/>
    <tableColumn id="671" name="Column671"/>
    <tableColumn id="672" name="Column672"/>
    <tableColumn id="673" name="Column673"/>
    <tableColumn id="674" name="Column674"/>
    <tableColumn id="675" name="Column675"/>
    <tableColumn id="676" name="Column676"/>
    <tableColumn id="677" name="Column677"/>
    <tableColumn id="678" name="Column678"/>
    <tableColumn id="679" name="Column679"/>
    <tableColumn id="680" name="Column680"/>
    <tableColumn id="681" name="Column681"/>
    <tableColumn id="682" name="Column682"/>
    <tableColumn id="683" name="Column683"/>
    <tableColumn id="684" name="Column684"/>
    <tableColumn id="685" name="Column685"/>
    <tableColumn id="686" name="Column686"/>
    <tableColumn id="687" name="Column687"/>
    <tableColumn id="688" name="Column688"/>
    <tableColumn id="689" name="Column689"/>
    <tableColumn id="690" name="Column690"/>
    <tableColumn id="691" name="Column691"/>
    <tableColumn id="692" name="Column692"/>
    <tableColumn id="693" name="Column693"/>
    <tableColumn id="694" name="Column694"/>
    <tableColumn id="695" name="Column695"/>
    <tableColumn id="696" name="Column696"/>
    <tableColumn id="697" name="Column697"/>
    <tableColumn id="698" name="Column698"/>
    <tableColumn id="699" name="Column699"/>
    <tableColumn id="700" name="Column700"/>
    <tableColumn id="701" name="Column701"/>
    <tableColumn id="702" name="Column702"/>
    <tableColumn id="703" name="Column703"/>
    <tableColumn id="704" name="Column704"/>
    <tableColumn id="705" name="Column705"/>
    <tableColumn id="706" name="Column706"/>
    <tableColumn id="707" name="Column707"/>
    <tableColumn id="708" name="Column708"/>
    <tableColumn id="709" name="Column709"/>
    <tableColumn id="710" name="Column710"/>
    <tableColumn id="711" name="Column711"/>
    <tableColumn id="712" name="Column712"/>
    <tableColumn id="713" name="Column713"/>
    <tableColumn id="714" name="Column714"/>
    <tableColumn id="715" name="Column715"/>
    <tableColumn id="716" name="Column716"/>
    <tableColumn id="717" name="Column717"/>
    <tableColumn id="718" name="Column718"/>
    <tableColumn id="719" name="Column719"/>
    <tableColumn id="720" name="Column720"/>
    <tableColumn id="721" name="Column721"/>
    <tableColumn id="722" name="Column722"/>
    <tableColumn id="723" name="Column723"/>
    <tableColumn id="724" name="Column724"/>
    <tableColumn id="725" name="Column725"/>
    <tableColumn id="726" name="Column726"/>
    <tableColumn id="727" name="Column727"/>
    <tableColumn id="728" name="Column728"/>
    <tableColumn id="729" name="Column729"/>
    <tableColumn id="730" name="Column730"/>
    <tableColumn id="731" name="Column731"/>
    <tableColumn id="732" name="Column732"/>
    <tableColumn id="733" name="Column733"/>
    <tableColumn id="734" name="Column734"/>
    <tableColumn id="735" name="Column735"/>
    <tableColumn id="736" name="Column736"/>
    <tableColumn id="737" name="Column737"/>
    <tableColumn id="738" name="Column738"/>
    <tableColumn id="739" name="Column739"/>
    <tableColumn id="740" name="Column740"/>
    <tableColumn id="741" name="Column741"/>
    <tableColumn id="742" name="Column742"/>
    <tableColumn id="743" name="Column743"/>
    <tableColumn id="744" name="Column744"/>
    <tableColumn id="745" name="Column745"/>
    <tableColumn id="746" name="Column746"/>
    <tableColumn id="747" name="Column747"/>
    <tableColumn id="748" name="Column748"/>
    <tableColumn id="749" name="Column749"/>
    <tableColumn id="750" name="Column750"/>
    <tableColumn id="751" name="Column751"/>
    <tableColumn id="752" name="Column752"/>
    <tableColumn id="753" name="Column753"/>
    <tableColumn id="754" name="Column754"/>
    <tableColumn id="755" name="Column755"/>
    <tableColumn id="756" name="Column756"/>
    <tableColumn id="757" name="Column757"/>
    <tableColumn id="758" name="Column758"/>
    <tableColumn id="759" name="Column759"/>
    <tableColumn id="760" name="Column760"/>
    <tableColumn id="761" name="Column761"/>
    <tableColumn id="762" name="Column762"/>
    <tableColumn id="763" name="Column763"/>
    <tableColumn id="764" name="Column764"/>
    <tableColumn id="765" name="Column765"/>
    <tableColumn id="766" name="Column766"/>
    <tableColumn id="767" name="Column767"/>
    <tableColumn id="768" name="Column768"/>
    <tableColumn id="769" name="Column769"/>
    <tableColumn id="770" name="Column770"/>
    <tableColumn id="771" name="Column771"/>
    <tableColumn id="772" name="Column772"/>
    <tableColumn id="773" name="Column773"/>
    <tableColumn id="774" name="Column774"/>
    <tableColumn id="775" name="Column775"/>
    <tableColumn id="776" name="Column776"/>
    <tableColumn id="777" name="Column777"/>
    <tableColumn id="778" name="Column778"/>
    <tableColumn id="779" name="Column779"/>
    <tableColumn id="780" name="Column780"/>
    <tableColumn id="781" name="Column781"/>
    <tableColumn id="782" name="Column782"/>
    <tableColumn id="783" name="Column783"/>
    <tableColumn id="784" name="Column784"/>
    <tableColumn id="785" name="Column785"/>
    <tableColumn id="786" name="Column786"/>
    <tableColumn id="787" name="Column787"/>
    <tableColumn id="788" name="Column788"/>
    <tableColumn id="789" name="Column789"/>
    <tableColumn id="790" name="Column790"/>
    <tableColumn id="791" name="Column791"/>
    <tableColumn id="792" name="Column792"/>
    <tableColumn id="793" name="Column793"/>
    <tableColumn id="794" name="Column794"/>
    <tableColumn id="795" name="Column795"/>
    <tableColumn id="796" name="Column796"/>
    <tableColumn id="797" name="Column797"/>
    <tableColumn id="798" name="Column798"/>
    <tableColumn id="799" name="Column799"/>
    <tableColumn id="800" name="Column800"/>
    <tableColumn id="801" name="Column801"/>
    <tableColumn id="802" name="Column802"/>
    <tableColumn id="803" name="Column803"/>
    <tableColumn id="804" name="Column804"/>
    <tableColumn id="805" name="Column805"/>
    <tableColumn id="806" name="Column806"/>
    <tableColumn id="807" name="Column807"/>
    <tableColumn id="808" name="Column808"/>
    <tableColumn id="809" name="Column809"/>
    <tableColumn id="810" name="Column810"/>
    <tableColumn id="811" name="Column811"/>
    <tableColumn id="812" name="Column812"/>
    <tableColumn id="813" name="Column813"/>
    <tableColumn id="814" name="Column814"/>
    <tableColumn id="815" name="Column815"/>
    <tableColumn id="816" name="Column816"/>
    <tableColumn id="817" name="Column817"/>
    <tableColumn id="818" name="Column818"/>
    <tableColumn id="819" name="Column819"/>
    <tableColumn id="820" name="Column820"/>
    <tableColumn id="821" name="Column821"/>
    <tableColumn id="822" name="Column822"/>
    <tableColumn id="823" name="Column823"/>
    <tableColumn id="824" name="Column824"/>
    <tableColumn id="825" name="Column825"/>
    <tableColumn id="826" name="Column826"/>
    <tableColumn id="827" name="Column827"/>
    <tableColumn id="828" name="Column828"/>
    <tableColumn id="829" name="Column829"/>
    <tableColumn id="830" name="Column830"/>
    <tableColumn id="831" name="Column831"/>
    <tableColumn id="832" name="Column832"/>
    <tableColumn id="833" name="Column833"/>
    <tableColumn id="834" name="Column834"/>
    <tableColumn id="835" name="Column835"/>
    <tableColumn id="836" name="Column836"/>
    <tableColumn id="837" name="Column837"/>
    <tableColumn id="838" name="Column838"/>
    <tableColumn id="839" name="Column839"/>
    <tableColumn id="840" name="Column840"/>
    <tableColumn id="841" name="Column841"/>
    <tableColumn id="842" name="Column842"/>
    <tableColumn id="843" name="Column843"/>
    <tableColumn id="844" name="Column844"/>
    <tableColumn id="845" name="Column845"/>
    <tableColumn id="846" name="Column846"/>
    <tableColumn id="847" name="Column847"/>
    <tableColumn id="848" name="Column848"/>
    <tableColumn id="849" name="Column849"/>
    <tableColumn id="850" name="Column850"/>
    <tableColumn id="851" name="Column851"/>
    <tableColumn id="852" name="Column852"/>
    <tableColumn id="853" name="Column853"/>
    <tableColumn id="854" name="Column854"/>
    <tableColumn id="855" name="Column855"/>
    <tableColumn id="856" name="Column856"/>
    <tableColumn id="857" name="Column857"/>
    <tableColumn id="858" name="Column858"/>
    <tableColumn id="859" name="Column859"/>
    <tableColumn id="860" name="Column860"/>
    <tableColumn id="861" name="Column861"/>
    <tableColumn id="862" name="Column862"/>
    <tableColumn id="863" name="Column863"/>
    <tableColumn id="864" name="Column864"/>
    <tableColumn id="865" name="Column865"/>
    <tableColumn id="866" name="Column866"/>
    <tableColumn id="867" name="Column867"/>
    <tableColumn id="868" name="Column868"/>
    <tableColumn id="869" name="Column869"/>
    <tableColumn id="870" name="Column870"/>
    <tableColumn id="871" name="Column871"/>
    <tableColumn id="872" name="Column872"/>
    <tableColumn id="873" name="Column873"/>
    <tableColumn id="874" name="Column874"/>
    <tableColumn id="875" name="Column875"/>
    <tableColumn id="876" name="Column876"/>
    <tableColumn id="877" name="Column877"/>
    <tableColumn id="878" name="Column878"/>
    <tableColumn id="879" name="Column879"/>
    <tableColumn id="880" name="Column880"/>
    <tableColumn id="881" name="Column881"/>
    <tableColumn id="882" name="Column882"/>
    <tableColumn id="883" name="Column883"/>
    <tableColumn id="884" name="Column884"/>
    <tableColumn id="885" name="Column885"/>
    <tableColumn id="886" name="Column886"/>
    <tableColumn id="887" name="Column887"/>
    <tableColumn id="888" name="Column888"/>
    <tableColumn id="889" name="Column889"/>
    <tableColumn id="890" name="Column890"/>
    <tableColumn id="891" name="Column891"/>
    <tableColumn id="892" name="Column892"/>
    <tableColumn id="893" name="Column893"/>
    <tableColumn id="894" name="Column894"/>
    <tableColumn id="895" name="Column895"/>
    <tableColumn id="896" name="Column896"/>
    <tableColumn id="897" name="Column897"/>
    <tableColumn id="898" name="Column898"/>
    <tableColumn id="899" name="Column899"/>
    <tableColumn id="900" name="Column900"/>
    <tableColumn id="901" name="Column901"/>
    <tableColumn id="902" name="Column902"/>
    <tableColumn id="903" name="Column903"/>
    <tableColumn id="904" name="Column904"/>
    <tableColumn id="905" name="Column905"/>
    <tableColumn id="906" name="Column906"/>
    <tableColumn id="907" name="Column907"/>
    <tableColumn id="908" name="Column908"/>
    <tableColumn id="909" name="Column909"/>
    <tableColumn id="910" name="Column910"/>
    <tableColumn id="911" name="Column911"/>
    <tableColumn id="912" name="Column912"/>
    <tableColumn id="913" name="Column913"/>
    <tableColumn id="914" name="Column914"/>
    <tableColumn id="915" name="Column915"/>
    <tableColumn id="916" name="Column916"/>
    <tableColumn id="917" name="Column917"/>
    <tableColumn id="918" name="Column918"/>
    <tableColumn id="919" name="Column919"/>
    <tableColumn id="920" name="Column920"/>
    <tableColumn id="921" name="Column921"/>
    <tableColumn id="922" name="Column922"/>
    <tableColumn id="923" name="Column923"/>
    <tableColumn id="924" name="Column924"/>
    <tableColumn id="925" name="Column925"/>
    <tableColumn id="926" name="Column926"/>
    <tableColumn id="927" name="Column927"/>
    <tableColumn id="928" name="Column928"/>
    <tableColumn id="929" name="Column929"/>
    <tableColumn id="930" name="Column930"/>
    <tableColumn id="931" name="Column931"/>
    <tableColumn id="932" name="Column932"/>
    <tableColumn id="933" name="Column933"/>
    <tableColumn id="934" name="Column934"/>
    <tableColumn id="935" name="Column935"/>
    <tableColumn id="936" name="Column936"/>
    <tableColumn id="937" name="Column937"/>
    <tableColumn id="938" name="Column938"/>
    <tableColumn id="939" name="Column939"/>
    <tableColumn id="940" name="Column940"/>
    <tableColumn id="941" name="Column941"/>
    <tableColumn id="942" name="Column942"/>
    <tableColumn id="943" name="Column943"/>
    <tableColumn id="944" name="Column944"/>
    <tableColumn id="945" name="Column945"/>
    <tableColumn id="946" name="Column946"/>
    <tableColumn id="947" name="Column947"/>
    <tableColumn id="948" name="Column948"/>
    <tableColumn id="949" name="Column949"/>
    <tableColumn id="950" name="Column950"/>
    <tableColumn id="951" name="Column951"/>
    <tableColumn id="952" name="Column952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eb.archive.org/web/20230619022017/https://www.commerce.alaska.gov/web/Portals/9/pub/MCB/Minutes/2020/01.23/Tab6.pdf" TargetMode="External"/><Relationship Id="rId3" Type="http://schemas.openxmlformats.org/officeDocument/2006/relationships/hyperlink" Target="https://web.archive.org/web/20230619022017/https://www.commerce.alaska.gov/web/Portals/9/pub/MCB/Minutes/2020/01.23/Tab6.pdf" TargetMode="External"/><Relationship Id="rId4" Type="http://schemas.openxmlformats.org/officeDocument/2006/relationships/hyperlink" Target="https://web.archive.org/web/20250719042132/https://www.commerce.alaska.gov/web/Portals/9/pub/HomePage/Press%20Release/Director%20Advisory.administrativehold.3.2.23.final%20(2).pdf" TargetMode="External"/><Relationship Id="rId5" Type="http://schemas.openxmlformats.org/officeDocument/2006/relationships/hyperlink" Target="https://web.archive.org/web/20250719042132/https://www.commerce.alaska.gov/web/Portals/9/pub/HomePage/Press%20Release/Director%20Advisory.administrativehold.3.2.23.final%20(2).pdf" TargetMode="External"/><Relationship Id="rId6" Type="http://schemas.openxmlformats.org/officeDocument/2006/relationships/hyperlink" Target="https://web.archive.org/web/20260000000000*/https://www.azdhs.gov/director/public-information-office/index.php" TargetMode="External"/><Relationship Id="rId7" Type="http://schemas.openxmlformats.org/officeDocument/2006/relationships/hyperlink" Target="https://web.archive.org/web/20260000000000*/https://www.azdhs.gov/director/public-information-office/index.php" TargetMode="External"/><Relationship Id="rId8" Type="http://schemas.openxmlformats.org/officeDocument/2006/relationships/hyperlink" Target="https://www.azdhs.gov/director/public-information-office/index.php" TargetMode="External"/><Relationship Id="rId9" Type="http://schemas.openxmlformats.org/officeDocument/2006/relationships/hyperlink" Target="https://www.azdhs.gov/director/public-information-office/index.php" TargetMode="External"/><Relationship Id="rId10" Type="http://schemas.openxmlformats.org/officeDocument/2006/relationships/hyperlink" Target="https://www.azdhs.gov/director/public-information-office/index.php" TargetMode="External"/><Relationship Id="rId11" Type="http://schemas.openxmlformats.org/officeDocument/2006/relationships/hyperlink" Target="https://www.azdhs.gov/director/public-information-office/index.php" TargetMode="External"/><Relationship Id="rId12" Type="http://schemas.openxmlformats.org/officeDocument/2006/relationships/hyperlink" Target="https://www.azdhs.gov/director/public-information-office/index.php" TargetMode="External"/><Relationship Id="rId13" Type="http://schemas.openxmlformats.org/officeDocument/2006/relationships/hyperlink" Target="https://www.azdhs.gov/director/public-information-office/index.php" TargetMode="External"/><Relationship Id="rId14" Type="http://schemas.openxmlformats.org/officeDocument/2006/relationships/hyperlink" Target="https://www.azdhs.gov/director/public-information-office/index.php" TargetMode="External"/><Relationship Id="rId15" Type="http://schemas.openxmlformats.org/officeDocument/2006/relationships/hyperlink" Target="https://www.azdhs.gov/director/public-information-office/index.php" TargetMode="External"/><Relationship Id="rId16" Type="http://schemas.openxmlformats.org/officeDocument/2006/relationships/hyperlink" Target="https://www.azdhs.gov/director/public-information-office/index.php" TargetMode="External"/><Relationship Id="rId17" Type="http://schemas.openxmlformats.org/officeDocument/2006/relationships/hyperlink" Target="https://www.azdhs.gov/director/public-information-office/index.php" TargetMode="External"/><Relationship Id="rId18" Type="http://schemas.openxmlformats.org/officeDocument/2006/relationships/hyperlink" Target="https://www.azdhs.gov/director/public-information-office/index.php" TargetMode="External"/><Relationship Id="rId19" Type="http://schemas.openxmlformats.org/officeDocument/2006/relationships/hyperlink" Target="https://www.azdhs.gov/director/public-information-office/index.php" TargetMode="External"/><Relationship Id="rId20" Type="http://schemas.openxmlformats.org/officeDocument/2006/relationships/hyperlink" Target="https://www.azdhs.gov/director/public-information-office/index.php" TargetMode="External"/><Relationship Id="rId21" Type="http://schemas.openxmlformats.org/officeDocument/2006/relationships/hyperlink" Target="https://www.azdhs.gov/director/public-information-office/index.php" TargetMode="External"/><Relationship Id="rId22" Type="http://schemas.openxmlformats.org/officeDocument/2006/relationships/hyperlink" Target="https://www.azdhs.gov/director/public-information-office/index.php" TargetMode="External"/><Relationship Id="rId23" Type="http://schemas.openxmlformats.org/officeDocument/2006/relationships/hyperlink" Target="https://www.azdhs.gov/policy-intergovernmental-affairs/index.php" TargetMode="External"/><Relationship Id="rId24" Type="http://schemas.openxmlformats.org/officeDocument/2006/relationships/hyperlink" Target="https://www.azdhs.gov/director/public-information-office/index.php" TargetMode="External"/><Relationship Id="rId25" Type="http://schemas.openxmlformats.org/officeDocument/2006/relationships/hyperlink" Target="https://www.azdhs.gov/director/public-information-office/index.php" TargetMode="External"/><Relationship Id="rId26" Type="http://schemas.openxmlformats.org/officeDocument/2006/relationships/hyperlink" Target="https://www.azdhs.gov/director/public-information-office/index.php" TargetMode="External"/><Relationship Id="rId27" Type="http://schemas.openxmlformats.org/officeDocument/2006/relationships/hyperlink" Target="https://www.azdhs.gov/director/public-information-office/index.php" TargetMode="External"/><Relationship Id="rId28" Type="http://schemas.openxmlformats.org/officeDocument/2006/relationships/hyperlink" Target="https://www.azdhs.gov/policy-intergovernmental-affairs/index.php" TargetMode="External"/><Relationship Id="rId29" Type="http://schemas.openxmlformats.org/officeDocument/2006/relationships/hyperlink" Target="https://www.azdhs.gov/policy-intergovernmental-affairs/index.php" TargetMode="External"/><Relationship Id="rId30" Type="http://schemas.openxmlformats.org/officeDocument/2006/relationships/hyperlink" Target="https://www.azdhs.gov/policy-intergovernmental-affairs/index.php" TargetMode="External"/><Relationship Id="rId31" Type="http://schemas.openxmlformats.org/officeDocument/2006/relationships/hyperlink" Target="https://www.azdhs.gov/policy-intergovernmental-affairs/index.php" TargetMode="External"/><Relationship Id="rId32" Type="http://schemas.openxmlformats.org/officeDocument/2006/relationships/hyperlink" Target="https://www.azdhs.gov/policy-intergovernmental-affairs/index.php" TargetMode="External"/><Relationship Id="rId33" Type="http://schemas.openxmlformats.org/officeDocument/2006/relationships/hyperlink" Target="https://www.azdhs.gov/policy-intergovernmental-affairs/index.php" TargetMode="External"/><Relationship Id="rId34" Type="http://schemas.openxmlformats.org/officeDocument/2006/relationships/hyperlink" Target="https://www.azdhs.gov/policy-intergovernmental-affairs/index.php" TargetMode="External"/><Relationship Id="rId35" Type="http://schemas.openxmlformats.org/officeDocument/2006/relationships/hyperlink" Target="https://www.azdhs.gov/policy-intergovernmental-affairs/index.php" TargetMode="External"/><Relationship Id="rId36" Type="http://schemas.openxmlformats.org/officeDocument/2006/relationships/hyperlink" Target="https://www.azdhs.gov/policy-intergovernmental-affairs/index.php" TargetMode="External"/><Relationship Id="rId37" Type="http://schemas.openxmlformats.org/officeDocument/2006/relationships/hyperlink" Target="https://www.azdhs.gov/policy-intergovernmental-affairs/index.php" TargetMode="External"/><Relationship Id="rId38" Type="http://schemas.openxmlformats.org/officeDocument/2006/relationships/hyperlink" Target="https://www.azdhs.gov/policy-intergovernmental-affairs/index.php" TargetMode="External"/><Relationship Id="rId39" Type="http://schemas.openxmlformats.org/officeDocument/2006/relationships/hyperlink" Target="https://www.azdhs.gov/policy-intergovernmental-affairs/index.php" TargetMode="External"/><Relationship Id="rId40" Type="http://schemas.openxmlformats.org/officeDocument/2006/relationships/hyperlink" Target="https://www.azdhs.gov/policy-intergovernmental-affairs/index.php" TargetMode="External"/><Relationship Id="rId41" Type="http://schemas.openxmlformats.org/officeDocument/2006/relationships/hyperlink" Target="https://www.azdhs.gov/documents/policy-intergovernmental-affairs/public-information/news-releases/news-release-for-recall-7-10-24.pdf" TargetMode="External"/><Relationship Id="rId42" Type="http://schemas.openxmlformats.org/officeDocument/2006/relationships/hyperlink" Target="https://arizonastatecannabis.org/news-25oct2025" TargetMode="External"/><Relationship Id="rId43" Type="http://schemas.openxmlformats.org/officeDocument/2006/relationships/hyperlink" Target="https://www.fox10phoenix.com/news/arizona-announces-marijuana-recall-amid-contamination-worries-heres-what-know" TargetMode="External"/><Relationship Id="rId44" Type="http://schemas.openxmlformats.org/officeDocument/2006/relationships/hyperlink" Target="https://www.kvoa.com/news/arizona/marijuana-products-in-arizona-recalled-after-fungus-found-in-batches/article_a5dcfa01-e49f-48c4-8db0-0c0dd10fbdd5.html" TargetMode="External"/><Relationship Id="rId45" Type="http://schemas.openxmlformats.org/officeDocument/2006/relationships/hyperlink" Target="https://web.archive.org/web/20260319223623/https://www.kvoa.com/news/arizona/aspergillus-scare-prompts-arizona-marijuana-product-recall/article_cbc7c23a-dd1e-4c3f-9a01-5fc4ab80402b.html" TargetMode="External"/><Relationship Id="rId46" Type="http://schemas.openxmlformats.org/officeDocument/2006/relationships/hyperlink" Target="https://web.archive.org/web/20260904154150/https://www.fox10phoenix.com/news/marijuana-azdhs-announces-voluntary-recall-amid-contamination-worries" TargetMode="External"/><Relationship Id="rId47" Type="http://schemas.openxmlformats.org/officeDocument/2006/relationships/hyperlink" Target="https://directorsblog.health.azdhs.gov/recall-notice/" TargetMode="External"/><Relationship Id="rId48" Type="http://schemas.openxmlformats.org/officeDocument/2006/relationships/hyperlink" Target="https://web.archive.org/web/20260520010915/https://www.fox10phoenix.com/news/marijuana-products-recalled-arizona-due-possible-fungus-contamination" TargetMode="External"/><Relationship Id="rId49" Type="http://schemas.openxmlformats.org/officeDocument/2006/relationships/hyperlink" Target="https://www.kvoa.com/news/arizona/arizona-marijuana-recall-possible-fungus-found-in-2-products/article_2c0b2be7-80bc-4716-aa22-c0e68eb2a394.html" TargetMode="External"/><Relationship Id="rId50" Type="http://schemas.openxmlformats.org/officeDocument/2006/relationships/hyperlink" Target="https://www.kvoa.com/news/arizona/arizona-marijuana-recall-possible-fungus-found-in-2-products/article_2c0b2be7-80bc-4716-aa22-c0e68eb2a394.html" TargetMode="External"/><Relationship Id="rId51" Type="http://schemas.openxmlformats.org/officeDocument/2006/relationships/hyperlink" Target="https://www.kvoa.com/news/arizona/arizona-marijuana-recall-possible-fungus-found-in-2-products/article_2c0b2be7-80bc-4716-aa22-c0e68eb2a394.html" TargetMode="External"/><Relationship Id="rId52" Type="http://schemas.openxmlformats.org/officeDocument/2006/relationships/hyperlink" Target="https://web.archive.org/web/20260723094334/https://www.kvoa.com/news/arizona/arizona-marijuana-recall-possible-fungus-found-in-2-products/article_2c0b2be7-80bc-4716-aa22-c0e68eb2a394.html" TargetMode="External"/><Relationship Id="rId53" Type="http://schemas.openxmlformats.org/officeDocument/2006/relationships/hyperlink" Target="https://www.upi.com/Top_News/US/2018/12/24/California-marijuana-recall-threatens-state-cannabis-industry/3001545673498/" TargetMode="External"/><Relationship Id="rId54" Type="http://schemas.openxmlformats.org/officeDocument/2006/relationships/hyperlink" Target="https://cannabis.ca.gov/resources/cannabis-recalls-and-safety-notices/" TargetMode="External"/><Relationship Id="rId55" Type="http://schemas.openxmlformats.org/officeDocument/2006/relationships/hyperlink" Target="https://cannabis.ca.gov/resources/cannabis-recalls-and-safety-notices/" TargetMode="External"/><Relationship Id="rId56" Type="http://schemas.openxmlformats.org/officeDocument/2006/relationships/hyperlink" Target="https://cannabis.ca.gov/resources/cannabis-recalls-and-safety-notices/" TargetMode="External"/><Relationship Id="rId57" Type="http://schemas.openxmlformats.org/officeDocument/2006/relationships/hyperlink" Target="https://cannabis.ca.gov/resources/cannabis-recalls-and-safety-notices/" TargetMode="External"/><Relationship Id="rId58" Type="http://schemas.openxmlformats.org/officeDocument/2006/relationships/hyperlink" Target="https://cannabis.ca.gov/resources/cannabis-recalls-and-safety-notices/" TargetMode="External"/><Relationship Id="rId59" Type="http://schemas.openxmlformats.org/officeDocument/2006/relationships/hyperlink" Target="https://cannabis.ca.gov/2023/07/voluntary-recall-last-minute-venture-llc-cannalean-brand-products/" TargetMode="External"/><Relationship Id="rId60" Type="http://schemas.openxmlformats.org/officeDocument/2006/relationships/hyperlink" Target="https://cannabis.ca.gov/resources/cannabis-recalls-and-safety-notices/left-coast-llc-lil-leftys/" TargetMode="External"/><Relationship Id="rId61" Type="http://schemas.openxmlformats.org/officeDocument/2006/relationships/hyperlink" Target="https://cannabis.ca.gov/resources/cannabis-recalls-and-safety-notices/grizzly-peak-farms-llc-zoap-cannabis-flower/" TargetMode="External"/><Relationship Id="rId62" Type="http://schemas.openxmlformats.org/officeDocument/2006/relationships/hyperlink" Target="https://cannabis.ca.gov/resources/cannabis-recalls-and-safety-notices/echsen-industries/" TargetMode="External"/><Relationship Id="rId63" Type="http://schemas.openxmlformats.org/officeDocument/2006/relationships/hyperlink" Target="https://cannabis.ca.gov/resources/cannabis-recalls-and-safety-notices/urban-therapies-distribution-llc/" TargetMode="External"/><Relationship Id="rId64" Type="http://schemas.openxmlformats.org/officeDocument/2006/relationships/hyperlink" Target="https://recalls.cannabis.ca.gov/recalls/6761bc0d449a15805975db02" TargetMode="External"/><Relationship Id="rId65" Type="http://schemas.openxmlformats.org/officeDocument/2006/relationships/hyperlink" Target="https://cannabis.ca.gov/resources/cannabis-recalls-and-safety-notices/roundtrip-pistachio-flower/" TargetMode="External"/><Relationship Id="rId66" Type="http://schemas.openxmlformats.org/officeDocument/2006/relationships/hyperlink" Target="https://cannabis.ca.gov/resources/cannabis-recalls-and-safety-notices/lowell-big-buds/" TargetMode="External"/><Relationship Id="rId67" Type="http://schemas.openxmlformats.org/officeDocument/2006/relationships/hyperlink" Target="https://cannabis.ca.gov/resources/cannabis-recalls-and-safety-notices/grizzly-peak-premium-indoor-flower/" TargetMode="External"/><Relationship Id="rId68" Type="http://schemas.openxmlformats.org/officeDocument/2006/relationships/hyperlink" Target="https://cannabis.ca.gov/resources/cannabis-recalls-and-safety-notices/panda-pen/" TargetMode="External"/><Relationship Id="rId69" Type="http://schemas.openxmlformats.org/officeDocument/2006/relationships/hyperlink" Target="https://recalls.cannabis.ca.gov/recalls/6761aeec449a15805975dae9" TargetMode="External"/><Relationship Id="rId70" Type="http://schemas.openxmlformats.org/officeDocument/2006/relationships/hyperlink" Target="https://recalls.cannabis.ca.gov/recalls/6761acd7d62cebee0c5c9943" TargetMode="External"/><Relationship Id="rId71" Type="http://schemas.openxmlformats.org/officeDocument/2006/relationships/hyperlink" Target="https://recalls.cannabis.ca.gov/recalls/6761abdbd62cebee0c5c993d" TargetMode="External"/><Relationship Id="rId72" Type="http://schemas.openxmlformats.org/officeDocument/2006/relationships/hyperlink" Target="https://recalls.cannabis.ca.gov/recalls/6761bccb449a15805975db06" TargetMode="External"/><Relationship Id="rId73" Type="http://schemas.openxmlformats.org/officeDocument/2006/relationships/hyperlink" Target="https://recalls.cannabis.ca.gov/recalls/6761b4b3449a15805975dafe" TargetMode="External"/><Relationship Id="rId74" Type="http://schemas.openxmlformats.org/officeDocument/2006/relationships/hyperlink" Target="https://recalls.cannabis.ca.gov/recalls/6761b362449a15805975daf9" TargetMode="External"/><Relationship Id="rId75" Type="http://schemas.openxmlformats.org/officeDocument/2006/relationships/hyperlink" Target="https://cannabis.ca.gov/resources/cannabis-recalls-and-safety-notices/8-track-pre-roll/" TargetMode="External"/><Relationship Id="rId76" Type="http://schemas.openxmlformats.org/officeDocument/2006/relationships/hyperlink" Target="https://recalls.cannabis.ca.gov/recalls/6761bc23449a15805975db04" TargetMode="External"/><Relationship Id="rId77" Type="http://schemas.openxmlformats.org/officeDocument/2006/relationships/hyperlink" Target="https://cannabis.ca.gov/resources/cannabis-recalls-and-safety-notices/canndescent-california-100-whole-flower-pre-rolls/" TargetMode="External"/><Relationship Id="rId78" Type="http://schemas.openxmlformats.org/officeDocument/2006/relationships/hyperlink" Target="https://cannabis.ca.gov/resources/cannabis-recalls-and-safety-notices/cali-kosher-flower/" TargetMode="External"/><Relationship Id="rId79" Type="http://schemas.openxmlformats.org/officeDocument/2006/relationships/hyperlink" Target="https://cannabis.ca.gov/resources/cannabis-recalls-and-safety-notices/lax-packs-premium-flower/" TargetMode="External"/><Relationship Id="rId80" Type="http://schemas.openxmlformats.org/officeDocument/2006/relationships/hyperlink" Target="https://recalls.cannabis.ca.gov/recalls/67607f90e7333c2117ce13c2" TargetMode="External"/><Relationship Id="rId81" Type="http://schemas.openxmlformats.org/officeDocument/2006/relationships/hyperlink" Target="https://recalls.cannabis.ca.gov/recalls/676075d467bff701781d9596" TargetMode="External"/><Relationship Id="rId82" Type="http://schemas.openxmlformats.org/officeDocument/2006/relationships/hyperlink" Target="https://recalls.cannabis.ca.gov/recalls/67608282141ebf4b23e92734" TargetMode="External"/><Relationship Id="rId83" Type="http://schemas.openxmlformats.org/officeDocument/2006/relationships/hyperlink" Target="https://recalls.cannabis.ca.gov/recalls/67608d79141ebf4b23e92757" TargetMode="External"/><Relationship Id="rId84" Type="http://schemas.openxmlformats.org/officeDocument/2006/relationships/hyperlink" Target="https://recalls.cannabis.ca.gov/recalls/67607a66e7333c2117ce13ab" TargetMode="External"/><Relationship Id="rId85" Type="http://schemas.openxmlformats.org/officeDocument/2006/relationships/hyperlink" Target="https://cannabis.ca.gov/resources/cannabis-recalls-and-safety-notices/west-coast-cure-live-resin-vape-cartridge/" TargetMode="External"/><Relationship Id="rId86" Type="http://schemas.openxmlformats.org/officeDocument/2006/relationships/hyperlink" Target="https://cannabis.ca.gov/resources/cannabis-recalls-and-safety-notices/west-coast-cure-curepen-vape-cartridge/" TargetMode="External"/><Relationship Id="rId87" Type="http://schemas.openxmlformats.org/officeDocument/2006/relationships/hyperlink" Target="https://cannabis.ca.gov/resources/cannabis-recalls-and-safety-notices/backpackboyz-premium-vape/" TargetMode="External"/><Relationship Id="rId88" Type="http://schemas.openxmlformats.org/officeDocument/2006/relationships/hyperlink" Target="https://cannabis.ca.gov/resources/cannabis-recalls-and-safety-notices/circles-cannabis-oil-vaporizer/" TargetMode="External"/><Relationship Id="rId89" Type="http://schemas.openxmlformats.org/officeDocument/2006/relationships/hyperlink" Target="https://recalls.cannabis.ca.gov/recalls/67608170e7333c2117ce13c5" TargetMode="External"/><Relationship Id="rId90" Type="http://schemas.openxmlformats.org/officeDocument/2006/relationships/hyperlink" Target="https://cannabis.ca.gov/resources/cannabis-recalls-and-safety-notices/kush-creaturz-flower/" TargetMode="External"/><Relationship Id="rId91" Type="http://schemas.openxmlformats.org/officeDocument/2006/relationships/hyperlink" Target="https://cannabis.ca.gov/resources/cannabis-recalls-and-safety-notices/kush-creaturz-flower/" TargetMode="External"/><Relationship Id="rId92" Type="http://schemas.openxmlformats.org/officeDocument/2006/relationships/hyperlink" Target="https://cannabis.ca.gov/resources/cannabis-recalls-and-safety-notices/kush-creaturz-flower/" TargetMode="External"/><Relationship Id="rId93" Type="http://schemas.openxmlformats.org/officeDocument/2006/relationships/hyperlink" Target="https://cannabis.ca.gov/resources/cannabis-recalls-and-safety-notices/kush-creaturz-flower/" TargetMode="External"/><Relationship Id="rId94" Type="http://schemas.openxmlformats.org/officeDocument/2006/relationships/hyperlink" Target="https://cannabis.ca.gov/resources/cannabis-recalls-and-safety-notices/kush-creaturz-flower/" TargetMode="External"/><Relationship Id="rId95" Type="http://schemas.openxmlformats.org/officeDocument/2006/relationships/hyperlink" Target="https://cannabis.ca.gov/resources/cannabis-recalls-and-safety-notices/kush-creaturz-flower/" TargetMode="External"/><Relationship Id="rId96" Type="http://schemas.openxmlformats.org/officeDocument/2006/relationships/hyperlink" Target="https://cannabis.ca.gov/resources/cannabis-recalls-and-safety-notices/lowell-35s-10-tall-pre-roll/" TargetMode="External"/><Relationship Id="rId97" Type="http://schemas.openxmlformats.org/officeDocument/2006/relationships/hyperlink" Target="https://recalls.cannabis.ca.gov/recalls/67607f00e7333c2117ce13bd" TargetMode="External"/><Relationship Id="rId98" Type="http://schemas.openxmlformats.org/officeDocument/2006/relationships/hyperlink" Target="https://recalls.cannabis.ca.gov/recalls/67607f00e7333c2117ce13bd" TargetMode="External"/><Relationship Id="rId99" Type="http://schemas.openxmlformats.org/officeDocument/2006/relationships/hyperlink" Target="https://recalls.cannabis.ca.gov/recalls/676060ab2dec600a5fdab838" TargetMode="External"/><Relationship Id="rId100" Type="http://schemas.openxmlformats.org/officeDocument/2006/relationships/hyperlink" Target="https://recalls.cannabis.ca.gov/recalls/67607b92e7333c2117ce13b7" TargetMode="External"/><Relationship Id="rId101" Type="http://schemas.openxmlformats.org/officeDocument/2006/relationships/hyperlink" Target="https://recalls.cannabis.ca.gov/recalls/67607b87e7333c2117ce13b5" TargetMode="External"/><Relationship Id="rId102" Type="http://schemas.openxmlformats.org/officeDocument/2006/relationships/hyperlink" Target="https://recalls.cannabis.ca.gov/recalls/676061d02dec600a5fdab847" TargetMode="External"/><Relationship Id="rId103" Type="http://schemas.openxmlformats.org/officeDocument/2006/relationships/hyperlink" Target="https://recalls.cannabis.ca.gov/recalls/67607a8ce7333c2117ce13b0" TargetMode="External"/><Relationship Id="rId104" Type="http://schemas.openxmlformats.org/officeDocument/2006/relationships/hyperlink" Target="https://recalls.cannabis.ca.gov/recalls/6760641e2dec600a5fdab874" TargetMode="External"/><Relationship Id="rId105" Type="http://schemas.openxmlformats.org/officeDocument/2006/relationships/hyperlink" Target="https://recalls.cannabis.ca.gov/recalls/676071c2348fc6641c270943" TargetMode="External"/><Relationship Id="rId106" Type="http://schemas.openxmlformats.org/officeDocument/2006/relationships/hyperlink" Target="https://recalls.cannabis.ca.gov/recalls/676078ffe7333c2117ce13a3" TargetMode="External"/><Relationship Id="rId107" Type="http://schemas.openxmlformats.org/officeDocument/2006/relationships/hyperlink" Target="https://recalls.cannabis.ca.gov/recalls/675cd072db9d2f38e6a8bfc9" TargetMode="External"/><Relationship Id="rId108" Type="http://schemas.openxmlformats.org/officeDocument/2006/relationships/hyperlink" Target="https://recalls.cannabis.ca.gov/recalls/675c9df9d777de57d7f3a530" TargetMode="External"/><Relationship Id="rId109" Type="http://schemas.openxmlformats.org/officeDocument/2006/relationships/hyperlink" Target="https://recalls.cannabis.ca.gov/recalls/676062d92dec600a5fdab858" TargetMode="External"/><Relationship Id="rId110" Type="http://schemas.openxmlformats.org/officeDocument/2006/relationships/hyperlink" Target="https://recalls.cannabis.ca.gov/recalls/67606ff62dec600a5fdab8c0" TargetMode="External"/><Relationship Id="rId111" Type="http://schemas.openxmlformats.org/officeDocument/2006/relationships/hyperlink" Target="https://recalls.cannabis.ca.gov/recalls/67607231348fc6641c27094a" TargetMode="External"/><Relationship Id="rId112" Type="http://schemas.openxmlformats.org/officeDocument/2006/relationships/hyperlink" Target="https://recalls.cannabis.ca.gov/recalls/676321559f9bcc32fed462a9" TargetMode="External"/><Relationship Id="rId113" Type="http://schemas.openxmlformats.org/officeDocument/2006/relationships/hyperlink" Target="https://recalls.cannabis.ca.gov/recalls/6761e5bc66acba23980354d6" TargetMode="External"/><Relationship Id="rId114" Type="http://schemas.openxmlformats.org/officeDocument/2006/relationships/hyperlink" Target="https://recalls.cannabis.ca.gov/recalls/6761ec9694a546fcd1a88412" TargetMode="External"/><Relationship Id="rId115" Type="http://schemas.openxmlformats.org/officeDocument/2006/relationships/hyperlink" Target="https://recalls.cannabis.ca.gov/recalls/67605ca02dec600a5fdab80d" TargetMode="External"/><Relationship Id="rId116" Type="http://schemas.openxmlformats.org/officeDocument/2006/relationships/hyperlink" Target="https://recalls.cannabis.ca.gov/recalls/6761f01694a546fcd1a88422" TargetMode="External"/><Relationship Id="rId117" Type="http://schemas.openxmlformats.org/officeDocument/2006/relationships/hyperlink" Target="https://recalls.cannabis.ca.gov/recalls/676052bb754559745e2d2bf5" TargetMode="External"/><Relationship Id="rId118" Type="http://schemas.openxmlformats.org/officeDocument/2006/relationships/hyperlink" Target="https://recalls.cannabis.ca.gov/recalls/675cda3e89feb03b44eca7ca" TargetMode="External"/><Relationship Id="rId119" Type="http://schemas.openxmlformats.org/officeDocument/2006/relationships/hyperlink" Target="https://recalls.cannabis.ca.gov/recalls/675cd92adb9d2f38e6a8bfd9" TargetMode="External"/><Relationship Id="rId120" Type="http://schemas.openxmlformats.org/officeDocument/2006/relationships/hyperlink" Target="https://recalls.cannabis.ca.gov/recalls/675cd52bdb9d2f38e6a8bfd2" TargetMode="External"/><Relationship Id="rId121" Type="http://schemas.openxmlformats.org/officeDocument/2006/relationships/hyperlink" Target="https://recalls.cannabis.ca.gov/recalls/675cd7eadb9d2f38e6a8bfd7" TargetMode="External"/><Relationship Id="rId122" Type="http://schemas.openxmlformats.org/officeDocument/2006/relationships/hyperlink" Target="https://recalls.cannabis.ca.gov/recalls/675cd698db9d2f38e6a8bfd4" TargetMode="External"/><Relationship Id="rId123" Type="http://schemas.openxmlformats.org/officeDocument/2006/relationships/hyperlink" Target="https://recalls.cannabis.ca.gov/recalls/6761ac09d62cebee0c5c993f" TargetMode="External"/><Relationship Id="rId124" Type="http://schemas.openxmlformats.org/officeDocument/2006/relationships/hyperlink" Target="https://recalls.cannabis.ca.gov/recalls/675ca701d777de57d7f3a540" TargetMode="External"/><Relationship Id="rId125" Type="http://schemas.openxmlformats.org/officeDocument/2006/relationships/hyperlink" Target="https://recalls.cannabis.ca.gov/recalls/6761fe8594a546fcd1a88447" TargetMode="External"/><Relationship Id="rId126" Type="http://schemas.openxmlformats.org/officeDocument/2006/relationships/hyperlink" Target="https://recalls.cannabis.ca.gov/recalls/6761f90394a546fcd1a8843a" TargetMode="External"/><Relationship Id="rId127" Type="http://schemas.openxmlformats.org/officeDocument/2006/relationships/hyperlink" Target="https://recalls.cannabis.ca.gov/recalls/6761c1de449a15805975db10" TargetMode="External"/><Relationship Id="rId128" Type="http://schemas.openxmlformats.org/officeDocument/2006/relationships/hyperlink" Target="https://recalls.cannabis.ca.gov/recalls/676352eb82281c7c02888fb4" TargetMode="External"/><Relationship Id="rId129" Type="http://schemas.openxmlformats.org/officeDocument/2006/relationships/hyperlink" Target="https://recalls.cannabis.ca.gov/recalls/67743be120de76de169418b0" TargetMode="External"/><Relationship Id="rId130" Type="http://schemas.openxmlformats.org/officeDocument/2006/relationships/hyperlink" Target="https://recalls.cannabis.ca.gov/recalls/677c1ce27b818645f37d81b5" TargetMode="External"/><Relationship Id="rId131" Type="http://schemas.openxmlformats.org/officeDocument/2006/relationships/hyperlink" Target="https://recalls.cannabis.ca.gov/recalls/678a9dcd3820f840e8dab8d9" TargetMode="External"/><Relationship Id="rId132" Type="http://schemas.openxmlformats.org/officeDocument/2006/relationships/hyperlink" Target="https://recalls.cannabis.ca.gov/recalls/67995807ff1d541902f51156" TargetMode="External"/><Relationship Id="rId133" Type="http://schemas.openxmlformats.org/officeDocument/2006/relationships/hyperlink" Target="https://recalls.cannabis.ca.gov/recalls/679aa03c6c2cf8a3a782d944" TargetMode="External"/><Relationship Id="rId134" Type="http://schemas.openxmlformats.org/officeDocument/2006/relationships/hyperlink" Target="https://recalls.cannabis.ca.gov/recalls/67a26199d7bedce43a97eac8" TargetMode="External"/><Relationship Id="rId135" Type="http://schemas.openxmlformats.org/officeDocument/2006/relationships/hyperlink" Target="https://recalls.cannabis.ca.gov/recalls/67a3ed7d027ff9b39bd5c651" TargetMode="External"/><Relationship Id="rId136" Type="http://schemas.openxmlformats.org/officeDocument/2006/relationships/hyperlink" Target="https://recalls.cannabis.ca.gov/recalls/67b65de006adb198f38bbd2a" TargetMode="External"/><Relationship Id="rId137" Type="http://schemas.openxmlformats.org/officeDocument/2006/relationships/hyperlink" Target="https://recalls.cannabis.ca.gov/recalls/67b8bf5feee6bdf8bdc4f05d" TargetMode="External"/><Relationship Id="rId138" Type="http://schemas.openxmlformats.org/officeDocument/2006/relationships/hyperlink" Target="https://recalls.cannabis.ca.gov/recalls/67b8d224dcf312eab06ec3c9" TargetMode="External"/><Relationship Id="rId139" Type="http://schemas.openxmlformats.org/officeDocument/2006/relationships/hyperlink" Target="https://recalls.cannabis.ca.gov/recalls/67b7be7906f27bfc532c0345" TargetMode="External"/><Relationship Id="rId140" Type="http://schemas.openxmlformats.org/officeDocument/2006/relationships/hyperlink" Target="https://recalls.cannabis.ca.gov/recalls/67c0a8966a1df8e2aab2a805" TargetMode="External"/><Relationship Id="rId141" Type="http://schemas.openxmlformats.org/officeDocument/2006/relationships/hyperlink" Target="https://recalls.cannabis.ca.gov/recalls/67c7586fb3647b7230d6851d" TargetMode="External"/><Relationship Id="rId142" Type="http://schemas.openxmlformats.org/officeDocument/2006/relationships/hyperlink" Target="https://recalls.cannabis.ca.gov/recalls/67c63ac9abf1dacdb9277769" TargetMode="External"/><Relationship Id="rId143" Type="http://schemas.openxmlformats.org/officeDocument/2006/relationships/hyperlink" Target="https://recalls.cannabis.ca.gov/recalls/67c8a860cb103f654b157bf9" TargetMode="External"/><Relationship Id="rId144" Type="http://schemas.openxmlformats.org/officeDocument/2006/relationships/hyperlink" Target="https://recalls.cannabis.ca.gov/recalls/67ca15a2d3e118305ac6204e" TargetMode="External"/><Relationship Id="rId145" Type="http://schemas.openxmlformats.org/officeDocument/2006/relationships/hyperlink" Target="https://recalls.cannabis.ca.gov/recalls/67ca292d29119e4c62d9f0bd" TargetMode="External"/><Relationship Id="rId146" Type="http://schemas.openxmlformats.org/officeDocument/2006/relationships/hyperlink" Target="https://recalls.cannabis.ca.gov/recalls/67cb5ccd9b4d75e795d8ead3" TargetMode="External"/><Relationship Id="rId147" Type="http://schemas.openxmlformats.org/officeDocument/2006/relationships/hyperlink" Target="https://recalls.cannabis.ca.gov/recalls/67cb5ddc9b4d75e795d8ead5" TargetMode="External"/><Relationship Id="rId148" Type="http://schemas.openxmlformats.org/officeDocument/2006/relationships/hyperlink" Target="https://recalls.cannabis.ca.gov/recalls/67cf2bf64e313b143eeeefaf" TargetMode="External"/><Relationship Id="rId149" Type="http://schemas.openxmlformats.org/officeDocument/2006/relationships/hyperlink" Target="https://recalls.cannabis.ca.gov/recalls/67cb5f3e9b4d75e795d8ead7" TargetMode="External"/><Relationship Id="rId150" Type="http://schemas.openxmlformats.org/officeDocument/2006/relationships/hyperlink" Target="https://recalls.cannabis.ca.gov/recalls/67d09f9f5c03fd67e1699304" TargetMode="External"/><Relationship Id="rId151" Type="http://schemas.openxmlformats.org/officeDocument/2006/relationships/hyperlink" Target="https://recalls.cannabis.ca.gov/recalls/67e1c59a764a2b6664808b45" TargetMode="External"/><Relationship Id="rId152" Type="http://schemas.openxmlformats.org/officeDocument/2006/relationships/hyperlink" Target="https://recalls.cannabis.ca.gov/recalls/67d4467a4106f28998de60cc" TargetMode="External"/><Relationship Id="rId153" Type="http://schemas.openxmlformats.org/officeDocument/2006/relationships/hyperlink" Target="https://recalls.cannabis.ca.gov/recalls/67e2f72be1d586b2abb40828" TargetMode="External"/><Relationship Id="rId154" Type="http://schemas.openxmlformats.org/officeDocument/2006/relationships/hyperlink" Target="https://recalls.cannabis.ca.gov/recalls/67d9a58bee53fc0e4a85cfd0" TargetMode="External"/><Relationship Id="rId155" Type="http://schemas.openxmlformats.org/officeDocument/2006/relationships/hyperlink" Target="https://recalls.cannabis.ca.gov/recalls/67edc40ed271b2cd4fb6700b" TargetMode="External"/><Relationship Id="rId156" Type="http://schemas.openxmlformats.org/officeDocument/2006/relationships/hyperlink" Target="https://recalls.cannabis.ca.gov/recalls/67edaf9003fb5784226ca7f3" TargetMode="External"/><Relationship Id="rId157" Type="http://schemas.openxmlformats.org/officeDocument/2006/relationships/hyperlink" Target="https://recalls.cannabis.ca.gov/recalls/67edb9ef03fb5784226ca7f7" TargetMode="External"/><Relationship Id="rId158" Type="http://schemas.openxmlformats.org/officeDocument/2006/relationships/hyperlink" Target="https://recalls.cannabis.ca.gov/recalls/67eecc81eeed9a2d044639f6" TargetMode="External"/><Relationship Id="rId159" Type="http://schemas.openxmlformats.org/officeDocument/2006/relationships/hyperlink" Target="https://recalls.cannabis.ca.gov/recalls/67cb60539b4d75e795d8eada" TargetMode="External"/><Relationship Id="rId160" Type="http://schemas.openxmlformats.org/officeDocument/2006/relationships/hyperlink" Target="https://recalls.cannabis.ca.gov/recalls/67eef04f7e45d7785194736a" TargetMode="External"/><Relationship Id="rId161" Type="http://schemas.openxmlformats.org/officeDocument/2006/relationships/hyperlink" Target="https://recalls.cannabis.ca.gov/recalls/67f044164c8fed4662b01b99" TargetMode="External"/><Relationship Id="rId162" Type="http://schemas.openxmlformats.org/officeDocument/2006/relationships/hyperlink" Target="https://recalls.cannabis.ca.gov/recalls/67ec59be4becf15d41092d3b" TargetMode="External"/><Relationship Id="rId163" Type="http://schemas.openxmlformats.org/officeDocument/2006/relationships/hyperlink" Target="https://recalls.cannabis.ca.gov/recalls/67f44320ef33cec4b8c75618" TargetMode="External"/><Relationship Id="rId164" Type="http://schemas.openxmlformats.org/officeDocument/2006/relationships/hyperlink" Target="https://recalls.cannabis.ca.gov/recalls/67f93629a6af6c345158589b" TargetMode="External"/><Relationship Id="rId165" Type="http://schemas.openxmlformats.org/officeDocument/2006/relationships/hyperlink" Target="https://recalls.cannabis.ca.gov/recalls/67f42df6ef33cec4b8c75611" TargetMode="External"/><Relationship Id="rId166" Type="http://schemas.openxmlformats.org/officeDocument/2006/relationships/hyperlink" Target="https://recalls.cannabis.ca.gov/recalls/67fd4d20f04bba13cf57a67a" TargetMode="External"/><Relationship Id="rId167" Type="http://schemas.openxmlformats.org/officeDocument/2006/relationships/hyperlink" Target="https://recalls.cannabis.ca.gov/recalls/67fd4fdff04bba13cf57a683" TargetMode="External"/><Relationship Id="rId168" Type="http://schemas.openxmlformats.org/officeDocument/2006/relationships/hyperlink" Target="https://recalls.cannabis.ca.gov/recalls/67f6dd47ad69398ae71adddf" TargetMode="External"/><Relationship Id="rId169" Type="http://schemas.openxmlformats.org/officeDocument/2006/relationships/hyperlink" Target="https://recalls.cannabis.ca.gov/recalls/68080bb50a02d94b409051c1" TargetMode="External"/><Relationship Id="rId170" Type="http://schemas.openxmlformats.org/officeDocument/2006/relationships/hyperlink" Target="https://recalls.cannabis.ca.gov/recalls/68110cdec31741749dfed970" TargetMode="External"/><Relationship Id="rId171" Type="http://schemas.openxmlformats.org/officeDocument/2006/relationships/hyperlink" Target="https://recalls.cannabis.ca.gov/recalls/68111fa2c31741749dfed972" TargetMode="External"/><Relationship Id="rId172" Type="http://schemas.openxmlformats.org/officeDocument/2006/relationships/hyperlink" Target="https://recalls.cannabis.ca.gov/recalls/6814ee606c27402413d2d041" TargetMode="External"/><Relationship Id="rId173" Type="http://schemas.openxmlformats.org/officeDocument/2006/relationships/hyperlink" Target="https://recalls.cannabis.ca.gov/recalls/6813b5e2171a2609a7b46d63" TargetMode="External"/><Relationship Id="rId174" Type="http://schemas.openxmlformats.org/officeDocument/2006/relationships/hyperlink" Target="https://recalls.cannabis.ca.gov/recalls/6815444781aae3b8cf89b805" TargetMode="External"/><Relationship Id="rId175" Type="http://schemas.openxmlformats.org/officeDocument/2006/relationships/hyperlink" Target="https://recalls.cannabis.ca.gov/recalls/681a690ede8dfd7993fb4d2d" TargetMode="External"/><Relationship Id="rId176" Type="http://schemas.openxmlformats.org/officeDocument/2006/relationships/hyperlink" Target="https://recalls.cannabis.ca.gov/recalls/68263e4690232c8644ea388d" TargetMode="External"/><Relationship Id="rId177" Type="http://schemas.openxmlformats.org/officeDocument/2006/relationships/hyperlink" Target="https://recalls.cannabis.ca.gov/recalls/6826696d651df98cac943a90" TargetMode="External"/><Relationship Id="rId178" Type="http://schemas.openxmlformats.org/officeDocument/2006/relationships/hyperlink" Target="https://recalls.cannabis.ca.gov/recalls/6830b01b19b3195b7d15ab2c" TargetMode="External"/><Relationship Id="rId179" Type="http://schemas.openxmlformats.org/officeDocument/2006/relationships/hyperlink" Target="https://recalls.cannabis.ca.gov/recalls/6830bace19b3195b7d15ab32" TargetMode="External"/><Relationship Id="rId180" Type="http://schemas.openxmlformats.org/officeDocument/2006/relationships/hyperlink" Target="https://recalls.cannabis.ca.gov/recalls/6830c47e19b3195b7d15ab3c" TargetMode="External"/><Relationship Id="rId181" Type="http://schemas.openxmlformats.org/officeDocument/2006/relationships/hyperlink" Target="https://recalls.cannabis.ca.gov/recalls/6830e5eedc244dc5ad4cd0fa" TargetMode="External"/><Relationship Id="rId182" Type="http://schemas.openxmlformats.org/officeDocument/2006/relationships/hyperlink" Target="https://recalls.cannabis.ca.gov/recalls/68430a9c756a3425f6e09241" TargetMode="External"/><Relationship Id="rId183" Type="http://schemas.openxmlformats.org/officeDocument/2006/relationships/hyperlink" Target="https://recalls.cannabis.ca.gov/recalls/685085643f86ce0b7a6948f5" TargetMode="External"/><Relationship Id="rId184" Type="http://schemas.openxmlformats.org/officeDocument/2006/relationships/hyperlink" Target="https://recalls.cannabis.ca.gov/recalls/68508fed3f86ce0b7a6948f8" TargetMode="External"/><Relationship Id="rId185" Type="http://schemas.openxmlformats.org/officeDocument/2006/relationships/hyperlink" Target="https://recalls.cannabis.ca.gov/recalls/6859c1263ac16dd9b79d4d6e" TargetMode="External"/><Relationship Id="rId186" Type="http://schemas.openxmlformats.org/officeDocument/2006/relationships/hyperlink" Target="https://recalls.cannabis.ca.gov/recalls/6859b52b6240f323aa90f91f" TargetMode="External"/><Relationship Id="rId187" Type="http://schemas.openxmlformats.org/officeDocument/2006/relationships/hyperlink" Target="https://recalls.cannabis.ca.gov/recalls/67d9957f61812ef297c873ce" TargetMode="External"/><Relationship Id="rId188" Type="http://schemas.openxmlformats.org/officeDocument/2006/relationships/hyperlink" Target="https://recalls.cannabis.ca.gov/recalls/685dc1eda34dbb6517647c95" TargetMode="External"/><Relationship Id="rId189" Type="http://schemas.openxmlformats.org/officeDocument/2006/relationships/hyperlink" Target="https://recalls.cannabis.ca.gov/recalls/68644cffda2ab8a7147f8fde" TargetMode="External"/><Relationship Id="rId190" Type="http://schemas.openxmlformats.org/officeDocument/2006/relationships/hyperlink" Target="https://recalls.cannabis.ca.gov/recalls/685ef369cc5cc22033bf6c62" TargetMode="External"/><Relationship Id="rId191" Type="http://schemas.openxmlformats.org/officeDocument/2006/relationships/hyperlink" Target="https://recalls.cannabis.ca.gov/recalls/68659c06bf883c279db9fda7" TargetMode="External"/><Relationship Id="rId192" Type="http://schemas.openxmlformats.org/officeDocument/2006/relationships/hyperlink" Target="https://recalls.cannabis.ca.gov/recalls/68645cbcc770556dd1eedc84" TargetMode="External"/><Relationship Id="rId193" Type="http://schemas.openxmlformats.org/officeDocument/2006/relationships/hyperlink" Target="https://recalls.cannabis.ca.gov/recalls/686d9e7c2c808b9976ca6035" TargetMode="External"/><Relationship Id="rId194" Type="http://schemas.openxmlformats.org/officeDocument/2006/relationships/hyperlink" Target="https://recalls.cannabis.ca.gov/recalls/685ac399a5767e9bd4299cf3" TargetMode="External"/><Relationship Id="rId195" Type="http://schemas.openxmlformats.org/officeDocument/2006/relationships/hyperlink" Target="https://recalls.cannabis.ca.gov/recalls/686eebe4e18974d667a1250e" TargetMode="External"/><Relationship Id="rId196" Type="http://schemas.openxmlformats.org/officeDocument/2006/relationships/hyperlink" Target="https://recalls.cannabis.ca.gov/recalls/688931563e687541be28d909" TargetMode="External"/><Relationship Id="rId197" Type="http://schemas.openxmlformats.org/officeDocument/2006/relationships/hyperlink" Target="https://recalls.cannabis.ca.gov/recalls/688a598cfb4b11aeefd90243" TargetMode="External"/><Relationship Id="rId198" Type="http://schemas.openxmlformats.org/officeDocument/2006/relationships/hyperlink" Target="https://recalls.cannabis.ca.gov/recalls/688d39f0608329d100bd15b9" TargetMode="External"/><Relationship Id="rId199" Type="http://schemas.openxmlformats.org/officeDocument/2006/relationships/hyperlink" Target="https://recalls.cannabis.ca.gov/recalls/688d39f9608329d100bd15bc" TargetMode="External"/><Relationship Id="rId200" Type="http://schemas.openxmlformats.org/officeDocument/2006/relationships/hyperlink" Target="https://recalls.cannabis.ca.gov/recalls/689a0f741ddade6d2bbbdb25" TargetMode="External"/><Relationship Id="rId201" Type="http://schemas.openxmlformats.org/officeDocument/2006/relationships/hyperlink" Target="https://recalls.cannabis.ca.gov/recalls/6896301db1a1dbf6ed2660e4" TargetMode="External"/><Relationship Id="rId202" Type="http://schemas.openxmlformats.org/officeDocument/2006/relationships/hyperlink" Target="https://recalls.cannabis.ca.gov/recalls/68a38a94a2543acbbf481d07" TargetMode="External"/><Relationship Id="rId203" Type="http://schemas.openxmlformats.org/officeDocument/2006/relationships/hyperlink" Target="https://recalls.cannabis.ca.gov/recalls/68af7d32f9fe68d804e858be" TargetMode="External"/><Relationship Id="rId204" Type="http://schemas.openxmlformats.org/officeDocument/2006/relationships/hyperlink" Target="https://recalls.cannabis.ca.gov/recalls/68bb3c9f277fb53dceadb5f7" TargetMode="External"/><Relationship Id="rId205" Type="http://schemas.openxmlformats.org/officeDocument/2006/relationships/hyperlink" Target="https://recalls.cannabis.ca.gov/recalls/68bb3fdd277fb53dceadb5fd" TargetMode="External"/><Relationship Id="rId206" Type="http://schemas.openxmlformats.org/officeDocument/2006/relationships/hyperlink" Target="https://recalls.cannabis.ca.gov/recalls/68bb4102277fb53dceadb600" TargetMode="External"/><Relationship Id="rId207" Type="http://schemas.openxmlformats.org/officeDocument/2006/relationships/hyperlink" Target="https://recalls.cannabis.ca.gov/recalls/68bb4247277fb53dceadb603" TargetMode="External"/><Relationship Id="rId208" Type="http://schemas.openxmlformats.org/officeDocument/2006/relationships/hyperlink" Target="https://recalls.cannabis.ca.gov/recalls/68c9eaf9ee3f253d00cfa2be" TargetMode="External"/><Relationship Id="rId209" Type="http://schemas.openxmlformats.org/officeDocument/2006/relationships/hyperlink" Target="https://recalls.cannabis.ca.gov/recalls/68cd9bbc430614b40340b9ca" TargetMode="External"/><Relationship Id="rId210" Type="http://schemas.openxmlformats.org/officeDocument/2006/relationships/hyperlink" Target="https://recalls.cannabis.ca.gov/recalls/68dc1e41372f5d5e380d20f1" TargetMode="External"/><Relationship Id="rId211" Type="http://schemas.openxmlformats.org/officeDocument/2006/relationships/hyperlink" Target="https://recalls.cannabis.ca.gov/recalls/68f01187a1ea37801c910981" TargetMode="External"/><Relationship Id="rId212" Type="http://schemas.openxmlformats.org/officeDocument/2006/relationships/hyperlink" Target="https://recalls.cannabis.ca.gov/recalls/691508e4bfd28f115bd1da13" TargetMode="External"/><Relationship Id="rId213" Type="http://schemas.openxmlformats.org/officeDocument/2006/relationships/hyperlink" Target="https://recalls.cannabis.ca.gov/recalls/680813de0a02d94b409051cb" TargetMode="External"/><Relationship Id="rId214" Type="http://schemas.openxmlformats.org/officeDocument/2006/relationships/hyperlink" Target="https://recalls.cannabis.ca.gov/recalls/6924e7173e31dcbd909c9f63" TargetMode="External"/><Relationship Id="rId215" Type="http://schemas.openxmlformats.org/officeDocument/2006/relationships/hyperlink" Target="https://recalls.cannabis.ca.gov/recalls/6925e7cc4fdb2651d21000be" TargetMode="External"/><Relationship Id="rId216" Type="http://schemas.openxmlformats.org/officeDocument/2006/relationships/hyperlink" Target="https://recalls.cannabis.ca.gov/recalls/691f827fb0f55be0f7377c9b" TargetMode="External"/><Relationship Id="rId217" Type="http://schemas.openxmlformats.org/officeDocument/2006/relationships/hyperlink" Target="https://recalls.cannabis.ca.gov/recalls/6926012c57a72c517a7927fc" TargetMode="External"/><Relationship Id="rId218" Type="http://schemas.openxmlformats.org/officeDocument/2006/relationships/hyperlink" Target="https://recalls.cannabis.ca.gov/recalls/69263e87a4fa6eedebd6c039" TargetMode="External"/><Relationship Id="rId219" Type="http://schemas.openxmlformats.org/officeDocument/2006/relationships/hyperlink" Target="https://recalls.cannabis.ca.gov/recalls/692de8526885e3b780908abf" TargetMode="External"/><Relationship Id="rId220" Type="http://schemas.openxmlformats.org/officeDocument/2006/relationships/hyperlink" Target="https://recalls.cannabis.ca.gov/recalls/69449011220ee0d97a09e7c2" TargetMode="External"/><Relationship Id="rId221" Type="http://schemas.openxmlformats.org/officeDocument/2006/relationships/hyperlink" Target="https://recalls.cannabis.ca.gov/recalls/6949c333275295130057a2b5" TargetMode="External"/><Relationship Id="rId222" Type="http://schemas.openxmlformats.org/officeDocument/2006/relationships/hyperlink" Target="https://recalls.cannabis.ca.gov/recalls/6949c49c275295130057a2b9" TargetMode="External"/><Relationship Id="rId223" Type="http://schemas.openxmlformats.org/officeDocument/2006/relationships/hyperlink" Target="https://recalls.cannabis.ca.gov/recalls/69612a25c92173ffea4e8179" TargetMode="External"/><Relationship Id="rId224" Type="http://schemas.openxmlformats.org/officeDocument/2006/relationships/hyperlink" Target="https://recalls.cannabis.ca.gov/recalls/69851e0f298cd056cfb16d79" TargetMode="External"/><Relationship Id="rId225" Type="http://schemas.openxmlformats.org/officeDocument/2006/relationships/hyperlink" Target="https://recalls.cannabis.ca.gov/recalls/6998af38ba87ca08bd8caba5" TargetMode="External"/><Relationship Id="rId226" Type="http://schemas.openxmlformats.org/officeDocument/2006/relationships/hyperlink" Target="https://recalls.cannabis.ca.gov/recalls/69a205cb8fa6fba508b1b4fb" TargetMode="External"/><Relationship Id="rId227" Type="http://schemas.openxmlformats.org/officeDocument/2006/relationships/hyperlink" Target="https://recalls.cannabis.ca.gov/recalls/69a21d3f96df1c8b70f43527" TargetMode="External"/><Relationship Id="rId228" Type="http://schemas.openxmlformats.org/officeDocument/2006/relationships/hyperlink" Target="https://recalls.cannabis.ca.gov/recalls/69a85ce32d19d8796b0803db" TargetMode="External"/><Relationship Id="rId229" Type="http://schemas.openxmlformats.org/officeDocument/2006/relationships/hyperlink" Target="https://recalls.cannabis.ca.gov/recalls/69b1b5a32a82b185bbc723ca" TargetMode="External"/><Relationship Id="rId230" Type="http://schemas.openxmlformats.org/officeDocument/2006/relationships/hyperlink" Target="https://web.archive.org/web/20260806223017/https://recalls.cannabis.ca.gov/recalls/69b1b5a32a82b185bbc723ca" TargetMode="External"/><Relationship Id="rId231" Type="http://schemas.openxmlformats.org/officeDocument/2006/relationships/hyperlink" Target="https://recalls.cannabis.ca.gov/recalls/69bac321a64de26e1f61b1bc" TargetMode="External"/><Relationship Id="rId232" Type="http://schemas.openxmlformats.org/officeDocument/2006/relationships/hyperlink" Target="https://web.archive.org/web/20260806223948/https://recalls.cannabis.ca.gov/recalls/69bac321a64de26e1f61b1bc" TargetMode="External"/><Relationship Id="rId233" Type="http://schemas.openxmlformats.org/officeDocument/2006/relationships/hyperlink" Target="https://recalls.cannabis.ca.gov/recalls/69c454e93e73b4fb85e02ce0" TargetMode="External"/><Relationship Id="rId234" Type="http://schemas.openxmlformats.org/officeDocument/2006/relationships/hyperlink" Target="https://web.archive.org/web/20260806224527/https://recalls.cannabis.ca.gov/recalls/69c454e93e73b4fb85e02ce0" TargetMode="External"/><Relationship Id="rId235" Type="http://schemas.openxmlformats.org/officeDocument/2006/relationships/hyperlink" Target="https://recalls.cannabis.ca.gov/recalls/69dfd9e6f9ee786037778a16" TargetMode="External"/><Relationship Id="rId236" Type="http://schemas.openxmlformats.org/officeDocument/2006/relationships/hyperlink" Target="https://web.archive.org/web/20260806224527/https://recalls.cannabis.ca.gov/recalls/69c454e93e73b4fb85e02ce0" TargetMode="External"/><Relationship Id="rId237" Type="http://schemas.openxmlformats.org/officeDocument/2006/relationships/hyperlink" Target="https://recalls.cannabis.ca.gov/recalls/69f5062022586b8849e9ca84" TargetMode="External"/><Relationship Id="rId238" Type="http://schemas.openxmlformats.org/officeDocument/2006/relationships/hyperlink" Target="https://web.archive.org/web/20260806225451/https://recalls.cannabis.ca.gov/recalls/69f5062022586b8849e9ca84" TargetMode="External"/><Relationship Id="rId239" Type="http://schemas.openxmlformats.org/officeDocument/2006/relationships/hyperlink" Target="https://recalls.cannabis.ca.gov/recalls/69fcd4c2c3306dd2d846ad42" TargetMode="External"/><Relationship Id="rId240" Type="http://schemas.openxmlformats.org/officeDocument/2006/relationships/hyperlink" Target="https://web.archive.org/web/20260806225823/https://recalls.cannabis.ca.gov/recalls/69fcd4c2c3306dd2d846ad42" TargetMode="External"/><Relationship Id="rId241" Type="http://schemas.openxmlformats.org/officeDocument/2006/relationships/hyperlink" Target="https://recalls.cannabis.ca.gov/recalls/6a1dc9de98859a29f3f06962" TargetMode="External"/><Relationship Id="rId242" Type="http://schemas.openxmlformats.org/officeDocument/2006/relationships/hyperlink" Target="https://web.archive.org/web/20260806230128/https://recalls.cannabis.ca.gov/recalls/6a1dc9de98859a29f3f06962" TargetMode="External"/><Relationship Id="rId243" Type="http://schemas.openxmlformats.org/officeDocument/2006/relationships/hyperlink" Target="https://recalls.cannabis.ca.gov/recalls/6a232de738fb6c5513a12792" TargetMode="External"/><Relationship Id="rId244" Type="http://schemas.openxmlformats.org/officeDocument/2006/relationships/hyperlink" Target="https://web.archive.org/web/20260806230803/https://recalls.cannabis.ca.gov/recalls/6a232de738fb6c5513a12792" TargetMode="External"/><Relationship Id="rId245" Type="http://schemas.openxmlformats.org/officeDocument/2006/relationships/hyperlink" Target="https://recalls.cannabis.ca.gov/recalls/6a298137bb2d05e9afc2c265" TargetMode="External"/><Relationship Id="rId246" Type="http://schemas.openxmlformats.org/officeDocument/2006/relationships/hyperlink" Target="https://web.archive.org/web/20260806231110/https://recalls.cannabis.ca.gov/recalls/6a298137bb2d05e9afc2c265" TargetMode="External"/><Relationship Id="rId247" Type="http://schemas.openxmlformats.org/officeDocument/2006/relationships/hyperlink" Target="https://recalls.cannabis.ca.gov/recalls/6a39b80122dc5a363f09adc6" TargetMode="External"/><Relationship Id="rId248" Type="http://schemas.openxmlformats.org/officeDocument/2006/relationships/hyperlink" Target="https://web.archive.org/web/20260806231358/https://recalls.cannabis.ca.gov/recalls/6a39b80122dc5a363f09adc6" TargetMode="External"/><Relationship Id="rId249" Type="http://schemas.openxmlformats.org/officeDocument/2006/relationships/hyperlink" Target="https://recalls.cannabis.ca.gov/recalls/6a39ba986d79688bab955d8f" TargetMode="External"/><Relationship Id="rId250" Type="http://schemas.openxmlformats.org/officeDocument/2006/relationships/hyperlink" Target="https://web.archive.org/web/20260806231718/https://recalls.cannabis.ca.gov/recalls/6a39ba986d79688bab955d8f" TargetMode="External"/><Relationship Id="rId251" Type="http://schemas.openxmlformats.org/officeDocument/2006/relationships/hyperlink" Target="https://recalls.cannabis.ca.gov/recalls/6a39be622b28878ef4fac90d" TargetMode="External"/><Relationship Id="rId252" Type="http://schemas.openxmlformats.org/officeDocument/2006/relationships/hyperlink" Target="https://web.archive.org/web/20260806232059/https://recalls.cannabis.ca.gov/recalls/6a39be622b28878ef4fac90d" TargetMode="External"/><Relationship Id="rId253" Type="http://schemas.openxmlformats.org/officeDocument/2006/relationships/hyperlink" Target="https://recalls.cannabis.ca.gov/recalls/6a3c3b5b3e7bbb565418e5a5" TargetMode="External"/><Relationship Id="rId254" Type="http://schemas.openxmlformats.org/officeDocument/2006/relationships/hyperlink" Target="https://web.archive.org/web/20260806232613/https://recalls.cannabis.ca.gov/recalls/6a3c3b5b3e7bbb565418e5a5" TargetMode="External"/><Relationship Id="rId255" Type="http://schemas.openxmlformats.org/officeDocument/2006/relationships/hyperlink" Target="https://recalls.cannabis.ca.gov/recalls/6a43e400469891f7ecd256ae" TargetMode="External"/><Relationship Id="rId256" Type="http://schemas.openxmlformats.org/officeDocument/2006/relationships/hyperlink" Target="https://web.archive.org/web/20260806233125/https://recalls.cannabis.ca.gov/recalls/6a43e400469891f7ecd256ae" TargetMode="External"/><Relationship Id="rId257" Type="http://schemas.openxmlformats.org/officeDocument/2006/relationships/hyperlink" Target="https://recalls.cannabis.ca.gov/recalls/6a68dfdbc5b39a34e10f7334" TargetMode="External"/><Relationship Id="rId258" Type="http://schemas.openxmlformats.org/officeDocument/2006/relationships/hyperlink" Target="https://web.archive.org/web/20260806233329/https://recalls.cannabis.ca.gov/recalls/6a68dfdbc5b39a34e10f7334" TargetMode="External"/><Relationship Id="rId259" Type="http://schemas.openxmlformats.org/officeDocument/2006/relationships/hyperlink" Target="https://recalls.cannabis.ca.gov/recalls/6a7def131ecec3939f89bbf8" TargetMode="External"/><Relationship Id="rId260" Type="http://schemas.openxmlformats.org/officeDocument/2006/relationships/hyperlink" Target="https://web.archive.org/web/20260904162908/https://recalls.cannabis.ca.gov/recalls/6a7def131ecec3939f89bbf8" TargetMode="External"/><Relationship Id="rId261" Type="http://schemas.openxmlformats.org/officeDocument/2006/relationships/hyperlink" Target="https://recalls.cannabis.ca.gov/recalls/6a7df5f743ccda90f01aa8d9" TargetMode="External"/><Relationship Id="rId262" Type="http://schemas.openxmlformats.org/officeDocument/2006/relationships/hyperlink" Target="https://web.archive.org/web/20260904164303/https://recalls.cannabis.ca.gov/recalls/6a7df5f743ccda90f01aa8d9" TargetMode="External"/><Relationship Id="rId263" Type="http://schemas.openxmlformats.org/officeDocument/2006/relationships/hyperlink" Target="https://recalls.cannabis.ca.gov/recalls/6a8f33edb98914ac1cbf7ad5" TargetMode="External"/><Relationship Id="rId264" Type="http://schemas.openxmlformats.org/officeDocument/2006/relationships/hyperlink" Target="https://web.archive.org/web/20260904164937/https://recalls.cannabis.ca.gov/recalls/6a8f33edb98914ac1cbf7ad5" TargetMode="External"/><Relationship Id="rId265" Type="http://schemas.openxmlformats.org/officeDocument/2006/relationships/hyperlink" Target="https://recalls.cannabis.ca.gov/recalls/6aa070a00b3990d0d1911b0b" TargetMode="External"/><Relationship Id="rId266" Type="http://schemas.openxmlformats.org/officeDocument/2006/relationships/hyperlink" Target="https://web.archive.org/web/20261006171958/https://recalls.cannabis.ca.gov/recalls/6aa070a00b3990d0d1911b0b" TargetMode="External"/><Relationship Id="rId267" Type="http://schemas.openxmlformats.org/officeDocument/2006/relationships/hyperlink" Target="https://recalls.cannabis.ca.gov/recalls/6aa1a4bcb4769c715186bad8" TargetMode="External"/><Relationship Id="rId268" Type="http://schemas.openxmlformats.org/officeDocument/2006/relationships/hyperlink" Target="https://web.archive.org/web/20261006173158/https://accounts.google.com/v3/signin/identifier?continue=https://docs.google.com/spreadsheets/d/17JBmDRWDa_EDOp6PvbQLT1gbOnHdK5XleaaQwNZ9ie4/edit?gid%3D0&amp;followup=https://docs.google.com/spreadsheets/d/17JBmDRWDa_EDOp6PvbQLT1gbOnHdK5XleaaQwNZ9ie4/edit?gid%3D0&amp;ltmpl=sheets&amp;osid=1&amp;passive=1209600&amp;service=wise&amp;flowName=GlifWebSignIn&amp;flowEntry=ServiceLogin&amp;dsh=S-1087237001:1791307916246548" TargetMode="External"/><Relationship Id="rId269" Type="http://schemas.openxmlformats.org/officeDocument/2006/relationships/hyperlink" Target="https://recalls.cannabis.ca.gov/recalls/6aa2e912f2accebd33e19a65" TargetMode="External"/><Relationship Id="rId270" Type="http://schemas.openxmlformats.org/officeDocument/2006/relationships/hyperlink" Target="https://web.archive.org/web/20261006173540/https://recalls.cannabis.ca.gov/recalls/6aa2e912f2accebd33e19a65" TargetMode="External"/><Relationship Id="rId271" Type="http://schemas.openxmlformats.org/officeDocument/2006/relationships/hyperlink" Target="https://recalls.cannabis.ca.gov/recalls/6aa2ec645346d55ff8c73669" TargetMode="External"/><Relationship Id="rId272" Type="http://schemas.openxmlformats.org/officeDocument/2006/relationships/hyperlink" Target="https://web.archive.org/web/20261006183543/https://recalls.cannabis.ca.gov/recalls/6aa2ec645346d55ff8c73669" TargetMode="External"/><Relationship Id="rId273" Type="http://schemas.openxmlformats.org/officeDocument/2006/relationships/hyperlink" Target="https://recalls.cannabis.ca.gov/recalls/6aa1c7498a36944d2b7efd81" TargetMode="External"/><Relationship Id="rId274" Type="http://schemas.openxmlformats.org/officeDocument/2006/relationships/hyperlink" Target="https://web.archive.org/web/20261006173158/https://accounts.google.com/v3/signin/identifier?continue=https://docs.google.com/spreadsheets/d/17JBmDRWDa_EDOp6PvbQLT1gbOnHdK5XleaaQwNZ9ie4/edit?gid%3D0&amp;followup=https://docs.google.com/spreadsheets/d/17JBmDRWDa_EDOp6PvbQLT1gbOnHdK5XleaaQwNZ9ie4/edit?gid%3D0&amp;ltmpl=sheets&amp;osid=1&amp;passive=1209600&amp;service=wise&amp;flowName=GlifWebSignIn&amp;flowEntry=ServiceLogin&amp;dsh=S-1087237001:1791307916246548" TargetMode="External"/><Relationship Id="rId275" Type="http://schemas.openxmlformats.org/officeDocument/2006/relationships/hyperlink" Target="https://recalls.cannabis.ca.gov/recalls/6aa4651fa0feceb139d91ef9" TargetMode="External"/><Relationship Id="rId276" Type="http://schemas.openxmlformats.org/officeDocument/2006/relationships/hyperlink" Target="https://web.archive.org/web/20261006184842/https://recalls.cannabis.ca.gov/recalls/6aa4651fa0feceb139d91ef9" TargetMode="External"/><Relationship Id="rId277" Type="http://schemas.openxmlformats.org/officeDocument/2006/relationships/hyperlink" Target="https://web.archive.org/web/20160913223139/https://www.denvergov.org/content/denvergov/en/environmental-health/about-us/news-room/2015/mahatma-concentrates-recalls-marijuana-product-due-to-possible-p.html" TargetMode="External"/><Relationship Id="rId278" Type="http://schemas.openxmlformats.org/officeDocument/2006/relationships/hyperlink" Target="https://web.archive.org/web/20160913211656/https://www.denvergov.org/content/denvergov/en/environmental-health/about-us/news-room/2015/TwoBusinessesRecallMarijuanaProducts.html" TargetMode="External"/><Relationship Id="rId279" Type="http://schemas.openxmlformats.org/officeDocument/2006/relationships/hyperlink" Target="https://web.archive.org/web/20160913211656/https://www.denvergov.org/content/denvergov/en/environmental-health/about-us/news-room/2015/TwoBusinessesRecallMarijuanaProducts.html" TargetMode="External"/><Relationship Id="rId280" Type="http://schemas.openxmlformats.org/officeDocument/2006/relationships/hyperlink" Target="https://web.archive.org/web/20160913222800/https://www.denvergov.org/content/denvergov/en/environmental-health/about-us/news-room/2015/two-denver-cultivation-facilities-recall-marijuana-products--due.html" TargetMode="External"/><Relationship Id="rId281" Type="http://schemas.openxmlformats.org/officeDocument/2006/relationships/hyperlink" Target="https://web.archive.org/web/20160913223522/https://www.denvergov.org/content/denvergov/en/environmental-health/about-us/news-room/2015/nature_s-cure-recalls-marijuana-products-due-to-possible-pestici.html" TargetMode="External"/><Relationship Id="rId282" Type="http://schemas.openxmlformats.org/officeDocument/2006/relationships/hyperlink" Target="https://web.archive.org/web/20180429040251/http://www.denvergov.org/content/denvergov/en/environmental-health/about-us/news-room/2015/green-cross-recalls-marijuana-products-due-to-possible-pesticide.html" TargetMode="External"/><Relationship Id="rId283" Type="http://schemas.openxmlformats.org/officeDocument/2006/relationships/hyperlink" Target="https://web.archive.org/web/20160731234447/http://www.denvergov.org/content/denvergov/en/environmental-health/about-us/news-room/2015/gaia_s-garden-recalls-marijuana-products-due-to-possible-pestici.html" TargetMode="External"/><Relationship Id="rId284" Type="http://schemas.openxmlformats.org/officeDocument/2006/relationships/hyperlink" Target="https://web.archive.org/web/20151205052712/https://www.denvergov.org/content/denvergov/en/environmental-health/about-us/news-room/2015/Marijuana-product-recall.html" TargetMode="External"/><Relationship Id="rId285" Type="http://schemas.openxmlformats.org/officeDocument/2006/relationships/hyperlink" Target="https://web.archive.org/web/20151216222102/http://www.denvergov.org/content/denvergov/en/environmental-health/about-us/news-room/2015/gaia_s-garden-recalls-marijuana-products-due-to-possible-pestici.html" TargetMode="External"/><Relationship Id="rId286" Type="http://schemas.openxmlformats.org/officeDocument/2006/relationships/hyperlink" Target="https://web.archive.org/web/20160913215642/https://www.denvergov.org/content/denvergov/en/environmental-health/about-us/news-room/2015/edipure-recalls-marijuana-products-due-to-pesticide-residues.html" TargetMode="External"/><Relationship Id="rId287" Type="http://schemas.openxmlformats.org/officeDocument/2006/relationships/hyperlink" Target="https://www.thecannabist.co/2015/12/04/pesticide-pot-recall-list-marijuana/44711/" TargetMode="External"/><Relationship Id="rId288" Type="http://schemas.openxmlformats.org/officeDocument/2006/relationships/hyperlink" Target="https://www.thecannabist.co/2015/12/04/pesticide-pot-recall-list-marijuana/44711/" TargetMode="External"/><Relationship Id="rId289" Type="http://schemas.openxmlformats.org/officeDocument/2006/relationships/hyperlink" Target="https://www.thecannabist.co/2015/12/04/pesticide-pot-recall-list-marijuana/44711/" TargetMode="External"/><Relationship Id="rId290" Type="http://schemas.openxmlformats.org/officeDocument/2006/relationships/hyperlink" Target="https://www.thecannabist.co/2015/12/04/pesticide-pot-recall-list-marijuana/44711/" TargetMode="External"/><Relationship Id="rId291" Type="http://schemas.openxmlformats.org/officeDocument/2006/relationships/hyperlink" Target="https://www.thecannabist.co/2015/12/07/pot-pesticides-marijuana/44740/" TargetMode="External"/><Relationship Id="rId292" Type="http://schemas.openxmlformats.org/officeDocument/2006/relationships/hyperlink" Target="https://www.thecannabist.co/2015/12/04/pesticide-pot-recall-list-marijuana/44711/" TargetMode="External"/><Relationship Id="rId293" Type="http://schemas.openxmlformats.org/officeDocument/2006/relationships/hyperlink" Target="https://www.thecannabist.co/2015/12/07/pot-pesticides-marijuana/44740/" TargetMode="External"/><Relationship Id="rId294" Type="http://schemas.openxmlformats.org/officeDocument/2006/relationships/hyperlink" Target="https://www.thecannabist.co/2015/12/04/pesticide-pot-recall-list-marijuana/44711/" TargetMode="External"/><Relationship Id="rId295" Type="http://schemas.openxmlformats.org/officeDocument/2006/relationships/hyperlink" Target="https://www.thecannabist.co/2015/12/07/pot-pesticides-marijuana/44740/" TargetMode="External"/><Relationship Id="rId296" Type="http://schemas.openxmlformats.org/officeDocument/2006/relationships/hyperlink" Target="https://sbg.colorado.gov/sites/sbg/files/MED%20Levity%20Advisory%2002192016_1_1.pdf" TargetMode="External"/><Relationship Id="rId297" Type="http://schemas.openxmlformats.org/officeDocument/2006/relationships/hyperlink" Target="https://sbg.colorado.gov/sites/sbg/files/MED%20Dr.%20Releaf%20Advisory%2002192016_1_1.pdf" TargetMode="External"/><Relationship Id="rId298" Type="http://schemas.openxmlformats.org/officeDocument/2006/relationships/hyperlink" Target="https://sbg.colorado.gov/sites/sbg/files/2.23.16%20XG%20Platinum%20HSA_1_1.pdf" TargetMode="External"/><Relationship Id="rId299" Type="http://schemas.openxmlformats.org/officeDocument/2006/relationships/hyperlink" Target="https://sbg.colorado.gov/sites/sbg/files/Health%20%26%20Safety%20Advisory%20-%20RMO%202-24-16%20Final_1_1.pdf" TargetMode="External"/><Relationship Id="rId300" Type="http://schemas.openxmlformats.org/officeDocument/2006/relationships/hyperlink" Target="https://sbg.colorado.gov/sites/sbg/files/2.25.16%20BTTG%20final_1_1.pdf" TargetMode="External"/><Relationship Id="rId301" Type="http://schemas.openxmlformats.org/officeDocument/2006/relationships/hyperlink" Target="https://sbg.colorado.gov/sites/sbg/files/160307%20Advisory%20-%20Sunrise%20Solutions_Final%20%281%29_2_1.pdf" TargetMode="External"/><Relationship Id="rId302" Type="http://schemas.openxmlformats.org/officeDocument/2006/relationships/hyperlink" Target="https://sbg.colorado.gov/sites/sbg/files/CNW%20Final%2003092016_1.pdf" TargetMode="External"/><Relationship Id="rId303" Type="http://schemas.openxmlformats.org/officeDocument/2006/relationships/hyperlink" Target="https://sbg.colorado.gov/sites/sbg/files/Headquarters%20Emp%20HSA%20final%2003102016_1_1.pdf" TargetMode="External"/><Relationship Id="rId304" Type="http://schemas.openxmlformats.org/officeDocument/2006/relationships/hyperlink" Target="https://sbg.colorado.gov/sites/sbg/files/SkinnyPineapple%20Final%2003102016_1_1.pdf" TargetMode="External"/><Relationship Id="rId305" Type="http://schemas.openxmlformats.org/officeDocument/2006/relationships/hyperlink" Target="https://sbg.colorado.gov/sites/sbg/files/AMA%20Final%2003142016_1_1.pdf" TargetMode="External"/><Relationship Id="rId306" Type="http://schemas.openxmlformats.org/officeDocument/2006/relationships/hyperlink" Target="https://sbg.colorado.gov/sites/sbg/files/RR%20Services%20Final%2003142016_1_1.pdf" TargetMode="External"/><Relationship Id="rId307" Type="http://schemas.openxmlformats.org/officeDocument/2006/relationships/hyperlink" Target="https://sbg.colorado.gov/sites/sbg/files/MGI%20HSA%2003172016_1_1.pdf" TargetMode="External"/><Relationship Id="rId308" Type="http://schemas.openxmlformats.org/officeDocument/2006/relationships/hyperlink" Target="https://sbg.colorado.gov/sites/sbg/files/Colorados%20Best%2003212016_1.pdf" TargetMode="External"/><Relationship Id="rId309" Type="http://schemas.openxmlformats.org/officeDocument/2006/relationships/hyperlink" Target="https://sbg.colorado.gov/sites/sbg/files/Firehouse%20central%20final%2003232016%20%281%29_1.pdf" TargetMode="External"/><Relationship Id="rId310" Type="http://schemas.openxmlformats.org/officeDocument/2006/relationships/hyperlink" Target="https://sbg.colorado.gov/sites/sbg/files/Health%20Depot%20LLC%2004012016_1_1.pdf" TargetMode="External"/><Relationship Id="rId311" Type="http://schemas.openxmlformats.org/officeDocument/2006/relationships/hyperlink" Target="https://sbg.colorado.gov/sites/sbg/files/Wanna%20LLC%2004012016_1_1.pdf" TargetMode="External"/><Relationship Id="rId312" Type="http://schemas.openxmlformats.org/officeDocument/2006/relationships/hyperlink" Target="https://sbg.colorado.gov/sites/sbg/files/ACME%20Healing%20Center%20of%20Ridgway%20LLC%2004052016_1_1.pdf" TargetMode="External"/><Relationship Id="rId313" Type="http://schemas.openxmlformats.org/officeDocument/2006/relationships/hyperlink" Target="https://sbg.colorado.gov/sites/sbg/files/Flower%20Power%20HSA%2004072016_1_1.pdf" TargetMode="External"/><Relationship Id="rId314" Type="http://schemas.openxmlformats.org/officeDocument/2006/relationships/hyperlink" Target="https://sbg.colorado.gov/sites/sbg/files/J%20and%20J%2004072016_1_1.pdf" TargetMode="External"/><Relationship Id="rId315" Type="http://schemas.openxmlformats.org/officeDocument/2006/relationships/hyperlink" Target="https://sbg.colorado.gov/sites/sbg/files/Grow%20Life%20HSA%2004212016_1_1.pdf" TargetMode="External"/><Relationship Id="rId316" Type="http://schemas.openxmlformats.org/officeDocument/2006/relationships/hyperlink" Target="https://sbg.colorado.gov/sites/sbg/files/Medicine%20Man%20HSA%2004222016_1.pdf" TargetMode="External"/><Relationship Id="rId317" Type="http://schemas.openxmlformats.org/officeDocument/2006/relationships/hyperlink" Target="https://sbg.colorado.gov/sites/sbg/files/Kazimer%20HSA%20%2004162016_1_1.pdf" TargetMode="External"/><Relationship Id="rId318" Type="http://schemas.openxmlformats.org/officeDocument/2006/relationships/hyperlink" Target="https://sbg.colorado.gov/sites/sbg/files/Best%20Budz%20HSA%2005232016_1_1.pdf" TargetMode="External"/><Relationship Id="rId319" Type="http://schemas.openxmlformats.org/officeDocument/2006/relationships/hyperlink" Target="https://sbg.colorado.gov/sites/sbg/files/Biomeds%20HSA%2005232016_1_1.pdf" TargetMode="External"/><Relationship Id="rId320" Type="http://schemas.openxmlformats.org/officeDocument/2006/relationships/hyperlink" Target="https://sbg.colorado.gov/sites/sbg/files/9.7.16%20AMOCH%20HSA_1.pdf" TargetMode="External"/><Relationship Id="rId321" Type="http://schemas.openxmlformats.org/officeDocument/2006/relationships/hyperlink" Target="https://sbg.colorado.gov/sites/sbg/files/9.7.16%20Green%20Naturals%20HSA_1.pdf" TargetMode="External"/><Relationship Id="rId322" Type="http://schemas.openxmlformats.org/officeDocument/2006/relationships/hyperlink" Target="https://sbg.colorado.gov/sites/sbg/files/9.13.16%20Southern%20Colorado%20HSA_1.pdf" TargetMode="External"/><Relationship Id="rId323" Type="http://schemas.openxmlformats.org/officeDocument/2006/relationships/hyperlink" Target="https://sbg.colorado.gov/sites/sbg/files/9.13.16%20The%20Tea%20Pot_1.pdf" TargetMode="External"/><Relationship Id="rId324" Type="http://schemas.openxmlformats.org/officeDocument/2006/relationships/hyperlink" Target="https://sbg.colorado.gov/sites/sbg/files/JVT%20Enterprises%20HSA%2009232016_1.pdf" TargetMode="External"/><Relationship Id="rId325" Type="http://schemas.openxmlformats.org/officeDocument/2006/relationships/hyperlink" Target="https://sbg.colorado.gov/sites/sbg/files/HSA%20Wash%20Park%20Boutique%20HSA%2009232016_1.pdf" TargetMode="External"/><Relationship Id="rId326" Type="http://schemas.openxmlformats.org/officeDocument/2006/relationships/hyperlink" Target="https://drive.google.com/file/d/1VfVYuvXn63TWF1ZzeDR83DcrX1qkO9Yt/view?usp=sharing" TargetMode="External"/><Relationship Id="rId327" Type="http://schemas.openxmlformats.org/officeDocument/2006/relationships/hyperlink" Target="https://sbg.colorado.gov/sites/sbg/files/Herbal%20Options%20HSA%2004262017_1_1.pdf" TargetMode="External"/><Relationship Id="rId328" Type="http://schemas.openxmlformats.org/officeDocument/2006/relationships/hyperlink" Target="https://sbg.colorado.gov/sites/sbg/files/Rocky%20Mtn%20Ways%20HSA%2004262017_1_1.pdf" TargetMode="External"/><Relationship Id="rId329" Type="http://schemas.openxmlformats.org/officeDocument/2006/relationships/hyperlink" Target="https://sbg.colorado.gov/sites/sbg/files/documents/7.19%20Kirke.pdf" TargetMode="External"/><Relationship Id="rId330" Type="http://schemas.openxmlformats.org/officeDocument/2006/relationships/hyperlink" Target="https://sbg.colorado.gov/sites/sbg/files/documents/Metro%20Denver%20Telluride%20HSA%2007202017.pdf" TargetMode="External"/><Relationship Id="rId331" Type="http://schemas.openxmlformats.org/officeDocument/2006/relationships/hyperlink" Target="https://drive.google.com/file/d/1ujY1WAdeo6T8TUTehRd0N3O8ayw5eAsD/view?usp=sharing" TargetMode="External"/><Relationship Id="rId332" Type="http://schemas.openxmlformats.org/officeDocument/2006/relationships/hyperlink" Target="https://sbg.colorado.gov/sites/sbg/files/HSATree%20of%20Wellness%2011032017_2.pdf" TargetMode="External"/><Relationship Id="rId333" Type="http://schemas.openxmlformats.org/officeDocument/2006/relationships/hyperlink" Target="https://sbg.colorado.gov/sites/sbg/files/HSA%20Citi-Med%2011172017_2.pdf" TargetMode="External"/><Relationship Id="rId334" Type="http://schemas.openxmlformats.org/officeDocument/2006/relationships/hyperlink" Target="https://sbg.colorado.gov/sites/sbg/files/HSA%20Pikes%20Peak%20Cannabis%20Caregivers%20for%20Life%20402-00123%20and%20403-01328_1.pdf" TargetMode="External"/><Relationship Id="rId335" Type="http://schemas.openxmlformats.org/officeDocument/2006/relationships/hyperlink" Target="https://sbg.colorado.gov/sites/sbg/files/01242018%20Bronner%20Corp%20HSA.pdf" TargetMode="External"/><Relationship Id="rId336" Type="http://schemas.openxmlformats.org/officeDocument/2006/relationships/hyperlink" Target="https://sbg.colorado.gov/sites/sbg/files/181121%20HSA%20CWC.pdf" TargetMode="External"/><Relationship Id="rId337" Type="http://schemas.openxmlformats.org/officeDocument/2006/relationships/hyperlink" Target="https://sbg.colorado.gov/sites/sbg/files/Crossroads%20Wellness%20HSA%20Final.pdf" TargetMode="External"/><Relationship Id="rId338" Type="http://schemas.openxmlformats.org/officeDocument/2006/relationships/hyperlink" Target="https://sbg.colorado.gov/sites/sbg/files/HSA%20Mile%20High%20Medical%2004112019.pdf" TargetMode="External"/><Relationship Id="rId339" Type="http://schemas.openxmlformats.org/officeDocument/2006/relationships/hyperlink" Target="https://sbg.colorado.gov/sites/sbg/files/documents/190816%20Public%20Health%20and%20Safety%20Advisory-%20Herbal%20Wellness%2C%20LLC.pdf" TargetMode="External"/><Relationship Id="rId340" Type="http://schemas.openxmlformats.org/officeDocument/2006/relationships/hyperlink" Target="https://drive.google.com/open?id=1RJSbwmD5DzoI-E09vDshbUATjN9wvx6h" TargetMode="External"/><Relationship Id="rId341" Type="http://schemas.openxmlformats.org/officeDocument/2006/relationships/hyperlink" Target="https://drive.google.com/open?id=1oZxftn0twX4egl0ZPGDbIi0UL12ey3uS" TargetMode="External"/><Relationship Id="rId342" Type="http://schemas.openxmlformats.org/officeDocument/2006/relationships/hyperlink" Target="https://drive.google.com/file/d/1fA2Md16UM1sp028SKLWjIme7_Cvc_3Qs/view" TargetMode="External"/><Relationship Id="rId343" Type="http://schemas.openxmlformats.org/officeDocument/2006/relationships/hyperlink" Target="https://drive.google.com/file/d/15p7-15uOMGjz84uqEYz5hpUljx-oP62p/view" TargetMode="External"/><Relationship Id="rId344" Type="http://schemas.openxmlformats.org/officeDocument/2006/relationships/hyperlink" Target="https://drive.google.com/file/d/1xowig7vPtl-lz_xUAALt3DIxeGua1xY6/view?usp=sharing" TargetMode="External"/><Relationship Id="rId345" Type="http://schemas.openxmlformats.org/officeDocument/2006/relationships/hyperlink" Target="https://sbg.colorado.gov/sites/sbg/files/201105%20HSA%20Physician%20Preferred%20Products%20LLC%20403-01905.pdf" TargetMode="External"/><Relationship Id="rId346" Type="http://schemas.openxmlformats.org/officeDocument/2006/relationships/hyperlink" Target="https://sbg.colorado.gov/sites/sbg/files/documents/Health%20and%20Safety%20Advisory%20-%20Carrick-Harvest%20LLC.pdf" TargetMode="External"/><Relationship Id="rId347" Type="http://schemas.openxmlformats.org/officeDocument/2006/relationships/hyperlink" Target="https://sbg.colorado.gov/sites/sbg/files/documents/210210%20FINAL%20Medically%20Correct%20HSA.pdf" TargetMode="External"/><Relationship Id="rId348" Type="http://schemas.openxmlformats.org/officeDocument/2006/relationships/hyperlink" Target="https://sbg.colorado.gov/sites/sbg/files/documents/20210330%20TZ%20Financial%20LLC%20403R-00123%20HSA%20Final.pdf" TargetMode="External"/><Relationship Id="rId349" Type="http://schemas.openxmlformats.org/officeDocument/2006/relationships/hyperlink" Target="https://sbg.colorado.gov/sites/sbg/files/documents/210419%20HSA%20Primal%20LLC%20402-01058%20Final.pdf" TargetMode="External"/><Relationship Id="rId350" Type="http://schemas.openxmlformats.org/officeDocument/2006/relationships/hyperlink" Target="https://sbg.colorado.gov/sites/sbg/files/Health_and_Safety_Advisory_The_Chronic_Factory_LLC.pdf" TargetMode="External"/><Relationship Id="rId351" Type="http://schemas.openxmlformats.org/officeDocument/2006/relationships/hyperlink" Target="https://drive.google.com/file/d/1ap4Pkw4aJxhvzy9G0tbZNkViwE69_6Ry/view?usp=sharing" TargetMode="External"/><Relationship Id="rId352" Type="http://schemas.openxmlformats.org/officeDocument/2006/relationships/hyperlink" Target="https://codor.mylicense.com/MED_Verification/Details.aspx?result=0e6b0f87-acc7-4f89-b7d6-04bcc788c841" TargetMode="External"/><Relationship Id="rId353" Type="http://schemas.openxmlformats.org/officeDocument/2006/relationships/hyperlink" Target="https://sbg.colorado.gov/sites/sbg/files/documents/Health_and_Safety_Advisory_Tree_Farmers_LLC_211208.pdf" TargetMode="External"/><Relationship Id="rId354" Type="http://schemas.openxmlformats.org/officeDocument/2006/relationships/hyperlink" Target="https://sbg.colorado.gov/sites/sbg/files/documents/Health_and_Safety_Advisory_211214_REVISED_HSA_Innovative_Fusion_LLC.pdf" TargetMode="External"/><Relationship Id="rId355" Type="http://schemas.openxmlformats.org/officeDocument/2006/relationships/hyperlink" Target="https://docs.google.com/document/d/1S_40b2SJe9L_ZeHc-fK7Klq19YMnDROTX3cy81itYks/edit" TargetMode="External"/><Relationship Id="rId356" Type="http://schemas.openxmlformats.org/officeDocument/2006/relationships/hyperlink" Target="https://drive.google.com/file/d/1I-nbQQyv4UKLNghmjmbliC_WVa8fkpeJ/view" TargetMode="External"/><Relationship Id="rId357" Type="http://schemas.openxmlformats.org/officeDocument/2006/relationships/hyperlink" Target="https://sbg.colorado.gov/sites/sbg/files/Health_and_Safety_Advisory_LivWell_I_LLC_403R-00252.pdf" TargetMode="External"/><Relationship Id="rId358" Type="http://schemas.openxmlformats.org/officeDocument/2006/relationships/hyperlink" Target="https://sbg.colorado.gov/sites/sbg/files/documents/220420Final_Fresh_Baked_LLC_403R-00250_HSA.pdf" TargetMode="External"/><Relationship Id="rId359" Type="http://schemas.openxmlformats.org/officeDocument/2006/relationships/hyperlink" Target="https://sbg.colorado.gov/sites/sbg/files/220503_HSA_Canna_Meds_Wellness_Center_LLC.pdf" TargetMode="External"/><Relationship Id="rId360" Type="http://schemas.openxmlformats.org/officeDocument/2006/relationships/hyperlink" Target="https://sbg.colorado.gov/sites/sbg/files/220518_Fresh_Baked_LLC_403R-00250_HSA_2.pdf" TargetMode="External"/><Relationship Id="rId361" Type="http://schemas.openxmlformats.org/officeDocument/2006/relationships/hyperlink" Target="https://sbg.colorado.gov/sites/sbg/files/220714_Dune_Valley_Farms_LLC_403R-00850_HSA.pdf" TargetMode="External"/><Relationship Id="rId362" Type="http://schemas.openxmlformats.org/officeDocument/2006/relationships/hyperlink" Target="https://sbg.colorado.gov/sites/sbg/files/220722_Informational_%20Notification_RE_Adverse_Health_Events_Reported_Related_to_1906_Midnight_Drops.pdf" TargetMode="External"/><Relationship Id="rId363" Type="http://schemas.openxmlformats.org/officeDocument/2006/relationships/hyperlink" Target="https://sbg.colorado.gov/sites/sbg/files/221012_HSA_Beyond_Broadway_LLC.pdf" TargetMode="External"/><Relationship Id="rId364" Type="http://schemas.openxmlformats.org/officeDocument/2006/relationships/hyperlink" Target="https://sbg.colorado.gov/sites/sbg/files/221026_SDJ_LLC_HSA.docx.pdf" TargetMode="External"/><Relationship Id="rId365" Type="http://schemas.openxmlformats.org/officeDocument/2006/relationships/hyperlink" Target="https://sbg.colorado.gov/sites/sbg/files/221123_HSA_Beddor_Claude_LLC.docx.pdf" TargetMode="External"/><Relationship Id="rId366" Type="http://schemas.openxmlformats.org/officeDocument/2006/relationships/hyperlink" Target="https://sbg.colorado.gov/sites/sbg/files/221215_HSA_240_Arthur_Avenue_LLC.pdf" TargetMode="External"/><Relationship Id="rId367" Type="http://schemas.openxmlformats.org/officeDocument/2006/relationships/hyperlink" Target="https://sbg.colorado.gov/sites/sbg/files/FINAL_HSA_Jolet_Ventures_403R-00132.pdf" TargetMode="External"/><Relationship Id="rId368" Type="http://schemas.openxmlformats.org/officeDocument/2006/relationships/hyperlink" Target="https://sbg.colorado.gov/sites/sbg/files/FINAL_HSA_Sissco_LLC_403-00840_403R-00333.pdf" TargetMode="External"/><Relationship Id="rId369" Type="http://schemas.openxmlformats.org/officeDocument/2006/relationships/hyperlink" Target="https://sbg.colorado.gov/sites/sbg/files/230126%20Health%20and%20Safety%20Advisory_%20Physician%20Preferred%20Products%20LLC%20%28DBA%20Doc&#8217;s%20Apothecary%29.pdf" TargetMode="External"/><Relationship Id="rId370" Type="http://schemas.openxmlformats.org/officeDocument/2006/relationships/hyperlink" Target="https://sbg.colorado.gov/sites/sbg/files/230309_CORRECTED_Health_and_Safety_Advisory_Green_Street_LLC.pdf" TargetMode="External"/><Relationship Id="rId371" Type="http://schemas.openxmlformats.org/officeDocument/2006/relationships/hyperlink" Target="https://sbg.colorado.gov/sites/sbg/files/documents/230320_HSA_MJ_Durango.pdf" TargetMode="External"/><Relationship Id="rId372" Type="http://schemas.openxmlformats.org/officeDocument/2006/relationships/hyperlink" Target="https://sbg.colorado.gov/sites/sbg/files/documents/230322_Updated_HSA_Carrick-Harvest.docx.pdf" TargetMode="External"/><Relationship Id="rId373" Type="http://schemas.openxmlformats.org/officeDocument/2006/relationships/hyperlink" Target="https://sbg.colorado.gov/sites/sbg/files/documents/230412_BBM_Enterprises_LLC_HSA.pdf" TargetMode="External"/><Relationship Id="rId374" Type="http://schemas.openxmlformats.org/officeDocument/2006/relationships/hyperlink" Target="https://sbg.colorado.gov/sites/sbg/files/documents/230412_COS_Investments_LLC_HSA.pdf" TargetMode="External"/><Relationship Id="rId375" Type="http://schemas.openxmlformats.org/officeDocument/2006/relationships/hyperlink" Target="https://sbg.colorado.gov/sites/sbg/files/documents/230412_Trinidad_Cultivation_Services_HSA.pdf" TargetMode="External"/><Relationship Id="rId376" Type="http://schemas.openxmlformats.org/officeDocument/2006/relationships/hyperlink" Target="https://sbg.colorado.gov/sites/sbg/files/documents/230417_Long_Gone_Farms_HSA.pdf" TargetMode="External"/><Relationship Id="rId377" Type="http://schemas.openxmlformats.org/officeDocument/2006/relationships/hyperlink" Target="https://sbg.colorado.gov/sites/sbg/files/documents/230508_Big_Mountain_Organics_LLC_HSA.docx.pdf" TargetMode="External"/><Relationship Id="rId378" Type="http://schemas.openxmlformats.org/officeDocument/2006/relationships/hyperlink" Target="https://sbg.colorado.gov/sites/sbg/files/documents/230509_MJ_Durango_HSA.pdf" TargetMode="External"/><Relationship Id="rId379" Type="http://schemas.openxmlformats.org/officeDocument/2006/relationships/hyperlink" Target="https://sbg.colorado.gov/sites/sbg/files/documents/230523_GT_Retail_LLC_HSA.pdf" TargetMode="External"/><Relationship Id="rId380" Type="http://schemas.openxmlformats.org/officeDocument/2006/relationships/hyperlink" Target="https://sbg.colorado.gov/sites/sbg/files/documents/230601%20Informational%20Notification%20RE_%20Adverse%20Health%20Events%20Reported%20Related%20to%201906%20Midnight%20Drops.pdf" TargetMode="External"/><Relationship Id="rId381" Type="http://schemas.openxmlformats.org/officeDocument/2006/relationships/hyperlink" Target="https://sbg.colorado.gov/sites/sbg/files/documents/230612%20HSA%20Kind%20Care%20of%20Colorado%20LLC%20402-00841%20%26%20402R-00516.pdf" TargetMode="External"/><Relationship Id="rId382" Type="http://schemas.openxmlformats.org/officeDocument/2006/relationships/hyperlink" Target="https://sbg.colorado.gov/sites/sbg/files/documents/230622%20Tumbleweed%20Steamboat%20LLC%20HSA%20memo.pdf" TargetMode="External"/><Relationship Id="rId383" Type="http://schemas.openxmlformats.org/officeDocument/2006/relationships/hyperlink" Target="https://sbg.colorado.gov/sites/sbg/files/documents/230824%20P2C3%2C%20LLC%20HSA%20%20Revised.pdf" TargetMode="External"/><Relationship Id="rId384" Type="http://schemas.openxmlformats.org/officeDocument/2006/relationships/hyperlink" Target="https://drive.google.com/file/d/1YHAR9H4TClbzgUXNwLn8q3uh-NAxVoG8/view" TargetMode="External"/><Relationship Id="rId385" Type="http://schemas.openxmlformats.org/officeDocument/2006/relationships/hyperlink" Target="https://drive.google.com/file/d/11ZQK6nVV01HHHKjuJM-_leTDFSiPbLFn/view" TargetMode="External"/><Relationship Id="rId386" Type="http://schemas.openxmlformats.org/officeDocument/2006/relationships/hyperlink" Target="https://med.colorado.gov/sites/med/files/documents/240830_SLOW_BURN_FARM_%20LLC_2024-0127_HSA_MEMO.pdf" TargetMode="External"/><Relationship Id="rId387" Type="http://schemas.openxmlformats.org/officeDocument/2006/relationships/hyperlink" Target="https://drive.google.com/file/d/19WkOCu8hxtPrD_NbEIiARDM6r6TAv91B/view" TargetMode="External"/><Relationship Id="rId388" Type="http://schemas.openxmlformats.org/officeDocument/2006/relationships/hyperlink" Target="https://drive.google.com/file/d/1Ouz0dMZyAoBPFFfo9cKvW7RWSfsX92Ea/view" TargetMode="External"/><Relationship Id="rId389" Type="http://schemas.openxmlformats.org/officeDocument/2006/relationships/hyperlink" Target="https://drive.google.com/file/d/1_wFzm3GOJfzE6tmSqIhIcyvtI8ocZJDf/view" TargetMode="External"/><Relationship Id="rId390" Type="http://schemas.openxmlformats.org/officeDocument/2006/relationships/hyperlink" Target="https://drive.google.com/file/d/1idBqkIEOYMygYTyIrTMjdJZgRSjlyX_O/view" TargetMode="External"/><Relationship Id="rId391" Type="http://schemas.openxmlformats.org/officeDocument/2006/relationships/hyperlink" Target="https://docs.google.com/spreadsheets/d/10YkN4Rqg58UGLMEH5R_pS1_9uNAoTdNG2UDLxc21FXs/edit?gid=0" TargetMode="External"/><Relationship Id="rId392" Type="http://schemas.openxmlformats.org/officeDocument/2006/relationships/hyperlink" Target="https://drive.google.com/file/d/1-8eWEfr3zRc4GI3VXz5GTGJHl-Am0P1W/view" TargetMode="External"/><Relationship Id="rId393" Type="http://schemas.openxmlformats.org/officeDocument/2006/relationships/hyperlink" Target="https://drive.google.com/file/d/1iAnXF7p_mCzCHRMVsxGmuYuGdA7lrBwR/view" TargetMode="External"/><Relationship Id="rId394" Type="http://schemas.openxmlformats.org/officeDocument/2006/relationships/hyperlink" Target="https://drive.google.com/file/d/1XjvXw1cBy9RUUsRO95g9YQVBYN2aPKP4/view" TargetMode="External"/><Relationship Id="rId395" Type="http://schemas.openxmlformats.org/officeDocument/2006/relationships/hyperlink" Target="https://drive.google.com/file/d/1S-DzTLFKhdxm9scoC-EgZSoyHluy3oCm/view" TargetMode="External"/><Relationship Id="rId396" Type="http://schemas.openxmlformats.org/officeDocument/2006/relationships/hyperlink" Target="https://drive.google.com/file/d/1uTORm-zZZvUK2YC_Tbh59h_0rcQZPjjT/view" TargetMode="External"/><Relationship Id="rId397" Type="http://schemas.openxmlformats.org/officeDocument/2006/relationships/hyperlink" Target="https://drive.google.com/file/d/1CiIaN9i_LaRfkPphezsddl7jz6QYva7p/view" TargetMode="External"/><Relationship Id="rId398" Type="http://schemas.openxmlformats.org/officeDocument/2006/relationships/hyperlink" Target="https://drive.google.com/file/d/1PXcEnUUvJ0FhKHSGMPAdqc7xq6oSlZPJ/view" TargetMode="External"/><Relationship Id="rId399" Type="http://schemas.openxmlformats.org/officeDocument/2006/relationships/hyperlink" Target="https://drive.google.com/file/d/1Fv-ODcgUshxPwdKn31ODct8y0ZZ4n_gN/view" TargetMode="External"/><Relationship Id="rId400" Type="http://schemas.openxmlformats.org/officeDocument/2006/relationships/hyperlink" Target="https://drive.google.com/file/d/1BHySC8XCeVLWUZPjUgiyYtlaRfJC5Pin/view" TargetMode="External"/><Relationship Id="rId401" Type="http://schemas.openxmlformats.org/officeDocument/2006/relationships/hyperlink" Target="https://drive.google.com/file/d/1d9dxbbcp38qhitq_nnBXNGXx8tihY-eu/view" TargetMode="External"/><Relationship Id="rId402" Type="http://schemas.openxmlformats.org/officeDocument/2006/relationships/hyperlink" Target="https://docs.google.com/spreadsheets/d/10YkN4Rqg58UGLMEH5R_pS1_9uNAoTdNG2UDLxc21FXs/edit?gid=0" TargetMode="External"/><Relationship Id="rId403" Type="http://schemas.openxmlformats.org/officeDocument/2006/relationships/hyperlink" Target="https://drive.google.com/file/d/1wxGzfS5E5CvpSdIl0p3_wpaUGOVlg7-O/view" TargetMode="External"/><Relationship Id="rId404" Type="http://schemas.openxmlformats.org/officeDocument/2006/relationships/hyperlink" Target="https://drive.google.com/file/d/1UAGSwwkSjaNBMT4_55iNo-xjhiBuTt4H/view" TargetMode="External"/><Relationship Id="rId405" Type="http://schemas.openxmlformats.org/officeDocument/2006/relationships/hyperlink" Target="https://drive.google.com/file/d/155K5itnbbcG9r6nxemU_8UHDu709cMJB/view" TargetMode="External"/><Relationship Id="rId406" Type="http://schemas.openxmlformats.org/officeDocument/2006/relationships/hyperlink" Target="https://docs.google.com/spreadsheets/d/10YkN4Rqg58UGLMEH5R_pS1_9uNAoTdNG2UDLxc21FXs/edit?gid=0" TargetMode="External"/><Relationship Id="rId407" Type="http://schemas.openxmlformats.org/officeDocument/2006/relationships/hyperlink" Target="https://drive.google.com/file/d/19q__x77AyU7ZTTrhGXGGMJNjWyJ9R5Sj/view" TargetMode="External"/><Relationship Id="rId408" Type="http://schemas.openxmlformats.org/officeDocument/2006/relationships/hyperlink" Target="https://drive.google.com/file/d/1hVBxJXY-_7ZXrCz3yI0J7CENF9eas4Dy/view" TargetMode="External"/><Relationship Id="rId409" Type="http://schemas.openxmlformats.org/officeDocument/2006/relationships/hyperlink" Target="https://drive.google.com/file/d/1GKnyLFccnLupVkDLLZwADODi7o8x40Cd/view" TargetMode="External"/><Relationship Id="rId410" Type="http://schemas.openxmlformats.org/officeDocument/2006/relationships/hyperlink" Target="https://drive.google.com/file/d/1KvyOhoFc8TmE6_A6Tn_8_pEVBsfHd8Yc/view" TargetMode="External"/><Relationship Id="rId411" Type="http://schemas.openxmlformats.org/officeDocument/2006/relationships/hyperlink" Target="https://drive.google.com/file/d/1r3Tyzturym13Qc6BjpToStviBvOOtUwk/view" TargetMode="External"/><Relationship Id="rId412" Type="http://schemas.openxmlformats.org/officeDocument/2006/relationships/hyperlink" Target="https://drive.google.com/file/d/1pD-nht94Id2_tmp6-WDPiFNciH67jxVq/view" TargetMode="External"/><Relationship Id="rId413" Type="http://schemas.openxmlformats.org/officeDocument/2006/relationships/hyperlink" Target="https://drive.google.com/file/d/13YLI15IZ7lGFeVAnZES8vw1jlCuMczC5/view" TargetMode="External"/><Relationship Id="rId414" Type="http://schemas.openxmlformats.org/officeDocument/2006/relationships/hyperlink" Target="https://drive.google.com/file/d/1WFrJsUtGrK0J9CibBjMAwK4i_kXtlpvK/view" TargetMode="External"/><Relationship Id="rId415" Type="http://schemas.openxmlformats.org/officeDocument/2006/relationships/hyperlink" Target="https://drive.google.com/file/d/1eNsw8cITFVIFlTvpF1KXNHiFP1jWxaJB/view" TargetMode="External"/><Relationship Id="rId416" Type="http://schemas.openxmlformats.org/officeDocument/2006/relationships/hyperlink" Target="https://drive.google.com/file/d/1s5YrlVCaIsEywcYMU-ughAiXbQnLFe0V/view" TargetMode="External"/><Relationship Id="rId417" Type="http://schemas.openxmlformats.org/officeDocument/2006/relationships/hyperlink" Target="https://drive.google.com/file/d/1VrpYPuL0r4KFSuO54ewvJnInXZE2J7vK/view" TargetMode="External"/><Relationship Id="rId418" Type="http://schemas.openxmlformats.org/officeDocument/2006/relationships/hyperlink" Target="https://web.archive.org/web/20260806233910/https://drive.google.com/file/d/1VrpYPuL0r4KFSuO54ewvJnInXZE2J7vK/view" TargetMode="External"/><Relationship Id="rId419" Type="http://schemas.openxmlformats.org/officeDocument/2006/relationships/hyperlink" Target="https://drive.google.com/file/d/1mCGOawrQC-Z9FCU08ES4kPJSokQb2WXR/view" TargetMode="External"/><Relationship Id="rId420" Type="http://schemas.openxmlformats.org/officeDocument/2006/relationships/hyperlink" Target="https://web.archive.org/web/20260806234403/https://drive.google.com/file/d/1mCGOawrQC-Z9FCU08ES4kPJSokQb2WXR/view" TargetMode="External"/><Relationship Id="rId421" Type="http://schemas.openxmlformats.org/officeDocument/2006/relationships/hyperlink" Target="https://drive.google.com/file/d/1ektS_ZuQhTvhUfmVgYhLqrjRv58bEouX/view" TargetMode="External"/><Relationship Id="rId422" Type="http://schemas.openxmlformats.org/officeDocument/2006/relationships/hyperlink" Target="https://web.archive.org/web/20260806234654/https://drive.google.com/file/d/1ektS_ZuQhTvhUfmVgYhLqrjRv58bEouX/view" TargetMode="External"/><Relationship Id="rId423" Type="http://schemas.openxmlformats.org/officeDocument/2006/relationships/hyperlink" Target="https://drive.google.com/file/d/1OQT5HDn3okfuhUnoP9h3c7_GZ9ZYnBvd/view" TargetMode="External"/><Relationship Id="rId424" Type="http://schemas.openxmlformats.org/officeDocument/2006/relationships/hyperlink" Target="https://web.archive.org/web/20260806235112/https://drive.google.com/file/d/1OQT5HDn3okfuhUnoP9h3c7_GZ9ZYnBvd/view" TargetMode="External"/><Relationship Id="rId425" Type="http://schemas.openxmlformats.org/officeDocument/2006/relationships/hyperlink" Target="https://drive.google.com/file/d/1Kh6Irf6lmLqr2t8WdPi6-PZGzX0BHIHH/view" TargetMode="External"/><Relationship Id="rId426" Type="http://schemas.openxmlformats.org/officeDocument/2006/relationships/hyperlink" Target="https://web.archive.org/web/20260806235447/https://drive.google.com/file/d/1Kh6Irf6lmLqr2t8WdPi6-PZGzX0BHIHH/view" TargetMode="External"/><Relationship Id="rId427" Type="http://schemas.openxmlformats.org/officeDocument/2006/relationships/hyperlink" Target="https://drive.google.com/file/d/1yFEI1eJSuhjnk8tqt75XekV5lOs2kJzb/view" TargetMode="External"/><Relationship Id="rId428" Type="http://schemas.openxmlformats.org/officeDocument/2006/relationships/hyperlink" Target="https://drive.google.com/file/d/1Ucb5LAtuLsvm6rL2QwEXLC4wYLqdLRMi/view" TargetMode="External"/><Relationship Id="rId429" Type="http://schemas.openxmlformats.org/officeDocument/2006/relationships/hyperlink" Target="https://web.archive.org/web/20260807000323/https://drive.google.com/file/d/1Ucb5LAtuLsvm6rL2QwEXLC4wYLqdLRMi/view" TargetMode="External"/><Relationship Id="rId430" Type="http://schemas.openxmlformats.org/officeDocument/2006/relationships/hyperlink" Target="https://docs.google.com/spreadsheets/d/17JBmDRWDa_EDOp6PvbQLT1gbOnHdK5XleaaQwNZ9ie4/edit?gid=0" TargetMode="External"/><Relationship Id="rId431" Type="http://schemas.openxmlformats.org/officeDocument/2006/relationships/hyperlink" Target="https://docs.google.com/spreadsheets/d/17JBmDRWDa_EDOp6PvbQLT1gbOnHdK5XleaaQwNZ9ie4/edit?gid=0" TargetMode="External"/><Relationship Id="rId432" Type="http://schemas.openxmlformats.org/officeDocument/2006/relationships/hyperlink" Target="https://docs.google.com/spreadsheets/d/17JBmDRWDa_EDOp6PvbQLT1gbOnHdK5XleaaQwNZ9ie4/edit?gid=0" TargetMode="External"/><Relationship Id="rId433" Type="http://schemas.openxmlformats.org/officeDocument/2006/relationships/hyperlink" Target="https://www.reddit.com/r/Connecticut/comments/1qemph5/recall_on_brix_cannabis/" TargetMode="External"/><Relationship Id="rId434" Type="http://schemas.openxmlformats.org/officeDocument/2006/relationships/hyperlink" Target="https://www.ctinsider.com/cannabis/article/curaleaf-medical-cannabis-product-recall-ct-20322956.php" TargetMode="External"/><Relationship Id="rId435" Type="http://schemas.openxmlformats.org/officeDocument/2006/relationships/hyperlink" Target="https://www.floridahealth.gov/newsroom/2020/08/081820-ommu-press-release.pr.html" TargetMode="External"/><Relationship Id="rId436" Type="http://schemas.openxmlformats.org/officeDocument/2006/relationships/hyperlink" Target="https://www.floridahealth.gov/_documents/newsroom/press-releases/2021/11/20211108-cur-press-release.pdf" TargetMode="External"/><Relationship Id="rId437" Type="http://schemas.openxmlformats.org/officeDocument/2006/relationships/hyperlink" Target="https://chicago.suntimes.com/2021/12/10/22821308/marijuana-regulation-illinois-legal-weed-mag-landrace-consumers-cannabis-industry" TargetMode="External"/><Relationship Id="rId438" Type="http://schemas.openxmlformats.org/officeDocument/2006/relationships/hyperlink" Target="https://www.centralmaine.com/2015/09/05/wellness-connection-of-maine-recalls-two-strains-of-medical-marijuana/" TargetMode="External"/><Relationship Id="rId439" Type="http://schemas.openxmlformats.org/officeDocument/2006/relationships/hyperlink" Target="https://www.maine.gov/dafs/ocp/recalls/cannabis-cured-9-2024" TargetMode="External"/><Relationship Id="rId440" Type="http://schemas.openxmlformats.org/officeDocument/2006/relationships/hyperlink" Target="https://www.maine.gov/dafs/ocp/recalls/nova-farms-10-2024" TargetMode="External"/><Relationship Id="rId441" Type="http://schemas.openxmlformats.org/officeDocument/2006/relationships/hyperlink" Target="https://www.maine.gov/dafs/ocp/recalls/leb-city-11-2024" TargetMode="External"/><Relationship Id="rId442" Type="http://schemas.openxmlformats.org/officeDocument/2006/relationships/hyperlink" Target="https://www.maine.gov/dafs/ocp/recalls/nova-farms-10-2024" TargetMode="External"/><Relationship Id="rId443" Type="http://schemas.openxmlformats.org/officeDocument/2006/relationships/hyperlink" Target="https://www.maine.gov/dafs/ocp/recalls/norco-10-2025" TargetMode="External"/><Relationship Id="rId444" Type="http://schemas.openxmlformats.org/officeDocument/2006/relationships/hyperlink" Target="https://www.maine.gov/dafs/ocp/recalls/norco-10-2025" TargetMode="External"/><Relationship Id="rId445" Type="http://schemas.openxmlformats.org/officeDocument/2006/relationships/hyperlink" Target="https://www.maine.gov/dafs/ocp/recalls/norco-12-2025" TargetMode="External"/><Relationship Id="rId446" Type="http://schemas.openxmlformats.org/officeDocument/2006/relationships/hyperlink" Target="https://www.maine.gov/dafs/ocp/recalls/marijuanaville-1-2026" TargetMode="External"/><Relationship Id="rId447" Type="http://schemas.openxmlformats.org/officeDocument/2006/relationships/hyperlink" Target="https://www.maine.gov/dafs/ocp/recalls/northwoods-5-2026" TargetMode="External"/><Relationship Id="rId448" Type="http://schemas.openxmlformats.org/officeDocument/2006/relationships/hyperlink" Target="https://web.archive.org/save/https://www.maine.gov/dafs/ocp/recalls/northwoods-5-2026" TargetMode="External"/><Relationship Id="rId449" Type="http://schemas.openxmlformats.org/officeDocument/2006/relationships/hyperlink" Target="https://www.maine.gov/dafs/ocp/recalls/green-trap-6-2026" TargetMode="External"/><Relationship Id="rId450" Type="http://schemas.openxmlformats.org/officeDocument/2006/relationships/hyperlink" Target="https://web.archive.org/save/https://www.maine.gov/dafs/ocp/recalls/green-trap-6-2026" TargetMode="External"/><Relationship Id="rId451" Type="http://schemas.openxmlformats.org/officeDocument/2006/relationships/hyperlink" Target="https://www.maine.gov/dafs/ocp/recalls/klouds-society-6-2026" TargetMode="External"/><Relationship Id="rId452" Type="http://schemas.openxmlformats.org/officeDocument/2006/relationships/hyperlink" Target="https://web.archive.org/web/20260807002447/https://www.maine.gov/dafs/ocp/recalls/klouds-society-6-2026" TargetMode="External"/><Relationship Id="rId453" Type="http://schemas.openxmlformats.org/officeDocument/2006/relationships/hyperlink" Target="https://www.maine.gov/dafs/ocp/recalls/ganja-world-9-2026" TargetMode="External"/><Relationship Id="rId454" Type="http://schemas.openxmlformats.org/officeDocument/2006/relationships/hyperlink" Target="https://web.archive.org/web/20261006210001/https://www.maine.gov/dafs/ocp/recalls/ganja-world-9-2026" TargetMode="External"/><Relationship Id="rId455" Type="http://schemas.openxmlformats.org/officeDocument/2006/relationships/hyperlink" Target="https://cannabis.maryland.gov/Documents/2025_PDF_Files/Bulletins/Recall%20Notification.pdf" TargetMode="External"/><Relationship Id="rId456" Type="http://schemas.openxmlformats.org/officeDocument/2006/relationships/hyperlink" Target="https://masscannabiscontrol.com/2022/02/cannabis-control-commission-alerts-the-public-to-quarantine-order-requiring-ack-natural-llc-to-recall-its-marijuana-and-marijuana-products/" TargetMode="External"/><Relationship Id="rId457" Type="http://schemas.openxmlformats.org/officeDocument/2006/relationships/hyperlink" Target="https://masscannabiscontrol.com/2021/10/quarantine-order-g-l-c-94g-&#167;&#167;-4axi-and-xix-935-cmr-500-340-quarantine-order-and-935-cmr-501-340-quarantine-order/" TargetMode="External"/><Relationship Id="rId458" Type="http://schemas.openxmlformats.org/officeDocument/2006/relationships/hyperlink" Target="https://masscannabiscontrol.com/2025/02/notice-massachusetts-cannabis-control-commission-public-health-and-safety-advisory-potentially-contaminated-marijuana-products-sold-between-may-31-2024-and-january-23-2025-february-3-2025/" TargetMode="External"/><Relationship Id="rId459" Type="http://schemas.openxmlformats.org/officeDocument/2006/relationships/hyperlink" Target="https://masscannabiscontrol.com/2025/02/notice-massachusetts-cannabis-control-commission-public-health-and-safety-advisory-potentially-contaminated-marijuana-products-sold-between-september-18-2024-and-january-30-2025-february-3/" TargetMode="External"/><Relationship Id="rId460" Type="http://schemas.openxmlformats.org/officeDocument/2006/relationships/hyperlink" Target="https://masscannabiscontrol.com/2025/08/notice-massachusetts-cannabis-control-commission-public-health-and-safety-advisory-contaminated-and-potentially-contaminated-marijuana-products-august-6-2025/" TargetMode="External"/><Relationship Id="rId461" Type="http://schemas.openxmlformats.org/officeDocument/2006/relationships/hyperlink" Target="https://www.michigan.gov/cra/-/media/Project/Websites/cra/bulletin/1Public-Health-an-Safety-Advisory/Public_Health_and_Safety_Advisory_1-4-2019_Final_642608_7.pdf?rev=1d41645ec2ee4765a1fc1530279d1bad&amp;hash=30327154BC6A3EF673FE772154B88856" TargetMode="External"/><Relationship Id="rId462" Type="http://schemas.openxmlformats.org/officeDocument/2006/relationships/hyperlink" Target="https://www.michigan.gov/cra/-/media/Project/Websites/cra/bulletin/1Public-Health-an-Safety-Advisory/Public_Health_and_Safety_Advisory_CCBD_1-10-19_643369_7.pdf?rev=c778c23b3db649e5ba57b6802a7caddb&amp;hash=539ED0B6BFE0DA9ABA691327FBB334C6" TargetMode="External"/><Relationship Id="rId463" Type="http://schemas.openxmlformats.org/officeDocument/2006/relationships/hyperlink" Target="https://www.michigan.gov/cra/-/media/Project/Websites/cra/bulletin/1Public-Health-an-Safety-Advisory/Public_Health_and_Safety_Advisory_664_Vassar_LLC_Elite_Wellness_Vassar_2-6-2019_003_645544_7.pdf?rev=a0fd4848db594909a577f76615c3b601&amp;hash=1DD185D2E6BF9AC2DF886691FF0958A3" TargetMode="External"/><Relationship Id="rId464" Type="http://schemas.openxmlformats.org/officeDocument/2006/relationships/hyperlink" Target="https://www.michigan.gov/cra/-/media/Project/Websites/cra/bulletin/1Public-Health-an-Safety-Advisory/Public_Health_and_Safety_Advisory_Lead_Contamination_in_Vape_Cartridges_4-12-2019_652464_7.pdf?rev=6549195f142f469c8c8f72186bec538c&amp;hash=470D11A50F6DB94EF6911B083354576F" TargetMode="External"/><Relationship Id="rId465" Type="http://schemas.openxmlformats.org/officeDocument/2006/relationships/hyperlink" Target="https://www.michigan.gov/cra/-/media/Project/Websites/cra/bulletin/1Public-Health-an-Safety-Advisory/The_Spott_Public_Health_and_Safety_Advisory_Bulletin_080719_662637_7.pdf?rev=65b3c1e4670543d09a14c40cf50fce43&amp;hash=C8EF735869E39C58ECD0886845E2523A" TargetMode="External"/><Relationship Id="rId466" Type="http://schemas.openxmlformats.org/officeDocument/2006/relationships/hyperlink" Target="https://www.michigan.gov/cra/-/media/Project/Websites/cra/bulletin/1Public-Health-an-Safety-Advisory/Iron_Labs_Public_Health_and_Safety_Advisory_Bulletin_081619_663601_7.pdf?rev=48fd02603c0a44419c83059c4d56292c&amp;hash=7E474D9480AECA4AC720B2060B9A0DBD" TargetMode="External"/><Relationship Id="rId467" Type="http://schemas.openxmlformats.org/officeDocument/2006/relationships/hyperlink" Target="https://www.michigan.gov/cra/-/media/Project/Websites/cra/bulletin/1Public-Health-an-Safety-Advisory/public-health-safety-advisory-iron-lab-recall-08302019_664856_7.pdf?rev=b638ef9b02dc46729e3f0575c3c13329&amp;hash=DB534585A391AA9D1BBC7B779E9B8E73" TargetMode="External"/><Relationship Id="rId468" Type="http://schemas.openxmlformats.org/officeDocument/2006/relationships/hyperlink" Target="https://www.michigan.gov/cra/-/media/Project/Websites/cra/bulletin/1Public-Health-an-Safety-Advisory/VitaminEPublic_Health_and_Safety_Advisory_674168_7.pdf?rev=2a3fc07778df4bb4aebaa5a7e66a950d&amp;hash=1D050C55F7F71A488714315AEB6256D4" TargetMode="External"/><Relationship Id="rId469" Type="http://schemas.openxmlformats.org/officeDocument/2006/relationships/hyperlink" Target="https://www.michigan.gov/cra/-/media/Project/Websites/lara/about/Folder5/Public_Health_and_Safety_Advisory_Bulletin.pdf?rev=dc510ae2fa264bcc8c06aa1a2b4b8668&amp;hash=623D5BADE4C99D847963CA865199F600" TargetMode="External"/><Relationship Id="rId470" Type="http://schemas.openxmlformats.org/officeDocument/2006/relationships/hyperlink" Target="https://www.michigan.gov/cra/-/media/Project/Websites/cra/bulletin/1Public-Health-an-Safety-Advisory/Public_Health_and_Safety_Advisory_Bulletin_678819_7.pdf?rev=e73ec2ae43d9413681e6c790fbd8d1ea&amp;hash=5AAF2D6FCA6AED9084F211CF38DB62D0" TargetMode="External"/><Relationship Id="rId471" Type="http://schemas.openxmlformats.org/officeDocument/2006/relationships/hyperlink" Target="https://www.michigan.gov/cra/-/media/Project/Websites/cra/bulletin/1Public-Health-an-Safety-Advisory/Public_Health_and_Safety_Advisory_676863_7.pdf?rev=ffaad15d875041a481593909d2c39c71&amp;hash=054A2DEE39F652D7EA52146968EBC83F" TargetMode="External"/><Relationship Id="rId472" Type="http://schemas.openxmlformats.org/officeDocument/2006/relationships/hyperlink" Target="https://www.michigan.gov/cra/-/media/Project/Websites/cra/bulletin/1Public-Health-an-Safety-Advisory/Plan_BVitaminEPublic_Health_and_Safety_Advisory_01222020_679263_7.pdf?rev=bca9494704d24630b9e9f920d9743a9f&amp;hash=C57D4E3C86303A96E407F055731EE2A0" TargetMode="External"/><Relationship Id="rId473" Type="http://schemas.openxmlformats.org/officeDocument/2006/relationships/hyperlink" Target="https://www.michigan.gov/cra/-/media/Project/Websites/cra/bulletin/1Public-Health-an-Safety-Advisory/Bulletin_-_020620_vitamin_E_recall_680676_7.pdf?rev=6f42e52007e3493a861785147bf708f3&amp;hash=CA31FE4FAA34B75AD2643E927EFA7C21" TargetMode="External"/><Relationship Id="rId474" Type="http://schemas.openxmlformats.org/officeDocument/2006/relationships/hyperlink" Target="https://www.michigan.gov/cra/-/media/Project/Websites/cra/bulletin/1Public-Health-an-Safety-Advisory/Vape_Carts_Recall_-_03202020_684355_7.pdf?rev=781b71cd09c14e29a23196354f6496f5&amp;hash=9FC520927F7B132901318D345884C891" TargetMode="External"/><Relationship Id="rId475" Type="http://schemas.openxmlformats.org/officeDocument/2006/relationships/hyperlink" Target="https://www.michigan.gov/cra/-/media/Project/Websites/cra/bulletin/1Public-Health-an-Safety-Advisory/3843_Euclid_Recall_Notice_698577_7.pdf?rev=575192df3b56454fa1f281775c754f59&amp;hash=F53E6204E6825E25C10F86DEF4D81D77" TargetMode="External"/><Relationship Id="rId476" Type="http://schemas.openxmlformats.org/officeDocument/2006/relationships/hyperlink" Target="https://www.michigan.gov/cra/-/media/Project/Websites/cra/bulletin/1Public-Health-an-Safety-Advisory/9-17-2020_MRA_recall_health_and_safety_bulletin_702606_7.pdf?rev=ed2a117406a6463d99cbff9287b4a55b&amp;hash=FCD0E3B0C0427E2A67A9D48AC06E8FF9" TargetMode="External"/><Relationship Id="rId477" Type="http://schemas.openxmlformats.org/officeDocument/2006/relationships/hyperlink" Target="https://www.michigan.gov/cra/-/media/Project/Websites/cra/bulletin/1Public-Health-an-Safety-Advisory/3843_Euclid_Recall_Notice_7-7-2021_FINAL_729720_7.pdf?rev=7ed2a67934fa43d9a2de8ad259aac5b2&amp;hash=6942B7C8D4E3239800D68B4F6FD46B5C" TargetMode="External"/><Relationship Id="rId478" Type="http://schemas.openxmlformats.org/officeDocument/2006/relationships/hyperlink" Target="https://www.michigan.gov/cra/-/media/Project/Websites/cra/bulletin/1Public-Health-an-Safety-Advisory/DRAFTMichiganMedicalMarijuanaLLCAUGB000128DBAGLOPublicHealthandSafetyAdvisoryBulletinDHv27366207.pdf?rev=42d521521a1b4f6ca7b5742950b7b737&amp;hash=A28C8FE63CCDA3BC7D26D84CCFC21BC6" TargetMode="External"/><Relationship Id="rId479" Type="http://schemas.openxmlformats.org/officeDocument/2006/relationships/hyperlink" Target="https://web.archive.org/web/20221104175751/https://www.michigan.gov/cra/-/media/Project/Websites/cra/bulletin/1Public-Health-an-Safety-Advisory/111821_Notification_of_Marijuana_Product_Recall_Viridis_Bulletin_Update_741566_7.pdf?rev=17c593bdbd564a1ca1cf589fafdec38b&amp;hash=9AEC302EDA4DC8C5E87097379BFC1A7D" TargetMode="External"/><Relationship Id="rId480" Type="http://schemas.openxmlformats.org/officeDocument/2006/relationships/hyperlink" Target="https://www.michigan.gov/cra/-/media/Project/Websites/cra/bulletin/1Public-Health-an-Safety-Advisory/Public-Health-and-Safety-Advisory---Marijuana-Consumer-Alert---111522-(002).pdf?rev=5e161e5217be4e92aa3a647108dae628&amp;hash=0DDBB7A9E318F9D54E6D8A6721BAF240" TargetMode="External"/><Relationship Id="rId481" Type="http://schemas.openxmlformats.org/officeDocument/2006/relationships/hyperlink" Target="https://www.michigan.gov/cra/-/media/Project/Websites/cra/bulletin/1Public-Health-an-Safety-Advisory/Public-Health-and-Safety-Advisory---Voluntary-Recall---Weed-Bar_Final-(772023).pdf?rev=bc225217e56a400b81503d5d0d0b990c&amp;hash=B2C99489BE3B79F7868CBA606C0EC645" TargetMode="External"/><Relationship Id="rId482" Type="http://schemas.openxmlformats.org/officeDocument/2006/relationships/hyperlink" Target="https://www.michigan.gov/cra/-/media/Project/Websites/cra/bulletin/1Public-Health-an-Safety-Advisory/Public-Health-and-Safety-Advisory---Marijuana-Consumer-Alert--Flight-Vapes--FINAL.pdf?rev=6040378ee85e454eab531e551e37528e&amp;hash=3D6029D6929D54E9C5040E382B6A1572" TargetMode="External"/><Relationship Id="rId483" Type="http://schemas.openxmlformats.org/officeDocument/2006/relationships/hyperlink" Target="https://www.michigan.gov/cra/-/media/Project/Websites/cra/bulletin/health-safety/Public-Health-and-Safety-Advisory---Voluntary-Recall---SBCMI_-FINAL.pdf?rev=a8116ff5facd4c8fb0edfc3804c651f0&amp;hash=13F0C4155A6C4FE4BE2E178F68DE1A1F" TargetMode="External"/><Relationship Id="rId484" Type="http://schemas.openxmlformats.org/officeDocument/2006/relationships/hyperlink" Target="https://www.michigan.gov/cra/-/media/Project/Websites/cra/bulletin/1Public-Health-an-Safety-Advisory/RecallBulletin110823FINAL.pdf?rev=ce7bc38437e94cab9f10ff967d1d4886&amp;hash=E22EA5B355923BEFA6E6E134E1052B76" TargetMode="External"/><Relationship Id="rId485" Type="http://schemas.openxmlformats.org/officeDocument/2006/relationships/hyperlink" Target="https://www.michigan.gov/cra/-/media/Project/Websites/cra/bulletin/1Public-Health-an-Safety-Advisory/Recall-Bulletin-112023---FINAL.pdf?rev=747ba59d2b4349bcbae99420672cf590&amp;hash=C7DEB9EBB5AF04BCD47AF8E7DD307BCA" TargetMode="External"/><Relationship Id="rId486" Type="http://schemas.openxmlformats.org/officeDocument/2006/relationships/hyperlink" Target="https://www.michigan.gov/cra/-/media/Project/Websites/cra/bulletin/1Public-Health-an-Safety-Advisory/Recall-Bulletin---Flavor-Galaxy---FINAL.pdf?rev=b8a5df78c4b94b47b0dc9874cd7beedc&amp;hash=AD8FF73EE3D0A44A976381C012110C63" TargetMode="External"/><Relationship Id="rId487" Type="http://schemas.openxmlformats.org/officeDocument/2006/relationships/hyperlink" Target="https://www.michigan.gov/cra/-/media/Project/Websites/cra/bulletin/1Public-Health-an-Safety-Advisory/Public-Health-and-Safety-Advisory---Flavor-Galaxy---FINAL.pdf?rev=d3953bd7527247d2bb6222398c814499&amp;hash=36B9C6D838E469CC999978762560FDC5" TargetMode="External"/><Relationship Id="rId488" Type="http://schemas.openxmlformats.org/officeDocument/2006/relationships/hyperlink" Target="https://www.michigan.gov/cra/-/media/Project/Websites/cra/bulletin/1Public-Health-an-Safety-Advisory/Recall-Bulletin---Flavor-Galaxy---FINAL.pdf?rev=b8a5df78c4b94b47b0dc9874cd7beedc&amp;hash=7682C403EE558A9A77BB33095E8DC10B" TargetMode="External"/><Relationship Id="rId489" Type="http://schemas.openxmlformats.org/officeDocument/2006/relationships/hyperlink" Target="https://www.michigan.gov/cra/-/media/Project/Websites/cra/bulletin/1Public-Health-an-Safety-Advisory/Exhale-Public-health-and-Safety-Bulletin-021125.pdf?rev=1421222a965141769356ce7980221106&amp;hash=B8BB13DDB11F7190506481172C79E4A4" TargetMode="External"/><Relationship Id="rId490" Type="http://schemas.openxmlformats.org/officeDocument/2006/relationships/hyperlink" Target="https://www.michigan.gov/cra/-/media/Project/Websites/cra/bulletin/1Public-Health-an-Safety-Advisory/Voluntary-Product-Recall-Sky-Cannabis-LLC.pdf?rev=d484c2a12e614cefa7bf45ee9688e617&amp;hash=233AE731E64AAA2A206459E2E8E17743" TargetMode="External"/><Relationship Id="rId491" Type="http://schemas.openxmlformats.org/officeDocument/2006/relationships/hyperlink" Target="https://www.michigan.gov/cra/-/media/Project/Websites/cra/bulletin/1Public-Health-an-Safety-Advisory/9225-Press-Release--CRA-Announces-Voluntary-Vape-Recall-House-Brands-Distro.pdf?rev=eaaa4828c3dc47d19936b92e581f1615&amp;hash=E1AD671E04BBECA360ED1F72AD8DA752" TargetMode="External"/><Relationship Id="rId492" Type="http://schemas.openxmlformats.org/officeDocument/2006/relationships/hyperlink" Target="https://www.michigan.gov/cra/bulletins/public-health-and-safety-advisory-bulletins-recalls/public-health-and-safety-advisory-voluntary-product-recall-fantasy-farms-llc" TargetMode="External"/><Relationship Id="rId493" Type="http://schemas.openxmlformats.org/officeDocument/2006/relationships/hyperlink" Target="https://www.michigan.gov/cra/-/media/Project/Websites/cra/bulletin/1Public-Health-an-Safety-Advisory/Public-Health-and-Safety-Advisory--Voluntary-Product-Recall-Season-3-LLC.pdf?rev=994a8e3f0759405c80c26511a708b7eb&amp;hash=2D14C030F33DE6A778D80E03C464030D" TargetMode="External"/><Relationship Id="rId494" Type="http://schemas.openxmlformats.org/officeDocument/2006/relationships/hyperlink" Target="https://web.archive.org/web/20261006214226/https://www.michigan.gov/cra/-/media/Project/Websites/cra/bulletin/1Public-Health-an-Safety-Advisory/Public-Health-and-Safety-Advisory--Voluntary-Product-Recall-Season-3-LLC.pdf?rev=994a8e3f0759405c80c26511a708b7eb&amp;hash=2D14C030F33DE6A778D80E03C464030D" TargetMode="External"/><Relationship Id="rId495" Type="http://schemas.openxmlformats.org/officeDocument/2006/relationships/hyperlink" Target="https://www.michigan.gov/cra/bulletins/public-health-and-safety-advisory-bulletins-recalls/public-health-and-safety-advisory-voluntary-product-recall-fawn-river-cultivation-company-llc" TargetMode="External"/><Relationship Id="rId496" Type="http://schemas.openxmlformats.org/officeDocument/2006/relationships/hyperlink" Target="https://web.archive.org/web/20260923084326/https://www.michigan.gov/cra/bulletins/public-health-and-safety-advisory-bulletins-recalls/public-health-and-safety-advisory-voluntary-product-recall-fawn-river-cultivation-company-llc" TargetMode="External"/><Relationship Id="rId497" Type="http://schemas.openxmlformats.org/officeDocument/2006/relationships/hyperlink" Target="https://www.mmcp.ms.gov/compliance/compliance-bulletins-announcements" TargetMode="External"/><Relationship Id="rId498" Type="http://schemas.openxmlformats.org/officeDocument/2006/relationships/hyperlink" Target="https://health.mo.gov/safety/cannabis/pdf/notice-of-product-recall041025.pdf" TargetMode="External"/><Relationship Id="rId499" Type="http://schemas.openxmlformats.org/officeDocument/2006/relationships/hyperlink" Target="https://health.mo.gov/safety/cannabis/pdf/notice-of-product-recall080624.pdf" TargetMode="External"/><Relationship Id="rId500" Type="http://schemas.openxmlformats.org/officeDocument/2006/relationships/hyperlink" Target="https://health.mo.gov/safety/cannabis/pdf/notice-of-product-recall080824-508.pdf" TargetMode="External"/><Relationship Id="rId501" Type="http://schemas.openxmlformats.org/officeDocument/2006/relationships/hyperlink" Target="https://health.mo.gov/safety/cannabis/pdf/notice-of-product-recall083024.pdf" TargetMode="External"/><Relationship Id="rId502" Type="http://schemas.openxmlformats.org/officeDocument/2006/relationships/hyperlink" Target="https://health.mo.gov/safety/cannabis/pdf/notice-of-product-recall083024.pdf" TargetMode="External"/><Relationship Id="rId503" Type="http://schemas.openxmlformats.org/officeDocument/2006/relationships/hyperlink" Target="https://health.mo.gov/safety/cannabis/pdf/notice-of-product-recall1115524.pdf" TargetMode="External"/><Relationship Id="rId504" Type="http://schemas.openxmlformats.org/officeDocument/2006/relationships/hyperlink" Target="https://health.mo.gov/safety/cannabis/pdf/man-044-notice-of-product-recall-041825.pdf" TargetMode="External"/><Relationship Id="rId505" Type="http://schemas.openxmlformats.org/officeDocument/2006/relationships/hyperlink" Target="https://health.mo.gov/safety/cannabis/pdf/man-10-notice-of-product-recall-041825-ada.pdf" TargetMode="External"/><Relationship Id="rId506" Type="http://schemas.openxmlformats.org/officeDocument/2006/relationships/hyperlink" Target="https://health.mo.gov/safety/cannabis/pdf/notice-of-product-recall-042925-508.pdf" TargetMode="External"/><Relationship Id="rId507" Type="http://schemas.openxmlformats.org/officeDocument/2006/relationships/hyperlink" Target="https://health.mo.gov/safety/cannabis/pdf/notice-of-product-recall-070125-ada.pdf" TargetMode="External"/><Relationship Id="rId508" Type="http://schemas.openxmlformats.org/officeDocument/2006/relationships/hyperlink" Target="https://health.mo.gov/business-professionals/cannabis-regulation/licensee-compliance-guidance/product-recalls" TargetMode="External"/><Relationship Id="rId509" Type="http://schemas.openxmlformats.org/officeDocument/2006/relationships/hyperlink" Target="https://web.archive.org/web/20260904171924/https://health.mo.gov/business-professionals/cannabis-regulation/licensee-compliance-guidance/product-recalls" TargetMode="External"/><Relationship Id="rId510" Type="http://schemas.openxmlformats.org/officeDocument/2006/relationships/hyperlink" Target="https://health.mo.gov/business-professionals/cannabis-regulation/licensee-compliance-guidance/product-recalls" TargetMode="External"/><Relationship Id="rId511" Type="http://schemas.openxmlformats.org/officeDocument/2006/relationships/hyperlink" Target="https://health.mo.gov/sites/health/files/media/pdf/2026/09/dcr-notice-of-recall-09-02-26-ada.pdf" TargetMode="External"/><Relationship Id="rId512" Type="http://schemas.openxmlformats.org/officeDocument/2006/relationships/hyperlink" Target="https://web.archive.org/web/20261006220158/https://health.mo.gov/sites/health/files/media/pdf/2026/09/dcr-notice-of-recall-09-02-26-ada.pdf" TargetMode="External"/><Relationship Id="rId513" Type="http://schemas.openxmlformats.org/officeDocument/2006/relationships/hyperlink" Target="https://health.mo.gov/business-professionals/cannabis-regulation/licensee-compliance-guidance/product-recalls" TargetMode="External"/><Relationship Id="rId514" Type="http://schemas.openxmlformats.org/officeDocument/2006/relationships/hyperlink" Target="https://web.archive.org/web/20261006220158/https://health.mo.gov/sites/health/files/media/pdf/2026/09/dcr-notice-of-recall-09-02-26-ada.pdf" TargetMode="External"/><Relationship Id="rId515" Type="http://schemas.openxmlformats.org/officeDocument/2006/relationships/hyperlink" Target="https://revenuefiles.mt.gov/files/Cannabis/Cannabis-Product-Recalls/Broughton_aka_Starrbuds_Item_Recall.pdf" TargetMode="External"/><Relationship Id="rId516" Type="http://schemas.openxmlformats.org/officeDocument/2006/relationships/hyperlink" Target="https://revenuefiles.mt.gov/files/Cannabis/Cannabis-Product-Recalls/Marijuana-Product-Recall-SJ-Strategic-Enterprises.pdf" TargetMode="External"/><Relationship Id="rId517" Type="http://schemas.openxmlformats.org/officeDocument/2006/relationships/hyperlink" Target="https://ccbnvdev.wpengine.com/wp-content/uploads/2021/02/CCB-Public-Health-and-Safety-Advisory-2021-01.pdf" TargetMode="External"/><Relationship Id="rId518" Type="http://schemas.openxmlformats.org/officeDocument/2006/relationships/hyperlink" Target="https://ccbnvdev.wpengine.com/wp-content/uploads/2021/07/Corrected-CCB-Public-Health-and-Safety-Bulletin-2021-1.pdf" TargetMode="External"/><Relationship Id="rId519" Type="http://schemas.openxmlformats.org/officeDocument/2006/relationships/hyperlink" Target="https://ccbnvdev.wpengine.com/wp-content/uploads/2021/11/Public-Health-and-Safety-Bulletin-2021-2-for-release.pdf" TargetMode="External"/><Relationship Id="rId520" Type="http://schemas.openxmlformats.org/officeDocument/2006/relationships/hyperlink" Target="https://ccbnvdev.wpengine.com/wp-content/uploads/2022/03/Public-Health-and-Safety-Bulletin-2022-01-for-release.pdf" TargetMode="External"/><Relationship Id="rId521" Type="http://schemas.openxmlformats.org/officeDocument/2006/relationships/hyperlink" Target="https://ccbnvdev.wpengine.com/wp-content/uploads/2022/03/Public-Health-and-Safety-Bulletin-2022-02-for-release.pdf" TargetMode="External"/><Relationship Id="rId522" Type="http://schemas.openxmlformats.org/officeDocument/2006/relationships/hyperlink" Target="https://ccb.nv.gov/wp-content/uploads/2023/02/Public-Health-and-Safety-Bulletin-2023-01-Updated-02-09-23.pdf" TargetMode="External"/><Relationship Id="rId523" Type="http://schemas.openxmlformats.org/officeDocument/2006/relationships/hyperlink" Target="https://ccb.nv.gov/wp-content/uploads/2023/04/Public-Health-and-Safety-Bulletin-2023-02.pdf" TargetMode="External"/><Relationship Id="rId524" Type="http://schemas.openxmlformats.org/officeDocument/2006/relationships/hyperlink" Target="https://ccb.nv.gov/wp-content/uploads/2023/06/CCB-Public-Health-and-Safety-Bulletin-2023-03-6-23-23for-release-1.pdf" TargetMode="External"/><Relationship Id="rId525" Type="http://schemas.openxmlformats.org/officeDocument/2006/relationships/hyperlink" Target="https://ccb.nv.gov/wp-content/uploads/2024/07/Public-Safety-and-Health-Bulletin-2024-02.pdf" TargetMode="External"/><Relationship Id="rId526" Type="http://schemas.openxmlformats.org/officeDocument/2006/relationships/hyperlink" Target="https://ccb.nv.gov/wp-content/uploads/2024/06/Public-Safety-and-Health-Bulletin-2024-01.pdf" TargetMode="External"/><Relationship Id="rId527" Type="http://schemas.openxmlformats.org/officeDocument/2006/relationships/hyperlink" Target="https://ccb.nv.gov/wp-content/uploads/2024/06/Public-Safety-and-Health-Bulletin-2024-01.pdf" TargetMode="External"/><Relationship Id="rId528" Type="http://schemas.openxmlformats.org/officeDocument/2006/relationships/hyperlink" Target="https://ccb.nv.gov/wp-content/uploads/2024/06/Public-Safety-and-Health-Bulletin-2024-01.pdf" TargetMode="External"/><Relationship Id="rId529" Type="http://schemas.openxmlformats.org/officeDocument/2006/relationships/hyperlink" Target="https://ccb.nv.gov/wp-content/uploads/2024/06/Public-Safety-and-Health-Bulletin-2024-01.pdf" TargetMode="External"/><Relationship Id="rId530" Type="http://schemas.openxmlformats.org/officeDocument/2006/relationships/hyperlink" Target="https://ccb.nv.gov/wp-content/uploads/2024/07/Public-Safety-and-Health-Bulletin-2024-03.pdf" TargetMode="External"/><Relationship Id="rId531" Type="http://schemas.openxmlformats.org/officeDocument/2006/relationships/hyperlink" Target="https://ccb.nv.gov/wp-content/uploads/2024/07/Public-Safety-and-Health-Bulletin-2024-03.pdf" TargetMode="External"/><Relationship Id="rId532" Type="http://schemas.openxmlformats.org/officeDocument/2006/relationships/hyperlink" Target="https://ccb.nv.gov/wp-content/uploads/2024/07/Public-Safety-and-Health-Bulletin-2024-03.pdf" TargetMode="External"/><Relationship Id="rId533" Type="http://schemas.openxmlformats.org/officeDocument/2006/relationships/hyperlink" Target="https://ccb.nv.gov/wp-content/uploads/2024/11/Public-Health-Safety-Bulletin-2024-04-for-release-11-05-24.pdf" TargetMode="External"/><Relationship Id="rId534" Type="http://schemas.openxmlformats.org/officeDocument/2006/relationships/hyperlink" Target="https://ccb.nv.gov/wp-content/uploads/2025/09/Public-Health-and-Safety-Bulletin-2025-01.pdf" TargetMode="External"/><Relationship Id="rId535" Type="http://schemas.openxmlformats.org/officeDocument/2006/relationships/hyperlink" Target="https://ccb.nv.gov/wp-content/uploads/2025/12/Public-Health-and-Safety-Bulletin-2025-02-Amended-.pdf" TargetMode="External"/><Relationship Id="rId536" Type="http://schemas.openxmlformats.org/officeDocument/2006/relationships/hyperlink" Target="https://headynj.com/recall-of-moldy-curaleaf-cannabis-sold-by-curaleaf-gti-rise-issued/" TargetMode="External"/><Relationship Id="rId537" Type="http://schemas.openxmlformats.org/officeDocument/2006/relationships/hyperlink" Target="https://nj.gov//cannabis/documents/Advisories/Recalls/Consumer%20Advisory%20Notice_Green%20Medicine.pdf" TargetMode="External"/><Relationship Id="rId538" Type="http://schemas.openxmlformats.org/officeDocument/2006/relationships/hyperlink" Target="https://www.nj.gov/cannabis/adult-personal/recalls/" TargetMode="External"/><Relationship Id="rId539" Type="http://schemas.openxmlformats.org/officeDocument/2006/relationships/hyperlink" Target="https://web.archive.org/web/20260807004545/https://www.nj.gov/cannabis/documents/Advisories/Recalls/Consumer%20Advisory%20Notice_Peach%20Elixer%20ButACake%205mg.pdf" TargetMode="External"/><Relationship Id="rId540" Type="http://schemas.openxmlformats.org/officeDocument/2006/relationships/hyperlink" Target="https://www.nj.gov/cannabis/documents/Advisories/Recalls/Consumer%20Advisory%20Notice_Peach%20Elixer%20ButACake%205mg.pdf" TargetMode="External"/><Relationship Id="rId541" Type="http://schemas.openxmlformats.org/officeDocument/2006/relationships/hyperlink" Target="https://www.nj.gov/cannabis/documents/Advisories/Recalls/Consumer%20Advisory%20Notice_Peach%20Elixer%20ButACake%205mg.pdf" TargetMode="External"/><Relationship Id="rId542" Type="http://schemas.openxmlformats.org/officeDocument/2006/relationships/hyperlink" Target="https://web.archive.org/web/20220617160150/https://ccd.rld.state.nm.us/wp-content/uploads/2022/03/Sacred-Garden.pdf" TargetMode="External"/><Relationship Id="rId543" Type="http://schemas.openxmlformats.org/officeDocument/2006/relationships/hyperlink" Target="https://www.rld.nm.gov/2024/03/22/consumer-health-and-safety-advisory-cannabis-control-division-recalls-cannabis-concentrates-sold-at-got-greens/" TargetMode="External"/><Relationship Id="rId544" Type="http://schemas.openxmlformats.org/officeDocument/2006/relationships/hyperlink" Target="https://www.rld.nm.gov/wp-content/uploads/2024/04/3.22.2024-Recall-Details.pdf" TargetMode="External"/><Relationship Id="rId545" Type="http://schemas.openxmlformats.org/officeDocument/2006/relationships/hyperlink" Target="https://www.rld.nm.gov/wp-content/uploads/2024/11/Recall-Notification-9.4.24.pdf" TargetMode="External"/><Relationship Id="rId546" Type="http://schemas.openxmlformats.org/officeDocument/2006/relationships/hyperlink" Target="https://www.rld.nm.gov/wp-content/uploads/2024/11/24.11.RC_.MANU-2022-0060-Recall-Order-Final.pdf" TargetMode="External"/><Relationship Id="rId547" Type="http://schemas.openxmlformats.org/officeDocument/2006/relationships/hyperlink" Target="https://www.rld.nm.gov/2026/02/26/state-recalls-medical-cannabis-edible/" TargetMode="External"/><Relationship Id="rId548" Type="http://schemas.openxmlformats.org/officeDocument/2006/relationships/hyperlink" Target="https://www.syracuse.com/marijuana/2022/08/curaleaf-forced-to-remove-thousands-of-medical-marijuana-products-from-ny-dispensaries.html?e=ba462af342cab4070905a0f77a2ed0c5&amp;utm_source=Sailthru&amp;utm_medium=email&amp;utm_campaign=Cannabis%208.12.22%20AM&amp;utm_term=Newsletter_cannabis" TargetMode="External"/><Relationship Id="rId549" Type="http://schemas.openxmlformats.org/officeDocument/2006/relationships/hyperlink" Target="https://www.syracuse.com/marijuana/2022/10/curaleaf-recalls-over-marijuana-labeling-piling-up-in-new-york.html" TargetMode="External"/><Relationship Id="rId550" Type="http://schemas.openxmlformats.org/officeDocument/2006/relationships/hyperlink" Target="https://cannabis.ny.gov/past-recalls" TargetMode="External"/><Relationship Id="rId551" Type="http://schemas.openxmlformats.org/officeDocument/2006/relationships/hyperlink" Target="https://cannabis.ny.gov/past-recalls" TargetMode="External"/><Relationship Id="rId552" Type="http://schemas.openxmlformats.org/officeDocument/2006/relationships/hyperlink" Target="https://cannabis.ny.gov/current-recalls" TargetMode="External"/><Relationship Id="rId553" Type="http://schemas.openxmlformats.org/officeDocument/2006/relationships/hyperlink" Target="https://web.archive.org/web/20220513012729/https://medicalmarijuana.ohio.gov/documents/recalls/recall%20notices%20and%20summaries/archived%20recall%20notices/archived%20recall%20notices.pdf" TargetMode="External"/><Relationship Id="rId554" Type="http://schemas.openxmlformats.org/officeDocument/2006/relationships/hyperlink" Target="https://web.archive.org/web/20220513012729/https://medicalmarijuana.ohio.gov/documents/recalls/recall%20notices%20and%20summaries/archived%20recall%20notices/archived%20recall%20notices.pdf" TargetMode="External"/><Relationship Id="rId555" Type="http://schemas.openxmlformats.org/officeDocument/2006/relationships/hyperlink" Target="https://web.archive.org/web/20220513012729/https://medicalmarijuana.ohio.gov/documents/recalls/recall%20notices%20and%20summaries/archived%20recall%20notices/archived%20recall%20notices.pdf" TargetMode="External"/><Relationship Id="rId556" Type="http://schemas.openxmlformats.org/officeDocument/2006/relationships/hyperlink" Target="https://web.archive.org/web/20220513012729/https://medicalmarijuana.ohio.gov/documents/recalls/recall%20notices%20and%20summaries/archived%20recall%20notices/archived%20recall%20notices.pdf" TargetMode="External"/><Relationship Id="rId557" Type="http://schemas.openxmlformats.org/officeDocument/2006/relationships/hyperlink" Target="https://web.archive.org/web/20220513012729/https://medicalmarijuana.ohio.gov/documents/recalls/recall%20notices%20and%20summaries/archived%20recall%20notices/archived%20recall%20notices.pdf" TargetMode="External"/><Relationship Id="rId558" Type="http://schemas.openxmlformats.org/officeDocument/2006/relationships/hyperlink" Target="https://web.archive.org/web/20220513012729/https://medicalmarijuana.ohio.gov/documents/recalls/recall%20notices%20and%20summaries/archived%20recall%20notices/archived%20recall%20notices.pdf" TargetMode="External"/><Relationship Id="rId559" Type="http://schemas.openxmlformats.org/officeDocument/2006/relationships/hyperlink" Target="https://web.archive.org/web/20220513012729/https://medicalmarijuana.ohio.gov/documents/recalls/recall%20notices%20and%20summaries/archived%20recall%20notices/archived%20recall%20notices.pdf" TargetMode="External"/><Relationship Id="rId560" Type="http://schemas.openxmlformats.org/officeDocument/2006/relationships/hyperlink" Target="https://web.archive.org/web/20220513012729/https://medicalmarijuana.ohio.gov/documents/recalls/recall%20notices%20and%20summaries/archived%20recall%20notices/archived%20recall%20notices.pdf" TargetMode="External"/><Relationship Id="rId561" Type="http://schemas.openxmlformats.org/officeDocument/2006/relationships/hyperlink" Target="https://web.archive.org/web/20220513012729/https://medicalmarijuana.ohio.gov/documents/recalls/recall%20notices%20and%20summaries/archived%20recall%20notices/archived%20recall%20notices.pdf" TargetMode="External"/><Relationship Id="rId562" Type="http://schemas.openxmlformats.org/officeDocument/2006/relationships/hyperlink" Target="https://web.archive.org/web/20220513012729/https://medicalmarijuana.ohio.gov/documents/recalls/recall%20notices%20and%20summaries/archived%20recall%20notices/archived%20recall%20notices.pdf" TargetMode="External"/><Relationship Id="rId563" Type="http://schemas.openxmlformats.org/officeDocument/2006/relationships/hyperlink" Target="https://www.wfmj.com/story/50287035/ohio-medical-marijuana-control-program-recalls-edible-medical-marijuana-products" TargetMode="External"/><Relationship Id="rId564" Type="http://schemas.openxmlformats.org/officeDocument/2006/relationships/hyperlink" Target="https://com.ohio.gov/divisions-and-programs/cannabis-control/product-safety/zzz-product-recall-2024-01" TargetMode="External"/><Relationship Id="rId565" Type="http://schemas.openxmlformats.org/officeDocument/2006/relationships/hyperlink" Target="https://com.ohio.gov/divisions-and-programs/cannabis-control/product-safety/yyy-product-recall-2024-04" TargetMode="External"/><Relationship Id="rId566" Type="http://schemas.openxmlformats.org/officeDocument/2006/relationships/hyperlink" Target="https://com.ohio.gov/divisions-and-programs/cannabis-control/product-safety/YProduct-Recall-2025-02-Beneleaves" TargetMode="External"/><Relationship Id="rId567" Type="http://schemas.openxmlformats.org/officeDocument/2006/relationships/hyperlink" Target="https://com.ohio.gov/divisions-and-programs/cannabis-control/product-safety/X-Product-Recall-Beneleaves-Chocolate" TargetMode="External"/><Relationship Id="rId568" Type="http://schemas.openxmlformats.org/officeDocument/2006/relationships/hyperlink" Target="https://com.ohio.gov/divisions-and-programs/cannabis-control/product-safety/WWW-product-recall-2025-04" TargetMode="External"/><Relationship Id="rId569" Type="http://schemas.openxmlformats.org/officeDocument/2006/relationships/hyperlink" Target="https://com.ohio.gov/divisions-and-programs/cannabis-control/product-safety/W-Product-Recall-2025-06-Klutch-Processing" TargetMode="External"/><Relationship Id="rId570" Type="http://schemas.openxmlformats.org/officeDocument/2006/relationships/hyperlink" Target="https://com.ohio.gov/divisions-and-programs/cannabis-control/product-safety/WW-Product-Recall-2025-05-Green-Investment-Partners" TargetMode="External"/><Relationship Id="rId571" Type="http://schemas.openxmlformats.org/officeDocument/2006/relationships/hyperlink" Target="https://com.ohio.gov/divisions-and-programs/cannabis-control/product-safety/VV-Product-Recall-2025-08-Curaleaf" TargetMode="External"/><Relationship Id="rId572" Type="http://schemas.openxmlformats.org/officeDocument/2006/relationships/hyperlink" Target="https://com.ohio.gov/divisions-and-programs/cannabis-control/product-safety/VVV-Product-Recall-2025-07-GTI" TargetMode="External"/><Relationship Id="rId573" Type="http://schemas.openxmlformats.org/officeDocument/2006/relationships/hyperlink" Target="https://com.ohio.gov/divisions-and-programs/cannabis-control/product-safety/V-Product-Recall-2025-09-Hundred-Percent-Labs" TargetMode="External"/><Relationship Id="rId574" Type="http://schemas.openxmlformats.org/officeDocument/2006/relationships/hyperlink" Target="https://com.ohio.gov/divisions-and-programs/cannabis-control/product-safety/UU-Product-Alert-2025-07-Standard-Farms" TargetMode="External"/><Relationship Id="rId575" Type="http://schemas.openxmlformats.org/officeDocument/2006/relationships/hyperlink" Target="https://com.ohio.gov/divisions-and-programs/cannabis-control/product-safety/U-Product-Recall-2026-01" TargetMode="External"/><Relationship Id="rId576" Type="http://schemas.openxmlformats.org/officeDocument/2006/relationships/hyperlink" Target="https://com.ohio.gov/divisions-and-programs/cannabis-control/product-safety/TTT-Product-Recall-2026-02" TargetMode="External"/><Relationship Id="rId577" Type="http://schemas.openxmlformats.org/officeDocument/2006/relationships/hyperlink" Target="https://com.ohio.gov/divisions-and-programs/cannabis-control/product-safety/TT-Product-Recall-2026-03" TargetMode="External"/><Relationship Id="rId578" Type="http://schemas.openxmlformats.org/officeDocument/2006/relationships/hyperlink" Target="https://com.ohio.gov/divisions-and-programs/cannabis-control/product-safety/T-Product-Alert-2026-01" TargetMode="External"/><Relationship Id="rId579" Type="http://schemas.openxmlformats.org/officeDocument/2006/relationships/hyperlink" Target="https://web.archive.org/web/20260807130043/https://com.ohio.gov/divisions-and-programs/cannabis-control/product-safety/T-Product-Alert-2026-01" TargetMode="External"/><Relationship Id="rId580" Type="http://schemas.openxmlformats.org/officeDocument/2006/relationships/hyperlink" Target="https://com.ohio.gov/divisions-and-programs/cannabis-control/product-safety/SSS-Product-Recall-2024-04" TargetMode="External"/><Relationship Id="rId581" Type="http://schemas.openxmlformats.org/officeDocument/2006/relationships/hyperlink" Target="https://web.archive.org/save/https://com.ohio.gov/divisions-and-programs/cannabis-control/product-safety/SSS-Product-Recall-2024-04" TargetMode="External"/><Relationship Id="rId582" Type="http://schemas.openxmlformats.org/officeDocument/2006/relationships/hyperlink" Target="https://com.ohio.gov/divisions-and-programs/cannabis-control/product-safety/SS-Product-Recall" TargetMode="External"/><Relationship Id="rId583" Type="http://schemas.openxmlformats.org/officeDocument/2006/relationships/hyperlink" Target="https://web.archive.org/web/20260807135531/https://com.ohio.gov/divisions-and-programs/cannabis-control/product-safety/SS-Product-Recall" TargetMode="External"/><Relationship Id="rId584" Type="http://schemas.openxmlformats.org/officeDocument/2006/relationships/hyperlink" Target="https://com.ohio.gov/divisions-and-programs/cannabis-control/product-safety/s-Product-Recall-2026-06-Pure-Ohio-Wellness" TargetMode="External"/><Relationship Id="rId585" Type="http://schemas.openxmlformats.org/officeDocument/2006/relationships/hyperlink" Target="https://oklahoma.gov/content/dam/ok/en/omma/docs/2022/2022.05.19_Recall%20Product%20List.pdf" TargetMode="External"/><Relationship Id="rId586" Type="http://schemas.openxmlformats.org/officeDocument/2006/relationships/hyperlink" Target="https://oklahoma.gov/content/dam/ok/en/omma/docs/2022/2022.09.16_Emergency%20Order%20of%20Embargo%20and%20Recall.pdf" TargetMode="External"/><Relationship Id="rId587" Type="http://schemas.openxmlformats.org/officeDocument/2006/relationships/hyperlink" Target="https://oklahoma.gov/omma/embargoed-and-recalled-products/product-recall-nov-3-2023.html" TargetMode="External"/><Relationship Id="rId588" Type="http://schemas.openxmlformats.org/officeDocument/2006/relationships/hyperlink" Target="https://oklahoma.gov/omma/embargoed-and-recalled-products/product-recall-june-10-2024.html" TargetMode="External"/><Relationship Id="rId589" Type="http://schemas.openxmlformats.org/officeDocument/2006/relationships/hyperlink" Target="https://oklahoma.gov/omma/recalls/embargoed-and-recalled-products/product-recall-june-10-2024.html" TargetMode="External"/><Relationship Id="rId590" Type="http://schemas.openxmlformats.org/officeDocument/2006/relationships/hyperlink" Target="https://oklahoma.gov/omma/recalls/embargoed-and-recalled-products.html" TargetMode="External"/><Relationship Id="rId591" Type="http://schemas.openxmlformats.org/officeDocument/2006/relationships/hyperlink" Target="https://oklahoma.gov/omma/recalls/embargoed-and-recalled-products/product-recall-october-10-2025.html" TargetMode="External"/><Relationship Id="rId592" Type="http://schemas.openxmlformats.org/officeDocument/2006/relationships/hyperlink" Target="https://oklahoma.gov/omma/recalls/embargoed-and-recalled-products/product-recall-october-23-2025.html" TargetMode="External"/><Relationship Id="rId593" Type="http://schemas.openxmlformats.org/officeDocument/2006/relationships/hyperlink" Target="https://oklahoma.gov/omma/recalls/embargoed-and-recalled-products/product-recall-october-24-2025.html" TargetMode="External"/><Relationship Id="rId594" Type="http://schemas.openxmlformats.org/officeDocument/2006/relationships/hyperlink" Target="https://oklahoma.gov/omma/recalls/embargoed-and-recalled-products/product-recall-novober-25-2025.html" TargetMode="External"/><Relationship Id="rId595" Type="http://schemas.openxmlformats.org/officeDocument/2006/relationships/hyperlink" Target="https://oklahoma.gov/omma/recalls/embargoed-and-recalled-products/product-recall-december-23-2025.html" TargetMode="External"/><Relationship Id="rId596" Type="http://schemas.openxmlformats.org/officeDocument/2006/relationships/hyperlink" Target="https://oklahoma.gov/omma/recalls/embargoed-and-recalled-products/product-recall-march-19-20261.html" TargetMode="External"/><Relationship Id="rId597" Type="http://schemas.openxmlformats.org/officeDocument/2006/relationships/hyperlink" Target="https://web.archive.org/web/20260807141842/https://oklahoma.gov/omma/recalls/embargoed-and-recalled-products/product-recall-march-19-20261.html" TargetMode="External"/><Relationship Id="rId598" Type="http://schemas.openxmlformats.org/officeDocument/2006/relationships/hyperlink" Target="https://oklahoma.gov/omma/recalls/embargoed-and-recalled-products/product-recall-march-23-2026.html" TargetMode="External"/><Relationship Id="rId599" Type="http://schemas.openxmlformats.org/officeDocument/2006/relationships/hyperlink" Target="https://web.archive.org/web/20260807141842/https://oklahoma.gov/omma/recalls/embargoed-and-recalled-products/product-recall-march-19-20261.html" TargetMode="External"/><Relationship Id="rId600" Type="http://schemas.openxmlformats.org/officeDocument/2006/relationships/hyperlink" Target="https://web.archive.org/web/20170326224431/https://www.oregon.gov/olcc/Docs/news/news_releases/2017/nr_03_18_17_Emerald_Wave_recall.pdf" TargetMode="External"/><Relationship Id="rId601" Type="http://schemas.openxmlformats.org/officeDocument/2006/relationships/hyperlink" Target="https://www.oregon.gov/olcc/Docs/news/news_releases/2020/nr_121120_Cannabis_Product_Recall.pdf" TargetMode="External"/><Relationship Id="rId602" Type="http://schemas.openxmlformats.org/officeDocument/2006/relationships/hyperlink" Target="https://www.oregon.gov/olcc/Docs/news/news_releases/2021/nr_010621_MJ_PR_Medical_Marijuana_Recall.pdf" TargetMode="External"/><Relationship Id="rId603" Type="http://schemas.openxmlformats.org/officeDocument/2006/relationships/hyperlink" Target="https://www.oregon.gov/olcc/Docs/news/news_releases/2021/nr052121_MJ_PR_Recall_Naked_Extracts.pdf" TargetMode="External"/><Relationship Id="rId604" Type="http://schemas.openxmlformats.org/officeDocument/2006/relationships/hyperlink" Target="https://www.oregon.gov/olcc/Docs/news/news_releases/2021/nr092121-Cannabis-Product-Recall-Cura-Select-CBD.pdf" TargetMode="External"/><Relationship Id="rId605" Type="http://schemas.openxmlformats.org/officeDocument/2006/relationships/hyperlink" Target="https://www.oregon.gov/olcc/Docs/news/news_releases/2021/nr092421-Cannabis-Product-Recall-Expanded-Cura-Select-THC.pdf" TargetMode="External"/><Relationship Id="rId606" Type="http://schemas.openxmlformats.org/officeDocument/2006/relationships/hyperlink" Target="https://www.oregon.gov/olcc/Docs/news/news_releases/2022/nr081822-Cannabis-Product-Advisory-Dark-Horse.pdf" TargetMode="External"/><Relationship Id="rId607" Type="http://schemas.openxmlformats.org/officeDocument/2006/relationships/hyperlink" Target="https://www.oregon.gov/olcc/Docs/Bubbly-Recall.pdf" TargetMode="External"/><Relationship Id="rId608" Type="http://schemas.openxmlformats.org/officeDocument/2006/relationships/hyperlink" Target="https://www.oregon.gov/olcc/Docs/news/news_releases/2022/nr120222-Cannabis-Product-Recall-Pesticide-Bobsled-QuantumAlchemy.pdf" TargetMode="External"/><Relationship Id="rId609" Type="http://schemas.openxmlformats.org/officeDocument/2006/relationships/hyperlink" Target="https://www.oregon.gov/olcc/Docs/Recall-Notice-Oregon-Original-Chocowana-Bar.pdf" TargetMode="External"/><Relationship Id="rId610" Type="http://schemas.openxmlformats.org/officeDocument/2006/relationships/hyperlink" Target="https://www.oregon.gov/olcc/Docs/news/news_releases/2023/nr011223-Cannabis-Product-Recall-Firefly.pdf" TargetMode="External"/><Relationship Id="rId611" Type="http://schemas.openxmlformats.org/officeDocument/2006/relationships/hyperlink" Target="https://www.oregon.gov/olcc/Docs/news/news_releases/2023/nr012623-Recall-Notice-Cannabis-PREE-Labs.pdf" TargetMode="External"/><Relationship Id="rId612" Type="http://schemas.openxmlformats.org/officeDocument/2006/relationships/hyperlink" Target="https://www.oregon.gov/olcc/Docs/news/news_releases/2023/nr021423-Cannabis-Product-Recall-Firefly-Expansion.pdf" TargetMode="External"/><Relationship Id="rId613" Type="http://schemas.openxmlformats.org/officeDocument/2006/relationships/hyperlink" Target="https://www.oregon.gov/olcc/marijuana/Documents/Avitas-Recall-Notice.pdf" TargetMode="External"/><Relationship Id="rId614" Type="http://schemas.openxmlformats.org/officeDocument/2006/relationships/hyperlink" Target="https://www.oregon.gov/olcc/marijuana/Documents/Recall-Notice-Hapy-Kitchen.pdf" TargetMode="External"/><Relationship Id="rId615" Type="http://schemas.openxmlformats.org/officeDocument/2006/relationships/hyperlink" Target="https://www.oregon.gov/olcc/marijuana/Documents/Recall-Notice-Crumble-Apple-Crisp.pdf" TargetMode="External"/><Relationship Id="rId616" Type="http://schemas.openxmlformats.org/officeDocument/2006/relationships/hyperlink" Target="https://www.oregon.gov/olcc/marijuana/Documents/Recall-Notice-Covert-Extracts.pdf" TargetMode="External"/><Relationship Id="rId617" Type="http://schemas.openxmlformats.org/officeDocument/2006/relationships/hyperlink" Target="https://www.oregon.gov/olcc/Docs/news/news_releases/2023/nr062623-Cannabis-Recall.pdf" TargetMode="External"/><Relationship Id="rId618" Type="http://schemas.openxmlformats.org/officeDocument/2006/relationships/hyperlink" Target="https://www.oregon.gov/olcc/Docs/news/news_releases/2023/nr071323-Cannabis-Arsenic-Recall.pdf" TargetMode="External"/><Relationship Id="rId619" Type="http://schemas.openxmlformats.org/officeDocument/2006/relationships/hyperlink" Target="https://www.oregon.gov/olcc/Docs/news/news_releases/2023/nr071323-Cannabis-Arsenic-Recall.pdf" TargetMode="External"/><Relationship Id="rId620" Type="http://schemas.openxmlformats.org/officeDocument/2006/relationships/hyperlink" Target="https://www.oregon.gov/olcc/Docs/Dr-Jollys-Recall-9.22.2023.pdf" TargetMode="External"/><Relationship Id="rId621" Type="http://schemas.openxmlformats.org/officeDocument/2006/relationships/hyperlink" Target="https://www.oregon.gov/olcc/marijuana/Documents/Epoch-Investments-Quality-Drugs-Fruit-Chews-Recall.pdf" TargetMode="External"/><Relationship Id="rId622" Type="http://schemas.openxmlformats.org/officeDocument/2006/relationships/hyperlink" Target="https://www.oregon.gov/olcc/marijuana/Documents/LTRMN-Beacoup-Gummy-Recall.pdf" TargetMode="External"/><Relationship Id="rId623" Type="http://schemas.openxmlformats.org/officeDocument/2006/relationships/hyperlink" Target="https://content.govdelivery.com/accounts/OLCC/bulletins/3c9046e" TargetMode="External"/><Relationship Id="rId624" Type="http://schemas.openxmlformats.org/officeDocument/2006/relationships/hyperlink" Target="https://www.oregon.gov/olcc/Docs/news/news_releases/2025/nr012325%20Elitextrx-Recall.pdf" TargetMode="External"/><Relationship Id="rId625" Type="http://schemas.openxmlformats.org/officeDocument/2006/relationships/hyperlink" Target="https://www.oregon.gov/olcc/Docs/news/news_releases/2025/nr012325%20Elitextrx-Recall.pdf" TargetMode="External"/><Relationship Id="rId626" Type="http://schemas.openxmlformats.org/officeDocument/2006/relationships/hyperlink" Target="https://www.oregon.gov/olcc/Docs/news/news_releases/2025/MJ-Cookie-Recall.pdf" TargetMode="External"/><Relationship Id="rId627" Type="http://schemas.openxmlformats.org/officeDocument/2006/relationships/hyperlink" Target="https://www.pa.gov/content/dam/copapwp-pagov/en/health/documents/topics/documents/programs/medical-marijuana/DOH%20-%20Withdraw%20of%20Products%20Containing%20Additives%20Not%20Approved%20for%20Inhalation%20by%20the%20FDA.pdf" TargetMode="External"/><Relationship Id="rId628" Type="http://schemas.openxmlformats.org/officeDocument/2006/relationships/hyperlink" Target="https://ir.ayrwellness.com/news-events/press-releases/detail/274/canntech-pa-issues-recall-of-oral-tinctures" TargetMode="External"/><Relationship Id="rId629" Type="http://schemas.openxmlformats.org/officeDocument/2006/relationships/hyperlink" Target="https://web.archive.org/save/https://ir.ayrwellness.com/news-events/press-releases/detail/274/canntech-pa-issues-recall-of-oral-tinctures" TargetMode="External"/><Relationship Id="rId630" Type="http://schemas.openxmlformats.org/officeDocument/2006/relationships/hyperlink" Target="https://ccb.vermont.gov/consumer-protection-warning-holland-cannabis-company" TargetMode="External"/><Relationship Id="rId631" Type="http://schemas.openxmlformats.org/officeDocument/2006/relationships/hyperlink" Target="https://ccb.vermont.gov/consumer-protection-warning-holland-cannabis-company-0" TargetMode="External"/><Relationship Id="rId632" Type="http://schemas.openxmlformats.org/officeDocument/2006/relationships/hyperlink" Target="https://lcb.wa.gov/marj/notice_of_recalls" TargetMode="External"/><Relationship Id="rId633" Type="http://schemas.openxmlformats.org/officeDocument/2006/relationships/hyperlink" Target="https://lcb.wa.gov/marj/notice_of_recalls" TargetMode="External"/><Relationship Id="rId634" Type="http://schemas.openxmlformats.org/officeDocument/2006/relationships/hyperlink" Target="https://lcb.wa.gov/marj/notice_of_recalls" TargetMode="External"/><Relationship Id="rId635" Type="http://schemas.openxmlformats.org/officeDocument/2006/relationships/hyperlink" Target="https://lcb.wa.gov/marj/notice_of_recalls" TargetMode="External"/><Relationship Id="rId636" Type="http://schemas.openxmlformats.org/officeDocument/2006/relationships/hyperlink" Target="https://lcb.wa.gov/marj/notice_of_recalls" TargetMode="External"/><Relationship Id="rId637" Type="http://schemas.openxmlformats.org/officeDocument/2006/relationships/hyperlink" Target="https://lcb.wa.gov/marj/notice_of_recalls" TargetMode="External"/><Relationship Id="rId638" Type="http://schemas.openxmlformats.org/officeDocument/2006/relationships/hyperlink" Target="https://lcb.wa.gov/marj/notice_of_recalls" TargetMode="External"/><Relationship Id="rId639" Type="http://schemas.openxmlformats.org/officeDocument/2006/relationships/hyperlink" Target="https://lcb.wa.gov/marj/notice_of_recalls" TargetMode="External"/><Relationship Id="rId640" Type="http://schemas.openxmlformats.org/officeDocument/2006/relationships/hyperlink" Target="https://lcb.wa.gov/marj/notice_of_recalls" TargetMode="External"/><Relationship Id="rId641" Type="http://schemas.openxmlformats.org/officeDocument/2006/relationships/hyperlink" Target="https://lcb.wa.gov/marj/notice_of_recalls" TargetMode="External"/><Relationship Id="rId642" Type="http://schemas.openxmlformats.org/officeDocument/2006/relationships/hyperlink" Target="https://lcb.wa.gov/marj/notice_of_recalls" TargetMode="External"/><Relationship Id="rId643" Type="http://schemas.openxmlformats.org/officeDocument/2006/relationships/hyperlink" Target="https://lcb.wa.gov/marj/notice_of_recalls" TargetMode="External"/><Relationship Id="rId644" Type="http://schemas.openxmlformats.org/officeDocument/2006/relationships/hyperlink" Target="https://lcb.wa.gov/marj/notice_of_recalls" TargetMode="External"/><Relationship Id="rId645" Type="http://schemas.openxmlformats.org/officeDocument/2006/relationships/hyperlink" Target="https://lcb.wa.gov/marj/notice_of_recalls" TargetMode="External"/><Relationship Id="rId646" Type="http://schemas.openxmlformats.org/officeDocument/2006/relationships/hyperlink" Target="https://lcb.wa.gov/marj/notice_of_recalls" TargetMode="External"/><Relationship Id="rId647" Type="http://schemas.openxmlformats.org/officeDocument/2006/relationships/hyperlink" Target="https://lcb.wa.gov/marj/notice_of_recalls" TargetMode="External"/><Relationship Id="rId648" Type="http://schemas.openxmlformats.org/officeDocument/2006/relationships/hyperlink" Target="https://lcb.wa.gov/marj/notice_of_recalls" TargetMode="External"/><Relationship Id="rId649" Type="http://schemas.openxmlformats.org/officeDocument/2006/relationships/hyperlink" Target="https://lcb.wa.gov/marj/notice_of_recalls" TargetMode="External"/><Relationship Id="rId650" Type="http://schemas.openxmlformats.org/officeDocument/2006/relationships/hyperlink" Target="https://lcb.wa.gov/marj/notice_of_recalls" TargetMode="External"/><Relationship Id="rId651" Type="http://schemas.openxmlformats.org/officeDocument/2006/relationships/hyperlink" Target="https://lcb.wa.gov/marj/notice_of_recalls" TargetMode="External"/><Relationship Id="rId652" Type="http://schemas.openxmlformats.org/officeDocument/2006/relationships/hyperlink" Target="https://lcb.wa.gov/marj/notice_of_recalls" TargetMode="External"/><Relationship Id="rId653" Type="http://schemas.openxmlformats.org/officeDocument/2006/relationships/hyperlink" Target="https://lcb.wa.gov/marj/notice_of_recalls" TargetMode="External"/><Relationship Id="rId654" Type="http://schemas.openxmlformats.org/officeDocument/2006/relationships/hyperlink" Target="https://lcb.wa.gov/marj/notice_of_recalls" TargetMode="External"/><Relationship Id="rId655" Type="http://schemas.openxmlformats.org/officeDocument/2006/relationships/hyperlink" Target="https://lcb.wa.gov/marj/notice_of_recalls" TargetMode="External"/><Relationship Id="rId656" Type="http://schemas.openxmlformats.org/officeDocument/2006/relationships/hyperlink" Target="https://lcb.wa.gov/marj/notice_of_recalls" TargetMode="External"/><Relationship Id="rId657" Type="http://schemas.openxmlformats.org/officeDocument/2006/relationships/hyperlink" Target="https://lcb.wa.gov/marj/notice_of_recalls" TargetMode="External"/><Relationship Id="rId658" Type="http://schemas.openxmlformats.org/officeDocument/2006/relationships/hyperlink" Target="https://lcb.wa.gov/marj/notice_of_recalls" TargetMode="External"/><Relationship Id="rId659" Type="http://schemas.openxmlformats.org/officeDocument/2006/relationships/hyperlink" Target="https://lcb.wa.gov/marj/notice_of_recalls" TargetMode="External"/><Relationship Id="rId660" Type="http://schemas.openxmlformats.org/officeDocument/2006/relationships/hyperlink" Target="https://lcb.wa.gov/marj/notice_of_recalls" TargetMode="External"/><Relationship Id="rId661" Type="http://schemas.openxmlformats.org/officeDocument/2006/relationships/hyperlink" Target="https://lcb.wa.gov/marj/notice_of_recalls" TargetMode="External"/><Relationship Id="rId662" Type="http://schemas.openxmlformats.org/officeDocument/2006/relationships/hyperlink" Target="https://lcb.wa.gov/marj/notice_of_recalls" TargetMode="External"/><Relationship Id="rId663" Type="http://schemas.openxmlformats.org/officeDocument/2006/relationships/hyperlink" Target="https://lcb.wa.gov/marj/notice_of_recalls" TargetMode="External"/><Relationship Id="rId664" Type="http://schemas.openxmlformats.org/officeDocument/2006/relationships/hyperlink" Target="https://lcb.wa.gov/marj/notice_of_recalls" TargetMode="External"/><Relationship Id="rId665" Type="http://schemas.openxmlformats.org/officeDocument/2006/relationships/hyperlink" Target="https://lcb.wa.gov/marj/notice_of_recalls" TargetMode="External"/><Relationship Id="rId666" Type="http://schemas.openxmlformats.org/officeDocument/2006/relationships/hyperlink" Target="https://lcb.wa.gov/examiners/recalls" TargetMode="External"/><Relationship Id="rId667" Type="http://schemas.openxmlformats.org/officeDocument/2006/relationships/hyperlink" Target="https://lcb.wa.gov/marj/notice_of_recalls" TargetMode="External"/><Relationship Id="rId668" Type="http://schemas.openxmlformats.org/officeDocument/2006/relationships/hyperlink" Target="https://lcb.wa.gov/examiners/recalls" TargetMode="External"/><Relationship Id="rId669" Type="http://schemas.openxmlformats.org/officeDocument/2006/relationships/hyperlink" Target="https://lcb.wa.gov/examiners/recalls" TargetMode="External"/><Relationship Id="rId670" Type="http://schemas.openxmlformats.org/officeDocument/2006/relationships/hyperlink" Target="https://lcb.wa.gov/examiners/recalls" TargetMode="External"/><Relationship Id="rId671" Type="http://schemas.openxmlformats.org/officeDocument/2006/relationships/hyperlink" Target="https://lcb.wa.gov/examiners/recalls" TargetMode="External"/><Relationship Id="rId672" Type="http://schemas.openxmlformats.org/officeDocument/2006/relationships/hyperlink" Target="https://lcb.wa.gov/examiners/recalls" TargetMode="External"/><Relationship Id="rId673" Type="http://schemas.openxmlformats.org/officeDocument/2006/relationships/hyperlink" Target="https://lcb.wa.gov/examiners/recalls" TargetMode="External"/><Relationship Id="rId674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4.xml"/><Relationship Id="rId3" Type="http://schemas.openxmlformats.org/officeDocument/2006/relationships/table" Target="../tables/table5.xml"/><Relationship Id="rId4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L614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0" width="32.88"/>
    <col collapsed="false" customWidth="true" hidden="false" outlineLevel="0" max="2" min="2" style="0" width="12.25"/>
    <col collapsed="false" customWidth="true" hidden="false" outlineLevel="0" max="3" min="3" style="0" width="13"/>
    <col collapsed="false" customWidth="true" hidden="false" outlineLevel="0" max="4" min="4" style="0" width="8.13"/>
    <col collapsed="false" customWidth="true" hidden="false" outlineLevel="0" max="5" min="5" style="0" width="51"/>
    <col collapsed="false" customWidth="true" hidden="false" outlineLevel="0" max="6" min="6" style="0" width="37.63"/>
    <col collapsed="false" customWidth="true" hidden="false" outlineLevel="0" max="7" min="7" style="0" width="14.63"/>
    <col collapsed="false" customWidth="true" hidden="false" outlineLevel="0" max="8" min="8" style="0" width="14.13"/>
    <col collapsed="false" customWidth="true" hidden="false" outlineLevel="0" max="9" min="9" style="0" width="31.25"/>
    <col collapsed="false" customWidth="true" hidden="false" outlineLevel="0" max="10" min="10" style="0" width="25"/>
    <col collapsed="false" customWidth="true" hidden="false" outlineLevel="0" max="11" min="11" style="0" width="9.75"/>
    <col collapsed="false" customWidth="true" hidden="false" outlineLevel="0" max="12" min="12" style="0" width="8.88"/>
    <col collapsed="false" customWidth="true" hidden="false" outlineLevel="0" max="13" min="13" style="0" width="9.51"/>
    <col collapsed="false" customWidth="true" hidden="false" outlineLevel="0" max="14" min="14" style="0" width="10.63"/>
    <col collapsed="false" customWidth="true" hidden="false" outlineLevel="0" max="15" min="15" style="0" width="12.75"/>
    <col collapsed="false" customWidth="true" hidden="false" outlineLevel="0" max="16" min="16" style="0" width="37.63"/>
    <col collapsed="false" customWidth="true" hidden="false" outlineLevel="0" max="17" min="17" style="0" width="17.63"/>
    <col collapsed="false" customWidth="true" hidden="false" outlineLevel="0" max="18" min="18" style="0" width="24.13"/>
    <col collapsed="false" customWidth="true" hidden="false" outlineLevel="0" max="38" min="19" style="0" width="12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customFormat="false" ht="16.4" hidden="false" customHeight="false" outlineLevel="0" collapsed="false">
      <c r="A2" s="1" t="s">
        <v>19</v>
      </c>
      <c r="C2" s="5" t="n">
        <v>43781</v>
      </c>
      <c r="D2" s="1" t="s">
        <v>20</v>
      </c>
      <c r="E2" s="6" t="s">
        <v>21</v>
      </c>
      <c r="F2" s="6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M2" s="1" t="s">
        <v>26</v>
      </c>
      <c r="N2" s="4"/>
      <c r="O2" s="4"/>
      <c r="P2" s="1" t="s">
        <v>27</v>
      </c>
      <c r="Q2" s="1" t="s">
        <v>28</v>
      </c>
      <c r="R2" s="1" t="str">
        <f aca="false">VLOOKUP(P2,[1]Categorizations!A$1:C$1048576,2,FALSE())</f>
        <v>Pesticides</v>
      </c>
      <c r="S2" s="1" t="str">
        <f aca="false">VLOOKUP(P2,[1]Categorizations!A$1:C$1048576,3,FALSE())</f>
        <v>Pesticides</v>
      </c>
    </row>
    <row r="3" customFormat="false" ht="16.4" hidden="false" customHeight="false" outlineLevel="0" collapsed="false">
      <c r="A3" s="1" t="s">
        <v>29</v>
      </c>
      <c r="C3" s="5" t="n">
        <v>44988</v>
      </c>
      <c r="D3" s="1" t="s">
        <v>20</v>
      </c>
      <c r="E3" s="6" t="s">
        <v>30</v>
      </c>
      <c r="F3" s="6" t="s">
        <v>30</v>
      </c>
      <c r="G3" s="1" t="s">
        <v>22</v>
      </c>
      <c r="H3" s="1" t="s">
        <v>31</v>
      </c>
      <c r="I3" s="1" t="s">
        <v>32</v>
      </c>
      <c r="J3" s="1" t="s">
        <v>33</v>
      </c>
      <c r="K3" s="1"/>
      <c r="L3" s="1"/>
      <c r="M3" s="1" t="s">
        <v>26</v>
      </c>
      <c r="N3" s="4"/>
      <c r="O3" s="4"/>
      <c r="P3" s="1" t="s">
        <v>34</v>
      </c>
      <c r="Q3" s="1" t="s">
        <v>35</v>
      </c>
      <c r="R3" s="1" t="str">
        <f aca="false">VLOOKUP(P3,[1]Categorizations!A$1:C$1048576,2,FALSE())</f>
        <v>Diverted Product</v>
      </c>
      <c r="S3" s="1" t="str">
        <f aca="false">VLOOKUP(P3,[1]Categorizations!A$1:C$1048576,3,FALSE())</f>
        <v>Prohibited Additives / Product</v>
      </c>
    </row>
    <row r="4" customFormat="false" ht="16.4" hidden="false" customHeight="false" outlineLevel="0" collapsed="false">
      <c r="A4" s="1" t="str">
        <f aca="false">CONCATENATE(C4,J4)</f>
        <v>44370Harvest Platinum</v>
      </c>
      <c r="C4" s="5" t="n">
        <v>44370</v>
      </c>
      <c r="D4" s="1" t="s">
        <v>36</v>
      </c>
      <c r="E4" s="6" t="s">
        <v>37</v>
      </c>
      <c r="F4" s="6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/>
      <c r="L4" s="1"/>
      <c r="M4" s="1" t="s">
        <v>42</v>
      </c>
      <c r="N4" s="4" t="n">
        <v>44292</v>
      </c>
      <c r="O4" s="4"/>
      <c r="P4" s="1" t="s">
        <v>43</v>
      </c>
      <c r="Q4" s="1" t="s">
        <v>35</v>
      </c>
      <c r="R4" s="1" t="str">
        <f aca="false">VLOOKUP(P4,[1]Categorizations!A$1:C$1048576,2,FALSE())</f>
        <v>Salmonella</v>
      </c>
      <c r="S4" s="1" t="str">
        <f aca="false">VLOOKUP(P4,[1]Categorizations!A$1:C$1048576,3,FALSE())</f>
        <v>Microbial Contamination</v>
      </c>
    </row>
    <row r="5" customFormat="false" ht="16.4" hidden="false" customHeight="false" outlineLevel="0" collapsed="false">
      <c r="A5" s="1" t="s">
        <v>44</v>
      </c>
      <c r="C5" s="5" t="n">
        <v>44370</v>
      </c>
      <c r="D5" s="1" t="s">
        <v>36</v>
      </c>
      <c r="E5" s="6" t="s">
        <v>45</v>
      </c>
      <c r="G5" s="1" t="s">
        <v>38</v>
      </c>
      <c r="H5" s="1" t="s">
        <v>39</v>
      </c>
      <c r="I5" s="1" t="s">
        <v>46</v>
      </c>
      <c r="J5" s="1" t="s">
        <v>41</v>
      </c>
      <c r="K5" s="1"/>
      <c r="L5" s="1"/>
      <c r="M5" s="1" t="s">
        <v>42</v>
      </c>
      <c r="N5" s="4" t="n">
        <v>44292</v>
      </c>
      <c r="O5" s="4"/>
      <c r="P5" s="1" t="s">
        <v>47</v>
      </c>
      <c r="Q5" s="1" t="s">
        <v>35</v>
      </c>
      <c r="R5" s="1" t="str">
        <f aca="false">VLOOKUP(P5,[1]Categorizations!A$1:C$1048576,2,FALSE())</f>
        <v>Aspergillus</v>
      </c>
      <c r="S5" s="1" t="str">
        <f aca="false">VLOOKUP(P5,[1]Categorizations!A$1:C$1048576,3,FALSE())</f>
        <v>Microbial Contamination</v>
      </c>
    </row>
    <row r="6" customFormat="false" ht="16.4" hidden="false" customHeight="false" outlineLevel="0" collapsed="false">
      <c r="A6" s="1" t="str">
        <f aca="false">CONCATENATE(C6,J6)</f>
        <v>44370Modern Flower</v>
      </c>
      <c r="C6" s="5" t="n">
        <v>44370</v>
      </c>
      <c r="D6" s="1" t="s">
        <v>36</v>
      </c>
      <c r="E6" s="6" t="s">
        <v>45</v>
      </c>
      <c r="G6" s="1" t="s">
        <v>38</v>
      </c>
      <c r="H6" s="1" t="s">
        <v>39</v>
      </c>
      <c r="I6" s="1" t="s">
        <v>48</v>
      </c>
      <c r="J6" s="1" t="s">
        <v>49</v>
      </c>
      <c r="K6" s="1"/>
      <c r="L6" s="1"/>
      <c r="M6" s="1" t="s">
        <v>42</v>
      </c>
      <c r="N6" s="4" t="n">
        <v>44307</v>
      </c>
      <c r="O6" s="4"/>
      <c r="P6" s="1" t="s">
        <v>50</v>
      </c>
      <c r="Q6" s="1" t="s">
        <v>35</v>
      </c>
      <c r="R6" s="1" t="str">
        <f aca="false">VLOOKUP(P6,[1]Categorizations!A$1:C$1048576,2,FALSE())</f>
        <v>Aspergillus</v>
      </c>
      <c r="S6" s="1" t="str">
        <f aca="false">VLOOKUP(P6,[1]Categorizations!A$1:C$1048576,3,FALSE())</f>
        <v>Microbial Contamination</v>
      </c>
    </row>
    <row r="7" customFormat="false" ht="16.4" hidden="false" customHeight="false" outlineLevel="0" collapsed="false">
      <c r="A7" s="1" t="str">
        <f aca="false">CONCATENATE(C7,J7)</f>
        <v>44370Sol Flower</v>
      </c>
      <c r="C7" s="5" t="n">
        <v>44370</v>
      </c>
      <c r="D7" s="1" t="s">
        <v>36</v>
      </c>
      <c r="E7" s="6" t="s">
        <v>45</v>
      </c>
      <c r="G7" s="1" t="s">
        <v>38</v>
      </c>
      <c r="H7" s="1" t="s">
        <v>39</v>
      </c>
      <c r="I7" s="1" t="s">
        <v>51</v>
      </c>
      <c r="J7" s="1" t="s">
        <v>52</v>
      </c>
      <c r="K7" s="1"/>
      <c r="L7" s="1"/>
      <c r="M7" s="1" t="s">
        <v>42</v>
      </c>
      <c r="N7" s="4" t="n">
        <v>44217</v>
      </c>
      <c r="O7" s="4"/>
      <c r="P7" s="1" t="s">
        <v>50</v>
      </c>
      <c r="Q7" s="1" t="s">
        <v>35</v>
      </c>
      <c r="R7" s="1" t="str">
        <f aca="false">VLOOKUP(P7,[1]Categorizations!A$1:C$1048576,2,FALSE())</f>
        <v>Aspergillus</v>
      </c>
      <c r="S7" s="1" t="str">
        <f aca="false">VLOOKUP(P7,[1]Categorizations!A$1:C$1048576,3,FALSE())</f>
        <v>Microbial Contamination</v>
      </c>
    </row>
    <row r="8" customFormat="false" ht="16.4" hidden="false" customHeight="false" outlineLevel="0" collapsed="false">
      <c r="A8" s="1" t="str">
        <f aca="false">CONCATENATE(C8,J8)</f>
        <v>44370EHF</v>
      </c>
      <c r="C8" s="5" t="n">
        <v>44370</v>
      </c>
      <c r="D8" s="1" t="s">
        <v>36</v>
      </c>
      <c r="E8" s="6" t="s">
        <v>45</v>
      </c>
      <c r="G8" s="1" t="s">
        <v>38</v>
      </c>
      <c r="H8" s="1" t="s">
        <v>39</v>
      </c>
      <c r="I8" s="1" t="s">
        <v>53</v>
      </c>
      <c r="J8" s="1" t="s">
        <v>54</v>
      </c>
      <c r="K8" s="1"/>
      <c r="L8" s="1"/>
      <c r="M8" s="1" t="s">
        <v>42</v>
      </c>
      <c r="N8" s="4" t="n">
        <v>44263</v>
      </c>
      <c r="O8" s="4"/>
      <c r="P8" s="1" t="s">
        <v>43</v>
      </c>
      <c r="Q8" s="1" t="s">
        <v>35</v>
      </c>
      <c r="R8" s="1" t="str">
        <f aca="false">VLOOKUP(P8,[1]Categorizations!A$1:C$1048576,2,FALSE())</f>
        <v>Salmonella</v>
      </c>
      <c r="S8" s="1" t="str">
        <f aca="false">VLOOKUP(P8,[1]Categorizations!A$1:C$1048576,3,FALSE())</f>
        <v>Microbial Contamination</v>
      </c>
    </row>
    <row r="9" customFormat="false" ht="16.4" hidden="false" customHeight="false" outlineLevel="0" collapsed="false">
      <c r="A9" s="1" t="str">
        <f aca="false">CONCATENATE(C9,J9)</f>
        <v>44370Mohave</v>
      </c>
      <c r="C9" s="5" t="n">
        <v>44370</v>
      </c>
      <c r="D9" s="1" t="s">
        <v>36</v>
      </c>
      <c r="E9" s="6" t="s">
        <v>45</v>
      </c>
      <c r="G9" s="1" t="s">
        <v>38</v>
      </c>
      <c r="H9" s="1" t="s">
        <v>55</v>
      </c>
      <c r="I9" s="1" t="s">
        <v>56</v>
      </c>
      <c r="J9" s="1" t="s">
        <v>57</v>
      </c>
      <c r="K9" s="1"/>
      <c r="L9" s="1"/>
      <c r="M9" s="1" t="s">
        <v>26</v>
      </c>
      <c r="N9" s="4"/>
      <c r="O9" s="4"/>
      <c r="P9" s="1" t="s">
        <v>43</v>
      </c>
      <c r="Q9" s="1" t="s">
        <v>35</v>
      </c>
      <c r="R9" s="1" t="str">
        <f aca="false">VLOOKUP(P9,[1]Categorizations!A$1:C$1048576,2,FALSE())</f>
        <v>Salmonella</v>
      </c>
      <c r="S9" s="1" t="str">
        <f aca="false">VLOOKUP(P9,[1]Categorizations!A$1:C$1048576,3,FALSE())</f>
        <v>Microbial Contamination</v>
      </c>
    </row>
    <row r="10" customFormat="false" ht="16.4" hidden="false" customHeight="false" outlineLevel="0" collapsed="false">
      <c r="A10" s="1" t="str">
        <f aca="false">CONCATENATE(C10,J10)</f>
        <v>44370Tru Infusion</v>
      </c>
      <c r="C10" s="5" t="n">
        <v>44370</v>
      </c>
      <c r="D10" s="1" t="s">
        <v>36</v>
      </c>
      <c r="E10" s="6" t="s">
        <v>45</v>
      </c>
      <c r="G10" s="1" t="s">
        <v>38</v>
      </c>
      <c r="H10" s="1" t="s">
        <v>39</v>
      </c>
      <c r="I10" s="1" t="s">
        <v>58</v>
      </c>
      <c r="J10" s="1" t="s">
        <v>59</v>
      </c>
      <c r="K10" s="1"/>
      <c r="L10" s="1"/>
      <c r="M10" s="1" t="s">
        <v>42</v>
      </c>
      <c r="N10" s="4" t="n">
        <v>44281</v>
      </c>
      <c r="O10" s="4"/>
      <c r="P10" s="1" t="s">
        <v>50</v>
      </c>
      <c r="Q10" s="1" t="s">
        <v>35</v>
      </c>
      <c r="R10" s="1" t="str">
        <f aca="false">VLOOKUP(P10,[1]Categorizations!A$1:C$1048576,2,FALSE())</f>
        <v>Aspergillus</v>
      </c>
      <c r="S10" s="1" t="str">
        <f aca="false">VLOOKUP(P10,[1]Categorizations!A$1:C$1048576,3,FALSE())</f>
        <v>Microbial Contamination</v>
      </c>
    </row>
    <row r="11" customFormat="false" ht="16.4" hidden="false" customHeight="false" outlineLevel="0" collapsed="false">
      <c r="A11" s="1" t="str">
        <f aca="false">CONCATENATE(C11,J11)</f>
        <v>44370Pharm Chemistry</v>
      </c>
      <c r="C11" s="5" t="n">
        <v>44370</v>
      </c>
      <c r="D11" s="1" t="s">
        <v>36</v>
      </c>
      <c r="E11" s="6" t="s">
        <v>45</v>
      </c>
      <c r="G11" s="1" t="s">
        <v>38</v>
      </c>
      <c r="H11" s="1" t="s">
        <v>60</v>
      </c>
      <c r="I11" s="1" t="s">
        <v>61</v>
      </c>
      <c r="J11" s="1" t="s">
        <v>62</v>
      </c>
      <c r="K11" s="1"/>
      <c r="L11" s="1"/>
      <c r="M11" s="1" t="s">
        <v>26</v>
      </c>
      <c r="N11" s="4"/>
      <c r="O11" s="4"/>
      <c r="P11" s="1" t="s">
        <v>50</v>
      </c>
      <c r="Q11" s="1" t="s">
        <v>35</v>
      </c>
      <c r="R11" s="1" t="str">
        <f aca="false">VLOOKUP(P11,[1]Categorizations!A$1:C$1048576,2,FALSE())</f>
        <v>Aspergillus</v>
      </c>
      <c r="S11" s="1" t="str">
        <f aca="false">VLOOKUP(P11,[1]Categorizations!A$1:C$1048576,3,FALSE())</f>
        <v>Microbial Contamination</v>
      </c>
    </row>
    <row r="12" customFormat="false" ht="16.4" hidden="false" customHeight="false" outlineLevel="0" collapsed="false">
      <c r="A12" s="1" t="s">
        <v>63</v>
      </c>
      <c r="C12" s="5" t="n">
        <v>44511</v>
      </c>
      <c r="D12" s="1" t="s">
        <v>36</v>
      </c>
      <c r="E12" s="6" t="s">
        <v>64</v>
      </c>
      <c r="G12" s="1" t="s">
        <v>38</v>
      </c>
      <c r="H12" s="1" t="s">
        <v>39</v>
      </c>
      <c r="I12" s="1" t="s">
        <v>65</v>
      </c>
      <c r="J12" s="1" t="s">
        <v>65</v>
      </c>
      <c r="K12" s="1"/>
      <c r="L12" s="1"/>
      <c r="M12" s="1" t="s">
        <v>26</v>
      </c>
      <c r="N12" s="4"/>
      <c r="O12" s="4"/>
      <c r="P12" s="1" t="s">
        <v>43</v>
      </c>
      <c r="Q12" s="1" t="s">
        <v>35</v>
      </c>
      <c r="R12" s="1" t="str">
        <f aca="false">VLOOKUP(P12,[1]Categorizations!A$1:C$1048576,2,FALSE())</f>
        <v>Salmonella</v>
      </c>
      <c r="S12" s="1" t="str">
        <f aca="false">VLOOKUP(P12,[1]Categorizations!A$1:C$1048576,3,FALSE())</f>
        <v>Microbial Contamination</v>
      </c>
    </row>
    <row r="13" customFormat="false" ht="16.4" hidden="false" customHeight="false" outlineLevel="0" collapsed="false">
      <c r="A13" s="1" t="s">
        <v>66</v>
      </c>
      <c r="C13" s="5" t="n">
        <v>44511</v>
      </c>
      <c r="D13" s="1" t="s">
        <v>36</v>
      </c>
      <c r="E13" s="6" t="s">
        <v>64</v>
      </c>
      <c r="G13" s="1" t="s">
        <v>38</v>
      </c>
      <c r="H13" s="1" t="s">
        <v>67</v>
      </c>
      <c r="I13" s="1" t="s">
        <v>68</v>
      </c>
      <c r="J13" s="1" t="s">
        <v>68</v>
      </c>
      <c r="K13" s="1"/>
      <c r="L13" s="1"/>
      <c r="M13" s="1" t="s">
        <v>26</v>
      </c>
      <c r="N13" s="4"/>
      <c r="O13" s="4"/>
      <c r="P13" s="1" t="s">
        <v>50</v>
      </c>
      <c r="Q13" s="1" t="s">
        <v>35</v>
      </c>
      <c r="R13" s="1" t="str">
        <f aca="false">VLOOKUP(P13,[1]Categorizations!A$1:C$1048576,2,FALSE())</f>
        <v>Aspergillus</v>
      </c>
      <c r="S13" s="1" t="str">
        <f aca="false">VLOOKUP(P13,[1]Categorizations!A$1:C$1048576,3,FALSE())</f>
        <v>Microbial Contamination</v>
      </c>
    </row>
    <row r="14" customFormat="false" ht="16.4" hidden="false" customHeight="false" outlineLevel="0" collapsed="false">
      <c r="A14" s="1" t="s">
        <v>69</v>
      </c>
      <c r="C14" s="5" t="n">
        <v>44875</v>
      </c>
      <c r="D14" s="1" t="s">
        <v>36</v>
      </c>
      <c r="E14" s="6" t="s">
        <v>70</v>
      </c>
      <c r="G14" s="1" t="s">
        <v>38</v>
      </c>
      <c r="H14" s="1" t="s">
        <v>39</v>
      </c>
      <c r="I14" s="1" t="s">
        <v>71</v>
      </c>
      <c r="J14" s="1" t="s">
        <v>72</v>
      </c>
      <c r="K14" s="1"/>
      <c r="L14" s="1"/>
      <c r="M14" s="1" t="s">
        <v>26</v>
      </c>
      <c r="N14" s="4"/>
      <c r="O14" s="4"/>
      <c r="P14" s="1" t="s">
        <v>50</v>
      </c>
      <c r="Q14" s="1" t="s">
        <v>35</v>
      </c>
      <c r="R14" s="1" t="str">
        <f aca="false">VLOOKUP(P14,[1]Categorizations!A$1:C$1048576,2,FALSE())</f>
        <v>Aspergillus</v>
      </c>
      <c r="S14" s="1" t="str">
        <f aca="false">VLOOKUP(P14,[1]Categorizations!A$1:C$1048576,3,FALSE())</f>
        <v>Microbial Contamination</v>
      </c>
    </row>
    <row r="15" customFormat="false" ht="16.4" hidden="false" customHeight="false" outlineLevel="0" collapsed="false">
      <c r="A15" s="1" t="s">
        <v>73</v>
      </c>
      <c r="C15" s="5" t="n">
        <v>44875</v>
      </c>
      <c r="D15" s="1" t="s">
        <v>36</v>
      </c>
      <c r="E15" s="6" t="s">
        <v>70</v>
      </c>
      <c r="G15" s="1" t="s">
        <v>38</v>
      </c>
      <c r="H15" s="1" t="s">
        <v>39</v>
      </c>
      <c r="I15" s="1" t="s">
        <v>74</v>
      </c>
      <c r="J15" s="1" t="s">
        <v>72</v>
      </c>
      <c r="K15" s="1"/>
      <c r="L15" s="1"/>
      <c r="M15" s="1" t="s">
        <v>26</v>
      </c>
      <c r="N15" s="4"/>
      <c r="O15" s="4"/>
      <c r="P15" s="1" t="s">
        <v>50</v>
      </c>
      <c r="Q15" s="1" t="s">
        <v>35</v>
      </c>
      <c r="R15" s="1" t="str">
        <f aca="false">VLOOKUP(P15,[1]Categorizations!A$1:C$1048576,2,FALSE())</f>
        <v>Aspergillus</v>
      </c>
      <c r="S15" s="1" t="str">
        <f aca="false">VLOOKUP(P15,[1]Categorizations!A$1:C$1048576,3,FALSE())</f>
        <v>Microbial Contamination</v>
      </c>
    </row>
    <row r="16" customFormat="false" ht="16.4" hidden="false" customHeight="false" outlineLevel="0" collapsed="false">
      <c r="A16" s="1" t="s">
        <v>75</v>
      </c>
      <c r="C16" s="5" t="n">
        <v>44875</v>
      </c>
      <c r="D16" s="1" t="s">
        <v>36</v>
      </c>
      <c r="E16" s="6" t="s">
        <v>70</v>
      </c>
      <c r="G16" s="1" t="s">
        <v>38</v>
      </c>
      <c r="H16" s="1" t="s">
        <v>39</v>
      </c>
      <c r="I16" s="1" t="s">
        <v>76</v>
      </c>
      <c r="J16" s="1" t="s">
        <v>72</v>
      </c>
      <c r="K16" s="1"/>
      <c r="L16" s="1"/>
      <c r="M16" s="1" t="s">
        <v>26</v>
      </c>
      <c r="N16" s="4"/>
      <c r="O16" s="4"/>
      <c r="P16" s="1" t="s">
        <v>50</v>
      </c>
      <c r="Q16" s="1" t="s">
        <v>35</v>
      </c>
      <c r="R16" s="1" t="str">
        <f aca="false">VLOOKUP(P16,[1]Categorizations!A$1:C$1048576,2,FALSE())</f>
        <v>Aspergillus</v>
      </c>
      <c r="S16" s="1" t="str">
        <f aca="false">VLOOKUP(P16,[1]Categorizations!A$1:C$1048576,3,FALSE())</f>
        <v>Microbial Contamination</v>
      </c>
    </row>
    <row r="17" customFormat="false" ht="16.4" hidden="false" customHeight="false" outlineLevel="0" collapsed="false">
      <c r="A17" s="1" t="s">
        <v>77</v>
      </c>
      <c r="C17" s="5" t="n">
        <v>44875</v>
      </c>
      <c r="D17" s="1" t="s">
        <v>36</v>
      </c>
      <c r="E17" s="6" t="s">
        <v>70</v>
      </c>
      <c r="G17" s="1" t="s">
        <v>38</v>
      </c>
      <c r="H17" s="1" t="s">
        <v>39</v>
      </c>
      <c r="I17" s="1" t="s">
        <v>78</v>
      </c>
      <c r="J17" s="1" t="s">
        <v>72</v>
      </c>
      <c r="K17" s="1"/>
      <c r="L17" s="1"/>
      <c r="M17" s="1" t="s">
        <v>26</v>
      </c>
      <c r="N17" s="4"/>
      <c r="O17" s="4"/>
      <c r="P17" s="1" t="s">
        <v>50</v>
      </c>
      <c r="Q17" s="1" t="s">
        <v>35</v>
      </c>
      <c r="R17" s="1" t="str">
        <f aca="false">VLOOKUP(P17,[1]Categorizations!A$1:C$1048576,2,FALSE())</f>
        <v>Aspergillus</v>
      </c>
      <c r="S17" s="1" t="str">
        <f aca="false">VLOOKUP(P17,[1]Categorizations!A$1:C$1048576,3,FALSE())</f>
        <v>Microbial Contamination</v>
      </c>
    </row>
    <row r="18" customFormat="false" ht="16.4" hidden="false" customHeight="false" outlineLevel="0" collapsed="false">
      <c r="A18" s="1" t="s">
        <v>79</v>
      </c>
      <c r="C18" s="5" t="n">
        <v>44875</v>
      </c>
      <c r="D18" s="1" t="s">
        <v>36</v>
      </c>
      <c r="E18" s="6" t="s">
        <v>70</v>
      </c>
      <c r="G18" s="1" t="s">
        <v>38</v>
      </c>
      <c r="H18" s="1" t="s">
        <v>39</v>
      </c>
      <c r="I18" s="1" t="s">
        <v>80</v>
      </c>
      <c r="J18" s="1" t="s">
        <v>72</v>
      </c>
      <c r="K18" s="1"/>
      <c r="L18" s="1"/>
      <c r="M18" s="1" t="s">
        <v>26</v>
      </c>
      <c r="N18" s="4"/>
      <c r="O18" s="4"/>
      <c r="P18" s="1" t="s">
        <v>50</v>
      </c>
      <c r="Q18" s="1" t="s">
        <v>35</v>
      </c>
      <c r="R18" s="1" t="str">
        <f aca="false">VLOOKUP(P18,[1]Categorizations!A$1:C$1048576,2,FALSE())</f>
        <v>Aspergillus</v>
      </c>
      <c r="S18" s="1" t="str">
        <f aca="false">VLOOKUP(P18,[1]Categorizations!A$1:C$1048576,3,FALSE())</f>
        <v>Microbial Contamination</v>
      </c>
    </row>
    <row r="19" customFormat="false" ht="16.4" hidden="false" customHeight="false" outlineLevel="0" collapsed="false">
      <c r="A19" s="1" t="s">
        <v>81</v>
      </c>
      <c r="C19" s="5" t="n">
        <v>44875</v>
      </c>
      <c r="D19" s="1" t="s">
        <v>36</v>
      </c>
      <c r="E19" s="6" t="s">
        <v>82</v>
      </c>
      <c r="F19" s="1"/>
      <c r="G19" s="1" t="s">
        <v>38</v>
      </c>
      <c r="H19" s="1" t="s">
        <v>39</v>
      </c>
      <c r="I19" s="1" t="s">
        <v>78</v>
      </c>
      <c r="J19" s="1" t="s">
        <v>72</v>
      </c>
      <c r="K19" s="1"/>
      <c r="L19" s="1"/>
      <c r="M19" s="1" t="s">
        <v>26</v>
      </c>
      <c r="N19" s="4"/>
      <c r="O19" s="4"/>
      <c r="P19" s="1" t="s">
        <v>50</v>
      </c>
      <c r="Q19" s="1" t="s">
        <v>35</v>
      </c>
      <c r="R19" s="1" t="str">
        <f aca="false">VLOOKUP(P19,[1]Categorizations!A$1:C$1048576,2,FALSE())</f>
        <v>Aspergillus</v>
      </c>
      <c r="S19" s="1" t="str">
        <f aca="false">VLOOKUP(P19,[1]Categorizations!A$1:C$1048576,3,FALSE())</f>
        <v>Microbial Contamination</v>
      </c>
    </row>
    <row r="20" customFormat="false" ht="16.4" hidden="false" customHeight="false" outlineLevel="0" collapsed="false">
      <c r="A20" s="1" t="str">
        <f aca="false">CONCATENATE(C20,D20,J20)</f>
        <v>45006ArizonaSource One Meds</v>
      </c>
      <c r="C20" s="5" t="n">
        <v>45006</v>
      </c>
      <c r="D20" s="1" t="s">
        <v>36</v>
      </c>
      <c r="E20" s="6" t="s">
        <v>83</v>
      </c>
      <c r="F20" s="1"/>
      <c r="G20" s="1" t="s">
        <v>38</v>
      </c>
      <c r="H20" s="1" t="s">
        <v>39</v>
      </c>
      <c r="I20" s="1" t="s">
        <v>84</v>
      </c>
      <c r="J20" s="1" t="s">
        <v>85</v>
      </c>
      <c r="K20" s="1"/>
      <c r="L20" s="1"/>
      <c r="M20" s="1" t="s">
        <v>26</v>
      </c>
      <c r="N20" s="4"/>
      <c r="O20" s="4"/>
      <c r="P20" s="1" t="s">
        <v>47</v>
      </c>
      <c r="Q20" s="1" t="s">
        <v>35</v>
      </c>
      <c r="R20" s="1" t="str">
        <f aca="false">VLOOKUP(P20,[1]Categorizations!A$1:C$1048576,2,FALSE())</f>
        <v>Aspergillus</v>
      </c>
      <c r="S20" s="1" t="str">
        <f aca="false">VLOOKUP(P20,[1]Categorizations!A$1:C$1048576,3,FALSE())</f>
        <v>Microbial Contamination</v>
      </c>
    </row>
    <row r="21" customFormat="false" ht="16.4" hidden="false" customHeight="false" outlineLevel="0" collapsed="false">
      <c r="A21" s="1" t="str">
        <f aca="false">CONCATENATE(C21,D21,J21)</f>
        <v>45006ArizonaNature’s Wonder</v>
      </c>
      <c r="C21" s="5" t="n">
        <v>45006</v>
      </c>
      <c r="D21" s="1" t="s">
        <v>36</v>
      </c>
      <c r="E21" s="6" t="s">
        <v>86</v>
      </c>
      <c r="G21" s="1" t="s">
        <v>38</v>
      </c>
      <c r="H21" s="1" t="s">
        <v>39</v>
      </c>
      <c r="I21" s="1" t="s">
        <v>87</v>
      </c>
      <c r="J21" s="1" t="s">
        <v>88</v>
      </c>
      <c r="K21" s="1"/>
      <c r="L21" s="1"/>
      <c r="M21" s="1" t="s">
        <v>26</v>
      </c>
      <c r="N21" s="4"/>
      <c r="O21" s="4"/>
      <c r="P21" s="1" t="s">
        <v>47</v>
      </c>
      <c r="Q21" s="1" t="s">
        <v>35</v>
      </c>
      <c r="R21" s="1" t="str">
        <f aca="false">VLOOKUP(P21,[1]Categorizations!A$1:C$1048576,2,FALSE())</f>
        <v>Aspergillus</v>
      </c>
      <c r="S21" s="1" t="str">
        <f aca="false">VLOOKUP(P21,[1]Categorizations!A$1:C$1048576,3,FALSE())</f>
        <v>Microbial Contamination</v>
      </c>
    </row>
    <row r="22" customFormat="false" ht="16.4" hidden="false" customHeight="false" outlineLevel="0" collapsed="false">
      <c r="A22" s="1" t="str">
        <f aca="false">CONCATENATE(C22,D22,J22)</f>
        <v>45006ArizonaPotent Planet</v>
      </c>
      <c r="C22" s="5" t="n">
        <v>45006</v>
      </c>
      <c r="D22" s="1" t="s">
        <v>36</v>
      </c>
      <c r="E22" s="6" t="s">
        <v>86</v>
      </c>
      <c r="G22" s="1" t="s">
        <v>38</v>
      </c>
      <c r="H22" s="1" t="s">
        <v>39</v>
      </c>
      <c r="I22" s="1" t="s">
        <v>89</v>
      </c>
      <c r="J22" s="1" t="s">
        <v>90</v>
      </c>
      <c r="K22" s="1"/>
      <c r="L22" s="1"/>
      <c r="M22" s="1" t="s">
        <v>26</v>
      </c>
      <c r="N22" s="4"/>
      <c r="O22" s="4"/>
      <c r="P22" s="1" t="s">
        <v>47</v>
      </c>
      <c r="Q22" s="1" t="s">
        <v>35</v>
      </c>
      <c r="R22" s="1" t="str">
        <f aca="false">VLOOKUP(P22,[1]Categorizations!A$1:C$1048576,2,FALSE())</f>
        <v>Aspergillus</v>
      </c>
      <c r="S22" s="1" t="str">
        <f aca="false">VLOOKUP(P22,[1]Categorizations!A$1:C$1048576,3,FALSE())</f>
        <v>Microbial Contamination</v>
      </c>
    </row>
    <row r="23" customFormat="false" ht="16.4" hidden="false" customHeight="false" outlineLevel="0" collapsed="false">
      <c r="A23" s="1" t="str">
        <f aca="false">CONCATENATE(C23,D23,J23)</f>
        <v>45006ArizonaDeep Root pHarm</v>
      </c>
      <c r="C23" s="5" t="n">
        <v>45006</v>
      </c>
      <c r="D23" s="1" t="s">
        <v>36</v>
      </c>
      <c r="E23" s="6" t="s">
        <v>86</v>
      </c>
      <c r="G23" s="1" t="s">
        <v>38</v>
      </c>
      <c r="H23" s="1" t="s">
        <v>39</v>
      </c>
      <c r="I23" s="1" t="s">
        <v>91</v>
      </c>
      <c r="J23" s="1" t="s">
        <v>92</v>
      </c>
      <c r="K23" s="1"/>
      <c r="L23" s="1"/>
      <c r="M23" s="1" t="s">
        <v>26</v>
      </c>
      <c r="N23" s="4"/>
      <c r="O23" s="4"/>
      <c r="P23" s="1" t="s">
        <v>47</v>
      </c>
      <c r="Q23" s="1" t="s">
        <v>35</v>
      </c>
      <c r="R23" s="1" t="str">
        <f aca="false">VLOOKUP(P23,[1]Categorizations!A$1:C$1048576,2,FALSE())</f>
        <v>Aspergillus</v>
      </c>
      <c r="S23" s="1" t="str">
        <f aca="false">VLOOKUP(P23,[1]Categorizations!A$1:C$1048576,3,FALSE())</f>
        <v>Microbial Contamination</v>
      </c>
    </row>
    <row r="24" customFormat="false" ht="16.4" hidden="false" customHeight="false" outlineLevel="0" collapsed="false">
      <c r="A24" s="1" t="str">
        <f aca="false">CONCATENATE(C24,D24,J24,2)</f>
        <v>45006ArizonaDeep Root pHarm2</v>
      </c>
      <c r="C24" s="5" t="n">
        <v>45006</v>
      </c>
      <c r="D24" s="1" t="s">
        <v>36</v>
      </c>
      <c r="E24" s="6" t="s">
        <v>86</v>
      </c>
      <c r="G24" s="1" t="s">
        <v>38</v>
      </c>
      <c r="H24" s="1" t="s">
        <v>39</v>
      </c>
      <c r="I24" s="1" t="s">
        <v>93</v>
      </c>
      <c r="J24" s="1" t="s">
        <v>92</v>
      </c>
      <c r="K24" s="1"/>
      <c r="L24" s="1"/>
      <c r="M24" s="1" t="s">
        <v>26</v>
      </c>
      <c r="N24" s="4"/>
      <c r="O24" s="4"/>
      <c r="P24" s="1" t="s">
        <v>47</v>
      </c>
      <c r="Q24" s="1" t="s">
        <v>35</v>
      </c>
      <c r="R24" s="1" t="str">
        <f aca="false">VLOOKUP(P24,[1]Categorizations!A$1:C$1048576,2,FALSE())</f>
        <v>Aspergillus</v>
      </c>
      <c r="S24" s="1" t="str">
        <f aca="false">VLOOKUP(P24,[1]Categorizations!A$1:C$1048576,3,FALSE())</f>
        <v>Microbial Contamination</v>
      </c>
    </row>
    <row r="25" customFormat="false" ht="16.4" hidden="false" customHeight="false" outlineLevel="0" collapsed="false">
      <c r="A25" s="1" t="s">
        <v>94</v>
      </c>
      <c r="C25" s="5" t="n">
        <v>45079</v>
      </c>
      <c r="D25" s="1" t="s">
        <v>36</v>
      </c>
      <c r="E25" s="6" t="s">
        <v>95</v>
      </c>
      <c r="F25" s="1"/>
      <c r="G25" s="1" t="s">
        <v>38</v>
      </c>
      <c r="H25" s="1" t="s">
        <v>39</v>
      </c>
      <c r="I25" s="1" t="s">
        <v>96</v>
      </c>
      <c r="J25" s="1" t="s">
        <v>97</v>
      </c>
      <c r="K25" s="1"/>
      <c r="L25" s="1"/>
      <c r="M25" s="1" t="s">
        <v>26</v>
      </c>
      <c r="N25" s="4"/>
      <c r="O25" s="4"/>
      <c r="P25" s="1" t="s">
        <v>47</v>
      </c>
      <c r="Q25" s="1" t="s">
        <v>28</v>
      </c>
      <c r="R25" s="1" t="str">
        <f aca="false">VLOOKUP(P25,[1]Categorizations!A$1:C$1048576,2,FALSE())</f>
        <v>Aspergillus</v>
      </c>
      <c r="S25" s="1" t="str">
        <f aca="false">VLOOKUP(P25,[1]Categorizations!A$1:C$1048576,3,FALSE())</f>
        <v>Microbial Contamination</v>
      </c>
    </row>
    <row r="26" customFormat="false" ht="16.4" hidden="false" customHeight="false" outlineLevel="0" collapsed="false">
      <c r="A26" s="1" t="s">
        <v>98</v>
      </c>
      <c r="C26" s="5" t="n">
        <v>45079</v>
      </c>
      <c r="D26" s="1" t="s">
        <v>36</v>
      </c>
      <c r="E26" s="6" t="s">
        <v>95</v>
      </c>
      <c r="F26" s="1"/>
      <c r="G26" s="1" t="s">
        <v>38</v>
      </c>
      <c r="H26" s="1" t="s">
        <v>39</v>
      </c>
      <c r="I26" s="1" t="s">
        <v>99</v>
      </c>
      <c r="J26" s="1" t="s">
        <v>97</v>
      </c>
      <c r="K26" s="1"/>
      <c r="L26" s="1"/>
      <c r="M26" s="1" t="s">
        <v>26</v>
      </c>
      <c r="N26" s="4"/>
      <c r="O26" s="4"/>
      <c r="P26" s="1" t="s">
        <v>47</v>
      </c>
      <c r="Q26" s="1" t="s">
        <v>28</v>
      </c>
      <c r="R26" s="1" t="str">
        <f aca="false">VLOOKUP(P26,[1]Categorizations!A$1:C$1048576,2,FALSE())</f>
        <v>Aspergillus</v>
      </c>
      <c r="S26" s="1" t="str">
        <f aca="false">VLOOKUP(P26,[1]Categorizations!A$1:C$1048576,3,FALSE())</f>
        <v>Microbial Contamination</v>
      </c>
    </row>
    <row r="27" customFormat="false" ht="16.4" hidden="false" customHeight="false" outlineLevel="0" collapsed="false">
      <c r="A27" s="1" t="str">
        <f aca="false">CONCATENATE(C27,D27,J27)</f>
        <v>45131ArizonaGrow Sciences</v>
      </c>
      <c r="C27" s="5" t="n">
        <v>45131</v>
      </c>
      <c r="D27" s="1" t="s">
        <v>36</v>
      </c>
      <c r="E27" s="6" t="s">
        <v>100</v>
      </c>
      <c r="F27" s="1"/>
      <c r="G27" s="1" t="s">
        <v>38</v>
      </c>
      <c r="H27" s="1" t="s">
        <v>39</v>
      </c>
      <c r="I27" s="1" t="s">
        <v>101</v>
      </c>
      <c r="J27" s="1" t="s">
        <v>102</v>
      </c>
      <c r="K27" s="1"/>
      <c r="L27" s="1" t="s">
        <v>103</v>
      </c>
      <c r="M27" s="1" t="s">
        <v>26</v>
      </c>
      <c r="N27" s="4"/>
      <c r="O27" s="4"/>
      <c r="P27" s="1" t="s">
        <v>47</v>
      </c>
      <c r="Q27" s="1" t="s">
        <v>28</v>
      </c>
      <c r="R27" s="1" t="str">
        <f aca="false">VLOOKUP(P27,[1]Categorizations!A$1:C$1048576,2,FALSE())</f>
        <v>Aspergillus</v>
      </c>
      <c r="S27" s="1" t="str">
        <f aca="false">VLOOKUP(P27,[1]Categorizations!A$1:C$1048576,3,FALSE())</f>
        <v>Microbial Contamination</v>
      </c>
    </row>
    <row r="28" customFormat="false" ht="16.4" hidden="false" customHeight="false" outlineLevel="0" collapsed="false">
      <c r="A28" s="1" t="str">
        <f aca="false">CONCATENATE(C28,D28,J28)</f>
        <v>45131ArizonaGrow Sciences</v>
      </c>
      <c r="C28" s="5" t="n">
        <v>45131</v>
      </c>
      <c r="D28" s="1" t="s">
        <v>36</v>
      </c>
      <c r="E28" s="6" t="s">
        <v>100</v>
      </c>
      <c r="F28" s="1"/>
      <c r="G28" s="1" t="s">
        <v>38</v>
      </c>
      <c r="H28" s="1" t="s">
        <v>39</v>
      </c>
      <c r="I28" s="1" t="s">
        <v>104</v>
      </c>
      <c r="J28" s="1" t="s">
        <v>102</v>
      </c>
      <c r="K28" s="1"/>
      <c r="L28" s="1" t="s">
        <v>103</v>
      </c>
      <c r="M28" s="1" t="s">
        <v>26</v>
      </c>
      <c r="N28" s="4"/>
      <c r="O28" s="4"/>
      <c r="P28" s="1" t="s">
        <v>47</v>
      </c>
      <c r="Q28" s="1" t="s">
        <v>28</v>
      </c>
      <c r="R28" s="1" t="str">
        <f aca="false">VLOOKUP(P28,[1]Categorizations!A$1:C$1048576,2,FALSE())</f>
        <v>Aspergillus</v>
      </c>
      <c r="S28" s="1" t="str">
        <f aca="false">VLOOKUP(P28,[1]Categorizations!A$1:C$1048576,3,FALSE())</f>
        <v>Microbial Contamination</v>
      </c>
    </row>
    <row r="29" customFormat="false" ht="16.4" hidden="false" customHeight="false" outlineLevel="0" collapsed="false">
      <c r="A29" s="1" t="str">
        <f aca="false">CONCATENATE(C29,D29,J29)</f>
        <v>45131ArizonaGrow Sciences</v>
      </c>
      <c r="C29" s="5" t="n">
        <v>45131</v>
      </c>
      <c r="D29" s="1" t="s">
        <v>36</v>
      </c>
      <c r="E29" s="6" t="s">
        <v>100</v>
      </c>
      <c r="F29" s="1"/>
      <c r="G29" s="1" t="s">
        <v>38</v>
      </c>
      <c r="H29" s="1" t="s">
        <v>39</v>
      </c>
      <c r="I29" s="1" t="s">
        <v>104</v>
      </c>
      <c r="J29" s="1" t="s">
        <v>102</v>
      </c>
      <c r="K29" s="1"/>
      <c r="L29" s="1" t="s">
        <v>103</v>
      </c>
      <c r="M29" s="1" t="s">
        <v>26</v>
      </c>
      <c r="N29" s="4"/>
      <c r="O29" s="4"/>
      <c r="P29" s="1" t="s">
        <v>47</v>
      </c>
      <c r="Q29" s="1" t="s">
        <v>28</v>
      </c>
      <c r="R29" s="1" t="str">
        <f aca="false">VLOOKUP(P29,[1]Categorizations!A$1:C$1048576,2,FALSE())</f>
        <v>Aspergillus</v>
      </c>
      <c r="S29" s="1" t="str">
        <f aca="false">VLOOKUP(P29,[1]Categorizations!A$1:C$1048576,3,FALSE())</f>
        <v>Microbial Contamination</v>
      </c>
    </row>
    <row r="30" customFormat="false" ht="16.4" hidden="false" customHeight="false" outlineLevel="0" collapsed="false">
      <c r="A30" s="1" t="str">
        <f aca="false">CONCATENATE(C30,D30,J30)</f>
        <v>45131ArizonaSoothing Options</v>
      </c>
      <c r="C30" s="5" t="n">
        <v>45131</v>
      </c>
      <c r="D30" s="1" t="s">
        <v>36</v>
      </c>
      <c r="E30" s="6" t="s">
        <v>100</v>
      </c>
      <c r="F30" s="1"/>
      <c r="G30" s="1" t="s">
        <v>38</v>
      </c>
      <c r="H30" s="1" t="s">
        <v>39</v>
      </c>
      <c r="I30" s="1" t="s">
        <v>105</v>
      </c>
      <c r="J30" s="1" t="s">
        <v>106</v>
      </c>
      <c r="K30" s="1"/>
      <c r="L30" s="1"/>
      <c r="M30" s="1" t="s">
        <v>26</v>
      </c>
      <c r="N30" s="4"/>
      <c r="O30" s="4"/>
      <c r="P30" s="1" t="s">
        <v>47</v>
      </c>
      <c r="Q30" s="1" t="s">
        <v>28</v>
      </c>
      <c r="R30" s="1" t="str">
        <f aca="false">VLOOKUP(P30,[1]Categorizations!A$1:C$1048576,2,FALSE())</f>
        <v>Aspergillus</v>
      </c>
      <c r="S30" s="1" t="str">
        <f aca="false">VLOOKUP(P30,[1]Categorizations!A$1:C$1048576,3,FALSE())</f>
        <v>Microbial Contamination</v>
      </c>
    </row>
    <row r="31" customFormat="false" ht="16.4" hidden="false" customHeight="false" outlineLevel="0" collapsed="false">
      <c r="A31" s="1" t="str">
        <f aca="false">CONCATENATE(C31,D31,J31)</f>
        <v>45145ArizonaNirvana Center</v>
      </c>
      <c r="C31" s="5" t="n">
        <v>45145</v>
      </c>
      <c r="D31" s="1" t="s">
        <v>36</v>
      </c>
      <c r="E31" s="6" t="s">
        <v>107</v>
      </c>
      <c r="F31" s="1"/>
      <c r="G31" s="1" t="s">
        <v>38</v>
      </c>
      <c r="H31" s="1" t="s">
        <v>39</v>
      </c>
      <c r="I31" s="1" t="s">
        <v>108</v>
      </c>
      <c r="J31" s="1" t="s">
        <v>109</v>
      </c>
      <c r="K31" s="1"/>
      <c r="L31" s="1"/>
      <c r="M31" s="1" t="s">
        <v>26</v>
      </c>
      <c r="N31" s="4"/>
      <c r="O31" s="4"/>
      <c r="P31" s="1" t="s">
        <v>43</v>
      </c>
      <c r="Q31" s="1" t="s">
        <v>28</v>
      </c>
      <c r="R31" s="1" t="str">
        <f aca="false">VLOOKUP(P31,[1]Categorizations!A$1:C$1048576,2,FALSE())</f>
        <v>Salmonella</v>
      </c>
      <c r="S31" s="1" t="str">
        <f aca="false">VLOOKUP(P31,[1]Categorizations!A$1:C$1048576,3,FALSE())</f>
        <v>Microbial Contamination</v>
      </c>
    </row>
    <row r="32" customFormat="false" ht="16.4" hidden="false" customHeight="false" outlineLevel="0" collapsed="false">
      <c r="A32" s="1" t="str">
        <f aca="false">CONCATENATE(C32,D32,J32)</f>
        <v>45162ArizonaGrow Sciences</v>
      </c>
      <c r="C32" s="5" t="n">
        <v>45162</v>
      </c>
      <c r="D32" s="1" t="s">
        <v>36</v>
      </c>
      <c r="E32" s="6" t="s">
        <v>110</v>
      </c>
      <c r="F32" s="1"/>
      <c r="G32" s="1" t="s">
        <v>38</v>
      </c>
      <c r="H32" s="1" t="s">
        <v>39</v>
      </c>
      <c r="I32" s="1" t="s">
        <v>111</v>
      </c>
      <c r="J32" s="1" t="s">
        <v>102</v>
      </c>
      <c r="K32" s="1"/>
      <c r="L32" s="1" t="s">
        <v>103</v>
      </c>
      <c r="M32" s="1" t="s">
        <v>26</v>
      </c>
      <c r="N32" s="4"/>
      <c r="O32" s="4"/>
      <c r="P32" s="1" t="s">
        <v>47</v>
      </c>
      <c r="Q32" s="1" t="s">
        <v>28</v>
      </c>
      <c r="R32" s="1" t="str">
        <f aca="false">VLOOKUP(P32,[1]Categorizations!A$1:C$1048576,2,FALSE())</f>
        <v>Aspergillus</v>
      </c>
      <c r="S32" s="1" t="str">
        <f aca="false">VLOOKUP(P32,[1]Categorizations!A$1:C$1048576,3,FALSE())</f>
        <v>Microbial Contamination</v>
      </c>
    </row>
    <row r="33" customFormat="false" ht="16.4" hidden="false" customHeight="false" outlineLevel="0" collapsed="false">
      <c r="A33" s="1" t="str">
        <f aca="false">CONCATENATE(C33,D33,J33)</f>
        <v>45219ArizonaCuraleaf</v>
      </c>
      <c r="C33" s="5" t="n">
        <v>45219</v>
      </c>
      <c r="D33" s="1" t="s">
        <v>36</v>
      </c>
      <c r="E33" s="6" t="s">
        <v>112</v>
      </c>
      <c r="F33" s="1"/>
      <c r="G33" s="1" t="s">
        <v>38</v>
      </c>
      <c r="H33" s="1" t="s">
        <v>39</v>
      </c>
      <c r="I33" s="1" t="s">
        <v>113</v>
      </c>
      <c r="J33" s="1" t="s">
        <v>114</v>
      </c>
      <c r="K33" s="1"/>
      <c r="L33" s="1" t="s">
        <v>103</v>
      </c>
      <c r="M33" s="1" t="s">
        <v>26</v>
      </c>
      <c r="N33" s="4"/>
      <c r="O33" s="4"/>
      <c r="P33" s="1" t="s">
        <v>47</v>
      </c>
      <c r="Q33" s="1" t="s">
        <v>28</v>
      </c>
      <c r="R33" s="1" t="str">
        <f aca="false">VLOOKUP(P33,[1]Categorizations!A$1:C$1048576,2,FALSE())</f>
        <v>Aspergillus</v>
      </c>
      <c r="S33" s="1" t="str">
        <f aca="false">VLOOKUP(P33,[1]Categorizations!A$1:C$1048576,3,FALSE())</f>
        <v>Microbial Contamination</v>
      </c>
    </row>
    <row r="34" customFormat="false" ht="16.4" hidden="false" customHeight="false" outlineLevel="0" collapsed="false">
      <c r="A34" s="1" t="str">
        <f aca="false">CONCATENATE(C34,D34,J34)</f>
        <v>45239ArizonaGLOBE FARMACY INC.</v>
      </c>
      <c r="C34" s="5" t="n">
        <v>45239</v>
      </c>
      <c r="D34" s="1" t="s">
        <v>36</v>
      </c>
      <c r="E34" s="6" t="s">
        <v>115</v>
      </c>
      <c r="F34" s="1"/>
      <c r="G34" s="1" t="s">
        <v>38</v>
      </c>
      <c r="H34" s="1" t="s">
        <v>116</v>
      </c>
      <c r="I34" s="1" t="s">
        <v>117</v>
      </c>
      <c r="J34" s="1" t="s">
        <v>118</v>
      </c>
      <c r="M34" s="1" t="s">
        <v>26</v>
      </c>
      <c r="N34" s="4"/>
      <c r="O34" s="4"/>
      <c r="P34" s="1" t="s">
        <v>47</v>
      </c>
      <c r="Q34" s="1" t="s">
        <v>28</v>
      </c>
      <c r="R34" s="1" t="str">
        <f aca="false">VLOOKUP(P34,[1]Categorizations!A$1:C$1048576,2,FALSE())</f>
        <v>Aspergillus</v>
      </c>
      <c r="S34" s="1" t="str">
        <f aca="false">VLOOKUP(P34,[1]Categorizations!A$1:C$1048576,3,FALSE())</f>
        <v>Microbial Contamination</v>
      </c>
    </row>
    <row r="35" customFormat="false" ht="16.4" hidden="false" customHeight="false" outlineLevel="0" collapsed="false">
      <c r="A35" s="1" t="str">
        <f aca="false">CONCATENATE(C35,D35,J35,2)</f>
        <v>45239ArizonaGLOBE FARMACY INC.2</v>
      </c>
      <c r="C35" s="5" t="n">
        <v>45239</v>
      </c>
      <c r="D35" s="1" t="s">
        <v>36</v>
      </c>
      <c r="E35" s="6" t="s">
        <v>115</v>
      </c>
      <c r="F35" s="1"/>
      <c r="G35" s="1" t="s">
        <v>38</v>
      </c>
      <c r="H35" s="1" t="s">
        <v>116</v>
      </c>
      <c r="I35" s="1" t="s">
        <v>119</v>
      </c>
      <c r="J35" s="1" t="s">
        <v>118</v>
      </c>
      <c r="M35" s="1" t="s">
        <v>26</v>
      </c>
      <c r="N35" s="4"/>
      <c r="O35" s="4"/>
      <c r="P35" s="1" t="s">
        <v>47</v>
      </c>
      <c r="Q35" s="1" t="s">
        <v>28</v>
      </c>
      <c r="R35" s="1" t="str">
        <f aca="false">VLOOKUP(P35,[1]Categorizations!A$1:C$1048576,2,FALSE())</f>
        <v>Aspergillus</v>
      </c>
      <c r="S35" s="1" t="str">
        <f aca="false">VLOOKUP(P35,[1]Categorizations!A$1:C$1048576,3,FALSE())</f>
        <v>Microbial Contamination</v>
      </c>
    </row>
    <row r="36" customFormat="false" ht="16.4" hidden="false" customHeight="false" outlineLevel="0" collapsed="false">
      <c r="A36" s="1" t="str">
        <f aca="false">CONCATENATE(C36,D36,J36)</f>
        <v>45257ArizonaNirvana Center</v>
      </c>
      <c r="C36" s="5" t="n">
        <v>45257</v>
      </c>
      <c r="D36" s="1" t="s">
        <v>36</v>
      </c>
      <c r="E36" s="6" t="s">
        <v>120</v>
      </c>
      <c r="F36" s="1"/>
      <c r="G36" s="1" t="s">
        <v>38</v>
      </c>
      <c r="H36" s="1" t="s">
        <v>39</v>
      </c>
      <c r="I36" s="1" t="s">
        <v>121</v>
      </c>
      <c r="J36" s="1" t="s">
        <v>109</v>
      </c>
      <c r="M36" s="1" t="s">
        <v>26</v>
      </c>
      <c r="N36" s="4"/>
      <c r="O36" s="4"/>
      <c r="P36" s="1" t="s">
        <v>47</v>
      </c>
      <c r="Q36" s="1" t="s">
        <v>28</v>
      </c>
      <c r="R36" s="1" t="str">
        <f aca="false">VLOOKUP(P36,[1]Categorizations!A$1:C$1048576,2,FALSE())</f>
        <v>Aspergillus</v>
      </c>
      <c r="S36" s="1" t="str">
        <f aca="false">VLOOKUP(P36,[1]Categorizations!A$1:C$1048576,3,FALSE())</f>
        <v>Microbial Contamination</v>
      </c>
    </row>
    <row r="37" customFormat="false" ht="16.4" hidden="false" customHeight="false" outlineLevel="0" collapsed="false">
      <c r="A37" s="1" t="str">
        <f aca="false">CONCATENATE(C37,D37,J37)</f>
        <v>45418ArizonaThe Flower Shop</v>
      </c>
      <c r="C37" s="5" t="n">
        <v>45418</v>
      </c>
      <c r="D37" s="1" t="s">
        <v>36</v>
      </c>
      <c r="E37" s="6" t="s">
        <v>122</v>
      </c>
      <c r="F37" s="1"/>
      <c r="G37" s="1" t="s">
        <v>38</v>
      </c>
      <c r="H37" s="1" t="s">
        <v>39</v>
      </c>
      <c r="I37" s="1" t="s">
        <v>123</v>
      </c>
      <c r="J37" s="1" t="s">
        <v>123</v>
      </c>
      <c r="M37" s="1" t="s">
        <v>26</v>
      </c>
      <c r="N37" s="4"/>
      <c r="O37" s="4"/>
      <c r="P37" s="1" t="s">
        <v>47</v>
      </c>
      <c r="Q37" s="1" t="s">
        <v>28</v>
      </c>
      <c r="R37" s="1" t="str">
        <f aca="false">VLOOKUP(P37,[1]Categorizations!A$1:C$1048576,2,FALSE())</f>
        <v>Aspergillus</v>
      </c>
      <c r="S37" s="1" t="str">
        <f aca="false">VLOOKUP(P37,[1]Categorizations!A$1:C$1048576,3,FALSE())</f>
        <v>Microbial Contamination</v>
      </c>
    </row>
    <row r="38" customFormat="false" ht="16.4" hidden="false" customHeight="false" outlineLevel="0" collapsed="false">
      <c r="A38" s="1" t="str">
        <f aca="false">CONCATENATE(C38,D38,J38)</f>
        <v>45483ArizonaNature’s Wonder Inc</v>
      </c>
      <c r="C38" s="5" t="n">
        <v>45483</v>
      </c>
      <c r="D38" s="1" t="s">
        <v>36</v>
      </c>
      <c r="E38" s="6" t="s">
        <v>124</v>
      </c>
      <c r="F38" s="1"/>
      <c r="G38" s="1" t="s">
        <v>38</v>
      </c>
      <c r="H38" s="1" t="s">
        <v>116</v>
      </c>
      <c r="I38" s="1" t="s">
        <v>125</v>
      </c>
      <c r="J38" s="1" t="s">
        <v>126</v>
      </c>
      <c r="M38" s="1" t="s">
        <v>26</v>
      </c>
      <c r="N38" s="4"/>
      <c r="O38" s="4"/>
      <c r="P38" s="1" t="s">
        <v>127</v>
      </c>
      <c r="Q38" s="1" t="s">
        <v>28</v>
      </c>
      <c r="R38" s="1" t="str">
        <f aca="false">VLOOKUP(P38,[1]Categorizations!A$1:C$1048576,2,FALSE())</f>
        <v>Pesticides</v>
      </c>
      <c r="S38" s="1" t="str">
        <f aca="false">VLOOKUP(P38,[1]Categorizations!A$1:C$1048576,3,FALSE())</f>
        <v>Pesticides</v>
      </c>
    </row>
    <row r="39" customFormat="false" ht="16.4" hidden="false" customHeight="false" outlineLevel="0" collapsed="false">
      <c r="A39" s="1" t="str">
        <f aca="false">CONCATENATE(C39,J39)</f>
        <v>45955Elba Holdings</v>
      </c>
      <c r="C39" s="4" t="n">
        <v>45955</v>
      </c>
      <c r="D39" s="1" t="s">
        <v>36</v>
      </c>
      <c r="E39" s="6" t="s">
        <v>128</v>
      </c>
      <c r="F39" s="1"/>
      <c r="G39" s="1" t="s">
        <v>38</v>
      </c>
      <c r="H39" s="1" t="s">
        <v>39</v>
      </c>
      <c r="I39" s="1" t="s">
        <v>129</v>
      </c>
      <c r="J39" s="1" t="s">
        <v>129</v>
      </c>
      <c r="M39" s="1"/>
      <c r="N39" s="4"/>
      <c r="O39" s="4"/>
      <c r="P39" s="1" t="s">
        <v>130</v>
      </c>
      <c r="Q39" s="1" t="s">
        <v>131</v>
      </c>
      <c r="R39" s="1" t="str">
        <f aca="false">VLOOKUP(P39,[1]Categorizations!A$1:C$1048576,2,FALSE())</f>
        <v>Aspergillus</v>
      </c>
      <c r="S39" s="1" t="str">
        <f aca="false">VLOOKUP(P39,[1]Categorizations!A$1:C$1048576,3,FALSE())</f>
        <v>Multiple</v>
      </c>
    </row>
    <row r="40" customFormat="false" ht="16.4" hidden="false" customHeight="false" outlineLevel="0" collapsed="false">
      <c r="A40" s="1" t="str">
        <f aca="false">CONCATENATE(C40,J40)</f>
        <v>46009Pressd / Baked Bros</v>
      </c>
      <c r="C40" s="4" t="n">
        <v>46009</v>
      </c>
      <c r="D40" s="1" t="s">
        <v>36</v>
      </c>
      <c r="E40" s="6" t="s">
        <v>132</v>
      </c>
      <c r="F40" s="1"/>
      <c r="G40" s="1" t="s">
        <v>38</v>
      </c>
      <c r="H40" s="1" t="s">
        <v>133</v>
      </c>
      <c r="I40" s="1" t="s">
        <v>134</v>
      </c>
      <c r="J40" s="1" t="s">
        <v>134</v>
      </c>
      <c r="K40" s="2" t="s">
        <v>135</v>
      </c>
      <c r="M40" s="1"/>
      <c r="N40" s="4"/>
      <c r="O40" s="4"/>
      <c r="P40" s="1" t="s">
        <v>136</v>
      </c>
      <c r="Q40" s="1" t="s">
        <v>131</v>
      </c>
      <c r="R40" s="1" t="str">
        <f aca="false">VLOOKUP(P40,[1]Categorizations!A$1:C$1048576,2,FALSE())</f>
        <v>Pesticides</v>
      </c>
      <c r="S40" s="1" t="str">
        <f aca="false">VLOOKUP(P40,[1]Categorizations!A$1:C$1048576,3,FALSE())</f>
        <v>Pesticides</v>
      </c>
    </row>
    <row r="41" customFormat="false" ht="16.4" hidden="false" customHeight="false" outlineLevel="0" collapsed="false">
      <c r="A41" s="1" t="str">
        <f aca="false">CONCATENATE(C41,J41)</f>
        <v>46063Legacy &amp; Co</v>
      </c>
      <c r="C41" s="7" t="n">
        <v>46063</v>
      </c>
      <c r="D41" s="2" t="s">
        <v>36</v>
      </c>
      <c r="E41" s="8" t="s">
        <v>137</v>
      </c>
      <c r="F41" s="8" t="s">
        <v>138</v>
      </c>
      <c r="G41" s="2" t="s">
        <v>38</v>
      </c>
      <c r="H41" s="2" t="s">
        <v>23</v>
      </c>
      <c r="I41" s="2" t="s">
        <v>139</v>
      </c>
      <c r="J41" s="2" t="s">
        <v>140</v>
      </c>
      <c r="M41" s="2" t="s">
        <v>26</v>
      </c>
      <c r="N41" s="4"/>
      <c r="O41" s="4"/>
      <c r="P41" s="2" t="s">
        <v>47</v>
      </c>
      <c r="Q41" s="2" t="s">
        <v>131</v>
      </c>
      <c r="R41" s="1" t="str">
        <f aca="false">VLOOKUP(P41,[1]Categorizations!A$1:C$1048576,2,FALSE())</f>
        <v>Aspergillus</v>
      </c>
      <c r="S41" s="1" t="str">
        <f aca="false">VLOOKUP(P41,[1]Categorizations!A$1:C$1048576,3,FALSE())</f>
        <v>Microbial Contamination</v>
      </c>
    </row>
    <row r="42" customFormat="false" ht="16.4" hidden="false" customHeight="false" outlineLevel="0" collapsed="false">
      <c r="A42" s="1" t="str">
        <f aca="false">CONCATENATE(C42,J42)</f>
        <v>46099Legacy &amp; Co</v>
      </c>
      <c r="C42" s="7" t="n">
        <v>46099</v>
      </c>
      <c r="D42" s="2" t="s">
        <v>36</v>
      </c>
      <c r="E42" s="8" t="s">
        <v>141</v>
      </c>
      <c r="F42" s="2"/>
      <c r="G42" s="2" t="s">
        <v>38</v>
      </c>
      <c r="H42" s="1" t="s">
        <v>39</v>
      </c>
      <c r="I42" s="2" t="s">
        <v>142</v>
      </c>
      <c r="J42" s="2" t="s">
        <v>140</v>
      </c>
      <c r="M42" s="2" t="s">
        <v>26</v>
      </c>
      <c r="N42" s="4"/>
      <c r="O42" s="4"/>
      <c r="P42" s="2" t="s">
        <v>47</v>
      </c>
      <c r="Q42" s="2" t="s">
        <v>131</v>
      </c>
      <c r="R42" s="1" t="str">
        <f aca="false">VLOOKUP(P42,[1]Categorizations!A$1:C$1048576,2,FALSE())</f>
        <v>Aspergillus</v>
      </c>
      <c r="S42" s="1" t="str">
        <f aca="false">VLOOKUP(P42,[1]Categorizations!A$1:C$1048576,3,FALSE())</f>
        <v>Microbial Contamination</v>
      </c>
    </row>
    <row r="43" customFormat="false" ht="16.4" hidden="false" customHeight="false" outlineLevel="0" collapsed="false">
      <c r="A43" s="1" t="str">
        <f aca="false">CONCATENATE(C43,J43)</f>
        <v>46161Forever 46</v>
      </c>
      <c r="C43" s="7" t="n">
        <v>46161</v>
      </c>
      <c r="D43" s="2" t="s">
        <v>36</v>
      </c>
      <c r="E43" s="8" t="s">
        <v>143</v>
      </c>
      <c r="F43" s="8" t="s">
        <v>144</v>
      </c>
      <c r="G43" s="2" t="s">
        <v>145</v>
      </c>
      <c r="H43" s="2" t="s">
        <v>23</v>
      </c>
      <c r="I43" s="2" t="s">
        <v>146</v>
      </c>
      <c r="J43" s="2" t="s">
        <v>147</v>
      </c>
      <c r="M43" s="1"/>
      <c r="N43" s="4"/>
      <c r="O43" s="4"/>
      <c r="P43" s="2" t="s">
        <v>47</v>
      </c>
      <c r="Q43" s="2" t="s">
        <v>131</v>
      </c>
      <c r="R43" s="1" t="str">
        <f aca="false">VLOOKUP(P43,[1]Categorizations!A$1:C$1048576,2,FALSE())</f>
        <v>Aspergillus</v>
      </c>
      <c r="S43" s="1" t="str">
        <f aca="false">VLOOKUP(P43,[1]Categorizations!A$1:C$1048576,3,FALSE())</f>
        <v>Microbial Contamination</v>
      </c>
    </row>
    <row r="44" customFormat="false" ht="15.75" hidden="false" customHeight="false" outlineLevel="0" collapsed="false">
      <c r="A44" s="2" t="str">
        <f aca="false">CONCATENATE(C44,J44)</f>
        <v>46204Level One Labs</v>
      </c>
      <c r="B44" s="2"/>
      <c r="C44" s="9" t="n">
        <v>46204</v>
      </c>
      <c r="D44" s="2" t="s">
        <v>36</v>
      </c>
      <c r="E44" s="10" t="s">
        <v>148</v>
      </c>
      <c r="F44" s="10" t="s">
        <v>148</v>
      </c>
      <c r="G44" s="2" t="s">
        <v>38</v>
      </c>
      <c r="H44" s="2" t="s">
        <v>149</v>
      </c>
      <c r="I44" s="2" t="s">
        <v>150</v>
      </c>
      <c r="J44" s="2" t="s">
        <v>150</v>
      </c>
      <c r="K44" s="2" t="s">
        <v>151</v>
      </c>
      <c r="L44" s="2"/>
      <c r="M44" s="2" t="s">
        <v>26</v>
      </c>
      <c r="N44" s="11"/>
      <c r="O44" s="11"/>
      <c r="P44" s="2" t="s">
        <v>47</v>
      </c>
      <c r="Q44" s="2" t="s">
        <v>131</v>
      </c>
      <c r="R44" s="1" t="str">
        <f aca="false">VLOOKUP(P44,[1]Categorizations!A$1:C$1048576,2,FALSE())</f>
        <v>Aspergillus</v>
      </c>
      <c r="S44" s="1" t="str">
        <f aca="false">VLOOKUP(P44,[1]Categorizations!A$1:C$1048576,3,FALSE())</f>
        <v>Microbial Contamination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customFormat="false" ht="15.75" hidden="false" customHeight="false" outlineLevel="0" collapsed="false">
      <c r="A45" s="1" t="str">
        <f aca="false">CONCATENATE(C45,J45)</f>
        <v>46224Dr Zodiak</v>
      </c>
      <c r="C45" s="11" t="n">
        <v>46224</v>
      </c>
      <c r="D45" s="2" t="s">
        <v>36</v>
      </c>
      <c r="E45" s="8" t="s">
        <v>148</v>
      </c>
      <c r="F45" s="8" t="s">
        <v>152</v>
      </c>
      <c r="G45" s="2" t="s">
        <v>38</v>
      </c>
      <c r="H45" s="2" t="s">
        <v>149</v>
      </c>
      <c r="I45" s="2" t="s">
        <v>153</v>
      </c>
      <c r="J45" s="2" t="s">
        <v>154</v>
      </c>
      <c r="K45" s="2" t="s">
        <v>151</v>
      </c>
      <c r="M45" s="2" t="s">
        <v>26</v>
      </c>
      <c r="N45" s="4"/>
      <c r="O45" s="4"/>
      <c r="P45" s="2" t="s">
        <v>155</v>
      </c>
      <c r="Q45" s="2" t="s">
        <v>131</v>
      </c>
      <c r="R45" s="1" t="str">
        <f aca="false">VLOOKUP(P45,[1]Categorizations!A$1:C$1048576,2,FALSE())</f>
        <v>Multiple: Aspergillus, Lab Issue</v>
      </c>
      <c r="S45" s="1" t="str">
        <f aca="false">VLOOKUP(P45,[1]Categorizations!A$1:C$1048576,3,FALSE())</f>
        <v>Multiple</v>
      </c>
    </row>
    <row r="46" customFormat="false" ht="15.75" hidden="false" customHeight="false" outlineLevel="0" collapsed="false">
      <c r="A46" s="1" t="s">
        <v>156</v>
      </c>
      <c r="C46" s="5" t="n">
        <v>43101</v>
      </c>
      <c r="D46" s="1" t="s">
        <v>157</v>
      </c>
      <c r="E46" s="6" t="s">
        <v>158</v>
      </c>
      <c r="F46" s="1"/>
      <c r="G46" s="1" t="s">
        <v>22</v>
      </c>
      <c r="H46" s="1" t="s">
        <v>159</v>
      </c>
      <c r="I46" s="1" t="s">
        <v>160</v>
      </c>
      <c r="J46" s="1" t="s">
        <v>161</v>
      </c>
      <c r="M46" s="1" t="s">
        <v>26</v>
      </c>
      <c r="N46" s="4"/>
      <c r="O46" s="4"/>
      <c r="P46" s="1" t="s">
        <v>162</v>
      </c>
      <c r="Q46" s="1" t="s">
        <v>131</v>
      </c>
      <c r="R46" s="1" t="str">
        <f aca="false">VLOOKUP(P46,[1]Categorizations!A$1:C$1048576,2,FALSE())</f>
        <v>Lab Issue</v>
      </c>
      <c r="S46" s="1" t="str">
        <f aca="false">VLOOKUP(P46,[1]Categorizations!A$1:C$1048576,3,FALSE())</f>
        <v>Lab Issue</v>
      </c>
    </row>
    <row r="47" customFormat="false" ht="15.75" hidden="false" customHeight="false" outlineLevel="0" collapsed="false">
      <c r="A47" s="1" t="s">
        <v>163</v>
      </c>
      <c r="C47" s="5" t="n">
        <v>44587</v>
      </c>
      <c r="D47" s="1" t="s">
        <v>157</v>
      </c>
      <c r="E47" s="6" t="s">
        <v>164</v>
      </c>
      <c r="F47" s="1"/>
      <c r="G47" s="1" t="s">
        <v>22</v>
      </c>
      <c r="H47" s="1" t="s">
        <v>145</v>
      </c>
      <c r="I47" s="1" t="s">
        <v>165</v>
      </c>
      <c r="J47" s="1" t="s">
        <v>165</v>
      </c>
      <c r="K47" s="1"/>
      <c r="L47" s="1"/>
      <c r="M47" s="1" t="s">
        <v>103</v>
      </c>
      <c r="N47" s="4"/>
      <c r="O47" s="4" t="n">
        <v>44502</v>
      </c>
      <c r="P47" s="1" t="s">
        <v>166</v>
      </c>
      <c r="Q47" s="1" t="s">
        <v>35</v>
      </c>
      <c r="R47" s="1" t="str">
        <f aca="false">VLOOKUP(P47,[1]Categorizations!A$1:C$1048576,2,FALSE())</f>
        <v>Aspergillus</v>
      </c>
      <c r="S47" s="1" t="str">
        <f aca="false">VLOOKUP(P47,[1]Categorizations!A$1:C$1048576,3,FALSE())</f>
        <v>Microbial Contamination</v>
      </c>
    </row>
    <row r="48" customFormat="false" ht="15.75" hidden="false" customHeight="false" outlineLevel="0" collapsed="false">
      <c r="A48" s="1" t="s">
        <v>167</v>
      </c>
      <c r="C48" s="5" t="n">
        <v>44832</v>
      </c>
      <c r="D48" s="1" t="s">
        <v>157</v>
      </c>
      <c r="E48" s="6" t="s">
        <v>164</v>
      </c>
      <c r="F48" s="1"/>
      <c r="G48" s="1" t="s">
        <v>22</v>
      </c>
      <c r="H48" s="1" t="s">
        <v>39</v>
      </c>
      <c r="I48" s="1" t="s">
        <v>168</v>
      </c>
      <c r="J48" s="1" t="s">
        <v>168</v>
      </c>
      <c r="K48" s="1"/>
      <c r="L48" s="1"/>
      <c r="M48" s="1" t="s">
        <v>26</v>
      </c>
      <c r="N48" s="4"/>
      <c r="O48" s="4"/>
      <c r="P48" s="1" t="s">
        <v>169</v>
      </c>
      <c r="Q48" s="1" t="s">
        <v>35</v>
      </c>
      <c r="R48" s="1" t="str">
        <f aca="false">VLOOKUP(P48,[1]Categorizations!A$1:C$1048576,2,FALSE())</f>
        <v>Prohibited Additives / Product</v>
      </c>
      <c r="S48" s="1" t="str">
        <f aca="false">VLOOKUP(P48,[1]Categorizations!A$1:C$1048576,3,FALSE())</f>
        <v>Prohibited Additives / Product</v>
      </c>
    </row>
    <row r="49" customFormat="false" ht="15.75" hidden="false" customHeight="false" outlineLevel="0" collapsed="false">
      <c r="A49" s="1" t="s">
        <v>170</v>
      </c>
      <c r="C49" s="5" t="n">
        <v>44847</v>
      </c>
      <c r="D49" s="1" t="s">
        <v>157</v>
      </c>
      <c r="E49" s="6" t="s">
        <v>164</v>
      </c>
      <c r="F49" s="1"/>
      <c r="G49" s="1" t="s">
        <v>38</v>
      </c>
      <c r="H49" s="1" t="s">
        <v>171</v>
      </c>
      <c r="I49" s="1" t="s">
        <v>172</v>
      </c>
      <c r="J49" s="1" t="s">
        <v>172</v>
      </c>
      <c r="K49" s="1"/>
      <c r="L49" s="1"/>
      <c r="M49" s="1" t="s">
        <v>26</v>
      </c>
      <c r="N49" s="4"/>
      <c r="O49" s="4"/>
      <c r="P49" s="1" t="s">
        <v>166</v>
      </c>
      <c r="Q49" s="1" t="s">
        <v>35</v>
      </c>
      <c r="R49" s="1" t="str">
        <f aca="false">VLOOKUP(P49,[1]Categorizations!A$1:C$1048576,2,FALSE())</f>
        <v>Aspergillus</v>
      </c>
      <c r="S49" s="1" t="str">
        <f aca="false">VLOOKUP(P49,[1]Categorizations!A$1:C$1048576,3,FALSE())</f>
        <v>Microbial Contamination</v>
      </c>
    </row>
    <row r="50" customFormat="false" ht="15.75" hidden="false" customHeight="false" outlineLevel="0" collapsed="false">
      <c r="A50" s="1" t="s">
        <v>173</v>
      </c>
      <c r="C50" s="5" t="n">
        <v>44918</v>
      </c>
      <c r="D50" s="1" t="s">
        <v>157</v>
      </c>
      <c r="E50" s="6" t="s">
        <v>164</v>
      </c>
      <c r="F50" s="1"/>
      <c r="G50" s="1" t="s">
        <v>38</v>
      </c>
      <c r="H50" s="1" t="s">
        <v>174</v>
      </c>
      <c r="I50" s="1" t="s">
        <v>175</v>
      </c>
      <c r="J50" s="1" t="s">
        <v>175</v>
      </c>
      <c r="K50" s="1"/>
      <c r="L50" s="1"/>
      <c r="M50" s="1" t="s">
        <v>26</v>
      </c>
      <c r="N50" s="4"/>
      <c r="O50" s="4"/>
      <c r="P50" s="1" t="s">
        <v>176</v>
      </c>
      <c r="Q50" s="1" t="s">
        <v>35</v>
      </c>
      <c r="R50" s="1" t="str">
        <f aca="false">VLOOKUP(P50,[1]Categorizations!A$1:C$1048576,2,FALSE())</f>
        <v>Packaging</v>
      </c>
      <c r="S50" s="1" t="str">
        <f aca="false">VLOOKUP(P50,[1]Categorizations!A$1:C$1048576,3,FALSE())</f>
        <v>Packaging</v>
      </c>
    </row>
    <row r="51" customFormat="false" ht="15.75" hidden="false" customHeight="false" outlineLevel="0" collapsed="false">
      <c r="A51" s="1" t="s">
        <v>177</v>
      </c>
      <c r="C51" s="5" t="n">
        <v>45065</v>
      </c>
      <c r="D51" s="1" t="s">
        <v>157</v>
      </c>
      <c r="E51" s="6" t="s">
        <v>164</v>
      </c>
      <c r="F51" s="1"/>
      <c r="G51" s="1" t="s">
        <v>38</v>
      </c>
      <c r="H51" s="1" t="s">
        <v>174</v>
      </c>
      <c r="I51" s="1" t="s">
        <v>178</v>
      </c>
      <c r="J51" s="1" t="s">
        <v>178</v>
      </c>
      <c r="K51" s="1"/>
      <c r="L51" s="1"/>
      <c r="M51" s="1" t="s">
        <v>26</v>
      </c>
      <c r="N51" s="4"/>
      <c r="O51" s="4"/>
      <c r="P51" s="1" t="s">
        <v>179</v>
      </c>
      <c r="Q51" s="1" t="s">
        <v>35</v>
      </c>
      <c r="R51" s="1" t="str">
        <f aca="false">VLOOKUP(P51,[1]Categorizations!A$1:C$1048576,2,FALSE())</f>
        <v>Packaging</v>
      </c>
      <c r="S51" s="1" t="str">
        <f aca="false">VLOOKUP(P51,[1]Categorizations!A$1:C$1048576,3,FALSE())</f>
        <v>Packaging</v>
      </c>
    </row>
    <row r="52" customFormat="false" ht="15.75" hidden="false" customHeight="false" outlineLevel="0" collapsed="false">
      <c r="A52" s="1" t="s">
        <v>180</v>
      </c>
      <c r="C52" s="5" t="n">
        <v>45121</v>
      </c>
      <c r="D52" s="1" t="s">
        <v>157</v>
      </c>
      <c r="E52" s="6" t="s">
        <v>181</v>
      </c>
      <c r="F52" s="1"/>
      <c r="G52" s="1" t="s">
        <v>38</v>
      </c>
      <c r="H52" s="1" t="s">
        <v>182</v>
      </c>
      <c r="I52" s="1" t="s">
        <v>183</v>
      </c>
      <c r="J52" s="1" t="s">
        <v>183</v>
      </c>
      <c r="K52" s="1"/>
      <c r="L52" s="1"/>
      <c r="M52" s="1" t="s">
        <v>103</v>
      </c>
      <c r="N52" s="4" t="n">
        <v>45051</v>
      </c>
      <c r="O52" s="4"/>
      <c r="P52" s="1" t="s">
        <v>184</v>
      </c>
      <c r="Q52" s="1" t="s">
        <v>35</v>
      </c>
      <c r="R52" s="1" t="str">
        <f aca="false">VLOOKUP(P52,[1]Categorizations!A$1:C$1048576,2,FALSE())</f>
        <v>Mislabeled</v>
      </c>
      <c r="S52" s="1" t="str">
        <f aca="false">VLOOKUP(P52,[1]Categorizations!A$1:C$1048576,3,FALSE())</f>
        <v>Mislabeled</v>
      </c>
    </row>
    <row r="53" customFormat="false" ht="15.75" hidden="false" customHeight="false" outlineLevel="0" collapsed="false">
      <c r="A53" s="1" t="s">
        <v>180</v>
      </c>
      <c r="C53" s="5" t="n">
        <v>45250</v>
      </c>
      <c r="D53" s="1" t="s">
        <v>157</v>
      </c>
      <c r="E53" s="6" t="s">
        <v>185</v>
      </c>
      <c r="F53" s="1"/>
      <c r="G53" s="1" t="s">
        <v>38</v>
      </c>
      <c r="H53" s="1" t="s">
        <v>186</v>
      </c>
      <c r="I53" s="1" t="s">
        <v>187</v>
      </c>
      <c r="J53" s="1" t="s">
        <v>187</v>
      </c>
      <c r="M53" s="1" t="s">
        <v>103</v>
      </c>
      <c r="N53" s="4" t="n">
        <v>45057</v>
      </c>
      <c r="O53" s="4"/>
      <c r="P53" s="1" t="s">
        <v>188</v>
      </c>
      <c r="Q53" s="1" t="s">
        <v>35</v>
      </c>
      <c r="R53" s="1" t="str">
        <f aca="false">VLOOKUP(P53,[1]Categorizations!A$1:C$1048576,2,FALSE())</f>
        <v>Inaccurate THC</v>
      </c>
      <c r="S53" s="1" t="str">
        <f aca="false">VLOOKUP(P53,[1]Categorizations!A$1:C$1048576,3,FALSE())</f>
        <v>Inaccurate THC</v>
      </c>
    </row>
    <row r="54" customFormat="false" ht="15.75" hidden="false" customHeight="false" outlineLevel="0" collapsed="false">
      <c r="A54" s="1" t="str">
        <f aca="false">CONCATENATE(C54,D54,J54)</f>
        <v>45267CaliforniaGrizzly Peak Farms, LLC </v>
      </c>
      <c r="C54" s="5" t="n">
        <v>45267</v>
      </c>
      <c r="D54" s="1" t="s">
        <v>157</v>
      </c>
      <c r="E54" s="6" t="s">
        <v>189</v>
      </c>
      <c r="F54" s="1"/>
      <c r="G54" s="1" t="s">
        <v>38</v>
      </c>
      <c r="H54" s="1" t="s">
        <v>39</v>
      </c>
      <c r="I54" s="1" t="s">
        <v>190</v>
      </c>
      <c r="J54" s="1" t="s">
        <v>190</v>
      </c>
      <c r="M54" s="1" t="s">
        <v>103</v>
      </c>
      <c r="N54" s="4" t="n">
        <v>45184</v>
      </c>
      <c r="O54" s="4"/>
      <c r="P54" s="1" t="s">
        <v>191</v>
      </c>
      <c r="Q54" s="1" t="s">
        <v>35</v>
      </c>
      <c r="R54" s="1" t="str">
        <f aca="false">VLOOKUP(P54,[1]Categorizations!A$1:C$1048576,2,FALSE())</f>
        <v>Pesticides</v>
      </c>
      <c r="S54" s="1" t="str">
        <f aca="false">VLOOKUP(P54,[1]Categorizations!A$1:C$1048576,3,FALSE())</f>
        <v>Pesticides</v>
      </c>
    </row>
    <row r="55" customFormat="false" ht="15.75" hidden="false" customHeight="false" outlineLevel="0" collapsed="false">
      <c r="A55" s="1" t="str">
        <f aca="false">CONCATENATE(C55,D55,J55)</f>
        <v>45301CaliforniaEchsen Industries, LLC</v>
      </c>
      <c r="C55" s="5" t="n">
        <v>45301</v>
      </c>
      <c r="D55" s="1" t="s">
        <v>157</v>
      </c>
      <c r="E55" s="6" t="s">
        <v>192</v>
      </c>
      <c r="F55" s="1"/>
      <c r="G55" s="1" t="s">
        <v>38</v>
      </c>
      <c r="H55" s="1" t="s">
        <v>193</v>
      </c>
      <c r="I55" s="1" t="s">
        <v>194</v>
      </c>
      <c r="J55" s="1" t="s">
        <v>194</v>
      </c>
      <c r="M55" s="1" t="s">
        <v>103</v>
      </c>
      <c r="N55" s="4" t="n">
        <v>45105</v>
      </c>
      <c r="O55" s="4" t="n">
        <v>45124</v>
      </c>
      <c r="P55" s="1" t="s">
        <v>195</v>
      </c>
      <c r="Q55" s="1" t="s">
        <v>35</v>
      </c>
      <c r="R55" s="1" t="str">
        <f aca="false">VLOOKUP(P55,[1]Categorizations!A$1:C$1048576,2,FALSE())</f>
        <v>Pesticides</v>
      </c>
      <c r="S55" s="1" t="str">
        <f aca="false">VLOOKUP(P55,[1]Categorizations!A$1:C$1048576,3,FALSE())</f>
        <v>Pesticides</v>
      </c>
    </row>
    <row r="56" customFormat="false" ht="15.75" hidden="false" customHeight="false" outlineLevel="0" collapsed="false">
      <c r="A56" s="1" t="str">
        <f aca="false">CONCATENATE(C56,D56,J56)</f>
        <v>45301CaliforniaUrban Therapies Distribution, LLC</v>
      </c>
      <c r="C56" s="5" t="n">
        <v>45301</v>
      </c>
      <c r="D56" s="1" t="s">
        <v>157</v>
      </c>
      <c r="E56" s="6" t="s">
        <v>196</v>
      </c>
      <c r="F56" s="1"/>
      <c r="G56" s="1" t="s">
        <v>22</v>
      </c>
      <c r="H56" s="1" t="s">
        <v>39</v>
      </c>
      <c r="I56" s="1" t="s">
        <v>197</v>
      </c>
      <c r="J56" s="1" t="s">
        <v>197</v>
      </c>
      <c r="M56" s="1" t="s">
        <v>103</v>
      </c>
      <c r="N56" s="4" t="n">
        <v>45119</v>
      </c>
      <c r="O56" s="4"/>
      <c r="P56" s="1" t="s">
        <v>198</v>
      </c>
      <c r="Q56" s="1" t="s">
        <v>35</v>
      </c>
      <c r="R56" s="1" t="str">
        <f aca="false">VLOOKUP(P56,[1]Categorizations!A$1:C$1048576,2,FALSE())</f>
        <v>Aspergillus</v>
      </c>
      <c r="S56" s="1" t="str">
        <f aca="false">VLOOKUP(P56,[1]Categorizations!A$1:C$1048576,3,FALSE())</f>
        <v>Microbial Contamination</v>
      </c>
    </row>
    <row r="57" customFormat="false" ht="15.75" hidden="false" customHeight="false" outlineLevel="0" collapsed="false">
      <c r="A57" s="1" t="str">
        <f aca="false">CONCATENATE(C57,D57,J57)</f>
        <v>45337California90nine Bridge Co Holdings, LLC</v>
      </c>
      <c r="C57" s="5" t="n">
        <v>45337</v>
      </c>
      <c r="D57" s="1" t="s">
        <v>157</v>
      </c>
      <c r="E57" s="6" t="s">
        <v>199</v>
      </c>
      <c r="F57" s="1"/>
      <c r="G57" s="1" t="s">
        <v>22</v>
      </c>
      <c r="H57" s="1" t="s">
        <v>200</v>
      </c>
      <c r="I57" s="1" t="s">
        <v>201</v>
      </c>
      <c r="J57" s="1" t="s">
        <v>201</v>
      </c>
      <c r="M57" s="1" t="s">
        <v>103</v>
      </c>
      <c r="N57" s="4"/>
      <c r="O57" s="4"/>
      <c r="P57" s="1" t="s">
        <v>169</v>
      </c>
      <c r="Q57" s="1" t="s">
        <v>35</v>
      </c>
      <c r="R57" s="1" t="str">
        <f aca="false">VLOOKUP(P57,[1]Categorizations!A$1:C$1048576,2,FALSE())</f>
        <v>Prohibited Additives / Product</v>
      </c>
      <c r="S57" s="1" t="str">
        <f aca="false">VLOOKUP(P57,[1]Categorizations!A$1:C$1048576,3,FALSE())</f>
        <v>Prohibited Additives / Product</v>
      </c>
    </row>
    <row r="58" customFormat="false" ht="15.75" hidden="false" customHeight="false" outlineLevel="0" collapsed="false">
      <c r="A58" s="1" t="str">
        <f aca="false">CONCATENATE(C58,D58,J58)</f>
        <v>45343CaliforniaKind Op Corp</v>
      </c>
      <c r="C58" s="5" t="n">
        <v>45343</v>
      </c>
      <c r="D58" s="1" t="s">
        <v>157</v>
      </c>
      <c r="E58" s="6" t="s">
        <v>202</v>
      </c>
      <c r="F58" s="1"/>
      <c r="G58" s="1" t="s">
        <v>22</v>
      </c>
      <c r="H58" s="1" t="s">
        <v>39</v>
      </c>
      <c r="I58" s="1" t="s">
        <v>203</v>
      </c>
      <c r="J58" s="1" t="s">
        <v>203</v>
      </c>
      <c r="M58" s="1" t="s">
        <v>103</v>
      </c>
      <c r="N58" s="4" t="n">
        <v>45219</v>
      </c>
      <c r="O58" s="4" t="n">
        <v>45232</v>
      </c>
      <c r="P58" s="1" t="s">
        <v>204</v>
      </c>
      <c r="Q58" s="1" t="s">
        <v>35</v>
      </c>
      <c r="R58" s="1" t="str">
        <f aca="false">VLOOKUP(P58,[1]Categorizations!A$1:C$1048576,2,FALSE())</f>
        <v>Aspergillus</v>
      </c>
      <c r="S58" s="1" t="str">
        <f aca="false">VLOOKUP(P58,[1]Categorizations!A$1:C$1048576,3,FALSE())</f>
        <v>Microbial Contamination</v>
      </c>
    </row>
    <row r="59" customFormat="false" ht="15.75" hidden="false" customHeight="false" outlineLevel="0" collapsed="false">
      <c r="A59" s="1" t="str">
        <f aca="false">CONCATENATE(C59,D59,J59)</f>
        <v>45343CaliforniaCypress Cannabis </v>
      </c>
      <c r="C59" s="5" t="n">
        <v>45343</v>
      </c>
      <c r="D59" s="1" t="s">
        <v>157</v>
      </c>
      <c r="E59" s="6" t="s">
        <v>205</v>
      </c>
      <c r="F59" s="1"/>
      <c r="G59" s="1" t="s">
        <v>22</v>
      </c>
      <c r="H59" s="1" t="s">
        <v>39</v>
      </c>
      <c r="I59" s="1" t="s">
        <v>206</v>
      </c>
      <c r="J59" s="1" t="s">
        <v>206</v>
      </c>
      <c r="M59" s="1" t="s">
        <v>103</v>
      </c>
      <c r="N59" s="4"/>
      <c r="O59" s="4" t="n">
        <v>45224</v>
      </c>
      <c r="P59" s="1" t="s">
        <v>204</v>
      </c>
      <c r="Q59" s="1" t="s">
        <v>35</v>
      </c>
      <c r="R59" s="1" t="str">
        <f aca="false">VLOOKUP(P59,[1]Categorizations!A$1:C$1048576,2,FALSE())</f>
        <v>Aspergillus</v>
      </c>
      <c r="S59" s="1" t="str">
        <f aca="false">VLOOKUP(P59,[1]Categorizations!A$1:C$1048576,3,FALSE())</f>
        <v>Microbial Contamination</v>
      </c>
    </row>
    <row r="60" customFormat="false" ht="15.75" hidden="false" customHeight="false" outlineLevel="0" collapsed="false">
      <c r="A60" s="1" t="str">
        <f aca="false">CONCATENATE(C60,D60,J60)</f>
        <v>45352CaliforniaGrizzly Peak Farms, LLC</v>
      </c>
      <c r="C60" s="5" t="n">
        <v>45352</v>
      </c>
      <c r="D60" s="1" t="s">
        <v>157</v>
      </c>
      <c r="E60" s="6" t="s">
        <v>207</v>
      </c>
      <c r="F60" s="1"/>
      <c r="G60" s="1" t="s">
        <v>22</v>
      </c>
      <c r="H60" s="1" t="s">
        <v>39</v>
      </c>
      <c r="I60" s="1" t="s">
        <v>208</v>
      </c>
      <c r="J60" s="1" t="s">
        <v>208</v>
      </c>
      <c r="M60" s="1" t="s">
        <v>103</v>
      </c>
      <c r="N60" s="4"/>
      <c r="O60" s="4" t="n">
        <v>45205</v>
      </c>
      <c r="P60" s="1" t="s">
        <v>204</v>
      </c>
      <c r="Q60" s="1" t="s">
        <v>35</v>
      </c>
      <c r="R60" s="1" t="str">
        <f aca="false">VLOOKUP(P60,[1]Categorizations!A$1:C$1048576,2,FALSE())</f>
        <v>Aspergillus</v>
      </c>
      <c r="S60" s="1" t="str">
        <f aca="false">VLOOKUP(P60,[1]Categorizations!A$1:C$1048576,3,FALSE())</f>
        <v>Microbial Contamination</v>
      </c>
    </row>
    <row r="61" customFormat="false" ht="15.75" hidden="false" customHeight="false" outlineLevel="0" collapsed="false">
      <c r="A61" s="1" t="str">
        <f aca="false">CONCATENATE(C61,D61,J61)</f>
        <v>45355CaliforniaDGU, LLC</v>
      </c>
      <c r="C61" s="5" t="n">
        <v>45355</v>
      </c>
      <c r="D61" s="1" t="s">
        <v>157</v>
      </c>
      <c r="E61" s="6" t="s">
        <v>209</v>
      </c>
      <c r="F61" s="1"/>
      <c r="G61" s="1" t="s">
        <v>38</v>
      </c>
      <c r="H61" s="1" t="s">
        <v>210</v>
      </c>
      <c r="I61" s="1" t="s">
        <v>211</v>
      </c>
      <c r="J61" s="1" t="s">
        <v>211</v>
      </c>
      <c r="M61" s="1" t="s">
        <v>103</v>
      </c>
      <c r="N61" s="4"/>
      <c r="O61" s="4" t="n">
        <v>45047</v>
      </c>
      <c r="P61" s="1" t="s">
        <v>212</v>
      </c>
      <c r="Q61" s="1" t="s">
        <v>35</v>
      </c>
      <c r="R61" s="1" t="str">
        <f aca="false">VLOOKUP(P61,[1]Categorizations!A$1:C$1048576,2,FALSE())</f>
        <v>Mislabeled</v>
      </c>
      <c r="S61" s="1" t="str">
        <f aca="false">VLOOKUP(P61,[1]Categorizations!A$1:C$1048576,3,FALSE())</f>
        <v>Mislabeled</v>
      </c>
    </row>
    <row r="62" customFormat="false" ht="15.75" hidden="false" customHeight="false" outlineLevel="0" collapsed="false">
      <c r="A62" s="1" t="str">
        <f aca="false">CONCATENATE(C62,D62,J62)</f>
        <v>45362CaliforniaDiscount Caregivers</v>
      </c>
      <c r="C62" s="5" t="n">
        <v>45362</v>
      </c>
      <c r="D62" s="1" t="s">
        <v>157</v>
      </c>
      <c r="E62" s="6" t="s">
        <v>213</v>
      </c>
      <c r="F62" s="1"/>
      <c r="G62" s="1" t="s">
        <v>22</v>
      </c>
      <c r="H62" s="1" t="s">
        <v>39</v>
      </c>
      <c r="I62" s="1" t="s">
        <v>214</v>
      </c>
      <c r="J62" s="1" t="s">
        <v>214</v>
      </c>
      <c r="M62" s="1" t="s">
        <v>103</v>
      </c>
      <c r="N62" s="4" t="n">
        <v>45204</v>
      </c>
      <c r="O62" s="4" t="n">
        <v>45204</v>
      </c>
      <c r="P62" s="1" t="s">
        <v>215</v>
      </c>
      <c r="Q62" s="1" t="s">
        <v>35</v>
      </c>
      <c r="R62" s="1" t="str">
        <f aca="false">VLOOKUP(P62,[1]Categorizations!A$1:C$1048576,2,FALSE())</f>
        <v>Aspergillus</v>
      </c>
      <c r="S62" s="1" t="str">
        <f aca="false">VLOOKUP(P62,[1]Categorizations!A$1:C$1048576,3,FALSE())</f>
        <v>Microbial Contamination</v>
      </c>
    </row>
    <row r="63" customFormat="false" ht="15.75" hidden="false" customHeight="false" outlineLevel="0" collapsed="false">
      <c r="A63" s="1" t="str">
        <f aca="false">CONCATENATE(C63,D63,J63)</f>
        <v>45362CaliforniaJC Rad Inc. </v>
      </c>
      <c r="C63" s="5" t="n">
        <v>45362</v>
      </c>
      <c r="D63" s="1" t="s">
        <v>157</v>
      </c>
      <c r="E63" s="6" t="s">
        <v>216</v>
      </c>
      <c r="F63" s="1"/>
      <c r="G63" s="1" t="s">
        <v>22</v>
      </c>
      <c r="H63" s="1" t="s">
        <v>39</v>
      </c>
      <c r="I63" s="1" t="s">
        <v>217</v>
      </c>
      <c r="J63" s="1" t="s">
        <v>217</v>
      </c>
      <c r="M63" s="1" t="s">
        <v>103</v>
      </c>
      <c r="N63" s="4" t="n">
        <v>45199</v>
      </c>
      <c r="O63" s="4" t="n">
        <v>45199</v>
      </c>
      <c r="P63" s="1" t="s">
        <v>218</v>
      </c>
      <c r="Q63" s="1" t="s">
        <v>35</v>
      </c>
      <c r="R63" s="1" t="str">
        <f aca="false">VLOOKUP(P63,[1]Categorizations!A$1:C$1048576,2,FALSE())</f>
        <v>Aspergillus</v>
      </c>
      <c r="S63" s="1" t="str">
        <f aca="false">VLOOKUP(P63,[1]Categorizations!A$1:C$1048576,3,FALSE())</f>
        <v>Mislabeled</v>
      </c>
    </row>
    <row r="64" customFormat="false" ht="15.75" hidden="false" customHeight="false" outlineLevel="0" collapsed="false">
      <c r="A64" s="1" t="str">
        <f aca="false">CONCATENATE(C64,D64,J64)</f>
        <v>45371CaliforniaMammoth Distribution, Heavy Hitters, CA Manufacturing Co-op</v>
      </c>
      <c r="C64" s="5" t="n">
        <v>45371</v>
      </c>
      <c r="D64" s="1" t="s">
        <v>157</v>
      </c>
      <c r="E64" s="6" t="s">
        <v>219</v>
      </c>
      <c r="F64" s="1"/>
      <c r="G64" s="1" t="s">
        <v>22</v>
      </c>
      <c r="H64" s="1" t="s">
        <v>55</v>
      </c>
      <c r="I64" s="1" t="s">
        <v>220</v>
      </c>
      <c r="J64" s="1" t="s">
        <v>220</v>
      </c>
      <c r="M64" s="1" t="s">
        <v>103</v>
      </c>
      <c r="N64" s="4" t="n">
        <v>45288</v>
      </c>
      <c r="O64" s="4" t="n">
        <v>45288</v>
      </c>
      <c r="P64" s="1" t="s">
        <v>218</v>
      </c>
      <c r="Q64" s="1" t="s">
        <v>35</v>
      </c>
      <c r="R64" s="1" t="str">
        <f aca="false">VLOOKUP(P64,[1]Categorizations!A$1:C$1048576,2,FALSE())</f>
        <v>Aspergillus</v>
      </c>
      <c r="S64" s="1" t="str">
        <f aca="false">VLOOKUP(P64,[1]Categorizations!A$1:C$1048576,3,FALSE())</f>
        <v>Mislabeled</v>
      </c>
    </row>
    <row r="65" customFormat="false" ht="15.75" hidden="false" customHeight="false" outlineLevel="0" collapsed="false">
      <c r="A65" s="1" t="str">
        <f aca="false">CONCATENATE(C65,D65,J65)</f>
        <v>45376CaliforniaUPNORTH Distribution </v>
      </c>
      <c r="C65" s="5" t="n">
        <v>45376</v>
      </c>
      <c r="D65" s="1" t="s">
        <v>157</v>
      </c>
      <c r="E65" s="6" t="s">
        <v>221</v>
      </c>
      <c r="F65" s="1"/>
      <c r="G65" s="1" t="s">
        <v>22</v>
      </c>
      <c r="H65" s="1" t="s">
        <v>39</v>
      </c>
      <c r="I65" s="1" t="s">
        <v>222</v>
      </c>
      <c r="J65" s="1" t="s">
        <v>222</v>
      </c>
      <c r="M65" s="1" t="s">
        <v>103</v>
      </c>
      <c r="N65" s="4" t="n">
        <v>45184</v>
      </c>
      <c r="O65" s="4" t="n">
        <v>45184</v>
      </c>
      <c r="P65" s="1" t="s">
        <v>223</v>
      </c>
      <c r="Q65" s="1" t="s">
        <v>35</v>
      </c>
      <c r="R65" s="1" t="str">
        <f aca="false">VLOOKUP(P65,[1]Categorizations!A$1:C$1048576,2,FALSE())</f>
        <v>Aspergillus</v>
      </c>
      <c r="S65" s="1" t="str">
        <f aca="false">VLOOKUP(P65,[1]Categorizations!A$1:C$1048576,3,FALSE())</f>
        <v>Microbial Contamination</v>
      </c>
    </row>
    <row r="66" customFormat="false" ht="15.75" hidden="false" customHeight="false" outlineLevel="0" collapsed="false">
      <c r="A66" s="1" t="str">
        <f aca="false">CONCATENATE(C66,D66,J66)</f>
        <v>45380CaliforniaMalibu Gold, LLC</v>
      </c>
      <c r="C66" s="5" t="n">
        <v>45380</v>
      </c>
      <c r="D66" s="1" t="s">
        <v>157</v>
      </c>
      <c r="E66" s="6" t="s">
        <v>224</v>
      </c>
      <c r="F66" s="1"/>
      <c r="G66" s="1" t="s">
        <v>38</v>
      </c>
      <c r="H66" s="1" t="s">
        <v>39</v>
      </c>
      <c r="I66" s="1" t="s">
        <v>225</v>
      </c>
      <c r="J66" s="1" t="s">
        <v>225</v>
      </c>
      <c r="M66" s="1" t="s">
        <v>103</v>
      </c>
      <c r="N66" s="4" t="n">
        <v>45131</v>
      </c>
      <c r="O66" s="4" t="n">
        <v>45131</v>
      </c>
      <c r="P66" s="1" t="s">
        <v>226</v>
      </c>
      <c r="Q66" s="1" t="s">
        <v>35</v>
      </c>
      <c r="R66" s="1" t="str">
        <f aca="false">VLOOKUP(P66,[1]Categorizations!A$1:C$1048576,2,FALSE())</f>
        <v>Inaccurate THC</v>
      </c>
      <c r="S66" s="1" t="str">
        <f aca="false">VLOOKUP(P66,[1]Categorizations!A$1:C$1048576,3,FALSE())</f>
        <v>Inaccurate THC</v>
      </c>
    </row>
    <row r="67" customFormat="false" ht="15.75" hidden="false" customHeight="false" outlineLevel="0" collapsed="false">
      <c r="A67" s="1" t="str">
        <f aca="false">CONCATENATE(C67,D67,J67)</f>
        <v>45391CaliforniaNorthern Emeralds </v>
      </c>
      <c r="C67" s="5" t="n">
        <v>45391</v>
      </c>
      <c r="D67" s="1" t="s">
        <v>157</v>
      </c>
      <c r="E67" s="6" t="s">
        <v>227</v>
      </c>
      <c r="F67" s="1"/>
      <c r="G67" s="1" t="s">
        <v>22</v>
      </c>
      <c r="H67" s="1" t="s">
        <v>39</v>
      </c>
      <c r="I67" s="1" t="s">
        <v>228</v>
      </c>
      <c r="J67" s="1" t="s">
        <v>228</v>
      </c>
      <c r="M67" s="1" t="s">
        <v>103</v>
      </c>
      <c r="N67" s="4" t="n">
        <v>45162</v>
      </c>
      <c r="O67" s="4" t="n">
        <v>45162</v>
      </c>
      <c r="P67" s="1" t="s">
        <v>204</v>
      </c>
      <c r="Q67" s="1" t="s">
        <v>35</v>
      </c>
      <c r="R67" s="1" t="str">
        <f aca="false">VLOOKUP(P67,[1]Categorizations!A$1:C$1048576,2,FALSE())</f>
        <v>Aspergillus</v>
      </c>
      <c r="S67" s="1" t="str">
        <f aca="false">VLOOKUP(P67,[1]Categorizations!A$1:C$1048576,3,FALSE())</f>
        <v>Microbial Contamination</v>
      </c>
    </row>
    <row r="68" customFormat="false" ht="15.75" hidden="false" customHeight="false" outlineLevel="0" collapsed="false">
      <c r="A68" s="1" t="str">
        <f aca="false">CONCATENATE(C68,D68,J68)</f>
        <v>45401CaliforniaUrbina, Inc</v>
      </c>
      <c r="C68" s="5" t="n">
        <v>45401</v>
      </c>
      <c r="D68" s="1" t="s">
        <v>157</v>
      </c>
      <c r="E68" s="6" t="s">
        <v>229</v>
      </c>
      <c r="F68" s="1"/>
      <c r="G68" s="1" t="s">
        <v>22</v>
      </c>
      <c r="H68" s="1" t="s">
        <v>55</v>
      </c>
      <c r="I68" s="1" t="s">
        <v>230</v>
      </c>
      <c r="J68" s="1" t="s">
        <v>230</v>
      </c>
      <c r="M68" s="1" t="s">
        <v>103</v>
      </c>
      <c r="N68" s="4" t="n">
        <v>45191</v>
      </c>
      <c r="O68" s="4" t="n">
        <v>45191</v>
      </c>
      <c r="P68" s="1" t="s">
        <v>231</v>
      </c>
      <c r="Q68" s="1" t="s">
        <v>35</v>
      </c>
      <c r="R68" s="1" t="str">
        <f aca="false">VLOOKUP(P68,[1]Categorizations!A$1:C$1048576,2,FALSE())</f>
        <v>Multiple (Aspergillus, THC Inflation)</v>
      </c>
      <c r="S68" s="1" t="str">
        <f aca="false">VLOOKUP(P68,[1]Categorizations!A$1:C$1048576,3,FALSE())</f>
        <v>Multiple</v>
      </c>
    </row>
    <row r="69" customFormat="false" ht="15.75" hidden="false" customHeight="false" outlineLevel="0" collapsed="false">
      <c r="A69" s="1" t="str">
        <f aca="false">CONCATENATE(C69,D69,J69)</f>
        <v>45407CaliforniaSnap Distro SV</v>
      </c>
      <c r="C69" s="5" t="n">
        <v>45407</v>
      </c>
      <c r="D69" s="1" t="s">
        <v>157</v>
      </c>
      <c r="E69" s="6" t="s">
        <v>232</v>
      </c>
      <c r="F69" s="1"/>
      <c r="G69" s="1" t="s">
        <v>22</v>
      </c>
      <c r="H69" s="1" t="s">
        <v>55</v>
      </c>
      <c r="I69" s="1" t="s">
        <v>233</v>
      </c>
      <c r="J69" s="1" t="s">
        <v>233</v>
      </c>
      <c r="M69" s="1" t="s">
        <v>103</v>
      </c>
      <c r="N69" s="4" t="n">
        <v>45222</v>
      </c>
      <c r="O69" s="4" t="n">
        <v>45222</v>
      </c>
      <c r="P69" s="1" t="s">
        <v>231</v>
      </c>
      <c r="Q69" s="1" t="s">
        <v>35</v>
      </c>
      <c r="R69" s="1" t="str">
        <f aca="false">VLOOKUP(P69,[1]Categorizations!A$1:C$1048576,2,FALSE())</f>
        <v>Multiple (Aspergillus, THC Inflation)</v>
      </c>
      <c r="S69" s="1" t="str">
        <f aca="false">VLOOKUP(P69,[1]Categorizations!A$1:C$1048576,3,FALSE())</f>
        <v>Multiple</v>
      </c>
    </row>
    <row r="70" customFormat="false" ht="15.75" hidden="false" customHeight="false" outlineLevel="0" collapsed="false">
      <c r="A70" s="1" t="str">
        <f aca="false">CONCATENATE(C70,D70,J70)</f>
        <v>45418CaliforniaTBP Indoor Facilities, Inc. </v>
      </c>
      <c r="C70" s="5" t="n">
        <v>45418</v>
      </c>
      <c r="D70" s="1" t="s">
        <v>157</v>
      </c>
      <c r="E70" s="6" t="s">
        <v>234</v>
      </c>
      <c r="F70" s="1"/>
      <c r="G70" s="1" t="s">
        <v>22</v>
      </c>
      <c r="H70" s="1" t="s">
        <v>55</v>
      </c>
      <c r="I70" s="1" t="s">
        <v>235</v>
      </c>
      <c r="J70" s="1" t="s">
        <v>235</v>
      </c>
      <c r="M70" s="1" t="s">
        <v>103</v>
      </c>
      <c r="N70" s="4"/>
      <c r="O70" s="4" t="n">
        <v>45244</v>
      </c>
      <c r="P70" s="1" t="s">
        <v>236</v>
      </c>
      <c r="Q70" s="1" t="s">
        <v>35</v>
      </c>
      <c r="R70" s="1" t="str">
        <f aca="false">VLOOKUP(P70,[1]Categorizations!A$1:C$1048576,2,FALSE())</f>
        <v>Multiple (Aspergillus, THC Inflation)</v>
      </c>
      <c r="S70" s="1" t="str">
        <f aca="false">VLOOKUP(P70,[1]Categorizations!A$1:C$1048576,3,FALSE())</f>
        <v>Multiple</v>
      </c>
    </row>
    <row r="71" customFormat="false" ht="15.75" hidden="false" customHeight="false" outlineLevel="0" collapsed="false">
      <c r="A71" s="1" t="str">
        <f aca="false">CONCATENATE(C71,D71,J71)</f>
        <v>45421CaliforniaJDI Farms </v>
      </c>
      <c r="C71" s="5" t="n">
        <v>45421</v>
      </c>
      <c r="D71" s="1" t="s">
        <v>157</v>
      </c>
      <c r="E71" s="6" t="s">
        <v>237</v>
      </c>
      <c r="F71" s="1"/>
      <c r="G71" s="1" t="s">
        <v>38</v>
      </c>
      <c r="H71" s="1" t="s">
        <v>39</v>
      </c>
      <c r="I71" s="1" t="s">
        <v>238</v>
      </c>
      <c r="J71" s="1" t="s">
        <v>238</v>
      </c>
      <c r="M71" s="1" t="s">
        <v>103</v>
      </c>
      <c r="N71" s="4"/>
      <c r="O71" s="4" t="n">
        <v>45126</v>
      </c>
      <c r="P71" s="1" t="s">
        <v>239</v>
      </c>
      <c r="Q71" s="1" t="s">
        <v>35</v>
      </c>
      <c r="R71" s="1" t="str">
        <f aca="false">VLOOKUP(P71,[1]Categorizations!A$1:C$1048576,2,FALSE())</f>
        <v>Inaccurate THC</v>
      </c>
      <c r="S71" s="1" t="str">
        <f aca="false">VLOOKUP(P71,[1]Categorizations!A$1:C$1048576,3,FALSE())</f>
        <v>Inaccurate THC</v>
      </c>
    </row>
    <row r="72" customFormat="false" ht="15.75" hidden="false" customHeight="false" outlineLevel="0" collapsed="false">
      <c r="A72" s="1" t="str">
        <f aca="false">CONCATENATE(C72,D72,J72)</f>
        <v>45429CaliforniaCrafted Canopy Co. LLC</v>
      </c>
      <c r="C72" s="5" t="n">
        <v>45429</v>
      </c>
      <c r="D72" s="1" t="s">
        <v>157</v>
      </c>
      <c r="E72" s="6" t="s">
        <v>240</v>
      </c>
      <c r="F72" s="1"/>
      <c r="G72" s="1" t="s">
        <v>22</v>
      </c>
      <c r="H72" s="1" t="s">
        <v>39</v>
      </c>
      <c r="I72" s="1" t="s">
        <v>241</v>
      </c>
      <c r="J72" s="1" t="s">
        <v>241</v>
      </c>
      <c r="M72" s="1" t="s">
        <v>103</v>
      </c>
      <c r="N72" s="4"/>
      <c r="O72" s="4" t="n">
        <v>45160</v>
      </c>
      <c r="P72" s="1" t="s">
        <v>242</v>
      </c>
      <c r="Q72" s="1" t="s">
        <v>35</v>
      </c>
      <c r="R72" s="1" t="str">
        <f aca="false">VLOOKUP(P72,[1]Categorizations!A$1:C$1048576,2,FALSE())</f>
        <v>Multiple (Aspergillus, THC Inflation)</v>
      </c>
      <c r="S72" s="1" t="str">
        <f aca="false">VLOOKUP(P72,[1]Categorizations!A$1:C$1048576,3,FALSE())</f>
        <v>Multiple</v>
      </c>
    </row>
    <row r="73" customFormat="false" ht="15.75" hidden="false" customHeight="false" outlineLevel="0" collapsed="false">
      <c r="A73" s="1" t="str">
        <f aca="false">CONCATENATE(C73,D73,J73)</f>
        <v>45436CaliforniaEpic Bros Enterprises, Inc.</v>
      </c>
      <c r="C73" s="5" t="n">
        <v>45436</v>
      </c>
      <c r="D73" s="1" t="s">
        <v>157</v>
      </c>
      <c r="E73" s="6" t="s">
        <v>243</v>
      </c>
      <c r="F73" s="1"/>
      <c r="G73" s="1" t="s">
        <v>38</v>
      </c>
      <c r="H73" s="1" t="s">
        <v>174</v>
      </c>
      <c r="I73" s="1" t="s">
        <v>244</v>
      </c>
      <c r="J73" s="1" t="s">
        <v>244</v>
      </c>
      <c r="M73" s="1" t="s">
        <v>103</v>
      </c>
      <c r="N73" s="4"/>
      <c r="O73" s="4" t="n">
        <v>45400</v>
      </c>
      <c r="P73" s="1" t="s">
        <v>245</v>
      </c>
      <c r="Q73" s="1" t="s">
        <v>35</v>
      </c>
      <c r="R73" s="1" t="str">
        <f aca="false">VLOOKUP(P73,[1]Categorizations!A$1:C$1048576,2,FALSE())</f>
        <v>Packaging</v>
      </c>
      <c r="S73" s="1" t="str">
        <f aca="false">VLOOKUP(P73,[1]Categorizations!A$1:C$1048576,3,FALSE())</f>
        <v>Packaging</v>
      </c>
    </row>
    <row r="74" customFormat="false" ht="15.75" hidden="false" customHeight="false" outlineLevel="0" collapsed="false">
      <c r="A74" s="1" t="str">
        <f aca="false">CONCATENATE(C74,D74,J74)</f>
        <v>45446CaliforniaPaet Real Estate LLC</v>
      </c>
      <c r="C74" s="5" t="n">
        <v>45446</v>
      </c>
      <c r="D74" s="1" t="s">
        <v>157</v>
      </c>
      <c r="E74" s="6" t="s">
        <v>246</v>
      </c>
      <c r="F74" s="1"/>
      <c r="G74" s="1" t="s">
        <v>22</v>
      </c>
      <c r="H74" s="1" t="s">
        <v>39</v>
      </c>
      <c r="I74" s="1" t="s">
        <v>247</v>
      </c>
      <c r="J74" s="1" t="s">
        <v>247</v>
      </c>
      <c r="K74" s="1"/>
      <c r="L74" s="1"/>
      <c r="M74" s="1" t="s">
        <v>103</v>
      </c>
      <c r="N74" s="4"/>
      <c r="O74" s="4" t="n">
        <v>45208</v>
      </c>
      <c r="P74" s="1" t="s">
        <v>248</v>
      </c>
      <c r="Q74" s="1" t="s">
        <v>35</v>
      </c>
      <c r="R74" s="1" t="str">
        <f aca="false">VLOOKUP(P74,[1]Categorizations!A$1:C$1048576,2,FALSE())</f>
        <v>Multiple (Aspergillus, THC Inflation)</v>
      </c>
      <c r="S74" s="1" t="str">
        <f aca="false">VLOOKUP(P74,[1]Categorizations!A$1:C$1048576,3,FALSE())</f>
        <v>Multiple</v>
      </c>
    </row>
    <row r="75" customFormat="false" ht="15.75" hidden="false" customHeight="false" outlineLevel="0" collapsed="false">
      <c r="A75" s="1" t="str">
        <f aca="false">CONCATENATE(C75,D75,J75)</f>
        <v>45455CaliforniaShield Management Group, LLC</v>
      </c>
      <c r="C75" s="5" t="n">
        <v>45455</v>
      </c>
      <c r="D75" s="1" t="s">
        <v>157</v>
      </c>
      <c r="E75" s="6" t="s">
        <v>249</v>
      </c>
      <c r="F75" s="1"/>
      <c r="G75" s="1" t="s">
        <v>38</v>
      </c>
      <c r="H75" s="1" t="s">
        <v>39</v>
      </c>
      <c r="I75" s="1" t="s">
        <v>250</v>
      </c>
      <c r="J75" s="1" t="s">
        <v>251</v>
      </c>
      <c r="M75" s="1" t="s">
        <v>103</v>
      </c>
      <c r="N75" s="4"/>
      <c r="O75" s="4" t="n">
        <v>45331</v>
      </c>
      <c r="P75" s="1" t="s">
        <v>252</v>
      </c>
      <c r="Q75" s="1" t="s">
        <v>35</v>
      </c>
      <c r="R75" s="1" t="str">
        <f aca="false">VLOOKUP(P75,[1]Categorizations!A$1:C$1048576,2,FALSE())</f>
        <v>Inaccurate THC</v>
      </c>
      <c r="S75" s="1" t="str">
        <f aca="false">VLOOKUP(P75,[1]Categorizations!A$1:C$1048576,3,FALSE())</f>
        <v>Inaccurate THC</v>
      </c>
    </row>
    <row r="76" customFormat="false" ht="15.75" hidden="false" customHeight="false" outlineLevel="0" collapsed="false">
      <c r="A76" s="1" t="str">
        <f aca="false">CONCATENATE(C76,D76,J76)</f>
        <v>45468CaliforniaAlkhemist DM LLC</v>
      </c>
      <c r="C76" s="5" t="n">
        <v>45468</v>
      </c>
      <c r="D76" s="1" t="s">
        <v>157</v>
      </c>
      <c r="E76" s="6" t="s">
        <v>253</v>
      </c>
      <c r="F76" s="1"/>
      <c r="G76" s="1" t="s">
        <v>22</v>
      </c>
      <c r="H76" s="1" t="s">
        <v>210</v>
      </c>
      <c r="I76" s="1" t="s">
        <v>254</v>
      </c>
      <c r="J76" s="1" t="s">
        <v>255</v>
      </c>
      <c r="M76" s="1" t="s">
        <v>103</v>
      </c>
      <c r="N76" s="4"/>
      <c r="O76" s="4" t="n">
        <v>45198</v>
      </c>
      <c r="P76" s="1" t="s">
        <v>256</v>
      </c>
      <c r="Q76" s="1" t="s">
        <v>35</v>
      </c>
      <c r="R76" s="1" t="str">
        <f aca="false">VLOOKUP(P76,[1]Categorizations!A$1:C$1048576,2,FALSE())</f>
        <v>Pesticides</v>
      </c>
      <c r="S76" s="1" t="str">
        <f aca="false">VLOOKUP(P76,[1]Categorizations!A$1:C$1048576,3,FALSE())</f>
        <v>Packaging</v>
      </c>
    </row>
    <row r="77" customFormat="false" ht="15.75" hidden="false" customHeight="false" outlineLevel="0" collapsed="false">
      <c r="A77" s="1" t="str">
        <f aca="false">CONCATENATE(C77,D77,J77)</f>
        <v>45475CaliforniaShield Management Group, LLC</v>
      </c>
      <c r="C77" s="5" t="n">
        <v>45475</v>
      </c>
      <c r="D77" s="1" t="s">
        <v>157</v>
      </c>
      <c r="E77" s="6" t="s">
        <v>257</v>
      </c>
      <c r="F77" s="1"/>
      <c r="G77" s="1" t="s">
        <v>22</v>
      </c>
      <c r="H77" s="1" t="s">
        <v>210</v>
      </c>
      <c r="I77" s="1" t="s">
        <v>258</v>
      </c>
      <c r="J77" s="1" t="s">
        <v>251</v>
      </c>
      <c r="M77" s="1" t="s">
        <v>103</v>
      </c>
      <c r="N77" s="4"/>
      <c r="O77" s="4" t="n">
        <v>45177</v>
      </c>
      <c r="P77" s="1" t="s">
        <v>256</v>
      </c>
      <c r="Q77" s="1" t="s">
        <v>35</v>
      </c>
      <c r="R77" s="1" t="str">
        <f aca="false">VLOOKUP(P77,[1]Categorizations!A$1:C$1048576,2,FALSE())</f>
        <v>Pesticides</v>
      </c>
      <c r="S77" s="1" t="str">
        <f aca="false">VLOOKUP(P77,[1]Categorizations!A$1:C$1048576,3,FALSE())</f>
        <v>Packaging</v>
      </c>
    </row>
    <row r="78" customFormat="false" ht="15.75" hidden="false" customHeight="false" outlineLevel="0" collapsed="false">
      <c r="A78" s="1" t="str">
        <f aca="false">CONCATENATE(C78,D78,J78)</f>
        <v>45475CaliforniaShield Management Group, LLC</v>
      </c>
      <c r="C78" s="5" t="n">
        <v>45475</v>
      </c>
      <c r="D78" s="1" t="s">
        <v>157</v>
      </c>
      <c r="E78" s="6" t="s">
        <v>259</v>
      </c>
      <c r="F78" s="1"/>
      <c r="G78" s="1" t="s">
        <v>22</v>
      </c>
      <c r="H78" s="1" t="s">
        <v>210</v>
      </c>
      <c r="I78" s="1" t="s">
        <v>260</v>
      </c>
      <c r="J78" s="1" t="s">
        <v>251</v>
      </c>
      <c r="M78" s="1" t="s">
        <v>103</v>
      </c>
      <c r="N78" s="4"/>
      <c r="O78" s="4" t="n">
        <v>45197</v>
      </c>
      <c r="P78" s="1" t="s">
        <v>256</v>
      </c>
      <c r="Q78" s="1" t="s">
        <v>35</v>
      </c>
      <c r="R78" s="1" t="str">
        <f aca="false">VLOOKUP(P78,[1]Categorizations!A$1:C$1048576,2,FALSE())</f>
        <v>Pesticides</v>
      </c>
      <c r="S78" s="1" t="str">
        <f aca="false">VLOOKUP(P78,[1]Categorizations!A$1:C$1048576,3,FALSE())</f>
        <v>Packaging</v>
      </c>
    </row>
    <row r="79" customFormat="false" ht="15.75" hidden="false" customHeight="false" outlineLevel="0" collapsed="false">
      <c r="A79" s="1" t="str">
        <f aca="false">CONCATENATE(C79,D79,J79)</f>
        <v>45475CaliforniaShield Management Group, LLC</v>
      </c>
      <c r="C79" s="5" t="n">
        <v>45475</v>
      </c>
      <c r="D79" s="1" t="s">
        <v>157</v>
      </c>
      <c r="E79" s="6" t="s">
        <v>261</v>
      </c>
      <c r="F79" s="1"/>
      <c r="G79" s="1" t="s">
        <v>22</v>
      </c>
      <c r="H79" s="1" t="s">
        <v>210</v>
      </c>
      <c r="I79" s="1" t="s">
        <v>262</v>
      </c>
      <c r="J79" s="1" t="s">
        <v>251</v>
      </c>
      <c r="M79" s="1" t="s">
        <v>103</v>
      </c>
      <c r="N79" s="4"/>
      <c r="O79" s="4" t="n">
        <v>45197</v>
      </c>
      <c r="P79" s="1" t="s">
        <v>256</v>
      </c>
      <c r="Q79" s="1" t="s">
        <v>35</v>
      </c>
      <c r="R79" s="1" t="str">
        <f aca="false">VLOOKUP(P79,[1]Categorizations!A$1:C$1048576,2,FALSE())</f>
        <v>Pesticides</v>
      </c>
      <c r="S79" s="1" t="str">
        <f aca="false">VLOOKUP(P79,[1]Categorizations!A$1:C$1048576,3,FALSE())</f>
        <v>Packaging</v>
      </c>
    </row>
    <row r="80" customFormat="false" ht="15.75" hidden="false" customHeight="false" outlineLevel="0" collapsed="false">
      <c r="A80" s="1" t="str">
        <f aca="false">CONCATENATE(C80,D80,J80)</f>
        <v>45490CaliforniaK.U.S.H. (KINDER UNDERSTANDING SENSITIVE HEALING) COLLECTIVE</v>
      </c>
      <c r="C80" s="5" t="n">
        <v>45490</v>
      </c>
      <c r="D80" s="1" t="s">
        <v>157</v>
      </c>
      <c r="E80" s="6" t="s">
        <v>263</v>
      </c>
      <c r="F80" s="1"/>
      <c r="G80" s="1" t="s">
        <v>22</v>
      </c>
      <c r="H80" s="1" t="s">
        <v>210</v>
      </c>
      <c r="I80" s="1" t="s">
        <v>264</v>
      </c>
      <c r="J80" s="1" t="s">
        <v>265</v>
      </c>
      <c r="M80" s="1" t="s">
        <v>103</v>
      </c>
      <c r="N80" s="4" t="n">
        <v>45192</v>
      </c>
      <c r="O80" s="4" t="n">
        <v>45187</v>
      </c>
      <c r="P80" s="1" t="s">
        <v>256</v>
      </c>
      <c r="Q80" s="1" t="s">
        <v>35</v>
      </c>
      <c r="R80" s="1" t="str">
        <f aca="false">VLOOKUP(P80,[1]Categorizations!A$1:C$1048576,2,FALSE())</f>
        <v>Pesticides</v>
      </c>
      <c r="S80" s="1" t="str">
        <f aca="false">VLOOKUP(P80,[1]Categorizations!A$1:C$1048576,3,FALSE())</f>
        <v>Packaging</v>
      </c>
    </row>
    <row r="81" customFormat="false" ht="15.75" hidden="false" customHeight="false" outlineLevel="0" collapsed="false">
      <c r="A81" s="1" t="str">
        <f aca="false">CONCATENATE(C81,D81,J81)</f>
        <v>45490CaliforniaK.U.S.H. (KINDER UNDERSTANDING SENSITIVE HEALING) COLLECTIVE</v>
      </c>
      <c r="C81" s="5" t="n">
        <v>45490</v>
      </c>
      <c r="D81" s="1" t="s">
        <v>157</v>
      </c>
      <c r="E81" s="6" t="s">
        <v>266</v>
      </c>
      <c r="F81" s="1"/>
      <c r="G81" s="1" t="s">
        <v>22</v>
      </c>
      <c r="H81" s="1" t="s">
        <v>200</v>
      </c>
      <c r="I81" s="1" t="s">
        <v>267</v>
      </c>
      <c r="J81" s="1" t="s">
        <v>265</v>
      </c>
      <c r="M81" s="1" t="s">
        <v>103</v>
      </c>
      <c r="N81" s="4" t="n">
        <v>45359</v>
      </c>
      <c r="O81" s="4" t="n">
        <v>45363</v>
      </c>
      <c r="P81" s="1" t="s">
        <v>256</v>
      </c>
      <c r="Q81" s="1" t="s">
        <v>35</v>
      </c>
      <c r="R81" s="1" t="str">
        <f aca="false">VLOOKUP(P81,[1]Categorizations!A$1:C$1048576,2,FALSE())</f>
        <v>Pesticides</v>
      </c>
      <c r="S81" s="1" t="str">
        <f aca="false">VLOOKUP(P81,[1]Categorizations!A$1:C$1048576,3,FALSE())</f>
        <v>Packaging</v>
      </c>
    </row>
    <row r="82" customFormat="false" ht="15.75" hidden="false" customHeight="false" outlineLevel="0" collapsed="false">
      <c r="A82" s="1" t="str">
        <f aca="false">CONCATENATE(C82,D82,J82)</f>
        <v>45497CaliforniaThe Bake Shop LA</v>
      </c>
      <c r="C82" s="5" t="n">
        <v>45497</v>
      </c>
      <c r="D82" s="1" t="s">
        <v>157</v>
      </c>
      <c r="E82" s="6" t="s">
        <v>268</v>
      </c>
      <c r="F82" s="1"/>
      <c r="G82" s="1" t="s">
        <v>22</v>
      </c>
      <c r="H82" s="1" t="s">
        <v>55</v>
      </c>
      <c r="I82" s="1" t="s">
        <v>269</v>
      </c>
      <c r="J82" s="1" t="s">
        <v>269</v>
      </c>
      <c r="M82" s="1" t="s">
        <v>103</v>
      </c>
      <c r="N82" s="4" t="n">
        <v>45436</v>
      </c>
      <c r="O82" s="4" t="n">
        <v>45446</v>
      </c>
      <c r="P82" s="1" t="s">
        <v>198</v>
      </c>
      <c r="Q82" s="1" t="s">
        <v>35</v>
      </c>
      <c r="R82" s="1" t="str">
        <f aca="false">VLOOKUP(P82,[1]Categorizations!A$1:C$1048576,2,FALSE())</f>
        <v>Aspergillus</v>
      </c>
      <c r="S82" s="1" t="str">
        <f aca="false">VLOOKUP(P82,[1]Categorizations!A$1:C$1048576,3,FALSE())</f>
        <v>Microbial Contamination</v>
      </c>
    </row>
    <row r="83" customFormat="false" ht="15.75" hidden="false" customHeight="false" outlineLevel="0" collapsed="false">
      <c r="A83" s="1" t="str">
        <f aca="false">CONCATENATE(C83,D83,J83)</f>
        <v>45503CaliforniaGC Global, LLC</v>
      </c>
      <c r="C83" s="5" t="n">
        <v>45503</v>
      </c>
      <c r="D83" s="1" t="s">
        <v>157</v>
      </c>
      <c r="E83" s="6" t="s">
        <v>270</v>
      </c>
      <c r="F83" s="1"/>
      <c r="G83" s="1" t="s">
        <v>22</v>
      </c>
      <c r="H83" s="1" t="s">
        <v>39</v>
      </c>
      <c r="I83" s="1" t="s">
        <v>271</v>
      </c>
      <c r="J83" s="1" t="s">
        <v>272</v>
      </c>
      <c r="M83" s="1" t="s">
        <v>103</v>
      </c>
      <c r="N83" s="4" t="n">
        <v>45161</v>
      </c>
      <c r="O83" s="4" t="n">
        <v>45177</v>
      </c>
      <c r="P83" s="1" t="s">
        <v>273</v>
      </c>
      <c r="Q83" s="1" t="s">
        <v>35</v>
      </c>
      <c r="R83" s="1" t="str">
        <f aca="false">VLOOKUP(P83,[1]Categorizations!A$1:C$1048576,2,FALSE())</f>
        <v>Attractive Label</v>
      </c>
      <c r="S83" s="1" t="str">
        <f aca="false">VLOOKUP(P83,[1]Categorizations!A$1:C$1048576,3,FALSE())</f>
        <v>Packaging</v>
      </c>
    </row>
    <row r="84" customFormat="false" ht="15.75" hidden="false" customHeight="false" outlineLevel="0" collapsed="false">
      <c r="A84" s="1" t="str">
        <f aca="false">CONCATENATE(C84,D84,J84)</f>
        <v>45503CaliforniaKush Creaturz</v>
      </c>
      <c r="C84" s="5" t="n">
        <v>45503</v>
      </c>
      <c r="D84" s="1" t="s">
        <v>157</v>
      </c>
      <c r="E84" s="6" t="s">
        <v>270</v>
      </c>
      <c r="F84" s="1"/>
      <c r="G84" s="1" t="s">
        <v>22</v>
      </c>
      <c r="H84" s="1" t="s">
        <v>39</v>
      </c>
      <c r="I84" s="1" t="s">
        <v>274</v>
      </c>
      <c r="J84" s="1" t="s">
        <v>275</v>
      </c>
      <c r="M84" s="1" t="s">
        <v>103</v>
      </c>
      <c r="N84" s="4" t="n">
        <v>45161</v>
      </c>
      <c r="O84" s="4" t="n">
        <v>45177</v>
      </c>
      <c r="P84" s="1" t="s">
        <v>273</v>
      </c>
      <c r="Q84" s="1" t="s">
        <v>35</v>
      </c>
      <c r="R84" s="1" t="str">
        <f aca="false">VLOOKUP(P84,[1]Categorizations!A$1:C$1048576,2,FALSE())</f>
        <v>Attractive Label</v>
      </c>
      <c r="S84" s="1" t="str">
        <f aca="false">VLOOKUP(P84,[1]Categorizations!A$1:C$1048576,3,FALSE())</f>
        <v>Packaging</v>
      </c>
    </row>
    <row r="85" customFormat="false" ht="15.75" hidden="false" customHeight="false" outlineLevel="0" collapsed="false">
      <c r="A85" s="1" t="str">
        <f aca="false">CONCATENATE(C85,D85,J85)</f>
        <v>45503CaliforniaKush Creaturz</v>
      </c>
      <c r="C85" s="5" t="n">
        <v>45503</v>
      </c>
      <c r="D85" s="1" t="s">
        <v>157</v>
      </c>
      <c r="E85" s="6" t="s">
        <v>270</v>
      </c>
      <c r="F85" s="1"/>
      <c r="G85" s="1" t="s">
        <v>22</v>
      </c>
      <c r="H85" s="1" t="s">
        <v>39</v>
      </c>
      <c r="I85" s="1" t="s">
        <v>276</v>
      </c>
      <c r="J85" s="1" t="s">
        <v>275</v>
      </c>
      <c r="M85" s="1" t="s">
        <v>103</v>
      </c>
      <c r="N85" s="4" t="n">
        <v>45294</v>
      </c>
      <c r="O85" s="4" t="n">
        <v>45309</v>
      </c>
      <c r="P85" s="1" t="s">
        <v>273</v>
      </c>
      <c r="Q85" s="1" t="s">
        <v>35</v>
      </c>
      <c r="R85" s="1" t="str">
        <f aca="false">VLOOKUP(P85,[1]Categorizations!A$1:C$1048576,2,FALSE())</f>
        <v>Attractive Label</v>
      </c>
      <c r="S85" s="1" t="str">
        <f aca="false">VLOOKUP(P85,[1]Categorizations!A$1:C$1048576,3,FALSE())</f>
        <v>Packaging</v>
      </c>
    </row>
    <row r="86" customFormat="false" ht="15.75" hidden="false" customHeight="false" outlineLevel="0" collapsed="false">
      <c r="A86" s="1" t="str">
        <f aca="false">CONCATENATE(C86,D86,J86)</f>
        <v>45503CaliforniaKush Creaturz</v>
      </c>
      <c r="C86" s="5" t="n">
        <v>45503</v>
      </c>
      <c r="D86" s="1" t="s">
        <v>157</v>
      </c>
      <c r="E86" s="6" t="s">
        <v>270</v>
      </c>
      <c r="F86" s="1"/>
      <c r="G86" s="1" t="s">
        <v>22</v>
      </c>
      <c r="H86" s="1" t="s">
        <v>39</v>
      </c>
      <c r="I86" s="1" t="s">
        <v>277</v>
      </c>
      <c r="J86" s="1" t="s">
        <v>275</v>
      </c>
      <c r="M86" s="1" t="s">
        <v>103</v>
      </c>
      <c r="N86" s="4" t="n">
        <v>45294</v>
      </c>
      <c r="O86" s="4" t="n">
        <v>45296</v>
      </c>
      <c r="P86" s="1" t="s">
        <v>273</v>
      </c>
      <c r="Q86" s="1" t="s">
        <v>35</v>
      </c>
      <c r="R86" s="1" t="str">
        <f aca="false">VLOOKUP(P86,[1]Categorizations!A$1:C$1048576,2,FALSE())</f>
        <v>Attractive Label</v>
      </c>
      <c r="S86" s="1" t="str">
        <f aca="false">VLOOKUP(P86,[1]Categorizations!A$1:C$1048576,3,FALSE())</f>
        <v>Packaging</v>
      </c>
    </row>
    <row r="87" customFormat="false" ht="15.75" hidden="false" customHeight="false" outlineLevel="0" collapsed="false">
      <c r="A87" s="1" t="str">
        <f aca="false">CONCATENATE(C87,D87,J87)</f>
        <v>45503CaliforniaKush Creaturz</v>
      </c>
      <c r="C87" s="5" t="n">
        <v>45503</v>
      </c>
      <c r="D87" s="1" t="s">
        <v>157</v>
      </c>
      <c r="E87" s="6" t="s">
        <v>270</v>
      </c>
      <c r="F87" s="1"/>
      <c r="G87" s="1" t="s">
        <v>22</v>
      </c>
      <c r="H87" s="1" t="s">
        <v>39</v>
      </c>
      <c r="I87" s="1" t="s">
        <v>278</v>
      </c>
      <c r="J87" s="1" t="s">
        <v>275</v>
      </c>
      <c r="M87" s="1" t="s">
        <v>103</v>
      </c>
      <c r="N87" s="4" t="n">
        <v>45161</v>
      </c>
      <c r="O87" s="4" t="n">
        <v>45177</v>
      </c>
      <c r="P87" s="1" t="s">
        <v>273</v>
      </c>
      <c r="Q87" s="1" t="s">
        <v>35</v>
      </c>
      <c r="R87" s="1" t="str">
        <f aca="false">VLOOKUP(P87,[1]Categorizations!A$1:C$1048576,2,FALSE())</f>
        <v>Attractive Label</v>
      </c>
      <c r="S87" s="1" t="str">
        <f aca="false">VLOOKUP(P87,[1]Categorizations!A$1:C$1048576,3,FALSE())</f>
        <v>Packaging</v>
      </c>
    </row>
    <row r="88" customFormat="false" ht="15.75" hidden="false" customHeight="false" outlineLevel="0" collapsed="false">
      <c r="A88" s="1" t="str">
        <f aca="false">CONCATENATE(C88,D88,J88)</f>
        <v>45503CaliforniaKush Creaturz</v>
      </c>
      <c r="C88" s="5" t="n">
        <v>45503</v>
      </c>
      <c r="D88" s="1" t="s">
        <v>157</v>
      </c>
      <c r="E88" s="6" t="s">
        <v>270</v>
      </c>
      <c r="F88" s="1"/>
      <c r="G88" s="1" t="s">
        <v>38</v>
      </c>
      <c r="H88" s="1" t="s">
        <v>39</v>
      </c>
      <c r="I88" s="1" t="s">
        <v>279</v>
      </c>
      <c r="J88" s="1" t="s">
        <v>275</v>
      </c>
      <c r="M88" s="1" t="s">
        <v>103</v>
      </c>
      <c r="N88" s="4" t="n">
        <v>45293</v>
      </c>
      <c r="O88" s="4" t="n">
        <v>45295</v>
      </c>
      <c r="P88" s="1" t="s">
        <v>273</v>
      </c>
      <c r="Q88" s="1" t="s">
        <v>35</v>
      </c>
      <c r="R88" s="1" t="str">
        <f aca="false">VLOOKUP(P88,[1]Categorizations!A$1:C$1048576,2,FALSE())</f>
        <v>Attractive Label</v>
      </c>
      <c r="S88" s="1" t="str">
        <f aca="false">VLOOKUP(P88,[1]Categorizations!A$1:C$1048576,3,FALSE())</f>
        <v>Packaging</v>
      </c>
    </row>
    <row r="89" customFormat="false" ht="15.75" hidden="false" customHeight="false" outlineLevel="0" collapsed="false">
      <c r="A89" s="1" t="str">
        <f aca="false">CONCATENATE(C89,J89)</f>
        <v>45505Cypress Manufacturing</v>
      </c>
      <c r="C89" s="5" t="n">
        <v>45505</v>
      </c>
      <c r="D89" s="1" t="s">
        <v>157</v>
      </c>
      <c r="E89" s="6" t="s">
        <v>280</v>
      </c>
      <c r="F89" s="1"/>
      <c r="G89" s="1" t="s">
        <v>22</v>
      </c>
      <c r="H89" s="1" t="s">
        <v>55</v>
      </c>
      <c r="I89" s="1" t="s">
        <v>281</v>
      </c>
      <c r="J89" s="1" t="s">
        <v>282</v>
      </c>
      <c r="M89" s="1" t="s">
        <v>103</v>
      </c>
      <c r="N89" s="4" t="n">
        <v>45413</v>
      </c>
      <c r="O89" s="4" t="n">
        <v>45421</v>
      </c>
      <c r="P89" s="1" t="s">
        <v>283</v>
      </c>
      <c r="Q89" s="1" t="s">
        <v>35</v>
      </c>
      <c r="R89" s="1" t="str">
        <f aca="false">VLOOKUP(P89,[1]Categorizations!A$1:C$1048576,2,FALSE())</f>
        <v>Aspergillus</v>
      </c>
      <c r="S89" s="1" t="str">
        <f aca="false">VLOOKUP(P89,[1]Categorizations!A$1:C$1048576,3,FALSE())</f>
        <v>Microbial Contamination</v>
      </c>
    </row>
    <row r="90" customFormat="false" ht="15.75" hidden="false" customHeight="false" outlineLevel="0" collapsed="false">
      <c r="A90" s="1" t="str">
        <f aca="false">CONCATENATE(C90,J90)</f>
        <v>45512Fluids Manufacturing, Inc.</v>
      </c>
      <c r="C90" s="5" t="n">
        <v>45512</v>
      </c>
      <c r="D90" s="1" t="s">
        <v>157</v>
      </c>
      <c r="E90" s="6" t="s">
        <v>284</v>
      </c>
      <c r="F90" s="1"/>
      <c r="G90" s="1" t="s">
        <v>22</v>
      </c>
      <c r="H90" s="1" t="s">
        <v>39</v>
      </c>
      <c r="I90" s="1" t="s">
        <v>285</v>
      </c>
      <c r="J90" s="1" t="s">
        <v>286</v>
      </c>
      <c r="M90" s="1" t="s">
        <v>103</v>
      </c>
      <c r="N90" s="4" t="n">
        <v>45418</v>
      </c>
      <c r="O90" s="4" t="n">
        <v>45421</v>
      </c>
      <c r="P90" s="1" t="s">
        <v>283</v>
      </c>
      <c r="Q90" s="1" t="s">
        <v>35</v>
      </c>
      <c r="R90" s="1" t="str">
        <f aca="false">VLOOKUP(P90,[1]Categorizations!A$1:C$1048576,2,FALSE())</f>
        <v>Aspergillus</v>
      </c>
      <c r="S90" s="1" t="str">
        <f aca="false">VLOOKUP(P90,[1]Categorizations!A$1:C$1048576,3,FALSE())</f>
        <v>Microbial Contamination</v>
      </c>
    </row>
    <row r="91" customFormat="false" ht="15.75" hidden="false" customHeight="false" outlineLevel="0" collapsed="false">
      <c r="A91" s="1" t="str">
        <f aca="false">CONCATENATE(C91,J91)</f>
        <v>45512Mammoth Distribution, Heavy Hitters</v>
      </c>
      <c r="C91" s="5" t="n">
        <v>45512</v>
      </c>
      <c r="D91" s="1" t="s">
        <v>157</v>
      </c>
      <c r="E91" s="6" t="s">
        <v>284</v>
      </c>
      <c r="F91" s="1"/>
      <c r="G91" s="1" t="s">
        <v>22</v>
      </c>
      <c r="H91" s="1" t="s">
        <v>39</v>
      </c>
      <c r="I91" s="1" t="s">
        <v>285</v>
      </c>
      <c r="J91" s="1" t="s">
        <v>287</v>
      </c>
      <c r="M91" s="1" t="s">
        <v>103</v>
      </c>
      <c r="N91" s="4" t="n">
        <v>45418</v>
      </c>
      <c r="O91" s="4" t="n">
        <v>45427</v>
      </c>
      <c r="P91" s="1" t="s">
        <v>288</v>
      </c>
      <c r="Q91" s="1" t="s">
        <v>35</v>
      </c>
      <c r="R91" s="1" t="str">
        <f aca="false">VLOOKUP(P91,[1]Categorizations!A$1:C$1048576,2,FALSE())</f>
        <v>Aspergillus</v>
      </c>
      <c r="S91" s="1" t="str">
        <f aca="false">VLOOKUP(P91,[1]Categorizations!A$1:C$1048576,3,FALSE())</f>
        <v>Microbial Contamination</v>
      </c>
    </row>
    <row r="92" customFormat="false" ht="15.75" hidden="false" customHeight="false" outlineLevel="0" collapsed="false">
      <c r="A92" s="1" t="str">
        <f aca="false">CONCATENATE(C92,J92)</f>
        <v>45520Alkhemist DM LLC</v>
      </c>
      <c r="C92" s="5" t="n">
        <v>45520</v>
      </c>
      <c r="D92" s="1" t="s">
        <v>157</v>
      </c>
      <c r="E92" s="6" t="s">
        <v>289</v>
      </c>
      <c r="F92" s="1"/>
      <c r="G92" s="1" t="s">
        <v>22</v>
      </c>
      <c r="H92" s="1" t="s">
        <v>55</v>
      </c>
      <c r="I92" s="1" t="s">
        <v>290</v>
      </c>
      <c r="J92" s="1" t="s">
        <v>255</v>
      </c>
      <c r="M92" s="1" t="s">
        <v>103</v>
      </c>
      <c r="N92" s="4" t="n">
        <v>45412</v>
      </c>
      <c r="O92" s="4" t="n">
        <v>45386</v>
      </c>
      <c r="P92" s="1" t="s">
        <v>291</v>
      </c>
      <c r="Q92" s="1" t="s">
        <v>35</v>
      </c>
      <c r="R92" s="1" t="str">
        <f aca="false">VLOOKUP(P92,[1]Categorizations!A$1:C$1048576,2,FALSE())</f>
        <v>Aspergillus</v>
      </c>
      <c r="S92" s="1" t="str">
        <f aca="false">VLOOKUP(P92,[1]Categorizations!A$1:C$1048576,3,FALSE())</f>
        <v>Microbial Contamination</v>
      </c>
    </row>
    <row r="93" customFormat="false" ht="15.75" hidden="false" customHeight="false" outlineLevel="0" collapsed="false">
      <c r="A93" s="1" t="str">
        <f aca="false">CONCATENATE(C93,J93)</f>
        <v>45525Purple Star MD Collective</v>
      </c>
      <c r="C93" s="5" t="n">
        <v>45525</v>
      </c>
      <c r="D93" s="1" t="s">
        <v>157</v>
      </c>
      <c r="E93" s="6" t="s">
        <v>292</v>
      </c>
      <c r="F93" s="1"/>
      <c r="G93" s="1" t="s">
        <v>22</v>
      </c>
      <c r="H93" s="1" t="s">
        <v>39</v>
      </c>
      <c r="I93" s="1" t="s">
        <v>293</v>
      </c>
      <c r="J93" s="1" t="s">
        <v>294</v>
      </c>
      <c r="M93" s="1" t="s">
        <v>103</v>
      </c>
      <c r="N93" s="4" t="n">
        <v>45433</v>
      </c>
      <c r="O93" s="4" t="n">
        <v>45439</v>
      </c>
      <c r="P93" s="1" t="s">
        <v>288</v>
      </c>
      <c r="Q93" s="1" t="s">
        <v>35</v>
      </c>
      <c r="R93" s="1" t="str">
        <f aca="false">VLOOKUP(P93,[1]Categorizations!A$1:C$1048576,2,FALSE())</f>
        <v>Aspergillus</v>
      </c>
      <c r="S93" s="1" t="str">
        <f aca="false">VLOOKUP(P93,[1]Categorizations!A$1:C$1048576,3,FALSE())</f>
        <v>Microbial Contamination</v>
      </c>
    </row>
    <row r="94" customFormat="false" ht="15.75" hidden="false" customHeight="false" outlineLevel="0" collapsed="false">
      <c r="A94" s="1" t="str">
        <f aca="false">CONCATENATE(C94,J94)</f>
        <v>45526BTD, Inc.</v>
      </c>
      <c r="C94" s="5" t="n">
        <v>45526</v>
      </c>
      <c r="D94" s="1" t="s">
        <v>157</v>
      </c>
      <c r="E94" s="6" t="s">
        <v>295</v>
      </c>
      <c r="F94" s="1"/>
      <c r="G94" s="1" t="s">
        <v>22</v>
      </c>
      <c r="H94" s="1" t="s">
        <v>39</v>
      </c>
      <c r="I94" s="1" t="s">
        <v>296</v>
      </c>
      <c r="J94" s="1" t="s">
        <v>297</v>
      </c>
      <c r="M94" s="1" t="s">
        <v>103</v>
      </c>
      <c r="N94" s="4" t="n">
        <v>45414</v>
      </c>
      <c r="O94" s="4" t="n">
        <v>45414</v>
      </c>
      <c r="P94" s="1" t="s">
        <v>288</v>
      </c>
      <c r="Q94" s="1" t="s">
        <v>35</v>
      </c>
      <c r="R94" s="1" t="str">
        <f aca="false">VLOOKUP(P94,[1]Categorizations!A$1:C$1048576,2,FALSE())</f>
        <v>Aspergillus</v>
      </c>
      <c r="S94" s="1" t="str">
        <f aca="false">VLOOKUP(P94,[1]Categorizations!A$1:C$1048576,3,FALSE())</f>
        <v>Microbial Contamination</v>
      </c>
    </row>
    <row r="95" customFormat="false" ht="15.75" hidden="false" customHeight="false" outlineLevel="0" collapsed="false">
      <c r="A95" s="1" t="str">
        <f aca="false">CONCATENATE(C95,J95)</f>
        <v>45533Shield Management Group, LLC</v>
      </c>
      <c r="C95" s="5" t="n">
        <v>45533</v>
      </c>
      <c r="D95" s="1" t="s">
        <v>157</v>
      </c>
      <c r="E95" s="6" t="s">
        <v>298</v>
      </c>
      <c r="F95" s="1"/>
      <c r="G95" s="1" t="s">
        <v>22</v>
      </c>
      <c r="H95" s="1" t="s">
        <v>116</v>
      </c>
      <c r="I95" s="1" t="s">
        <v>299</v>
      </c>
      <c r="J95" s="1" t="s">
        <v>251</v>
      </c>
      <c r="M95" s="1" t="s">
        <v>103</v>
      </c>
      <c r="N95" s="4" t="n">
        <v>45224</v>
      </c>
      <c r="O95" s="4" t="n">
        <v>45232</v>
      </c>
      <c r="P95" s="1" t="s">
        <v>300</v>
      </c>
      <c r="Q95" s="1" t="s">
        <v>35</v>
      </c>
      <c r="R95" s="1" t="str">
        <f aca="false">VLOOKUP(P95,[1]Categorizations!A$1:C$1048576,2,FALSE())</f>
        <v>Pesticides</v>
      </c>
      <c r="S95" s="1" t="str">
        <f aca="false">VLOOKUP(P95,[1]Categorizations!A$1:C$1048576,3,FALSE())</f>
        <v>Pesticides</v>
      </c>
    </row>
    <row r="96" customFormat="false" ht="15.75" hidden="false" customHeight="false" outlineLevel="0" collapsed="false">
      <c r="A96" s="1" t="str">
        <f aca="false">CONCATENATE(C96,J96)</f>
        <v>45533Shield Management Group, LLC</v>
      </c>
      <c r="C96" s="5" t="n">
        <v>45533</v>
      </c>
      <c r="D96" s="1" t="s">
        <v>157</v>
      </c>
      <c r="E96" s="6" t="s">
        <v>301</v>
      </c>
      <c r="F96" s="1"/>
      <c r="G96" s="1" t="s">
        <v>22</v>
      </c>
      <c r="H96" s="1" t="s">
        <v>302</v>
      </c>
      <c r="I96" s="1" t="s">
        <v>303</v>
      </c>
      <c r="J96" s="1" t="s">
        <v>251</v>
      </c>
      <c r="M96" s="1" t="s">
        <v>103</v>
      </c>
      <c r="N96" s="4" t="n">
        <v>45163</v>
      </c>
      <c r="O96" s="4" t="n">
        <v>45183</v>
      </c>
      <c r="P96" s="1" t="s">
        <v>300</v>
      </c>
      <c r="Q96" s="1" t="s">
        <v>35</v>
      </c>
      <c r="R96" s="1" t="str">
        <f aca="false">VLOOKUP(P96,[1]Categorizations!A$1:C$1048576,2,FALSE())</f>
        <v>Pesticides</v>
      </c>
      <c r="S96" s="1" t="str">
        <f aca="false">VLOOKUP(P96,[1]Categorizations!A$1:C$1048576,3,FALSE())</f>
        <v>Pesticides</v>
      </c>
    </row>
    <row r="97" customFormat="false" ht="15.75" hidden="false" customHeight="false" outlineLevel="0" collapsed="false">
      <c r="A97" s="1" t="str">
        <f aca="false">CONCATENATE(C97,J97)</f>
        <v>45541K.U.S.H. COLLECTIVE</v>
      </c>
      <c r="C97" s="5" t="n">
        <v>45541</v>
      </c>
      <c r="D97" s="1" t="s">
        <v>157</v>
      </c>
      <c r="E97" s="6" t="s">
        <v>304</v>
      </c>
      <c r="F97" s="1"/>
      <c r="G97" s="1" t="s">
        <v>22</v>
      </c>
      <c r="H97" s="1" t="s">
        <v>302</v>
      </c>
      <c r="I97" s="1" t="s">
        <v>305</v>
      </c>
      <c r="J97" s="1" t="s">
        <v>306</v>
      </c>
      <c r="M97" s="1" t="s">
        <v>103</v>
      </c>
      <c r="N97" s="4" t="n">
        <v>45320</v>
      </c>
      <c r="O97" s="4" t="n">
        <v>45352</v>
      </c>
      <c r="P97" s="1" t="s">
        <v>300</v>
      </c>
      <c r="Q97" s="1" t="s">
        <v>35</v>
      </c>
      <c r="R97" s="1" t="str">
        <f aca="false">VLOOKUP(P97,[1]Categorizations!A$1:C$1048576,2,FALSE())</f>
        <v>Pesticides</v>
      </c>
      <c r="S97" s="1" t="str">
        <f aca="false">VLOOKUP(P97,[1]Categorizations!A$1:C$1048576,3,FALSE())</f>
        <v>Pesticides</v>
      </c>
    </row>
    <row r="98" customFormat="false" ht="15.75" hidden="false" customHeight="false" outlineLevel="0" collapsed="false">
      <c r="A98" s="1" t="str">
        <f aca="false">CONCATENATE(C98,J98)</f>
        <v>45541K.U.S.H. COLLECTIVE</v>
      </c>
      <c r="C98" s="5" t="n">
        <v>45541</v>
      </c>
      <c r="D98" s="1" t="s">
        <v>157</v>
      </c>
      <c r="E98" s="6" t="s">
        <v>307</v>
      </c>
      <c r="F98" s="1"/>
      <c r="G98" s="1" t="s">
        <v>22</v>
      </c>
      <c r="H98" s="1" t="s">
        <v>302</v>
      </c>
      <c r="I98" s="1" t="s">
        <v>308</v>
      </c>
      <c r="J98" s="1" t="s">
        <v>306</v>
      </c>
      <c r="M98" s="1" t="s">
        <v>103</v>
      </c>
      <c r="N98" s="4" t="n">
        <v>45359</v>
      </c>
      <c r="O98" s="4" t="n">
        <v>45372</v>
      </c>
      <c r="P98" s="1" t="s">
        <v>300</v>
      </c>
      <c r="Q98" s="1" t="s">
        <v>35</v>
      </c>
      <c r="R98" s="1" t="str">
        <f aca="false">VLOOKUP(P98,[1]Categorizations!A$1:C$1048576,2,FALSE())</f>
        <v>Pesticides</v>
      </c>
      <c r="S98" s="1" t="str">
        <f aca="false">VLOOKUP(P98,[1]Categorizations!A$1:C$1048576,3,FALSE())</f>
        <v>Pesticides</v>
      </c>
    </row>
    <row r="99" customFormat="false" ht="15.75" hidden="false" customHeight="false" outlineLevel="0" collapsed="false">
      <c r="A99" s="1" t="str">
        <f aca="false">CONCATENATE(C99,J99)</f>
        <v>45541GC Global, LLC</v>
      </c>
      <c r="C99" s="5" t="n">
        <v>45541</v>
      </c>
      <c r="D99" s="1" t="s">
        <v>157</v>
      </c>
      <c r="E99" s="6" t="s">
        <v>309</v>
      </c>
      <c r="F99" s="1"/>
      <c r="G99" s="1" t="s">
        <v>22</v>
      </c>
      <c r="H99" s="1" t="s">
        <v>302</v>
      </c>
      <c r="I99" s="1" t="s">
        <v>310</v>
      </c>
      <c r="J99" s="1" t="s">
        <v>272</v>
      </c>
      <c r="M99" s="1" t="s">
        <v>103</v>
      </c>
      <c r="N99" s="4" t="n">
        <v>45330</v>
      </c>
      <c r="O99" s="4" t="n">
        <v>45342</v>
      </c>
      <c r="P99" s="1" t="s">
        <v>311</v>
      </c>
      <c r="Q99" s="1" t="s">
        <v>35</v>
      </c>
      <c r="R99" s="1" t="str">
        <f aca="false">VLOOKUP(P99,[1]Categorizations!A$1:C$1048576,2,FALSE())</f>
        <v>Attractive Label</v>
      </c>
      <c r="S99" s="1" t="str">
        <f aca="false">VLOOKUP(P99,[1]Categorizations!A$1:C$1048576,3,FALSE())</f>
        <v>Packaging</v>
      </c>
    </row>
    <row r="100" customFormat="false" ht="15.75" hidden="false" customHeight="false" outlineLevel="0" collapsed="false">
      <c r="A100" s="1" t="str">
        <f aca="false">CONCATENATE(C100,J100)</f>
        <v>45546Scislc, LLC</v>
      </c>
      <c r="C100" s="5" t="n">
        <v>45546</v>
      </c>
      <c r="D100" s="1" t="s">
        <v>157</v>
      </c>
      <c r="E100" s="6" t="s">
        <v>312</v>
      </c>
      <c r="F100" s="1"/>
      <c r="G100" s="1" t="s">
        <v>22</v>
      </c>
      <c r="H100" s="1" t="s">
        <v>193</v>
      </c>
      <c r="I100" s="1" t="s">
        <v>313</v>
      </c>
      <c r="J100" s="1" t="s">
        <v>314</v>
      </c>
      <c r="M100" s="1" t="s">
        <v>103</v>
      </c>
      <c r="N100" s="4" t="n">
        <v>45300</v>
      </c>
      <c r="O100" s="4" t="n">
        <v>45316</v>
      </c>
      <c r="P100" s="1" t="s">
        <v>315</v>
      </c>
      <c r="Q100" s="1" t="s">
        <v>35</v>
      </c>
      <c r="R100" s="1" t="str">
        <f aca="false">VLOOKUP(P100,[1]Categorizations!A$1:C$1048576,2,FALSE())</f>
        <v>Pesticides</v>
      </c>
      <c r="S100" s="1" t="str">
        <f aca="false">VLOOKUP(P100,[1]Categorizations!A$1:C$1048576,3,FALSE())</f>
        <v>Pesticides</v>
      </c>
    </row>
    <row r="101" customFormat="false" ht="15.75" hidden="false" customHeight="false" outlineLevel="0" collapsed="false">
      <c r="A101" s="1" t="str">
        <f aca="false">CONCATENATE(C101,J101)</f>
        <v>45547LVLUP MANUFACTURING LLC</v>
      </c>
      <c r="C101" s="5" t="n">
        <v>45547</v>
      </c>
      <c r="D101" s="1" t="s">
        <v>157</v>
      </c>
      <c r="E101" s="6" t="s">
        <v>316</v>
      </c>
      <c r="F101" s="1"/>
      <c r="G101" s="1" t="s">
        <v>22</v>
      </c>
      <c r="H101" s="1" t="s">
        <v>193</v>
      </c>
      <c r="I101" s="1" t="s">
        <v>317</v>
      </c>
      <c r="J101" s="1" t="s">
        <v>318</v>
      </c>
      <c r="M101" s="1" t="s">
        <v>103</v>
      </c>
      <c r="N101" s="4" t="n">
        <v>45279</v>
      </c>
      <c r="O101" s="4" t="n">
        <v>45282</v>
      </c>
      <c r="P101" s="1" t="s">
        <v>300</v>
      </c>
      <c r="Q101" s="1" t="s">
        <v>35</v>
      </c>
      <c r="R101" s="1" t="str">
        <f aca="false">VLOOKUP(P101,[1]Categorizations!A$1:C$1048576,2,FALSE())</f>
        <v>Pesticides</v>
      </c>
      <c r="S101" s="1" t="str">
        <f aca="false">VLOOKUP(P101,[1]Categorizations!A$1:C$1048576,3,FALSE())</f>
        <v>Pesticides</v>
      </c>
    </row>
    <row r="102" customFormat="false" ht="15.75" hidden="false" customHeight="false" outlineLevel="0" collapsed="false">
      <c r="A102" s="1" t="str">
        <f aca="false">CONCATENATE(C102,J102)</f>
        <v>45547LVLUP Manufacturing LLC</v>
      </c>
      <c r="C102" s="5" t="n">
        <v>45547</v>
      </c>
      <c r="D102" s="1" t="s">
        <v>157</v>
      </c>
      <c r="E102" s="6" t="s">
        <v>319</v>
      </c>
      <c r="F102" s="1"/>
      <c r="G102" s="1" t="s">
        <v>22</v>
      </c>
      <c r="H102" s="1" t="s">
        <v>193</v>
      </c>
      <c r="I102" s="1" t="s">
        <v>320</v>
      </c>
      <c r="J102" s="1" t="s">
        <v>321</v>
      </c>
      <c r="M102" s="1" t="s">
        <v>103</v>
      </c>
      <c r="N102" s="4" t="n">
        <v>45299</v>
      </c>
      <c r="O102" s="4" t="n">
        <v>45303</v>
      </c>
      <c r="P102" s="1" t="s">
        <v>322</v>
      </c>
      <c r="Q102" s="1" t="s">
        <v>35</v>
      </c>
      <c r="R102" s="1" t="str">
        <f aca="false">VLOOKUP(P102,[1]Categorizations!A$1:C$1048576,2,FALSE())</f>
        <v>Pesticides</v>
      </c>
      <c r="S102" s="1" t="str">
        <f aca="false">VLOOKUP(P102,[1]Categorizations!A$1:C$1048576,3,FALSE())</f>
        <v>Pesticides</v>
      </c>
    </row>
    <row r="103" customFormat="false" ht="15.75" hidden="false" customHeight="false" outlineLevel="0" collapsed="false">
      <c r="A103" s="1" t="str">
        <f aca="false">CONCATENATE(C103,J103)</f>
        <v>455533L Distribution, Inc.</v>
      </c>
      <c r="C103" s="5" t="n">
        <v>45553</v>
      </c>
      <c r="D103" s="1" t="s">
        <v>157</v>
      </c>
      <c r="E103" s="6" t="s">
        <v>323</v>
      </c>
      <c r="F103" s="1"/>
      <c r="G103" s="1" t="s">
        <v>22</v>
      </c>
      <c r="H103" s="1" t="s">
        <v>39</v>
      </c>
      <c r="I103" s="1" t="s">
        <v>324</v>
      </c>
      <c r="J103" s="1" t="s">
        <v>325</v>
      </c>
      <c r="M103" s="1" t="s">
        <v>103</v>
      </c>
      <c r="N103" s="4" t="n">
        <v>45401</v>
      </c>
      <c r="O103" s="12" t="n">
        <v>45433</v>
      </c>
      <c r="P103" s="1" t="s">
        <v>326</v>
      </c>
      <c r="Q103" s="1" t="s">
        <v>35</v>
      </c>
      <c r="R103" s="1" t="str">
        <f aca="false">VLOOKUP(P103,[1]Categorizations!A$1:C$1048576,2,FALSE())</f>
        <v>Aspergillus</v>
      </c>
      <c r="S103" s="1" t="str">
        <f aca="false">VLOOKUP(P103,[1]Categorizations!A$1:C$1048576,3,FALSE())</f>
        <v>Microbial Contamination</v>
      </c>
    </row>
    <row r="104" customFormat="false" ht="15.75" hidden="false" customHeight="false" outlineLevel="0" collapsed="false">
      <c r="A104" s="1" t="str">
        <f aca="false">CONCATENATE(C104,J104)</f>
        <v>45554Event Horizon Technologies, Inc.</v>
      </c>
      <c r="C104" s="5" t="n">
        <v>45554</v>
      </c>
      <c r="D104" s="1" t="s">
        <v>157</v>
      </c>
      <c r="E104" s="6" t="s">
        <v>327</v>
      </c>
      <c r="F104" s="1"/>
      <c r="G104" s="1" t="s">
        <v>22</v>
      </c>
      <c r="H104" s="1" t="s">
        <v>55</v>
      </c>
      <c r="I104" s="1" t="s">
        <v>328</v>
      </c>
      <c r="J104" s="1" t="s">
        <v>329</v>
      </c>
      <c r="M104" s="1" t="s">
        <v>103</v>
      </c>
      <c r="N104" s="4" t="n">
        <v>45394</v>
      </c>
      <c r="O104" s="4" t="n">
        <v>45412</v>
      </c>
      <c r="P104" s="1" t="s">
        <v>288</v>
      </c>
      <c r="Q104" s="1" t="s">
        <v>35</v>
      </c>
      <c r="R104" s="1" t="str">
        <f aca="false">VLOOKUP(P104,[1]Categorizations!A$1:C$1048576,2,FALSE())</f>
        <v>Aspergillus</v>
      </c>
      <c r="S104" s="1" t="str">
        <f aca="false">VLOOKUP(P104,[1]Categorizations!A$1:C$1048576,3,FALSE())</f>
        <v>Microbial Contamination</v>
      </c>
    </row>
    <row r="105" customFormat="false" ht="15.75" hidden="false" customHeight="false" outlineLevel="0" collapsed="false">
      <c r="A105" s="1" t="str">
        <f aca="false">CONCATENATE(C105,J105)</f>
        <v>45562Higher Ground Holdings, LLC</v>
      </c>
      <c r="C105" s="5" t="n">
        <v>45562</v>
      </c>
      <c r="D105" s="1" t="s">
        <v>157</v>
      </c>
      <c r="E105" s="6" t="s">
        <v>330</v>
      </c>
      <c r="F105" s="1"/>
      <c r="G105" s="1" t="s">
        <v>22</v>
      </c>
      <c r="H105" s="1" t="s">
        <v>39</v>
      </c>
      <c r="I105" s="1" t="s">
        <v>331</v>
      </c>
      <c r="J105" s="1" t="s">
        <v>332</v>
      </c>
      <c r="M105" s="1" t="s">
        <v>103</v>
      </c>
      <c r="N105" s="4" t="n">
        <v>45488</v>
      </c>
      <c r="O105" s="4" t="n">
        <v>45504</v>
      </c>
      <c r="P105" s="1" t="s">
        <v>333</v>
      </c>
      <c r="Q105" s="1" t="s">
        <v>35</v>
      </c>
      <c r="R105" s="1" t="str">
        <f aca="false">VLOOKUP(P105,[1]Categorizations!A$1:C$1048576,2,FALSE())</f>
        <v>Multiple (Aspergillus, THC Inflation)</v>
      </c>
      <c r="S105" s="1" t="str">
        <f aca="false">VLOOKUP(P105,[1]Categorizations!A$1:C$1048576,3,FALSE())</f>
        <v>Multiple</v>
      </c>
    </row>
    <row r="106" customFormat="false" ht="15.75" hidden="false" customHeight="false" outlineLevel="0" collapsed="false">
      <c r="A106" s="1" t="str">
        <f aca="false">CONCATENATE(C106,J106)</f>
        <v>45573Shield Management Group, LLC</v>
      </c>
      <c r="B106" s="4" t="n">
        <v>45569</v>
      </c>
      <c r="C106" s="5" t="n">
        <v>45573</v>
      </c>
      <c r="D106" s="1" t="s">
        <v>157</v>
      </c>
      <c r="E106" s="6" t="s">
        <v>334</v>
      </c>
      <c r="F106" s="1"/>
      <c r="G106" s="1" t="s">
        <v>22</v>
      </c>
      <c r="H106" s="1" t="s">
        <v>302</v>
      </c>
      <c r="I106" s="1" t="s">
        <v>335</v>
      </c>
      <c r="J106" s="1" t="s">
        <v>251</v>
      </c>
      <c r="M106" s="1" t="s">
        <v>103</v>
      </c>
      <c r="N106" s="4" t="n">
        <v>45162</v>
      </c>
      <c r="O106" s="4" t="n">
        <v>45146</v>
      </c>
      <c r="P106" s="1" t="s">
        <v>336</v>
      </c>
      <c r="Q106" s="1" t="s">
        <v>35</v>
      </c>
      <c r="R106" s="1" t="str">
        <f aca="false">VLOOKUP(P106,[1]Categorizations!A$1:C$1048576,2,FALSE())</f>
        <v>Pesticides</v>
      </c>
      <c r="S106" s="1" t="str">
        <f aca="false">VLOOKUP(P106,[1]Categorizations!A$1:C$1048576,3,FALSE())</f>
        <v>Pesticides</v>
      </c>
    </row>
    <row r="107" customFormat="false" ht="15.75" hidden="false" customHeight="false" outlineLevel="0" collapsed="false">
      <c r="A107" s="1" t="str">
        <f aca="false">CONCATENATE(C107,J107)</f>
        <v>45574Green Leaf Caregivers</v>
      </c>
      <c r="B107" s="4" t="n">
        <v>45574</v>
      </c>
      <c r="C107" s="5" t="n">
        <v>45574</v>
      </c>
      <c r="D107" s="1" t="s">
        <v>157</v>
      </c>
      <c r="E107" s="6" t="s">
        <v>337</v>
      </c>
      <c r="F107" s="1"/>
      <c r="G107" s="1" t="s">
        <v>38</v>
      </c>
      <c r="H107" s="1" t="s">
        <v>302</v>
      </c>
      <c r="I107" s="1" t="s">
        <v>338</v>
      </c>
      <c r="J107" s="1" t="s">
        <v>339</v>
      </c>
      <c r="M107" s="1" t="s">
        <v>103</v>
      </c>
      <c r="N107" s="4" t="n">
        <v>45375</v>
      </c>
      <c r="O107" s="12" t="n">
        <v>45396</v>
      </c>
      <c r="P107" s="1" t="s">
        <v>336</v>
      </c>
      <c r="Q107" s="1" t="s">
        <v>35</v>
      </c>
      <c r="R107" s="1" t="str">
        <f aca="false">VLOOKUP(P107,[1]Categorizations!A$1:C$1048576,2,FALSE())</f>
        <v>Pesticides</v>
      </c>
      <c r="S107" s="1" t="str">
        <f aca="false">VLOOKUP(P107,[1]Categorizations!A$1:C$1048576,3,FALSE())</f>
        <v>Pesticides</v>
      </c>
    </row>
    <row r="108" customFormat="false" ht="15.75" hidden="false" customHeight="false" outlineLevel="0" collapsed="false">
      <c r="A108" s="1" t="str">
        <f aca="false">CONCATENATE(C108,J108)</f>
        <v>45579SW Ventures LLC</v>
      </c>
      <c r="B108" s="4" t="n">
        <v>45560</v>
      </c>
      <c r="C108" s="5" t="n">
        <v>45579</v>
      </c>
      <c r="D108" s="1" t="s">
        <v>157</v>
      </c>
      <c r="E108" s="6" t="s">
        <v>340</v>
      </c>
      <c r="F108" s="1"/>
      <c r="G108" s="1" t="s">
        <v>38</v>
      </c>
      <c r="H108" s="1" t="s">
        <v>171</v>
      </c>
      <c r="I108" s="1" t="s">
        <v>341</v>
      </c>
      <c r="J108" s="1" t="s">
        <v>342</v>
      </c>
      <c r="M108" s="1" t="s">
        <v>103</v>
      </c>
      <c r="N108" s="4" t="n">
        <v>45397</v>
      </c>
      <c r="O108" s="4" t="n">
        <v>45420</v>
      </c>
      <c r="P108" s="1" t="s">
        <v>343</v>
      </c>
      <c r="Q108" s="1" t="s">
        <v>35</v>
      </c>
      <c r="R108" s="1" t="str">
        <f aca="false">VLOOKUP(P108,[1]Categorizations!A$1:C$1048576,2,FALSE())</f>
        <v>Prohibited Additives / Product</v>
      </c>
      <c r="S108" s="1" t="str">
        <f aca="false">VLOOKUP(P108,[1]Categorizations!A$1:C$1048576,3,FALSE())</f>
        <v>Prohibited Additives / Product</v>
      </c>
    </row>
    <row r="109" customFormat="false" ht="15.75" hidden="false" customHeight="false" outlineLevel="0" collapsed="false">
      <c r="A109" s="1" t="str">
        <f aca="false">CONCATENATE(C109,J109)</f>
        <v>45581K.U.S.H. COLLECTIVE</v>
      </c>
      <c r="B109" s="4" t="n">
        <v>45581</v>
      </c>
      <c r="C109" s="4" t="n">
        <v>45581</v>
      </c>
      <c r="D109" s="1" t="s">
        <v>157</v>
      </c>
      <c r="E109" s="6" t="s">
        <v>344</v>
      </c>
      <c r="F109" s="1"/>
      <c r="G109" s="1" t="s">
        <v>22</v>
      </c>
      <c r="H109" s="1" t="s">
        <v>302</v>
      </c>
      <c r="I109" s="1" t="s">
        <v>345</v>
      </c>
      <c r="J109" s="1" t="s">
        <v>306</v>
      </c>
      <c r="M109" s="1" t="s">
        <v>26</v>
      </c>
      <c r="N109" s="4"/>
      <c r="O109" s="1"/>
      <c r="P109" s="1" t="s">
        <v>346</v>
      </c>
      <c r="Q109" s="1" t="s">
        <v>35</v>
      </c>
      <c r="R109" s="1" t="str">
        <f aca="false">VLOOKUP(P109,[1]Categorizations!A$1:C$1048576,2,FALSE())</f>
        <v>Adulterated / Misbranded</v>
      </c>
      <c r="S109" s="1" t="str">
        <f aca="false">VLOOKUP(P109,[1]Categorizations!A$1:C$1048576,3,FALSE())</f>
        <v>Mislabeled</v>
      </c>
    </row>
    <row r="110" customFormat="false" ht="15.75" hidden="false" customHeight="false" outlineLevel="0" collapsed="false">
      <c r="A110" s="1" t="str">
        <f aca="false">CONCATENATE(C110,J110)</f>
        <v>45582ZASP</v>
      </c>
      <c r="B110" s="4" t="n">
        <v>45581</v>
      </c>
      <c r="C110" s="5" t="n">
        <v>45582</v>
      </c>
      <c r="D110" s="1" t="s">
        <v>157</v>
      </c>
      <c r="E110" s="6" t="s">
        <v>347</v>
      </c>
      <c r="F110" s="1"/>
      <c r="G110" s="1" t="s">
        <v>38</v>
      </c>
      <c r="H110" s="1" t="s">
        <v>55</v>
      </c>
      <c r="I110" s="1" t="s">
        <v>348</v>
      </c>
      <c r="J110" s="1" t="s">
        <v>349</v>
      </c>
      <c r="M110" s="1" t="s">
        <v>103</v>
      </c>
      <c r="N110" s="4" t="n">
        <v>45488</v>
      </c>
      <c r="O110" s="4" t="n">
        <v>45495</v>
      </c>
      <c r="P110" s="1" t="s">
        <v>350</v>
      </c>
      <c r="Q110" s="1" t="s">
        <v>35</v>
      </c>
      <c r="R110" s="1" t="str">
        <f aca="false">VLOOKUP(P110,[1]Categorizations!A$1:C$1048576,2,FALSE())</f>
        <v>Arsenic</v>
      </c>
      <c r="S110" s="1" t="str">
        <f aca="false">VLOOKUP(P110,[1]Categorizations!A$1:C$1048576,3,FALSE())</f>
        <v>Heavy Metals</v>
      </c>
    </row>
    <row r="111" customFormat="false" ht="15.75" hidden="false" customHeight="false" outlineLevel="0" collapsed="false">
      <c r="A111" s="1" t="str">
        <f aca="false">CONCATENATE(C111,J111)</f>
        <v>45590Phire Laboratories &amp; Distribution Inc.</v>
      </c>
      <c r="B111" s="4" t="n">
        <v>45590</v>
      </c>
      <c r="C111" s="5" t="n">
        <v>45590</v>
      </c>
      <c r="D111" s="1" t="s">
        <v>157</v>
      </c>
      <c r="E111" s="6" t="s">
        <v>351</v>
      </c>
      <c r="F111" s="1"/>
      <c r="G111" s="1" t="s">
        <v>38</v>
      </c>
      <c r="H111" s="1" t="s">
        <v>210</v>
      </c>
      <c r="I111" s="1" t="s">
        <v>352</v>
      </c>
      <c r="J111" s="1" t="s">
        <v>353</v>
      </c>
      <c r="M111" s="1" t="s">
        <v>103</v>
      </c>
      <c r="N111" s="4" t="n">
        <v>45159</v>
      </c>
      <c r="O111" s="4" t="n">
        <v>45167</v>
      </c>
      <c r="P111" s="1" t="s">
        <v>354</v>
      </c>
      <c r="Q111" s="1" t="s">
        <v>35</v>
      </c>
      <c r="R111" s="1" t="str">
        <f aca="false">VLOOKUP(P111,[1]Categorizations!A$1:C$1048576,2,FALSE())</f>
        <v>Pesticides</v>
      </c>
      <c r="S111" s="1" t="str">
        <f aca="false">VLOOKUP(P111,[1]Categorizations!A$1:C$1048576,3,FALSE())</f>
        <v>Pesticides</v>
      </c>
    </row>
    <row r="112" customFormat="false" ht="15.75" hidden="false" customHeight="false" outlineLevel="0" collapsed="false">
      <c r="A112" s="1" t="str">
        <f aca="false">CONCATENATE(C112,J112)</f>
        <v>45597Aureus LLC</v>
      </c>
      <c r="B112" s="4" t="n">
        <v>45597</v>
      </c>
      <c r="C112" s="5" t="n">
        <v>45597</v>
      </c>
      <c r="D112" s="1" t="s">
        <v>157</v>
      </c>
      <c r="E112" s="6" t="s">
        <v>355</v>
      </c>
      <c r="F112" s="1"/>
      <c r="G112" s="1" t="s">
        <v>38</v>
      </c>
      <c r="H112" s="1" t="s">
        <v>174</v>
      </c>
      <c r="I112" s="1" t="s">
        <v>356</v>
      </c>
      <c r="J112" s="1" t="s">
        <v>357</v>
      </c>
      <c r="M112" s="1" t="s">
        <v>26</v>
      </c>
      <c r="N112" s="4"/>
      <c r="O112" s="4"/>
      <c r="P112" s="1" t="s">
        <v>358</v>
      </c>
      <c r="Q112" s="1" t="s">
        <v>35</v>
      </c>
      <c r="R112" s="1" t="str">
        <f aca="false">VLOOKUP(P112,[1]Categorizations!A$1:C$1048576,2,FALSE())</f>
        <v>Prohibited Additives / Product</v>
      </c>
      <c r="S112" s="1" t="str">
        <f aca="false">VLOOKUP(P112,[1]Categorizations!A$1:C$1048576,3,FALSE())</f>
        <v>Prohibited Additives / Product</v>
      </c>
    </row>
    <row r="113" customFormat="false" ht="15.75" hidden="false" customHeight="false" outlineLevel="0" collapsed="false">
      <c r="A113" s="1" t="str">
        <f aca="false">CONCATENATE(C113,J113)</f>
        <v>45617DGU LLC</v>
      </c>
      <c r="B113" s="4" t="n">
        <v>45617</v>
      </c>
      <c r="C113" s="5" t="n">
        <v>45617</v>
      </c>
      <c r="D113" s="1" t="s">
        <v>157</v>
      </c>
      <c r="E113" s="6" t="s">
        <v>359</v>
      </c>
      <c r="F113" s="1"/>
      <c r="G113" s="1" t="s">
        <v>38</v>
      </c>
      <c r="H113" s="1" t="s">
        <v>200</v>
      </c>
      <c r="I113" s="1" t="s">
        <v>360</v>
      </c>
      <c r="J113" s="1" t="s">
        <v>361</v>
      </c>
      <c r="M113" s="1" t="s">
        <v>103</v>
      </c>
      <c r="N113" s="4" t="s">
        <v>362</v>
      </c>
      <c r="O113" s="4" t="n">
        <v>45224</v>
      </c>
      <c r="P113" s="1" t="s">
        <v>354</v>
      </c>
      <c r="Q113" s="1" t="s">
        <v>35</v>
      </c>
      <c r="R113" s="1" t="str">
        <f aca="false">VLOOKUP(P113,[1]Categorizations!A$1:C$1048576,2,FALSE())</f>
        <v>Pesticides</v>
      </c>
      <c r="S113" s="1" t="str">
        <f aca="false">VLOOKUP(P113,[1]Categorizations!A$1:C$1048576,3,FALSE())</f>
        <v>Pesticides</v>
      </c>
    </row>
    <row r="114" customFormat="false" ht="15.75" hidden="false" customHeight="false" outlineLevel="0" collapsed="false">
      <c r="A114" s="1" t="str">
        <f aca="false">CONCATENATE(C114,J114)</f>
        <v>45630MBM Kosher</v>
      </c>
      <c r="B114" s="4" t="n">
        <v>45630</v>
      </c>
      <c r="C114" s="5" t="n">
        <v>45630</v>
      </c>
      <c r="D114" s="1" t="s">
        <v>157</v>
      </c>
      <c r="E114" s="6" t="s">
        <v>363</v>
      </c>
      <c r="F114" s="1"/>
      <c r="G114" s="1" t="s">
        <v>38</v>
      </c>
      <c r="H114" s="1" t="s">
        <v>210</v>
      </c>
      <c r="I114" s="1" t="s">
        <v>364</v>
      </c>
      <c r="J114" s="1" t="s">
        <v>365</v>
      </c>
      <c r="M114" s="1" t="s">
        <v>103</v>
      </c>
      <c r="N114" s="4" t="n">
        <v>45335</v>
      </c>
      <c r="O114" s="4" t="n">
        <v>45343</v>
      </c>
      <c r="P114" s="1" t="s">
        <v>336</v>
      </c>
      <c r="Q114" s="1" t="s">
        <v>35</v>
      </c>
      <c r="R114" s="1" t="str">
        <f aca="false">VLOOKUP(P114,[1]Categorizations!A$1:C$1048576,2,FALSE())</f>
        <v>Pesticides</v>
      </c>
      <c r="S114" s="1" t="str">
        <f aca="false">VLOOKUP(P114,[1]Categorizations!A$1:C$1048576,3,FALSE())</f>
        <v>Pesticides</v>
      </c>
    </row>
    <row r="115" customFormat="false" ht="15.75" hidden="false" customHeight="false" outlineLevel="0" collapsed="false">
      <c r="A115" s="1" t="str">
        <f aca="false">CONCATENATE(C115,J115)</f>
        <v>45631Industrial Court L11, LLC</v>
      </c>
      <c r="B115" s="4" t="n">
        <v>45631</v>
      </c>
      <c r="C115" s="5" t="n">
        <v>45631</v>
      </c>
      <c r="D115" s="1" t="s">
        <v>157</v>
      </c>
      <c r="E115" s="6" t="s">
        <v>366</v>
      </c>
      <c r="F115" s="1"/>
      <c r="G115" s="1" t="s">
        <v>38</v>
      </c>
      <c r="H115" s="1" t="s">
        <v>55</v>
      </c>
      <c r="I115" s="1" t="s">
        <v>367</v>
      </c>
      <c r="J115" s="1" t="s">
        <v>368</v>
      </c>
      <c r="M115" s="1" t="s">
        <v>103</v>
      </c>
      <c r="N115" s="4" t="n">
        <v>45208</v>
      </c>
      <c r="O115" s="4" t="n">
        <v>45216</v>
      </c>
      <c r="P115" s="1" t="s">
        <v>369</v>
      </c>
      <c r="Q115" s="1" t="s">
        <v>35</v>
      </c>
      <c r="R115" s="1" t="str">
        <f aca="false">VLOOKUP(P115,[1]Categorizations!A$1:C$1048576,2,FALSE())</f>
        <v>Pesticides</v>
      </c>
      <c r="S115" s="1" t="str">
        <f aca="false">VLOOKUP(P115,[1]Categorizations!A$1:C$1048576,3,FALSE())</f>
        <v>Pesticides</v>
      </c>
    </row>
    <row r="116" customFormat="false" ht="15.75" hidden="false" customHeight="false" outlineLevel="0" collapsed="false">
      <c r="A116" s="1" t="str">
        <f aca="false">CONCATENATE(C116,J116)</f>
        <v>45631Industrial Court L11, LLC</v>
      </c>
      <c r="B116" s="4" t="n">
        <v>45631</v>
      </c>
      <c r="C116" s="5" t="n">
        <v>45631</v>
      </c>
      <c r="D116" s="1" t="s">
        <v>157</v>
      </c>
      <c r="E116" s="6" t="s">
        <v>370</v>
      </c>
      <c r="F116" s="1"/>
      <c r="G116" s="1" t="s">
        <v>38</v>
      </c>
      <c r="H116" s="1" t="s">
        <v>200</v>
      </c>
      <c r="I116" s="1" t="s">
        <v>371</v>
      </c>
      <c r="J116" s="1" t="s">
        <v>368</v>
      </c>
      <c r="M116" s="1" t="s">
        <v>103</v>
      </c>
      <c r="N116" s="4" t="n">
        <v>45146</v>
      </c>
      <c r="O116" s="4" t="n">
        <v>45149</v>
      </c>
      <c r="P116" s="1" t="s">
        <v>336</v>
      </c>
      <c r="Q116" s="1" t="s">
        <v>35</v>
      </c>
      <c r="R116" s="1" t="str">
        <f aca="false">VLOOKUP(P116,[1]Categorizations!A$1:C$1048576,2,FALSE())</f>
        <v>Pesticides</v>
      </c>
      <c r="S116" s="1" t="str">
        <f aca="false">VLOOKUP(P116,[1]Categorizations!A$1:C$1048576,3,FALSE())</f>
        <v>Pesticides</v>
      </c>
    </row>
    <row r="117" customFormat="false" ht="15.75" hidden="false" customHeight="false" outlineLevel="0" collapsed="false">
      <c r="A117" s="1" t="str">
        <f aca="false">CONCATENATE(C117,J117)</f>
        <v>45632Ironworks Collective Inc.</v>
      </c>
      <c r="B117" s="4" t="n">
        <v>45632</v>
      </c>
      <c r="C117" s="5" t="n">
        <v>45632</v>
      </c>
      <c r="D117" s="1" t="s">
        <v>157</v>
      </c>
      <c r="E117" s="6" t="s">
        <v>372</v>
      </c>
      <c r="F117" s="1"/>
      <c r="G117" s="1" t="s">
        <v>38</v>
      </c>
      <c r="H117" s="1" t="s">
        <v>210</v>
      </c>
      <c r="I117" s="1" t="s">
        <v>373</v>
      </c>
      <c r="J117" s="1" t="s">
        <v>374</v>
      </c>
      <c r="M117" s="1" t="s">
        <v>103</v>
      </c>
      <c r="N117" s="4" t="n">
        <v>44462</v>
      </c>
      <c r="O117" s="4" t="n">
        <v>44489</v>
      </c>
      <c r="P117" s="1" t="s">
        <v>354</v>
      </c>
      <c r="Q117" s="1" t="s">
        <v>35</v>
      </c>
      <c r="R117" s="1" t="str">
        <f aca="false">VLOOKUP(P117,[1]Categorizations!A$1:C$1048576,2,FALSE())</f>
        <v>Pesticides</v>
      </c>
      <c r="S117" s="1" t="str">
        <f aca="false">VLOOKUP(P117,[1]Categorizations!A$1:C$1048576,3,FALSE())</f>
        <v>Pesticides</v>
      </c>
    </row>
    <row r="118" customFormat="false" ht="15.75" hidden="false" customHeight="false" outlineLevel="0" collapsed="false">
      <c r="A118" s="1" t="str">
        <f aca="false">CONCATENATE(C118,J118)</f>
        <v>45639RCW Manufacturing</v>
      </c>
      <c r="B118" s="4" t="n">
        <v>45632</v>
      </c>
      <c r="C118" s="5" t="n">
        <v>45639</v>
      </c>
      <c r="D118" s="1" t="s">
        <v>157</v>
      </c>
      <c r="E118" s="6" t="s">
        <v>375</v>
      </c>
      <c r="F118" s="1"/>
      <c r="G118" s="1" t="s">
        <v>38</v>
      </c>
      <c r="H118" s="1" t="s">
        <v>174</v>
      </c>
      <c r="I118" s="1" t="s">
        <v>376</v>
      </c>
      <c r="J118" s="1" t="s">
        <v>178</v>
      </c>
      <c r="M118" s="1" t="s">
        <v>103</v>
      </c>
      <c r="N118" s="4" t="n">
        <v>45432</v>
      </c>
      <c r="O118" s="4" t="n">
        <v>45418</v>
      </c>
      <c r="P118" s="1" t="s">
        <v>358</v>
      </c>
      <c r="Q118" s="1" t="s">
        <v>35</v>
      </c>
      <c r="R118" s="1" t="str">
        <f aca="false">VLOOKUP(P118,[1]Categorizations!A$1:C$1048576,2,FALSE())</f>
        <v>Prohibited Additives / Product</v>
      </c>
      <c r="S118" s="1" t="str">
        <f aca="false">VLOOKUP(P118,[1]Categorizations!A$1:C$1048576,3,FALSE())</f>
        <v>Prohibited Additives / Product</v>
      </c>
    </row>
    <row r="119" customFormat="false" ht="15.75" hidden="false" customHeight="false" outlineLevel="0" collapsed="false">
      <c r="A119" s="1" t="str">
        <f aca="false">CONCATENATE(C119,J119)</f>
        <v>456392JC LLC</v>
      </c>
      <c r="B119" s="4" t="n">
        <v>45639</v>
      </c>
      <c r="C119" s="5" t="n">
        <v>45639</v>
      </c>
      <c r="D119" s="1" t="s">
        <v>157</v>
      </c>
      <c r="E119" s="6" t="s">
        <v>377</v>
      </c>
      <c r="F119" s="1"/>
      <c r="G119" s="1" t="s">
        <v>38</v>
      </c>
      <c r="H119" s="1" t="s">
        <v>39</v>
      </c>
      <c r="I119" s="1" t="s">
        <v>378</v>
      </c>
      <c r="J119" s="1" t="s">
        <v>379</v>
      </c>
      <c r="M119" s="1" t="s">
        <v>103</v>
      </c>
      <c r="N119" s="4" t="n">
        <v>45574</v>
      </c>
      <c r="O119" s="4" t="n">
        <v>45589</v>
      </c>
      <c r="P119" s="1" t="s">
        <v>380</v>
      </c>
      <c r="Q119" s="1" t="s">
        <v>35</v>
      </c>
      <c r="R119" s="1" t="str">
        <f aca="false">VLOOKUP(P119,[1]Categorizations!A$1:C$1048576,2,FALSE())</f>
        <v>Multiple (Aspergillus, THC Inflation)</v>
      </c>
      <c r="S119" s="1" t="str">
        <f aca="false">VLOOKUP(P119,[1]Categorizations!A$1:C$1048576,3,FALSE())</f>
        <v>Multiple</v>
      </c>
    </row>
    <row r="120" customFormat="false" ht="15.75" hidden="false" customHeight="false" outlineLevel="0" collapsed="false">
      <c r="A120" s="1" t="str">
        <f aca="false">CONCATENATE(C120,J120)</f>
        <v>456422JC LLC</v>
      </c>
      <c r="B120" s="4" t="n">
        <v>45639</v>
      </c>
      <c r="C120" s="5" t="n">
        <v>45642</v>
      </c>
      <c r="D120" s="1" t="s">
        <v>157</v>
      </c>
      <c r="E120" s="6" t="s">
        <v>381</v>
      </c>
      <c r="F120" s="1"/>
      <c r="G120" s="1" t="s">
        <v>38</v>
      </c>
      <c r="H120" s="1" t="s">
        <v>55</v>
      </c>
      <c r="I120" s="1" t="s">
        <v>382</v>
      </c>
      <c r="J120" s="1" t="s">
        <v>379</v>
      </c>
      <c r="M120" s="1" t="s">
        <v>103</v>
      </c>
      <c r="N120" s="4" t="n">
        <v>45553</v>
      </c>
      <c r="O120" s="4" t="n">
        <v>45569</v>
      </c>
      <c r="P120" s="1" t="s">
        <v>380</v>
      </c>
      <c r="Q120" s="1" t="s">
        <v>35</v>
      </c>
      <c r="R120" s="1" t="str">
        <f aca="false">VLOOKUP(P120,[1]Categorizations!A$1:C$1048576,2,FALSE())</f>
        <v>Multiple (Aspergillus, THC Inflation)</v>
      </c>
      <c r="S120" s="1" t="str">
        <f aca="false">VLOOKUP(P120,[1]Categorizations!A$1:C$1048576,3,FALSE())</f>
        <v>Multiple</v>
      </c>
    </row>
    <row r="121" customFormat="false" ht="15.75" hidden="false" customHeight="false" outlineLevel="0" collapsed="false">
      <c r="A121" s="1" t="str">
        <f aca="false">CONCATENATE(C121,J121)</f>
        <v>45645Saints Place, LLC</v>
      </c>
      <c r="B121" s="4" t="n">
        <v>45643</v>
      </c>
      <c r="C121" s="5" t="n">
        <v>45645</v>
      </c>
      <c r="D121" s="1" t="s">
        <v>157</v>
      </c>
      <c r="E121" s="6" t="s">
        <v>383</v>
      </c>
      <c r="F121" s="1"/>
      <c r="G121" s="1" t="s">
        <v>38</v>
      </c>
      <c r="H121" s="1" t="s">
        <v>200</v>
      </c>
      <c r="I121" s="1" t="s">
        <v>384</v>
      </c>
      <c r="J121" s="1" t="s">
        <v>385</v>
      </c>
      <c r="M121" s="1" t="s">
        <v>103</v>
      </c>
      <c r="N121" s="4" t="n">
        <v>45600</v>
      </c>
      <c r="O121" s="4" t="n">
        <v>45608</v>
      </c>
      <c r="P121" s="1" t="s">
        <v>386</v>
      </c>
      <c r="Q121" s="1" t="s">
        <v>35</v>
      </c>
      <c r="R121" s="1" t="str">
        <f aca="false">VLOOKUP(P121,[1]Categorizations!A$1:C$1048576,2,FALSE())</f>
        <v>Solvent</v>
      </c>
      <c r="S121" s="1" t="str">
        <f aca="false">VLOOKUP(P121,[1]Categorizations!A$1:C$1048576,3,FALSE())</f>
        <v>Solvent</v>
      </c>
    </row>
    <row r="122" customFormat="false" ht="15.75" hidden="false" customHeight="false" outlineLevel="0" collapsed="false">
      <c r="A122" s="1" t="str">
        <f aca="false">CONCATENATE(C122,J122)</f>
        <v>45657NLT NCA LC – 5851, LLC</v>
      </c>
      <c r="B122" s="4" t="n">
        <v>45657</v>
      </c>
      <c r="C122" s="5" t="n">
        <v>45657</v>
      </c>
      <c r="D122" s="1" t="s">
        <v>157</v>
      </c>
      <c r="E122" s="6" t="s">
        <v>387</v>
      </c>
      <c r="F122" s="1"/>
      <c r="G122" s="1" t="s">
        <v>38</v>
      </c>
      <c r="H122" s="1" t="s">
        <v>39</v>
      </c>
      <c r="I122" s="1" t="s">
        <v>388</v>
      </c>
      <c r="J122" s="1" t="s">
        <v>389</v>
      </c>
      <c r="M122" s="1" t="s">
        <v>103</v>
      </c>
      <c r="N122" s="4" t="n">
        <v>45577</v>
      </c>
      <c r="O122" s="4" t="n">
        <v>45583</v>
      </c>
      <c r="P122" s="1" t="s">
        <v>390</v>
      </c>
      <c r="Q122" s="1" t="s">
        <v>35</v>
      </c>
      <c r="R122" s="1" t="str">
        <f aca="false">VLOOKUP(P122,[1]Categorizations!A$1:C$1048576,2,FALSE())</f>
        <v>Multiple (Aspergillus, THC inflation)</v>
      </c>
      <c r="S122" s="1" t="str">
        <f aca="false">VLOOKUP(P122,[1]Categorizations!A$1:C$1048576,3,FALSE())</f>
        <v>Multiple</v>
      </c>
    </row>
    <row r="123" customFormat="false" ht="15.75" hidden="false" customHeight="false" outlineLevel="0" collapsed="false">
      <c r="A123" s="1" t="str">
        <f aca="false">CONCATENATE(C123,J123)</f>
        <v>456632JC LLC</v>
      </c>
      <c r="B123" s="4" t="n">
        <v>45660</v>
      </c>
      <c r="C123" s="5" t="n">
        <v>45663</v>
      </c>
      <c r="D123" s="1" t="s">
        <v>157</v>
      </c>
      <c r="E123" s="6" t="s">
        <v>391</v>
      </c>
      <c r="F123" s="1"/>
      <c r="G123" s="1" t="s">
        <v>38</v>
      </c>
      <c r="H123" s="1" t="s">
        <v>39</v>
      </c>
      <c r="I123" s="1" t="s">
        <v>392</v>
      </c>
      <c r="J123" s="1" t="s">
        <v>379</v>
      </c>
      <c r="M123" s="1" t="s">
        <v>103</v>
      </c>
      <c r="N123" s="4" t="n">
        <v>45545</v>
      </c>
      <c r="O123" s="4" t="n">
        <v>45545</v>
      </c>
      <c r="P123" s="1" t="s">
        <v>380</v>
      </c>
      <c r="Q123" s="1" t="s">
        <v>35</v>
      </c>
      <c r="R123" s="1" t="str">
        <f aca="false">VLOOKUP(P123,[1]Categorizations!A$1:C$1048576,2,FALSE())</f>
        <v>Multiple (Aspergillus, THC Inflation)</v>
      </c>
      <c r="S123" s="1" t="str">
        <f aca="false">VLOOKUP(P123,[1]Categorizations!A$1:C$1048576,3,FALSE())</f>
        <v>Multiple</v>
      </c>
    </row>
    <row r="124" customFormat="false" ht="15.75" hidden="false" customHeight="false" outlineLevel="0" collapsed="false">
      <c r="A124" s="1" t="str">
        <f aca="false">CONCATENATE(C124,J124)</f>
        <v>45674Lucky Family Brands Inc.</v>
      </c>
      <c r="B124" s="4" t="n">
        <v>45673</v>
      </c>
      <c r="C124" s="5" t="n">
        <v>45674</v>
      </c>
      <c r="D124" s="1" t="s">
        <v>157</v>
      </c>
      <c r="E124" s="6" t="s">
        <v>393</v>
      </c>
      <c r="F124" s="1"/>
      <c r="G124" s="1" t="s">
        <v>38</v>
      </c>
      <c r="H124" s="1" t="s">
        <v>193</v>
      </c>
      <c r="I124" s="1" t="s">
        <v>394</v>
      </c>
      <c r="J124" s="1" t="s">
        <v>395</v>
      </c>
      <c r="M124" s="1" t="s">
        <v>103</v>
      </c>
      <c r="N124" s="4" t="n">
        <v>45590</v>
      </c>
      <c r="O124" s="4" t="n">
        <v>45635</v>
      </c>
      <c r="P124" s="1" t="s">
        <v>396</v>
      </c>
      <c r="Q124" s="1" t="s">
        <v>35</v>
      </c>
      <c r="R124" s="1" t="str">
        <f aca="false">VLOOKUP(P124,[1]Categorizations!A$1:C$1048576,2,FALSE())</f>
        <v>Multiple (Invalid Testing, Prohibited Product)</v>
      </c>
      <c r="S124" s="1" t="str">
        <f aca="false">VLOOKUP(P124,[1]Categorizations!A$1:C$1048576,3,FALSE())</f>
        <v>Lab Issue</v>
      </c>
    </row>
    <row r="125" customFormat="false" ht="15.75" hidden="false" customHeight="false" outlineLevel="0" collapsed="false">
      <c r="A125" s="1" t="str">
        <f aca="false">CONCATENATE(C125,J125)</f>
        <v>45686The Back House</v>
      </c>
      <c r="B125" s="4" t="n">
        <v>45686</v>
      </c>
      <c r="C125" s="5" t="n">
        <v>45686</v>
      </c>
      <c r="D125" s="1" t="s">
        <v>157</v>
      </c>
      <c r="E125" s="6" t="s">
        <v>397</v>
      </c>
      <c r="F125" s="1"/>
      <c r="G125" s="1" t="s">
        <v>38</v>
      </c>
      <c r="H125" s="1" t="s">
        <v>39</v>
      </c>
      <c r="I125" s="1" t="s">
        <v>398</v>
      </c>
      <c r="J125" s="1" t="s">
        <v>399</v>
      </c>
      <c r="M125" s="1" t="s">
        <v>103</v>
      </c>
      <c r="N125" s="4" t="n">
        <v>45615</v>
      </c>
      <c r="O125" s="4" t="n">
        <v>45618</v>
      </c>
      <c r="P125" s="1" t="s">
        <v>400</v>
      </c>
      <c r="Q125" s="1" t="s">
        <v>35</v>
      </c>
      <c r="R125" s="1" t="str">
        <f aca="false">VLOOKUP(P125,[1]Categorizations!A$1:C$1048576,2,FALSE())</f>
        <v>Aspergillus</v>
      </c>
      <c r="S125" s="1" t="str">
        <f aca="false">VLOOKUP(P125,[1]Categorizations!A$1:C$1048576,3,FALSE())</f>
        <v>Microbial Contamination</v>
      </c>
    </row>
    <row r="126" customFormat="false" ht="15.75" hidden="false" customHeight="false" outlineLevel="0" collapsed="false">
      <c r="A126" s="1" t="str">
        <f aca="false">CONCATENATE(C126,J126)</f>
        <v>45687Med for America Inc.</v>
      </c>
      <c r="B126" s="4" t="n">
        <v>45687</v>
      </c>
      <c r="C126" s="5" t="n">
        <v>45687</v>
      </c>
      <c r="D126" s="1" t="s">
        <v>157</v>
      </c>
      <c r="E126" s="6" t="s">
        <v>401</v>
      </c>
      <c r="F126" s="1"/>
      <c r="G126" s="1" t="s">
        <v>38</v>
      </c>
      <c r="H126" s="1" t="s">
        <v>55</v>
      </c>
      <c r="I126" s="1" t="s">
        <v>402</v>
      </c>
      <c r="J126" s="1" t="s">
        <v>403</v>
      </c>
      <c r="M126" s="1" t="s">
        <v>103</v>
      </c>
      <c r="N126" s="4" t="n">
        <v>45593</v>
      </c>
      <c r="O126" s="4" t="n">
        <v>45607</v>
      </c>
      <c r="P126" s="1" t="s">
        <v>380</v>
      </c>
      <c r="Q126" s="1" t="s">
        <v>35</v>
      </c>
      <c r="R126" s="1" t="str">
        <f aca="false">VLOOKUP(P126,[1]Categorizations!A$1:C$1048576,2,FALSE())</f>
        <v>Multiple (Aspergillus, THC Inflation)</v>
      </c>
      <c r="S126" s="1" t="str">
        <f aca="false">VLOOKUP(P126,[1]Categorizations!A$1:C$1048576,3,FALSE())</f>
        <v>Multiple</v>
      </c>
    </row>
    <row r="127" customFormat="false" ht="15.75" hidden="false" customHeight="false" outlineLevel="0" collapsed="false">
      <c r="A127" s="1" t="str">
        <f aca="false">CONCATENATE(C127,J127)</f>
        <v>45692Chico California Cannabis Co.</v>
      </c>
      <c r="B127" s="4" t="n">
        <v>45692</v>
      </c>
      <c r="C127" s="5" t="n">
        <v>45692</v>
      </c>
      <c r="D127" s="1" t="s">
        <v>157</v>
      </c>
      <c r="E127" s="6" t="s">
        <v>404</v>
      </c>
      <c r="F127" s="1"/>
      <c r="G127" s="1" t="s">
        <v>38</v>
      </c>
      <c r="H127" s="1" t="s">
        <v>200</v>
      </c>
      <c r="I127" s="1" t="s">
        <v>405</v>
      </c>
      <c r="J127" s="1" t="s">
        <v>406</v>
      </c>
      <c r="M127" s="1" t="s">
        <v>103</v>
      </c>
      <c r="N127" s="4" t="n">
        <v>45646</v>
      </c>
      <c r="O127" s="4" t="n">
        <v>45642</v>
      </c>
      <c r="P127" s="1" t="s">
        <v>407</v>
      </c>
      <c r="Q127" s="1" t="s">
        <v>35</v>
      </c>
      <c r="R127" s="1" t="str">
        <f aca="false">VLOOKUP(P127,[1]Categorizations!A$1:C$1048576,2,FALSE())</f>
        <v>Invalid Testing</v>
      </c>
      <c r="S127" s="1" t="str">
        <f aca="false">VLOOKUP(P127,[1]Categorizations!A$1:C$1048576,3,FALSE())</f>
        <v>Lab Issue</v>
      </c>
    </row>
    <row r="128" customFormat="false" ht="15.75" hidden="false" customHeight="false" outlineLevel="0" collapsed="false">
      <c r="A128" s="1" t="str">
        <f aca="false">CONCATENATE(C128,J128)</f>
        <v>45707Baked Betty’s LLC</v>
      </c>
      <c r="B128" s="4" t="n">
        <v>45707</v>
      </c>
      <c r="C128" s="5" t="n">
        <v>45707</v>
      </c>
      <c r="D128" s="1" t="s">
        <v>157</v>
      </c>
      <c r="E128" s="6" t="s">
        <v>408</v>
      </c>
      <c r="F128" s="1"/>
      <c r="G128" s="1" t="s">
        <v>38</v>
      </c>
      <c r="H128" s="1" t="s">
        <v>174</v>
      </c>
      <c r="I128" s="1" t="s">
        <v>409</v>
      </c>
      <c r="J128" s="1" t="s">
        <v>410</v>
      </c>
      <c r="M128" s="1" t="s">
        <v>103</v>
      </c>
      <c r="N128" s="4" t="n">
        <v>45553</v>
      </c>
      <c r="O128" s="4" t="n">
        <v>45560</v>
      </c>
      <c r="P128" s="1" t="s">
        <v>411</v>
      </c>
      <c r="Q128" s="1" t="s">
        <v>35</v>
      </c>
      <c r="R128" s="1" t="str">
        <f aca="false">VLOOKUP(P128,[1]Categorizations!A$1:C$1048576,2,FALSE())</f>
        <v>Multiple: Inaccurate Ingredient Label, Lacking GMP</v>
      </c>
      <c r="S128" s="1" t="str">
        <f aca="false">VLOOKUP(P128,[1]Categorizations!A$1:C$1048576,3,FALSE())</f>
        <v>Mislabeled</v>
      </c>
    </row>
    <row r="129" customFormat="false" ht="15.75" hidden="false" customHeight="false" outlineLevel="0" collapsed="false">
      <c r="A129" s="1" t="str">
        <f aca="false">CONCATENATE(C129,J129)</f>
        <v>45709Shield Management Group LLC</v>
      </c>
      <c r="B129" s="4" t="n">
        <v>45706</v>
      </c>
      <c r="C129" s="5" t="n">
        <v>45709</v>
      </c>
      <c r="D129" s="1" t="s">
        <v>157</v>
      </c>
      <c r="E129" s="6" t="s">
        <v>412</v>
      </c>
      <c r="F129" s="1"/>
      <c r="G129" s="1" t="s">
        <v>38</v>
      </c>
      <c r="H129" s="1" t="s">
        <v>39</v>
      </c>
      <c r="I129" s="1" t="s">
        <v>413</v>
      </c>
      <c r="J129" s="1" t="s">
        <v>414</v>
      </c>
      <c r="M129" s="1" t="s">
        <v>103</v>
      </c>
      <c r="N129" s="4" t="n">
        <v>45573</v>
      </c>
      <c r="O129" s="4" t="n">
        <v>45582</v>
      </c>
      <c r="P129" s="1" t="s">
        <v>415</v>
      </c>
      <c r="Q129" s="1" t="s">
        <v>35</v>
      </c>
      <c r="R129" s="1" t="str">
        <f aca="false">VLOOKUP(P129,[1]Categorizations!A$1:C$1048576,2,FALSE())</f>
        <v>Invalid Testing</v>
      </c>
      <c r="S129" s="1" t="str">
        <f aca="false">VLOOKUP(P129,[1]Categorizations!A$1:C$1048576,3,FALSE())</f>
        <v>Lab Issue</v>
      </c>
    </row>
    <row r="130" customFormat="false" ht="15.75" hidden="false" customHeight="false" outlineLevel="0" collapsed="false">
      <c r="A130" s="1" t="str">
        <f aca="false">CONCATENATE(C130,J130)</f>
        <v>45709Discount Caregivers</v>
      </c>
      <c r="B130" s="4" t="n">
        <v>45708</v>
      </c>
      <c r="C130" s="5" t="n">
        <v>45709</v>
      </c>
      <c r="D130" s="1" t="s">
        <v>157</v>
      </c>
      <c r="E130" s="6" t="s">
        <v>416</v>
      </c>
      <c r="F130" s="1"/>
      <c r="G130" s="1" t="s">
        <v>38</v>
      </c>
      <c r="H130" s="1" t="s">
        <v>39</v>
      </c>
      <c r="I130" s="1" t="s">
        <v>417</v>
      </c>
      <c r="J130" s="1" t="s">
        <v>214</v>
      </c>
      <c r="M130" s="1" t="s">
        <v>103</v>
      </c>
      <c r="N130" s="4" t="n">
        <v>45677</v>
      </c>
      <c r="O130" s="4" t="n">
        <v>45680</v>
      </c>
      <c r="P130" s="1" t="s">
        <v>415</v>
      </c>
      <c r="Q130" s="1" t="s">
        <v>35</v>
      </c>
      <c r="R130" s="1" t="str">
        <f aca="false">VLOOKUP(P130,[1]Categorizations!A$1:C$1048576,2,FALSE())</f>
        <v>Invalid Testing</v>
      </c>
      <c r="S130" s="1" t="str">
        <f aca="false">VLOOKUP(P130,[1]Categorizations!A$1:C$1048576,3,FALSE())</f>
        <v>Lab Issue</v>
      </c>
    </row>
    <row r="131" customFormat="false" ht="15.75" hidden="false" customHeight="false" outlineLevel="0" collapsed="false">
      <c r="A131" s="1" t="str">
        <f aca="false">CONCATENATE(C131,J131)</f>
        <v>45709Therapeutic Health Collective Inc</v>
      </c>
      <c r="B131" s="4" t="n">
        <v>45708</v>
      </c>
      <c r="C131" s="5" t="n">
        <v>45709</v>
      </c>
      <c r="D131" s="1" t="s">
        <v>157</v>
      </c>
      <c r="E131" s="6" t="s">
        <v>418</v>
      </c>
      <c r="F131" s="1"/>
      <c r="G131" s="1" t="s">
        <v>38</v>
      </c>
      <c r="H131" s="1" t="s">
        <v>39</v>
      </c>
      <c r="I131" s="1" t="s">
        <v>419</v>
      </c>
      <c r="J131" s="1" t="s">
        <v>420</v>
      </c>
      <c r="M131" s="1" t="s">
        <v>103</v>
      </c>
      <c r="N131" s="4" t="n">
        <v>45413</v>
      </c>
      <c r="O131" s="4" t="n">
        <v>45434</v>
      </c>
      <c r="P131" s="1" t="s">
        <v>415</v>
      </c>
      <c r="Q131" s="1" t="s">
        <v>35</v>
      </c>
      <c r="R131" s="1" t="str">
        <f aca="false">VLOOKUP(P131,[1]Categorizations!A$1:C$1048576,2,FALSE())</f>
        <v>Invalid Testing</v>
      </c>
      <c r="S131" s="1" t="str">
        <f aca="false">VLOOKUP(P131,[1]Categorizations!A$1:C$1048576,3,FALSE())</f>
        <v>Lab Issue</v>
      </c>
    </row>
    <row r="132" customFormat="false" ht="15.75" hidden="false" customHeight="false" outlineLevel="0" collapsed="false">
      <c r="A132" s="1" t="str">
        <f aca="false">CONCATENATE(C132,J132)</f>
        <v>45712Alkhemists LLC</v>
      </c>
      <c r="B132" s="4" t="n">
        <v>45708</v>
      </c>
      <c r="C132" s="5" t="n">
        <v>45712</v>
      </c>
      <c r="D132" s="1" t="s">
        <v>157</v>
      </c>
      <c r="E132" s="6" t="s">
        <v>421</v>
      </c>
      <c r="F132" s="1"/>
      <c r="G132" s="1" t="s">
        <v>38</v>
      </c>
      <c r="H132" s="1" t="s">
        <v>39</v>
      </c>
      <c r="I132" s="1" t="s">
        <v>422</v>
      </c>
      <c r="J132" s="1" t="s">
        <v>423</v>
      </c>
      <c r="M132" s="1" t="s">
        <v>103</v>
      </c>
      <c r="N132" s="4" t="n">
        <v>45365</v>
      </c>
      <c r="O132" s="4" t="n">
        <v>45376</v>
      </c>
      <c r="P132" s="1" t="s">
        <v>415</v>
      </c>
      <c r="Q132" s="1" t="s">
        <v>35</v>
      </c>
      <c r="R132" s="1" t="str">
        <f aca="false">VLOOKUP(P132,[1]Categorizations!A$1:C$1048576,2,FALSE())</f>
        <v>Invalid Testing</v>
      </c>
      <c r="S132" s="1" t="str">
        <f aca="false">VLOOKUP(P132,[1]Categorizations!A$1:C$1048576,3,FALSE())</f>
        <v>Lab Issue</v>
      </c>
    </row>
    <row r="133" customFormat="false" ht="15.75" hidden="false" customHeight="false" outlineLevel="0" collapsed="false">
      <c r="A133" s="1" t="str">
        <f aca="false">CONCATENATE(C133,J133)</f>
        <v>457162JC LLC</v>
      </c>
      <c r="B133" s="4" t="n">
        <v>45715</v>
      </c>
      <c r="C133" s="5" t="n">
        <v>45716</v>
      </c>
      <c r="D133" s="1" t="s">
        <v>157</v>
      </c>
      <c r="E133" s="6" t="s">
        <v>424</v>
      </c>
      <c r="F133" s="1"/>
      <c r="G133" s="1" t="s">
        <v>38</v>
      </c>
      <c r="H133" s="1" t="s">
        <v>55</v>
      </c>
      <c r="I133" s="1" t="s">
        <v>382</v>
      </c>
      <c r="J133" s="1" t="s">
        <v>379</v>
      </c>
      <c r="M133" s="1" t="s">
        <v>103</v>
      </c>
      <c r="N133" s="4" t="n">
        <v>45642</v>
      </c>
      <c r="O133" s="4" t="n">
        <v>45666</v>
      </c>
      <c r="P133" s="1" t="s">
        <v>425</v>
      </c>
      <c r="Q133" s="1" t="s">
        <v>35</v>
      </c>
      <c r="R133" s="1" t="str">
        <f aca="false">VLOOKUP(P133,[1]Categorizations!A$1:C$1048576,2,FALSE())</f>
        <v>Multiple (Aspergillus, THC Inflation)</v>
      </c>
      <c r="S133" s="1" t="str">
        <f aca="false">VLOOKUP(P133,[1]Categorizations!A$1:C$1048576,3,FALSE())</f>
        <v>Multiple</v>
      </c>
    </row>
    <row r="134" customFormat="false" ht="15.75" hidden="false" customHeight="false" outlineLevel="0" collapsed="false">
      <c r="A134" s="1" t="str">
        <f aca="false">CONCATENATE(C134,J134)</f>
        <v>45720go NXT LVL</v>
      </c>
      <c r="B134" s="4" t="n">
        <v>45720</v>
      </c>
      <c r="C134" s="5" t="n">
        <v>45720</v>
      </c>
      <c r="D134" s="1" t="s">
        <v>157</v>
      </c>
      <c r="E134" s="6" t="s">
        <v>426</v>
      </c>
      <c r="F134" s="1"/>
      <c r="G134" s="1" t="s">
        <v>38</v>
      </c>
      <c r="H134" s="1" t="s">
        <v>174</v>
      </c>
      <c r="I134" s="1" t="s">
        <v>409</v>
      </c>
      <c r="J134" s="1" t="s">
        <v>427</v>
      </c>
      <c r="M134" s="1" t="s">
        <v>103</v>
      </c>
      <c r="N134" s="4" t="n">
        <v>45417</v>
      </c>
      <c r="O134" s="4" t="n">
        <v>45442</v>
      </c>
      <c r="P134" s="1" t="s">
        <v>411</v>
      </c>
      <c r="Q134" s="1" t="s">
        <v>35</v>
      </c>
      <c r="R134" s="1" t="str">
        <f aca="false">VLOOKUP(P134,[1]Categorizations!A$1:C$1048576,2,FALSE())</f>
        <v>Multiple: Inaccurate Ingredient Label, Lacking GMP</v>
      </c>
      <c r="S134" s="1" t="str">
        <f aca="false">VLOOKUP(P134,[1]Categorizations!A$1:C$1048576,3,FALSE())</f>
        <v>Mislabeled</v>
      </c>
    </row>
    <row r="135" customFormat="false" ht="15.75" hidden="false" customHeight="false" outlineLevel="0" collapsed="false">
      <c r="A135" s="1" t="str">
        <f aca="false">CONCATENATE(C135,J135)</f>
        <v>45723Little Cottage Caregivers LLC</v>
      </c>
      <c r="B135" s="4" t="n">
        <v>45721</v>
      </c>
      <c r="C135" s="5" t="n">
        <v>45723</v>
      </c>
      <c r="D135" s="1" t="s">
        <v>157</v>
      </c>
      <c r="E135" s="6" t="s">
        <v>428</v>
      </c>
      <c r="F135" s="1"/>
      <c r="G135" s="1" t="s">
        <v>38</v>
      </c>
      <c r="H135" s="1" t="s">
        <v>55</v>
      </c>
      <c r="I135" s="1" t="s">
        <v>429</v>
      </c>
      <c r="J135" s="1" t="s">
        <v>430</v>
      </c>
      <c r="M135" s="1" t="s">
        <v>103</v>
      </c>
      <c r="N135" s="4" t="n">
        <v>45398</v>
      </c>
      <c r="O135" s="4" t="n">
        <v>45400</v>
      </c>
      <c r="P135" s="1" t="s">
        <v>415</v>
      </c>
      <c r="Q135" s="1" t="s">
        <v>35</v>
      </c>
      <c r="R135" s="1" t="str">
        <f aca="false">VLOOKUP(P135,[1]Categorizations!A$1:C$1048576,2,FALSE())</f>
        <v>Invalid Testing</v>
      </c>
      <c r="S135" s="1" t="str">
        <f aca="false">VLOOKUP(P135,[1]Categorizations!A$1:C$1048576,3,FALSE())</f>
        <v>Lab Issue</v>
      </c>
    </row>
    <row r="136" customFormat="false" ht="15.75" hidden="false" customHeight="false" outlineLevel="0" collapsed="false">
      <c r="A136" s="1" t="str">
        <f aca="false">CONCATENATE(C136,J136)</f>
        <v>45723Lucky Family Brands Inc.</v>
      </c>
      <c r="B136" s="4" t="n">
        <v>45721</v>
      </c>
      <c r="C136" s="5" t="n">
        <v>45723</v>
      </c>
      <c r="D136" s="1" t="s">
        <v>157</v>
      </c>
      <c r="E136" s="6" t="s">
        <v>431</v>
      </c>
      <c r="F136" s="1"/>
      <c r="G136" s="1" t="s">
        <v>38</v>
      </c>
      <c r="H136" s="1" t="s">
        <v>39</v>
      </c>
      <c r="I136" s="1" t="s">
        <v>432</v>
      </c>
      <c r="J136" s="1" t="s">
        <v>395</v>
      </c>
      <c r="M136" s="1" t="s">
        <v>103</v>
      </c>
      <c r="N136" s="4" t="n">
        <v>45603</v>
      </c>
      <c r="O136" s="4" t="n">
        <v>45616</v>
      </c>
      <c r="P136" s="1" t="s">
        <v>415</v>
      </c>
      <c r="Q136" s="1" t="s">
        <v>35</v>
      </c>
      <c r="R136" s="1" t="str">
        <f aca="false">VLOOKUP(P136,[1]Categorizations!A$1:C$1048576,2,FALSE())</f>
        <v>Invalid Testing</v>
      </c>
      <c r="S136" s="1" t="str">
        <f aca="false">VLOOKUP(P136,[1]Categorizations!A$1:C$1048576,3,FALSE())</f>
        <v>Lab Issue</v>
      </c>
    </row>
    <row r="137" customFormat="false" ht="15.75" hidden="false" customHeight="false" outlineLevel="0" collapsed="false">
      <c r="A137" s="1" t="s">
        <v>433</v>
      </c>
      <c r="B137" s="4" t="n">
        <v>45721</v>
      </c>
      <c r="C137" s="5" t="n">
        <v>45723</v>
      </c>
      <c r="D137" s="1" t="s">
        <v>157</v>
      </c>
      <c r="E137" s="6" t="s">
        <v>434</v>
      </c>
      <c r="F137" s="1"/>
      <c r="G137" s="1" t="s">
        <v>38</v>
      </c>
      <c r="H137" s="1" t="s">
        <v>193</v>
      </c>
      <c r="I137" s="1" t="s">
        <v>435</v>
      </c>
      <c r="J137" s="1" t="s">
        <v>395</v>
      </c>
      <c r="M137" s="1" t="s">
        <v>103</v>
      </c>
      <c r="N137" s="4" t="n">
        <v>45590</v>
      </c>
      <c r="O137" s="4" t="n">
        <v>45614</v>
      </c>
      <c r="P137" s="1" t="s">
        <v>415</v>
      </c>
      <c r="Q137" s="1" t="s">
        <v>35</v>
      </c>
      <c r="R137" s="1" t="str">
        <f aca="false">VLOOKUP(P137,[1]Categorizations!A$1:C$1048576,2,FALSE())</f>
        <v>Invalid Testing</v>
      </c>
      <c r="S137" s="1" t="str">
        <f aca="false">VLOOKUP(P137,[1]Categorizations!A$1:C$1048576,3,FALSE())</f>
        <v>Lab Issue</v>
      </c>
    </row>
    <row r="138" customFormat="false" ht="15.75" hidden="false" customHeight="false" outlineLevel="0" collapsed="false">
      <c r="A138" s="1" t="s">
        <v>436</v>
      </c>
      <c r="B138" s="4" t="n">
        <v>45721</v>
      </c>
      <c r="C138" s="5" t="n">
        <v>45723</v>
      </c>
      <c r="D138" s="1" t="s">
        <v>157</v>
      </c>
      <c r="E138" s="6" t="s">
        <v>437</v>
      </c>
      <c r="F138" s="1"/>
      <c r="G138" s="1" t="s">
        <v>38</v>
      </c>
      <c r="H138" s="1" t="s">
        <v>55</v>
      </c>
      <c r="I138" s="1" t="s">
        <v>438</v>
      </c>
      <c r="J138" s="1" t="s">
        <v>438</v>
      </c>
      <c r="M138" s="1" t="s">
        <v>103</v>
      </c>
      <c r="N138" s="4" t="n">
        <v>45569</v>
      </c>
      <c r="O138" s="4" t="n">
        <v>45593</v>
      </c>
      <c r="P138" s="1" t="s">
        <v>415</v>
      </c>
      <c r="Q138" s="1" t="s">
        <v>35</v>
      </c>
      <c r="R138" s="1" t="str">
        <f aca="false">VLOOKUP(P138,[1]Categorizations!A$1:C$1048576,2,FALSE())</f>
        <v>Invalid Testing</v>
      </c>
      <c r="S138" s="1" t="str">
        <f aca="false">VLOOKUP(P138,[1]Categorizations!A$1:C$1048576,3,FALSE())</f>
        <v>Lab Issue</v>
      </c>
    </row>
    <row r="139" customFormat="false" ht="15.75" hidden="false" customHeight="false" outlineLevel="0" collapsed="false">
      <c r="A139" s="1" t="str">
        <f aca="false">CONCATENATE(C139,J139)</f>
        <v>45727The Green Zone Inc.</v>
      </c>
      <c r="B139" s="4" t="n">
        <v>45723</v>
      </c>
      <c r="C139" s="5" t="n">
        <v>45727</v>
      </c>
      <c r="D139" s="1" t="s">
        <v>157</v>
      </c>
      <c r="E139" s="6" t="s">
        <v>439</v>
      </c>
      <c r="F139" s="1"/>
      <c r="G139" s="1" t="s">
        <v>38</v>
      </c>
      <c r="H139" s="1" t="s">
        <v>39</v>
      </c>
      <c r="I139" s="1" t="s">
        <v>440</v>
      </c>
      <c r="J139" s="1" t="s">
        <v>441</v>
      </c>
      <c r="M139" s="1" t="s">
        <v>103</v>
      </c>
      <c r="N139" s="4" t="n">
        <v>45336</v>
      </c>
      <c r="O139" s="4" t="n">
        <v>45346</v>
      </c>
      <c r="P139" s="1" t="s">
        <v>415</v>
      </c>
      <c r="Q139" s="1" t="s">
        <v>35</v>
      </c>
      <c r="R139" s="1" t="str">
        <f aca="false">VLOOKUP(P139,[1]Categorizations!A$1:C$1048576,2,FALSE())</f>
        <v>Invalid Testing</v>
      </c>
      <c r="S139" s="1" t="str">
        <f aca="false">VLOOKUP(P139,[1]Categorizations!A$1:C$1048576,3,FALSE())</f>
        <v>Lab Issue</v>
      </c>
    </row>
    <row r="140" customFormat="false" ht="15.75" hidden="false" customHeight="false" outlineLevel="0" collapsed="false">
      <c r="A140" s="1" t="str">
        <f aca="false">CONCATENATE(C140,J140)</f>
        <v>45727Discount Caregivers</v>
      </c>
      <c r="B140" s="4" t="n">
        <v>45723</v>
      </c>
      <c r="C140" s="5" t="n">
        <v>45727</v>
      </c>
      <c r="D140" s="1" t="s">
        <v>157</v>
      </c>
      <c r="E140" s="6" t="s">
        <v>442</v>
      </c>
      <c r="F140" s="1"/>
      <c r="G140" s="1" t="s">
        <v>38</v>
      </c>
      <c r="H140" s="1" t="s">
        <v>39</v>
      </c>
      <c r="I140" s="1" t="s">
        <v>417</v>
      </c>
      <c r="J140" s="1" t="s">
        <v>214</v>
      </c>
      <c r="M140" s="1" t="s">
        <v>103</v>
      </c>
      <c r="N140" s="4" t="n">
        <v>45636</v>
      </c>
      <c r="O140" s="4" t="n">
        <v>45640</v>
      </c>
      <c r="P140" s="1" t="s">
        <v>415</v>
      </c>
      <c r="Q140" s="1" t="s">
        <v>35</v>
      </c>
      <c r="R140" s="1" t="str">
        <f aca="false">VLOOKUP(P140,[1]Categorizations!A$1:C$1048576,2,FALSE())</f>
        <v>Invalid Testing</v>
      </c>
      <c r="S140" s="1" t="str">
        <f aca="false">VLOOKUP(P140,[1]Categorizations!A$1:C$1048576,3,FALSE())</f>
        <v>Lab Issue</v>
      </c>
    </row>
    <row r="141" customFormat="false" ht="15.75" hidden="false" customHeight="false" outlineLevel="0" collapsed="false">
      <c r="A141" s="1" t="str">
        <f aca="false">CONCATENATE(C141,J141)</f>
        <v>45727Broadway Alliance LLC</v>
      </c>
      <c r="B141" s="4" t="n">
        <v>45723</v>
      </c>
      <c r="C141" s="5" t="n">
        <v>45727</v>
      </c>
      <c r="D141" s="1" t="s">
        <v>157</v>
      </c>
      <c r="E141" s="6" t="s">
        <v>443</v>
      </c>
      <c r="F141" s="1"/>
      <c r="G141" s="1" t="s">
        <v>38</v>
      </c>
      <c r="H141" s="1" t="s">
        <v>39</v>
      </c>
      <c r="I141" s="1" t="s">
        <v>444</v>
      </c>
      <c r="J141" s="1" t="s">
        <v>445</v>
      </c>
      <c r="M141" s="1" t="s">
        <v>103</v>
      </c>
      <c r="N141" s="4" t="n">
        <v>45602</v>
      </c>
      <c r="O141" s="4" t="n">
        <v>45630</v>
      </c>
      <c r="P141" s="1" t="s">
        <v>415</v>
      </c>
      <c r="Q141" s="1" t="s">
        <v>35</v>
      </c>
      <c r="R141" s="1" t="str">
        <f aca="false">VLOOKUP(P141,[1]Categorizations!A$1:C$1048576,2,FALSE())</f>
        <v>Invalid Testing</v>
      </c>
      <c r="S141" s="1" t="str">
        <f aca="false">VLOOKUP(P141,[1]Categorizations!A$1:C$1048576,3,FALSE())</f>
        <v>Lab Issue</v>
      </c>
    </row>
    <row r="142" customFormat="false" ht="15.75" hidden="false" customHeight="false" outlineLevel="0" collapsed="false">
      <c r="A142" s="1" t="str">
        <f aca="false">CONCATENATE(C142,J142)</f>
        <v>45730Bare Dispensary</v>
      </c>
      <c r="B142" s="4" t="n">
        <v>45723</v>
      </c>
      <c r="C142" s="5" t="n">
        <v>45730</v>
      </c>
      <c r="D142" s="1" t="s">
        <v>157</v>
      </c>
      <c r="E142" s="6" t="s">
        <v>446</v>
      </c>
      <c r="F142" s="1"/>
      <c r="G142" s="1" t="s">
        <v>38</v>
      </c>
      <c r="H142" s="1" t="s">
        <v>193</v>
      </c>
      <c r="I142" s="1" t="s">
        <v>447</v>
      </c>
      <c r="J142" s="1" t="s">
        <v>448</v>
      </c>
      <c r="M142" s="1" t="s">
        <v>103</v>
      </c>
      <c r="N142" s="4" t="n">
        <v>45461</v>
      </c>
      <c r="O142" s="4" t="n">
        <v>45482</v>
      </c>
      <c r="P142" s="1" t="s">
        <v>415</v>
      </c>
      <c r="Q142" s="1" t="s">
        <v>35</v>
      </c>
      <c r="R142" s="1" t="str">
        <f aca="false">VLOOKUP(P142,[1]Categorizations!A$1:C$1048576,2,FALSE())</f>
        <v>Invalid Testing</v>
      </c>
      <c r="S142" s="1" t="str">
        <f aca="false">VLOOKUP(P142,[1]Categorizations!A$1:C$1048576,3,FALSE())</f>
        <v>Lab Issue</v>
      </c>
    </row>
    <row r="143" customFormat="false" ht="15.75" hidden="false" customHeight="false" outlineLevel="0" collapsed="false">
      <c r="A143" s="1" t="str">
        <f aca="false">CONCATENATE(C143,J143)</f>
        <v>45736Med Care Farms 2.0 LLC</v>
      </c>
      <c r="B143" s="4" t="n">
        <v>45727</v>
      </c>
      <c r="C143" s="5" t="n">
        <v>45736</v>
      </c>
      <c r="D143" s="1" t="s">
        <v>157</v>
      </c>
      <c r="E143" s="6" t="s">
        <v>449</v>
      </c>
      <c r="F143" s="1"/>
      <c r="G143" s="1" t="s">
        <v>38</v>
      </c>
      <c r="H143" s="1" t="s">
        <v>39</v>
      </c>
      <c r="I143" s="1" t="s">
        <v>450</v>
      </c>
      <c r="J143" s="1" t="s">
        <v>451</v>
      </c>
      <c r="M143" s="1" t="s">
        <v>103</v>
      </c>
      <c r="N143" s="4" t="n">
        <v>45433</v>
      </c>
      <c r="O143" s="4" t="n">
        <v>45475</v>
      </c>
      <c r="P143" s="1" t="s">
        <v>415</v>
      </c>
      <c r="Q143" s="1" t="s">
        <v>35</v>
      </c>
      <c r="R143" s="1" t="str">
        <f aca="false">VLOOKUP(P143,[1]Categorizations!A$1:C$1048576,2,FALSE())</f>
        <v>Invalid Testing</v>
      </c>
      <c r="S143" s="1" t="str">
        <f aca="false">VLOOKUP(P143,[1]Categorizations!A$1:C$1048576,3,FALSE())</f>
        <v>Lab Issue</v>
      </c>
    </row>
    <row r="144" customFormat="false" ht="15.75" hidden="false" customHeight="false" outlineLevel="0" collapsed="false">
      <c r="A144" s="1" t="str">
        <f aca="false">CONCATENATE(C144,J144)</f>
        <v>45741Artisan Canna Cigars LLC</v>
      </c>
      <c r="B144" s="4" t="n">
        <v>45736</v>
      </c>
      <c r="C144" s="5" t="n">
        <v>45741</v>
      </c>
      <c r="D144" s="1" t="s">
        <v>157</v>
      </c>
      <c r="E144" s="6" t="s">
        <v>452</v>
      </c>
      <c r="F144" s="1"/>
      <c r="G144" s="1" t="s">
        <v>38</v>
      </c>
      <c r="H144" s="1" t="s">
        <v>200</v>
      </c>
      <c r="I144" s="1" t="s">
        <v>453</v>
      </c>
      <c r="J144" s="1" t="s">
        <v>454</v>
      </c>
      <c r="M144" s="1" t="s">
        <v>103</v>
      </c>
      <c r="N144" s="4" t="n">
        <v>45581</v>
      </c>
      <c r="O144" s="12" t="n">
        <v>45594</v>
      </c>
      <c r="P144" s="1" t="s">
        <v>311</v>
      </c>
      <c r="Q144" s="1" t="s">
        <v>35</v>
      </c>
      <c r="R144" s="1" t="str">
        <f aca="false">VLOOKUP(P144,[1]Categorizations!A$1:C$1048576,2,FALSE())</f>
        <v>Attractive Label</v>
      </c>
      <c r="S144" s="1" t="str">
        <f aca="false">VLOOKUP(P144,[1]Categorizations!A$1:C$1048576,3,FALSE())</f>
        <v>Packaging</v>
      </c>
    </row>
    <row r="145" customFormat="false" ht="15.75" hidden="false" customHeight="false" outlineLevel="0" collapsed="false">
      <c r="A145" s="1" t="str">
        <f aca="false">CONCATENATE(C145,J145)</f>
        <v>45742Redwood Herbal Alliance</v>
      </c>
      <c r="B145" s="4" t="n">
        <v>45737</v>
      </c>
      <c r="C145" s="5" t="n">
        <v>45742</v>
      </c>
      <c r="D145" s="1" t="s">
        <v>157</v>
      </c>
      <c r="E145" s="6" t="s">
        <v>455</v>
      </c>
      <c r="F145" s="1"/>
      <c r="G145" s="1" t="s">
        <v>38</v>
      </c>
      <c r="H145" s="1" t="s">
        <v>39</v>
      </c>
      <c r="I145" s="1" t="s">
        <v>456</v>
      </c>
      <c r="J145" s="1" t="s">
        <v>457</v>
      </c>
      <c r="M145" s="1" t="s">
        <v>103</v>
      </c>
      <c r="N145" s="4" t="n">
        <v>45526</v>
      </c>
      <c r="O145" s="4" t="n">
        <v>45551</v>
      </c>
      <c r="P145" s="1" t="s">
        <v>400</v>
      </c>
      <c r="Q145" s="1" t="s">
        <v>35</v>
      </c>
      <c r="R145" s="1" t="str">
        <f aca="false">VLOOKUP(P145,[1]Categorizations!A$1:C$1048576,2,FALSE())</f>
        <v>Aspergillus</v>
      </c>
      <c r="S145" s="1" t="str">
        <f aca="false">VLOOKUP(P145,[1]Categorizations!A$1:C$1048576,3,FALSE())</f>
        <v>Microbial Contamination</v>
      </c>
    </row>
    <row r="146" customFormat="false" ht="15.75" hidden="false" customHeight="false" outlineLevel="0" collapsed="false">
      <c r="A146" s="1" t="str">
        <f aca="false">CONCATENATE(C146,J146)</f>
        <v>45742Terpx Inc.</v>
      </c>
      <c r="B146" s="4" t="n">
        <v>45740</v>
      </c>
      <c r="C146" s="5" t="n">
        <v>45742</v>
      </c>
      <c r="D146" s="1" t="s">
        <v>157</v>
      </c>
      <c r="E146" s="6" t="s">
        <v>458</v>
      </c>
      <c r="F146" s="1"/>
      <c r="G146" s="1" t="s">
        <v>38</v>
      </c>
      <c r="H146" s="1" t="s">
        <v>193</v>
      </c>
      <c r="I146" s="1" t="s">
        <v>459</v>
      </c>
      <c r="J146" s="1" t="s">
        <v>460</v>
      </c>
      <c r="M146" s="1" t="s">
        <v>103</v>
      </c>
      <c r="N146" s="4" t="n">
        <v>45664</v>
      </c>
      <c r="O146" s="4" t="n">
        <v>45701</v>
      </c>
      <c r="P146" s="1" t="s">
        <v>288</v>
      </c>
      <c r="Q146" s="1" t="s">
        <v>35</v>
      </c>
      <c r="R146" s="1" t="str">
        <f aca="false">VLOOKUP(P146,[1]Categorizations!A$1:C$1048576,2,FALSE())</f>
        <v>Aspergillus</v>
      </c>
      <c r="S146" s="1" t="str">
        <f aca="false">VLOOKUP(P146,[1]Categorizations!A$1:C$1048576,3,FALSE())</f>
        <v>Microbial Contamination</v>
      </c>
    </row>
    <row r="147" customFormat="false" ht="15.75" hidden="false" customHeight="false" outlineLevel="0" collapsed="false">
      <c r="A147" s="1" t="str">
        <f aca="false">CONCATENATE(C147,J147)</f>
        <v>457442JC LLC</v>
      </c>
      <c r="C147" s="5" t="n">
        <v>45744</v>
      </c>
      <c r="D147" s="1" t="s">
        <v>157</v>
      </c>
      <c r="E147" s="6" t="s">
        <v>461</v>
      </c>
      <c r="F147" s="1"/>
      <c r="G147" s="1" t="s">
        <v>22</v>
      </c>
      <c r="H147" s="1" t="s">
        <v>39</v>
      </c>
      <c r="I147" s="1" t="s">
        <v>462</v>
      </c>
      <c r="J147" s="1" t="s">
        <v>379</v>
      </c>
      <c r="M147" s="1" t="s">
        <v>103</v>
      </c>
      <c r="N147" s="4" t="n">
        <v>45649</v>
      </c>
      <c r="O147" s="4" t="n">
        <v>45664</v>
      </c>
      <c r="P147" s="1" t="s">
        <v>380</v>
      </c>
      <c r="Q147" s="1" t="s">
        <v>35</v>
      </c>
      <c r="R147" s="1" t="str">
        <f aca="false">VLOOKUP(P147,[1]Categorizations!A$1:C$1048576,2,FALSE())</f>
        <v>Multiple (Aspergillus, THC Inflation)</v>
      </c>
      <c r="S147" s="1" t="str">
        <f aca="false">VLOOKUP(P147,[1]Categorizations!A$1:C$1048576,3,FALSE())</f>
        <v>Multiple</v>
      </c>
    </row>
    <row r="148" customFormat="false" ht="15.75" hidden="false" customHeight="false" outlineLevel="0" collapsed="false">
      <c r="A148" s="1" t="str">
        <f aca="false">CONCATENATE(C148,J148)</f>
        <v>45750Golden State Recycling Collective Inc.</v>
      </c>
      <c r="B148" s="4" t="n">
        <v>45747</v>
      </c>
      <c r="C148" s="5" t="n">
        <v>45750</v>
      </c>
      <c r="D148" s="1" t="s">
        <v>157</v>
      </c>
      <c r="E148" s="6" t="s">
        <v>463</v>
      </c>
      <c r="F148" s="1"/>
      <c r="G148" s="1" t="s">
        <v>38</v>
      </c>
      <c r="H148" s="1" t="s">
        <v>39</v>
      </c>
      <c r="I148" s="1" t="s">
        <v>464</v>
      </c>
      <c r="J148" s="1" t="s">
        <v>465</v>
      </c>
      <c r="M148" s="1" t="s">
        <v>103</v>
      </c>
      <c r="N148" s="4" t="n">
        <v>45674</v>
      </c>
      <c r="O148" s="4" t="n">
        <v>45685</v>
      </c>
      <c r="P148" s="1" t="s">
        <v>288</v>
      </c>
      <c r="Q148" s="1" t="s">
        <v>35</v>
      </c>
      <c r="R148" s="1" t="str">
        <f aca="false">VLOOKUP(P148,[1]Categorizations!A$1:C$1048576,2,FALSE())</f>
        <v>Aspergillus</v>
      </c>
      <c r="S148" s="1" t="str">
        <f aca="false">VLOOKUP(P148,[1]Categorizations!A$1:C$1048576,3,FALSE())</f>
        <v>Microbial Contamination</v>
      </c>
    </row>
    <row r="149" customFormat="false" ht="15.75" hidden="false" customHeight="false" outlineLevel="0" collapsed="false">
      <c r="A149" s="1" t="str">
        <f aca="false">CONCATENATE(C149,J149)</f>
        <v>45750Kanaplya LLC</v>
      </c>
      <c r="B149" s="4" t="n">
        <v>45749</v>
      </c>
      <c r="C149" s="5" t="n">
        <v>45750</v>
      </c>
      <c r="D149" s="1" t="s">
        <v>157</v>
      </c>
      <c r="E149" s="6" t="s">
        <v>466</v>
      </c>
      <c r="F149" s="1"/>
      <c r="G149" s="1" t="s">
        <v>38</v>
      </c>
      <c r="H149" s="1" t="s">
        <v>39</v>
      </c>
      <c r="I149" s="1" t="s">
        <v>467</v>
      </c>
      <c r="J149" s="1" t="s">
        <v>468</v>
      </c>
      <c r="M149" s="1" t="s">
        <v>103</v>
      </c>
      <c r="N149" s="4" t="n">
        <v>45678</v>
      </c>
      <c r="O149" s="4" t="n">
        <v>45678</v>
      </c>
      <c r="P149" s="1" t="s">
        <v>469</v>
      </c>
      <c r="Q149" s="1" t="s">
        <v>35</v>
      </c>
      <c r="R149" s="1" t="str">
        <f aca="false">VLOOKUP(P149,[1]Categorizations!A$1:C$1048576,2,FALSE())</f>
        <v>Aspergillus</v>
      </c>
      <c r="S149" s="1" t="str">
        <f aca="false">VLOOKUP(P149,[1]Categorizations!A$1:C$1048576,3,FALSE())</f>
        <v>Microbial Contamination</v>
      </c>
    </row>
    <row r="150" customFormat="false" ht="15.75" hidden="false" customHeight="false" outlineLevel="0" collapsed="false">
      <c r="A150" s="1" t="str">
        <f aca="false">CONCATENATE(C150,J150)</f>
        <v>457503L Distribution Inc.</v>
      </c>
      <c r="B150" s="4" t="n">
        <v>45749</v>
      </c>
      <c r="C150" s="5" t="n">
        <v>45750</v>
      </c>
      <c r="D150" s="1" t="s">
        <v>157</v>
      </c>
      <c r="E150" s="6" t="s">
        <v>470</v>
      </c>
      <c r="F150" s="1"/>
      <c r="G150" s="1" t="s">
        <v>38</v>
      </c>
      <c r="H150" s="1" t="s">
        <v>193</v>
      </c>
      <c r="I150" s="1" t="s">
        <v>471</v>
      </c>
      <c r="J150" s="1" t="s">
        <v>472</v>
      </c>
      <c r="M150" s="1" t="s">
        <v>103</v>
      </c>
      <c r="N150" s="4" t="n">
        <v>45678</v>
      </c>
      <c r="O150" s="4" t="n">
        <v>45682</v>
      </c>
      <c r="P150" s="1" t="s">
        <v>473</v>
      </c>
      <c r="Q150" s="1" t="s">
        <v>35</v>
      </c>
      <c r="R150" s="1" t="str">
        <f aca="false">VLOOKUP(P150,[1]Categorizations!A$1:C$1048576,2,FALSE())</f>
        <v>Aspergillus</v>
      </c>
      <c r="S150" s="1" t="str">
        <f aca="false">VLOOKUP(P150,[1]Categorizations!A$1:C$1048576,3,FALSE())</f>
        <v>Multiple</v>
      </c>
    </row>
    <row r="151" customFormat="false" ht="15.75" hidden="false" customHeight="false" outlineLevel="0" collapsed="false">
      <c r="A151" s="1" t="str">
        <f aca="false">CONCATENATE(C151,J151)</f>
        <v>45750Greenfield Distribution Inc.</v>
      </c>
      <c r="B151" s="4" t="n">
        <v>45749</v>
      </c>
      <c r="C151" s="5" t="n">
        <v>45750</v>
      </c>
      <c r="D151" s="1" t="s">
        <v>157</v>
      </c>
      <c r="E151" s="6" t="s">
        <v>474</v>
      </c>
      <c r="F151" s="1"/>
      <c r="G151" s="1" t="s">
        <v>38</v>
      </c>
      <c r="H151" s="1" t="s">
        <v>39</v>
      </c>
      <c r="I151" s="1" t="s">
        <v>475</v>
      </c>
      <c r="J151" s="1" t="s">
        <v>476</v>
      </c>
      <c r="M151" s="1" t="s">
        <v>103</v>
      </c>
      <c r="N151" s="4" t="n">
        <v>45678</v>
      </c>
      <c r="O151" s="4" t="n">
        <v>45692</v>
      </c>
      <c r="P151" s="1" t="s">
        <v>477</v>
      </c>
      <c r="Q151" s="1" t="s">
        <v>35</v>
      </c>
      <c r="R151" s="1" t="str">
        <f aca="false">VLOOKUP(P151,[1]Categorizations!A$1:C$1048576,2,FALSE())</f>
        <v>Aspergillus</v>
      </c>
      <c r="S151" s="1" t="str">
        <f aca="false">VLOOKUP(P151,[1]Categorizations!A$1:C$1048576,3,FALSE())</f>
        <v>Microbial Contamination</v>
      </c>
    </row>
    <row r="152" customFormat="false" ht="15.75" hidden="false" customHeight="false" outlineLevel="0" collapsed="false">
      <c r="A152" s="1" t="str">
        <f aca="false">CONCATENATE(C152,J152)</f>
        <v>45751Zasp</v>
      </c>
      <c r="B152" s="4" t="n">
        <v>45750</v>
      </c>
      <c r="C152" s="5" t="n">
        <v>45751</v>
      </c>
      <c r="D152" s="1" t="s">
        <v>157</v>
      </c>
      <c r="E152" s="6" t="s">
        <v>478</v>
      </c>
      <c r="F152" s="1"/>
      <c r="G152" s="1" t="s">
        <v>38</v>
      </c>
      <c r="H152" s="1" t="s">
        <v>39</v>
      </c>
      <c r="I152" s="1" t="s">
        <v>479</v>
      </c>
      <c r="J152" s="1" t="s">
        <v>480</v>
      </c>
      <c r="M152" s="1" t="s">
        <v>103</v>
      </c>
      <c r="N152" s="4" t="n">
        <v>45391</v>
      </c>
      <c r="O152" s="4" t="n">
        <v>45398</v>
      </c>
      <c r="P152" s="1" t="s">
        <v>415</v>
      </c>
      <c r="Q152" s="1" t="s">
        <v>35</v>
      </c>
      <c r="R152" s="1" t="str">
        <f aca="false">VLOOKUP(P152,[1]Categorizations!A$1:C$1048576,2,FALSE())</f>
        <v>Invalid Testing</v>
      </c>
      <c r="S152" s="1" t="str">
        <f aca="false">VLOOKUP(P152,[1]Categorizations!A$1:C$1048576,3,FALSE())</f>
        <v>Lab Issue</v>
      </c>
    </row>
    <row r="153" customFormat="false" ht="15.75" hidden="false" customHeight="false" outlineLevel="0" collapsed="false">
      <c r="A153" s="1" t="str">
        <f aca="false">CONCATENATE(C153,J153)</f>
        <v>45751DBM Industries LLC</v>
      </c>
      <c r="B153" s="4" t="n">
        <v>45750</v>
      </c>
      <c r="C153" s="5" t="n">
        <v>45751</v>
      </c>
      <c r="D153" s="1" t="s">
        <v>157</v>
      </c>
      <c r="E153" s="6" t="s">
        <v>481</v>
      </c>
      <c r="F153" s="1"/>
      <c r="G153" s="1" t="s">
        <v>38</v>
      </c>
      <c r="H153" s="1" t="s">
        <v>193</v>
      </c>
      <c r="I153" s="1" t="s">
        <v>482</v>
      </c>
      <c r="J153" s="1" t="s">
        <v>483</v>
      </c>
      <c r="M153" s="1" t="s">
        <v>103</v>
      </c>
      <c r="N153" s="4" t="n">
        <v>45649</v>
      </c>
      <c r="O153" s="4" t="n">
        <v>45671</v>
      </c>
      <c r="P153" s="1" t="s">
        <v>484</v>
      </c>
      <c r="Q153" s="1" t="s">
        <v>35</v>
      </c>
      <c r="R153" s="1" t="str">
        <f aca="false">VLOOKUP(P153,[1]Categorizations!A$1:C$1048576,2,FALSE())</f>
        <v>Aspergillus</v>
      </c>
      <c r="S153" s="1" t="str">
        <f aca="false">VLOOKUP(P153,[1]Categorizations!A$1:C$1048576,3,FALSE())</f>
        <v>Microbial Contamination</v>
      </c>
    </row>
    <row r="154" customFormat="false" ht="15.75" hidden="false" customHeight="false" outlineLevel="0" collapsed="false">
      <c r="A154" s="1" t="str">
        <f aca="false">CONCATENATE(C154,J154)</f>
        <v>45751DBM Industries LLC</v>
      </c>
      <c r="B154" s="4" t="n">
        <v>45750</v>
      </c>
      <c r="C154" s="5" t="n">
        <v>45751</v>
      </c>
      <c r="D154" s="1" t="s">
        <v>157</v>
      </c>
      <c r="E154" s="6" t="s">
        <v>485</v>
      </c>
      <c r="F154" s="1"/>
      <c r="G154" s="1" t="s">
        <v>38</v>
      </c>
      <c r="H154" s="1" t="s">
        <v>193</v>
      </c>
      <c r="I154" s="1" t="s">
        <v>486</v>
      </c>
      <c r="J154" s="1" t="s">
        <v>483</v>
      </c>
      <c r="M154" s="1" t="s">
        <v>103</v>
      </c>
      <c r="N154" s="4" t="n">
        <v>45671</v>
      </c>
      <c r="O154" s="4" t="n">
        <v>45698</v>
      </c>
      <c r="P154" s="1" t="s">
        <v>484</v>
      </c>
      <c r="Q154" s="1" t="s">
        <v>35</v>
      </c>
      <c r="R154" s="1" t="str">
        <f aca="false">VLOOKUP(P154,[1]Categorizations!A$1:C$1048576,2,FALSE())</f>
        <v>Aspergillus</v>
      </c>
      <c r="S154" s="1" t="str">
        <f aca="false">VLOOKUP(P154,[1]Categorizations!A$1:C$1048576,3,FALSE())</f>
        <v>Microbial Contamination</v>
      </c>
    </row>
    <row r="155" customFormat="false" ht="15.75" hidden="false" customHeight="false" outlineLevel="0" collapsed="false">
      <c r="A155" s="1" t="str">
        <f aca="false">CONCATENATE(C155,J155)</f>
        <v>45756Oak2Fruitland Inc.</v>
      </c>
      <c r="B155" s="4" t="n">
        <v>45748</v>
      </c>
      <c r="C155" s="5" t="n">
        <v>45756</v>
      </c>
      <c r="D155" s="1" t="s">
        <v>157</v>
      </c>
      <c r="E155" s="6" t="s">
        <v>487</v>
      </c>
      <c r="F155" s="1"/>
      <c r="G155" s="1" t="s">
        <v>38</v>
      </c>
      <c r="H155" s="1" t="s">
        <v>55</v>
      </c>
      <c r="I155" s="1" t="s">
        <v>488</v>
      </c>
      <c r="J155" s="1" t="s">
        <v>489</v>
      </c>
      <c r="M155" s="1" t="s">
        <v>26</v>
      </c>
      <c r="N155" s="4"/>
      <c r="O155" s="4"/>
      <c r="P155" s="1" t="s">
        <v>415</v>
      </c>
      <c r="Q155" s="1" t="s">
        <v>35</v>
      </c>
      <c r="R155" s="1" t="str">
        <f aca="false">VLOOKUP(P155,[1]Categorizations!A$1:C$1048576,2,FALSE())</f>
        <v>Invalid Testing</v>
      </c>
      <c r="S155" s="1" t="str">
        <f aca="false">VLOOKUP(P155,[1]Categorizations!A$1:C$1048576,3,FALSE())</f>
        <v>Lab Issue</v>
      </c>
    </row>
    <row r="156" customFormat="false" ht="15.75" hidden="false" customHeight="false" outlineLevel="0" collapsed="false">
      <c r="A156" s="1" t="str">
        <f aca="false">CONCATENATE(C156,J156)</f>
        <v>45758I.O.N. Distribution LLC</v>
      </c>
      <c r="B156" s="4" t="n">
        <v>45716</v>
      </c>
      <c r="C156" s="5" t="n">
        <v>45758</v>
      </c>
      <c r="D156" s="1" t="s">
        <v>157</v>
      </c>
      <c r="E156" s="6" t="s">
        <v>490</v>
      </c>
      <c r="F156" s="1"/>
      <c r="G156" s="1" t="s">
        <v>38</v>
      </c>
      <c r="H156" s="1" t="s">
        <v>171</v>
      </c>
      <c r="I156" s="1" t="s">
        <v>491</v>
      </c>
      <c r="J156" s="1" t="s">
        <v>492</v>
      </c>
      <c r="M156" s="1" t="s">
        <v>103</v>
      </c>
      <c r="N156" s="4" t="n">
        <v>45201</v>
      </c>
      <c r="O156" s="4" t="n">
        <v>45139</v>
      </c>
      <c r="P156" s="1" t="s">
        <v>415</v>
      </c>
      <c r="Q156" s="1" t="s">
        <v>35</v>
      </c>
      <c r="R156" s="1" t="str">
        <f aca="false">VLOOKUP(P156,[1]Categorizations!A$1:C$1048576,2,FALSE())</f>
        <v>Invalid Testing</v>
      </c>
      <c r="S156" s="1" t="str">
        <f aca="false">VLOOKUP(P156,[1]Categorizations!A$1:C$1048576,3,FALSE())</f>
        <v>Lab Issue</v>
      </c>
    </row>
    <row r="157" customFormat="false" ht="15.75" hidden="false" customHeight="false" outlineLevel="0" collapsed="false">
      <c r="A157" s="1" t="str">
        <f aca="false">CONCATENATE(C157,J157)</f>
        <v>45761Greenfield Distribution Inc.</v>
      </c>
      <c r="B157" s="4" t="n">
        <v>45758</v>
      </c>
      <c r="C157" s="5" t="n">
        <v>45761</v>
      </c>
      <c r="D157" s="1" t="s">
        <v>157</v>
      </c>
      <c r="E157" s="6" t="s">
        <v>493</v>
      </c>
      <c r="F157" s="1"/>
      <c r="G157" s="1" t="s">
        <v>38</v>
      </c>
      <c r="H157" s="1" t="s">
        <v>39</v>
      </c>
      <c r="I157" s="1" t="s">
        <v>494</v>
      </c>
      <c r="J157" s="1" t="s">
        <v>476</v>
      </c>
      <c r="M157" s="1" t="s">
        <v>103</v>
      </c>
      <c r="N157" s="4" t="n">
        <v>45679</v>
      </c>
      <c r="O157" s="4" t="n">
        <v>45700</v>
      </c>
      <c r="P157" s="1" t="s">
        <v>291</v>
      </c>
      <c r="Q157" s="1" t="s">
        <v>35</v>
      </c>
      <c r="R157" s="1" t="str">
        <f aca="false">VLOOKUP(P157,[1]Categorizations!A$1:C$1048576,2,FALSE())</f>
        <v>Aspergillus</v>
      </c>
      <c r="S157" s="1" t="str">
        <f aca="false">VLOOKUP(P157,[1]Categorizations!A$1:C$1048576,3,FALSE())</f>
        <v>Microbial Contamination</v>
      </c>
    </row>
    <row r="158" customFormat="false" ht="15.75" hidden="false" customHeight="false" outlineLevel="0" collapsed="false">
      <c r="A158" s="1" t="str">
        <f aca="false">CONCATENATE(C158,J158)</f>
        <v>457622JC LLC</v>
      </c>
      <c r="C158" s="5" t="n">
        <v>45762</v>
      </c>
      <c r="D158" s="1" t="s">
        <v>157</v>
      </c>
      <c r="E158" s="6" t="s">
        <v>495</v>
      </c>
      <c r="F158" s="1"/>
      <c r="G158" s="1" t="s">
        <v>22</v>
      </c>
      <c r="H158" s="1" t="s">
        <v>55</v>
      </c>
      <c r="I158" s="1" t="s">
        <v>496</v>
      </c>
      <c r="J158" s="1" t="s">
        <v>379</v>
      </c>
      <c r="M158" s="1" t="s">
        <v>103</v>
      </c>
      <c r="N158" s="4" t="n">
        <v>45657</v>
      </c>
      <c r="O158" s="4" t="n">
        <v>45685</v>
      </c>
      <c r="P158" s="1" t="s">
        <v>400</v>
      </c>
      <c r="Q158" s="1" t="s">
        <v>35</v>
      </c>
      <c r="R158" s="1" t="str">
        <f aca="false">VLOOKUP(P158,[1]Categorizations!A$1:C$1048576,2,FALSE())</f>
        <v>Aspergillus</v>
      </c>
      <c r="S158" s="1" t="str">
        <f aca="false">VLOOKUP(P158,[1]Categorizations!A$1:C$1048576,3,FALSE())</f>
        <v>Microbial Contamination</v>
      </c>
    </row>
    <row r="159" customFormat="false" ht="15.75" hidden="false" customHeight="false" outlineLevel="0" collapsed="false">
      <c r="A159" s="1" t="s">
        <v>497</v>
      </c>
      <c r="C159" s="5" t="n">
        <v>45762</v>
      </c>
      <c r="D159" s="1" t="s">
        <v>157</v>
      </c>
      <c r="E159" s="6" t="s">
        <v>498</v>
      </c>
      <c r="F159" s="1"/>
      <c r="G159" s="1" t="s">
        <v>22</v>
      </c>
      <c r="H159" s="1" t="s">
        <v>55</v>
      </c>
      <c r="I159" s="1" t="s">
        <v>382</v>
      </c>
      <c r="J159" s="1" t="s">
        <v>379</v>
      </c>
      <c r="M159" s="1" t="s">
        <v>103</v>
      </c>
      <c r="N159" s="4" t="n">
        <v>45642</v>
      </c>
      <c r="O159" s="4" t="n">
        <v>45672</v>
      </c>
      <c r="P159" s="1" t="s">
        <v>400</v>
      </c>
      <c r="Q159" s="1" t="s">
        <v>35</v>
      </c>
      <c r="R159" s="1" t="str">
        <f aca="false">VLOOKUP(P159,[1]Categorizations!A$1:C$1048576,2,FALSE())</f>
        <v>Aspergillus</v>
      </c>
      <c r="S159" s="1" t="str">
        <f aca="false">VLOOKUP(P159,[1]Categorizations!A$1:C$1048576,3,FALSE())</f>
        <v>Microbial Contamination</v>
      </c>
    </row>
    <row r="160" customFormat="false" ht="15.75" hidden="false" customHeight="false" outlineLevel="0" collapsed="false">
      <c r="A160" s="1" t="s">
        <v>499</v>
      </c>
      <c r="C160" s="5" t="n">
        <v>45762</v>
      </c>
      <c r="D160" s="1" t="s">
        <v>157</v>
      </c>
      <c r="E160" s="6" t="s">
        <v>500</v>
      </c>
      <c r="F160" s="1"/>
      <c r="G160" s="1" t="s">
        <v>22</v>
      </c>
      <c r="H160" s="1" t="s">
        <v>55</v>
      </c>
      <c r="I160" s="1" t="s">
        <v>501</v>
      </c>
      <c r="J160" s="1" t="s">
        <v>379</v>
      </c>
      <c r="M160" s="1" t="s">
        <v>103</v>
      </c>
      <c r="N160" s="4" t="n">
        <v>45637</v>
      </c>
      <c r="O160" s="4" t="n">
        <v>45672</v>
      </c>
      <c r="P160" s="1" t="s">
        <v>400</v>
      </c>
      <c r="Q160" s="1" t="s">
        <v>35</v>
      </c>
      <c r="R160" s="1" t="str">
        <f aca="false">VLOOKUP(P160,[1]Categorizations!A$1:C$1048576,2,FALSE())</f>
        <v>Aspergillus</v>
      </c>
      <c r="S160" s="1" t="str">
        <f aca="false">VLOOKUP(P160,[1]Categorizations!A$1:C$1048576,3,FALSE())</f>
        <v>Microbial Contamination</v>
      </c>
    </row>
    <row r="161" customFormat="false" ht="15.75" hidden="false" customHeight="false" outlineLevel="0" collapsed="false">
      <c r="A161" s="1" t="str">
        <f aca="false">CONCATENATE(C161,J161)</f>
        <v>45763Valley Holistic Caregivers Inc.</v>
      </c>
      <c r="C161" s="5" t="n">
        <v>45763</v>
      </c>
      <c r="D161" s="1" t="s">
        <v>157</v>
      </c>
      <c r="E161" s="6" t="s">
        <v>502</v>
      </c>
      <c r="F161" s="1"/>
      <c r="G161" s="1" t="s">
        <v>38</v>
      </c>
      <c r="H161" s="1" t="s">
        <v>39</v>
      </c>
      <c r="I161" s="1" t="s">
        <v>503</v>
      </c>
      <c r="J161" s="1" t="s">
        <v>504</v>
      </c>
      <c r="M161" s="1" t="s">
        <v>26</v>
      </c>
      <c r="N161" s="4"/>
      <c r="O161" s="4"/>
      <c r="P161" s="1" t="s">
        <v>505</v>
      </c>
      <c r="Q161" s="1" t="s">
        <v>35</v>
      </c>
      <c r="R161" s="1" t="str">
        <f aca="false">VLOOKUP(P161,[1]Categorizations!A$1:C$1048576,2,FALSE())</f>
        <v>Invalid Testing</v>
      </c>
      <c r="S161" s="1" t="str">
        <f aca="false">VLOOKUP(P161,[1]Categorizations!A$1:C$1048576,3,FALSE())</f>
        <v>Lab Issue</v>
      </c>
    </row>
    <row r="162" customFormat="false" ht="15.75" hidden="false" customHeight="false" outlineLevel="0" collapsed="false">
      <c r="A162" s="1" t="str">
        <f aca="false">CONCATENATE(C162,J162)</f>
        <v>45771Artisan Canna Cigars LLC</v>
      </c>
      <c r="B162" s="4" t="n">
        <v>45770</v>
      </c>
      <c r="C162" s="5" t="n">
        <v>45771</v>
      </c>
      <c r="D162" s="1" t="s">
        <v>157</v>
      </c>
      <c r="E162" s="6" t="s">
        <v>506</v>
      </c>
      <c r="F162" s="1"/>
      <c r="G162" s="1" t="s">
        <v>38</v>
      </c>
      <c r="H162" s="1" t="s">
        <v>55</v>
      </c>
      <c r="I162" s="1" t="s">
        <v>507</v>
      </c>
      <c r="J162" s="1" t="s">
        <v>454</v>
      </c>
      <c r="M162" s="1" t="s">
        <v>103</v>
      </c>
      <c r="N162" s="4" t="n">
        <v>45631</v>
      </c>
      <c r="O162" s="4" t="n">
        <v>45637</v>
      </c>
      <c r="P162" s="1" t="s">
        <v>508</v>
      </c>
      <c r="Q162" s="1" t="s">
        <v>35</v>
      </c>
      <c r="R162" s="1" t="str">
        <f aca="false">VLOOKUP(P162,[1]Categorizations!A$1:C$1048576,2,FALSE())</f>
        <v>Multiple: Inaccurate Ingredient Label, Lacking GMP</v>
      </c>
      <c r="S162" s="1" t="str">
        <f aca="false">VLOOKUP(P162,[1]Categorizations!A$1:C$1048576,3,FALSE())</f>
        <v>Multiple</v>
      </c>
    </row>
    <row r="163" customFormat="false" ht="15.75" hidden="false" customHeight="false" outlineLevel="0" collapsed="false">
      <c r="A163" s="1" t="str">
        <f aca="false">CONCATENATE(C163,J163)</f>
        <v>45777Crafton Select LLC</v>
      </c>
      <c r="B163" s="4" t="n">
        <v>45775</v>
      </c>
      <c r="C163" s="5" t="n">
        <v>45777</v>
      </c>
      <c r="D163" s="1" t="s">
        <v>157</v>
      </c>
      <c r="E163" s="6" t="s">
        <v>509</v>
      </c>
      <c r="F163" s="1"/>
      <c r="G163" s="1" t="s">
        <v>38</v>
      </c>
      <c r="H163" s="1" t="s">
        <v>171</v>
      </c>
      <c r="I163" s="1" t="s">
        <v>510</v>
      </c>
      <c r="J163" s="1" t="s">
        <v>511</v>
      </c>
      <c r="M163" s="1" t="s">
        <v>103</v>
      </c>
      <c r="N163" s="4" t="n">
        <v>45552</v>
      </c>
      <c r="O163" s="4" t="n">
        <v>45566</v>
      </c>
      <c r="P163" s="1" t="s">
        <v>311</v>
      </c>
      <c r="Q163" s="1" t="s">
        <v>35</v>
      </c>
      <c r="R163" s="1" t="str">
        <f aca="false">VLOOKUP(P163,[1]Categorizations!A$1:C$1048576,2,FALSE())</f>
        <v>Attractive Label</v>
      </c>
      <c r="S163" s="1" t="str">
        <f aca="false">VLOOKUP(P163,[1]Categorizations!A$1:C$1048576,3,FALSE())</f>
        <v>Packaging</v>
      </c>
    </row>
    <row r="164" customFormat="false" ht="15.75" hidden="false" customHeight="false" outlineLevel="0" collapsed="false">
      <c r="A164" s="1" t="s">
        <v>512</v>
      </c>
      <c r="B164" s="4" t="n">
        <v>45775</v>
      </c>
      <c r="C164" s="5" t="n">
        <v>45777</v>
      </c>
      <c r="D164" s="1" t="s">
        <v>157</v>
      </c>
      <c r="E164" s="6" t="s">
        <v>513</v>
      </c>
      <c r="F164" s="1"/>
      <c r="G164" s="1" t="s">
        <v>38</v>
      </c>
      <c r="H164" s="1" t="s">
        <v>39</v>
      </c>
      <c r="I164" s="1" t="s">
        <v>514</v>
      </c>
      <c r="J164" s="1" t="s">
        <v>511</v>
      </c>
      <c r="M164" s="1" t="s">
        <v>103</v>
      </c>
      <c r="N164" s="4" t="n">
        <v>45524</v>
      </c>
      <c r="O164" s="4" t="n">
        <v>45506</v>
      </c>
      <c r="P164" s="1" t="s">
        <v>311</v>
      </c>
      <c r="Q164" s="1" t="s">
        <v>35</v>
      </c>
      <c r="R164" s="1" t="str">
        <f aca="false">VLOOKUP(P164,[1]Categorizations!A$1:C$1048576,2,FALSE())</f>
        <v>Attractive Label</v>
      </c>
      <c r="S164" s="1" t="str">
        <f aca="false">VLOOKUP(P164,[1]Categorizations!A$1:C$1048576,3,FALSE())</f>
        <v>Packaging</v>
      </c>
    </row>
    <row r="165" customFormat="false" ht="15.75" hidden="false" customHeight="false" outlineLevel="0" collapsed="false">
      <c r="A165" s="1" t="s">
        <v>515</v>
      </c>
      <c r="B165" s="4" t="n">
        <v>45775</v>
      </c>
      <c r="C165" s="5" t="n">
        <v>45777</v>
      </c>
      <c r="D165" s="1" t="s">
        <v>157</v>
      </c>
      <c r="E165" s="6" t="s">
        <v>516</v>
      </c>
      <c r="F165" s="1"/>
      <c r="G165" s="1" t="s">
        <v>38</v>
      </c>
      <c r="H165" s="1" t="s">
        <v>171</v>
      </c>
      <c r="I165" s="1" t="s">
        <v>517</v>
      </c>
      <c r="J165" s="1" t="s">
        <v>511</v>
      </c>
      <c r="M165" s="1" t="s">
        <v>103</v>
      </c>
      <c r="N165" s="4" t="n">
        <v>45528</v>
      </c>
      <c r="O165" s="4" t="n">
        <v>45551</v>
      </c>
      <c r="P165" s="1" t="s">
        <v>311</v>
      </c>
      <c r="Q165" s="1" t="s">
        <v>35</v>
      </c>
      <c r="R165" s="1" t="str">
        <f aca="false">VLOOKUP(P165,[1]Categorizations!A$1:C$1048576,2,FALSE())</f>
        <v>Attractive Label</v>
      </c>
      <c r="S165" s="1" t="str">
        <f aca="false">VLOOKUP(P165,[1]Categorizations!A$1:C$1048576,3,FALSE())</f>
        <v>Packaging</v>
      </c>
    </row>
    <row r="166" customFormat="false" ht="15.75" hidden="false" customHeight="false" outlineLevel="0" collapsed="false">
      <c r="A166" s="1" t="str">
        <f aca="false">CONCATENATE(C166,J166)</f>
        <v>45779Collective Minds LLC</v>
      </c>
      <c r="B166" s="4" t="n">
        <v>45778</v>
      </c>
      <c r="C166" s="5" t="n">
        <v>45779</v>
      </c>
      <c r="D166" s="1" t="s">
        <v>157</v>
      </c>
      <c r="E166" s="6" t="s">
        <v>518</v>
      </c>
      <c r="F166" s="1"/>
      <c r="G166" s="1" t="s">
        <v>38</v>
      </c>
      <c r="H166" s="1" t="s">
        <v>182</v>
      </c>
      <c r="I166" s="1" t="s">
        <v>519</v>
      </c>
      <c r="J166" s="1" t="s">
        <v>520</v>
      </c>
      <c r="M166" s="1" t="s">
        <v>103</v>
      </c>
      <c r="N166" s="4" t="n">
        <v>45636</v>
      </c>
      <c r="O166" s="4" t="n">
        <v>45657</v>
      </c>
      <c r="P166" s="1" t="s">
        <v>521</v>
      </c>
      <c r="Q166" s="1" t="s">
        <v>35</v>
      </c>
      <c r="R166" s="1" t="str">
        <f aca="false">VLOOKUP(P166,[1]Categorizations!A$1:C$1048576,2,FALSE())</f>
        <v>Inacurate Ingredient Label</v>
      </c>
      <c r="S166" s="1" t="str">
        <f aca="false">VLOOKUP(P166,[1]Categorizations!A$1:C$1048576,3,FALSE())</f>
        <v>Mislabeled</v>
      </c>
    </row>
    <row r="167" customFormat="false" ht="15.75" hidden="false" customHeight="false" outlineLevel="0" collapsed="false">
      <c r="A167" s="1" t="str">
        <f aca="false">CONCATENATE(C167,J167)</f>
        <v>45783Magic Show LLC</v>
      </c>
      <c r="B167" s="4" t="n">
        <v>45779</v>
      </c>
      <c r="C167" s="5" t="n">
        <v>45783</v>
      </c>
      <c r="D167" s="1" t="s">
        <v>157</v>
      </c>
      <c r="E167" s="6" t="s">
        <v>522</v>
      </c>
      <c r="F167" s="1"/>
      <c r="G167" s="1" t="s">
        <v>38</v>
      </c>
      <c r="H167" s="1" t="s">
        <v>171</v>
      </c>
      <c r="I167" s="1" t="s">
        <v>523</v>
      </c>
      <c r="J167" s="1" t="s">
        <v>524</v>
      </c>
      <c r="M167" s="1" t="s">
        <v>103</v>
      </c>
      <c r="N167" s="4" t="n">
        <v>45495</v>
      </c>
      <c r="O167" s="4" t="n">
        <v>45504</v>
      </c>
      <c r="P167" s="1" t="s">
        <v>311</v>
      </c>
      <c r="Q167" s="1" t="s">
        <v>35</v>
      </c>
      <c r="R167" s="1" t="str">
        <f aca="false">VLOOKUP(P167,[1]Categorizations!A$1:C$1048576,2,FALSE())</f>
        <v>Attractive Label</v>
      </c>
      <c r="S167" s="1" t="str">
        <f aca="false">VLOOKUP(P167,[1]Categorizations!A$1:C$1048576,3,FALSE())</f>
        <v>Packaging</v>
      </c>
    </row>
    <row r="168" customFormat="false" ht="15.75" hidden="false" customHeight="false" outlineLevel="0" collapsed="false">
      <c r="A168" s="1" t="s">
        <v>525</v>
      </c>
      <c r="B168" s="4" t="n">
        <v>45779</v>
      </c>
      <c r="C168" s="5" t="n">
        <v>45783</v>
      </c>
      <c r="D168" s="1" t="s">
        <v>157</v>
      </c>
      <c r="E168" s="6" t="s">
        <v>526</v>
      </c>
      <c r="F168" s="1"/>
      <c r="G168" s="1" t="s">
        <v>38</v>
      </c>
      <c r="H168" s="1" t="s">
        <v>171</v>
      </c>
      <c r="I168" s="1" t="s">
        <v>527</v>
      </c>
      <c r="J168" s="1" t="s">
        <v>524</v>
      </c>
      <c r="M168" s="1" t="s">
        <v>103</v>
      </c>
      <c r="N168" s="4" t="n">
        <v>45635</v>
      </c>
      <c r="O168" s="4" t="n">
        <v>45646</v>
      </c>
      <c r="P168" s="1" t="s">
        <v>311</v>
      </c>
      <c r="Q168" s="1" t="s">
        <v>35</v>
      </c>
      <c r="R168" s="1" t="str">
        <f aca="false">VLOOKUP(P168,[1]Categorizations!A$1:C$1048576,2,FALSE())</f>
        <v>Attractive Label</v>
      </c>
      <c r="S168" s="1" t="str">
        <f aca="false">VLOOKUP(P168,[1]Categorizations!A$1:C$1048576,3,FALSE())</f>
        <v>Packaging</v>
      </c>
    </row>
    <row r="169" customFormat="false" ht="15.75" hidden="false" customHeight="false" outlineLevel="0" collapsed="false">
      <c r="A169" s="1" t="str">
        <f aca="false">CONCATENATE(C169,J169)</f>
        <v>45792United Medical Alliance LLC</v>
      </c>
      <c r="B169" s="4" t="n">
        <v>45791</v>
      </c>
      <c r="C169" s="5" t="n">
        <v>45792</v>
      </c>
      <c r="D169" s="1" t="s">
        <v>157</v>
      </c>
      <c r="E169" s="6" t="s">
        <v>528</v>
      </c>
      <c r="F169" s="1"/>
      <c r="G169" s="1" t="s">
        <v>38</v>
      </c>
      <c r="H169" s="1" t="s">
        <v>174</v>
      </c>
      <c r="I169" s="1" t="s">
        <v>529</v>
      </c>
      <c r="J169" s="1" t="s">
        <v>530</v>
      </c>
      <c r="M169" s="1" t="s">
        <v>103</v>
      </c>
      <c r="N169" s="4" t="n">
        <v>45506</v>
      </c>
      <c r="O169" s="4" t="n">
        <v>45512</v>
      </c>
      <c r="P169" s="1" t="s">
        <v>531</v>
      </c>
      <c r="Q169" s="1" t="s">
        <v>35</v>
      </c>
      <c r="R169" s="1" t="str">
        <f aca="false">VLOOKUP(P169,[1]Categorizations!A$1:C$1048576,2,FALSE())</f>
        <v>Multiple: Inaccurate Product Type, Lacking GMP, Exceeds THC, Acidified Beverage</v>
      </c>
      <c r="S169" s="1" t="str">
        <f aca="false">VLOOKUP(P169,[1]Categorizations!A$1:C$1048576,3,FALSE())</f>
        <v>Multiple</v>
      </c>
    </row>
    <row r="170" customFormat="false" ht="15.75" hidden="false" customHeight="false" outlineLevel="0" collapsed="false">
      <c r="A170" s="1" t="str">
        <f aca="false">CONCATENATE(C170,J170)</f>
        <v>45798Full Spectrum Group Inc.</v>
      </c>
      <c r="B170" s="4" t="n">
        <v>45796</v>
      </c>
      <c r="C170" s="5" t="n">
        <v>45798</v>
      </c>
      <c r="D170" s="1" t="s">
        <v>157</v>
      </c>
      <c r="E170" s="6" t="s">
        <v>532</v>
      </c>
      <c r="F170" s="1"/>
      <c r="G170" s="1" t="s">
        <v>38</v>
      </c>
      <c r="H170" s="1" t="s">
        <v>171</v>
      </c>
      <c r="I170" s="1" t="s">
        <v>533</v>
      </c>
      <c r="J170" s="1" t="s">
        <v>534</v>
      </c>
      <c r="M170" s="1" t="s">
        <v>103</v>
      </c>
      <c r="N170" s="4" t="n">
        <v>45373</v>
      </c>
      <c r="O170" s="4" t="n">
        <v>45379</v>
      </c>
      <c r="P170" s="1" t="s">
        <v>535</v>
      </c>
      <c r="Q170" s="1" t="s">
        <v>35</v>
      </c>
      <c r="R170" s="1" t="str">
        <f aca="false">VLOOKUP(P170,[1]Categorizations!A$1:C$1048576,2,FALSE())</f>
        <v>Multiple: Attractive to Children, THC Inflation</v>
      </c>
      <c r="S170" s="1" t="str">
        <f aca="false">VLOOKUP(P170,[1]Categorizations!A$1:C$1048576,3,FALSE())</f>
        <v>Multiple</v>
      </c>
    </row>
    <row r="171" customFormat="false" ht="15.75" hidden="false" customHeight="false" outlineLevel="0" collapsed="false">
      <c r="A171" s="1" t="str">
        <f aca="false">CONCATENATE(C171,J171)</f>
        <v>45804Crafton Select LLC</v>
      </c>
      <c r="B171" s="4" t="n">
        <v>45800</v>
      </c>
      <c r="C171" s="5" t="n">
        <v>45804</v>
      </c>
      <c r="D171" s="1" t="s">
        <v>157</v>
      </c>
      <c r="E171" s="6" t="s">
        <v>536</v>
      </c>
      <c r="F171" s="1"/>
      <c r="G171" s="1" t="s">
        <v>38</v>
      </c>
      <c r="H171" s="1" t="s">
        <v>171</v>
      </c>
      <c r="I171" s="1" t="s">
        <v>517</v>
      </c>
      <c r="J171" s="1" t="s">
        <v>511</v>
      </c>
      <c r="M171" s="1" t="s">
        <v>103</v>
      </c>
      <c r="N171" s="4" t="n">
        <v>45528</v>
      </c>
      <c r="O171" s="4" t="n">
        <v>45551</v>
      </c>
      <c r="P171" s="1" t="s">
        <v>537</v>
      </c>
      <c r="Q171" s="1" t="s">
        <v>35</v>
      </c>
      <c r="R171" s="1" t="str">
        <f aca="false">VLOOKUP(P171,[1]Categorizations!A$1:C$1048576,2,FALSE())</f>
        <v>Multiple: Invalid Testing, Attractive Labeling</v>
      </c>
      <c r="S171" s="1" t="str">
        <f aca="false">VLOOKUP(P171,[1]Categorizations!A$1:C$1048576,3,FALSE())</f>
        <v>Mislabeled</v>
      </c>
    </row>
    <row r="172" customFormat="false" ht="15.75" hidden="false" customHeight="false" outlineLevel="0" collapsed="false">
      <c r="A172" s="1" t="s">
        <v>538</v>
      </c>
      <c r="B172" s="4" t="n">
        <v>45800</v>
      </c>
      <c r="C172" s="5" t="n">
        <v>45804</v>
      </c>
      <c r="D172" s="1" t="s">
        <v>157</v>
      </c>
      <c r="E172" s="6" t="s">
        <v>539</v>
      </c>
      <c r="F172" s="1"/>
      <c r="G172" s="1" t="s">
        <v>38</v>
      </c>
      <c r="H172" s="1" t="s">
        <v>39</v>
      </c>
      <c r="I172" s="1" t="s">
        <v>514</v>
      </c>
      <c r="J172" s="1" t="s">
        <v>511</v>
      </c>
      <c r="M172" s="1" t="s">
        <v>103</v>
      </c>
      <c r="N172" s="4" t="n">
        <v>45506</v>
      </c>
      <c r="O172" s="4" t="n">
        <v>45524</v>
      </c>
      <c r="P172" s="1" t="s">
        <v>537</v>
      </c>
      <c r="Q172" s="1" t="s">
        <v>35</v>
      </c>
      <c r="R172" s="1" t="str">
        <f aca="false">VLOOKUP(P172,[1]Categorizations!A$1:C$1048576,2,FALSE())</f>
        <v>Multiple: Invalid Testing, Attractive Labeling</v>
      </c>
      <c r="S172" s="1" t="str">
        <f aca="false">VLOOKUP(P172,[1]Categorizations!A$1:C$1048576,3,FALSE())</f>
        <v>Mislabeled</v>
      </c>
    </row>
    <row r="173" customFormat="false" ht="15.75" hidden="false" customHeight="false" outlineLevel="0" collapsed="false">
      <c r="A173" s="1" t="s">
        <v>540</v>
      </c>
      <c r="B173" s="4" t="n">
        <v>45800</v>
      </c>
      <c r="C173" s="5" t="n">
        <v>45804</v>
      </c>
      <c r="D173" s="1" t="s">
        <v>157</v>
      </c>
      <c r="E173" s="6" t="s">
        <v>541</v>
      </c>
      <c r="F173" s="1"/>
      <c r="G173" s="1" t="s">
        <v>38</v>
      </c>
      <c r="H173" s="1" t="s">
        <v>171</v>
      </c>
      <c r="I173" s="1" t="s">
        <v>510</v>
      </c>
      <c r="J173" s="1" t="s">
        <v>511</v>
      </c>
      <c r="M173" s="1" t="s">
        <v>103</v>
      </c>
      <c r="N173" s="4" t="n">
        <v>45716</v>
      </c>
      <c r="O173" s="4" t="n">
        <v>45727</v>
      </c>
      <c r="P173" s="1" t="s">
        <v>537</v>
      </c>
      <c r="Q173" s="1" t="s">
        <v>35</v>
      </c>
      <c r="R173" s="1" t="str">
        <f aca="false">VLOOKUP(P173,[1]Categorizations!A$1:C$1048576,2,FALSE())</f>
        <v>Multiple: Invalid Testing, Attractive Labeling</v>
      </c>
      <c r="S173" s="1" t="str">
        <f aca="false">VLOOKUP(P173,[1]Categorizations!A$1:C$1048576,3,FALSE())</f>
        <v>Mislabeled</v>
      </c>
    </row>
    <row r="174" customFormat="false" ht="15.75" hidden="false" customHeight="false" outlineLevel="0" collapsed="false">
      <c r="A174" s="1" t="str">
        <f aca="false">CONCATENATE(C174,J174)</f>
        <v>45805Crafton Select LLC</v>
      </c>
      <c r="B174" s="4" t="n">
        <v>45800</v>
      </c>
      <c r="C174" s="5" t="n">
        <v>45805</v>
      </c>
      <c r="D174" s="1" t="s">
        <v>157</v>
      </c>
      <c r="E174" s="6" t="s">
        <v>542</v>
      </c>
      <c r="F174" s="1"/>
      <c r="G174" s="1" t="s">
        <v>38</v>
      </c>
      <c r="H174" s="1" t="s">
        <v>543</v>
      </c>
      <c r="I174" s="1" t="s">
        <v>544</v>
      </c>
      <c r="J174" s="1" t="s">
        <v>511</v>
      </c>
      <c r="M174" s="1" t="s">
        <v>103</v>
      </c>
      <c r="N174" s="4" t="n">
        <v>45632</v>
      </c>
      <c r="O174" s="4" t="n">
        <v>45650</v>
      </c>
      <c r="P174" s="1" t="s">
        <v>415</v>
      </c>
      <c r="Q174" s="1" t="s">
        <v>35</v>
      </c>
      <c r="R174" s="1" t="str">
        <f aca="false">VLOOKUP(P174,[1]Categorizations!A$1:C$1048576,2,FALSE())</f>
        <v>Invalid Testing</v>
      </c>
      <c r="S174" s="1" t="str">
        <f aca="false">VLOOKUP(P174,[1]Categorizations!A$1:C$1048576,3,FALSE())</f>
        <v>Lab Issue</v>
      </c>
    </row>
    <row r="175" customFormat="false" ht="15.75" hidden="false" customHeight="false" outlineLevel="0" collapsed="false">
      <c r="A175" s="1" t="str">
        <f aca="false">CONCATENATE(C175,J175)</f>
        <v>45819DBM Industries LLC</v>
      </c>
      <c r="B175" s="4" t="n">
        <v>45817</v>
      </c>
      <c r="C175" s="5" t="n">
        <v>45819</v>
      </c>
      <c r="D175" s="1" t="s">
        <v>157</v>
      </c>
      <c r="E175" s="6" t="s">
        <v>545</v>
      </c>
      <c r="F175" s="1"/>
      <c r="G175" s="1" t="s">
        <v>38</v>
      </c>
      <c r="H175" s="1" t="s">
        <v>193</v>
      </c>
      <c r="I175" s="1" t="s">
        <v>486</v>
      </c>
      <c r="J175" s="1" t="s">
        <v>483</v>
      </c>
      <c r="M175" s="1" t="s">
        <v>103</v>
      </c>
      <c r="N175" s="4" t="n">
        <v>45747</v>
      </c>
      <c r="O175" s="4" t="n">
        <v>45755</v>
      </c>
      <c r="P175" s="1" t="s">
        <v>546</v>
      </c>
      <c r="Q175" s="1" t="s">
        <v>35</v>
      </c>
      <c r="R175" s="1" t="str">
        <f aca="false">VLOOKUP(P175,[1]Categorizations!A$1:C$1048576,2,FALSE())</f>
        <v>Multiple: Invalid Testing, Misleading Label</v>
      </c>
      <c r="S175" s="1" t="str">
        <f aca="false">VLOOKUP(P175,[1]Categorizations!A$1:C$1048576,3,FALSE())</f>
        <v>Multiple</v>
      </c>
    </row>
    <row r="176" customFormat="false" ht="15.75" hidden="false" customHeight="false" outlineLevel="0" collapsed="false">
      <c r="A176" s="1" t="str">
        <f aca="false">CONCATENATE(C176,J176)</f>
        <v>45826Aureus LLC</v>
      </c>
      <c r="B176" s="4" t="n">
        <v>45824</v>
      </c>
      <c r="C176" s="5" t="n">
        <v>45826</v>
      </c>
      <c r="D176" s="1" t="s">
        <v>157</v>
      </c>
      <c r="E176" s="6" t="s">
        <v>547</v>
      </c>
      <c r="F176" s="1"/>
      <c r="G176" s="1" t="s">
        <v>38</v>
      </c>
      <c r="H176" s="1" t="s">
        <v>193</v>
      </c>
      <c r="I176" s="1" t="s">
        <v>548</v>
      </c>
      <c r="J176" s="1" t="s">
        <v>357</v>
      </c>
      <c r="M176" s="1" t="s">
        <v>103</v>
      </c>
      <c r="N176" s="4" t="n">
        <v>45740</v>
      </c>
      <c r="O176" s="4" t="n">
        <v>45743</v>
      </c>
      <c r="P176" s="1" t="s">
        <v>549</v>
      </c>
      <c r="Q176" s="1" t="s">
        <v>35</v>
      </c>
      <c r="R176" s="1" t="str">
        <f aca="false">VLOOKUP(P176,[1]Categorizations!A$1:C$1048576,2,FALSE())</f>
        <v>Aspergillus</v>
      </c>
      <c r="S176" s="1" t="str">
        <f aca="false">VLOOKUP(P176,[1]Categorizations!A$1:C$1048576,3,FALSE())</f>
        <v>Microbial Contamination</v>
      </c>
    </row>
    <row r="177" customFormat="false" ht="15.75" hidden="false" customHeight="false" outlineLevel="0" collapsed="false">
      <c r="A177" s="1" t="str">
        <f aca="false">CONCATENATE(C177,J177)</f>
        <v>45831COMMERCE C1 LLC</v>
      </c>
      <c r="B177" s="4" t="n">
        <v>45828</v>
      </c>
      <c r="C177" s="5" t="n">
        <v>45831</v>
      </c>
      <c r="D177" s="1" t="s">
        <v>157</v>
      </c>
      <c r="E177" s="6" t="s">
        <v>550</v>
      </c>
      <c r="F177" s="1"/>
      <c r="G177" s="1" t="s">
        <v>38</v>
      </c>
      <c r="H177" s="1" t="s">
        <v>39</v>
      </c>
      <c r="I177" s="1" t="s">
        <v>551</v>
      </c>
      <c r="J177" s="1" t="s">
        <v>552</v>
      </c>
      <c r="M177" s="1" t="s">
        <v>103</v>
      </c>
      <c r="N177" s="4" t="n">
        <v>45736</v>
      </c>
      <c r="O177" s="4" t="n">
        <v>45747</v>
      </c>
      <c r="P177" s="1" t="s">
        <v>288</v>
      </c>
      <c r="Q177" s="1" t="s">
        <v>35</v>
      </c>
      <c r="R177" s="1" t="str">
        <f aca="false">VLOOKUP(P177,[1]Categorizations!A$1:C$1048576,2,FALSE())</f>
        <v>Aspergillus</v>
      </c>
      <c r="S177" s="1" t="str">
        <f aca="false">VLOOKUP(P177,[1]Categorizations!A$1:C$1048576,3,FALSE())</f>
        <v>Microbial Contamination</v>
      </c>
    </row>
    <row r="178" customFormat="false" ht="15.75" hidden="false" customHeight="false" outlineLevel="0" collapsed="false">
      <c r="A178" s="1" t="str">
        <f aca="false">CONCATENATE(C178,J178)</f>
        <v>45832Mheka LLC</v>
      </c>
      <c r="B178" s="4" t="n">
        <v>45831</v>
      </c>
      <c r="C178" s="5" t="n">
        <v>45832</v>
      </c>
      <c r="D178" s="1" t="s">
        <v>157</v>
      </c>
      <c r="E178" s="6" t="s">
        <v>553</v>
      </c>
      <c r="F178" s="1"/>
      <c r="G178" s="1" t="s">
        <v>38</v>
      </c>
      <c r="H178" s="1" t="s">
        <v>55</v>
      </c>
      <c r="I178" s="1" t="s">
        <v>554</v>
      </c>
      <c r="J178" s="1" t="s">
        <v>555</v>
      </c>
      <c r="M178" s="1" t="s">
        <v>103</v>
      </c>
      <c r="N178" s="4" t="n">
        <v>45763</v>
      </c>
      <c r="O178" s="4" t="n">
        <v>45767</v>
      </c>
      <c r="P178" s="1" t="s">
        <v>556</v>
      </c>
      <c r="Q178" s="1" t="s">
        <v>35</v>
      </c>
      <c r="R178" s="1" t="str">
        <f aca="false">VLOOKUP(P178,[1]Categorizations!A$1:C$1048576,2,FALSE())</f>
        <v>Aspergillus</v>
      </c>
      <c r="S178" s="1" t="str">
        <f aca="false">VLOOKUP(P178,[1]Categorizations!A$1:C$1048576,3,FALSE())</f>
        <v>Microbial Contamination</v>
      </c>
    </row>
    <row r="179" customFormat="false" ht="15.75" hidden="false" customHeight="false" outlineLevel="0" collapsed="false">
      <c r="A179" s="1" t="str">
        <f aca="false">CONCATENATE(C179,J179)</f>
        <v>45834Natura Distribution LLC</v>
      </c>
      <c r="B179" s="4" t="n">
        <v>45834</v>
      </c>
      <c r="C179" s="5" t="n">
        <v>45834</v>
      </c>
      <c r="D179" s="1" t="s">
        <v>157</v>
      </c>
      <c r="E179" s="6" t="s">
        <v>557</v>
      </c>
      <c r="F179" s="1"/>
      <c r="G179" s="1" t="s">
        <v>38</v>
      </c>
      <c r="H179" s="1" t="s">
        <v>55</v>
      </c>
      <c r="I179" s="1" t="s">
        <v>558</v>
      </c>
      <c r="J179" s="1" t="s">
        <v>559</v>
      </c>
      <c r="M179" s="1" t="s">
        <v>103</v>
      </c>
      <c r="N179" s="4" t="n">
        <v>45754</v>
      </c>
      <c r="O179" s="4" t="n">
        <v>45783</v>
      </c>
      <c r="P179" s="1" t="s">
        <v>380</v>
      </c>
      <c r="Q179" s="1" t="s">
        <v>35</v>
      </c>
      <c r="R179" s="1" t="str">
        <f aca="false">VLOOKUP(P179,[1]Categorizations!A$1:C$1048576,2,FALSE())</f>
        <v>Multiple (Aspergillus, THC Inflation)</v>
      </c>
      <c r="S179" s="1" t="str">
        <f aca="false">VLOOKUP(P179,[1]Categorizations!A$1:C$1048576,3,FALSE())</f>
        <v>Multiple</v>
      </c>
    </row>
    <row r="180" customFormat="false" ht="15.75" hidden="false" customHeight="false" outlineLevel="0" collapsed="false">
      <c r="A180" s="1" t="str">
        <f aca="false">CONCATENATE(C180,J180)</f>
        <v>458342JC LLC</v>
      </c>
      <c r="C180" s="5" t="n">
        <v>45834</v>
      </c>
      <c r="D180" s="1" t="s">
        <v>157</v>
      </c>
      <c r="E180" s="6" t="s">
        <v>560</v>
      </c>
      <c r="F180" s="1"/>
      <c r="G180" s="1" t="s">
        <v>22</v>
      </c>
      <c r="H180" s="1" t="s">
        <v>39</v>
      </c>
      <c r="I180" s="1" t="s">
        <v>392</v>
      </c>
      <c r="J180" s="1" t="s">
        <v>379</v>
      </c>
      <c r="M180" s="1" t="s">
        <v>103</v>
      </c>
      <c r="N180" s="4" t="n">
        <v>45649</v>
      </c>
      <c r="O180" s="4" t="n">
        <v>45670</v>
      </c>
      <c r="P180" s="1" t="s">
        <v>400</v>
      </c>
      <c r="Q180" s="1" t="s">
        <v>35</v>
      </c>
      <c r="R180" s="1" t="str">
        <f aca="false">VLOOKUP(P180,[1]Categorizations!A$1:C$1048576,2,FALSE())</f>
        <v>Aspergillus</v>
      </c>
      <c r="S180" s="1" t="str">
        <f aca="false">VLOOKUP(P180,[1]Categorizations!A$1:C$1048576,3,FALSE())</f>
        <v>Microbial Contamination</v>
      </c>
    </row>
    <row r="181" customFormat="false" ht="15.75" hidden="false" customHeight="false" outlineLevel="0" collapsed="false">
      <c r="A181" s="1" t="str">
        <f aca="false">CONCATENATE(C181,J181)</f>
        <v>45838Quality Buds LLC</v>
      </c>
      <c r="B181" s="4" t="n">
        <v>45835</v>
      </c>
      <c r="C181" s="5" t="n">
        <v>45838</v>
      </c>
      <c r="D181" s="1" t="s">
        <v>157</v>
      </c>
      <c r="E181" s="6" t="s">
        <v>561</v>
      </c>
      <c r="F181" s="1"/>
      <c r="G181" s="1" t="s">
        <v>38</v>
      </c>
      <c r="H181" s="1" t="s">
        <v>39</v>
      </c>
      <c r="I181" s="1" t="s">
        <v>562</v>
      </c>
      <c r="J181" s="1" t="s">
        <v>563</v>
      </c>
      <c r="M181" s="1" t="s">
        <v>103</v>
      </c>
      <c r="N181" s="4" t="n">
        <v>45587</v>
      </c>
      <c r="O181" s="4" t="n">
        <v>45601</v>
      </c>
      <c r="P181" s="1" t="s">
        <v>537</v>
      </c>
      <c r="Q181" s="1" t="s">
        <v>35</v>
      </c>
      <c r="R181" s="1" t="str">
        <f aca="false">VLOOKUP(P181,[1]Categorizations!A$1:C$1048576,2,FALSE())</f>
        <v>Multiple: Invalid Testing, Attractive Labeling</v>
      </c>
      <c r="S181" s="1" t="str">
        <f aca="false">VLOOKUP(P181,[1]Categorizations!A$1:C$1048576,3,FALSE())</f>
        <v>Mislabeled</v>
      </c>
    </row>
    <row r="182" customFormat="false" ht="15.75" hidden="false" customHeight="false" outlineLevel="0" collapsed="false">
      <c r="A182" s="1" t="str">
        <f aca="false">CONCATENATE(C182,J182)</f>
        <v>45839Emerald Bay Wellness</v>
      </c>
      <c r="B182" s="4" t="n">
        <v>45839</v>
      </c>
      <c r="C182" s="5" t="n">
        <v>45839</v>
      </c>
      <c r="D182" s="1" t="s">
        <v>157</v>
      </c>
      <c r="E182" s="6" t="s">
        <v>564</v>
      </c>
      <c r="F182" s="1"/>
      <c r="G182" s="1" t="s">
        <v>38</v>
      </c>
      <c r="H182" s="1" t="s">
        <v>565</v>
      </c>
      <c r="I182" s="1" t="s">
        <v>566</v>
      </c>
      <c r="J182" s="1" t="s">
        <v>567</v>
      </c>
      <c r="M182" s="1" t="s">
        <v>103</v>
      </c>
      <c r="N182" s="4" t="n">
        <v>45798</v>
      </c>
      <c r="O182" s="4" t="n">
        <v>45806</v>
      </c>
      <c r="P182" s="1" t="s">
        <v>568</v>
      </c>
      <c r="Q182" s="1" t="s">
        <v>35</v>
      </c>
      <c r="R182" s="1" t="str">
        <f aca="false">VLOOKUP(P182,[1]Categorizations!A$1:C$1048576,2,FALSE())</f>
        <v>Inaccurate THC</v>
      </c>
      <c r="S182" s="1" t="str">
        <f aca="false">VLOOKUP(P182,[1]Categorizations!A$1:C$1048576,3,FALSE())</f>
        <v>Inaccurate THC</v>
      </c>
    </row>
    <row r="183" customFormat="false" ht="15.75" hidden="false" customHeight="false" outlineLevel="0" collapsed="false">
      <c r="A183" s="1" t="str">
        <f aca="false">CONCATENATE(C183,J183)</f>
        <v>45840Fluids Manufacturing Inc.</v>
      </c>
      <c r="B183" s="4" t="n">
        <v>45839</v>
      </c>
      <c r="C183" s="5" t="n">
        <v>45840</v>
      </c>
      <c r="D183" s="1" t="s">
        <v>157</v>
      </c>
      <c r="E183" s="6" t="s">
        <v>569</v>
      </c>
      <c r="F183" s="1"/>
      <c r="G183" s="1" t="s">
        <v>38</v>
      </c>
      <c r="H183" s="1" t="s">
        <v>55</v>
      </c>
      <c r="I183" s="1" t="s">
        <v>570</v>
      </c>
      <c r="J183" s="1" t="s">
        <v>571</v>
      </c>
      <c r="M183" s="1" t="s">
        <v>103</v>
      </c>
      <c r="N183" s="4" t="n">
        <v>45729</v>
      </c>
      <c r="O183" s="4" t="n">
        <v>45733</v>
      </c>
      <c r="P183" s="1" t="s">
        <v>572</v>
      </c>
      <c r="Q183" s="1" t="s">
        <v>35</v>
      </c>
      <c r="R183" s="1" t="str">
        <f aca="false">VLOOKUP(P183,[1]Categorizations!A$1:C$1048576,2,FALSE())</f>
        <v>Multiple </v>
      </c>
      <c r="S183" s="1" t="str">
        <f aca="false">VLOOKUP(P183,[1]Categorizations!A$1:C$1048576,3,FALSE())</f>
        <v>Microbial Contamination</v>
      </c>
    </row>
    <row r="184" customFormat="false" ht="15.75" hidden="false" customHeight="false" outlineLevel="0" collapsed="false">
      <c r="A184" s="1" t="str">
        <f aca="false">CONCATENATE(C184,J184)</f>
        <v>45841S&amp;J Manufacturing LLC</v>
      </c>
      <c r="B184" s="4" t="n">
        <v>45841</v>
      </c>
      <c r="C184" s="5" t="n">
        <v>45841</v>
      </c>
      <c r="D184" s="1" t="s">
        <v>157</v>
      </c>
      <c r="E184" s="6" t="s">
        <v>573</v>
      </c>
      <c r="F184" s="1"/>
      <c r="G184" s="1" t="s">
        <v>38</v>
      </c>
      <c r="H184" s="1" t="s">
        <v>174</v>
      </c>
      <c r="I184" s="1" t="s">
        <v>574</v>
      </c>
      <c r="J184" s="1" t="s">
        <v>575</v>
      </c>
      <c r="M184" s="1" t="s">
        <v>103</v>
      </c>
      <c r="N184" s="4" t="n">
        <v>45729</v>
      </c>
      <c r="O184" s="4" t="n">
        <v>45747</v>
      </c>
      <c r="P184" s="1" t="s">
        <v>576</v>
      </c>
      <c r="Q184" s="1" t="s">
        <v>35</v>
      </c>
      <c r="R184" s="1" t="str">
        <f aca="false">VLOOKUP(P184,[1]Categorizations!A$1:C$1048576,2,FALSE())</f>
        <v>Multiple: inaccurate Ingredient Label, Unverifiable GMP</v>
      </c>
      <c r="S184" s="1" t="str">
        <f aca="false">VLOOKUP(P184,[1]Categorizations!A$1:C$1048576,3,FALSE())</f>
        <v>Multiple</v>
      </c>
    </row>
    <row r="185" customFormat="false" ht="15.75" hidden="false" customHeight="false" outlineLevel="0" collapsed="false">
      <c r="A185" s="1" t="str">
        <f aca="false">CONCATENATE(C185,J185)</f>
        <v>45846TKC Group Inc.</v>
      </c>
      <c r="B185" s="4" t="n">
        <v>45841</v>
      </c>
      <c r="C185" s="5" t="n">
        <v>45846</v>
      </c>
      <c r="D185" s="1" t="s">
        <v>157</v>
      </c>
      <c r="E185" s="6" t="s">
        <v>577</v>
      </c>
      <c r="F185" s="1"/>
      <c r="G185" s="1" t="s">
        <v>38</v>
      </c>
      <c r="H185" s="1" t="s">
        <v>193</v>
      </c>
      <c r="I185" s="1" t="s">
        <v>578</v>
      </c>
      <c r="J185" s="1" t="s">
        <v>579</v>
      </c>
      <c r="M185" s="1" t="s">
        <v>103</v>
      </c>
      <c r="N185" s="4" t="n">
        <v>45705</v>
      </c>
      <c r="O185" s="4" t="n">
        <v>45747</v>
      </c>
      <c r="P185" s="1" t="s">
        <v>580</v>
      </c>
      <c r="Q185" s="1" t="s">
        <v>35</v>
      </c>
      <c r="R185" s="1" t="str">
        <f aca="false">VLOOKUP(P185,[1]Categorizations!A$1:C$1048576,2,FALSE())</f>
        <v>Prohibited Additives / Product</v>
      </c>
      <c r="S185" s="1" t="str">
        <f aca="false">VLOOKUP(P185,[1]Categorizations!A$1:C$1048576,3,FALSE())</f>
        <v>Prohibited Additives / Product</v>
      </c>
    </row>
    <row r="186" customFormat="false" ht="15.75" hidden="false" customHeight="false" outlineLevel="0" collapsed="false">
      <c r="A186" s="1" t="str">
        <f aca="false">CONCATENATE(C186,J186)</f>
        <v>45853DBM Industries LLC</v>
      </c>
      <c r="B186" s="4" t="n">
        <v>45852</v>
      </c>
      <c r="C186" s="5" t="n">
        <v>45853</v>
      </c>
      <c r="D186" s="1" t="s">
        <v>157</v>
      </c>
      <c r="E186" s="6" t="s">
        <v>581</v>
      </c>
      <c r="F186" s="1"/>
      <c r="G186" s="1" t="s">
        <v>38</v>
      </c>
      <c r="H186" s="1" t="s">
        <v>193</v>
      </c>
      <c r="I186" s="1" t="s">
        <v>582</v>
      </c>
      <c r="J186" s="1" t="s">
        <v>483</v>
      </c>
      <c r="M186" s="1" t="s">
        <v>103</v>
      </c>
      <c r="N186" s="4" t="n">
        <v>45705</v>
      </c>
      <c r="O186" s="4" t="n">
        <v>45755</v>
      </c>
      <c r="P186" s="1" t="s">
        <v>288</v>
      </c>
      <c r="Q186" s="1" t="s">
        <v>35</v>
      </c>
      <c r="R186" s="1" t="str">
        <f aca="false">VLOOKUP(P186,[1]Categorizations!A$1:C$1048576,2,FALSE())</f>
        <v>Aspergillus</v>
      </c>
      <c r="S186" s="1" t="str">
        <f aca="false">VLOOKUP(P186,[1]Categorizations!A$1:C$1048576,3,FALSE())</f>
        <v>Microbial Contamination</v>
      </c>
    </row>
    <row r="187" customFormat="false" ht="15.75" hidden="false" customHeight="false" outlineLevel="0" collapsed="false">
      <c r="A187" s="1" t="str">
        <f aca="false">CONCATENATE(C187,J187)</f>
        <v>458552JC LLC</v>
      </c>
      <c r="C187" s="5" t="n">
        <v>45855</v>
      </c>
      <c r="D187" s="1" t="s">
        <v>157</v>
      </c>
      <c r="E187" s="6" t="s">
        <v>583</v>
      </c>
      <c r="F187" s="1"/>
      <c r="G187" s="1" t="s">
        <v>22</v>
      </c>
      <c r="H187" s="1" t="s">
        <v>39</v>
      </c>
      <c r="I187" s="1" t="s">
        <v>392</v>
      </c>
      <c r="J187" s="1" t="s">
        <v>379</v>
      </c>
      <c r="M187" s="1" t="s">
        <v>103</v>
      </c>
      <c r="N187" s="4" t="n">
        <v>45777</v>
      </c>
      <c r="O187" s="4" t="n">
        <v>45777</v>
      </c>
      <c r="P187" s="1" t="s">
        <v>549</v>
      </c>
      <c r="Q187" s="1" t="s">
        <v>35</v>
      </c>
      <c r="R187" s="1" t="str">
        <f aca="false">VLOOKUP(P187,[1]Categorizations!A$1:C$1048576,2,FALSE())</f>
        <v>Aspergillus</v>
      </c>
      <c r="S187" s="1" t="str">
        <f aca="false">VLOOKUP(P187,[1]Categorizations!A$1:C$1048576,3,FALSE())</f>
        <v>Microbial Contamination</v>
      </c>
    </row>
    <row r="188" customFormat="false" ht="15.75" hidden="false" customHeight="false" outlineLevel="0" collapsed="false">
      <c r="A188" s="1" t="str">
        <f aca="false">CONCATENATE(C188,J188)</f>
        <v>4586817k Muskrat 2 Inc.</v>
      </c>
      <c r="B188" s="4" t="n">
        <v>45868</v>
      </c>
      <c r="C188" s="5" t="n">
        <v>45868</v>
      </c>
      <c r="D188" s="1" t="s">
        <v>157</v>
      </c>
      <c r="E188" s="6" t="s">
        <v>584</v>
      </c>
      <c r="F188" s="1"/>
      <c r="G188" s="1" t="s">
        <v>38</v>
      </c>
      <c r="H188" s="1" t="s">
        <v>193</v>
      </c>
      <c r="I188" s="1" t="s">
        <v>578</v>
      </c>
      <c r="J188" s="1" t="s">
        <v>585</v>
      </c>
      <c r="M188" s="1" t="s">
        <v>103</v>
      </c>
      <c r="N188" s="4" t="n">
        <v>45565</v>
      </c>
      <c r="O188" s="4" t="n">
        <v>45588</v>
      </c>
      <c r="P188" s="1" t="s">
        <v>580</v>
      </c>
      <c r="Q188" s="1" t="s">
        <v>35</v>
      </c>
      <c r="R188" s="1" t="str">
        <f aca="false">VLOOKUP(P188,[1]Categorizations!A$1:C$1048576,2,FALSE())</f>
        <v>Prohibited Additives / Product</v>
      </c>
      <c r="S188" s="1" t="str">
        <f aca="false">VLOOKUP(P188,[1]Categorizations!A$1:C$1048576,3,FALSE())</f>
        <v>Prohibited Additives / Product</v>
      </c>
    </row>
    <row r="189" customFormat="false" ht="15.75" hidden="false" customHeight="false" outlineLevel="0" collapsed="false">
      <c r="A189" s="1" t="str">
        <f aca="false">CONCATENATE(C189,J189)</f>
        <v>45868City Compassionate Caregivers Inc.</v>
      </c>
      <c r="B189" s="4" t="n">
        <v>45868</v>
      </c>
      <c r="C189" s="5" t="n">
        <v>45868</v>
      </c>
      <c r="D189" s="1" t="s">
        <v>157</v>
      </c>
      <c r="E189" s="6" t="s">
        <v>586</v>
      </c>
      <c r="F189" s="1"/>
      <c r="G189" s="1" t="s">
        <v>38</v>
      </c>
      <c r="H189" s="1" t="s">
        <v>210</v>
      </c>
      <c r="I189" s="1" t="s">
        <v>587</v>
      </c>
      <c r="J189" s="1" t="s">
        <v>588</v>
      </c>
      <c r="M189" s="1" t="s">
        <v>103</v>
      </c>
      <c r="N189" s="4" t="n">
        <v>45800</v>
      </c>
      <c r="O189" s="4" t="n">
        <v>45838</v>
      </c>
      <c r="P189" s="1" t="s">
        <v>311</v>
      </c>
      <c r="Q189" s="1" t="s">
        <v>35</v>
      </c>
      <c r="R189" s="1" t="str">
        <f aca="false">VLOOKUP(P189,[1]Categorizations!A$1:C$1048576,2,FALSE())</f>
        <v>Attractive Label</v>
      </c>
      <c r="S189" s="1" t="str">
        <f aca="false">VLOOKUP(P189,[1]Categorizations!A$1:C$1048576,3,FALSE())</f>
        <v>Packaging</v>
      </c>
    </row>
    <row r="190" customFormat="false" ht="15.75" hidden="false" customHeight="false" outlineLevel="0" collapsed="false">
      <c r="A190" s="1" t="str">
        <f aca="false">CONCATENATE(C190,J190)</f>
        <v>45870Coastal Business Distribution LLC</v>
      </c>
      <c r="B190" s="4" t="n">
        <v>45868</v>
      </c>
      <c r="C190" s="5" t="n">
        <v>45870</v>
      </c>
      <c r="D190" s="1" t="s">
        <v>157</v>
      </c>
      <c r="E190" s="6" t="s">
        <v>589</v>
      </c>
      <c r="F190" s="1"/>
      <c r="G190" s="1" t="s">
        <v>38</v>
      </c>
      <c r="H190" s="1" t="s">
        <v>39</v>
      </c>
      <c r="I190" s="1" t="s">
        <v>590</v>
      </c>
      <c r="J190" s="1" t="s">
        <v>591</v>
      </c>
      <c r="M190" s="1" t="s">
        <v>103</v>
      </c>
      <c r="N190" s="4" t="n">
        <v>45750</v>
      </c>
      <c r="O190" s="4" t="n">
        <v>45792</v>
      </c>
      <c r="P190" s="1" t="s">
        <v>400</v>
      </c>
      <c r="Q190" s="1" t="s">
        <v>35</v>
      </c>
      <c r="R190" s="1" t="str">
        <f aca="false">VLOOKUP(P190,[1]Categorizations!A$1:C$1048576,2,FALSE())</f>
        <v>Aspergillus</v>
      </c>
      <c r="S190" s="1" t="str">
        <f aca="false">VLOOKUP(P190,[1]Categorizations!A$1:C$1048576,3,FALSE())</f>
        <v>Microbial Contamination</v>
      </c>
    </row>
    <row r="191" customFormat="false" ht="15.75" hidden="false" customHeight="false" outlineLevel="0" collapsed="false">
      <c r="A191" s="1" t="str">
        <f aca="false">CONCATENATE(C191,J191)</f>
        <v>45874Natura Manufacturing LLC</v>
      </c>
      <c r="B191" s="4" t="n">
        <v>45870</v>
      </c>
      <c r="C191" s="5" t="n">
        <v>45874</v>
      </c>
      <c r="D191" s="1" t="s">
        <v>157</v>
      </c>
      <c r="E191" s="6" t="s">
        <v>592</v>
      </c>
      <c r="F191" s="1"/>
      <c r="G191" s="1" t="s">
        <v>38</v>
      </c>
      <c r="H191" s="1" t="s">
        <v>193</v>
      </c>
      <c r="I191" s="1" t="s">
        <v>593</v>
      </c>
      <c r="J191" s="1" t="s">
        <v>594</v>
      </c>
      <c r="M191" s="1" t="s">
        <v>103</v>
      </c>
      <c r="N191" s="4" t="n">
        <v>45581</v>
      </c>
      <c r="O191" s="4" t="n">
        <v>45540</v>
      </c>
      <c r="P191" s="1" t="s">
        <v>400</v>
      </c>
      <c r="Q191" s="1" t="s">
        <v>35</v>
      </c>
      <c r="R191" s="1" t="str">
        <f aca="false">VLOOKUP(P191,[1]Categorizations!A$1:C$1048576,2,FALSE())</f>
        <v>Aspergillus</v>
      </c>
      <c r="S191" s="1" t="str">
        <f aca="false">VLOOKUP(P191,[1]Categorizations!A$1:C$1048576,3,FALSE())</f>
        <v>Microbial Contamination</v>
      </c>
    </row>
    <row r="192" customFormat="false" ht="15.75" hidden="false" customHeight="false" outlineLevel="0" collapsed="false">
      <c r="A192" s="1" t="s">
        <v>595</v>
      </c>
      <c r="B192" s="4" t="n">
        <v>45870</v>
      </c>
      <c r="C192" s="5" t="n">
        <v>45874</v>
      </c>
      <c r="D192" s="1" t="s">
        <v>157</v>
      </c>
      <c r="E192" s="6" t="s">
        <v>596</v>
      </c>
      <c r="F192" s="1"/>
      <c r="G192" s="1" t="s">
        <v>38</v>
      </c>
      <c r="H192" s="1" t="s">
        <v>193</v>
      </c>
      <c r="I192" s="1" t="s">
        <v>597</v>
      </c>
      <c r="J192" s="1" t="s">
        <v>594</v>
      </c>
      <c r="M192" s="1" t="s">
        <v>103</v>
      </c>
      <c r="N192" s="4" t="n">
        <v>45516</v>
      </c>
      <c r="O192" s="4" t="n">
        <v>45520</v>
      </c>
      <c r="P192" s="1" t="s">
        <v>400</v>
      </c>
      <c r="Q192" s="1" t="s">
        <v>35</v>
      </c>
      <c r="R192" s="1" t="str">
        <f aca="false">VLOOKUP(P192,[1]Categorizations!A$1:C$1048576,2,FALSE())</f>
        <v>Aspergillus</v>
      </c>
      <c r="S192" s="1" t="str">
        <f aca="false">VLOOKUP(P192,[1]Categorizations!A$1:C$1048576,3,FALSE())</f>
        <v>Microbial Contamination</v>
      </c>
    </row>
    <row r="193" customFormat="false" ht="15.75" hidden="false" customHeight="false" outlineLevel="0" collapsed="false">
      <c r="A193" s="1" t="str">
        <f aca="false">CONCATENATE(C193,J193)</f>
        <v>45880Korben Labs LLC</v>
      </c>
      <c r="B193" s="4" t="n">
        <v>45880</v>
      </c>
      <c r="C193" s="5" t="n">
        <v>45880</v>
      </c>
      <c r="D193" s="1" t="s">
        <v>157</v>
      </c>
      <c r="E193" s="6" t="s">
        <v>598</v>
      </c>
      <c r="F193" s="1"/>
      <c r="G193" s="1" t="s">
        <v>38</v>
      </c>
      <c r="H193" s="1" t="s">
        <v>210</v>
      </c>
      <c r="I193" s="1" t="s">
        <v>599</v>
      </c>
      <c r="J193" s="1" t="s">
        <v>600</v>
      </c>
      <c r="M193" s="1" t="s">
        <v>103</v>
      </c>
      <c r="N193" s="4" t="n">
        <v>45709</v>
      </c>
      <c r="O193" s="4" t="n">
        <v>45719</v>
      </c>
      <c r="P193" s="1" t="s">
        <v>601</v>
      </c>
      <c r="Q193" s="1" t="s">
        <v>35</v>
      </c>
      <c r="R193" s="1" t="str">
        <f aca="false">VLOOKUP(P193,[1]Categorizations!A$1:C$1048576,2,FALSE())</f>
        <v>Prohibited Additives / Product</v>
      </c>
      <c r="S193" s="1" t="str">
        <f aca="false">VLOOKUP(P193,[1]Categorizations!A$1:C$1048576,3,FALSE())</f>
        <v>Prohibited Additives / Product</v>
      </c>
    </row>
    <row r="194" customFormat="false" ht="15.75" hidden="false" customHeight="false" outlineLevel="0" collapsed="false">
      <c r="A194" s="1" t="str">
        <f aca="false">CONCATENATE(C194,J194)</f>
        <v>45881Young Bulls LLC</v>
      </c>
      <c r="B194" s="4" t="n">
        <v>45877</v>
      </c>
      <c r="C194" s="5" t="n">
        <v>45881</v>
      </c>
      <c r="D194" s="1" t="s">
        <v>157</v>
      </c>
      <c r="E194" s="6" t="s">
        <v>602</v>
      </c>
      <c r="F194" s="1"/>
      <c r="G194" s="1" t="s">
        <v>38</v>
      </c>
      <c r="H194" s="1" t="s">
        <v>55</v>
      </c>
      <c r="I194" s="1" t="s">
        <v>603</v>
      </c>
      <c r="J194" s="1" t="s">
        <v>604</v>
      </c>
      <c r="M194" s="1" t="s">
        <v>103</v>
      </c>
      <c r="N194" s="4" t="n">
        <v>45721</v>
      </c>
      <c r="O194" s="4" t="n">
        <v>45727</v>
      </c>
      <c r="P194" s="1" t="s">
        <v>415</v>
      </c>
      <c r="Q194" s="1" t="s">
        <v>35</v>
      </c>
      <c r="R194" s="1" t="str">
        <f aca="false">VLOOKUP(P194,[1]Categorizations!A$1:C$1048576,2,FALSE())</f>
        <v>Invalid Testing</v>
      </c>
      <c r="S194" s="1" t="str">
        <f aca="false">VLOOKUP(P194,[1]Categorizations!A$1:C$1048576,3,FALSE())</f>
        <v>Lab Issue</v>
      </c>
    </row>
    <row r="195" customFormat="false" ht="15.75" hidden="false" customHeight="false" outlineLevel="0" collapsed="false">
      <c r="A195" s="1" t="str">
        <f aca="false">CONCATENATE(C195,J195)</f>
        <v>45891Alkhemists LLC</v>
      </c>
      <c r="B195" s="4" t="n">
        <v>45890</v>
      </c>
      <c r="C195" s="5" t="n">
        <v>45891</v>
      </c>
      <c r="D195" s="1" t="s">
        <v>157</v>
      </c>
      <c r="E195" s="6" t="s">
        <v>605</v>
      </c>
      <c r="F195" s="1"/>
      <c r="G195" s="1" t="s">
        <v>38</v>
      </c>
      <c r="H195" s="1" t="s">
        <v>210</v>
      </c>
      <c r="I195" s="1" t="s">
        <v>606</v>
      </c>
      <c r="J195" s="1" t="s">
        <v>423</v>
      </c>
      <c r="M195" s="1" t="s">
        <v>103</v>
      </c>
      <c r="N195" s="4" t="n">
        <v>45531</v>
      </c>
      <c r="O195" s="4" t="n">
        <v>45548</v>
      </c>
      <c r="P195" s="1" t="s">
        <v>607</v>
      </c>
      <c r="Q195" s="1" t="s">
        <v>35</v>
      </c>
      <c r="R195" s="1" t="str">
        <f aca="false">VLOOKUP(P195,[1]Categorizations!A$1:C$1048576,2,FALSE())</f>
        <v>Pesticides</v>
      </c>
      <c r="S195" s="1" t="str">
        <f aca="false">VLOOKUP(P195,[1]Categorizations!A$1:C$1048576,3,FALSE())</f>
        <v>Pesticides</v>
      </c>
    </row>
    <row r="196" customFormat="false" ht="15.75" hidden="false" customHeight="false" outlineLevel="0" collapsed="false">
      <c r="A196" s="1" t="str">
        <f aca="false">CONCATENATE(C196,J196)</f>
        <v>45905Punch Media LLC</v>
      </c>
      <c r="B196" s="4" t="n">
        <v>45904</v>
      </c>
      <c r="C196" s="5" t="n">
        <v>45905</v>
      </c>
      <c r="D196" s="1" t="s">
        <v>157</v>
      </c>
      <c r="E196" s="6" t="s">
        <v>608</v>
      </c>
      <c r="F196" s="1"/>
      <c r="G196" s="1" t="s">
        <v>38</v>
      </c>
      <c r="H196" s="1" t="s">
        <v>210</v>
      </c>
      <c r="I196" s="1" t="s">
        <v>609</v>
      </c>
      <c r="J196" s="1" t="s">
        <v>610</v>
      </c>
      <c r="M196" s="1" t="s">
        <v>103</v>
      </c>
      <c r="N196" s="4" t="n">
        <v>45602</v>
      </c>
      <c r="O196" s="4" t="n">
        <v>45609</v>
      </c>
      <c r="P196" s="1" t="s">
        <v>607</v>
      </c>
      <c r="Q196" s="1" t="s">
        <v>35</v>
      </c>
      <c r="R196" s="1" t="str">
        <f aca="false">VLOOKUP(P196,[1]Categorizations!A$1:C$1048576,2,FALSE())</f>
        <v>Pesticides</v>
      </c>
      <c r="S196" s="1" t="str">
        <f aca="false">VLOOKUP(P196,[1]Categorizations!A$1:C$1048576,3,FALSE())</f>
        <v>Pesticides</v>
      </c>
    </row>
    <row r="197" customFormat="false" ht="15.75" hidden="false" customHeight="false" outlineLevel="0" collapsed="false">
      <c r="A197" s="1" t="str">
        <f aca="false">CONCATENATE(C197,J197)</f>
        <v>45909Euphoric Life Inc.</v>
      </c>
      <c r="B197" s="4" t="n">
        <v>45905</v>
      </c>
      <c r="C197" s="5" t="n">
        <v>45909</v>
      </c>
      <c r="D197" s="1" t="s">
        <v>157</v>
      </c>
      <c r="E197" s="6" t="s">
        <v>611</v>
      </c>
      <c r="F197" s="1"/>
      <c r="G197" s="1" t="s">
        <v>38</v>
      </c>
      <c r="H197" s="1" t="s">
        <v>174</v>
      </c>
      <c r="I197" s="1" t="s">
        <v>612</v>
      </c>
      <c r="J197" s="1" t="s">
        <v>613</v>
      </c>
      <c r="M197" s="1" t="s">
        <v>103</v>
      </c>
      <c r="N197" s="4" t="n">
        <v>45729</v>
      </c>
      <c r="O197" s="4" t="n">
        <v>45741</v>
      </c>
      <c r="P197" s="1" t="s">
        <v>576</v>
      </c>
      <c r="Q197" s="1" t="s">
        <v>35</v>
      </c>
      <c r="R197" s="1" t="str">
        <f aca="false">VLOOKUP(P197,[1]Categorizations!A$1:C$1048576,2,FALSE())</f>
        <v>Multiple: inaccurate Ingredient Label, Unverifiable GMP</v>
      </c>
      <c r="S197" s="1" t="str">
        <f aca="false">VLOOKUP(P197,[1]Categorizations!A$1:C$1048576,3,FALSE())</f>
        <v>Multiple</v>
      </c>
    </row>
    <row r="198" customFormat="false" ht="15.75" hidden="false" customHeight="false" outlineLevel="0" collapsed="false">
      <c r="A198" s="1" t="s">
        <v>614</v>
      </c>
      <c r="B198" s="4" t="n">
        <v>45905</v>
      </c>
      <c r="C198" s="5" t="n">
        <v>45909</v>
      </c>
      <c r="D198" s="1" t="s">
        <v>157</v>
      </c>
      <c r="E198" s="6" t="s">
        <v>615</v>
      </c>
      <c r="F198" s="1"/>
      <c r="G198" s="1" t="s">
        <v>38</v>
      </c>
      <c r="H198" s="1" t="s">
        <v>174</v>
      </c>
      <c r="I198" s="1" t="s">
        <v>616</v>
      </c>
      <c r="J198" s="1" t="s">
        <v>613</v>
      </c>
      <c r="M198" s="1" t="s">
        <v>103</v>
      </c>
      <c r="N198" s="4" t="n">
        <v>45797</v>
      </c>
      <c r="O198" s="4" t="n">
        <v>45824</v>
      </c>
      <c r="P198" s="1" t="s">
        <v>576</v>
      </c>
      <c r="Q198" s="1" t="s">
        <v>35</v>
      </c>
      <c r="R198" s="1" t="str">
        <f aca="false">VLOOKUP(P198,[1]Categorizations!A$1:C$1048576,2,FALSE())</f>
        <v>Multiple: inaccurate Ingredient Label, Unverifiable GMP</v>
      </c>
      <c r="S198" s="1" t="str">
        <f aca="false">VLOOKUP(P198,[1]Categorizations!A$1:C$1048576,3,FALSE())</f>
        <v>Multiple</v>
      </c>
    </row>
    <row r="199" customFormat="false" ht="15.75" hidden="false" customHeight="false" outlineLevel="0" collapsed="false">
      <c r="A199" s="1" t="s">
        <v>617</v>
      </c>
      <c r="B199" s="4" t="n">
        <v>45905</v>
      </c>
      <c r="C199" s="5" t="n">
        <v>45909</v>
      </c>
      <c r="D199" s="1" t="s">
        <v>157</v>
      </c>
      <c r="E199" s="6" t="s">
        <v>618</v>
      </c>
      <c r="F199" s="1"/>
      <c r="G199" s="1" t="s">
        <v>38</v>
      </c>
      <c r="H199" s="1" t="s">
        <v>174</v>
      </c>
      <c r="I199" s="1" t="s">
        <v>619</v>
      </c>
      <c r="J199" s="1" t="s">
        <v>613</v>
      </c>
      <c r="M199" s="1" t="s">
        <v>103</v>
      </c>
      <c r="N199" s="4" t="n">
        <v>45729</v>
      </c>
      <c r="O199" s="4" t="n">
        <v>45741</v>
      </c>
      <c r="P199" s="1" t="s">
        <v>576</v>
      </c>
      <c r="Q199" s="1" t="s">
        <v>35</v>
      </c>
      <c r="R199" s="1" t="str">
        <f aca="false">VLOOKUP(P199,[1]Categorizations!A$1:C$1048576,2,FALSE())</f>
        <v>Multiple: inaccurate Ingredient Label, Unverifiable GMP</v>
      </c>
      <c r="S199" s="1" t="str">
        <f aca="false">VLOOKUP(P199,[1]Categorizations!A$1:C$1048576,3,FALSE())</f>
        <v>Multiple</v>
      </c>
    </row>
    <row r="200" customFormat="false" ht="15.75" hidden="false" customHeight="false" outlineLevel="0" collapsed="false">
      <c r="A200" s="1" t="s">
        <v>620</v>
      </c>
      <c r="B200" s="4" t="n">
        <v>45905</v>
      </c>
      <c r="C200" s="5" t="n">
        <v>45909</v>
      </c>
      <c r="D200" s="1" t="s">
        <v>157</v>
      </c>
      <c r="E200" s="6" t="s">
        <v>621</v>
      </c>
      <c r="F200" s="1"/>
      <c r="G200" s="1" t="s">
        <v>38</v>
      </c>
      <c r="H200" s="1" t="s">
        <v>174</v>
      </c>
      <c r="I200" s="1" t="s">
        <v>622</v>
      </c>
      <c r="J200" s="1" t="s">
        <v>613</v>
      </c>
      <c r="M200" s="1" t="s">
        <v>103</v>
      </c>
      <c r="N200" s="4" t="n">
        <v>45805</v>
      </c>
      <c r="O200" s="4" t="n">
        <v>45838</v>
      </c>
      <c r="P200" s="1" t="s">
        <v>576</v>
      </c>
      <c r="Q200" s="1" t="s">
        <v>35</v>
      </c>
      <c r="R200" s="1" t="str">
        <f aca="false">VLOOKUP(P200,[1]Categorizations!A$1:C$1048576,2,FALSE())</f>
        <v>Multiple: inaccurate Ingredient Label, Unverifiable GMP</v>
      </c>
      <c r="S200" s="1" t="str">
        <f aca="false">VLOOKUP(P200,[1]Categorizations!A$1:C$1048576,3,FALSE())</f>
        <v>Multiple</v>
      </c>
    </row>
    <row r="201" customFormat="false" ht="15.75" hidden="false" customHeight="false" outlineLevel="0" collapsed="false">
      <c r="A201" s="1" t="str">
        <f aca="false">CONCATENATE(C201,J201)</f>
        <v>45918Crème de Canna Collective</v>
      </c>
      <c r="B201" s="4" t="n">
        <v>45916</v>
      </c>
      <c r="C201" s="5" t="n">
        <v>45918</v>
      </c>
      <c r="D201" s="1" t="s">
        <v>157</v>
      </c>
      <c r="E201" s="6" t="s">
        <v>623</v>
      </c>
      <c r="F201" s="1"/>
      <c r="G201" s="1" t="s">
        <v>38</v>
      </c>
      <c r="H201" s="1" t="s">
        <v>39</v>
      </c>
      <c r="I201" s="1" t="s">
        <v>624</v>
      </c>
      <c r="J201" s="1" t="s">
        <v>625</v>
      </c>
      <c r="M201" s="1" t="s">
        <v>103</v>
      </c>
      <c r="N201" s="4" t="n">
        <v>45828</v>
      </c>
      <c r="O201" s="4" t="n">
        <v>45841</v>
      </c>
      <c r="P201" s="1" t="s">
        <v>333</v>
      </c>
      <c r="Q201" s="1" t="s">
        <v>35</v>
      </c>
      <c r="R201" s="1" t="str">
        <f aca="false">VLOOKUP(P201,[1]Categorizations!A$1:C$1048576,2,FALSE())</f>
        <v>Multiple (Aspergillus, THC Inflation)</v>
      </c>
      <c r="S201" s="1" t="str">
        <f aca="false">VLOOKUP(P201,[1]Categorizations!A$1:C$1048576,3,FALSE())</f>
        <v>Multiple</v>
      </c>
    </row>
    <row r="202" customFormat="false" ht="15.75" hidden="false" customHeight="false" outlineLevel="0" collapsed="false">
      <c r="A202" s="1" t="str">
        <f aca="false">CONCATENATE(C202,J202)</f>
        <v>45922Odyssey Agricultural Development LLC</v>
      </c>
      <c r="B202" s="4" t="n">
        <v>45919</v>
      </c>
      <c r="C202" s="5" t="n">
        <v>45922</v>
      </c>
      <c r="D202" s="1" t="s">
        <v>157</v>
      </c>
      <c r="E202" s="6" t="s">
        <v>626</v>
      </c>
      <c r="F202" s="1"/>
      <c r="G202" s="1" t="s">
        <v>38</v>
      </c>
      <c r="H202" s="1" t="s">
        <v>55</v>
      </c>
      <c r="I202" s="1" t="s">
        <v>627</v>
      </c>
      <c r="J202" s="1" t="s">
        <v>628</v>
      </c>
      <c r="M202" s="1" t="s">
        <v>103</v>
      </c>
      <c r="N202" s="4" t="n">
        <v>45856</v>
      </c>
      <c r="O202" s="4" t="n">
        <v>45866</v>
      </c>
      <c r="P202" s="1" t="s">
        <v>288</v>
      </c>
      <c r="Q202" s="1" t="s">
        <v>35</v>
      </c>
      <c r="R202" s="1" t="str">
        <f aca="false">VLOOKUP(P202,[1]Categorizations!A$1:C$1048576,2,FALSE())</f>
        <v>Aspergillus</v>
      </c>
      <c r="S202" s="1" t="str">
        <f aca="false">VLOOKUP(P202,[1]Categorizations!A$1:C$1048576,3,FALSE())</f>
        <v>Microbial Contamination</v>
      </c>
    </row>
    <row r="203" customFormat="false" ht="15.75" hidden="false" customHeight="false" outlineLevel="0" collapsed="false">
      <c r="A203" s="1" t="str">
        <f aca="false">CONCATENATE(C203,J203)</f>
        <v>45933Broadway Alliance LLC</v>
      </c>
      <c r="B203" s="4" t="n">
        <v>45932</v>
      </c>
      <c r="C203" s="5" t="n">
        <v>45933</v>
      </c>
      <c r="D203" s="1" t="s">
        <v>157</v>
      </c>
      <c r="E203" s="6" t="s">
        <v>629</v>
      </c>
      <c r="F203" s="1"/>
      <c r="G203" s="1" t="s">
        <v>38</v>
      </c>
      <c r="H203" s="1" t="s">
        <v>200</v>
      </c>
      <c r="I203" s="1" t="s">
        <v>630</v>
      </c>
      <c r="J203" s="1" t="s">
        <v>445</v>
      </c>
      <c r="M203" s="1" t="s">
        <v>103</v>
      </c>
      <c r="N203" s="4" t="n">
        <v>45754</v>
      </c>
      <c r="O203" s="4" t="n">
        <v>45783</v>
      </c>
      <c r="P203" s="1" t="s">
        <v>311</v>
      </c>
      <c r="Q203" s="1" t="s">
        <v>35</v>
      </c>
      <c r="R203" s="1" t="str">
        <f aca="false">VLOOKUP(P203,[1]Categorizations!A$1:C$1048576,2,FALSE())</f>
        <v>Attractive Label</v>
      </c>
      <c r="S203" s="1" t="str">
        <f aca="false">VLOOKUP(P203,[1]Categorizations!A$1:C$1048576,3,FALSE())</f>
        <v>Packaging</v>
      </c>
    </row>
    <row r="204" customFormat="false" ht="15.75" hidden="false" customHeight="false" outlineLevel="0" collapsed="false">
      <c r="A204" s="1" t="str">
        <f aca="false">CONCATENATE(C204,J204)</f>
        <v>45947Mar Bay Gardens</v>
      </c>
      <c r="B204" s="4" t="n">
        <v>45946</v>
      </c>
      <c r="C204" s="5" t="n">
        <v>45947</v>
      </c>
      <c r="D204" s="1" t="s">
        <v>157</v>
      </c>
      <c r="E204" s="6" t="s">
        <v>631</v>
      </c>
      <c r="F204" s="1"/>
      <c r="G204" s="1" t="s">
        <v>38</v>
      </c>
      <c r="H204" s="1" t="s">
        <v>55</v>
      </c>
      <c r="I204" s="1" t="s">
        <v>632</v>
      </c>
      <c r="J204" s="1" t="s">
        <v>633</v>
      </c>
      <c r="M204" s="1" t="s">
        <v>103</v>
      </c>
      <c r="N204" s="4" t="n">
        <v>45868</v>
      </c>
      <c r="O204" s="4" t="n">
        <v>45896</v>
      </c>
      <c r="P204" s="1" t="s">
        <v>415</v>
      </c>
      <c r="Q204" s="1" t="s">
        <v>35</v>
      </c>
      <c r="R204" s="1" t="str">
        <f aca="false">VLOOKUP(P204,[1]Categorizations!A$1:C$1048576,2,FALSE())</f>
        <v>Invalid Testing</v>
      </c>
      <c r="S204" s="1" t="str">
        <f aca="false">VLOOKUP(P204,[1]Categorizations!A$1:C$1048576,3,FALSE())</f>
        <v>Lab Issue</v>
      </c>
    </row>
    <row r="205" customFormat="false" ht="15.75" hidden="false" customHeight="false" outlineLevel="0" collapsed="false">
      <c r="A205" s="1" t="str">
        <f aca="false">CONCATENATE(C205,J205)</f>
        <v>45975PJC Wellness LLC</v>
      </c>
      <c r="B205" s="4" t="n">
        <v>45974</v>
      </c>
      <c r="C205" s="5" t="n">
        <v>45975</v>
      </c>
      <c r="D205" s="1" t="s">
        <v>157</v>
      </c>
      <c r="E205" s="6" t="s">
        <v>634</v>
      </c>
      <c r="F205" s="1"/>
      <c r="G205" s="1" t="s">
        <v>38</v>
      </c>
      <c r="H205" s="1" t="s">
        <v>39</v>
      </c>
      <c r="I205" s="1" t="s">
        <v>635</v>
      </c>
      <c r="J205" s="1" t="s">
        <v>636</v>
      </c>
      <c r="M205" s="1" t="s">
        <v>103</v>
      </c>
      <c r="N205" s="4" t="n">
        <v>45752</v>
      </c>
      <c r="O205" s="4" t="n">
        <v>45841</v>
      </c>
      <c r="P205" s="1" t="s">
        <v>637</v>
      </c>
      <c r="Q205" s="1" t="s">
        <v>35</v>
      </c>
      <c r="R205" s="1" t="str">
        <f aca="false">VLOOKUP(P205,[1]Categorizations!A$1:C$1048576,2,FALSE())</f>
        <v>Multiple: Distributor Without License; No Surveillance of Sampling</v>
      </c>
      <c r="S205" s="1" t="str">
        <f aca="false">VLOOKUP(P205,[1]Categorizations!A$1:C$1048576,3,FALSE())</f>
        <v>Multiple</v>
      </c>
    </row>
    <row r="206" customFormat="false" ht="15.75" hidden="false" customHeight="false" outlineLevel="0" collapsed="false">
      <c r="A206" s="1" t="str">
        <f aca="false">CONCATENATE(C206,J206)</f>
        <v>45981The Distillate Company LLC</v>
      </c>
      <c r="B206" s="4" t="n">
        <v>45980</v>
      </c>
      <c r="C206" s="5" t="n">
        <v>45981</v>
      </c>
      <c r="D206" s="1" t="s">
        <v>157</v>
      </c>
      <c r="E206" s="6" t="s">
        <v>638</v>
      </c>
      <c r="F206" s="1"/>
      <c r="G206" s="1" t="s">
        <v>38</v>
      </c>
      <c r="H206" s="1" t="s">
        <v>193</v>
      </c>
      <c r="I206" s="1" t="s">
        <v>639</v>
      </c>
      <c r="J206" s="1" t="s">
        <v>640</v>
      </c>
      <c r="M206" s="1" t="s">
        <v>103</v>
      </c>
      <c r="N206" s="4" t="n">
        <v>45743</v>
      </c>
      <c r="O206" s="4" t="n">
        <v>45761</v>
      </c>
      <c r="P206" s="1" t="s">
        <v>315</v>
      </c>
      <c r="Q206" s="1" t="s">
        <v>35</v>
      </c>
      <c r="R206" s="1" t="str">
        <f aca="false">VLOOKUP(P206,[1]Categorizations!A$1:C$1048576,2,FALSE())</f>
        <v>Pesticides</v>
      </c>
      <c r="S206" s="1" t="str">
        <f aca="false">VLOOKUP(P206,[1]Categorizations!A$1:C$1048576,3,FALSE())</f>
        <v>Pesticides</v>
      </c>
    </row>
    <row r="207" customFormat="false" ht="15.75" hidden="false" customHeight="false" outlineLevel="0" collapsed="false">
      <c r="A207" s="1" t="str">
        <f aca="false">CONCATENATE(C207,J207)</f>
        <v>45987Scislc LLC</v>
      </c>
      <c r="B207" s="4" t="n">
        <v>45985</v>
      </c>
      <c r="C207" s="5" t="n">
        <v>45987</v>
      </c>
      <c r="D207" s="1" t="s">
        <v>157</v>
      </c>
      <c r="E207" s="6" t="s">
        <v>641</v>
      </c>
      <c r="F207" s="1"/>
      <c r="G207" s="1" t="s">
        <v>38</v>
      </c>
      <c r="H207" s="1" t="s">
        <v>171</v>
      </c>
      <c r="I207" s="1" t="s">
        <v>642</v>
      </c>
      <c r="J207" s="1" t="s">
        <v>643</v>
      </c>
      <c r="M207" s="1" t="s">
        <v>103</v>
      </c>
      <c r="N207" s="4" t="n">
        <v>45645</v>
      </c>
      <c r="O207" s="4" t="n">
        <v>45666</v>
      </c>
      <c r="P207" s="1" t="s">
        <v>311</v>
      </c>
      <c r="Q207" s="1" t="s">
        <v>35</v>
      </c>
      <c r="R207" s="1" t="str">
        <f aca="false">VLOOKUP(P207,[1]Categorizations!A$1:C$1048576,2,FALSE())</f>
        <v>Attractive Label</v>
      </c>
      <c r="S207" s="1" t="str">
        <f aca="false">VLOOKUP(P207,[1]Categorizations!A$1:C$1048576,3,FALSE())</f>
        <v>Packaging</v>
      </c>
    </row>
    <row r="208" customFormat="false" ht="15.75" hidden="false" customHeight="false" outlineLevel="0" collapsed="false">
      <c r="A208" s="1" t="str">
        <f aca="false">CONCATENATE(C208,J208)</f>
        <v>45992Crown Genetics LLC</v>
      </c>
      <c r="B208" s="4" t="n">
        <v>45986</v>
      </c>
      <c r="C208" s="5" t="n">
        <v>45992</v>
      </c>
      <c r="D208" s="1" t="s">
        <v>157</v>
      </c>
      <c r="E208" s="6" t="s">
        <v>644</v>
      </c>
      <c r="F208" s="1"/>
      <c r="G208" s="1" t="s">
        <v>38</v>
      </c>
      <c r="H208" s="1" t="s">
        <v>200</v>
      </c>
      <c r="I208" s="1" t="s">
        <v>645</v>
      </c>
      <c r="J208" s="1" t="s">
        <v>646</v>
      </c>
      <c r="M208" s="1" t="s">
        <v>103</v>
      </c>
      <c r="N208" s="4" t="n">
        <v>45919</v>
      </c>
      <c r="O208" s="4" t="n">
        <v>45929</v>
      </c>
      <c r="P208" s="1" t="s">
        <v>311</v>
      </c>
      <c r="Q208" s="1" t="s">
        <v>35</v>
      </c>
      <c r="R208" s="1" t="str">
        <f aca="false">VLOOKUP(P208,[1]Categorizations!A$1:C$1048576,2,FALSE())</f>
        <v>Attractive Label</v>
      </c>
      <c r="S208" s="1" t="str">
        <f aca="false">VLOOKUP(P208,[1]Categorizations!A$1:C$1048576,3,FALSE())</f>
        <v>Packaging</v>
      </c>
    </row>
    <row r="209" customFormat="false" ht="15.75" hidden="false" customHeight="false" outlineLevel="0" collapsed="false">
      <c r="A209" s="1" t="str">
        <f aca="false">CONCATENATE(C209,J209)</f>
        <v>45992Full Spectrum Group Inc.</v>
      </c>
      <c r="B209" s="4" t="n">
        <v>45992</v>
      </c>
      <c r="C209" s="5" t="n">
        <v>45992</v>
      </c>
      <c r="D209" s="1" t="s">
        <v>157</v>
      </c>
      <c r="E209" s="6" t="s">
        <v>647</v>
      </c>
      <c r="F209" s="1"/>
      <c r="G209" s="1" t="s">
        <v>38</v>
      </c>
      <c r="H209" s="1" t="s">
        <v>174</v>
      </c>
      <c r="I209" s="1" t="s">
        <v>648</v>
      </c>
      <c r="J209" s="1" t="s">
        <v>534</v>
      </c>
      <c r="M209" s="1" t="s">
        <v>103</v>
      </c>
      <c r="N209" s="4" t="n">
        <v>45769</v>
      </c>
      <c r="O209" s="4" t="n">
        <v>45782</v>
      </c>
      <c r="P209" s="1" t="s">
        <v>649</v>
      </c>
      <c r="Q209" s="1" t="s">
        <v>35</v>
      </c>
      <c r="R209" s="1" t="str">
        <f aca="false">VLOOKUP(P209,[1]Categorizations!A$1:C$1048576,2,FALSE())</f>
        <v>No GMP</v>
      </c>
      <c r="S209" s="1" t="str">
        <f aca="false">VLOOKUP(P209,[1]Categorizations!A$1:C$1048576,3,FALSE())</f>
        <v>Other</v>
      </c>
    </row>
    <row r="210" customFormat="false" ht="15.75" hidden="false" customHeight="false" outlineLevel="0" collapsed="false">
      <c r="A210" s="1" t="str">
        <f aca="false">CONCATENATE(C210,J210)</f>
        <v>45995Fluids Manufacturing Inc</v>
      </c>
      <c r="B210" s="4" t="n">
        <v>45992</v>
      </c>
      <c r="C210" s="5" t="n">
        <v>45995</v>
      </c>
      <c r="D210" s="1" t="s">
        <v>157</v>
      </c>
      <c r="E210" s="6" t="s">
        <v>650</v>
      </c>
      <c r="F210" s="1"/>
      <c r="G210" s="1" t="s">
        <v>38</v>
      </c>
      <c r="H210" s="1" t="s">
        <v>39</v>
      </c>
      <c r="I210" s="1" t="s">
        <v>651</v>
      </c>
      <c r="J210" s="1" t="s">
        <v>652</v>
      </c>
      <c r="M210" s="1" t="s">
        <v>103</v>
      </c>
      <c r="N210" s="4" t="n">
        <v>45883</v>
      </c>
      <c r="O210" s="4" t="n">
        <v>45891</v>
      </c>
      <c r="P210" s="1" t="s">
        <v>556</v>
      </c>
      <c r="Q210" s="1" t="s">
        <v>35</v>
      </c>
      <c r="R210" s="1" t="str">
        <f aca="false">VLOOKUP(P210,[1]Categorizations!A$1:C$1048576,2,FALSE())</f>
        <v>Aspergillus</v>
      </c>
      <c r="S210" s="1" t="str">
        <f aca="false">VLOOKUP(P210,[1]Categorizations!A$1:C$1048576,3,FALSE())</f>
        <v>Microbial Contamination</v>
      </c>
    </row>
    <row r="211" customFormat="false" ht="15.75" hidden="false" customHeight="false" outlineLevel="0" collapsed="false">
      <c r="A211" s="1" t="str">
        <f aca="false">CONCATENATE(C211,J211)</f>
        <v>45995TKC Group</v>
      </c>
      <c r="B211" s="4" t="n">
        <v>45994</v>
      </c>
      <c r="C211" s="5" t="n">
        <v>45995</v>
      </c>
      <c r="D211" s="1" t="s">
        <v>157</v>
      </c>
      <c r="E211" s="6" t="s">
        <v>653</v>
      </c>
      <c r="F211" s="1"/>
      <c r="G211" s="1" t="s">
        <v>38</v>
      </c>
      <c r="H211" s="1" t="s">
        <v>193</v>
      </c>
      <c r="I211" s="1" t="s">
        <v>654</v>
      </c>
      <c r="J211" s="1" t="s">
        <v>655</v>
      </c>
      <c r="M211" s="1" t="s">
        <v>103</v>
      </c>
      <c r="N211" s="4" t="n">
        <v>45854</v>
      </c>
      <c r="O211" s="4" t="n">
        <v>45888</v>
      </c>
      <c r="P211" s="1" t="s">
        <v>291</v>
      </c>
      <c r="Q211" s="1" t="s">
        <v>35</v>
      </c>
      <c r="R211" s="1" t="str">
        <f aca="false">VLOOKUP(P211,[1]Categorizations!A$1:C$1048576,2,FALSE())</f>
        <v>Aspergillus</v>
      </c>
      <c r="S211" s="1" t="str">
        <f aca="false">VLOOKUP(P211,[1]Categorizations!A$1:C$1048576,3,FALSE())</f>
        <v>Microbial Contamination</v>
      </c>
    </row>
    <row r="212" customFormat="false" ht="15.75" hidden="false" customHeight="false" outlineLevel="0" collapsed="false">
      <c r="A212" s="1" t="str">
        <f aca="false">CONCATENATE(C212,J212)</f>
        <v>45995Strong Agronomy Management Inc.</v>
      </c>
      <c r="C212" s="5" t="n">
        <v>45995</v>
      </c>
      <c r="D212" s="1" t="s">
        <v>157</v>
      </c>
      <c r="E212" s="6" t="s">
        <v>656</v>
      </c>
      <c r="F212" s="1"/>
      <c r="G212" s="1" t="s">
        <v>22</v>
      </c>
      <c r="H212" s="1" t="s">
        <v>39</v>
      </c>
      <c r="I212" s="1" t="s">
        <v>657</v>
      </c>
      <c r="J212" s="1" t="s">
        <v>658</v>
      </c>
      <c r="M212" s="1" t="s">
        <v>103</v>
      </c>
      <c r="N212" s="4" t="n">
        <v>45911</v>
      </c>
      <c r="O212" s="4" t="n">
        <v>45932</v>
      </c>
      <c r="P212" s="1" t="s">
        <v>288</v>
      </c>
      <c r="Q212" s="1" t="s">
        <v>35</v>
      </c>
      <c r="R212" s="1" t="str">
        <f aca="false">VLOOKUP(P212,[1]Categorizations!A$1:C$1048576,2,FALSE())</f>
        <v>Aspergillus</v>
      </c>
      <c r="S212" s="1" t="str">
        <f aca="false">VLOOKUP(P212,[1]Categorizations!A$1:C$1048576,3,FALSE())</f>
        <v>Microbial Contamination</v>
      </c>
    </row>
    <row r="213" customFormat="false" ht="15.75" hidden="false" customHeight="false" outlineLevel="0" collapsed="false">
      <c r="A213" s="1" t="str">
        <f aca="false">CONCATENATE(C213,J213)</f>
        <v>46013Sacramento Confidential Delivery Inc.</v>
      </c>
      <c r="B213" s="4" t="n">
        <v>46010</v>
      </c>
      <c r="C213" s="5" t="n">
        <v>46013</v>
      </c>
      <c r="D213" s="1" t="s">
        <v>157</v>
      </c>
      <c r="E213" s="6" t="s">
        <v>659</v>
      </c>
      <c r="F213" s="1"/>
      <c r="G213" s="1" t="s">
        <v>38</v>
      </c>
      <c r="H213" s="1" t="s">
        <v>39</v>
      </c>
      <c r="I213" s="1" t="s">
        <v>660</v>
      </c>
      <c r="J213" s="1" t="s">
        <v>661</v>
      </c>
      <c r="M213" s="1" t="s">
        <v>103</v>
      </c>
      <c r="N213" s="4" t="n">
        <v>45807</v>
      </c>
      <c r="O213" s="4" t="n">
        <v>45861</v>
      </c>
      <c r="P213" s="1" t="s">
        <v>477</v>
      </c>
      <c r="Q213" s="1" t="s">
        <v>35</v>
      </c>
      <c r="R213" s="1" t="str">
        <f aca="false">VLOOKUP(P213,[1]Categorizations!A$1:C$1048576,2,FALSE())</f>
        <v>Aspergillus</v>
      </c>
      <c r="S213" s="1" t="str">
        <f aca="false">VLOOKUP(P213,[1]Categorizations!A$1:C$1048576,3,FALSE())</f>
        <v>Microbial Contamination</v>
      </c>
    </row>
    <row r="214" customFormat="false" ht="15.75" hidden="false" customHeight="false" outlineLevel="0" collapsed="false">
      <c r="A214" s="1" t="str">
        <f aca="false">CONCATENATE(C214,J214)</f>
        <v>46014McHenry Business Services LLC</v>
      </c>
      <c r="B214" s="4" t="n">
        <v>46007</v>
      </c>
      <c r="C214" s="5" t="n">
        <v>46014</v>
      </c>
      <c r="D214" s="1" t="s">
        <v>157</v>
      </c>
      <c r="E214" s="6" t="s">
        <v>662</v>
      </c>
      <c r="F214" s="1"/>
      <c r="G214" s="1" t="s">
        <v>38</v>
      </c>
      <c r="H214" s="1" t="s">
        <v>182</v>
      </c>
      <c r="I214" s="1" t="s">
        <v>663</v>
      </c>
      <c r="J214" s="1" t="s">
        <v>664</v>
      </c>
      <c r="M214" s="1" t="s">
        <v>103</v>
      </c>
      <c r="N214" s="4" t="n">
        <v>45826</v>
      </c>
      <c r="O214" s="4" t="n">
        <v>45846</v>
      </c>
      <c r="P214" s="1" t="s">
        <v>665</v>
      </c>
      <c r="Q214" s="1" t="s">
        <v>35</v>
      </c>
      <c r="R214" s="1" t="str">
        <f aca="false">VLOOKUP(P214,[1]Categorizations!A$1:C$1048576,2,FALSE())</f>
        <v>Distributor Without License</v>
      </c>
      <c r="S214" s="1" t="str">
        <f aca="false">VLOOKUP(P214,[1]Categorizations!A$1:C$1048576,3,FALSE())</f>
        <v>Other</v>
      </c>
    </row>
    <row r="215" customFormat="false" ht="15.75" hidden="false" customHeight="false" outlineLevel="0" collapsed="false">
      <c r="A215" s="1" t="s">
        <v>666</v>
      </c>
      <c r="B215" s="4" t="n">
        <v>46007</v>
      </c>
      <c r="C215" s="5" t="n">
        <v>46014</v>
      </c>
      <c r="D215" s="1" t="s">
        <v>157</v>
      </c>
      <c r="E215" s="6" t="s">
        <v>667</v>
      </c>
      <c r="F215" s="1"/>
      <c r="G215" s="1" t="s">
        <v>38</v>
      </c>
      <c r="H215" s="1" t="s">
        <v>182</v>
      </c>
      <c r="I215" s="1" t="s">
        <v>668</v>
      </c>
      <c r="J215" s="1" t="s">
        <v>664</v>
      </c>
      <c r="M215" s="1" t="s">
        <v>103</v>
      </c>
      <c r="N215" s="4" t="n">
        <v>45884</v>
      </c>
      <c r="O215" s="4" t="n">
        <v>45909</v>
      </c>
      <c r="P215" s="1" t="s">
        <v>665</v>
      </c>
      <c r="Q215" s="1" t="s">
        <v>35</v>
      </c>
      <c r="R215" s="1" t="str">
        <f aca="false">VLOOKUP(P215,[1]Categorizations!A$1:C$1048576,2,FALSE())</f>
        <v>Distributor Without License</v>
      </c>
      <c r="S215" s="1" t="str">
        <f aca="false">VLOOKUP(P215,[1]Categorizations!A$1:C$1048576,3,FALSE())</f>
        <v>Other</v>
      </c>
    </row>
    <row r="216" customFormat="false" ht="15.75" hidden="false" customHeight="false" outlineLevel="0" collapsed="false">
      <c r="A216" s="1" t="str">
        <f aca="false">CONCATENATE(C216,J216)</f>
        <v>46037Arbala Weed LLC</v>
      </c>
      <c r="B216" s="4" t="n">
        <v>46037</v>
      </c>
      <c r="C216" s="5" t="n">
        <v>46037</v>
      </c>
      <c r="D216" s="1" t="s">
        <v>157</v>
      </c>
      <c r="E216" s="6" t="s">
        <v>669</v>
      </c>
      <c r="F216" s="1"/>
      <c r="G216" s="1" t="s">
        <v>38</v>
      </c>
      <c r="H216" s="1" t="s">
        <v>200</v>
      </c>
      <c r="I216" s="1" t="s">
        <v>670</v>
      </c>
      <c r="J216" s="1" t="s">
        <v>671</v>
      </c>
      <c r="M216" s="1" t="s">
        <v>103</v>
      </c>
      <c r="N216" s="4" t="n">
        <v>45670</v>
      </c>
      <c r="O216" s="4" t="n">
        <v>45670</v>
      </c>
      <c r="P216" s="1" t="s">
        <v>311</v>
      </c>
      <c r="Q216" s="1" t="s">
        <v>35</v>
      </c>
      <c r="R216" s="1" t="str">
        <f aca="false">VLOOKUP(P216,[1]Categorizations!A$1:C$1048576,2,FALSE())</f>
        <v>Attractive Label</v>
      </c>
      <c r="S216" s="1" t="str">
        <f aca="false">VLOOKUP(P216,[1]Categorizations!A$1:C$1048576,3,FALSE())</f>
        <v>Packaging</v>
      </c>
    </row>
    <row r="217" customFormat="false" ht="15.75" hidden="false" customHeight="false" outlineLevel="0" collapsed="false">
      <c r="A217" s="1" t="str">
        <f aca="false">CONCATENATE(C217,J217)</f>
        <v>46059Punch Media LLC</v>
      </c>
      <c r="B217" s="4" t="n">
        <v>46058</v>
      </c>
      <c r="C217" s="5" t="n">
        <v>46059</v>
      </c>
      <c r="D217" s="1" t="s">
        <v>157</v>
      </c>
      <c r="E217" s="6" t="s">
        <v>672</v>
      </c>
      <c r="F217" s="1"/>
      <c r="G217" s="1" t="s">
        <v>38</v>
      </c>
      <c r="H217" s="1" t="s">
        <v>171</v>
      </c>
      <c r="I217" s="1" t="s">
        <v>673</v>
      </c>
      <c r="J217" s="1" t="s">
        <v>610</v>
      </c>
      <c r="M217" s="1" t="s">
        <v>103</v>
      </c>
      <c r="N217" s="4" t="n">
        <v>45771</v>
      </c>
      <c r="O217" s="4" t="n">
        <v>45778</v>
      </c>
      <c r="P217" s="1" t="s">
        <v>674</v>
      </c>
      <c r="Q217" s="1" t="s">
        <v>35</v>
      </c>
      <c r="R217" s="1" t="str">
        <f aca="false">VLOOKUP(P217,[1]Categorizations!A$1:C$1048576,2,FALSE())</f>
        <v>Inaccurate Ingredient Label</v>
      </c>
      <c r="S217" s="1" t="str">
        <f aca="false">VLOOKUP(P217,[1]Categorizations!A$1:C$1048576,3,FALSE())</f>
        <v>Mislabeled</v>
      </c>
    </row>
    <row r="218" customFormat="false" ht="15.75" hidden="false" customHeight="false" outlineLevel="0" collapsed="false">
      <c r="A218" s="1" t="str">
        <f aca="false">CONCATENATE(C218,J218)</f>
        <v>46076Commerce C1 LLC</v>
      </c>
      <c r="B218" s="4" t="n">
        <v>46073</v>
      </c>
      <c r="C218" s="5" t="n">
        <v>46076</v>
      </c>
      <c r="D218" s="1" t="s">
        <v>157</v>
      </c>
      <c r="E218" s="6" t="s">
        <v>675</v>
      </c>
      <c r="F218" s="1"/>
      <c r="G218" s="1" t="s">
        <v>38</v>
      </c>
      <c r="H218" s="1" t="s">
        <v>39</v>
      </c>
      <c r="I218" s="1" t="s">
        <v>676</v>
      </c>
      <c r="J218" s="1" t="s">
        <v>677</v>
      </c>
      <c r="M218" s="1" t="s">
        <v>103</v>
      </c>
      <c r="N218" s="4" t="n">
        <v>45939</v>
      </c>
      <c r="O218" s="4" t="n">
        <v>45939</v>
      </c>
      <c r="P218" s="1" t="s">
        <v>556</v>
      </c>
      <c r="Q218" s="1" t="s">
        <v>35</v>
      </c>
      <c r="R218" s="1" t="str">
        <f aca="false">VLOOKUP(P218,[1]Categorizations!A$1:C$1048576,2,FALSE())</f>
        <v>Aspergillus</v>
      </c>
      <c r="S218" s="1" t="str">
        <f aca="false">VLOOKUP(P218,[1]Categorizations!A$1:C$1048576,3,FALSE())</f>
        <v>Microbial Contamination</v>
      </c>
    </row>
    <row r="219" customFormat="false" ht="15.75" hidden="false" customHeight="false" outlineLevel="0" collapsed="false">
      <c r="A219" s="1" t="str">
        <f aca="false">CONCATENATE(C219,J219)</f>
        <v>46084Shield Management Group LLC</v>
      </c>
      <c r="B219" s="4" t="n">
        <v>46080</v>
      </c>
      <c r="C219" s="5" t="n">
        <v>46084</v>
      </c>
      <c r="D219" s="1" t="s">
        <v>157</v>
      </c>
      <c r="E219" s="6" t="s">
        <v>678</v>
      </c>
      <c r="F219" s="1"/>
      <c r="G219" s="1" t="s">
        <v>38</v>
      </c>
      <c r="H219" s="1" t="s">
        <v>55</v>
      </c>
      <c r="I219" s="1" t="s">
        <v>679</v>
      </c>
      <c r="J219" s="1" t="s">
        <v>414</v>
      </c>
      <c r="M219" s="1" t="s">
        <v>103</v>
      </c>
      <c r="N219" s="4" t="n">
        <v>45986</v>
      </c>
      <c r="O219" s="4" t="n">
        <v>45999</v>
      </c>
      <c r="P219" s="1" t="s">
        <v>288</v>
      </c>
      <c r="Q219" s="1" t="s">
        <v>35</v>
      </c>
      <c r="R219" s="1" t="str">
        <f aca="false">VLOOKUP(P219,[1]Categorizations!A$1:C$1048576,2,FALSE())</f>
        <v>Aspergillus</v>
      </c>
      <c r="S219" s="1" t="str">
        <f aca="false">VLOOKUP(P219,[1]Categorizations!A$1:C$1048576,3,FALSE())</f>
        <v>Microbial Contamination</v>
      </c>
    </row>
    <row r="220" customFormat="false" ht="15.75" hidden="false" customHeight="false" outlineLevel="0" collapsed="false">
      <c r="A220" s="1" t="str">
        <f aca="false">CONCATENATE(C220,J220)</f>
        <v>46085Left Coast LLC</v>
      </c>
      <c r="B220" s="4" t="n">
        <v>46085</v>
      </c>
      <c r="C220" s="5" t="n">
        <v>46085</v>
      </c>
      <c r="D220" s="1" t="s">
        <v>157</v>
      </c>
      <c r="E220" s="6" t="s">
        <v>680</v>
      </c>
      <c r="F220" s="1"/>
      <c r="G220" s="1" t="s">
        <v>38</v>
      </c>
      <c r="H220" s="1" t="s">
        <v>39</v>
      </c>
      <c r="I220" s="1" t="s">
        <v>681</v>
      </c>
      <c r="J220" s="1" t="s">
        <v>682</v>
      </c>
      <c r="M220" s="1" t="s">
        <v>103</v>
      </c>
      <c r="N220" s="4" t="n">
        <v>45950</v>
      </c>
      <c r="O220" s="4" t="n">
        <v>45950</v>
      </c>
      <c r="P220" s="1" t="s">
        <v>556</v>
      </c>
      <c r="Q220" s="1" t="s">
        <v>35</v>
      </c>
      <c r="R220" s="1" t="str">
        <f aca="false">VLOOKUP(P220,[1]Categorizations!A$1:C$1048576,2,FALSE())</f>
        <v>Aspergillus</v>
      </c>
      <c r="S220" s="1" t="str">
        <f aca="false">VLOOKUP(P220,[1]Categorizations!A$1:C$1048576,3,FALSE())</f>
        <v>Microbial Contamination</v>
      </c>
    </row>
    <row r="221" customFormat="false" ht="15.75" hidden="false" customHeight="false" outlineLevel="0" collapsed="false">
      <c r="A221" s="1" t="str">
        <f aca="false">CONCATENATE(C221,J221)</f>
        <v>46087Punch Media LLC</v>
      </c>
      <c r="B221" s="4" t="n">
        <v>46086</v>
      </c>
      <c r="C221" s="5" t="n">
        <v>46087</v>
      </c>
      <c r="D221" s="1" t="s">
        <v>157</v>
      </c>
      <c r="E221" s="6" t="s">
        <v>683</v>
      </c>
      <c r="F221" s="1"/>
      <c r="G221" s="1" t="s">
        <v>38</v>
      </c>
      <c r="H221" s="1" t="s">
        <v>543</v>
      </c>
      <c r="I221" s="1" t="s">
        <v>684</v>
      </c>
      <c r="J221" s="1" t="s">
        <v>610</v>
      </c>
      <c r="M221" s="1" t="s">
        <v>103</v>
      </c>
      <c r="N221" s="4" t="n">
        <v>45916</v>
      </c>
      <c r="O221" s="4" t="n">
        <v>45944</v>
      </c>
      <c r="P221" s="1" t="s">
        <v>674</v>
      </c>
      <c r="Q221" s="1" t="s">
        <v>35</v>
      </c>
      <c r="R221" s="1" t="str">
        <f aca="false">VLOOKUP(P221,[1]Categorizations!A$1:C$1048576,2,FALSE())</f>
        <v>Inaccurate Ingredient Label</v>
      </c>
      <c r="S221" s="1" t="str">
        <f aca="false">VLOOKUP(P221,[1]Categorizations!A$1:C$1048576,3,FALSE())</f>
        <v>Mislabeled</v>
      </c>
    </row>
    <row r="222" customFormat="false" ht="15.75" hidden="false" customHeight="false" outlineLevel="0" collapsed="false">
      <c r="A222" s="1" t="str">
        <f aca="false">CONCATENATE(C222,J222)</f>
        <v>46099Vampa Oil LLC</v>
      </c>
      <c r="B222" s="11" t="n">
        <v>46098</v>
      </c>
      <c r="C222" s="7" t="n">
        <v>46099</v>
      </c>
      <c r="D222" s="2" t="s">
        <v>157</v>
      </c>
      <c r="E222" s="8" t="s">
        <v>685</v>
      </c>
      <c r="F222" s="8" t="s">
        <v>686</v>
      </c>
      <c r="G222" s="2" t="s">
        <v>38</v>
      </c>
      <c r="H222" s="2" t="s">
        <v>200</v>
      </c>
      <c r="I222" s="2" t="s">
        <v>687</v>
      </c>
      <c r="J222" s="2" t="s">
        <v>688</v>
      </c>
      <c r="M222" s="2" t="s">
        <v>103</v>
      </c>
      <c r="N222" s="11" t="n">
        <v>46041</v>
      </c>
      <c r="O222" s="11" t="n">
        <v>46048</v>
      </c>
      <c r="P222" s="2" t="s">
        <v>689</v>
      </c>
      <c r="Q222" s="1" t="s">
        <v>35</v>
      </c>
      <c r="R222" s="1" t="str">
        <f aca="false">VLOOKUP(P222,[1]Categorizations!A$1:C$1048576,2,FALSE())</f>
        <v>Untracable Source</v>
      </c>
      <c r="S222" s="1" t="str">
        <f aca="false">VLOOKUP(P222,[1]Categorizations!A$1:C$1048576,3,FALSE())</f>
        <v>Multiple</v>
      </c>
    </row>
    <row r="223" customFormat="false" ht="15.75" hidden="false" customHeight="false" outlineLevel="0" collapsed="false">
      <c r="A223" s="1" t="str">
        <f aca="false">CONCATENATE(C223,J223)</f>
        <v>461072130 South Yale Distro LLC</v>
      </c>
      <c r="B223" s="11" t="n">
        <v>46106</v>
      </c>
      <c r="C223" s="7" t="n">
        <v>46107</v>
      </c>
      <c r="D223" s="2" t="s">
        <v>157</v>
      </c>
      <c r="E223" s="8" t="s">
        <v>690</v>
      </c>
      <c r="F223" s="8" t="s">
        <v>691</v>
      </c>
      <c r="G223" s="2" t="s">
        <v>38</v>
      </c>
      <c r="H223" s="2" t="s">
        <v>193</v>
      </c>
      <c r="I223" s="2" t="s">
        <v>692</v>
      </c>
      <c r="J223" s="2" t="s">
        <v>693</v>
      </c>
      <c r="M223" s="2" t="s">
        <v>103</v>
      </c>
      <c r="N223" s="11" t="n">
        <v>45923</v>
      </c>
      <c r="O223" s="11" t="n">
        <v>45952</v>
      </c>
      <c r="P223" s="2" t="s">
        <v>694</v>
      </c>
      <c r="Q223" s="1" t="s">
        <v>35</v>
      </c>
      <c r="R223" s="1" t="str">
        <f aca="false">VLOOKUP(P223,[1]Categorizations!A$1:C$1048576,2,FALSE())</f>
        <v>Mislabeled</v>
      </c>
      <c r="S223" s="1" t="str">
        <f aca="false">VLOOKUP(P223,[1]Categorizations!A$1:C$1048576,3,FALSE())</f>
        <v>Mislabeled</v>
      </c>
    </row>
    <row r="224" customFormat="false" ht="15.75" hidden="false" customHeight="false" outlineLevel="0" collapsed="false">
      <c r="A224" s="1" t="str">
        <f aca="false">CONCATENATE(C224,J224)</f>
        <v>46108Master Extracts, Inc.</v>
      </c>
      <c r="B224" s="11" t="n">
        <v>46108</v>
      </c>
      <c r="C224" s="7" t="n">
        <v>46108</v>
      </c>
      <c r="D224" s="2" t="s">
        <v>157</v>
      </c>
      <c r="E224" s="8" t="s">
        <v>695</v>
      </c>
      <c r="F224" s="8" t="s">
        <v>696</v>
      </c>
      <c r="G224" s="2" t="s">
        <v>38</v>
      </c>
      <c r="H224" s="2" t="s">
        <v>171</v>
      </c>
      <c r="I224" s="2" t="s">
        <v>697</v>
      </c>
      <c r="J224" s="2" t="s">
        <v>698</v>
      </c>
      <c r="M224" s="2" t="s">
        <v>103</v>
      </c>
      <c r="N224" s="11" t="n">
        <v>46269</v>
      </c>
      <c r="O224" s="11" t="n">
        <v>46281</v>
      </c>
      <c r="P224" s="2" t="s">
        <v>699</v>
      </c>
      <c r="Q224" s="1" t="s">
        <v>35</v>
      </c>
      <c r="R224" s="1" t="str">
        <f aca="false">VLOOKUP(P224,[1]Categorizations!A$1:C$1048576,2,FALSE())</f>
        <v>Synthetic Cannabinoids</v>
      </c>
      <c r="S224" s="1" t="str">
        <f aca="false">VLOOKUP(P224,[1]Categorizations!A$1:C$1048576,3,FALSE())</f>
        <v>Prohibited Additives / Product</v>
      </c>
    </row>
    <row r="225" customFormat="false" ht="15.75" hidden="false" customHeight="false" outlineLevel="0" collapsed="false">
      <c r="A225" s="1" t="str">
        <f aca="false">CONCATENATE(C225,J225)</f>
        <v>46129Master Extracts, Inc.</v>
      </c>
      <c r="B225" s="11" t="n">
        <v>46128</v>
      </c>
      <c r="C225" s="7" t="n">
        <v>46129</v>
      </c>
      <c r="D225" s="2" t="s">
        <v>157</v>
      </c>
      <c r="E225" s="8" t="s">
        <v>700</v>
      </c>
      <c r="F225" s="8" t="s">
        <v>696</v>
      </c>
      <c r="G225" s="2" t="s">
        <v>38</v>
      </c>
      <c r="H225" s="2" t="s">
        <v>171</v>
      </c>
      <c r="I225" s="2" t="s">
        <v>697</v>
      </c>
      <c r="J225" s="2" t="s">
        <v>698</v>
      </c>
      <c r="M225" s="2" t="s">
        <v>103</v>
      </c>
      <c r="N225" s="11" t="n">
        <v>45413</v>
      </c>
      <c r="O225" s="11" t="n">
        <v>45789</v>
      </c>
      <c r="P225" s="2" t="s">
        <v>699</v>
      </c>
      <c r="Q225" s="1" t="s">
        <v>35</v>
      </c>
      <c r="R225" s="1" t="str">
        <f aca="false">VLOOKUP(P225,[1]Categorizations!A$1:C$1048576,2,FALSE())</f>
        <v>Synthetic Cannabinoids</v>
      </c>
      <c r="S225" s="1" t="str">
        <f aca="false">VLOOKUP(P225,[1]Categorizations!A$1:C$1048576,3,FALSE())</f>
        <v>Prohibited Additives / Product</v>
      </c>
    </row>
    <row r="226" customFormat="false" ht="15.75" hidden="false" customHeight="false" outlineLevel="0" collapsed="false">
      <c r="A226" s="1" t="str">
        <f aca="false">CONCATENATE(C226,J226)</f>
        <v>46147Punch Media LLC</v>
      </c>
      <c r="B226" s="11" t="n">
        <v>46143</v>
      </c>
      <c r="C226" s="7" t="n">
        <v>46147</v>
      </c>
      <c r="D226" s="2" t="s">
        <v>157</v>
      </c>
      <c r="E226" s="8" t="s">
        <v>701</v>
      </c>
      <c r="F226" s="8" t="s">
        <v>702</v>
      </c>
      <c r="G226" s="2" t="s">
        <v>38</v>
      </c>
      <c r="H226" s="2" t="s">
        <v>171</v>
      </c>
      <c r="I226" s="2" t="s">
        <v>673</v>
      </c>
      <c r="J226" s="2" t="s">
        <v>610</v>
      </c>
      <c r="M226" s="2" t="s">
        <v>103</v>
      </c>
      <c r="N226" s="11" t="n">
        <v>45754</v>
      </c>
      <c r="O226" s="11" t="n">
        <v>45772</v>
      </c>
      <c r="P226" s="2" t="s">
        <v>703</v>
      </c>
      <c r="Q226" s="1" t="s">
        <v>35</v>
      </c>
      <c r="R226" s="1" t="str">
        <f aca="false">VLOOKUP(P226,[1]Categorizations!A$1:C$1048576,2,FALSE())</f>
        <v>Allergens</v>
      </c>
      <c r="S226" s="1" t="str">
        <f aca="false">VLOOKUP(P226,[1]Categorizations!A$1:C$1048576,3,FALSE())</f>
        <v>Mislabeled</v>
      </c>
    </row>
    <row r="227" customFormat="false" ht="15.75" hidden="false" customHeight="false" outlineLevel="0" collapsed="false">
      <c r="A227" s="1" t="str">
        <f aca="false">CONCATENATE(C227,J227)</f>
        <v>46150Elevation Distro, LLC</v>
      </c>
      <c r="B227" s="11" t="n">
        <v>46150</v>
      </c>
      <c r="C227" s="7" t="n">
        <v>46150</v>
      </c>
      <c r="D227" s="2" t="s">
        <v>157</v>
      </c>
      <c r="E227" s="8" t="s">
        <v>704</v>
      </c>
      <c r="F227" s="8" t="s">
        <v>705</v>
      </c>
      <c r="G227" s="2" t="s">
        <v>38</v>
      </c>
      <c r="H227" s="2" t="s">
        <v>171</v>
      </c>
      <c r="I227" s="2" t="s">
        <v>706</v>
      </c>
      <c r="J227" s="2" t="s">
        <v>707</v>
      </c>
      <c r="M227" s="2" t="s">
        <v>103</v>
      </c>
      <c r="N227" s="11" t="n">
        <v>46150</v>
      </c>
      <c r="O227" s="11" t="n">
        <v>46150</v>
      </c>
      <c r="P227" s="2" t="s">
        <v>703</v>
      </c>
      <c r="Q227" s="1" t="s">
        <v>35</v>
      </c>
      <c r="R227" s="1" t="str">
        <f aca="false">VLOOKUP(P227,[1]Categorizations!A$1:C$1048576,2,FALSE())</f>
        <v>Allergens</v>
      </c>
      <c r="S227" s="1" t="str">
        <f aca="false">VLOOKUP(P227,[1]Categorizations!A$1:C$1048576,3,FALSE())</f>
        <v>Mislabeled</v>
      </c>
    </row>
    <row r="228" customFormat="false" ht="15.75" hidden="false" customHeight="false" outlineLevel="0" collapsed="false">
      <c r="A228" s="1" t="str">
        <f aca="false">CONCATENATE(C228,J228)</f>
        <v>46175Ted's Budz LLC</v>
      </c>
      <c r="B228" s="11" t="n">
        <v>46174</v>
      </c>
      <c r="C228" s="7" t="n">
        <v>46175</v>
      </c>
      <c r="D228" s="2" t="s">
        <v>157</v>
      </c>
      <c r="E228" s="8" t="s">
        <v>708</v>
      </c>
      <c r="F228" s="8" t="s">
        <v>709</v>
      </c>
      <c r="G228" s="2" t="s">
        <v>38</v>
      </c>
      <c r="H228" s="2" t="s">
        <v>39</v>
      </c>
      <c r="I228" s="2" t="s">
        <v>710</v>
      </c>
      <c r="J228" s="2" t="s">
        <v>711</v>
      </c>
      <c r="M228" s="2" t="s">
        <v>103</v>
      </c>
      <c r="N228" s="11" t="n">
        <v>46115</v>
      </c>
      <c r="O228" s="11" t="n">
        <v>46127</v>
      </c>
      <c r="P228" s="2" t="s">
        <v>712</v>
      </c>
      <c r="Q228" s="1" t="s">
        <v>35</v>
      </c>
      <c r="R228" s="1" t="str">
        <f aca="false">VLOOKUP(P228,[1]Categorizations!A$1:C$1048576,2,FALSE())</f>
        <v>Aspergillus</v>
      </c>
      <c r="S228" s="1" t="str">
        <f aca="false">VLOOKUP(P228,[1]Categorizations!A$1:C$1048576,3,FALSE())</f>
        <v>Microbial Contamination</v>
      </c>
    </row>
    <row r="229" customFormat="false" ht="15.75" hidden="false" customHeight="false" outlineLevel="0" collapsed="false">
      <c r="A229" s="1" t="str">
        <f aca="false">CONCATENATE(C229,J229)</f>
        <v>46183Poundtown SHM LLC</v>
      </c>
      <c r="B229" s="11" t="n">
        <v>46181</v>
      </c>
      <c r="C229" s="7" t="n">
        <v>46183</v>
      </c>
      <c r="D229" s="2" t="s">
        <v>157</v>
      </c>
      <c r="E229" s="8" t="s">
        <v>713</v>
      </c>
      <c r="F229" s="8" t="s">
        <v>714</v>
      </c>
      <c r="G229" s="2" t="s">
        <v>38</v>
      </c>
      <c r="H229" s="2" t="s">
        <v>39</v>
      </c>
      <c r="I229" s="2" t="s">
        <v>715</v>
      </c>
      <c r="J229" s="2" t="s">
        <v>716</v>
      </c>
      <c r="M229" s="2" t="s">
        <v>103</v>
      </c>
      <c r="N229" s="11" t="n">
        <v>45918</v>
      </c>
      <c r="O229" s="11" t="n">
        <v>46290</v>
      </c>
      <c r="P229" s="2" t="s">
        <v>717</v>
      </c>
      <c r="Q229" s="1" t="s">
        <v>35</v>
      </c>
      <c r="R229" s="1" t="str">
        <f aca="false">VLOOKUP(P229,[1]Categorizations!A$1:C$1048576,2,FALSE())</f>
        <v>Incomplete Testing</v>
      </c>
      <c r="S229" s="1" t="str">
        <f aca="false">VLOOKUP(P229,[1]Categorizations!A$1:C$1048576,3,FALSE())</f>
        <v>Lab Issue</v>
      </c>
    </row>
    <row r="230" customFormat="false" ht="15.75" hidden="false" customHeight="false" outlineLevel="0" collapsed="false">
      <c r="A230" s="1" t="str">
        <f aca="false">CONCATENATE(C230,J230)</f>
        <v>46183Poundtown SHM LLC</v>
      </c>
      <c r="B230" s="11" t="n">
        <v>46181</v>
      </c>
      <c r="C230" s="7" t="n">
        <v>46183</v>
      </c>
      <c r="D230" s="2" t="s">
        <v>157</v>
      </c>
      <c r="E230" s="8" t="s">
        <v>718</v>
      </c>
      <c r="F230" s="8" t="s">
        <v>719</v>
      </c>
      <c r="G230" s="2" t="s">
        <v>38</v>
      </c>
      <c r="H230" s="2" t="s">
        <v>39</v>
      </c>
      <c r="I230" s="2" t="s">
        <v>720</v>
      </c>
      <c r="J230" s="2" t="s">
        <v>716</v>
      </c>
      <c r="M230" s="2" t="s">
        <v>103</v>
      </c>
      <c r="N230" s="11" t="n">
        <v>45918</v>
      </c>
      <c r="O230" s="11" t="n">
        <v>46290</v>
      </c>
      <c r="P230" s="2" t="s">
        <v>717</v>
      </c>
      <c r="Q230" s="1" t="s">
        <v>35</v>
      </c>
      <c r="R230" s="1" t="str">
        <f aca="false">VLOOKUP(P230,[1]Categorizations!A$1:C$1048576,2,FALSE())</f>
        <v>Incomplete Testing</v>
      </c>
      <c r="S230" s="1" t="str">
        <f aca="false">VLOOKUP(P230,[1]Categorizations!A$1:C$1048576,3,FALSE())</f>
        <v>Lab Issue</v>
      </c>
    </row>
    <row r="231" customFormat="false" ht="15.75" hidden="false" customHeight="false" outlineLevel="0" collapsed="false">
      <c r="A231" s="1" t="str">
        <f aca="false">CONCATENATE(C231,J231)</f>
        <v>46196The Higher Path Patients' Association</v>
      </c>
      <c r="B231" s="11" t="n">
        <v>46195</v>
      </c>
      <c r="C231" s="7" t="n">
        <v>46196</v>
      </c>
      <c r="D231" s="2" t="s">
        <v>157</v>
      </c>
      <c r="E231" s="8" t="s">
        <v>721</v>
      </c>
      <c r="F231" s="8" t="s">
        <v>722</v>
      </c>
      <c r="G231" s="2" t="s">
        <v>38</v>
      </c>
      <c r="H231" s="2" t="s">
        <v>39</v>
      </c>
      <c r="I231" s="2" t="s">
        <v>723</v>
      </c>
      <c r="J231" s="2" t="s">
        <v>724</v>
      </c>
      <c r="M231" s="2" t="s">
        <v>103</v>
      </c>
      <c r="N231" s="11" t="n">
        <v>45632</v>
      </c>
      <c r="O231" s="11" t="n">
        <v>45645</v>
      </c>
      <c r="P231" s="2" t="s">
        <v>717</v>
      </c>
      <c r="Q231" s="1" t="s">
        <v>35</v>
      </c>
      <c r="R231" s="1" t="str">
        <f aca="false">VLOOKUP(P231,[1]Categorizations!A$1:C$1048576,2,FALSE())</f>
        <v>Incomplete Testing</v>
      </c>
      <c r="S231" s="1" t="str">
        <f aca="false">VLOOKUP(P231,[1]Categorizations!A$1:C$1048576,3,FALSE())</f>
        <v>Lab Issue</v>
      </c>
    </row>
    <row r="232" customFormat="false" ht="15.75" hidden="false" customHeight="false" outlineLevel="0" collapsed="false">
      <c r="A232" s="1" t="str">
        <f aca="false">CONCATENATE(C232,J232)</f>
        <v>46196The Higher Path Patients' Association</v>
      </c>
      <c r="B232" s="11" t="n">
        <v>46195</v>
      </c>
      <c r="C232" s="7" t="n">
        <v>46196</v>
      </c>
      <c r="D232" s="2" t="s">
        <v>157</v>
      </c>
      <c r="E232" s="8" t="s">
        <v>725</v>
      </c>
      <c r="F232" s="8" t="s">
        <v>726</v>
      </c>
      <c r="G232" s="2" t="s">
        <v>38</v>
      </c>
      <c r="H232" s="2" t="s">
        <v>39</v>
      </c>
      <c r="I232" s="2" t="s">
        <v>727</v>
      </c>
      <c r="J232" s="2" t="s">
        <v>724</v>
      </c>
      <c r="M232" s="2" t="s">
        <v>103</v>
      </c>
      <c r="N232" s="11" t="n">
        <v>45678</v>
      </c>
      <c r="O232" s="11" t="n">
        <v>45686</v>
      </c>
      <c r="P232" s="2" t="s">
        <v>717</v>
      </c>
      <c r="Q232" s="1" t="s">
        <v>35</v>
      </c>
      <c r="R232" s="1" t="str">
        <f aca="false">VLOOKUP(P232,[1]Categorizations!A$1:C$1048576,2,FALSE())</f>
        <v>Incomplete Testing</v>
      </c>
      <c r="S232" s="1" t="str">
        <f aca="false">VLOOKUP(P232,[1]Categorizations!A$1:C$1048576,3,FALSE())</f>
        <v>Lab Issue</v>
      </c>
    </row>
    <row r="233" customFormat="false" ht="15.75" hidden="false" customHeight="false" outlineLevel="0" collapsed="false">
      <c r="A233" s="1" t="str">
        <f aca="false">CONCATENATE(C233,J233)</f>
        <v>46196The Higher Path Patients' Association</v>
      </c>
      <c r="B233" s="11" t="n">
        <v>46195</v>
      </c>
      <c r="C233" s="7" t="n">
        <v>46196</v>
      </c>
      <c r="D233" s="2" t="s">
        <v>157</v>
      </c>
      <c r="E233" s="8" t="s">
        <v>728</v>
      </c>
      <c r="F233" s="8" t="s">
        <v>729</v>
      </c>
      <c r="G233" s="2" t="s">
        <v>38</v>
      </c>
      <c r="H233" s="2" t="s">
        <v>193</v>
      </c>
      <c r="I233" s="2" t="s">
        <v>730</v>
      </c>
      <c r="J233" s="2" t="s">
        <v>724</v>
      </c>
      <c r="M233" s="2" t="s">
        <v>103</v>
      </c>
      <c r="N233" s="11" t="n">
        <v>45749</v>
      </c>
      <c r="O233" s="11" t="n">
        <v>45757</v>
      </c>
      <c r="P233" s="2" t="s">
        <v>717</v>
      </c>
      <c r="Q233" s="1" t="s">
        <v>35</v>
      </c>
      <c r="R233" s="1" t="str">
        <f aca="false">VLOOKUP(P233,[1]Categorizations!A$1:C$1048576,2,FALSE())</f>
        <v>Incomplete Testing</v>
      </c>
      <c r="S233" s="1" t="str">
        <f aca="false">VLOOKUP(P233,[1]Categorizations!A$1:C$1048576,3,FALSE())</f>
        <v>Lab Issue</v>
      </c>
    </row>
    <row r="234" customFormat="false" ht="15.75" hidden="false" customHeight="false" outlineLevel="0" collapsed="false">
      <c r="A234" s="1" t="str">
        <f aca="false">CONCATENATE(C234,J234)</f>
        <v>46198KGJMK OPCO INC</v>
      </c>
      <c r="B234" s="11" t="n">
        <v>46197</v>
      </c>
      <c r="C234" s="7" t="n">
        <v>46198</v>
      </c>
      <c r="D234" s="2" t="s">
        <v>157</v>
      </c>
      <c r="E234" s="8" t="s">
        <v>731</v>
      </c>
      <c r="F234" s="8" t="s">
        <v>732</v>
      </c>
      <c r="G234" s="2" t="s">
        <v>38</v>
      </c>
      <c r="H234" s="2" t="s">
        <v>171</v>
      </c>
      <c r="I234" s="2" t="s">
        <v>733</v>
      </c>
      <c r="J234" s="2" t="s">
        <v>734</v>
      </c>
      <c r="M234" s="2" t="s">
        <v>103</v>
      </c>
      <c r="N234" s="11" t="n">
        <v>45952</v>
      </c>
      <c r="O234" s="11" t="n">
        <v>46330</v>
      </c>
      <c r="P234" s="2" t="s">
        <v>735</v>
      </c>
      <c r="Q234" s="1" t="s">
        <v>35</v>
      </c>
      <c r="R234" s="1" t="str">
        <f aca="false">VLOOKUP(P234,[1]Categorizations!A$1:C$1048576,2,FALSE())</f>
        <v>Mislabeled</v>
      </c>
      <c r="S234" s="1" t="str">
        <f aca="false">VLOOKUP(P234,[1]Categorizations!A$1:C$1048576,3,FALSE())</f>
        <v>Mislabeled</v>
      </c>
    </row>
    <row r="235" customFormat="false" ht="15.75" hidden="false" customHeight="false" outlineLevel="0" collapsed="false">
      <c r="A235" s="1" t="str">
        <f aca="false">CONCATENATE(C235,J235)</f>
        <v>46205Ironworks Collective, Inc</v>
      </c>
      <c r="B235" s="11" t="n">
        <v>46203</v>
      </c>
      <c r="C235" s="7" t="n">
        <v>46205</v>
      </c>
      <c r="D235" s="2" t="s">
        <v>157</v>
      </c>
      <c r="E235" s="8" t="s">
        <v>736</v>
      </c>
      <c r="F235" s="8" t="s">
        <v>737</v>
      </c>
      <c r="G235" s="2" t="s">
        <v>38</v>
      </c>
      <c r="H235" s="2" t="s">
        <v>200</v>
      </c>
      <c r="I235" s="2" t="s">
        <v>738</v>
      </c>
      <c r="J235" s="2" t="s">
        <v>739</v>
      </c>
      <c r="M235" s="2" t="s">
        <v>103</v>
      </c>
      <c r="N235" s="11" t="n">
        <v>46057</v>
      </c>
      <c r="O235" s="11" t="n">
        <v>46072</v>
      </c>
      <c r="P235" s="2" t="s">
        <v>740</v>
      </c>
      <c r="Q235" s="1" t="s">
        <v>35</v>
      </c>
      <c r="R235" s="1" t="str">
        <f aca="false">VLOOKUP(P235,[1]Categorizations!A$1:C$1048576,2,FALSE())</f>
        <v>Pesticides</v>
      </c>
      <c r="S235" s="1" t="str">
        <f aca="false">VLOOKUP(P235,[1]Categorizations!A$1:C$1048576,3,FALSE())</f>
        <v>Pesticides</v>
      </c>
    </row>
    <row r="236" customFormat="false" ht="15.75" hidden="false" customHeight="false" outlineLevel="0" collapsed="false">
      <c r="A236" s="1" t="str">
        <f aca="false">CONCATENATE(C236,J236)</f>
        <v>46237Green Earth Pharmacy Inc.</v>
      </c>
      <c r="B236" s="11" t="n">
        <v>46231</v>
      </c>
      <c r="C236" s="7" t="n">
        <v>46237</v>
      </c>
      <c r="D236" s="2" t="s">
        <v>157</v>
      </c>
      <c r="E236" s="8" t="s">
        <v>741</v>
      </c>
      <c r="F236" s="8" t="s">
        <v>742</v>
      </c>
      <c r="G236" s="2" t="s">
        <v>38</v>
      </c>
      <c r="H236" s="2" t="s">
        <v>39</v>
      </c>
      <c r="I236" s="2" t="s">
        <v>743</v>
      </c>
      <c r="J236" s="2" t="s">
        <v>744</v>
      </c>
      <c r="M236" s="2" t="s">
        <v>103</v>
      </c>
      <c r="N236" s="11" t="n">
        <v>46157</v>
      </c>
      <c r="O236" s="11" t="n">
        <v>46157</v>
      </c>
      <c r="P236" s="2" t="s">
        <v>745</v>
      </c>
      <c r="Q236" s="1" t="s">
        <v>35</v>
      </c>
      <c r="R236" s="1" t="str">
        <f aca="false">VLOOKUP(P236,[1]Categorizations!A$1:C$1048576,2,FALSE())</f>
        <v>Attractive Label</v>
      </c>
      <c r="S236" s="1" t="str">
        <f aca="false">VLOOKUP(P236,[1]Categorizations!A$1:C$1048576,3,FALSE())</f>
        <v>Packaging</v>
      </c>
    </row>
    <row r="237" customFormat="false" ht="15.75" hidden="false" customHeight="false" outlineLevel="0" collapsed="false">
      <c r="A237" s="1" t="str">
        <f aca="false">CONCATENATE(C237,J237)</f>
        <v>46252LP Roadrunner Logistics LLC</v>
      </c>
      <c r="B237" s="11" t="n">
        <v>46251</v>
      </c>
      <c r="C237" s="7" t="n">
        <v>46252</v>
      </c>
      <c r="D237" s="2" t="s">
        <v>157</v>
      </c>
      <c r="E237" s="8" t="s">
        <v>746</v>
      </c>
      <c r="F237" s="8" t="s">
        <v>747</v>
      </c>
      <c r="G237" s="2" t="s">
        <v>38</v>
      </c>
      <c r="H237" s="2" t="s">
        <v>174</v>
      </c>
      <c r="I237" s="2" t="s">
        <v>748</v>
      </c>
      <c r="J237" s="2" t="s">
        <v>749</v>
      </c>
      <c r="M237" s="2" t="s">
        <v>103</v>
      </c>
      <c r="N237" s="11" t="n">
        <v>46162</v>
      </c>
      <c r="O237" s="11" t="n">
        <v>46162</v>
      </c>
      <c r="P237" s="2" t="s">
        <v>717</v>
      </c>
      <c r="Q237" s="1" t="s">
        <v>35</v>
      </c>
      <c r="R237" s="1" t="str">
        <f aca="false">VLOOKUP(P237,[1]Categorizations!A$1:C$1048576,2,FALSE())</f>
        <v>Incomplete Testing</v>
      </c>
      <c r="S237" s="1" t="str">
        <f aca="false">VLOOKUP(P237,[1]Categorizations!A$1:C$1048576,3,FALSE())</f>
        <v>Lab Issue</v>
      </c>
    </row>
    <row r="238" customFormat="false" ht="15.75" hidden="false" customHeight="false" outlineLevel="0" collapsed="false">
      <c r="A238" s="1" t="str">
        <f aca="false">CONCATENATE(C238,J238)</f>
        <v>46252LP Roadrunner Logistics LLC</v>
      </c>
      <c r="B238" s="11" t="n">
        <v>46251</v>
      </c>
      <c r="C238" s="7" t="n">
        <v>46252</v>
      </c>
      <c r="D238" s="2" t="s">
        <v>157</v>
      </c>
      <c r="E238" s="8" t="s">
        <v>750</v>
      </c>
      <c r="F238" s="8" t="s">
        <v>751</v>
      </c>
      <c r="G238" s="2" t="s">
        <v>38</v>
      </c>
      <c r="H238" s="2" t="s">
        <v>193</v>
      </c>
      <c r="I238" s="2" t="s">
        <v>752</v>
      </c>
      <c r="J238" s="2" t="s">
        <v>749</v>
      </c>
      <c r="M238" s="2" t="s">
        <v>103</v>
      </c>
      <c r="N238" s="11" t="n">
        <v>46009</v>
      </c>
      <c r="O238" s="11" t="n">
        <v>46014</v>
      </c>
      <c r="P238" s="2" t="s">
        <v>717</v>
      </c>
      <c r="Q238" s="1" t="s">
        <v>35</v>
      </c>
      <c r="R238" s="1" t="str">
        <f aca="false">VLOOKUP(P238,[1]Categorizations!A$1:C$1048576,2,FALSE())</f>
        <v>Incomplete Testing</v>
      </c>
      <c r="S238" s="1" t="str">
        <f aca="false">VLOOKUP(P238,[1]Categorizations!A$1:C$1048576,3,FALSE())</f>
        <v>Lab Issue</v>
      </c>
    </row>
    <row r="239" customFormat="false" ht="15.75" hidden="false" customHeight="false" outlineLevel="0" collapsed="false">
      <c r="A239" s="1" t="str">
        <f aca="false">CONCATENATE(C239,J239)</f>
        <v>46260Crown Genetics, LLC</v>
      </c>
      <c r="B239" s="11" t="n">
        <v>46260</v>
      </c>
      <c r="C239" s="7" t="n">
        <v>46260</v>
      </c>
      <c r="D239" s="2" t="s">
        <v>157</v>
      </c>
      <c r="E239" s="8" t="s">
        <v>753</v>
      </c>
      <c r="F239" s="8" t="s">
        <v>754</v>
      </c>
      <c r="G239" s="2" t="s">
        <v>38</v>
      </c>
      <c r="H239" s="2" t="s">
        <v>210</v>
      </c>
      <c r="I239" s="2" t="s">
        <v>755</v>
      </c>
      <c r="J239" s="2" t="s">
        <v>756</v>
      </c>
      <c r="M239" s="2" t="s">
        <v>103</v>
      </c>
      <c r="N239" s="11" t="n">
        <v>46156</v>
      </c>
      <c r="O239" s="11" t="n">
        <v>46157</v>
      </c>
      <c r="P239" s="2" t="s">
        <v>717</v>
      </c>
      <c r="Q239" s="1" t="s">
        <v>35</v>
      </c>
      <c r="R239" s="1" t="str">
        <f aca="false">VLOOKUP(P239,[1]Categorizations!A$1:C$1048576,2,FALSE())</f>
        <v>Incomplete Testing</v>
      </c>
      <c r="S239" s="1" t="str">
        <f aca="false">VLOOKUP(P239,[1]Categorizations!A$1:C$1048576,3,FALSE())</f>
        <v>Lab Issue</v>
      </c>
    </row>
    <row r="240" customFormat="false" ht="15.75" hidden="false" customHeight="false" outlineLevel="0" collapsed="false">
      <c r="A240" s="1" t="str">
        <f aca="false">CONCATENATE(C240,J240)</f>
        <v>46275MTN Group, Inc.</v>
      </c>
      <c r="B240" s="11" t="n">
        <v>46273</v>
      </c>
      <c r="C240" s="7" t="n">
        <v>46275</v>
      </c>
      <c r="D240" s="2" t="s">
        <v>157</v>
      </c>
      <c r="E240" s="8" t="s">
        <v>757</v>
      </c>
      <c r="F240" s="8" t="s">
        <v>758</v>
      </c>
      <c r="G240" s="2" t="s">
        <v>22</v>
      </c>
      <c r="H240" s="2" t="s">
        <v>200</v>
      </c>
      <c r="I240" s="2" t="s">
        <v>759</v>
      </c>
      <c r="J240" s="2" t="s">
        <v>760</v>
      </c>
      <c r="M240" s="2" t="s">
        <v>103</v>
      </c>
      <c r="N240" s="11" t="n">
        <v>46175</v>
      </c>
      <c r="O240" s="11" t="n">
        <v>46199</v>
      </c>
      <c r="P240" s="2" t="s">
        <v>745</v>
      </c>
      <c r="Q240" s="1" t="s">
        <v>35</v>
      </c>
      <c r="R240" s="1" t="str">
        <f aca="false">VLOOKUP(P240,[1]Categorizations!A$1:C$1048576,2,FALSE())</f>
        <v>Attractive Label</v>
      </c>
      <c r="S240" s="1" t="str">
        <f aca="false">VLOOKUP(P240,[1]Categorizations!A$1:C$1048576,3,FALSE())</f>
        <v>Packaging</v>
      </c>
    </row>
    <row r="241" customFormat="false" ht="15.75" hidden="false" customHeight="false" outlineLevel="0" collapsed="false">
      <c r="A241" s="1" t="str">
        <f aca="false">CONCATENATE(C241,J241)</f>
        <v>46275Natura Distribution LLC, A2B; Heritage Co-Pack</v>
      </c>
      <c r="B241" s="11" t="n">
        <v>46274</v>
      </c>
      <c r="C241" s="7" t="n">
        <v>46275</v>
      </c>
      <c r="D241" s="2" t="s">
        <v>157</v>
      </c>
      <c r="E241" s="8" t="s">
        <v>761</v>
      </c>
      <c r="F241" s="8" t="s">
        <v>762</v>
      </c>
      <c r="G241" s="2" t="s">
        <v>38</v>
      </c>
      <c r="H241" s="2" t="s">
        <v>149</v>
      </c>
      <c r="I241" s="2" t="s">
        <v>763</v>
      </c>
      <c r="J241" s="2" t="s">
        <v>764</v>
      </c>
      <c r="M241" s="2" t="s">
        <v>103</v>
      </c>
      <c r="N241" s="11" t="n">
        <v>46246</v>
      </c>
      <c r="O241" s="11" t="n">
        <v>46252</v>
      </c>
      <c r="P241" s="2" t="s">
        <v>765</v>
      </c>
      <c r="Q241" s="1" t="s">
        <v>35</v>
      </c>
      <c r="R241" s="1" t="str">
        <f aca="false">VLOOKUP(P241,[1]Categorizations!A$1:C$1048576,2,FALSE())</f>
        <v>Prohibited Product in Supply Chain</v>
      </c>
      <c r="S241" s="1" t="str">
        <f aca="false">VLOOKUP(P241,[1]Categorizations!A$1:C$1048576,3,FALSE())</f>
        <v>Prohibited Additives / Product</v>
      </c>
    </row>
    <row r="242" customFormat="false" ht="15.75" hidden="false" customHeight="false" outlineLevel="0" collapsed="false">
      <c r="A242" s="1" t="str">
        <f aca="false">CONCATENATE(C242,J242)</f>
        <v>46279Peace and Joy LLC</v>
      </c>
      <c r="B242" s="11" t="n">
        <v>46274</v>
      </c>
      <c r="C242" s="7" t="n">
        <v>46279</v>
      </c>
      <c r="D242" s="2" t="s">
        <v>157</v>
      </c>
      <c r="E242" s="8" t="s">
        <v>766</v>
      </c>
      <c r="F242" s="8" t="s">
        <v>767</v>
      </c>
      <c r="G242" s="2" t="s">
        <v>38</v>
      </c>
      <c r="H242" s="2" t="s">
        <v>39</v>
      </c>
      <c r="I242" s="2" t="s">
        <v>768</v>
      </c>
      <c r="J242" s="2" t="s">
        <v>769</v>
      </c>
      <c r="M242" s="2" t="s">
        <v>103</v>
      </c>
      <c r="N242" s="11" t="n">
        <v>46114</v>
      </c>
      <c r="O242" s="11" t="n">
        <v>46125</v>
      </c>
      <c r="P242" s="2" t="s">
        <v>765</v>
      </c>
      <c r="Q242" s="1" t="s">
        <v>35</v>
      </c>
      <c r="R242" s="1" t="str">
        <f aca="false">VLOOKUP(P242,[1]Categorizations!A$1:C$1048576,2,FALSE())</f>
        <v>Prohibited Product in Supply Chain</v>
      </c>
      <c r="S242" s="1" t="str">
        <f aca="false">VLOOKUP(P242,[1]Categorizations!A$1:C$1048576,3,FALSE())</f>
        <v>Prohibited Additives / Product</v>
      </c>
    </row>
    <row r="243" customFormat="false" ht="15.75" hidden="false" customHeight="false" outlineLevel="0" collapsed="false">
      <c r="A243" s="1" t="str">
        <f aca="false">CONCATENATE(C243,J243, 2)</f>
        <v>46279Peace and Joy LLC2</v>
      </c>
      <c r="B243" s="11" t="n">
        <v>46274</v>
      </c>
      <c r="C243" s="7" t="n">
        <v>46279</v>
      </c>
      <c r="D243" s="2" t="s">
        <v>157</v>
      </c>
      <c r="E243" s="8" t="s">
        <v>770</v>
      </c>
      <c r="F243" s="8" t="s">
        <v>771</v>
      </c>
      <c r="G243" s="2" t="s">
        <v>38</v>
      </c>
      <c r="H243" s="2" t="s">
        <v>55</v>
      </c>
      <c r="I243" s="2" t="s">
        <v>772</v>
      </c>
      <c r="J243" s="2" t="s">
        <v>769</v>
      </c>
      <c r="M243" s="2" t="s">
        <v>103</v>
      </c>
      <c r="N243" s="11" t="n">
        <v>46244</v>
      </c>
      <c r="O243" s="11" t="n">
        <v>46251</v>
      </c>
      <c r="P243" s="2" t="s">
        <v>773</v>
      </c>
      <c r="Q243" s="1" t="s">
        <v>35</v>
      </c>
      <c r="R243" s="1" t="str">
        <f aca="false">VLOOKUP(P243,[1]Categorizations!A$1:C$1048576,2,FALSE())</f>
        <v>Prohibited Product in Supply Chain</v>
      </c>
      <c r="S243" s="1" t="str">
        <f aca="false">VLOOKUP(P243,[1]Categorizations!A$1:C$1048576,3,FALSE())</f>
        <v>Prohibited Additives / Product</v>
      </c>
    </row>
    <row r="244" customFormat="false" ht="15.75" hidden="false" customHeight="false" outlineLevel="0" collapsed="false">
      <c r="A244" s="1" t="str">
        <f aca="false">CONCATENATE(C244,J244)</f>
        <v>46280510 Consultants LLC</v>
      </c>
      <c r="B244" s="11" t="n">
        <v>46274</v>
      </c>
      <c r="C244" s="11" t="n">
        <v>46280</v>
      </c>
      <c r="D244" s="2" t="s">
        <v>157</v>
      </c>
      <c r="E244" s="8" t="s">
        <v>774</v>
      </c>
      <c r="F244" s="8" t="s">
        <v>762</v>
      </c>
      <c r="G244" s="2" t="s">
        <v>38</v>
      </c>
      <c r="H244" s="2" t="s">
        <v>182</v>
      </c>
      <c r="I244" s="2" t="s">
        <v>775</v>
      </c>
      <c r="J244" s="2" t="s">
        <v>776</v>
      </c>
      <c r="M244" s="2" t="s">
        <v>103</v>
      </c>
      <c r="N244" s="11" t="n">
        <v>46223</v>
      </c>
      <c r="O244" s="11" t="n">
        <v>46233</v>
      </c>
      <c r="P244" s="2" t="s">
        <v>773</v>
      </c>
      <c r="Q244" s="1" t="s">
        <v>35</v>
      </c>
      <c r="R244" s="1" t="str">
        <f aca="false">VLOOKUP(P244,[1]Categorizations!A$1:C$1048576,2,FALSE())</f>
        <v>Prohibited Product in Supply Chain</v>
      </c>
      <c r="S244" s="1" t="str">
        <f aca="false">VLOOKUP(P244,[1]Categorizations!A$1:C$1048576,3,FALSE())</f>
        <v>Prohibited Additives / Product</v>
      </c>
    </row>
    <row r="245" customFormat="false" ht="15.75" hidden="false" customHeight="false" outlineLevel="0" collapsed="false">
      <c r="A245" s="1" t="str">
        <f aca="false">CONCATENATE(C245,J245)</f>
        <v>46280Artisan Canna Cigars LLC</v>
      </c>
      <c r="B245" s="11" t="n">
        <v>46276</v>
      </c>
      <c r="C245" s="11" t="n">
        <v>46280</v>
      </c>
      <c r="D245" s="2" t="s">
        <v>157</v>
      </c>
      <c r="E245" s="8" t="s">
        <v>777</v>
      </c>
      <c r="F245" s="8" t="s">
        <v>778</v>
      </c>
      <c r="G245" s="2" t="s">
        <v>38</v>
      </c>
      <c r="H245" s="2" t="s">
        <v>55</v>
      </c>
      <c r="I245" s="2" t="s">
        <v>507</v>
      </c>
      <c r="J245" s="2" t="s">
        <v>454</v>
      </c>
      <c r="M245" s="2" t="s">
        <v>103</v>
      </c>
      <c r="N245" s="11" t="n">
        <v>46092</v>
      </c>
      <c r="O245" s="11" t="n">
        <v>46113</v>
      </c>
      <c r="P245" s="2" t="s">
        <v>779</v>
      </c>
      <c r="Q245" s="1" t="s">
        <v>35</v>
      </c>
      <c r="R245" s="1" t="str">
        <f aca="false">VLOOKUP(P245,[1]Categorizations!A$1:C$1048576,2,FALSE())</f>
        <v>Aspergillus</v>
      </c>
      <c r="S245" s="1" t="str">
        <f aca="false">VLOOKUP(P245,[1]Categorizations!A$1:C$1048576,3,FALSE())</f>
        <v>Aspergillus</v>
      </c>
    </row>
    <row r="246" customFormat="false" ht="15.75" hidden="false" customHeight="false" outlineLevel="0" collapsed="false">
      <c r="A246" s="1" t="str">
        <f aca="false">CONCATENATE(C246,J246)</f>
        <v>42255Mahatma Concentrates</v>
      </c>
      <c r="C246" s="5" t="n">
        <v>42255</v>
      </c>
      <c r="D246" s="1" t="s">
        <v>780</v>
      </c>
      <c r="E246" s="6" t="s">
        <v>781</v>
      </c>
      <c r="F246" s="1"/>
      <c r="G246" s="1" t="s">
        <v>38</v>
      </c>
      <c r="H246" s="1" t="s">
        <v>116</v>
      </c>
      <c r="I246" s="1" t="s">
        <v>782</v>
      </c>
      <c r="J246" s="1" t="s">
        <v>782</v>
      </c>
      <c r="M246" s="1" t="s">
        <v>26</v>
      </c>
      <c r="N246" s="4"/>
      <c r="O246" s="4"/>
      <c r="P246" s="1" t="s">
        <v>783</v>
      </c>
      <c r="Q246" s="1" t="s">
        <v>784</v>
      </c>
      <c r="R246" s="1" t="str">
        <f aca="false">VLOOKUP(P246,[1]Categorizations!A$1:C$1048576,2,FALSE())</f>
        <v>Pesticides</v>
      </c>
      <c r="S246" s="1" t="str">
        <f aca="false">VLOOKUP(P246,[1]Categorizations!A$1:C$1048576,3,FALSE())</f>
        <v>Pesticides</v>
      </c>
    </row>
    <row r="247" customFormat="false" ht="15.75" hidden="false" customHeight="false" outlineLevel="0" collapsed="false">
      <c r="A247" s="1" t="str">
        <f aca="false">CONCATENATE(C247,J247)</f>
        <v>42265Sacred Seed</v>
      </c>
      <c r="C247" s="5" t="n">
        <v>42265</v>
      </c>
      <c r="D247" s="1" t="s">
        <v>780</v>
      </c>
      <c r="E247" s="6" t="s">
        <v>785</v>
      </c>
      <c r="F247" s="1"/>
      <c r="G247" s="1" t="s">
        <v>38</v>
      </c>
      <c r="H247" s="1"/>
      <c r="I247" s="1" t="s">
        <v>786</v>
      </c>
      <c r="J247" s="1" t="s">
        <v>786</v>
      </c>
      <c r="M247" s="1" t="s">
        <v>26</v>
      </c>
      <c r="N247" s="4"/>
      <c r="O247" s="4"/>
      <c r="P247" s="1" t="s">
        <v>787</v>
      </c>
      <c r="Q247" s="1" t="s">
        <v>784</v>
      </c>
      <c r="R247" s="1" t="str">
        <f aca="false">VLOOKUP(P247,[1]Categorizations!A$1:C$1048576,2,FALSE())</f>
        <v>Pesticides</v>
      </c>
      <c r="S247" s="1" t="str">
        <f aca="false">VLOOKUP(P247,[1]Categorizations!A$1:C$1048576,3,FALSE())</f>
        <v>Pesticides</v>
      </c>
    </row>
    <row r="248" customFormat="false" ht="15.75" hidden="false" customHeight="false" outlineLevel="0" collapsed="false">
      <c r="A248" s="1" t="str">
        <f aca="false">CONCATENATE(C248,J248)</f>
        <v>42265Denver-Rec</v>
      </c>
      <c r="C248" s="5" t="n">
        <v>42265</v>
      </c>
      <c r="D248" s="1" t="s">
        <v>780</v>
      </c>
      <c r="E248" s="6" t="s">
        <v>785</v>
      </c>
      <c r="F248" s="1"/>
      <c r="G248" s="1" t="s">
        <v>38</v>
      </c>
      <c r="H248" s="1"/>
      <c r="I248" s="1" t="s">
        <v>788</v>
      </c>
      <c r="J248" s="1" t="s">
        <v>788</v>
      </c>
      <c r="M248" s="1" t="s">
        <v>26</v>
      </c>
      <c r="N248" s="4"/>
      <c r="P248" s="1" t="s">
        <v>787</v>
      </c>
      <c r="Q248" s="1" t="s">
        <v>784</v>
      </c>
      <c r="R248" s="1" t="str">
        <f aca="false">VLOOKUP(P248,[1]Categorizations!A$1:C$1048576,2,FALSE())</f>
        <v>Pesticides</v>
      </c>
      <c r="S248" s="1" t="str">
        <f aca="false">VLOOKUP(P248,[1]Categorizations!A$1:C$1048576,3,FALSE())</f>
        <v>Pesticides</v>
      </c>
    </row>
    <row r="249" customFormat="false" ht="15.75" hidden="false" customHeight="false" outlineLevel="0" collapsed="false">
      <c r="A249" s="1" t="str">
        <f aca="false">CONCATENATE(C249,J249)</f>
        <v>42291TruCannabis/Colorado Care Facility</v>
      </c>
      <c r="C249" s="5" t="n">
        <v>42291</v>
      </c>
      <c r="D249" s="1" t="s">
        <v>780</v>
      </c>
      <c r="E249" s="6" t="s">
        <v>789</v>
      </c>
      <c r="F249" s="1"/>
      <c r="G249" s="1" t="s">
        <v>38</v>
      </c>
      <c r="H249" s="1"/>
      <c r="I249" s="1" t="s">
        <v>790</v>
      </c>
      <c r="J249" s="1" t="s">
        <v>790</v>
      </c>
      <c r="M249" s="1" t="s">
        <v>26</v>
      </c>
      <c r="N249" s="4"/>
      <c r="O249" s="4"/>
      <c r="P249" s="1" t="s">
        <v>791</v>
      </c>
      <c r="Q249" s="1" t="s">
        <v>784</v>
      </c>
      <c r="R249" s="1" t="str">
        <f aca="false">VLOOKUP(P249,[1]Categorizations!A$1:C$1048576,2,FALSE())</f>
        <v>Pesticides</v>
      </c>
      <c r="S249" s="1" t="str">
        <f aca="false">VLOOKUP(P249,[1]Categorizations!A$1:C$1048576,3,FALSE())</f>
        <v>Pesticides</v>
      </c>
    </row>
    <row r="250" customFormat="false" ht="15.75" hidden="false" customHeight="false" outlineLevel="0" collapsed="false">
      <c r="A250" s="1" t="str">
        <f aca="false">CONCATENATE(C250,J250)</f>
        <v>42298Nature’s Cure/Colfax Pot Shop</v>
      </c>
      <c r="C250" s="5" t="n">
        <v>42298</v>
      </c>
      <c r="D250" s="1" t="s">
        <v>780</v>
      </c>
      <c r="E250" s="6" t="s">
        <v>792</v>
      </c>
      <c r="F250" s="1"/>
      <c r="G250" s="1" t="s">
        <v>38</v>
      </c>
      <c r="H250" s="1"/>
      <c r="I250" s="1" t="s">
        <v>793</v>
      </c>
      <c r="J250" s="1" t="s">
        <v>793</v>
      </c>
      <c r="M250" s="1" t="s">
        <v>26</v>
      </c>
      <c r="N250" s="4"/>
      <c r="O250" s="4"/>
      <c r="P250" s="1" t="s">
        <v>794</v>
      </c>
      <c r="Q250" s="1" t="s">
        <v>784</v>
      </c>
      <c r="R250" s="1" t="str">
        <f aca="false">VLOOKUP(P250,[1]Categorizations!A$1:C$1048576,2,FALSE())</f>
        <v>Pesticides</v>
      </c>
      <c r="S250" s="1" t="str">
        <f aca="false">VLOOKUP(P250,[1]Categorizations!A$1:C$1048576,3,FALSE())</f>
        <v>Pesticides</v>
      </c>
    </row>
    <row r="251" customFormat="false" ht="15.75" hidden="false" customHeight="false" outlineLevel="0" collapsed="false">
      <c r="A251" s="1" t="str">
        <f aca="false">CONCATENATE(C251,J251)</f>
        <v>42307EdiPure/Green Cross</v>
      </c>
      <c r="C251" s="5" t="n">
        <v>42307</v>
      </c>
      <c r="D251" s="1" t="s">
        <v>780</v>
      </c>
      <c r="E251" s="6" t="s">
        <v>795</v>
      </c>
      <c r="F251" s="1"/>
      <c r="G251" s="1" t="s">
        <v>38</v>
      </c>
      <c r="H251" s="1"/>
      <c r="I251" s="1" t="s">
        <v>796</v>
      </c>
      <c r="J251" s="1" t="s">
        <v>796</v>
      </c>
      <c r="M251" s="1" t="s">
        <v>26</v>
      </c>
      <c r="N251" s="4"/>
      <c r="O251" s="4"/>
      <c r="P251" s="1" t="s">
        <v>791</v>
      </c>
      <c r="Q251" s="1" t="s">
        <v>784</v>
      </c>
      <c r="R251" s="1" t="str">
        <f aca="false">VLOOKUP(P251,[1]Categorizations!A$1:C$1048576,2,FALSE())</f>
        <v>Pesticides</v>
      </c>
      <c r="S251" s="1" t="str">
        <f aca="false">VLOOKUP(P251,[1]Categorizations!A$1:C$1048576,3,FALSE())</f>
        <v>Pesticides</v>
      </c>
    </row>
    <row r="252" customFormat="false" ht="15.75" hidden="false" customHeight="false" outlineLevel="0" collapsed="false">
      <c r="A252" s="1" t="str">
        <f aca="false">CONCATENATE(C252,J252)</f>
        <v>42311Gaia’s Garden</v>
      </c>
      <c r="C252" s="5" t="n">
        <v>42311</v>
      </c>
      <c r="D252" s="1" t="s">
        <v>780</v>
      </c>
      <c r="E252" s="6" t="s">
        <v>797</v>
      </c>
      <c r="F252" s="1"/>
      <c r="G252" s="1" t="s">
        <v>38</v>
      </c>
      <c r="H252" s="1"/>
      <c r="I252" s="1" t="s">
        <v>798</v>
      </c>
      <c r="J252" s="1" t="s">
        <v>798</v>
      </c>
      <c r="M252" s="1" t="s">
        <v>26</v>
      </c>
      <c r="N252" s="4"/>
      <c r="O252" s="4"/>
      <c r="P252" s="1" t="s">
        <v>791</v>
      </c>
      <c r="Q252" s="1" t="s">
        <v>784</v>
      </c>
      <c r="R252" s="1" t="str">
        <f aca="false">VLOOKUP(P252,[1]Categorizations!A$1:C$1048576,2,FALSE())</f>
        <v>Pesticides</v>
      </c>
      <c r="S252" s="1" t="str">
        <f aca="false">VLOOKUP(P252,[1]Categorizations!A$1:C$1048576,3,FALSE())</f>
        <v>Pesticides</v>
      </c>
    </row>
    <row r="253" customFormat="false" ht="15.75" hidden="false" customHeight="false" outlineLevel="0" collapsed="false">
      <c r="A253" s="1" t="str">
        <f aca="false">CONCATENATE(C253,J253)</f>
        <v>42325Lab710 Concentrates</v>
      </c>
      <c r="C253" s="5" t="n">
        <v>42325</v>
      </c>
      <c r="D253" s="1" t="s">
        <v>780</v>
      </c>
      <c r="E253" s="6" t="s">
        <v>799</v>
      </c>
      <c r="F253" s="1"/>
      <c r="G253" s="1" t="s">
        <v>38</v>
      </c>
      <c r="H253" s="1"/>
      <c r="I253" s="1" t="s">
        <v>800</v>
      </c>
      <c r="J253" s="1" t="s">
        <v>800</v>
      </c>
      <c r="M253" s="1" t="s">
        <v>26</v>
      </c>
      <c r="N253" s="4"/>
      <c r="O253" s="4"/>
      <c r="P253" s="1" t="s">
        <v>801</v>
      </c>
      <c r="Q253" s="1" t="s">
        <v>784</v>
      </c>
      <c r="R253" s="1" t="str">
        <f aca="false">VLOOKUP(P253,[1]Categorizations!A$1:C$1048576,2,FALSE())</f>
        <v>Pesticides</v>
      </c>
      <c r="S253" s="1" t="str">
        <f aca="false">VLOOKUP(P253,[1]Categorizations!A$1:C$1048576,3,FALSE())</f>
        <v>Pesticides</v>
      </c>
    </row>
    <row r="254" customFormat="false" ht="15.75" hidden="false" customHeight="false" outlineLevel="0" collapsed="false">
      <c r="A254" s="1" t="str">
        <f aca="false">CONCATENATE(C254,J254)</f>
        <v>42326Gaia’s Garden</v>
      </c>
      <c r="C254" s="5" t="n">
        <v>42326</v>
      </c>
      <c r="D254" s="1" t="s">
        <v>780</v>
      </c>
      <c r="E254" s="6" t="s">
        <v>802</v>
      </c>
      <c r="F254" s="1"/>
      <c r="G254" s="1" t="s">
        <v>38</v>
      </c>
      <c r="H254" s="1"/>
      <c r="I254" s="1" t="s">
        <v>798</v>
      </c>
      <c r="J254" s="1" t="s">
        <v>798</v>
      </c>
      <c r="M254" s="1" t="s">
        <v>26</v>
      </c>
      <c r="N254" s="4"/>
      <c r="O254" s="4"/>
      <c r="P254" s="1" t="s">
        <v>791</v>
      </c>
      <c r="Q254" s="1" t="s">
        <v>784</v>
      </c>
      <c r="R254" s="1" t="str">
        <f aca="false">VLOOKUP(P254,[1]Categorizations!A$1:C$1048576,2,FALSE())</f>
        <v>Pesticides</v>
      </c>
      <c r="S254" s="1" t="str">
        <f aca="false">VLOOKUP(P254,[1]Categorizations!A$1:C$1048576,3,FALSE())</f>
        <v>Pesticides</v>
      </c>
    </row>
    <row r="255" customFormat="false" ht="15.75" hidden="false" customHeight="false" outlineLevel="0" collapsed="false">
      <c r="A255" s="1" t="str">
        <f aca="false">CONCATENATE(C255,J255)</f>
        <v>42339EdiPure</v>
      </c>
      <c r="C255" s="5" t="n">
        <v>42339</v>
      </c>
      <c r="D255" s="1" t="s">
        <v>780</v>
      </c>
      <c r="E255" s="6" t="s">
        <v>803</v>
      </c>
      <c r="F255" s="1"/>
      <c r="G255" s="1" t="s">
        <v>38</v>
      </c>
      <c r="H255" s="1"/>
      <c r="I255" s="1" t="s">
        <v>804</v>
      </c>
      <c r="J255" s="1" t="s">
        <v>804</v>
      </c>
      <c r="M255" s="1" t="s">
        <v>26</v>
      </c>
      <c r="N255" s="4"/>
      <c r="O255" s="4"/>
      <c r="P255" s="1" t="s">
        <v>805</v>
      </c>
      <c r="Q255" s="1" t="s">
        <v>784</v>
      </c>
      <c r="R255" s="1" t="str">
        <f aca="false">VLOOKUP(P255,[1]Categorizations!A$1:C$1048576,2,FALSE())</f>
        <v>Pesticides</v>
      </c>
      <c r="S255" s="1" t="str">
        <f aca="false">VLOOKUP(P255,[1]Categorizations!A$1:C$1048576,3,FALSE())</f>
        <v>Pesticides</v>
      </c>
    </row>
    <row r="256" customFormat="false" ht="15.75" hidden="false" customHeight="false" outlineLevel="0" collapsed="false">
      <c r="A256" s="1" t="str">
        <f aca="false">CONCATENATE(C256,J256)</f>
        <v>42341Advanced Medical Alternatives</v>
      </c>
      <c r="C256" s="5" t="n">
        <v>42341</v>
      </c>
      <c r="D256" s="1" t="s">
        <v>780</v>
      </c>
      <c r="E256" s="6" t="s">
        <v>806</v>
      </c>
      <c r="G256" s="1" t="s">
        <v>38</v>
      </c>
      <c r="H256" s="1"/>
      <c r="I256" s="1" t="s">
        <v>807</v>
      </c>
      <c r="J256" s="1" t="s">
        <v>807</v>
      </c>
      <c r="M256" s="1" t="s">
        <v>26</v>
      </c>
      <c r="N256" s="4"/>
      <c r="O256" s="4"/>
      <c r="P256" s="1" t="s">
        <v>808</v>
      </c>
      <c r="Q256" s="1" t="s">
        <v>784</v>
      </c>
      <c r="R256" s="1" t="str">
        <f aca="false">VLOOKUP(P256,[1]Categorizations!A$1:C$1048576,2,FALSE())</f>
        <v>Pesticides</v>
      </c>
      <c r="S256" s="1" t="str">
        <f aca="false">VLOOKUP(P256,[1]Categorizations!A$1:C$1048576,3,FALSE())</f>
        <v>Pesticides</v>
      </c>
    </row>
    <row r="257" customFormat="false" ht="15.75" hidden="false" customHeight="false" outlineLevel="0" collapsed="false">
      <c r="A257" s="1" t="str">
        <f aca="false">CONCATENATE(C257,J257)</f>
        <v>42346EdiPure</v>
      </c>
      <c r="C257" s="5" t="n">
        <v>42346</v>
      </c>
      <c r="D257" s="1" t="s">
        <v>780</v>
      </c>
      <c r="E257" s="6" t="s">
        <v>806</v>
      </c>
      <c r="G257" s="1" t="s">
        <v>38</v>
      </c>
      <c r="H257" s="1"/>
      <c r="I257" s="1" t="s">
        <v>804</v>
      </c>
      <c r="J257" s="1" t="s">
        <v>804</v>
      </c>
      <c r="M257" s="1" t="s">
        <v>26</v>
      </c>
      <c r="N257" s="4"/>
      <c r="O257" s="4"/>
      <c r="P257" s="1" t="s">
        <v>808</v>
      </c>
      <c r="Q257" s="1" t="s">
        <v>784</v>
      </c>
      <c r="R257" s="1" t="str">
        <f aca="false">VLOOKUP(P257,[1]Categorizations!A$1:C$1048576,2,FALSE())</f>
        <v>Pesticides</v>
      </c>
      <c r="S257" s="1" t="str">
        <f aca="false">VLOOKUP(P257,[1]Categorizations!A$1:C$1048576,3,FALSE())</f>
        <v>Pesticides</v>
      </c>
    </row>
    <row r="258" customFormat="false" ht="15.75" hidden="false" customHeight="false" outlineLevel="0" collapsed="false">
      <c r="A258" s="1" t="str">
        <f aca="false">CONCATENATE(C258,J258)</f>
        <v>42349Advanced Medical Alternatives</v>
      </c>
      <c r="C258" s="5" t="n">
        <v>42349</v>
      </c>
      <c r="D258" s="1" t="s">
        <v>780</v>
      </c>
      <c r="E258" s="6" t="s">
        <v>806</v>
      </c>
      <c r="G258" s="1" t="s">
        <v>38</v>
      </c>
      <c r="H258" s="1"/>
      <c r="I258" s="1" t="s">
        <v>807</v>
      </c>
      <c r="J258" s="1" t="s">
        <v>807</v>
      </c>
      <c r="M258" s="1" t="s">
        <v>26</v>
      </c>
      <c r="N258" s="4"/>
      <c r="O258" s="4"/>
      <c r="P258" s="1" t="s">
        <v>808</v>
      </c>
      <c r="Q258" s="1" t="s">
        <v>784</v>
      </c>
      <c r="R258" s="1" t="str">
        <f aca="false">VLOOKUP(P258,[1]Categorizations!A$1:C$1048576,2,FALSE())</f>
        <v>Pesticides</v>
      </c>
      <c r="S258" s="1" t="str">
        <f aca="false">VLOOKUP(P258,[1]Categorizations!A$1:C$1048576,3,FALSE())</f>
        <v>Pesticides</v>
      </c>
    </row>
    <row r="259" customFormat="false" ht="15.75" hidden="false" customHeight="false" outlineLevel="0" collapsed="false">
      <c r="A259" s="1" t="str">
        <f aca="false">CONCATENATE(C259,J259)</f>
        <v>42354Caviar Kings, Neos, RevTec</v>
      </c>
      <c r="C259" s="5" t="n">
        <v>42354</v>
      </c>
      <c r="D259" s="1" t="s">
        <v>780</v>
      </c>
      <c r="E259" s="6" t="s">
        <v>806</v>
      </c>
      <c r="G259" s="1" t="s">
        <v>38</v>
      </c>
      <c r="H259" s="1"/>
      <c r="I259" s="1" t="s">
        <v>809</v>
      </c>
      <c r="J259" s="1" t="s">
        <v>809</v>
      </c>
      <c r="M259" s="1" t="s">
        <v>26</v>
      </c>
      <c r="N259" s="4"/>
      <c r="O259" s="4"/>
      <c r="P259" s="6" t="s">
        <v>810</v>
      </c>
      <c r="Q259" s="1" t="s">
        <v>784</v>
      </c>
      <c r="R259" s="1" t="str">
        <f aca="false">VLOOKUP(P259,[1]Categorizations!A$1:C$1048576,2,FALSE())</f>
        <v>Pesticides</v>
      </c>
      <c r="S259" s="1" t="str">
        <f aca="false">VLOOKUP(P259,[1]Categorizations!A$1:C$1048576,3,FALSE())</f>
        <v>Pesticides</v>
      </c>
    </row>
    <row r="260" customFormat="false" ht="15.75" hidden="false" customHeight="false" outlineLevel="0" collapsed="false">
      <c r="A260" s="1" t="str">
        <f aca="false">CONCATENATE(C260,J260)</f>
        <v>42359EdiPure</v>
      </c>
      <c r="C260" s="5" t="n">
        <v>42359</v>
      </c>
      <c r="D260" s="1" t="s">
        <v>780</v>
      </c>
      <c r="E260" s="6" t="s">
        <v>806</v>
      </c>
      <c r="G260" s="1" t="s">
        <v>38</v>
      </c>
      <c r="H260" s="1"/>
      <c r="I260" s="1" t="s">
        <v>804</v>
      </c>
      <c r="J260" s="1" t="s">
        <v>804</v>
      </c>
      <c r="M260" s="1" t="s">
        <v>26</v>
      </c>
      <c r="N260" s="4"/>
      <c r="O260" s="4"/>
      <c r="P260" s="6" t="s">
        <v>811</v>
      </c>
      <c r="Q260" s="1" t="s">
        <v>784</v>
      </c>
      <c r="R260" s="1" t="str">
        <f aca="false">VLOOKUP(P260,[1]Categorizations!A$1:C$1048576,2,FALSE())</f>
        <v>Pesticides</v>
      </c>
      <c r="S260" s="1" t="str">
        <f aca="false">VLOOKUP(P260,[1]Categorizations!A$1:C$1048576,3,FALSE())</f>
        <v>Pesticides</v>
      </c>
    </row>
    <row r="261" customFormat="false" ht="15.75" hidden="false" customHeight="false" outlineLevel="0" collapsed="false">
      <c r="A261" s="1" t="str">
        <f aca="false">CONCATENATE(C261,J261)</f>
        <v>42368Mountain High Suckers</v>
      </c>
      <c r="C261" s="5" t="n">
        <v>42368</v>
      </c>
      <c r="D261" s="1" t="s">
        <v>780</v>
      </c>
      <c r="E261" s="6" t="s">
        <v>806</v>
      </c>
      <c r="G261" s="1" t="s">
        <v>38</v>
      </c>
      <c r="H261" s="1"/>
      <c r="I261" s="1" t="s">
        <v>812</v>
      </c>
      <c r="J261" s="1" t="s">
        <v>812</v>
      </c>
      <c r="M261" s="1" t="s">
        <v>26</v>
      </c>
      <c r="N261" s="4"/>
      <c r="O261" s="4"/>
      <c r="P261" s="6" t="s">
        <v>810</v>
      </c>
      <c r="Q261" s="1" t="s">
        <v>784</v>
      </c>
      <c r="R261" s="1" t="str">
        <f aca="false">VLOOKUP(P261,[1]Categorizations!A$1:C$1048576,2,FALSE())</f>
        <v>Pesticides</v>
      </c>
      <c r="S261" s="1" t="str">
        <f aca="false">VLOOKUP(P261,[1]Categorizations!A$1:C$1048576,3,FALSE())</f>
        <v>Pesticides</v>
      </c>
    </row>
    <row r="262" customFormat="false" ht="15.75" hidden="false" customHeight="false" outlineLevel="0" collapsed="false">
      <c r="A262" s="1" t="s">
        <v>813</v>
      </c>
      <c r="C262" s="5" t="n">
        <v>42417</v>
      </c>
      <c r="D262" s="1" t="s">
        <v>780</v>
      </c>
      <c r="E262" s="6" t="s">
        <v>814</v>
      </c>
      <c r="G262" s="1" t="s">
        <v>38</v>
      </c>
      <c r="H262" s="1"/>
      <c r="I262" s="1"/>
      <c r="J262" s="1" t="s">
        <v>815</v>
      </c>
      <c r="M262" s="1" t="s">
        <v>26</v>
      </c>
      <c r="N262" s="4"/>
      <c r="O262" s="4"/>
      <c r="P262" s="1" t="s">
        <v>816</v>
      </c>
      <c r="Q262" s="1" t="s">
        <v>35</v>
      </c>
      <c r="R262" s="1" t="str">
        <f aca="false">VLOOKUP(P262,[1]Categorizations!A$1:C$1048576,2,FALSE())</f>
        <v>Pesticides</v>
      </c>
      <c r="S262" s="1" t="str">
        <f aca="false">VLOOKUP(P262,[1]Categorizations!A$1:C$1048576,3,FALSE())</f>
        <v>Pesticides</v>
      </c>
    </row>
    <row r="263" customFormat="false" ht="15.75" hidden="false" customHeight="false" outlineLevel="0" collapsed="false">
      <c r="A263" s="1" t="s">
        <v>817</v>
      </c>
      <c r="C263" s="5" t="n">
        <v>42417</v>
      </c>
      <c r="D263" s="1" t="s">
        <v>780</v>
      </c>
      <c r="E263" s="6" t="s">
        <v>818</v>
      </c>
      <c r="G263" s="1" t="s">
        <v>38</v>
      </c>
      <c r="H263" s="1"/>
      <c r="I263" s="1"/>
      <c r="J263" s="1" t="s">
        <v>819</v>
      </c>
      <c r="M263" s="1" t="s">
        <v>42</v>
      </c>
      <c r="N263" s="4" t="n">
        <v>42009</v>
      </c>
      <c r="O263" s="4"/>
      <c r="P263" s="1" t="s">
        <v>816</v>
      </c>
      <c r="Q263" s="1" t="s">
        <v>35</v>
      </c>
      <c r="R263" s="1" t="str">
        <f aca="false">VLOOKUP(P263,[1]Categorizations!A$1:C$1048576,2,FALSE())</f>
        <v>Pesticides</v>
      </c>
      <c r="S263" s="1" t="str">
        <f aca="false">VLOOKUP(P263,[1]Categorizations!A$1:C$1048576,3,FALSE())</f>
        <v>Pesticides</v>
      </c>
    </row>
    <row r="264" customFormat="false" ht="15.75" hidden="false" customHeight="false" outlineLevel="0" collapsed="false">
      <c r="A264" s="1" t="s">
        <v>820</v>
      </c>
      <c r="C264" s="5" t="n">
        <v>42423</v>
      </c>
      <c r="D264" s="1" t="s">
        <v>780</v>
      </c>
      <c r="E264" s="6" t="s">
        <v>821</v>
      </c>
      <c r="G264" s="1" t="s">
        <v>38</v>
      </c>
      <c r="H264" s="1"/>
      <c r="I264" s="1"/>
      <c r="J264" s="1" t="s">
        <v>822</v>
      </c>
      <c r="M264" s="1" t="s">
        <v>42</v>
      </c>
      <c r="N264" s="4" t="n">
        <v>42380</v>
      </c>
      <c r="O264" s="4"/>
      <c r="P264" s="1" t="s">
        <v>823</v>
      </c>
      <c r="Q264" s="1" t="s">
        <v>35</v>
      </c>
      <c r="R264" s="1" t="str">
        <f aca="false">VLOOKUP(P264,[1]Categorizations!A$1:C$1048576,2,FALSE())</f>
        <v>Pesticides</v>
      </c>
      <c r="S264" s="1" t="str">
        <f aca="false">VLOOKUP(P264,[1]Categorizations!A$1:C$1048576,3,FALSE())</f>
        <v>Pesticides</v>
      </c>
    </row>
    <row r="265" customFormat="false" ht="15.75" hidden="false" customHeight="false" outlineLevel="0" collapsed="false">
      <c r="A265" s="1" t="s">
        <v>824</v>
      </c>
      <c r="C265" s="5" t="n">
        <v>42424</v>
      </c>
      <c r="D265" s="1" t="s">
        <v>780</v>
      </c>
      <c r="E265" s="6" t="s">
        <v>825</v>
      </c>
      <c r="G265" s="1" t="s">
        <v>38</v>
      </c>
      <c r="H265" s="1"/>
      <c r="I265" s="1"/>
      <c r="J265" s="1" t="s">
        <v>826</v>
      </c>
      <c r="M265" s="1" t="s">
        <v>42</v>
      </c>
      <c r="N265" s="4" t="n">
        <v>42367</v>
      </c>
      <c r="O265" s="4"/>
      <c r="P265" s="1" t="s">
        <v>827</v>
      </c>
      <c r="Q265" s="1" t="s">
        <v>35</v>
      </c>
      <c r="R265" s="1" t="str">
        <f aca="false">VLOOKUP(P265,[1]Categorizations!A$1:C$1048576,2,FALSE())</f>
        <v>Pesticides</v>
      </c>
      <c r="S265" s="1" t="str">
        <f aca="false">VLOOKUP(P265,[1]Categorizations!A$1:C$1048576,3,FALSE())</f>
        <v>Pesticides</v>
      </c>
    </row>
    <row r="266" customFormat="false" ht="15.75" hidden="false" customHeight="false" outlineLevel="0" collapsed="false">
      <c r="A266" s="1" t="s">
        <v>828</v>
      </c>
      <c r="C266" s="5" t="n">
        <v>42425</v>
      </c>
      <c r="D266" s="1" t="s">
        <v>780</v>
      </c>
      <c r="E266" s="6" t="s">
        <v>829</v>
      </c>
      <c r="G266" s="1" t="s">
        <v>38</v>
      </c>
      <c r="H266" s="1"/>
      <c r="I266" s="1"/>
      <c r="J266" s="1" t="s">
        <v>830</v>
      </c>
      <c r="M266" s="1" t="s">
        <v>42</v>
      </c>
      <c r="N266" s="4" t="n">
        <v>42373</v>
      </c>
      <c r="O266" s="4"/>
      <c r="P266" s="1" t="s">
        <v>831</v>
      </c>
      <c r="Q266" s="1" t="s">
        <v>35</v>
      </c>
      <c r="R266" s="1" t="str">
        <f aca="false">VLOOKUP(P266,[1]Categorizations!A$1:C$1048576,2,FALSE())</f>
        <v>Pesticides</v>
      </c>
      <c r="S266" s="1" t="str">
        <f aca="false">VLOOKUP(P266,[1]Categorizations!A$1:C$1048576,3,FALSE())</f>
        <v>Pesticides</v>
      </c>
    </row>
    <row r="267" customFormat="false" ht="15.75" hidden="false" customHeight="false" outlineLevel="0" collapsed="false">
      <c r="A267" s="1" t="s">
        <v>832</v>
      </c>
      <c r="C267" s="5" t="n">
        <v>42436</v>
      </c>
      <c r="D267" s="1" t="s">
        <v>780</v>
      </c>
      <c r="E267" s="6" t="s">
        <v>833</v>
      </c>
      <c r="G267" s="1" t="s">
        <v>38</v>
      </c>
      <c r="H267" s="1"/>
      <c r="I267" s="1"/>
      <c r="J267" s="1" t="s">
        <v>834</v>
      </c>
      <c r="M267" s="1" t="s">
        <v>26</v>
      </c>
      <c r="N267" s="4"/>
      <c r="O267" s="4"/>
      <c r="P267" s="1" t="s">
        <v>835</v>
      </c>
      <c r="Q267" s="1" t="s">
        <v>35</v>
      </c>
      <c r="R267" s="1" t="str">
        <f aca="false">VLOOKUP(P267,[1]Categorizations!A$1:C$1048576,2,FALSE())</f>
        <v>Pesticides</v>
      </c>
      <c r="S267" s="1" t="str">
        <f aca="false">VLOOKUP(P267,[1]Categorizations!A$1:C$1048576,3,FALSE())</f>
        <v>Pesticides</v>
      </c>
    </row>
    <row r="268" customFormat="false" ht="15.75" hidden="false" customHeight="false" outlineLevel="0" collapsed="false">
      <c r="A268" s="1" t="s">
        <v>836</v>
      </c>
      <c r="C268" s="5" t="n">
        <v>42438</v>
      </c>
      <c r="D268" s="1" t="s">
        <v>780</v>
      </c>
      <c r="E268" s="6" t="s">
        <v>837</v>
      </c>
      <c r="G268" s="1" t="s">
        <v>38</v>
      </c>
      <c r="H268" s="1"/>
      <c r="I268" s="1"/>
      <c r="J268" s="1" t="s">
        <v>838</v>
      </c>
      <c r="M268" s="1" t="s">
        <v>42</v>
      </c>
      <c r="N268" s="4" t="n">
        <v>42403</v>
      </c>
      <c r="O268" s="4"/>
      <c r="P268" s="1" t="s">
        <v>805</v>
      </c>
      <c r="Q268" s="1" t="s">
        <v>35</v>
      </c>
      <c r="R268" s="1" t="str">
        <f aca="false">VLOOKUP(P268,[1]Categorizations!A$1:C$1048576,2,FALSE())</f>
        <v>Pesticides</v>
      </c>
      <c r="S268" s="1" t="str">
        <f aca="false">VLOOKUP(P268,[1]Categorizations!A$1:C$1048576,3,FALSE())</f>
        <v>Pesticides</v>
      </c>
    </row>
    <row r="269" customFormat="false" ht="15.75" hidden="false" customHeight="false" outlineLevel="0" collapsed="false">
      <c r="A269" s="1" t="s">
        <v>839</v>
      </c>
      <c r="C269" s="5" t="n">
        <v>42439</v>
      </c>
      <c r="D269" s="1" t="s">
        <v>780</v>
      </c>
      <c r="E269" s="6" t="s">
        <v>840</v>
      </c>
      <c r="G269" s="1" t="s">
        <v>38</v>
      </c>
      <c r="H269" s="1"/>
      <c r="I269" s="1"/>
      <c r="J269" s="1" t="s">
        <v>841</v>
      </c>
      <c r="M269" s="1" t="s">
        <v>42</v>
      </c>
      <c r="N269" s="4" t="n">
        <v>42380</v>
      </c>
      <c r="O269" s="4"/>
      <c r="P269" s="1" t="s">
        <v>842</v>
      </c>
      <c r="Q269" s="1" t="s">
        <v>35</v>
      </c>
      <c r="R269" s="1" t="str">
        <f aca="false">VLOOKUP(P269,[1]Categorizations!A$1:C$1048576,2,FALSE())</f>
        <v>Pesticides</v>
      </c>
      <c r="S269" s="1" t="str">
        <f aca="false">VLOOKUP(P269,[1]Categorizations!A$1:C$1048576,3,FALSE())</f>
        <v>Pesticides</v>
      </c>
    </row>
    <row r="270" customFormat="false" ht="15.75" hidden="false" customHeight="false" outlineLevel="0" collapsed="false">
      <c r="A270" s="1" t="s">
        <v>843</v>
      </c>
      <c r="C270" s="5" t="n">
        <v>42439</v>
      </c>
      <c r="D270" s="1" t="s">
        <v>780</v>
      </c>
      <c r="E270" s="6" t="s">
        <v>844</v>
      </c>
      <c r="G270" s="1" t="s">
        <v>38</v>
      </c>
      <c r="H270" s="1"/>
      <c r="I270" s="1"/>
      <c r="J270" s="1" t="s">
        <v>845</v>
      </c>
      <c r="M270" s="1" t="s">
        <v>26</v>
      </c>
      <c r="N270" s="4"/>
      <c r="O270" s="4"/>
      <c r="P270" s="1" t="s">
        <v>846</v>
      </c>
      <c r="Q270" s="1" t="s">
        <v>35</v>
      </c>
      <c r="R270" s="1" t="str">
        <f aca="false">VLOOKUP(P270,[1]Categorizations!A$1:C$1048576,2,FALSE())</f>
        <v>Pesticides</v>
      </c>
      <c r="S270" s="1" t="str">
        <f aca="false">VLOOKUP(P270,[1]Categorizations!A$1:C$1048576,3,FALSE())</f>
        <v>Pesticides</v>
      </c>
    </row>
    <row r="271" customFormat="false" ht="15.75" hidden="false" customHeight="false" outlineLevel="0" collapsed="false">
      <c r="A271" s="1" t="s">
        <v>847</v>
      </c>
      <c r="C271" s="5" t="n">
        <v>42443</v>
      </c>
      <c r="D271" s="1" t="s">
        <v>780</v>
      </c>
      <c r="E271" s="6" t="s">
        <v>848</v>
      </c>
      <c r="G271" s="1" t="s">
        <v>38</v>
      </c>
      <c r="H271" s="1"/>
      <c r="I271" s="1"/>
      <c r="J271" s="1" t="s">
        <v>849</v>
      </c>
      <c r="M271" s="1" t="s">
        <v>42</v>
      </c>
      <c r="N271" s="4" t="n">
        <v>42405</v>
      </c>
      <c r="O271" s="4"/>
      <c r="P271" s="1" t="s">
        <v>816</v>
      </c>
      <c r="Q271" s="1" t="s">
        <v>35</v>
      </c>
      <c r="R271" s="1" t="str">
        <f aca="false">VLOOKUP(P271,[1]Categorizations!A$1:C$1048576,2,FALSE())</f>
        <v>Pesticides</v>
      </c>
      <c r="S271" s="1" t="str">
        <f aca="false">VLOOKUP(P271,[1]Categorizations!A$1:C$1048576,3,FALSE())</f>
        <v>Pesticides</v>
      </c>
    </row>
    <row r="272" customFormat="false" ht="15.75" hidden="false" customHeight="false" outlineLevel="0" collapsed="false">
      <c r="A272" s="1" t="s">
        <v>850</v>
      </c>
      <c r="C272" s="5" t="n">
        <v>42443</v>
      </c>
      <c r="D272" s="1" t="s">
        <v>780</v>
      </c>
      <c r="E272" s="6" t="s">
        <v>851</v>
      </c>
      <c r="G272" s="1" t="s">
        <v>38</v>
      </c>
      <c r="H272" s="1"/>
      <c r="I272" s="1"/>
      <c r="J272" s="1" t="s">
        <v>852</v>
      </c>
      <c r="M272" s="1" t="s">
        <v>42</v>
      </c>
      <c r="N272" s="4" t="n">
        <v>42380</v>
      </c>
      <c r="O272" s="4"/>
      <c r="P272" s="1" t="s">
        <v>816</v>
      </c>
      <c r="Q272" s="1" t="s">
        <v>35</v>
      </c>
      <c r="R272" s="1" t="str">
        <f aca="false">VLOOKUP(P272,[1]Categorizations!A$1:C$1048576,2,FALSE())</f>
        <v>Pesticides</v>
      </c>
      <c r="S272" s="1" t="str">
        <f aca="false">VLOOKUP(P272,[1]Categorizations!A$1:C$1048576,3,FALSE())</f>
        <v>Pesticides</v>
      </c>
    </row>
    <row r="273" customFormat="false" ht="15.75" hidden="false" customHeight="false" outlineLevel="0" collapsed="false">
      <c r="A273" s="1" t="s">
        <v>853</v>
      </c>
      <c r="C273" s="5" t="n">
        <v>42446</v>
      </c>
      <c r="D273" s="1" t="s">
        <v>780</v>
      </c>
      <c r="E273" s="6" t="s">
        <v>854</v>
      </c>
      <c r="G273" s="1" t="s">
        <v>38</v>
      </c>
      <c r="H273" s="1"/>
      <c r="I273" s="1"/>
      <c r="J273" s="1" t="s">
        <v>855</v>
      </c>
      <c r="M273" s="1" t="s">
        <v>42</v>
      </c>
      <c r="N273" s="4" t="n">
        <v>41733</v>
      </c>
      <c r="O273" s="4"/>
      <c r="P273" s="1" t="s">
        <v>801</v>
      </c>
      <c r="Q273" s="1" t="s">
        <v>35</v>
      </c>
      <c r="R273" s="1" t="str">
        <f aca="false">VLOOKUP(P273,[1]Categorizations!A$1:C$1048576,2,FALSE())</f>
        <v>Pesticides</v>
      </c>
      <c r="S273" s="1" t="str">
        <f aca="false">VLOOKUP(P273,[1]Categorizations!A$1:C$1048576,3,FALSE())</f>
        <v>Pesticides</v>
      </c>
    </row>
    <row r="274" customFormat="false" ht="15.75" hidden="false" customHeight="false" outlineLevel="0" collapsed="false">
      <c r="A274" s="1" t="s">
        <v>856</v>
      </c>
      <c r="C274" s="5" t="n">
        <v>42450</v>
      </c>
      <c r="D274" s="1" t="s">
        <v>780</v>
      </c>
      <c r="E274" s="6" t="s">
        <v>857</v>
      </c>
      <c r="G274" s="1" t="s">
        <v>38</v>
      </c>
      <c r="H274" s="1"/>
      <c r="I274" s="1"/>
      <c r="J274" s="1" t="s">
        <v>858</v>
      </c>
      <c r="M274" s="1" t="s">
        <v>26</v>
      </c>
      <c r="N274" s="4"/>
      <c r="O274" s="4"/>
      <c r="P274" s="1" t="s">
        <v>801</v>
      </c>
      <c r="Q274" s="1" t="s">
        <v>35</v>
      </c>
      <c r="R274" s="1" t="str">
        <f aca="false">VLOOKUP(P274,[1]Categorizations!A$1:C$1048576,2,FALSE())</f>
        <v>Pesticides</v>
      </c>
      <c r="S274" s="1" t="str">
        <f aca="false">VLOOKUP(P274,[1]Categorizations!A$1:C$1048576,3,FALSE())</f>
        <v>Pesticides</v>
      </c>
    </row>
    <row r="275" customFormat="false" ht="15.75" hidden="false" customHeight="false" outlineLevel="0" collapsed="false">
      <c r="A275" s="1" t="s">
        <v>859</v>
      </c>
      <c r="C275" s="5" t="n">
        <v>42452</v>
      </c>
      <c r="D275" s="1" t="s">
        <v>780</v>
      </c>
      <c r="E275" s="6" t="s">
        <v>860</v>
      </c>
      <c r="G275" s="1" t="s">
        <v>38</v>
      </c>
      <c r="H275" s="1"/>
      <c r="I275" s="1"/>
      <c r="J275" s="1" t="s">
        <v>861</v>
      </c>
      <c r="M275" s="1" t="s">
        <v>26</v>
      </c>
      <c r="N275" s="4"/>
      <c r="O275" s="4"/>
      <c r="P275" s="1" t="s">
        <v>823</v>
      </c>
      <c r="Q275" s="1" t="s">
        <v>35</v>
      </c>
      <c r="R275" s="1" t="str">
        <f aca="false">VLOOKUP(P275,[1]Categorizations!A$1:C$1048576,2,FALSE())</f>
        <v>Pesticides</v>
      </c>
      <c r="S275" s="1" t="str">
        <f aca="false">VLOOKUP(P275,[1]Categorizations!A$1:C$1048576,3,FALSE())</f>
        <v>Pesticides</v>
      </c>
    </row>
    <row r="276" customFormat="false" ht="15.75" hidden="false" customHeight="false" outlineLevel="0" collapsed="false">
      <c r="A276" s="1" t="s">
        <v>862</v>
      </c>
      <c r="C276" s="5" t="n">
        <v>42461</v>
      </c>
      <c r="D276" s="1" t="s">
        <v>780</v>
      </c>
      <c r="E276" s="6" t="s">
        <v>863</v>
      </c>
      <c r="G276" s="1" t="s">
        <v>38</v>
      </c>
      <c r="H276" s="1"/>
      <c r="I276" s="1"/>
      <c r="J276" s="1" t="s">
        <v>864</v>
      </c>
      <c r="M276" s="1" t="s">
        <v>26</v>
      </c>
      <c r="N276" s="4"/>
      <c r="O276" s="4"/>
      <c r="P276" s="1" t="s">
        <v>846</v>
      </c>
      <c r="Q276" s="1" t="s">
        <v>35</v>
      </c>
      <c r="R276" s="1" t="str">
        <f aca="false">VLOOKUP(P276,[1]Categorizations!A$1:C$1048576,2,FALSE())</f>
        <v>Pesticides</v>
      </c>
      <c r="S276" s="1" t="str">
        <f aca="false">VLOOKUP(P276,[1]Categorizations!A$1:C$1048576,3,FALSE())</f>
        <v>Pesticides</v>
      </c>
    </row>
    <row r="277" customFormat="false" ht="15.75" hidden="false" customHeight="false" outlineLevel="0" collapsed="false">
      <c r="A277" s="1" t="s">
        <v>865</v>
      </c>
      <c r="C277" s="5" t="n">
        <v>42461</v>
      </c>
      <c r="D277" s="1" t="s">
        <v>780</v>
      </c>
      <c r="E277" s="6" t="s">
        <v>866</v>
      </c>
      <c r="G277" s="1" t="s">
        <v>38</v>
      </c>
      <c r="H277" s="1"/>
      <c r="I277" s="1"/>
      <c r="J277" s="1" t="s">
        <v>867</v>
      </c>
      <c r="M277" s="1" t="s">
        <v>42</v>
      </c>
      <c r="N277" s="4" t="n">
        <v>42353</v>
      </c>
      <c r="O277" s="4"/>
      <c r="P277" s="1" t="s">
        <v>816</v>
      </c>
      <c r="Q277" s="1" t="s">
        <v>35</v>
      </c>
      <c r="R277" s="1" t="str">
        <f aca="false">VLOOKUP(P277,[1]Categorizations!A$1:C$1048576,2,FALSE())</f>
        <v>Pesticides</v>
      </c>
      <c r="S277" s="1" t="str">
        <f aca="false">VLOOKUP(P277,[1]Categorizations!A$1:C$1048576,3,FALSE())</f>
        <v>Pesticides</v>
      </c>
    </row>
    <row r="278" customFormat="false" ht="15.75" hidden="false" customHeight="false" outlineLevel="0" collapsed="false">
      <c r="A278" s="1" t="s">
        <v>868</v>
      </c>
      <c r="C278" s="5" t="n">
        <v>42465</v>
      </c>
      <c r="D278" s="1" t="s">
        <v>780</v>
      </c>
      <c r="E278" s="6" t="s">
        <v>869</v>
      </c>
      <c r="G278" s="1" t="s">
        <v>38</v>
      </c>
      <c r="H278" s="1"/>
      <c r="I278" s="1"/>
      <c r="J278" s="1" t="s">
        <v>870</v>
      </c>
      <c r="M278" s="1" t="s">
        <v>42</v>
      </c>
      <c r="N278" s="4" t="n">
        <v>42415</v>
      </c>
      <c r="O278" s="4"/>
      <c r="P278" s="1" t="s">
        <v>816</v>
      </c>
      <c r="Q278" s="1" t="s">
        <v>35</v>
      </c>
      <c r="R278" s="1" t="str">
        <f aca="false">VLOOKUP(P278,[1]Categorizations!A$1:C$1048576,2,FALSE())</f>
        <v>Pesticides</v>
      </c>
      <c r="S278" s="1" t="str">
        <f aca="false">VLOOKUP(P278,[1]Categorizations!A$1:C$1048576,3,FALSE())</f>
        <v>Pesticides</v>
      </c>
    </row>
    <row r="279" customFormat="false" ht="15.75" hidden="false" customHeight="false" outlineLevel="0" collapsed="false">
      <c r="A279" s="1" t="s">
        <v>871</v>
      </c>
      <c r="C279" s="5" t="n">
        <v>42467</v>
      </c>
      <c r="D279" s="1" t="s">
        <v>780</v>
      </c>
      <c r="E279" s="6" t="s">
        <v>872</v>
      </c>
      <c r="G279" s="1" t="s">
        <v>38</v>
      </c>
      <c r="H279" s="1"/>
      <c r="I279" s="1"/>
      <c r="J279" s="1" t="s">
        <v>873</v>
      </c>
      <c r="M279" s="1" t="s">
        <v>42</v>
      </c>
      <c r="N279" s="4" t="n">
        <v>42320</v>
      </c>
      <c r="O279" s="4"/>
      <c r="P279" s="1" t="s">
        <v>874</v>
      </c>
      <c r="Q279" s="1" t="s">
        <v>35</v>
      </c>
      <c r="R279" s="1" t="str">
        <f aca="false">VLOOKUP(P279,[1]Categorizations!A$1:C$1048576,2,FALSE())</f>
        <v>Pesticides</v>
      </c>
      <c r="S279" s="1" t="str">
        <f aca="false">VLOOKUP(P279,[1]Categorizations!A$1:C$1048576,3,FALSE())</f>
        <v>Pesticides</v>
      </c>
    </row>
    <row r="280" customFormat="false" ht="15.75" hidden="false" customHeight="false" outlineLevel="0" collapsed="false">
      <c r="A280" s="1" t="s">
        <v>875</v>
      </c>
      <c r="C280" s="5" t="n">
        <v>42467</v>
      </c>
      <c r="D280" s="1" t="s">
        <v>780</v>
      </c>
      <c r="E280" s="6" t="s">
        <v>876</v>
      </c>
      <c r="G280" s="1" t="s">
        <v>38</v>
      </c>
      <c r="H280" s="1"/>
      <c r="I280" s="1"/>
      <c r="J280" s="1" t="s">
        <v>877</v>
      </c>
      <c r="M280" s="1" t="s">
        <v>42</v>
      </c>
      <c r="N280" s="4" t="n">
        <v>42041</v>
      </c>
      <c r="O280" s="4"/>
      <c r="P280" s="1" t="s">
        <v>878</v>
      </c>
      <c r="Q280" s="1" t="s">
        <v>35</v>
      </c>
      <c r="R280" s="1" t="str">
        <f aca="false">VLOOKUP(P280,[1]Categorizations!A$1:C$1048576,2,FALSE())</f>
        <v>Pesticides</v>
      </c>
      <c r="S280" s="1" t="str">
        <f aca="false">VLOOKUP(P280,[1]Categorizations!A$1:C$1048576,3,FALSE())</f>
        <v>Pesticides</v>
      </c>
    </row>
    <row r="281" customFormat="false" ht="15.75" hidden="false" customHeight="false" outlineLevel="0" collapsed="false">
      <c r="A281" s="1" t="s">
        <v>879</v>
      </c>
      <c r="C281" s="5" t="n">
        <v>42481</v>
      </c>
      <c r="D281" s="1" t="s">
        <v>780</v>
      </c>
      <c r="E281" s="6" t="s">
        <v>880</v>
      </c>
      <c r="G281" s="1" t="s">
        <v>38</v>
      </c>
      <c r="H281" s="1"/>
      <c r="I281" s="1"/>
      <c r="J281" s="1" t="s">
        <v>881</v>
      </c>
      <c r="M281" s="1" t="s">
        <v>26</v>
      </c>
      <c r="N281" s="4"/>
      <c r="O281" s="4"/>
      <c r="P281" s="1" t="s">
        <v>816</v>
      </c>
      <c r="Q281" s="1" t="s">
        <v>35</v>
      </c>
      <c r="R281" s="1" t="str">
        <f aca="false">VLOOKUP(P281,[1]Categorizations!A$1:C$1048576,2,FALSE())</f>
        <v>Pesticides</v>
      </c>
      <c r="S281" s="1" t="str">
        <f aca="false">VLOOKUP(P281,[1]Categorizations!A$1:C$1048576,3,FALSE())</f>
        <v>Pesticides</v>
      </c>
    </row>
    <row r="282" customFormat="false" ht="15.75" hidden="false" customHeight="false" outlineLevel="0" collapsed="false">
      <c r="A282" s="1" t="s">
        <v>882</v>
      </c>
      <c r="C282" s="5" t="n">
        <v>42482</v>
      </c>
      <c r="D282" s="1" t="s">
        <v>780</v>
      </c>
      <c r="E282" s="6" t="s">
        <v>883</v>
      </c>
      <c r="G282" s="1" t="s">
        <v>38</v>
      </c>
      <c r="H282" s="1"/>
      <c r="J282" s="1" t="s">
        <v>884</v>
      </c>
      <c r="M282" s="1" t="s">
        <v>42</v>
      </c>
      <c r="N282" s="4" t="n">
        <v>42430</v>
      </c>
      <c r="O282" s="4"/>
      <c r="P282" s="1" t="s">
        <v>846</v>
      </c>
      <c r="Q282" s="1" t="s">
        <v>35</v>
      </c>
      <c r="R282" s="1" t="str">
        <f aca="false">VLOOKUP(P282,[1]Categorizations!A$1:C$1048576,2,FALSE())</f>
        <v>Pesticides</v>
      </c>
      <c r="S282" s="1" t="str">
        <f aca="false">VLOOKUP(P282,[1]Categorizations!A$1:C$1048576,3,FALSE())</f>
        <v>Pesticides</v>
      </c>
    </row>
    <row r="283" customFormat="false" ht="15.75" hidden="false" customHeight="false" outlineLevel="0" collapsed="false">
      <c r="A283" s="1" t="s">
        <v>885</v>
      </c>
      <c r="C283" s="5" t="n">
        <v>42486</v>
      </c>
      <c r="D283" s="1" t="s">
        <v>780</v>
      </c>
      <c r="E283" s="6" t="s">
        <v>886</v>
      </c>
      <c r="G283" s="1" t="s">
        <v>38</v>
      </c>
      <c r="H283" s="1"/>
      <c r="J283" s="1" t="s">
        <v>887</v>
      </c>
      <c r="M283" s="1" t="s">
        <v>42</v>
      </c>
      <c r="N283" s="4" t="n">
        <v>42404</v>
      </c>
      <c r="O283" s="4"/>
      <c r="P283" s="1" t="s">
        <v>846</v>
      </c>
      <c r="Q283" s="1" t="s">
        <v>35</v>
      </c>
      <c r="R283" s="1" t="str">
        <f aca="false">VLOOKUP(P283,[1]Categorizations!A$1:C$1048576,2,FALSE())</f>
        <v>Pesticides</v>
      </c>
      <c r="S283" s="1" t="str">
        <f aca="false">VLOOKUP(P283,[1]Categorizations!A$1:C$1048576,3,FALSE())</f>
        <v>Pesticides</v>
      </c>
    </row>
    <row r="284" customFormat="false" ht="15.75" hidden="false" customHeight="false" outlineLevel="0" collapsed="false">
      <c r="A284" s="1" t="s">
        <v>888</v>
      </c>
      <c r="C284" s="5" t="n">
        <v>42513</v>
      </c>
      <c r="D284" s="1" t="s">
        <v>780</v>
      </c>
      <c r="E284" s="6" t="s">
        <v>889</v>
      </c>
      <c r="G284" s="1" t="s">
        <v>38</v>
      </c>
      <c r="H284" s="1"/>
      <c r="J284" s="1" t="s">
        <v>890</v>
      </c>
      <c r="M284" s="1" t="s">
        <v>42</v>
      </c>
      <c r="N284" s="4" t="n">
        <v>42164</v>
      </c>
      <c r="O284" s="4"/>
      <c r="P284" s="1" t="s">
        <v>891</v>
      </c>
      <c r="Q284" s="1" t="s">
        <v>35</v>
      </c>
      <c r="R284" s="1" t="str">
        <f aca="false">VLOOKUP(P284,[1]Categorizations!A$1:C$1048576,2,FALSE())</f>
        <v>Pesticides</v>
      </c>
      <c r="S284" s="1" t="str">
        <f aca="false">VLOOKUP(P284,[1]Categorizations!A$1:C$1048576,3,FALSE())</f>
        <v>Pesticides</v>
      </c>
    </row>
    <row r="285" customFormat="false" ht="15.75" hidden="false" customHeight="false" outlineLevel="0" collapsed="false">
      <c r="A285" s="1" t="s">
        <v>892</v>
      </c>
      <c r="C285" s="5" t="n">
        <v>42513</v>
      </c>
      <c r="D285" s="1" t="s">
        <v>780</v>
      </c>
      <c r="E285" s="6" t="s">
        <v>893</v>
      </c>
      <c r="G285" s="1" t="s">
        <v>38</v>
      </c>
      <c r="H285" s="1"/>
      <c r="J285" s="1" t="s">
        <v>894</v>
      </c>
      <c r="M285" s="1" t="s">
        <v>42</v>
      </c>
      <c r="N285" s="4" t="n">
        <v>42495</v>
      </c>
      <c r="O285" s="4"/>
      <c r="P285" s="1" t="s">
        <v>895</v>
      </c>
      <c r="Q285" s="1" t="s">
        <v>35</v>
      </c>
      <c r="R285" s="1" t="str">
        <f aca="false">VLOOKUP(P285,[1]Categorizations!A$1:C$1048576,2,FALSE())</f>
        <v>Pesticides</v>
      </c>
      <c r="S285" s="1" t="str">
        <f aca="false">VLOOKUP(P285,[1]Categorizations!A$1:C$1048576,3,FALSE())</f>
        <v>Pesticides</v>
      </c>
    </row>
    <row r="286" customFormat="false" ht="15.75" hidden="false" customHeight="false" outlineLevel="0" collapsed="false">
      <c r="A286" s="1" t="s">
        <v>896</v>
      </c>
      <c r="C286" s="5" t="n">
        <v>42620</v>
      </c>
      <c r="D286" s="1" t="s">
        <v>780</v>
      </c>
      <c r="E286" s="6" t="s">
        <v>897</v>
      </c>
      <c r="G286" s="1" t="s">
        <v>38</v>
      </c>
      <c r="H286" s="1"/>
      <c r="J286" s="1" t="s">
        <v>898</v>
      </c>
      <c r="M286" s="1" t="s">
        <v>26</v>
      </c>
      <c r="N286" s="4"/>
      <c r="O286" s="4"/>
      <c r="P286" s="1" t="s">
        <v>816</v>
      </c>
      <c r="Q286" s="1" t="s">
        <v>35</v>
      </c>
      <c r="R286" s="1" t="str">
        <f aca="false">VLOOKUP(P286,[1]Categorizations!A$1:C$1048576,2,FALSE())</f>
        <v>Pesticides</v>
      </c>
      <c r="S286" s="1" t="str">
        <f aca="false">VLOOKUP(P286,[1]Categorizations!A$1:C$1048576,3,FALSE())</f>
        <v>Pesticides</v>
      </c>
    </row>
    <row r="287" customFormat="false" ht="15.75" hidden="false" customHeight="false" outlineLevel="0" collapsed="false">
      <c r="A287" s="1" t="s">
        <v>899</v>
      </c>
      <c r="C287" s="5" t="n">
        <v>42620</v>
      </c>
      <c r="D287" s="1" t="s">
        <v>780</v>
      </c>
      <c r="E287" s="6" t="s">
        <v>900</v>
      </c>
      <c r="G287" s="1" t="s">
        <v>38</v>
      </c>
      <c r="H287" s="1"/>
      <c r="J287" s="1" t="s">
        <v>901</v>
      </c>
      <c r="M287" s="1" t="s">
        <v>42</v>
      </c>
      <c r="N287" s="4" t="n">
        <v>42542</v>
      </c>
      <c r="O287" s="4"/>
      <c r="P287" s="1" t="s">
        <v>902</v>
      </c>
      <c r="Q287" s="1" t="s">
        <v>35</v>
      </c>
      <c r="R287" s="1" t="str">
        <f aca="false">VLOOKUP(P287,[1]Categorizations!A$1:C$1048576,2,FALSE())</f>
        <v>Pesticides</v>
      </c>
      <c r="S287" s="1" t="str">
        <f aca="false">VLOOKUP(P287,[1]Categorizations!A$1:C$1048576,3,FALSE())</f>
        <v>Pesticides</v>
      </c>
    </row>
    <row r="288" customFormat="false" ht="15.75" hidden="false" customHeight="false" outlineLevel="0" collapsed="false">
      <c r="A288" s="1" t="s">
        <v>903</v>
      </c>
      <c r="C288" s="5" t="n">
        <v>42626</v>
      </c>
      <c r="D288" s="1" t="s">
        <v>780</v>
      </c>
      <c r="E288" s="6" t="s">
        <v>904</v>
      </c>
      <c r="G288" s="1" t="s">
        <v>38</v>
      </c>
      <c r="H288" s="1"/>
      <c r="J288" s="1" t="s">
        <v>905</v>
      </c>
      <c r="M288" s="1" t="s">
        <v>42</v>
      </c>
      <c r="N288" s="4" t="n">
        <v>42580</v>
      </c>
      <c r="O288" s="4"/>
      <c r="P288" s="1" t="s">
        <v>906</v>
      </c>
      <c r="Q288" s="1" t="s">
        <v>35</v>
      </c>
      <c r="R288" s="1" t="str">
        <f aca="false">VLOOKUP(P288,[1]Categorizations!A$1:C$1048576,2,FALSE())</f>
        <v>Pesticides</v>
      </c>
      <c r="S288" s="1" t="str">
        <f aca="false">VLOOKUP(P288,[1]Categorizations!A$1:C$1048576,3,FALSE())</f>
        <v>Pesticides</v>
      </c>
    </row>
    <row r="289" customFormat="false" ht="15.75" hidden="false" customHeight="false" outlineLevel="0" collapsed="false">
      <c r="A289" s="1" t="s">
        <v>907</v>
      </c>
      <c r="C289" s="5" t="n">
        <v>42626</v>
      </c>
      <c r="D289" s="1" t="s">
        <v>780</v>
      </c>
      <c r="E289" s="6" t="s">
        <v>908</v>
      </c>
      <c r="G289" s="1" t="s">
        <v>38</v>
      </c>
      <c r="H289" s="1"/>
      <c r="J289" s="1" t="s">
        <v>909</v>
      </c>
      <c r="M289" s="1" t="s">
        <v>42</v>
      </c>
      <c r="N289" s="4" t="n">
        <v>42494</v>
      </c>
      <c r="O289" s="4"/>
      <c r="P289" s="1" t="s">
        <v>816</v>
      </c>
      <c r="Q289" s="1" t="s">
        <v>35</v>
      </c>
      <c r="R289" s="1" t="str">
        <f aca="false">VLOOKUP(P289,[1]Categorizations!A$1:C$1048576,2,FALSE())</f>
        <v>Pesticides</v>
      </c>
      <c r="S289" s="1" t="str">
        <f aca="false">VLOOKUP(P289,[1]Categorizations!A$1:C$1048576,3,FALSE())</f>
        <v>Pesticides</v>
      </c>
    </row>
    <row r="290" customFormat="false" ht="15.75" hidden="false" customHeight="false" outlineLevel="0" collapsed="false">
      <c r="A290" s="1" t="s">
        <v>910</v>
      </c>
      <c r="C290" s="5" t="n">
        <v>42636</v>
      </c>
      <c r="D290" s="1" t="s">
        <v>780</v>
      </c>
      <c r="E290" s="6" t="s">
        <v>911</v>
      </c>
      <c r="G290" s="1" t="s">
        <v>38</v>
      </c>
      <c r="H290" s="1"/>
      <c r="J290" s="1" t="s">
        <v>912</v>
      </c>
      <c r="M290" s="1" t="s">
        <v>42</v>
      </c>
      <c r="N290" s="4" t="n">
        <v>42630</v>
      </c>
      <c r="O290" s="4"/>
      <c r="P290" s="1" t="s">
        <v>816</v>
      </c>
      <c r="Q290" s="1" t="s">
        <v>35</v>
      </c>
      <c r="R290" s="1" t="str">
        <f aca="false">VLOOKUP(P290,[1]Categorizations!A$1:C$1048576,2,FALSE())</f>
        <v>Pesticides</v>
      </c>
      <c r="S290" s="1" t="str">
        <f aca="false">VLOOKUP(P290,[1]Categorizations!A$1:C$1048576,3,FALSE())</f>
        <v>Pesticides</v>
      </c>
    </row>
    <row r="291" customFormat="false" ht="15.75" hidden="false" customHeight="false" outlineLevel="0" collapsed="false">
      <c r="A291" s="1" t="s">
        <v>913</v>
      </c>
      <c r="C291" s="5" t="n">
        <v>42636</v>
      </c>
      <c r="D291" s="1" t="s">
        <v>780</v>
      </c>
      <c r="E291" s="6" t="s">
        <v>914</v>
      </c>
      <c r="G291" s="1" t="s">
        <v>38</v>
      </c>
      <c r="H291" s="1"/>
      <c r="J291" s="1" t="s">
        <v>915</v>
      </c>
      <c r="M291" s="1" t="s">
        <v>42</v>
      </c>
      <c r="N291" s="4" t="n">
        <v>42544</v>
      </c>
      <c r="O291" s="4"/>
      <c r="P291" s="1" t="s">
        <v>816</v>
      </c>
      <c r="Q291" s="1" t="s">
        <v>35</v>
      </c>
      <c r="R291" s="1" t="str">
        <f aca="false">VLOOKUP(P291,[1]Categorizations!A$1:C$1048576,2,FALSE())</f>
        <v>Pesticides</v>
      </c>
      <c r="S291" s="1" t="str">
        <f aca="false">VLOOKUP(P291,[1]Categorizations!A$1:C$1048576,3,FALSE())</f>
        <v>Pesticides</v>
      </c>
    </row>
    <row r="292" customFormat="false" ht="15.75" hidden="false" customHeight="false" outlineLevel="0" collapsed="false">
      <c r="A292" s="1" t="s">
        <v>916</v>
      </c>
      <c r="C292" s="5" t="n">
        <v>42662</v>
      </c>
      <c r="D292" s="1" t="s">
        <v>780</v>
      </c>
      <c r="E292" s="6" t="s">
        <v>917</v>
      </c>
      <c r="G292" s="1" t="s">
        <v>38</v>
      </c>
      <c r="H292" s="1"/>
      <c r="J292" s="1" t="s">
        <v>918</v>
      </c>
      <c r="M292" s="1" t="s">
        <v>42</v>
      </c>
      <c r="N292" s="4" t="n">
        <v>42585</v>
      </c>
      <c r="O292" s="4"/>
      <c r="P292" s="1" t="s">
        <v>816</v>
      </c>
      <c r="Q292" s="1" t="s">
        <v>35</v>
      </c>
      <c r="R292" s="1" t="str">
        <f aca="false">VLOOKUP(P292,[1]Categorizations!A$1:C$1048576,2,FALSE())</f>
        <v>Pesticides</v>
      </c>
      <c r="S292" s="1" t="str">
        <f aca="false">VLOOKUP(P292,[1]Categorizations!A$1:C$1048576,3,FALSE())</f>
        <v>Pesticides</v>
      </c>
    </row>
    <row r="293" customFormat="false" ht="15.75" hidden="false" customHeight="false" outlineLevel="0" collapsed="false">
      <c r="A293" s="1" t="s">
        <v>919</v>
      </c>
      <c r="C293" s="5" t="n">
        <v>42851</v>
      </c>
      <c r="D293" s="1" t="s">
        <v>780</v>
      </c>
      <c r="E293" s="6" t="s">
        <v>920</v>
      </c>
      <c r="G293" s="1" t="s">
        <v>38</v>
      </c>
      <c r="H293" s="1"/>
      <c r="I293" s="1"/>
      <c r="J293" s="1" t="s">
        <v>921</v>
      </c>
      <c r="M293" s="1" t="s">
        <v>42</v>
      </c>
      <c r="N293" s="4" t="n">
        <v>42837</v>
      </c>
      <c r="O293" s="4"/>
      <c r="P293" s="1" t="s">
        <v>922</v>
      </c>
      <c r="Q293" s="1" t="s">
        <v>35</v>
      </c>
      <c r="R293" s="1" t="str">
        <f aca="false">VLOOKUP(P293,[1]Categorizations!A$1:C$1048576,2,FALSE())</f>
        <v>Pesticides</v>
      </c>
      <c r="S293" s="1" t="str">
        <f aca="false">VLOOKUP(P293,[1]Categorizations!A$1:C$1048576,3,FALSE())</f>
        <v>Pesticides</v>
      </c>
    </row>
    <row r="294" customFormat="false" ht="15.75" hidden="false" customHeight="false" outlineLevel="0" collapsed="false">
      <c r="A294" s="1" t="s">
        <v>923</v>
      </c>
      <c r="C294" s="5" t="n">
        <v>42851</v>
      </c>
      <c r="D294" s="1" t="s">
        <v>780</v>
      </c>
      <c r="E294" s="6" t="s">
        <v>924</v>
      </c>
      <c r="G294" s="1" t="s">
        <v>38</v>
      </c>
      <c r="H294" s="1"/>
      <c r="I294" s="1"/>
      <c r="J294" s="1" t="s">
        <v>925</v>
      </c>
      <c r="M294" s="1" t="s">
        <v>42</v>
      </c>
      <c r="N294" s="4" t="n">
        <v>42837</v>
      </c>
      <c r="O294" s="4"/>
      <c r="P294" s="1" t="s">
        <v>922</v>
      </c>
      <c r="Q294" s="1" t="s">
        <v>35</v>
      </c>
      <c r="R294" s="1" t="str">
        <f aca="false">VLOOKUP(P294,[1]Categorizations!A$1:C$1048576,2,FALSE())</f>
        <v>Pesticides</v>
      </c>
      <c r="S294" s="1" t="str">
        <f aca="false">VLOOKUP(P294,[1]Categorizations!A$1:C$1048576,3,FALSE())</f>
        <v>Pesticides</v>
      </c>
    </row>
    <row r="295" customFormat="false" ht="15.75" hidden="false" customHeight="false" outlineLevel="0" collapsed="false">
      <c r="A295" s="1" t="s">
        <v>926</v>
      </c>
      <c r="C295" s="5" t="n">
        <v>42940</v>
      </c>
      <c r="D295" s="1" t="s">
        <v>780</v>
      </c>
      <c r="E295" s="6" t="s">
        <v>927</v>
      </c>
      <c r="G295" s="1" t="s">
        <v>38</v>
      </c>
      <c r="H295" s="1"/>
      <c r="I295" s="1"/>
      <c r="J295" s="1" t="s">
        <v>928</v>
      </c>
      <c r="M295" s="1" t="s">
        <v>42</v>
      </c>
      <c r="N295" s="4" t="n">
        <v>42919</v>
      </c>
      <c r="O295" s="4"/>
      <c r="P295" s="1" t="s">
        <v>929</v>
      </c>
      <c r="Q295" s="1" t="s">
        <v>35</v>
      </c>
      <c r="R295" s="1" t="str">
        <f aca="false">VLOOKUP(P295,[1]Categorizations!A$1:C$1048576,2,FALSE())</f>
        <v>Pesticides</v>
      </c>
      <c r="S295" s="1" t="str">
        <f aca="false">VLOOKUP(P295,[1]Categorizations!A$1:C$1048576,3,FALSE())</f>
        <v>Pesticides</v>
      </c>
    </row>
    <row r="296" customFormat="false" ht="15.75" hidden="false" customHeight="false" outlineLevel="0" collapsed="false">
      <c r="A296" s="1" t="s">
        <v>930</v>
      </c>
      <c r="C296" s="5" t="n">
        <v>42940</v>
      </c>
      <c r="D296" s="1" t="s">
        <v>780</v>
      </c>
      <c r="E296" s="6" t="s">
        <v>931</v>
      </c>
      <c r="G296" s="1" t="s">
        <v>38</v>
      </c>
      <c r="H296" s="1"/>
      <c r="I296" s="1"/>
      <c r="J296" s="1" t="s">
        <v>932</v>
      </c>
      <c r="M296" s="1" t="s">
        <v>42</v>
      </c>
      <c r="N296" s="4" t="n">
        <v>42920</v>
      </c>
      <c r="O296" s="4"/>
      <c r="P296" s="1" t="s">
        <v>929</v>
      </c>
      <c r="Q296" s="1" t="s">
        <v>35</v>
      </c>
      <c r="R296" s="1" t="str">
        <f aca="false">VLOOKUP(P296,[1]Categorizations!A$1:C$1048576,2,FALSE())</f>
        <v>Pesticides</v>
      </c>
      <c r="S296" s="1" t="str">
        <f aca="false">VLOOKUP(P296,[1]Categorizations!A$1:C$1048576,3,FALSE())</f>
        <v>Pesticides</v>
      </c>
    </row>
    <row r="297" customFormat="false" ht="15.75" hidden="false" customHeight="false" outlineLevel="0" collapsed="false">
      <c r="A297" s="1" t="s">
        <v>933</v>
      </c>
      <c r="C297" s="5" t="n">
        <v>43000</v>
      </c>
      <c r="D297" s="1" t="s">
        <v>780</v>
      </c>
      <c r="E297" s="6" t="s">
        <v>934</v>
      </c>
      <c r="G297" s="1" t="s">
        <v>38</v>
      </c>
      <c r="H297" s="1"/>
      <c r="I297" s="1"/>
      <c r="J297" s="1" t="s">
        <v>935</v>
      </c>
      <c r="M297" s="1" t="s">
        <v>42</v>
      </c>
      <c r="N297" s="4" t="n">
        <v>42989</v>
      </c>
      <c r="O297" s="4"/>
      <c r="P297" s="1" t="s">
        <v>846</v>
      </c>
      <c r="Q297" s="1" t="s">
        <v>35</v>
      </c>
      <c r="R297" s="1" t="str">
        <f aca="false">VLOOKUP(P297,[1]Categorizations!A$1:C$1048576,2,FALSE())</f>
        <v>Pesticides</v>
      </c>
      <c r="S297" s="1" t="str">
        <f aca="false">VLOOKUP(P297,[1]Categorizations!A$1:C$1048576,3,FALSE())</f>
        <v>Pesticides</v>
      </c>
    </row>
    <row r="298" customFormat="false" ht="15.75" hidden="false" customHeight="false" outlineLevel="0" collapsed="false">
      <c r="A298" s="1" t="s">
        <v>936</v>
      </c>
      <c r="C298" s="5" t="n">
        <v>43042</v>
      </c>
      <c r="D298" s="1" t="s">
        <v>780</v>
      </c>
      <c r="E298" s="6" t="s">
        <v>937</v>
      </c>
      <c r="G298" s="1" t="s">
        <v>38</v>
      </c>
      <c r="H298" s="1"/>
      <c r="I298" s="1"/>
      <c r="J298" s="1" t="s">
        <v>938</v>
      </c>
      <c r="M298" s="1" t="s">
        <v>42</v>
      </c>
      <c r="N298" s="4" t="n">
        <v>42833</v>
      </c>
      <c r="O298" s="4"/>
      <c r="P298" s="1" t="s">
        <v>816</v>
      </c>
      <c r="Q298" s="1" t="s">
        <v>35</v>
      </c>
      <c r="R298" s="1" t="str">
        <f aca="false">VLOOKUP(P298,[1]Categorizations!A$1:C$1048576,2,FALSE())</f>
        <v>Pesticides</v>
      </c>
      <c r="S298" s="1" t="str">
        <f aca="false">VLOOKUP(P298,[1]Categorizations!A$1:C$1048576,3,FALSE())</f>
        <v>Pesticides</v>
      </c>
    </row>
    <row r="299" customFormat="false" ht="15.75" hidden="false" customHeight="false" outlineLevel="0" collapsed="false">
      <c r="A299" s="1" t="s">
        <v>939</v>
      </c>
      <c r="C299" s="5" t="n">
        <v>43056</v>
      </c>
      <c r="D299" s="1" t="s">
        <v>780</v>
      </c>
      <c r="E299" s="6" t="s">
        <v>940</v>
      </c>
      <c r="G299" s="1" t="s">
        <v>38</v>
      </c>
      <c r="H299" s="1"/>
      <c r="I299" s="1"/>
      <c r="J299" s="1" t="s">
        <v>941</v>
      </c>
      <c r="M299" s="1" t="s">
        <v>42</v>
      </c>
      <c r="N299" s="4" t="n">
        <v>42746</v>
      </c>
      <c r="O299" s="4"/>
      <c r="P299" s="1" t="s">
        <v>816</v>
      </c>
      <c r="Q299" s="1" t="s">
        <v>35</v>
      </c>
      <c r="R299" s="1" t="str">
        <f aca="false">VLOOKUP(P299,[1]Categorizations!A$1:C$1048576,2,FALSE())</f>
        <v>Pesticides</v>
      </c>
      <c r="S299" s="1" t="str">
        <f aca="false">VLOOKUP(P299,[1]Categorizations!A$1:C$1048576,3,FALSE())</f>
        <v>Pesticides</v>
      </c>
    </row>
    <row r="300" customFormat="false" ht="15.75" hidden="false" customHeight="false" outlineLevel="0" collapsed="false">
      <c r="A300" s="1" t="s">
        <v>942</v>
      </c>
      <c r="C300" s="5" t="n">
        <v>43061</v>
      </c>
      <c r="D300" s="1" t="s">
        <v>780</v>
      </c>
      <c r="E300" s="6" t="s">
        <v>943</v>
      </c>
      <c r="G300" s="1" t="s">
        <v>38</v>
      </c>
      <c r="H300" s="1"/>
      <c r="I300" s="1"/>
      <c r="J300" s="1" t="s">
        <v>944</v>
      </c>
      <c r="M300" s="1" t="s">
        <v>42</v>
      </c>
      <c r="N300" s="4" t="n">
        <v>42949</v>
      </c>
      <c r="O300" s="4"/>
      <c r="P300" s="1" t="s">
        <v>816</v>
      </c>
      <c r="Q300" s="1" t="s">
        <v>35</v>
      </c>
      <c r="R300" s="1" t="str">
        <f aca="false">VLOOKUP(P300,[1]Categorizations!A$1:C$1048576,2,FALSE())</f>
        <v>Pesticides</v>
      </c>
      <c r="S300" s="1" t="str">
        <f aca="false">VLOOKUP(P300,[1]Categorizations!A$1:C$1048576,3,FALSE())</f>
        <v>Pesticides</v>
      </c>
    </row>
    <row r="301" customFormat="false" ht="15.75" hidden="false" customHeight="false" outlineLevel="0" collapsed="false">
      <c r="A301" s="1" t="s">
        <v>945</v>
      </c>
      <c r="C301" s="5" t="n">
        <v>43124</v>
      </c>
      <c r="D301" s="1" t="s">
        <v>780</v>
      </c>
      <c r="E301" s="6" t="s">
        <v>946</v>
      </c>
      <c r="G301" s="1" t="s">
        <v>38</v>
      </c>
      <c r="H301" s="1"/>
      <c r="I301" s="1"/>
      <c r="J301" s="1" t="s">
        <v>947</v>
      </c>
      <c r="M301" s="1" t="s">
        <v>26</v>
      </c>
      <c r="N301" s="4"/>
      <c r="O301" s="4"/>
      <c r="P301" s="1" t="s">
        <v>948</v>
      </c>
      <c r="Q301" s="1" t="s">
        <v>35</v>
      </c>
      <c r="R301" s="1" t="str">
        <f aca="false">VLOOKUP(P301,[1]Categorizations!A$1:C$1048576,2,FALSE())</f>
        <v>Solvent</v>
      </c>
      <c r="S301" s="1" t="str">
        <f aca="false">VLOOKUP(P301,[1]Categorizations!A$1:C$1048576,3,FALSE())</f>
        <v>Solvent</v>
      </c>
    </row>
    <row r="302" customFormat="false" ht="15.75" hidden="false" customHeight="false" outlineLevel="0" collapsed="false">
      <c r="A302" s="1" t="s">
        <v>949</v>
      </c>
      <c r="C302" s="5" t="n">
        <v>43425</v>
      </c>
      <c r="D302" s="1" t="s">
        <v>780</v>
      </c>
      <c r="E302" s="6" t="s">
        <v>950</v>
      </c>
      <c r="G302" s="1" t="s">
        <v>38</v>
      </c>
      <c r="H302" s="1"/>
      <c r="I302" s="1"/>
      <c r="J302" s="1" t="s">
        <v>951</v>
      </c>
      <c r="M302" s="1" t="s">
        <v>42</v>
      </c>
      <c r="N302" s="4" t="n">
        <v>43013</v>
      </c>
      <c r="O302" s="4"/>
      <c r="P302" s="1" t="s">
        <v>952</v>
      </c>
      <c r="Q302" s="1" t="s">
        <v>35</v>
      </c>
      <c r="R302" s="1" t="str">
        <f aca="false">VLOOKUP(P302,[1]Categorizations!A$1:C$1048576,2,FALSE())</f>
        <v>Pesticides</v>
      </c>
      <c r="S302" s="1" t="str">
        <f aca="false">VLOOKUP(P302,[1]Categorizations!A$1:C$1048576,3,FALSE())</f>
        <v>Pesticides</v>
      </c>
    </row>
    <row r="303" customFormat="false" ht="15.75" hidden="false" customHeight="false" outlineLevel="0" collapsed="false">
      <c r="A303" s="1" t="s">
        <v>953</v>
      </c>
      <c r="C303" s="5" t="n">
        <v>43432</v>
      </c>
      <c r="D303" s="1" t="s">
        <v>780</v>
      </c>
      <c r="E303" s="6" t="s">
        <v>954</v>
      </c>
      <c r="G303" s="1" t="s">
        <v>38</v>
      </c>
      <c r="H303" s="1"/>
      <c r="I303" s="1"/>
      <c r="J303" s="1" t="s">
        <v>955</v>
      </c>
      <c r="M303" s="1" t="s">
        <v>42</v>
      </c>
      <c r="N303" s="4" t="n">
        <v>43270</v>
      </c>
      <c r="O303" s="4"/>
      <c r="P303" s="1" t="s">
        <v>956</v>
      </c>
      <c r="Q303" s="1" t="s">
        <v>35</v>
      </c>
      <c r="R303" s="1" t="str">
        <f aca="false">VLOOKUP(P303,[1]Categorizations!A$1:C$1048576,2,FALSE())</f>
        <v>Pesticides</v>
      </c>
      <c r="S303" s="1" t="str">
        <f aca="false">VLOOKUP(P303,[1]Categorizations!A$1:C$1048576,3,FALSE())</f>
        <v>Pesticides</v>
      </c>
    </row>
    <row r="304" customFormat="false" ht="15.75" hidden="false" customHeight="false" outlineLevel="0" collapsed="false">
      <c r="A304" s="1" t="s">
        <v>957</v>
      </c>
      <c r="C304" s="5" t="n">
        <v>43566</v>
      </c>
      <c r="D304" s="1" t="s">
        <v>780</v>
      </c>
      <c r="E304" s="6" t="s">
        <v>958</v>
      </c>
      <c r="G304" s="1" t="s">
        <v>38</v>
      </c>
      <c r="H304" s="1"/>
      <c r="I304" s="1"/>
      <c r="J304" s="1" t="s">
        <v>959</v>
      </c>
      <c r="M304" s="1" t="s">
        <v>42</v>
      </c>
      <c r="N304" s="4" t="n">
        <v>43530</v>
      </c>
      <c r="O304" s="4"/>
      <c r="P304" s="1" t="s">
        <v>960</v>
      </c>
      <c r="Q304" s="1" t="s">
        <v>35</v>
      </c>
      <c r="R304" s="1" t="str">
        <f aca="false">VLOOKUP(P304,[1]Categorizations!A$1:C$1048576,2,FALSE())</f>
        <v>Pesticides</v>
      </c>
      <c r="S304" s="1" t="str">
        <f aca="false">VLOOKUP(P304,[1]Categorizations!A$1:C$1048576,3,FALSE())</f>
        <v>Pesticides</v>
      </c>
    </row>
    <row r="305" customFormat="false" ht="15.75" hidden="false" customHeight="false" outlineLevel="0" collapsed="false">
      <c r="A305" s="1" t="s">
        <v>961</v>
      </c>
      <c r="C305" s="5" t="n">
        <v>43693</v>
      </c>
      <c r="D305" s="1" t="s">
        <v>780</v>
      </c>
      <c r="E305" s="6" t="s">
        <v>962</v>
      </c>
      <c r="G305" s="1" t="s">
        <v>38</v>
      </c>
      <c r="H305" s="1"/>
      <c r="I305" s="1"/>
      <c r="J305" s="1" t="s">
        <v>963</v>
      </c>
      <c r="M305" s="1" t="s">
        <v>42</v>
      </c>
      <c r="N305" s="4" t="n">
        <v>43501</v>
      </c>
      <c r="O305" s="4"/>
      <c r="P305" s="1" t="s">
        <v>964</v>
      </c>
      <c r="Q305" s="1" t="s">
        <v>35</v>
      </c>
      <c r="R305" s="1" t="str">
        <f aca="false">VLOOKUP(P305,[1]Categorizations!A$1:C$1048576,2,FALSE())</f>
        <v>Microbial</v>
      </c>
      <c r="S305" s="1" t="str">
        <f aca="false">VLOOKUP(P305,[1]Categorizations!A$1:C$1048576,3,FALSE())</f>
        <v>Microbial Contamination</v>
      </c>
    </row>
    <row r="306" customFormat="false" ht="15.75" hidden="false" customHeight="false" outlineLevel="0" collapsed="false">
      <c r="A306" s="1" t="s">
        <v>965</v>
      </c>
      <c r="C306" s="5" t="n">
        <v>43791</v>
      </c>
      <c r="D306" s="1" t="s">
        <v>780</v>
      </c>
      <c r="E306" s="6" t="s">
        <v>966</v>
      </c>
      <c r="G306" s="1" t="s">
        <v>38</v>
      </c>
      <c r="H306" s="1"/>
      <c r="I306" s="1"/>
      <c r="J306" s="1" t="s">
        <v>967</v>
      </c>
      <c r="M306" s="1" t="s">
        <v>42</v>
      </c>
      <c r="N306" s="4" t="n">
        <v>43746</v>
      </c>
      <c r="O306" s="4"/>
      <c r="P306" s="1" t="s">
        <v>964</v>
      </c>
      <c r="Q306" s="1" t="s">
        <v>35</v>
      </c>
      <c r="R306" s="1" t="str">
        <f aca="false">VLOOKUP(P306,[1]Categorizations!A$1:C$1048576,2,FALSE())</f>
        <v>Microbial</v>
      </c>
      <c r="S306" s="1" t="str">
        <f aca="false">VLOOKUP(P306,[1]Categorizations!A$1:C$1048576,3,FALSE())</f>
        <v>Microbial Contamination</v>
      </c>
    </row>
    <row r="307" customFormat="false" ht="15.75" hidden="false" customHeight="false" outlineLevel="0" collapsed="false">
      <c r="A307" s="1" t="s">
        <v>968</v>
      </c>
      <c r="C307" s="5" t="n">
        <v>43894</v>
      </c>
      <c r="D307" s="1" t="s">
        <v>780</v>
      </c>
      <c r="E307" s="6" t="s">
        <v>969</v>
      </c>
      <c r="G307" s="1" t="s">
        <v>38</v>
      </c>
      <c r="H307" s="1"/>
      <c r="I307" s="1"/>
      <c r="J307" s="1" t="s">
        <v>970</v>
      </c>
      <c r="M307" s="1" t="s">
        <v>26</v>
      </c>
      <c r="N307" s="4"/>
      <c r="O307" s="4"/>
      <c r="P307" s="1" t="s">
        <v>971</v>
      </c>
      <c r="Q307" s="1" t="s">
        <v>35</v>
      </c>
      <c r="R307" s="1" t="str">
        <f aca="false">VLOOKUP(P307,[1]Categorizations!A$1:C$1048576,2,FALSE())</f>
        <v>Prohibited Additives / Product</v>
      </c>
      <c r="S307" s="1" t="str">
        <f aca="false">VLOOKUP(P307,[1]Categorizations!A$1:C$1048576,3,FALSE())</f>
        <v>Prohibited Additives / Product</v>
      </c>
    </row>
    <row r="308" customFormat="false" ht="15.75" hidden="false" customHeight="false" outlineLevel="0" collapsed="false">
      <c r="A308" s="1" t="s">
        <v>972</v>
      </c>
      <c r="C308" s="5" t="n">
        <v>44022</v>
      </c>
      <c r="D308" s="1" t="s">
        <v>780</v>
      </c>
      <c r="E308" s="6" t="s">
        <v>973</v>
      </c>
      <c r="G308" s="1" t="s">
        <v>38</v>
      </c>
      <c r="H308" s="1"/>
      <c r="I308" s="1"/>
      <c r="J308" s="1" t="s">
        <v>974</v>
      </c>
      <c r="M308" s="1" t="s">
        <v>42</v>
      </c>
      <c r="N308" s="4" t="n">
        <v>43878</v>
      </c>
      <c r="O308" s="4"/>
      <c r="P308" s="1" t="s">
        <v>808</v>
      </c>
      <c r="Q308" s="1" t="s">
        <v>35</v>
      </c>
      <c r="R308" s="1" t="str">
        <f aca="false">VLOOKUP(P308,[1]Categorizations!A$1:C$1048576,2,FALSE())</f>
        <v>Pesticides</v>
      </c>
      <c r="S308" s="1" t="str">
        <f aca="false">VLOOKUP(P308,[1]Categorizations!A$1:C$1048576,3,FALSE())</f>
        <v>Pesticides</v>
      </c>
    </row>
    <row r="309" customFormat="false" ht="15.75" hidden="false" customHeight="false" outlineLevel="0" collapsed="false">
      <c r="A309" s="1" t="s">
        <v>975</v>
      </c>
      <c r="C309" s="5" t="n">
        <v>44069</v>
      </c>
      <c r="D309" s="1" t="s">
        <v>780</v>
      </c>
      <c r="E309" s="6" t="s">
        <v>976</v>
      </c>
      <c r="G309" s="1" t="s">
        <v>38</v>
      </c>
      <c r="H309" s="1"/>
      <c r="I309" s="1"/>
      <c r="J309" s="1" t="s">
        <v>977</v>
      </c>
      <c r="M309" s="1" t="s">
        <v>103</v>
      </c>
      <c r="N309" s="4" t="n">
        <v>43983</v>
      </c>
      <c r="O309" s="4"/>
      <c r="P309" s="1" t="s">
        <v>978</v>
      </c>
      <c r="Q309" s="1" t="s">
        <v>35</v>
      </c>
      <c r="R309" s="1" t="str">
        <f aca="false">VLOOKUP(P309,[1]Categorizations!A$1:C$1048576,2,FALSE())</f>
        <v>Total Yeast and Mold</v>
      </c>
      <c r="S309" s="1" t="str">
        <f aca="false">VLOOKUP(P309,[1]Categorizations!A$1:C$1048576,3,FALSE())</f>
        <v>Microbial Contamination</v>
      </c>
    </row>
    <row r="310" customFormat="false" ht="15.75" hidden="false" customHeight="false" outlineLevel="0" collapsed="false">
      <c r="A310" s="1" t="s">
        <v>979</v>
      </c>
      <c r="C310" s="5" t="n">
        <v>44112</v>
      </c>
      <c r="D310" s="1" t="s">
        <v>780</v>
      </c>
      <c r="E310" s="6" t="s">
        <v>980</v>
      </c>
      <c r="G310" s="1" t="s">
        <v>38</v>
      </c>
      <c r="H310" s="1"/>
      <c r="I310" s="1"/>
      <c r="J310" s="1" t="s">
        <v>981</v>
      </c>
      <c r="M310" s="1" t="s">
        <v>42</v>
      </c>
      <c r="N310" s="4" t="n">
        <v>44000</v>
      </c>
      <c r="O310" s="4"/>
      <c r="P310" s="1" t="s">
        <v>982</v>
      </c>
      <c r="Q310" s="1" t="s">
        <v>35</v>
      </c>
      <c r="R310" s="1" t="str">
        <f aca="false">VLOOKUP(P310,[1]Categorizations!A$1:C$1048576,2,FALSE())</f>
        <v>Total Yeast and Mold</v>
      </c>
      <c r="S310" s="1" t="str">
        <f aca="false">VLOOKUP(P310,[1]Categorizations!A$1:C$1048576,3,FALSE())</f>
        <v>Microbial Contamination</v>
      </c>
    </row>
    <row r="311" customFormat="false" ht="15.75" hidden="false" customHeight="false" outlineLevel="0" collapsed="false">
      <c r="A311" s="1" t="s">
        <v>983</v>
      </c>
      <c r="C311" s="5" t="n">
        <v>44140</v>
      </c>
      <c r="D311" s="1" t="s">
        <v>780</v>
      </c>
      <c r="E311" s="6" t="s">
        <v>984</v>
      </c>
      <c r="G311" s="1" t="s">
        <v>38</v>
      </c>
      <c r="H311" s="1"/>
      <c r="I311" s="1"/>
      <c r="J311" s="1" t="s">
        <v>985</v>
      </c>
      <c r="M311" s="1" t="s">
        <v>103</v>
      </c>
      <c r="N311" s="4" t="n">
        <v>43971</v>
      </c>
      <c r="O311" s="4"/>
      <c r="P311" s="1" t="s">
        <v>978</v>
      </c>
      <c r="Q311" s="1" t="s">
        <v>35</v>
      </c>
      <c r="R311" s="1" t="str">
        <f aca="false">VLOOKUP(P311,[1]Categorizations!A$1:C$1048576,2,FALSE())</f>
        <v>Total Yeast and Mold</v>
      </c>
      <c r="S311" s="1" t="str">
        <f aca="false">VLOOKUP(P311,[1]Categorizations!A$1:C$1048576,3,FALSE())</f>
        <v>Microbial Contamination</v>
      </c>
    </row>
    <row r="312" customFormat="false" ht="15.75" hidden="false" customHeight="false" outlineLevel="0" collapsed="false">
      <c r="A312" s="1" t="s">
        <v>986</v>
      </c>
      <c r="C312" s="5" t="n">
        <v>44204</v>
      </c>
      <c r="D312" s="1" t="s">
        <v>780</v>
      </c>
      <c r="E312" s="6" t="s">
        <v>987</v>
      </c>
      <c r="G312" s="1" t="s">
        <v>38</v>
      </c>
      <c r="H312" s="1"/>
      <c r="I312" s="1"/>
      <c r="J312" s="1" t="s">
        <v>988</v>
      </c>
      <c r="M312" s="1" t="s">
        <v>103</v>
      </c>
      <c r="N312" s="4" t="n">
        <v>44130</v>
      </c>
      <c r="O312" s="4"/>
      <c r="P312" s="1" t="s">
        <v>978</v>
      </c>
      <c r="Q312" s="1" t="s">
        <v>35</v>
      </c>
      <c r="R312" s="1" t="str">
        <f aca="false">VLOOKUP(P312,[1]Categorizations!A$1:C$1048576,2,FALSE())</f>
        <v>Total Yeast and Mold</v>
      </c>
      <c r="S312" s="1" t="str">
        <f aca="false">VLOOKUP(P312,[1]Categorizations!A$1:C$1048576,3,FALSE())</f>
        <v>Microbial Contamination</v>
      </c>
    </row>
    <row r="313" customFormat="false" ht="15.75" hidden="false" customHeight="false" outlineLevel="0" collapsed="false">
      <c r="A313" s="1" t="s">
        <v>989</v>
      </c>
      <c r="C313" s="5" t="n">
        <v>44237</v>
      </c>
      <c r="D313" s="1" t="s">
        <v>780</v>
      </c>
      <c r="E313" s="6" t="s">
        <v>990</v>
      </c>
      <c r="G313" s="1" t="s">
        <v>38</v>
      </c>
      <c r="H313" s="1"/>
      <c r="I313" s="1"/>
      <c r="J313" s="1" t="s">
        <v>991</v>
      </c>
      <c r="M313" s="1" t="s">
        <v>103</v>
      </c>
      <c r="N313" s="4" t="n">
        <v>44090</v>
      </c>
      <c r="O313" s="4"/>
      <c r="P313" s="1" t="s">
        <v>992</v>
      </c>
      <c r="Q313" s="1" t="s">
        <v>35</v>
      </c>
      <c r="R313" s="1" t="str">
        <f aca="false">VLOOKUP(P313,[1]Categorizations!A$1:C$1048576,2,FALSE())</f>
        <v>Inaccurate THC</v>
      </c>
      <c r="S313" s="1" t="str">
        <f aca="false">VLOOKUP(P313,[1]Categorizations!A$1:C$1048576,3,FALSE())</f>
        <v>Inaccurate THC</v>
      </c>
    </row>
    <row r="314" customFormat="false" ht="15.75" hidden="false" customHeight="false" outlineLevel="0" collapsed="false">
      <c r="A314" s="1" t="s">
        <v>993</v>
      </c>
      <c r="C314" s="5" t="n">
        <v>44286</v>
      </c>
      <c r="D314" s="1" t="s">
        <v>780</v>
      </c>
      <c r="E314" s="6" t="s">
        <v>994</v>
      </c>
      <c r="G314" s="1" t="s">
        <v>38</v>
      </c>
      <c r="H314" s="1"/>
      <c r="I314" s="1"/>
      <c r="J314" s="1" t="s">
        <v>995</v>
      </c>
      <c r="M314" s="1" t="s">
        <v>103</v>
      </c>
      <c r="N314" s="4" t="n">
        <v>44152</v>
      </c>
      <c r="O314" s="4" t="n">
        <v>44166</v>
      </c>
      <c r="P314" s="1" t="s">
        <v>996</v>
      </c>
      <c r="Q314" s="1" t="s">
        <v>35</v>
      </c>
      <c r="R314" s="1" t="str">
        <f aca="false">VLOOKUP(P314,[1]Categorizations!A$1:C$1048576,2,FALSE())</f>
        <v>Heavy Metals</v>
      </c>
      <c r="S314" s="1" t="str">
        <f aca="false">VLOOKUP(P314,[1]Categorizations!A$1:C$1048576,3,FALSE())</f>
        <v>Heavy Metals</v>
      </c>
    </row>
    <row r="315" customFormat="false" ht="15.75" hidden="false" customHeight="false" outlineLevel="0" collapsed="false">
      <c r="A315" s="1" t="s">
        <v>997</v>
      </c>
      <c r="C315" s="5" t="n">
        <v>44305</v>
      </c>
      <c r="D315" s="1" t="s">
        <v>780</v>
      </c>
      <c r="E315" s="6" t="s">
        <v>998</v>
      </c>
      <c r="G315" s="1" t="s">
        <v>38</v>
      </c>
      <c r="H315" s="1"/>
      <c r="I315" s="1"/>
      <c r="J315" s="1" t="s">
        <v>999</v>
      </c>
      <c r="M315" s="1" t="s">
        <v>103</v>
      </c>
      <c r="N315" s="4" t="n">
        <v>44192</v>
      </c>
      <c r="O315" s="4"/>
      <c r="P315" s="1" t="s">
        <v>1000</v>
      </c>
      <c r="Q315" s="1" t="s">
        <v>35</v>
      </c>
      <c r="R315" s="1" t="str">
        <f aca="false">VLOOKUP(P315,[1]Categorizations!A$1:C$1048576,2,FALSE())</f>
        <v>Lead</v>
      </c>
      <c r="S315" s="1" t="str">
        <f aca="false">VLOOKUP(P315,[1]Categorizations!A$1:C$1048576,3,FALSE())</f>
        <v>Heavy Metals</v>
      </c>
    </row>
    <row r="316" customFormat="false" ht="15.75" hidden="false" customHeight="false" outlineLevel="0" collapsed="false">
      <c r="A316" s="1" t="s">
        <v>1001</v>
      </c>
      <c r="C316" s="5" t="n">
        <v>44484</v>
      </c>
      <c r="D316" s="1" t="s">
        <v>780</v>
      </c>
      <c r="E316" s="6" t="s">
        <v>1002</v>
      </c>
      <c r="G316" s="1" t="s">
        <v>38</v>
      </c>
      <c r="H316" s="1"/>
      <c r="I316" s="1"/>
      <c r="J316" s="1" t="s">
        <v>1003</v>
      </c>
      <c r="M316" s="1" t="s">
        <v>103</v>
      </c>
      <c r="N316" s="4" t="n">
        <v>43961</v>
      </c>
      <c r="O316" s="4" t="n">
        <v>44357</v>
      </c>
      <c r="P316" s="1" t="s">
        <v>978</v>
      </c>
      <c r="Q316" s="1" t="s">
        <v>35</v>
      </c>
      <c r="R316" s="1" t="str">
        <f aca="false">VLOOKUP(P316,[1]Categorizations!A$1:C$1048576,2,FALSE())</f>
        <v>Total Yeast and Mold</v>
      </c>
      <c r="S316" s="1" t="str">
        <f aca="false">VLOOKUP(P316,[1]Categorizations!A$1:C$1048576,3,FALSE())</f>
        <v>Microbial Contamination</v>
      </c>
    </row>
    <row r="317" customFormat="false" ht="15.75" hidden="false" customHeight="false" outlineLevel="0" collapsed="false">
      <c r="A317" s="1" t="s">
        <v>1004</v>
      </c>
      <c r="C317" s="5" t="n">
        <v>44518</v>
      </c>
      <c r="D317" s="1" t="s">
        <v>780</v>
      </c>
      <c r="E317" s="6" t="s">
        <v>1005</v>
      </c>
      <c r="G317" s="1" t="s">
        <v>38</v>
      </c>
      <c r="H317" s="1"/>
      <c r="I317" s="1"/>
      <c r="J317" s="6" t="s">
        <v>1006</v>
      </c>
      <c r="M317" s="1" t="s">
        <v>103</v>
      </c>
      <c r="N317" s="4"/>
      <c r="O317" s="4" t="n">
        <v>44348</v>
      </c>
      <c r="P317" s="1" t="s">
        <v>1007</v>
      </c>
      <c r="Q317" s="1" t="s">
        <v>35</v>
      </c>
      <c r="R317" s="1" t="str">
        <f aca="false">VLOOKUP(P317,[1]Categorizations!A$1:C$1048576,2,FALSE())</f>
        <v>Mercury</v>
      </c>
      <c r="S317" s="1" t="str">
        <f aca="false">VLOOKUP(P317,[1]Categorizations!A$1:C$1048576,3,FALSE())</f>
        <v>Heavy Metals</v>
      </c>
    </row>
    <row r="318" customFormat="false" ht="15.75" hidden="false" customHeight="false" outlineLevel="0" collapsed="false">
      <c r="A318" s="1" t="s">
        <v>1008</v>
      </c>
      <c r="C318" s="5" t="n">
        <v>44538</v>
      </c>
      <c r="D318" s="1" t="s">
        <v>780</v>
      </c>
      <c r="E318" s="6" t="s">
        <v>1009</v>
      </c>
      <c r="G318" s="1" t="s">
        <v>38</v>
      </c>
      <c r="H318" s="1"/>
      <c r="I318" s="1"/>
      <c r="J318" s="1" t="s">
        <v>1010</v>
      </c>
      <c r="M318" s="1" t="s">
        <v>103</v>
      </c>
      <c r="N318" s="4" t="n">
        <v>44122</v>
      </c>
      <c r="O318" s="4" t="n">
        <v>44230</v>
      </c>
      <c r="P318" s="1" t="s">
        <v>801</v>
      </c>
      <c r="Q318" s="1" t="s">
        <v>35</v>
      </c>
      <c r="R318" s="1" t="str">
        <f aca="false">VLOOKUP(P318,[1]Categorizations!A$1:C$1048576,2,FALSE())</f>
        <v>Pesticides</v>
      </c>
      <c r="S318" s="1" t="str">
        <f aca="false">VLOOKUP(P318,[1]Categorizations!A$1:C$1048576,3,FALSE())</f>
        <v>Pesticides</v>
      </c>
    </row>
    <row r="319" customFormat="false" ht="15.75" hidden="false" customHeight="false" outlineLevel="0" collapsed="false">
      <c r="A319" s="1" t="s">
        <v>1011</v>
      </c>
      <c r="C319" s="5" t="n">
        <v>44544</v>
      </c>
      <c r="D319" s="1" t="s">
        <v>780</v>
      </c>
      <c r="E319" s="6" t="s">
        <v>1012</v>
      </c>
      <c r="G319" s="1" t="s">
        <v>38</v>
      </c>
      <c r="H319" s="1"/>
      <c r="I319" s="1"/>
      <c r="J319" s="1" t="s">
        <v>1013</v>
      </c>
      <c r="M319" s="1" t="s">
        <v>103</v>
      </c>
      <c r="N319" s="4"/>
      <c r="O319" s="4" t="n">
        <v>44540</v>
      </c>
      <c r="P319" s="1" t="s">
        <v>1014</v>
      </c>
      <c r="Q319" s="1" t="s">
        <v>35</v>
      </c>
      <c r="R319" s="1" t="str">
        <f aca="false">VLOOKUP(P319,[1]Categorizations!A$1:C$1048576,2,FALSE())</f>
        <v>Mold</v>
      </c>
      <c r="S319" s="1" t="str">
        <f aca="false">VLOOKUP(P319,[1]Categorizations!A$1:C$1048576,3,FALSE())</f>
        <v>Microbial Contamination</v>
      </c>
    </row>
    <row r="320" customFormat="false" ht="15.75" hidden="false" customHeight="false" outlineLevel="0" collapsed="false">
      <c r="A320" s="1" t="s">
        <v>1015</v>
      </c>
      <c r="C320" s="5" t="n">
        <v>44594</v>
      </c>
      <c r="D320" s="1" t="s">
        <v>780</v>
      </c>
      <c r="E320" s="6" t="s">
        <v>1016</v>
      </c>
      <c r="G320" s="1" t="s">
        <v>38</v>
      </c>
      <c r="H320" s="1"/>
      <c r="I320" s="1"/>
      <c r="J320" s="1" t="s">
        <v>1017</v>
      </c>
      <c r="M320" s="1" t="s">
        <v>42</v>
      </c>
      <c r="N320" s="4"/>
      <c r="O320" s="4" t="n">
        <v>44412</v>
      </c>
      <c r="P320" s="1" t="s">
        <v>978</v>
      </c>
      <c r="Q320" s="1" t="s">
        <v>35</v>
      </c>
      <c r="R320" s="1" t="str">
        <f aca="false">VLOOKUP(P320,[1]Categorizations!A$1:C$1048576,2,FALSE())</f>
        <v>Total Yeast and Mold</v>
      </c>
      <c r="S320" s="1" t="str">
        <f aca="false">VLOOKUP(P320,[1]Categorizations!A$1:C$1048576,3,FALSE())</f>
        <v>Microbial Contamination</v>
      </c>
    </row>
    <row r="321" customFormat="false" ht="15.75" hidden="false" customHeight="false" outlineLevel="0" collapsed="false">
      <c r="A321" s="1" t="s">
        <v>1018</v>
      </c>
      <c r="C321" s="5" t="n">
        <v>44620</v>
      </c>
      <c r="D321" s="1" t="s">
        <v>780</v>
      </c>
      <c r="E321" s="6" t="s">
        <v>1019</v>
      </c>
      <c r="G321" s="1" t="s">
        <v>38</v>
      </c>
      <c r="H321" s="1"/>
      <c r="I321" s="1"/>
      <c r="J321" s="1" t="s">
        <v>1020</v>
      </c>
      <c r="K321" s="1"/>
      <c r="L321" s="1"/>
      <c r="M321" s="1" t="s">
        <v>103</v>
      </c>
      <c r="N321" s="4"/>
      <c r="O321" s="4" t="n">
        <v>44526</v>
      </c>
      <c r="P321" s="1" t="s">
        <v>1021</v>
      </c>
      <c r="Q321" s="1" t="s">
        <v>35</v>
      </c>
      <c r="R321" s="1" t="str">
        <f aca="false">VLOOKUP(P321,[1]Categorizations!A$1:C$1048576,2,FALSE())</f>
        <v>Lead</v>
      </c>
      <c r="S321" s="1" t="str">
        <f aca="false">VLOOKUP(P321,[1]Categorizations!A$1:C$1048576,3,FALSE())</f>
        <v>Heavy Metals</v>
      </c>
    </row>
    <row r="322" customFormat="false" ht="15.75" hidden="false" customHeight="false" outlineLevel="0" collapsed="false">
      <c r="A322" s="1" t="s">
        <v>1022</v>
      </c>
      <c r="C322" s="5" t="n">
        <v>44631</v>
      </c>
      <c r="D322" s="1" t="s">
        <v>780</v>
      </c>
      <c r="E322" s="6" t="s">
        <v>1023</v>
      </c>
      <c r="G322" s="1" t="s">
        <v>38</v>
      </c>
      <c r="H322" s="1"/>
      <c r="I322" s="1"/>
      <c r="J322" s="1" t="s">
        <v>1024</v>
      </c>
      <c r="M322" s="1" t="s">
        <v>103</v>
      </c>
      <c r="N322" s="4" t="n">
        <v>44487</v>
      </c>
      <c r="O322" s="4"/>
      <c r="P322" s="1" t="s">
        <v>1025</v>
      </c>
      <c r="Q322" s="1" t="s">
        <v>35</v>
      </c>
      <c r="R322" s="1" t="str">
        <f aca="false">VLOOKUP(P322,[1]Categorizations!A$1:C$1048576,2,FALSE())</f>
        <v>Total Yeast and Mold</v>
      </c>
      <c r="S322" s="1" t="str">
        <f aca="false">VLOOKUP(P322,[1]Categorizations!A$1:C$1048576,3,FALSE())</f>
        <v>Microbial Contamination</v>
      </c>
    </row>
    <row r="323" customFormat="false" ht="15.75" hidden="false" customHeight="false" outlineLevel="0" collapsed="false">
      <c r="A323" s="1" t="s">
        <v>1026</v>
      </c>
      <c r="C323" s="5" t="n">
        <v>44671</v>
      </c>
      <c r="D323" s="1" t="s">
        <v>780</v>
      </c>
      <c r="E323" s="6" t="s">
        <v>1027</v>
      </c>
      <c r="G323" s="1" t="s">
        <v>38</v>
      </c>
      <c r="H323" s="1"/>
      <c r="I323" s="1"/>
      <c r="J323" s="1" t="s">
        <v>1028</v>
      </c>
      <c r="M323" s="1" t="s">
        <v>42</v>
      </c>
      <c r="N323" s="4" t="n">
        <v>44558</v>
      </c>
      <c r="O323" s="4"/>
      <c r="P323" s="1" t="s">
        <v>978</v>
      </c>
      <c r="Q323" s="1" t="s">
        <v>35</v>
      </c>
      <c r="R323" s="1" t="str">
        <f aca="false">VLOOKUP(P323,[1]Categorizations!A$1:C$1048576,2,FALSE())</f>
        <v>Total Yeast and Mold</v>
      </c>
      <c r="S323" s="1" t="str">
        <f aca="false">VLOOKUP(P323,[1]Categorizations!A$1:C$1048576,3,FALSE())</f>
        <v>Microbial Contamination</v>
      </c>
    </row>
    <row r="324" customFormat="false" ht="15.75" hidden="false" customHeight="false" outlineLevel="0" collapsed="false">
      <c r="A324" s="1" t="s">
        <v>1029</v>
      </c>
      <c r="C324" s="5" t="n">
        <v>44684</v>
      </c>
      <c r="D324" s="1" t="s">
        <v>780</v>
      </c>
      <c r="E324" s="6" t="s">
        <v>1030</v>
      </c>
      <c r="G324" s="1" t="s">
        <v>38</v>
      </c>
      <c r="H324" s="1"/>
      <c r="I324" s="1"/>
      <c r="J324" s="1" t="s">
        <v>1031</v>
      </c>
      <c r="M324" s="1" t="s">
        <v>103</v>
      </c>
      <c r="N324" s="4"/>
      <c r="O324" s="4" t="n">
        <v>44318</v>
      </c>
      <c r="P324" s="1" t="s">
        <v>978</v>
      </c>
      <c r="Q324" s="1" t="s">
        <v>35</v>
      </c>
      <c r="R324" s="1" t="str">
        <f aca="false">VLOOKUP(P324,[1]Categorizations!A$1:C$1048576,2,FALSE())</f>
        <v>Total Yeast and Mold</v>
      </c>
      <c r="S324" s="1" t="str">
        <f aca="false">VLOOKUP(P324,[1]Categorizations!A$1:C$1048576,3,FALSE())</f>
        <v>Microbial Contamination</v>
      </c>
    </row>
    <row r="325" customFormat="false" ht="15.75" hidden="false" customHeight="false" outlineLevel="0" collapsed="false">
      <c r="A325" s="1" t="s">
        <v>1032</v>
      </c>
      <c r="C325" s="5" t="n">
        <v>44699</v>
      </c>
      <c r="D325" s="1" t="s">
        <v>780</v>
      </c>
      <c r="E325" s="6" t="s">
        <v>1033</v>
      </c>
      <c r="G325" s="1" t="s">
        <v>38</v>
      </c>
      <c r="H325" s="1"/>
      <c r="I325" s="1"/>
      <c r="J325" s="1" t="s">
        <v>1028</v>
      </c>
      <c r="M325" s="1" t="s">
        <v>103</v>
      </c>
      <c r="N325" s="4" t="n">
        <v>44361</v>
      </c>
      <c r="O325" s="4"/>
      <c r="P325" s="1" t="s">
        <v>978</v>
      </c>
      <c r="Q325" s="1" t="s">
        <v>35</v>
      </c>
      <c r="R325" s="1" t="str">
        <f aca="false">VLOOKUP(P325,[1]Categorizations!A$1:C$1048576,2,FALSE())</f>
        <v>Total Yeast and Mold</v>
      </c>
      <c r="S325" s="1" t="str">
        <f aca="false">VLOOKUP(P325,[1]Categorizations!A$1:C$1048576,3,FALSE())</f>
        <v>Microbial Contamination</v>
      </c>
    </row>
    <row r="326" customFormat="false" ht="15.75" hidden="false" customHeight="false" outlineLevel="0" collapsed="false">
      <c r="A326" s="1" t="s">
        <v>1034</v>
      </c>
      <c r="C326" s="5" t="n">
        <v>44756</v>
      </c>
      <c r="D326" s="1" t="s">
        <v>780</v>
      </c>
      <c r="E326" s="6" t="s">
        <v>1035</v>
      </c>
      <c r="G326" s="1" t="s">
        <v>38</v>
      </c>
      <c r="H326" s="1"/>
      <c r="I326" s="1"/>
      <c r="J326" s="1" t="s">
        <v>1036</v>
      </c>
      <c r="M326" s="1" t="s">
        <v>42</v>
      </c>
      <c r="N326" s="4" t="n">
        <v>44243</v>
      </c>
      <c r="O326" s="4"/>
      <c r="P326" s="1" t="s">
        <v>978</v>
      </c>
      <c r="Q326" s="1" t="s">
        <v>35</v>
      </c>
      <c r="R326" s="1" t="str">
        <f aca="false">VLOOKUP(P326,[1]Categorizations!A$1:C$1048576,2,FALSE())</f>
        <v>Total Yeast and Mold</v>
      </c>
      <c r="S326" s="1" t="str">
        <f aca="false">VLOOKUP(P326,[1]Categorizations!A$1:C$1048576,3,FALSE())</f>
        <v>Microbial Contamination</v>
      </c>
    </row>
    <row r="327" customFormat="false" ht="15.75" hidden="false" customHeight="false" outlineLevel="0" collapsed="false">
      <c r="A327" s="1" t="s">
        <v>1037</v>
      </c>
      <c r="C327" s="5" t="n">
        <v>44764</v>
      </c>
      <c r="D327" s="1" t="s">
        <v>780</v>
      </c>
      <c r="E327" s="6" t="s">
        <v>1038</v>
      </c>
      <c r="G327" s="1" t="s">
        <v>38</v>
      </c>
      <c r="H327" s="1"/>
      <c r="I327" s="1"/>
      <c r="J327" s="1" t="s">
        <v>1039</v>
      </c>
      <c r="M327" s="1" t="s">
        <v>103</v>
      </c>
      <c r="N327" s="4" t="n">
        <v>44621</v>
      </c>
      <c r="O327" s="4"/>
      <c r="P327" s="1" t="s">
        <v>1040</v>
      </c>
      <c r="Q327" s="1" t="s">
        <v>35</v>
      </c>
      <c r="R327" s="1" t="str">
        <f aca="false">VLOOKUP(P327,[1]Categorizations!A$1:C$1048576,2,FALSE())</f>
        <v>Adverse Health Events</v>
      </c>
      <c r="S327" s="1" t="str">
        <f aca="false">VLOOKUP(P327,[1]Categorizations!A$1:C$1048576,3,FALSE())</f>
        <v>Adverse Health Events</v>
      </c>
    </row>
    <row r="328" customFormat="false" ht="15.75" hidden="false" customHeight="false" outlineLevel="0" collapsed="false">
      <c r="A328" s="1" t="s">
        <v>1041</v>
      </c>
      <c r="C328" s="5" t="n">
        <v>44846</v>
      </c>
      <c r="D328" s="1" t="s">
        <v>780</v>
      </c>
      <c r="E328" s="6" t="s">
        <v>1042</v>
      </c>
      <c r="G328" s="1" t="s">
        <v>38</v>
      </c>
      <c r="H328" s="1"/>
      <c r="I328" s="1"/>
      <c r="J328" s="1" t="s">
        <v>1024</v>
      </c>
      <c r="M328" s="1" t="s">
        <v>103</v>
      </c>
      <c r="N328" s="4" t="n">
        <v>44726</v>
      </c>
      <c r="O328" s="4" t="n">
        <v>44770</v>
      </c>
      <c r="P328" s="1" t="s">
        <v>1043</v>
      </c>
      <c r="Q328" s="1" t="s">
        <v>35</v>
      </c>
      <c r="R328" s="1" t="str">
        <f aca="false">VLOOKUP(P328,[1]Categorizations!A$1:C$1048576,2,FALSE())</f>
        <v>Total Yeast and Mold</v>
      </c>
      <c r="S328" s="1" t="str">
        <f aca="false">VLOOKUP(P328,[1]Categorizations!A$1:C$1048576,3,FALSE())</f>
        <v>Microbial Contamination</v>
      </c>
    </row>
    <row r="329" customFormat="false" ht="15.75" hidden="false" customHeight="false" outlineLevel="0" collapsed="false">
      <c r="A329" s="1" t="s">
        <v>1044</v>
      </c>
      <c r="C329" s="5" t="n">
        <v>44860</v>
      </c>
      <c r="D329" s="1" t="s">
        <v>780</v>
      </c>
      <c r="E329" s="6" t="s">
        <v>1045</v>
      </c>
      <c r="G329" s="1" t="s">
        <v>38</v>
      </c>
      <c r="H329" s="1"/>
      <c r="I329" s="1"/>
      <c r="J329" s="1" t="s">
        <v>1046</v>
      </c>
      <c r="M329" s="1" t="s">
        <v>42</v>
      </c>
      <c r="N329" s="4" t="n">
        <v>44455</v>
      </c>
      <c r="O329" s="4"/>
      <c r="P329" s="1" t="s">
        <v>1047</v>
      </c>
      <c r="Q329" s="1" t="s">
        <v>35</v>
      </c>
      <c r="R329" s="1" t="str">
        <f aca="false">VLOOKUP(P329,[1]Categorizations!A$1:C$1048576,2,FALSE())</f>
        <v>Total Yeast and Mold</v>
      </c>
      <c r="S329" s="1" t="str">
        <f aca="false">VLOOKUP(P329,[1]Categorizations!A$1:C$1048576,3,FALSE())</f>
        <v>Microbial Contamination</v>
      </c>
    </row>
    <row r="330" customFormat="false" ht="15.75" hidden="false" customHeight="false" outlineLevel="0" collapsed="false">
      <c r="A330" s="1" t="s">
        <v>1048</v>
      </c>
      <c r="C330" s="5" t="n">
        <v>44888</v>
      </c>
      <c r="D330" s="1" t="s">
        <v>780</v>
      </c>
      <c r="E330" s="6" t="s">
        <v>1049</v>
      </c>
      <c r="G330" s="1" t="s">
        <v>38</v>
      </c>
      <c r="H330" s="1"/>
      <c r="I330" s="1"/>
      <c r="J330" s="1" t="s">
        <v>1050</v>
      </c>
      <c r="M330" s="1" t="s">
        <v>103</v>
      </c>
      <c r="N330" s="4" t="n">
        <v>44482</v>
      </c>
      <c r="O330" s="4" t="n">
        <v>44827</v>
      </c>
      <c r="P330" s="1" t="s">
        <v>978</v>
      </c>
      <c r="Q330" s="1" t="s">
        <v>35</v>
      </c>
      <c r="R330" s="1" t="str">
        <f aca="false">VLOOKUP(P330,[1]Categorizations!A$1:C$1048576,2,FALSE())</f>
        <v>Total Yeast and Mold</v>
      </c>
      <c r="S330" s="1" t="str">
        <f aca="false">VLOOKUP(P330,[1]Categorizations!A$1:C$1048576,3,FALSE())</f>
        <v>Microbial Contamination</v>
      </c>
    </row>
    <row r="331" customFormat="false" ht="15.75" hidden="false" customHeight="false" outlineLevel="0" collapsed="false">
      <c r="A331" s="1" t="s">
        <v>1051</v>
      </c>
      <c r="C331" s="5" t="n">
        <v>44910</v>
      </c>
      <c r="D331" s="1" t="s">
        <v>780</v>
      </c>
      <c r="E331" s="6" t="s">
        <v>1052</v>
      </c>
      <c r="G331" s="1" t="s">
        <v>38</v>
      </c>
      <c r="H331" s="1"/>
      <c r="I331" s="1"/>
      <c r="J331" s="1" t="s">
        <v>1053</v>
      </c>
      <c r="M331" s="1" t="s">
        <v>103</v>
      </c>
      <c r="N331" s="4" t="n">
        <v>44789</v>
      </c>
      <c r="O331" s="4" t="n">
        <v>44821</v>
      </c>
      <c r="P331" s="1" t="s">
        <v>1043</v>
      </c>
      <c r="Q331" s="1" t="s">
        <v>35</v>
      </c>
      <c r="R331" s="1" t="str">
        <f aca="false">VLOOKUP(P331,[1]Categorizations!A$1:C$1048576,2,FALSE())</f>
        <v>Total Yeast and Mold</v>
      </c>
      <c r="S331" s="1" t="str">
        <f aca="false">VLOOKUP(P331,[1]Categorizations!A$1:C$1048576,3,FALSE())</f>
        <v>Microbial Contamination</v>
      </c>
    </row>
    <row r="332" customFormat="false" ht="15.75" hidden="false" customHeight="false" outlineLevel="0" collapsed="false">
      <c r="A332" s="1" t="s">
        <v>1054</v>
      </c>
      <c r="C332" s="5" t="n">
        <v>44931</v>
      </c>
      <c r="D332" s="1" t="s">
        <v>780</v>
      </c>
      <c r="E332" s="6" t="s">
        <v>1055</v>
      </c>
      <c r="G332" s="1" t="s">
        <v>38</v>
      </c>
      <c r="H332" s="1"/>
      <c r="I332" s="1"/>
      <c r="J332" s="1" t="s">
        <v>1056</v>
      </c>
      <c r="M332" s="1" t="s">
        <v>42</v>
      </c>
      <c r="N332" s="4" t="n">
        <v>44831</v>
      </c>
      <c r="O332" s="4"/>
      <c r="P332" s="1" t="s">
        <v>978</v>
      </c>
      <c r="Q332" s="1" t="s">
        <v>35</v>
      </c>
      <c r="R332" s="1" t="str">
        <f aca="false">VLOOKUP(P332,[1]Categorizations!A$1:C$1048576,2,FALSE())</f>
        <v>Total Yeast and Mold</v>
      </c>
      <c r="S332" s="1" t="str">
        <f aca="false">VLOOKUP(P332,[1]Categorizations!A$1:C$1048576,3,FALSE())</f>
        <v>Microbial Contamination</v>
      </c>
    </row>
    <row r="333" customFormat="false" ht="15.75" hidden="false" customHeight="false" outlineLevel="0" collapsed="false">
      <c r="A333" s="1" t="s">
        <v>1057</v>
      </c>
      <c r="C333" s="5" t="n">
        <v>44931</v>
      </c>
      <c r="D333" s="1" t="s">
        <v>780</v>
      </c>
      <c r="E333" s="6" t="s">
        <v>1058</v>
      </c>
      <c r="G333" s="1" t="s">
        <v>38</v>
      </c>
      <c r="H333" s="1"/>
      <c r="I333" s="1"/>
      <c r="J333" s="1" t="s">
        <v>1059</v>
      </c>
      <c r="M333" s="1" t="s">
        <v>103</v>
      </c>
      <c r="N333" s="4" t="n">
        <v>44429</v>
      </c>
      <c r="O333" s="4"/>
      <c r="P333" s="1" t="s">
        <v>1043</v>
      </c>
      <c r="Q333" s="1" t="s">
        <v>35</v>
      </c>
      <c r="R333" s="1" t="str">
        <f aca="false">VLOOKUP(P333,[1]Categorizations!A$1:C$1048576,2,FALSE())</f>
        <v>Total Yeast and Mold</v>
      </c>
      <c r="S333" s="1" t="str">
        <f aca="false">VLOOKUP(P333,[1]Categorizations!A$1:C$1048576,3,FALSE())</f>
        <v>Microbial Contamination</v>
      </c>
    </row>
    <row r="334" customFormat="false" ht="15.75" hidden="false" customHeight="false" outlineLevel="0" collapsed="false">
      <c r="A334" s="1" t="s">
        <v>1060</v>
      </c>
      <c r="C334" s="5" t="n">
        <v>44953</v>
      </c>
      <c r="D334" s="1" t="s">
        <v>780</v>
      </c>
      <c r="E334" s="6" t="s">
        <v>1061</v>
      </c>
      <c r="G334" s="1" t="s">
        <v>38</v>
      </c>
      <c r="H334" s="1"/>
      <c r="I334" s="1"/>
      <c r="J334" s="1" t="s">
        <v>985</v>
      </c>
      <c r="K334" s="1"/>
      <c r="L334" s="1"/>
      <c r="M334" s="1" t="s">
        <v>103</v>
      </c>
      <c r="N334" s="4" t="n">
        <v>44409</v>
      </c>
      <c r="O334" s="4"/>
      <c r="P334" s="1" t="s">
        <v>978</v>
      </c>
      <c r="Q334" s="1" t="s">
        <v>35</v>
      </c>
      <c r="R334" s="1" t="str">
        <f aca="false">VLOOKUP(P334,[1]Categorizations!A$1:C$1048576,2,FALSE())</f>
        <v>Total Yeast and Mold</v>
      </c>
      <c r="S334" s="1" t="str">
        <f aca="false">VLOOKUP(P334,[1]Categorizations!A$1:C$1048576,3,FALSE())</f>
        <v>Microbial Contamination</v>
      </c>
    </row>
    <row r="335" customFormat="false" ht="15.75" hidden="false" customHeight="false" outlineLevel="0" collapsed="false">
      <c r="A335" s="1" t="s">
        <v>1062</v>
      </c>
      <c r="C335" s="5" t="n">
        <v>44994</v>
      </c>
      <c r="D335" s="1" t="s">
        <v>780</v>
      </c>
      <c r="E335" s="6" t="s">
        <v>1063</v>
      </c>
      <c r="G335" s="1" t="s">
        <v>38</v>
      </c>
      <c r="H335" s="1"/>
      <c r="I335" s="1"/>
      <c r="J335" s="1" t="s">
        <v>1064</v>
      </c>
      <c r="K335" s="1"/>
      <c r="L335" s="1"/>
      <c r="M335" s="1" t="s">
        <v>103</v>
      </c>
      <c r="N335" s="4" t="n">
        <v>44788</v>
      </c>
      <c r="O335" s="4" t="n">
        <v>44883</v>
      </c>
      <c r="P335" s="1" t="s">
        <v>978</v>
      </c>
      <c r="Q335" s="1" t="s">
        <v>35</v>
      </c>
      <c r="R335" s="1" t="str">
        <f aca="false">VLOOKUP(P335,[1]Categorizations!A$1:C$1048576,2,FALSE())</f>
        <v>Total Yeast and Mold</v>
      </c>
      <c r="S335" s="1" t="str">
        <f aca="false">VLOOKUP(P335,[1]Categorizations!A$1:C$1048576,3,FALSE())</f>
        <v>Microbial Contamination</v>
      </c>
    </row>
    <row r="336" customFormat="false" ht="15.75" hidden="false" customHeight="false" outlineLevel="0" collapsed="false">
      <c r="A336" s="1" t="s">
        <v>1065</v>
      </c>
      <c r="C336" s="5" t="n">
        <v>45005</v>
      </c>
      <c r="D336" s="1" t="s">
        <v>780</v>
      </c>
      <c r="E336" s="6" t="s">
        <v>1066</v>
      </c>
      <c r="G336" s="1" t="s">
        <v>38</v>
      </c>
      <c r="H336" s="1"/>
      <c r="I336" s="1"/>
      <c r="J336" s="1" t="s">
        <v>1067</v>
      </c>
      <c r="K336" s="1"/>
      <c r="L336" s="1"/>
      <c r="M336" s="1" t="s">
        <v>103</v>
      </c>
      <c r="N336" s="4"/>
      <c r="O336" s="4" t="n">
        <v>44853</v>
      </c>
      <c r="P336" s="1" t="s">
        <v>978</v>
      </c>
      <c r="Q336" s="1" t="s">
        <v>35</v>
      </c>
      <c r="R336" s="1" t="str">
        <f aca="false">VLOOKUP(P336,[1]Categorizations!A$1:C$1048576,2,FALSE())</f>
        <v>Total Yeast and Mold</v>
      </c>
      <c r="S336" s="1" t="str">
        <f aca="false">VLOOKUP(P336,[1]Categorizations!A$1:C$1048576,3,FALSE())</f>
        <v>Microbial Contamination</v>
      </c>
    </row>
    <row r="337" customFormat="false" ht="15.75" hidden="false" customHeight="false" outlineLevel="0" collapsed="false">
      <c r="A337" s="1" t="s">
        <v>1068</v>
      </c>
      <c r="C337" s="5" t="n">
        <v>45008</v>
      </c>
      <c r="D337" s="1" t="s">
        <v>780</v>
      </c>
      <c r="E337" s="6" t="s">
        <v>1069</v>
      </c>
      <c r="G337" s="1" t="s">
        <v>38</v>
      </c>
      <c r="H337" s="1"/>
      <c r="I337" s="1"/>
      <c r="J337" s="1" t="s">
        <v>988</v>
      </c>
      <c r="K337" s="1"/>
      <c r="L337" s="1"/>
      <c r="M337" s="1" t="s">
        <v>103</v>
      </c>
      <c r="N337" s="4" t="n">
        <v>43831</v>
      </c>
      <c r="O337" s="4" t="n">
        <v>44999</v>
      </c>
      <c r="P337" s="1" t="s">
        <v>978</v>
      </c>
      <c r="Q337" s="1" t="s">
        <v>35</v>
      </c>
      <c r="R337" s="1" t="str">
        <f aca="false">VLOOKUP(P337,[1]Categorizations!A$1:C$1048576,2,FALSE())</f>
        <v>Total Yeast and Mold</v>
      </c>
      <c r="S337" s="1" t="str">
        <f aca="false">VLOOKUP(P337,[1]Categorizations!A$1:C$1048576,3,FALSE())</f>
        <v>Microbial Contamination</v>
      </c>
    </row>
    <row r="338" customFormat="false" ht="15.75" hidden="false" customHeight="false" outlineLevel="0" collapsed="false">
      <c r="A338" s="1" t="s">
        <v>1070</v>
      </c>
      <c r="C338" s="5" t="n">
        <v>45028</v>
      </c>
      <c r="D338" s="1" t="s">
        <v>780</v>
      </c>
      <c r="E338" s="6" t="s">
        <v>1071</v>
      </c>
      <c r="F338" s="1"/>
      <c r="G338" s="1" t="s">
        <v>38</v>
      </c>
      <c r="H338" s="1"/>
      <c r="I338" s="1"/>
      <c r="J338" s="1" t="s">
        <v>1072</v>
      </c>
      <c r="K338" s="1"/>
      <c r="L338" s="1"/>
      <c r="M338" s="1" t="s">
        <v>103</v>
      </c>
      <c r="N338" s="4"/>
      <c r="O338" s="4" t="n">
        <v>44988</v>
      </c>
      <c r="P338" s="1" t="s">
        <v>166</v>
      </c>
      <c r="Q338" s="1" t="s">
        <v>35</v>
      </c>
      <c r="R338" s="1" t="str">
        <f aca="false">VLOOKUP(P338,[1]Categorizations!A$1:C$1048576,2,FALSE())</f>
        <v>Aspergillus</v>
      </c>
      <c r="S338" s="1" t="str">
        <f aca="false">VLOOKUP(P338,[1]Categorizations!A$1:C$1048576,3,FALSE())</f>
        <v>Microbial Contamination</v>
      </c>
    </row>
    <row r="339" customFormat="false" ht="15.75" hidden="false" customHeight="false" outlineLevel="0" collapsed="false">
      <c r="A339" s="1" t="s">
        <v>1073</v>
      </c>
      <c r="C339" s="5" t="n">
        <v>45028</v>
      </c>
      <c r="D339" s="1" t="s">
        <v>780</v>
      </c>
      <c r="E339" s="6" t="s">
        <v>1074</v>
      </c>
      <c r="F339" s="1"/>
      <c r="G339" s="1" t="s">
        <v>38</v>
      </c>
      <c r="H339" s="1"/>
      <c r="I339" s="1"/>
      <c r="J339" s="1" t="s">
        <v>1075</v>
      </c>
      <c r="K339" s="1"/>
      <c r="L339" s="1"/>
      <c r="M339" s="1" t="s">
        <v>103</v>
      </c>
      <c r="N339" s="4" t="n">
        <v>44944</v>
      </c>
      <c r="O339" s="4" t="n">
        <v>44959</v>
      </c>
      <c r="P339" s="1" t="s">
        <v>166</v>
      </c>
      <c r="Q339" s="1" t="s">
        <v>35</v>
      </c>
      <c r="R339" s="1" t="str">
        <f aca="false">VLOOKUP(P339,[1]Categorizations!A$1:C$1048576,2,FALSE())</f>
        <v>Aspergillus</v>
      </c>
      <c r="S339" s="1" t="str">
        <f aca="false">VLOOKUP(P339,[1]Categorizations!A$1:C$1048576,3,FALSE())</f>
        <v>Microbial Contamination</v>
      </c>
    </row>
    <row r="340" customFormat="false" ht="15.75" hidden="false" customHeight="false" outlineLevel="0" collapsed="false">
      <c r="A340" s="1" t="s">
        <v>1076</v>
      </c>
      <c r="C340" s="5" t="n">
        <v>45028</v>
      </c>
      <c r="D340" s="1" t="s">
        <v>780</v>
      </c>
      <c r="E340" s="6" t="s">
        <v>1077</v>
      </c>
      <c r="F340" s="1"/>
      <c r="G340" s="1" t="s">
        <v>38</v>
      </c>
      <c r="H340" s="1"/>
      <c r="I340" s="1"/>
      <c r="J340" s="1" t="s">
        <v>1078</v>
      </c>
      <c r="K340" s="1"/>
      <c r="L340" s="1"/>
      <c r="M340" s="1" t="s">
        <v>103</v>
      </c>
      <c r="N340" s="4"/>
      <c r="O340" s="4" t="n">
        <v>44860</v>
      </c>
      <c r="P340" s="1" t="s">
        <v>1079</v>
      </c>
      <c r="Q340" s="1" t="s">
        <v>35</v>
      </c>
      <c r="R340" s="1" t="str">
        <f aca="false">VLOOKUP(P340,[1]Categorizations!A$1:C$1048576,2,FALSE())</f>
        <v>Total Yeast and Mold</v>
      </c>
      <c r="S340" s="1" t="str">
        <f aca="false">VLOOKUP(P340,[1]Categorizations!A$1:C$1048576,3,FALSE())</f>
        <v>Microbial Contamination</v>
      </c>
    </row>
    <row r="341" customFormat="false" ht="15.75" hidden="false" customHeight="false" outlineLevel="0" collapsed="false">
      <c r="A341" s="1" t="s">
        <v>1080</v>
      </c>
      <c r="C341" s="5" t="n">
        <v>45033</v>
      </c>
      <c r="D341" s="1" t="s">
        <v>780</v>
      </c>
      <c r="E341" s="6" t="s">
        <v>1081</v>
      </c>
      <c r="F341" s="1"/>
      <c r="G341" s="1" t="s">
        <v>38</v>
      </c>
      <c r="H341" s="1"/>
      <c r="I341" s="1"/>
      <c r="J341" s="1" t="s">
        <v>1082</v>
      </c>
      <c r="K341" s="1"/>
      <c r="L341" s="1"/>
      <c r="M341" s="1" t="s">
        <v>103</v>
      </c>
      <c r="N341" s="4" t="n">
        <v>44693</v>
      </c>
      <c r="O341" s="4" t="n">
        <v>44713</v>
      </c>
      <c r="P341" s="1" t="s">
        <v>1079</v>
      </c>
      <c r="Q341" s="1" t="s">
        <v>35</v>
      </c>
      <c r="R341" s="1" t="str">
        <f aca="false">VLOOKUP(P341,[1]Categorizations!A$1:C$1048576,2,FALSE())</f>
        <v>Total Yeast and Mold</v>
      </c>
      <c r="S341" s="1" t="str">
        <f aca="false">VLOOKUP(P341,[1]Categorizations!A$1:C$1048576,3,FALSE())</f>
        <v>Microbial Contamination</v>
      </c>
    </row>
    <row r="342" customFormat="false" ht="15.75" hidden="false" customHeight="false" outlineLevel="0" collapsed="false">
      <c r="A342" s="1" t="s">
        <v>1083</v>
      </c>
      <c r="C342" s="5" t="n">
        <v>45054</v>
      </c>
      <c r="D342" s="1" t="s">
        <v>780</v>
      </c>
      <c r="E342" s="6" t="s">
        <v>1084</v>
      </c>
      <c r="F342" s="1"/>
      <c r="G342" s="1" t="s">
        <v>38</v>
      </c>
      <c r="H342" s="1"/>
      <c r="I342" s="1"/>
      <c r="J342" s="1" t="s">
        <v>1085</v>
      </c>
      <c r="K342" s="1"/>
      <c r="L342" s="1"/>
      <c r="M342" s="1" t="s">
        <v>103</v>
      </c>
      <c r="N342" s="4" t="n">
        <v>44965</v>
      </c>
      <c r="O342" s="4" t="n">
        <v>44995</v>
      </c>
      <c r="P342" s="1" t="s">
        <v>1079</v>
      </c>
      <c r="Q342" s="1" t="s">
        <v>35</v>
      </c>
      <c r="R342" s="1" t="str">
        <f aca="false">VLOOKUP(P342,[1]Categorizations!A$1:C$1048576,2,FALSE())</f>
        <v>Total Yeast and Mold</v>
      </c>
      <c r="S342" s="1" t="str">
        <f aca="false">VLOOKUP(P342,[1]Categorizations!A$1:C$1048576,3,FALSE())</f>
        <v>Microbial Contamination</v>
      </c>
    </row>
    <row r="343" customFormat="false" ht="15.75" hidden="false" customHeight="false" outlineLevel="0" collapsed="false">
      <c r="A343" s="1" t="s">
        <v>1086</v>
      </c>
      <c r="C343" s="5" t="n">
        <v>45055</v>
      </c>
      <c r="D343" s="1" t="s">
        <v>780</v>
      </c>
      <c r="E343" s="6" t="s">
        <v>1087</v>
      </c>
      <c r="F343" s="1"/>
      <c r="G343" s="1" t="s">
        <v>38</v>
      </c>
      <c r="H343" s="1"/>
      <c r="I343" s="1"/>
      <c r="J343" s="1" t="s">
        <v>1067</v>
      </c>
      <c r="K343" s="1"/>
      <c r="L343" s="1"/>
      <c r="M343" s="1" t="s">
        <v>103</v>
      </c>
      <c r="N343" s="4"/>
      <c r="O343" s="4" t="n">
        <v>44853</v>
      </c>
      <c r="P343" s="1" t="s">
        <v>1079</v>
      </c>
      <c r="Q343" s="1" t="s">
        <v>35</v>
      </c>
      <c r="R343" s="1" t="str">
        <f aca="false">VLOOKUP(P343,[1]Categorizations!A$1:C$1048576,2,FALSE())</f>
        <v>Total Yeast and Mold</v>
      </c>
      <c r="S343" s="1" t="str">
        <f aca="false">VLOOKUP(P343,[1]Categorizations!A$1:C$1048576,3,FALSE())</f>
        <v>Microbial Contamination</v>
      </c>
    </row>
    <row r="344" customFormat="false" ht="15.75" hidden="false" customHeight="false" outlineLevel="0" collapsed="false">
      <c r="A344" s="1" t="s">
        <v>1088</v>
      </c>
      <c r="C344" s="5" t="n">
        <v>45069</v>
      </c>
      <c r="D344" s="1" t="s">
        <v>780</v>
      </c>
      <c r="E344" s="6" t="s">
        <v>1089</v>
      </c>
      <c r="F344" s="1"/>
      <c r="G344" s="1" t="s">
        <v>38</v>
      </c>
      <c r="H344" s="1"/>
      <c r="I344" s="1"/>
      <c r="J344" s="1" t="s">
        <v>1090</v>
      </c>
      <c r="K344" s="1"/>
      <c r="L344" s="1"/>
      <c r="M344" s="1" t="s">
        <v>103</v>
      </c>
      <c r="N344" s="4"/>
      <c r="O344" s="4" t="n">
        <v>44931</v>
      </c>
      <c r="P344" s="1" t="s">
        <v>47</v>
      </c>
      <c r="Q344" s="1" t="s">
        <v>35</v>
      </c>
      <c r="R344" s="1" t="str">
        <f aca="false">VLOOKUP(P344,[1]Categorizations!A$1:C$1048576,2,FALSE())</f>
        <v>Aspergillus</v>
      </c>
      <c r="S344" s="1" t="str">
        <f aca="false">VLOOKUP(P344,[1]Categorizations!A$1:C$1048576,3,FALSE())</f>
        <v>Microbial Contamination</v>
      </c>
    </row>
    <row r="345" customFormat="false" ht="15.75" hidden="false" customHeight="false" outlineLevel="0" collapsed="false">
      <c r="A345" s="1" t="s">
        <v>1091</v>
      </c>
      <c r="C345" s="5" t="n">
        <v>45078</v>
      </c>
      <c r="D345" s="1" t="s">
        <v>780</v>
      </c>
      <c r="E345" s="6" t="s">
        <v>1092</v>
      </c>
      <c r="F345" s="1"/>
      <c r="G345" s="1" t="s">
        <v>38</v>
      </c>
      <c r="H345" s="1"/>
      <c r="I345" s="1"/>
      <c r="J345" s="1" t="s">
        <v>1039</v>
      </c>
      <c r="K345" s="1"/>
      <c r="L345" s="1"/>
      <c r="M345" s="1" t="s">
        <v>103</v>
      </c>
      <c r="N345" s="4" t="n">
        <v>44621</v>
      </c>
      <c r="O345" s="4"/>
      <c r="P345" s="1" t="s">
        <v>1093</v>
      </c>
      <c r="Q345" s="1" t="s">
        <v>35</v>
      </c>
      <c r="R345" s="1" t="str">
        <f aca="false">VLOOKUP(P345,[1]Categorizations!A$1:C$1048576,2,FALSE())</f>
        <v>Adverse Health Events</v>
      </c>
      <c r="S345" s="1" t="str">
        <f aca="false">VLOOKUP(P345,[1]Categorizations!A$1:C$1048576,3,FALSE())</f>
        <v>Adverse Health Events</v>
      </c>
    </row>
    <row r="346" customFormat="false" ht="15.75" hidden="false" customHeight="false" outlineLevel="0" collapsed="false">
      <c r="A346" s="1" t="s">
        <v>1094</v>
      </c>
      <c r="C346" s="5" t="n">
        <v>45089</v>
      </c>
      <c r="D346" s="1" t="s">
        <v>780</v>
      </c>
      <c r="E346" s="6" t="s">
        <v>1095</v>
      </c>
      <c r="F346" s="1"/>
      <c r="G346" s="1" t="s">
        <v>38</v>
      </c>
      <c r="H346" s="1"/>
      <c r="I346" s="1"/>
      <c r="J346" s="1" t="s">
        <v>1096</v>
      </c>
      <c r="K346" s="1"/>
      <c r="L346" s="1"/>
      <c r="M346" s="1" t="s">
        <v>103</v>
      </c>
      <c r="N346" s="4" t="n">
        <v>44848</v>
      </c>
      <c r="O346" s="4" t="n">
        <v>44967</v>
      </c>
      <c r="P346" s="1" t="s">
        <v>1097</v>
      </c>
      <c r="Q346" s="1" t="s">
        <v>35</v>
      </c>
      <c r="R346" s="1" t="str">
        <f aca="false">VLOOKUP(P346,[1]Categorizations!A$1:C$1048576,2,FALSE())</f>
        <v>Total Yeast and Mold</v>
      </c>
      <c r="S346" s="1" t="str">
        <f aca="false">VLOOKUP(P346,[1]Categorizations!A$1:C$1048576,3,FALSE())</f>
        <v>Microbial Contamination</v>
      </c>
    </row>
    <row r="347" customFormat="false" ht="15.75" hidden="false" customHeight="false" outlineLevel="0" collapsed="false">
      <c r="A347" s="1" t="s">
        <v>1098</v>
      </c>
      <c r="C347" s="5" t="n">
        <v>45099</v>
      </c>
      <c r="D347" s="1" t="s">
        <v>780</v>
      </c>
      <c r="E347" s="6" t="s">
        <v>1099</v>
      </c>
      <c r="F347" s="1"/>
      <c r="G347" s="1" t="s">
        <v>38</v>
      </c>
      <c r="H347" s="1"/>
      <c r="I347" s="1"/>
      <c r="J347" s="1" t="s">
        <v>1100</v>
      </c>
      <c r="K347" s="1"/>
      <c r="L347" s="1"/>
      <c r="M347" s="1" t="s">
        <v>103</v>
      </c>
      <c r="N347" s="4" t="n">
        <v>44774</v>
      </c>
      <c r="O347" s="4" t="n">
        <v>44700</v>
      </c>
      <c r="P347" s="1" t="s">
        <v>1097</v>
      </c>
      <c r="Q347" s="1" t="s">
        <v>35</v>
      </c>
      <c r="R347" s="1" t="str">
        <f aca="false">VLOOKUP(P347,[1]Categorizations!A$1:C$1048576,2,FALSE())</f>
        <v>Total Yeast and Mold</v>
      </c>
      <c r="S347" s="1" t="str">
        <f aca="false">VLOOKUP(P347,[1]Categorizations!A$1:C$1048576,3,FALSE())</f>
        <v>Microbial Contamination</v>
      </c>
    </row>
    <row r="348" customFormat="false" ht="15.75" hidden="false" customHeight="false" outlineLevel="0" collapsed="false">
      <c r="A348" s="1" t="s">
        <v>1101</v>
      </c>
      <c r="C348" s="5" t="n">
        <v>45162</v>
      </c>
      <c r="D348" s="1" t="s">
        <v>780</v>
      </c>
      <c r="E348" s="6" t="s">
        <v>1102</v>
      </c>
      <c r="F348" s="1"/>
      <c r="G348" s="1" t="s">
        <v>38</v>
      </c>
      <c r="H348" s="1"/>
      <c r="I348" s="1"/>
      <c r="J348" s="1" t="s">
        <v>1103</v>
      </c>
      <c r="K348" s="1"/>
      <c r="L348" s="1"/>
      <c r="M348" s="1" t="s">
        <v>103</v>
      </c>
      <c r="N348" s="4" t="n">
        <v>44804</v>
      </c>
      <c r="O348" s="4" t="n">
        <v>44844</v>
      </c>
      <c r="P348" s="1" t="s">
        <v>1097</v>
      </c>
      <c r="Q348" s="1" t="s">
        <v>35</v>
      </c>
      <c r="R348" s="1" t="str">
        <f aca="false">VLOOKUP(P348,[1]Categorizations!A$1:C$1048576,2,FALSE())</f>
        <v>Total Yeast and Mold</v>
      </c>
      <c r="S348" s="1" t="str">
        <f aca="false">VLOOKUP(P348,[1]Categorizations!A$1:C$1048576,3,FALSE())</f>
        <v>Microbial Contamination</v>
      </c>
    </row>
    <row r="349" customFormat="false" ht="15.75" hidden="false" customHeight="false" outlineLevel="0" collapsed="false">
      <c r="A349" s="1" t="str">
        <f aca="false">CONCATENATE(C349,J349)</f>
        <v>45485NOCO Farm LLC,</v>
      </c>
      <c r="C349" s="5" t="n">
        <v>45485</v>
      </c>
      <c r="D349" s="1" t="s">
        <v>780</v>
      </c>
      <c r="E349" s="6" t="s">
        <v>1104</v>
      </c>
      <c r="F349" s="1"/>
      <c r="G349" s="1" t="s">
        <v>38</v>
      </c>
      <c r="H349" s="1"/>
      <c r="I349" s="1" t="s">
        <v>1105</v>
      </c>
      <c r="J349" s="1" t="s">
        <v>1106</v>
      </c>
      <c r="M349" s="1" t="s">
        <v>103</v>
      </c>
      <c r="N349" s="4"/>
      <c r="O349" s="4" t="n">
        <v>45413</v>
      </c>
      <c r="P349" s="1" t="s">
        <v>1097</v>
      </c>
      <c r="Q349" s="1" t="s">
        <v>35</v>
      </c>
      <c r="R349" s="1" t="str">
        <f aca="false">VLOOKUP(P349,[1]Categorizations!A$1:C$1048576,2,FALSE())</f>
        <v>Total Yeast and Mold</v>
      </c>
      <c r="S349" s="1" t="str">
        <f aca="false">VLOOKUP(P349,[1]Categorizations!A$1:C$1048576,3,FALSE())</f>
        <v>Microbial Contamination</v>
      </c>
    </row>
    <row r="350" customFormat="false" ht="15.75" hidden="false" customHeight="false" outlineLevel="0" collapsed="false">
      <c r="A350" s="1" t="str">
        <f aca="false">CONCATENATE(C350,J350)</f>
        <v>45485Wild Horse Enterprises,</v>
      </c>
      <c r="C350" s="5" t="n">
        <v>45485</v>
      </c>
      <c r="D350" s="1" t="s">
        <v>780</v>
      </c>
      <c r="E350" s="6" t="s">
        <v>1107</v>
      </c>
      <c r="F350" s="1"/>
      <c r="G350" s="1" t="s">
        <v>38</v>
      </c>
      <c r="H350" s="1"/>
      <c r="I350" s="1" t="s">
        <v>1108</v>
      </c>
      <c r="J350" s="1" t="s">
        <v>1109</v>
      </c>
      <c r="M350" s="1" t="s">
        <v>103</v>
      </c>
      <c r="N350" s="4" t="n">
        <v>45316</v>
      </c>
      <c r="O350" s="4" t="n">
        <v>45372</v>
      </c>
      <c r="P350" s="1" t="s">
        <v>1097</v>
      </c>
      <c r="Q350" s="1" t="s">
        <v>35</v>
      </c>
      <c r="R350" s="1" t="str">
        <f aca="false">VLOOKUP(P350,[1]Categorizations!A$1:C$1048576,2,FALSE())</f>
        <v>Total Yeast and Mold</v>
      </c>
      <c r="S350" s="1" t="str">
        <f aca="false">VLOOKUP(P350,[1]Categorizations!A$1:C$1048576,3,FALSE())</f>
        <v>Microbial Contamination</v>
      </c>
    </row>
    <row r="351" customFormat="false" ht="15.75" hidden="false" customHeight="false" outlineLevel="0" collapsed="false">
      <c r="A351" s="1" t="str">
        <f aca="false">CONCATENATE(C351,J351)</f>
        <v>45534SLOW BURN FARMS, LLC</v>
      </c>
      <c r="C351" s="5" t="n">
        <v>45534</v>
      </c>
      <c r="D351" s="1" t="s">
        <v>780</v>
      </c>
      <c r="E351" s="6" t="s">
        <v>1110</v>
      </c>
      <c r="F351" s="1"/>
      <c r="G351" s="1" t="s">
        <v>1111</v>
      </c>
      <c r="H351" s="1" t="s">
        <v>55</v>
      </c>
      <c r="I351" s="1" t="s">
        <v>1112</v>
      </c>
      <c r="J351" s="1" t="s">
        <v>1112</v>
      </c>
      <c r="M351" s="1" t="s">
        <v>103</v>
      </c>
      <c r="N351" s="4" t="n">
        <v>45278</v>
      </c>
      <c r="O351" s="4" t="n">
        <v>45330</v>
      </c>
      <c r="P351" s="1" t="s">
        <v>1113</v>
      </c>
      <c r="Q351" s="1" t="s">
        <v>35</v>
      </c>
      <c r="R351" s="1" t="str">
        <f aca="false">VLOOKUP(P351,[1]Categorizations!A$1:C$1048576,2,FALSE())</f>
        <v>Multiple: Pesticides / Aspergillus</v>
      </c>
      <c r="S351" s="1" t="str">
        <f aca="false">VLOOKUP(P351,[1]Categorizations!A$1:C$1048576,3,FALSE())</f>
        <v>Multiple</v>
      </c>
    </row>
    <row r="352" customFormat="false" ht="15.75" hidden="false" customHeight="false" outlineLevel="0" collapsed="false">
      <c r="A352" s="1" t="str">
        <f aca="false">CONCATENATE(C352,J352)</f>
        <v>45597Wyld</v>
      </c>
      <c r="B352" s="4" t="n">
        <v>45594</v>
      </c>
      <c r="C352" s="5" t="n">
        <v>45597</v>
      </c>
      <c r="D352" s="1" t="s">
        <v>780</v>
      </c>
      <c r="E352" s="6" t="s">
        <v>1114</v>
      </c>
      <c r="F352" s="1"/>
      <c r="G352" s="1" t="s">
        <v>1111</v>
      </c>
      <c r="H352" s="1" t="s">
        <v>171</v>
      </c>
      <c r="I352" s="1" t="s">
        <v>1115</v>
      </c>
      <c r="J352" s="1" t="s">
        <v>1116</v>
      </c>
      <c r="K352" s="1"/>
      <c r="L352" s="1" t="s">
        <v>103</v>
      </c>
      <c r="M352" s="1" t="s">
        <v>103</v>
      </c>
      <c r="N352" s="4"/>
      <c r="O352" s="4" t="n">
        <v>45364</v>
      </c>
      <c r="P352" s="1" t="s">
        <v>1117</v>
      </c>
      <c r="Q352" s="1" t="s">
        <v>35</v>
      </c>
      <c r="R352" s="1" t="str">
        <f aca="false">VLOOKUP(P352,[1]Categorizations!A$1:C$1048576,2,FALSE())</f>
        <v>Inaccurate THC</v>
      </c>
      <c r="S352" s="1" t="str">
        <f aca="false">VLOOKUP(P352,[1]Categorizations!A$1:C$1048576,3,FALSE())</f>
        <v>Inaccurate THC</v>
      </c>
    </row>
    <row r="353" customFormat="false" ht="15.75" hidden="false" customHeight="false" outlineLevel="0" collapsed="false">
      <c r="A353" s="1" t="str">
        <f aca="false">CONCATENATE(C353,J353)</f>
        <v>45610RR Services, LLC</v>
      </c>
      <c r="C353" s="5" t="n">
        <v>45610</v>
      </c>
      <c r="D353" s="1" t="s">
        <v>780</v>
      </c>
      <c r="E353" s="6" t="s">
        <v>1118</v>
      </c>
      <c r="F353" s="1"/>
      <c r="G353" s="1" t="s">
        <v>1111</v>
      </c>
      <c r="H353" s="1" t="s">
        <v>39</v>
      </c>
      <c r="I353" s="1" t="s">
        <v>1119</v>
      </c>
      <c r="J353" s="1" t="s">
        <v>1120</v>
      </c>
      <c r="M353" s="1" t="s">
        <v>103</v>
      </c>
      <c r="N353" s="4"/>
      <c r="O353" s="4" t="n">
        <v>45380</v>
      </c>
      <c r="P353" s="1" t="s">
        <v>1121</v>
      </c>
      <c r="Q353" s="1" t="s">
        <v>35</v>
      </c>
      <c r="R353" s="1" t="str">
        <f aca="false">VLOOKUP(P353,[1]Categorizations!A$1:C$1048576,2,FALSE())</f>
        <v>Multiple: Yeast and Mold, Aspergillus</v>
      </c>
      <c r="S353" s="1" t="str">
        <f aca="false">VLOOKUP(P353,[1]Categorizations!A$1:C$1048576,3,FALSE())</f>
        <v>Multiple</v>
      </c>
    </row>
    <row r="354" customFormat="false" ht="15.75" hidden="false" customHeight="false" outlineLevel="0" collapsed="false">
      <c r="A354" s="1" t="str">
        <f aca="false">CONCATENATE(C354,J354)</f>
        <v>45670Levels IV Inc and SKL Holdings III LLC</v>
      </c>
      <c r="C354" s="5" t="n">
        <v>45670</v>
      </c>
      <c r="D354" s="1" t="s">
        <v>780</v>
      </c>
      <c r="E354" s="6" t="s">
        <v>1122</v>
      </c>
      <c r="F354" s="1"/>
      <c r="G354" s="1" t="s">
        <v>1111</v>
      </c>
      <c r="H354" s="1" t="s">
        <v>39</v>
      </c>
      <c r="I354" s="1" t="s">
        <v>1123</v>
      </c>
      <c r="J354" s="1" t="s">
        <v>1123</v>
      </c>
      <c r="M354" s="1" t="s">
        <v>103</v>
      </c>
      <c r="N354" s="4"/>
      <c r="O354" s="4" t="n">
        <v>45654</v>
      </c>
      <c r="P354" s="1" t="s">
        <v>1124</v>
      </c>
      <c r="Q354" s="1" t="s">
        <v>35</v>
      </c>
      <c r="R354" s="1" t="str">
        <f aca="false">VLOOKUP(P354,[1]Categorizations!A$1:C$1048576,2,FALSE())</f>
        <v>Total Yeast and Mold</v>
      </c>
      <c r="S354" s="1" t="str">
        <f aca="false">VLOOKUP(P354,[1]Categorizations!A$1:C$1048576,3,FALSE())</f>
        <v>Microbial Contamination</v>
      </c>
    </row>
    <row r="355" customFormat="false" ht="15.75" hidden="false" customHeight="false" outlineLevel="0" collapsed="false">
      <c r="A355" s="1" t="str">
        <f aca="false">CONCATENATE(C355,I355)</f>
        <v>45685Bud &amp; Mary's Cannabis</v>
      </c>
      <c r="C355" s="5" t="n">
        <v>45685</v>
      </c>
      <c r="D355" s="1" t="s">
        <v>780</v>
      </c>
      <c r="E355" s="6" t="s">
        <v>1125</v>
      </c>
      <c r="F355" s="1"/>
      <c r="G355" s="1" t="s">
        <v>1111</v>
      </c>
      <c r="H355" s="1" t="s">
        <v>39</v>
      </c>
      <c r="I355" s="1" t="s">
        <v>1126</v>
      </c>
      <c r="J355" s="1" t="s">
        <v>1127</v>
      </c>
      <c r="M355" s="1" t="s">
        <v>103</v>
      </c>
      <c r="N355" s="4"/>
      <c r="O355" s="4" t="n">
        <v>45329</v>
      </c>
      <c r="P355" s="1" t="s">
        <v>1124</v>
      </c>
      <c r="Q355" s="1" t="s">
        <v>35</v>
      </c>
      <c r="R355" s="1" t="str">
        <f aca="false">VLOOKUP(P355,[1]Categorizations!A$1:C$1048576,2,FALSE())</f>
        <v>Total Yeast and Mold</v>
      </c>
      <c r="S355" s="1" t="str">
        <f aca="false">VLOOKUP(P355,[1]Categorizations!A$1:C$1048576,3,FALSE())</f>
        <v>Microbial Contamination</v>
      </c>
    </row>
    <row r="356" customFormat="false" ht="15.75" hidden="false" customHeight="false" outlineLevel="0" collapsed="false">
      <c r="A356" s="1" t="str">
        <f aca="false">CONCATENATE(C356,J356)</f>
        <v>45688Luminescence Labs Inc</v>
      </c>
      <c r="C356" s="5" t="n">
        <v>45688</v>
      </c>
      <c r="D356" s="1" t="s">
        <v>780</v>
      </c>
      <c r="E356" s="6" t="s">
        <v>1128</v>
      </c>
      <c r="F356" s="1"/>
      <c r="G356" s="1" t="s">
        <v>1111</v>
      </c>
      <c r="H356" s="1" t="s">
        <v>116</v>
      </c>
      <c r="I356" s="1" t="s">
        <v>1129</v>
      </c>
      <c r="J356" s="1" t="s">
        <v>1130</v>
      </c>
      <c r="M356" s="1" t="s">
        <v>103</v>
      </c>
      <c r="N356" s="4"/>
      <c r="O356" s="4" t="n">
        <v>45611</v>
      </c>
      <c r="P356" s="1" t="s">
        <v>1131</v>
      </c>
      <c r="Q356" s="1" t="s">
        <v>35</v>
      </c>
      <c r="R356" s="1" t="str">
        <f aca="false">VLOOKUP(P356,[1]Categorizations!A$1:C$1048576,2,FALSE())</f>
        <v>Pesticides</v>
      </c>
      <c r="S356" s="1" t="str">
        <f aca="false">VLOOKUP(P356,[1]Categorizations!A$1:C$1048576,3,FALSE())</f>
        <v>Pesticides</v>
      </c>
    </row>
    <row r="357" customFormat="false" ht="15.75" hidden="false" customHeight="false" outlineLevel="0" collapsed="false">
      <c r="A357" s="1" t="str">
        <f aca="false">CONCATENATE(C357,J357)</f>
        <v>45693Fox Street Wellness, LLC</v>
      </c>
      <c r="C357" s="5" t="n">
        <v>45693</v>
      </c>
      <c r="D357" s="1" t="s">
        <v>780</v>
      </c>
      <c r="E357" s="6" t="s">
        <v>1132</v>
      </c>
      <c r="F357" s="1"/>
      <c r="G357" s="1" t="s">
        <v>1111</v>
      </c>
      <c r="H357" s="1" t="s">
        <v>39</v>
      </c>
      <c r="I357" s="1" t="s">
        <v>1133</v>
      </c>
      <c r="J357" s="1" t="s">
        <v>1133</v>
      </c>
      <c r="M357" s="1" t="s">
        <v>103</v>
      </c>
      <c r="N357" s="4"/>
      <c r="O357" s="4" t="n">
        <v>45379</v>
      </c>
      <c r="P357" s="1" t="s">
        <v>1134</v>
      </c>
      <c r="Q357" s="1" t="s">
        <v>35</v>
      </c>
      <c r="R357" s="1" t="str">
        <f aca="false">VLOOKUP(P357,[1]Categorizations!A$1:C$1048576,2,FALSE())</f>
        <v>Multiple: Total Yeast and Mold, Moisture Content</v>
      </c>
      <c r="S357" s="1" t="str">
        <f aca="false">VLOOKUP(P357,[1]Categorizations!A$1:C$1048576,3,FALSE())</f>
        <v>Multiple</v>
      </c>
    </row>
    <row r="358" customFormat="false" ht="15.75" hidden="false" customHeight="false" outlineLevel="0" collapsed="false">
      <c r="A358" s="1" t="str">
        <f aca="false">CONCATENATE(C358,J358)</f>
        <v>45709PBS HOLDCO LLC</v>
      </c>
      <c r="C358" s="5" t="n">
        <v>45709</v>
      </c>
      <c r="D358" s="1" t="s">
        <v>780</v>
      </c>
      <c r="E358" s="6" t="s">
        <v>1135</v>
      </c>
      <c r="F358" s="1"/>
      <c r="G358" s="1" t="s">
        <v>38</v>
      </c>
      <c r="H358" s="1" t="s">
        <v>210</v>
      </c>
      <c r="I358" s="1" t="s">
        <v>1136</v>
      </c>
      <c r="J358" s="1" t="s">
        <v>1137</v>
      </c>
      <c r="M358" s="1" t="s">
        <v>103</v>
      </c>
      <c r="N358" s="4"/>
      <c r="O358" s="4" t="n">
        <v>45490</v>
      </c>
      <c r="P358" s="1" t="s">
        <v>971</v>
      </c>
      <c r="Q358" s="1" t="s">
        <v>35</v>
      </c>
      <c r="R358" s="1" t="str">
        <f aca="false">VLOOKUP(P358,[1]Categorizations!A$1:C$1048576,2,FALSE())</f>
        <v>Prohibited Additives / Product</v>
      </c>
      <c r="S358" s="1" t="str">
        <f aca="false">VLOOKUP(P358,[1]Categorizations!A$1:C$1048576,3,FALSE())</f>
        <v>Prohibited Additives / Product</v>
      </c>
    </row>
    <row r="359" customFormat="false" ht="15.75" hidden="false" customHeight="false" outlineLevel="0" collapsed="false">
      <c r="A359" s="1" t="str">
        <f aca="false">CONCATENATE(C359,J359)</f>
        <v>45737Magic City Farms 1 LLC.</v>
      </c>
      <c r="C359" s="5" t="n">
        <v>45737</v>
      </c>
      <c r="D359" s="1" t="s">
        <v>780</v>
      </c>
      <c r="E359" s="6" t="s">
        <v>1138</v>
      </c>
      <c r="F359" s="1"/>
      <c r="G359" s="1" t="s">
        <v>1111</v>
      </c>
      <c r="H359" s="1" t="s">
        <v>55</v>
      </c>
      <c r="I359" s="1" t="s">
        <v>1139</v>
      </c>
      <c r="J359" s="1" t="s">
        <v>1139</v>
      </c>
      <c r="M359" s="1" t="s">
        <v>103</v>
      </c>
      <c r="N359" s="4"/>
      <c r="O359" s="4" t="n">
        <v>45597</v>
      </c>
      <c r="P359" s="1" t="s">
        <v>1121</v>
      </c>
      <c r="Q359" s="1" t="s">
        <v>35</v>
      </c>
      <c r="R359" s="1" t="str">
        <f aca="false">VLOOKUP(P359,[1]Categorizations!A$1:C$1048576,2,FALSE())</f>
        <v>Multiple: Yeast and Mold, Aspergillus</v>
      </c>
      <c r="S359" s="1" t="str">
        <f aca="false">VLOOKUP(P359,[1]Categorizations!A$1:C$1048576,3,FALSE())</f>
        <v>Multiple</v>
      </c>
    </row>
    <row r="360" customFormat="false" ht="15.75" hidden="false" customHeight="false" outlineLevel="0" collapsed="false">
      <c r="A360" s="1" t="str">
        <f aca="false">CONCATENATE(C360,J360)</f>
        <v>45825Verv LLC</v>
      </c>
      <c r="C360" s="5" t="n">
        <v>45825</v>
      </c>
      <c r="D360" s="1" t="s">
        <v>780</v>
      </c>
      <c r="E360" s="6" t="s">
        <v>1140</v>
      </c>
      <c r="F360" s="1"/>
      <c r="G360" s="1" t="s">
        <v>38</v>
      </c>
      <c r="H360" s="1" t="s">
        <v>116</v>
      </c>
      <c r="I360" s="1" t="s">
        <v>1141</v>
      </c>
      <c r="J360" s="1" t="s">
        <v>1142</v>
      </c>
      <c r="M360" s="1" t="s">
        <v>103</v>
      </c>
      <c r="N360" s="4"/>
      <c r="O360" s="4" t="n">
        <v>45771</v>
      </c>
      <c r="P360" s="1" t="s">
        <v>1143</v>
      </c>
      <c r="Q360" s="1" t="s">
        <v>35</v>
      </c>
      <c r="R360" s="1" t="str">
        <f aca="false">VLOOKUP(P360,[1]Categorizations!A$1:C$1048576,2,FALSE())</f>
        <v>Pesticides</v>
      </c>
      <c r="S360" s="1" t="str">
        <f aca="false">VLOOKUP(P360,[1]Categorizations!A$1:C$1048576,3,FALSE())</f>
        <v>Pesticides</v>
      </c>
    </row>
    <row r="361" customFormat="false" ht="15.75" hidden="false" customHeight="false" outlineLevel="0" collapsed="false">
      <c r="A361" s="1" t="str">
        <f aca="false">CONCATENATE(C361,J361)</f>
        <v>45825C&amp;R Colorado LLC</v>
      </c>
      <c r="C361" s="5" t="n">
        <v>45825</v>
      </c>
      <c r="D361" s="1" t="s">
        <v>780</v>
      </c>
      <c r="E361" s="6" t="s">
        <v>1144</v>
      </c>
      <c r="F361" s="1"/>
      <c r="G361" s="1" t="s">
        <v>38</v>
      </c>
      <c r="H361" s="1" t="s">
        <v>171</v>
      </c>
      <c r="I361" s="1" t="s">
        <v>1145</v>
      </c>
      <c r="J361" s="1" t="s">
        <v>1146</v>
      </c>
      <c r="M361" s="1" t="s">
        <v>103</v>
      </c>
      <c r="N361" s="4"/>
      <c r="O361" s="4" t="n">
        <v>45773</v>
      </c>
      <c r="P361" s="1" t="s">
        <v>1147</v>
      </c>
      <c r="Q361" s="1" t="s">
        <v>35</v>
      </c>
      <c r="R361" s="1" t="str">
        <f aca="false">VLOOKUP(P361,[1]Categorizations!A$1:C$1048576,2,FALSE())</f>
        <v>Pesticides</v>
      </c>
      <c r="S361" s="1" t="str">
        <f aca="false">VLOOKUP(P361,[1]Categorizations!A$1:C$1048576,3,FALSE())</f>
        <v>Pesticides</v>
      </c>
    </row>
    <row r="362" customFormat="false" ht="15.75" hidden="false" customHeight="false" outlineLevel="0" collapsed="false">
      <c r="A362" s="1" t="str">
        <f aca="false">CONCATENATE(C362,J362)</f>
        <v>45876Clearview Industries, LLC.</v>
      </c>
      <c r="C362" s="5" t="n">
        <v>45876</v>
      </c>
      <c r="D362" s="1" t="s">
        <v>780</v>
      </c>
      <c r="E362" s="6" t="s">
        <v>1148</v>
      </c>
      <c r="F362" s="1"/>
      <c r="G362" s="1" t="s">
        <v>38</v>
      </c>
      <c r="H362" s="1" t="s">
        <v>171</v>
      </c>
      <c r="I362" s="1" t="s">
        <v>1149</v>
      </c>
      <c r="J362" s="1" t="s">
        <v>1149</v>
      </c>
      <c r="M362" s="1" t="s">
        <v>103</v>
      </c>
      <c r="N362" s="4"/>
      <c r="O362" s="4" t="n">
        <v>45839</v>
      </c>
      <c r="P362" s="1" t="s">
        <v>1150</v>
      </c>
      <c r="Q362" s="1" t="s">
        <v>35</v>
      </c>
      <c r="R362" s="1" t="str">
        <f aca="false">VLOOKUP(P362,[1]Categorizations!A$1:C$1048576,2,FALSE())</f>
        <v>Pesticides</v>
      </c>
      <c r="S362" s="1" t="str">
        <f aca="false">VLOOKUP(P362,[1]Categorizations!A$1:C$1048576,3,FALSE())</f>
        <v>Pesticides</v>
      </c>
    </row>
    <row r="363" customFormat="false" ht="15.75" hidden="false" customHeight="false" outlineLevel="0" collapsed="false">
      <c r="A363" s="1" t="str">
        <f aca="false">CONCATENATE(C363,J363)</f>
        <v>45908CSV CO LLC and Jolet Ventures LLC,</v>
      </c>
      <c r="C363" s="5" t="n">
        <v>45908</v>
      </c>
      <c r="D363" s="1" t="s">
        <v>780</v>
      </c>
      <c r="E363" s="6" t="s">
        <v>1151</v>
      </c>
      <c r="F363" s="1"/>
      <c r="G363" s="1" t="s">
        <v>38</v>
      </c>
      <c r="H363" s="1" t="s">
        <v>1152</v>
      </c>
      <c r="I363" s="1" t="s">
        <v>1153</v>
      </c>
      <c r="J363" s="1" t="s">
        <v>1154</v>
      </c>
      <c r="M363" s="1" t="s">
        <v>103</v>
      </c>
      <c r="N363" s="4"/>
      <c r="O363" s="4" t="n">
        <v>45798</v>
      </c>
      <c r="P363" s="1" t="s">
        <v>1121</v>
      </c>
      <c r="Q363" s="1" t="s">
        <v>35</v>
      </c>
      <c r="R363" s="1" t="str">
        <f aca="false">VLOOKUP(P363,[1]Categorizations!A$1:C$1048576,2,FALSE())</f>
        <v>Multiple: Yeast and Mold, Aspergillus</v>
      </c>
      <c r="S363" s="1" t="str">
        <f aca="false">VLOOKUP(P363,[1]Categorizations!A$1:C$1048576,3,FALSE())</f>
        <v>Multiple</v>
      </c>
    </row>
    <row r="364" customFormat="false" ht="15.75" hidden="false" customHeight="false" outlineLevel="0" collapsed="false">
      <c r="A364" s="1" t="str">
        <f aca="false">CONCATENATE(C364,J364)</f>
        <v>45930Checker Six, LLC</v>
      </c>
      <c r="C364" s="5" t="n">
        <v>45930</v>
      </c>
      <c r="D364" s="1" t="s">
        <v>780</v>
      </c>
      <c r="E364" s="6" t="s">
        <v>1155</v>
      </c>
      <c r="F364" s="1"/>
      <c r="G364" s="1" t="s">
        <v>38</v>
      </c>
      <c r="H364" s="1" t="s">
        <v>1156</v>
      </c>
      <c r="I364" s="1" t="s">
        <v>1157</v>
      </c>
      <c r="J364" s="1" t="s">
        <v>1158</v>
      </c>
      <c r="M364" s="1" t="s">
        <v>103</v>
      </c>
      <c r="N364" s="4"/>
      <c r="O364" s="4" t="n">
        <v>45874</v>
      </c>
      <c r="P364" s="1" t="s">
        <v>1147</v>
      </c>
      <c r="Q364" s="1" t="s">
        <v>35</v>
      </c>
      <c r="R364" s="1" t="str">
        <f aca="false">VLOOKUP(P364,[1]Categorizations!A$1:C$1048576,2,FALSE())</f>
        <v>Pesticides</v>
      </c>
      <c r="S364" s="1" t="str">
        <f aca="false">VLOOKUP(P364,[1]Categorizations!A$1:C$1048576,3,FALSE())</f>
        <v>Pesticides</v>
      </c>
    </row>
    <row r="365" customFormat="false" ht="15.75" hidden="false" customHeight="false" outlineLevel="0" collapsed="false">
      <c r="A365" s="1" t="str">
        <f aca="false">CONCATENATE(C365,J365)</f>
        <v>45968RRSA, LLC</v>
      </c>
      <c r="C365" s="5" t="n">
        <v>45968</v>
      </c>
      <c r="D365" s="1" t="s">
        <v>780</v>
      </c>
      <c r="E365" s="6" t="s">
        <v>1159</v>
      </c>
      <c r="F365" s="1"/>
      <c r="G365" s="1" t="s">
        <v>1111</v>
      </c>
      <c r="H365" s="1" t="s">
        <v>39</v>
      </c>
      <c r="I365" s="1" t="s">
        <v>1160</v>
      </c>
      <c r="J365" s="1" t="s">
        <v>1160</v>
      </c>
      <c r="M365" s="1" t="s">
        <v>103</v>
      </c>
      <c r="N365" s="4"/>
      <c r="O365" s="4" t="n">
        <v>45924</v>
      </c>
      <c r="P365" s="1" t="s">
        <v>1161</v>
      </c>
      <c r="Q365" s="1" t="s">
        <v>35</v>
      </c>
      <c r="R365" s="1" t="str">
        <f aca="false">VLOOKUP(P365,[1]Categorizations!A$1:C$1048576,2,FALSE())</f>
        <v>Multiple: Total Yeast and Mold, Heavy Metals</v>
      </c>
      <c r="S365" s="1" t="str">
        <f aca="false">VLOOKUP(P365,[1]Categorizations!A$1:C$1048576,3,FALSE())</f>
        <v>Multiple</v>
      </c>
    </row>
    <row r="366" customFormat="false" ht="15.75" hidden="false" customHeight="false" outlineLevel="0" collapsed="false">
      <c r="A366" s="1" t="str">
        <f aca="false">CONCATENATE(C366,J366)</f>
        <v>45978Phoneix Farmstead, LLC</v>
      </c>
      <c r="C366" s="5" t="n">
        <v>45978</v>
      </c>
      <c r="D366" s="1" t="s">
        <v>780</v>
      </c>
      <c r="E366" s="6" t="s">
        <v>1162</v>
      </c>
      <c r="F366" s="1"/>
      <c r="G366" s="1" t="s">
        <v>38</v>
      </c>
      <c r="H366" s="1" t="s">
        <v>39</v>
      </c>
      <c r="I366" s="1" t="s">
        <v>1163</v>
      </c>
      <c r="J366" s="1" t="s">
        <v>1163</v>
      </c>
      <c r="M366" s="1" t="s">
        <v>103</v>
      </c>
      <c r="N366" s="4"/>
      <c r="O366" s="4" t="n">
        <v>45833</v>
      </c>
      <c r="P366" s="1" t="s">
        <v>1121</v>
      </c>
      <c r="Q366" s="1" t="s">
        <v>35</v>
      </c>
      <c r="R366" s="1" t="str">
        <f aca="false">VLOOKUP(P366,[1]Categorizations!A$1:C$1048576,2,FALSE())</f>
        <v>Multiple: Yeast and Mold, Aspergillus</v>
      </c>
      <c r="S366" s="1" t="str">
        <f aca="false">VLOOKUP(P366,[1]Categorizations!A$1:C$1048576,3,FALSE())</f>
        <v>Multiple</v>
      </c>
    </row>
    <row r="367" customFormat="false" ht="15.75" hidden="false" customHeight="false" outlineLevel="0" collapsed="false">
      <c r="A367" s="1" t="str">
        <f aca="false">CONCATENATE(C367,J367)</f>
        <v>45987Karing Kind, LLC,</v>
      </c>
      <c r="C367" s="5" t="n">
        <v>45987</v>
      </c>
      <c r="D367" s="1" t="s">
        <v>780</v>
      </c>
      <c r="E367" s="6" t="s">
        <v>1128</v>
      </c>
      <c r="F367" s="1"/>
      <c r="G367" s="1" t="s">
        <v>38</v>
      </c>
      <c r="H367" s="1" t="s">
        <v>1164</v>
      </c>
      <c r="I367" s="1" t="s">
        <v>1165</v>
      </c>
      <c r="J367" s="1" t="s">
        <v>1166</v>
      </c>
      <c r="M367" s="1" t="s">
        <v>103</v>
      </c>
      <c r="N367" s="4"/>
      <c r="O367" s="4" t="n">
        <v>45929</v>
      </c>
      <c r="P367" s="1" t="s">
        <v>1147</v>
      </c>
      <c r="Q367" s="1" t="s">
        <v>35</v>
      </c>
      <c r="R367" s="1" t="str">
        <f aca="false">VLOOKUP(P367,[1]Categorizations!A$1:C$1048576,2,FALSE())</f>
        <v>Pesticides</v>
      </c>
      <c r="S367" s="1" t="str">
        <f aca="false">VLOOKUP(P367,[1]Categorizations!A$1:C$1048576,3,FALSE())</f>
        <v>Pesticides</v>
      </c>
    </row>
    <row r="368" customFormat="false" ht="15.75" hidden="false" customHeight="false" outlineLevel="0" collapsed="false">
      <c r="A368" s="1" t="str">
        <f aca="false">CONCATENATE(C368,J368)</f>
        <v>459951-11 LLC,</v>
      </c>
      <c r="C368" s="5" t="n">
        <v>45995</v>
      </c>
      <c r="D368" s="1" t="s">
        <v>780</v>
      </c>
      <c r="E368" s="6" t="s">
        <v>1167</v>
      </c>
      <c r="F368" s="1"/>
      <c r="G368" s="1" t="s">
        <v>1111</v>
      </c>
      <c r="H368" s="1" t="s">
        <v>39</v>
      </c>
      <c r="I368" s="1" t="s">
        <v>1168</v>
      </c>
      <c r="J368" s="1" t="s">
        <v>1169</v>
      </c>
      <c r="M368" s="1" t="s">
        <v>103</v>
      </c>
      <c r="N368" s="4"/>
      <c r="O368" s="4" t="n">
        <v>45682</v>
      </c>
      <c r="P368" s="1" t="s">
        <v>1170</v>
      </c>
      <c r="Q368" s="1" t="s">
        <v>35</v>
      </c>
      <c r="R368" s="1" t="str">
        <f aca="false">VLOOKUP(P368,[1]Categorizations!A$1:C$1048576,2,FALSE())</f>
        <v>Heavy Metals</v>
      </c>
      <c r="S368" s="1" t="str">
        <f aca="false">VLOOKUP(P368,[1]Categorizations!A$1:C$1048576,3,FALSE())</f>
        <v>Heavy Metals</v>
      </c>
    </row>
    <row r="369" customFormat="false" ht="15.75" hidden="false" customHeight="false" outlineLevel="0" collapsed="false">
      <c r="A369" s="1" t="str">
        <f aca="false">CONCATENATE(C369,J369)</f>
        <v>45995Double C Farms LLC.</v>
      </c>
      <c r="C369" s="5" t="n">
        <v>45995</v>
      </c>
      <c r="D369" s="1" t="s">
        <v>780</v>
      </c>
      <c r="E369" s="6" t="s">
        <v>1171</v>
      </c>
      <c r="F369" s="1"/>
      <c r="G369" s="1" t="s">
        <v>1111</v>
      </c>
      <c r="H369" s="1" t="s">
        <v>39</v>
      </c>
      <c r="I369" s="1" t="s">
        <v>1172</v>
      </c>
      <c r="J369" s="1" t="s">
        <v>1172</v>
      </c>
      <c r="M369" s="1" t="s">
        <v>103</v>
      </c>
      <c r="N369" s="4"/>
      <c r="O369" s="4" t="n">
        <v>45968</v>
      </c>
      <c r="P369" s="1" t="s">
        <v>1173</v>
      </c>
      <c r="Q369" s="1" t="s">
        <v>35</v>
      </c>
      <c r="R369" s="1" t="str">
        <f aca="false">VLOOKUP(P369,[1]Categorizations!A$1:C$1048576,2,FALSE())</f>
        <v>Multiple: Total Yeast and Mold, Heavy Metals</v>
      </c>
      <c r="S369" s="1" t="str">
        <f aca="false">VLOOKUP(P369,[1]Categorizations!A$1:C$1048576,3,FALSE())</f>
        <v>Multiple</v>
      </c>
    </row>
    <row r="370" customFormat="false" ht="15.75" hidden="false" customHeight="false" outlineLevel="0" collapsed="false">
      <c r="A370" s="1" t="s">
        <v>1174</v>
      </c>
      <c r="C370" s="5" t="n">
        <v>46007</v>
      </c>
      <c r="D370" s="1" t="s">
        <v>780</v>
      </c>
      <c r="E370" s="6" t="s">
        <v>1175</v>
      </c>
      <c r="F370" s="1"/>
      <c r="G370" s="1" t="s">
        <v>38</v>
      </c>
      <c r="H370" s="1" t="s">
        <v>1164</v>
      </c>
      <c r="I370" s="1" t="s">
        <v>1165</v>
      </c>
      <c r="J370" s="1" t="s">
        <v>1166</v>
      </c>
      <c r="M370" s="1" t="s">
        <v>103</v>
      </c>
      <c r="N370" s="4"/>
      <c r="O370" s="4" t="n">
        <v>45715</v>
      </c>
      <c r="P370" s="1" t="s">
        <v>1176</v>
      </c>
      <c r="Q370" s="1" t="s">
        <v>35</v>
      </c>
      <c r="R370" s="1" t="str">
        <f aca="false">VLOOKUP(P370,[1]Categorizations!A$1:C$1048576,2,FALSE())</f>
        <v>Pesticides</v>
      </c>
      <c r="S370" s="1" t="str">
        <f aca="false">VLOOKUP(P370,[1]Categorizations!A$1:C$1048576,3,FALSE())</f>
        <v>Pesticides</v>
      </c>
    </row>
    <row r="371" customFormat="false" ht="15.75" hidden="false" customHeight="false" outlineLevel="0" collapsed="false">
      <c r="A371" s="1" t="str">
        <f aca="false">CONCATENATE(C371,J371)</f>
        <v>46022CC Brands, LLC,</v>
      </c>
      <c r="C371" s="5" t="n">
        <v>46022</v>
      </c>
      <c r="D371" s="1" t="s">
        <v>780</v>
      </c>
      <c r="E371" s="6" t="s">
        <v>1128</v>
      </c>
      <c r="F371" s="1"/>
      <c r="G371" s="1" t="s">
        <v>38</v>
      </c>
      <c r="H371" s="1" t="s">
        <v>1177</v>
      </c>
      <c r="I371" s="1" t="s">
        <v>1178</v>
      </c>
      <c r="J371" s="1" t="s">
        <v>1179</v>
      </c>
      <c r="M371" s="1" t="s">
        <v>103</v>
      </c>
      <c r="N371" s="4"/>
      <c r="O371" s="4" t="n">
        <v>45715</v>
      </c>
      <c r="P371" s="1" t="s">
        <v>1180</v>
      </c>
      <c r="Q371" s="1" t="s">
        <v>35</v>
      </c>
      <c r="R371" s="1" t="str">
        <f aca="false">VLOOKUP(P371,[1]Categorizations!A$1:C$1048576,2,FALSE())</f>
        <v>Pesticides</v>
      </c>
      <c r="S371" s="1" t="str">
        <f aca="false">VLOOKUP(P371,[1]Categorizations!A$1:C$1048576,3,FALSE())</f>
        <v>Pesticides</v>
      </c>
    </row>
    <row r="372" customFormat="false" ht="15.75" hidden="false" customHeight="false" outlineLevel="0" collapsed="false">
      <c r="A372" s="1" t="str">
        <f aca="false">CONCATENATE(C372,J372)</f>
        <v>46030Rotation, LLC,</v>
      </c>
      <c r="C372" s="5" t="n">
        <v>46030</v>
      </c>
      <c r="D372" s="1" t="s">
        <v>780</v>
      </c>
      <c r="E372" s="6" t="s">
        <v>1181</v>
      </c>
      <c r="F372" s="1"/>
      <c r="G372" s="1" t="s">
        <v>38</v>
      </c>
      <c r="H372" s="1" t="s">
        <v>39</v>
      </c>
      <c r="I372" s="1" t="s">
        <v>1182</v>
      </c>
      <c r="J372" s="1" t="s">
        <v>1183</v>
      </c>
      <c r="M372" s="1" t="s">
        <v>103</v>
      </c>
      <c r="N372" s="4"/>
      <c r="O372" s="4" t="n">
        <v>45912</v>
      </c>
      <c r="P372" s="1" t="s">
        <v>1147</v>
      </c>
      <c r="Q372" s="1" t="s">
        <v>35</v>
      </c>
      <c r="R372" s="1" t="str">
        <f aca="false">VLOOKUP(P372,[1]Categorizations!A$1:C$1048576,2,FALSE())</f>
        <v>Pesticides</v>
      </c>
      <c r="S372" s="1" t="str">
        <f aca="false">VLOOKUP(P372,[1]Categorizations!A$1:C$1048576,3,FALSE())</f>
        <v>Pesticides</v>
      </c>
    </row>
    <row r="373" customFormat="false" ht="15.75" hidden="false" customHeight="false" outlineLevel="0" collapsed="false">
      <c r="A373" s="1" t="str">
        <f aca="false">CONCATENATE(C373,J373)</f>
        <v>46031Egozi Ventures, LLC.</v>
      </c>
      <c r="C373" s="5" t="n">
        <v>46031</v>
      </c>
      <c r="D373" s="1" t="s">
        <v>780</v>
      </c>
      <c r="E373" s="6" t="s">
        <v>1184</v>
      </c>
      <c r="F373" s="1"/>
      <c r="G373" s="1" t="s">
        <v>1111</v>
      </c>
      <c r="H373" s="1" t="s">
        <v>116</v>
      </c>
      <c r="I373" s="1" t="s">
        <v>1185</v>
      </c>
      <c r="J373" s="1" t="s">
        <v>1185</v>
      </c>
      <c r="M373" s="1" t="s">
        <v>103</v>
      </c>
      <c r="N373" s="4"/>
      <c r="O373" s="4" t="n">
        <v>45985</v>
      </c>
      <c r="P373" s="1" t="s">
        <v>1147</v>
      </c>
      <c r="Q373" s="1" t="s">
        <v>35</v>
      </c>
      <c r="R373" s="1" t="str">
        <f aca="false">VLOOKUP(P373,[1]Categorizations!A$1:C$1048576,2,FALSE())</f>
        <v>Pesticides</v>
      </c>
      <c r="S373" s="1" t="str">
        <f aca="false">VLOOKUP(P373,[1]Categorizations!A$1:C$1048576,3,FALSE())</f>
        <v>Pesticides</v>
      </c>
    </row>
    <row r="374" customFormat="false" ht="15.75" hidden="false" customHeight="false" outlineLevel="0" collapsed="false">
      <c r="A374" s="1" t="str">
        <f aca="false">CONCATENATE(C374,J374)</f>
        <v>46044HG LTD</v>
      </c>
      <c r="C374" s="5" t="n">
        <v>46044</v>
      </c>
      <c r="D374" s="1" t="s">
        <v>780</v>
      </c>
      <c r="E374" s="6" t="s">
        <v>1186</v>
      </c>
      <c r="F374" s="1"/>
      <c r="G374" s="1" t="s">
        <v>38</v>
      </c>
      <c r="H374" s="1" t="s">
        <v>1187</v>
      </c>
      <c r="I374" s="1" t="s">
        <v>1188</v>
      </c>
      <c r="J374" s="1" t="s">
        <v>1189</v>
      </c>
      <c r="M374" s="1" t="s">
        <v>103</v>
      </c>
      <c r="N374" s="4"/>
      <c r="O374" s="4" t="n">
        <v>45911</v>
      </c>
      <c r="P374" s="1" t="s">
        <v>47</v>
      </c>
      <c r="Q374" s="1" t="s">
        <v>35</v>
      </c>
      <c r="R374" s="1" t="str">
        <f aca="false">VLOOKUP(P374,[1]Categorizations!A$1:C$1048576,2,FALSE())</f>
        <v>Aspergillus</v>
      </c>
      <c r="S374" s="1" t="str">
        <f aca="false">VLOOKUP(P374,[1]Categorizations!A$1:C$1048576,3,FALSE())</f>
        <v>Microbial Contamination</v>
      </c>
    </row>
    <row r="375" customFormat="false" ht="15.75" hidden="false" customHeight="false" outlineLevel="0" collapsed="false">
      <c r="A375" s="1" t="str">
        <f aca="false">CONCATENATE(C375,J375)</f>
        <v>46044MBF Labs</v>
      </c>
      <c r="C375" s="5" t="n">
        <v>46044</v>
      </c>
      <c r="D375" s="1" t="s">
        <v>780</v>
      </c>
      <c r="E375" s="6" t="s">
        <v>1190</v>
      </c>
      <c r="F375" s="1"/>
      <c r="G375" s="1" t="s">
        <v>38</v>
      </c>
      <c r="H375" s="1" t="s">
        <v>1191</v>
      </c>
      <c r="I375" s="1" t="s">
        <v>1192</v>
      </c>
      <c r="J375" s="1" t="s">
        <v>1193</v>
      </c>
      <c r="M375" s="1" t="s">
        <v>103</v>
      </c>
      <c r="N375" s="4"/>
      <c r="O375" s="4" t="n">
        <v>45687</v>
      </c>
      <c r="P375" s="1" t="s">
        <v>1194</v>
      </c>
      <c r="Q375" s="1" t="s">
        <v>35</v>
      </c>
      <c r="R375" s="1" t="str">
        <f aca="false">VLOOKUP(P375,[1]Categorizations!A$1:C$1048576,2,FALSE())</f>
        <v>Pesticides</v>
      </c>
      <c r="S375" s="1" t="str">
        <f aca="false">VLOOKUP(P375,[1]Categorizations!A$1:C$1048576,3,FALSE())</f>
        <v>Pesticides</v>
      </c>
    </row>
    <row r="376" customFormat="false" ht="15.75" hidden="false" customHeight="false" outlineLevel="0" collapsed="false">
      <c r="A376" s="1" t="str">
        <f aca="false">CONCATENATE(C376,J376)</f>
        <v>46044Dutch Botanicals LLC</v>
      </c>
      <c r="C376" s="5" t="n">
        <v>46044</v>
      </c>
      <c r="D376" s="1" t="s">
        <v>780</v>
      </c>
      <c r="E376" s="6" t="s">
        <v>1195</v>
      </c>
      <c r="F376" s="1"/>
      <c r="G376" s="1" t="s">
        <v>1111</v>
      </c>
      <c r="H376" s="1" t="s">
        <v>1177</v>
      </c>
      <c r="I376" s="1" t="s">
        <v>1196</v>
      </c>
      <c r="J376" s="1" t="s">
        <v>1197</v>
      </c>
      <c r="M376" s="1" t="s">
        <v>103</v>
      </c>
      <c r="N376" s="4"/>
      <c r="O376" s="4" t="n">
        <v>45687</v>
      </c>
      <c r="P376" s="1" t="s">
        <v>1198</v>
      </c>
      <c r="Q376" s="1" t="s">
        <v>35</v>
      </c>
      <c r="R376" s="1" t="str">
        <f aca="false">VLOOKUP(P376,[1]Categorizations!A$1:C$1048576,2,FALSE())</f>
        <v>Pesticides</v>
      </c>
      <c r="S376" s="1" t="str">
        <f aca="false">VLOOKUP(P376,[1]Categorizations!A$1:C$1048576,3,FALSE())</f>
        <v>Pesticides</v>
      </c>
    </row>
    <row r="377" customFormat="false" ht="15.75" hidden="false" customHeight="false" outlineLevel="0" collapsed="false">
      <c r="A377" s="1" t="s">
        <v>1199</v>
      </c>
      <c r="C377" s="5" t="n">
        <v>46044</v>
      </c>
      <c r="D377" s="1" t="s">
        <v>780</v>
      </c>
      <c r="E377" s="6" t="s">
        <v>1200</v>
      </c>
      <c r="F377" s="1"/>
      <c r="G377" s="1" t="s">
        <v>38</v>
      </c>
      <c r="H377" s="1" t="s">
        <v>1164</v>
      </c>
      <c r="I377" s="1" t="s">
        <v>1165</v>
      </c>
      <c r="J377" s="1" t="s">
        <v>1166</v>
      </c>
      <c r="M377" s="1" t="s">
        <v>103</v>
      </c>
      <c r="N377" s="4"/>
      <c r="O377" s="4" t="n">
        <v>46044</v>
      </c>
      <c r="P377" s="1" t="s">
        <v>1176</v>
      </c>
      <c r="Q377" s="1" t="s">
        <v>35</v>
      </c>
      <c r="R377" s="1" t="str">
        <f aca="false">VLOOKUP(P377,[1]Categorizations!A$1:C$1048576,2,FALSE())</f>
        <v>Pesticides</v>
      </c>
      <c r="S377" s="1" t="str">
        <f aca="false">VLOOKUP(P377,[1]Categorizations!A$1:C$1048576,3,FALSE())</f>
        <v>Pesticides</v>
      </c>
    </row>
    <row r="378" customFormat="false" ht="15.75" hidden="false" customHeight="false" outlineLevel="0" collapsed="false">
      <c r="A378" s="1" t="str">
        <f aca="false">CONCATENATE(C378,J378)</f>
        <v>46059Sweetwater Group, LLC,</v>
      </c>
      <c r="C378" s="5" t="n">
        <v>46059</v>
      </c>
      <c r="D378" s="1" t="s">
        <v>780</v>
      </c>
      <c r="E378" s="6" t="s">
        <v>1201</v>
      </c>
      <c r="F378" s="1"/>
      <c r="G378" s="1" t="s">
        <v>38</v>
      </c>
      <c r="H378" s="1" t="s">
        <v>39</v>
      </c>
      <c r="I378" s="1" t="s">
        <v>1202</v>
      </c>
      <c r="J378" s="1" t="s">
        <v>1203</v>
      </c>
      <c r="M378" s="1" t="s">
        <v>103</v>
      </c>
      <c r="N378" s="4"/>
      <c r="O378" s="4" t="n">
        <v>46059</v>
      </c>
      <c r="P378" s="1" t="s">
        <v>1121</v>
      </c>
      <c r="Q378" s="1" t="s">
        <v>35</v>
      </c>
      <c r="R378" s="1" t="str">
        <f aca="false">VLOOKUP(P378,[1]Categorizations!A$1:C$1048576,2,FALSE())</f>
        <v>Multiple: Yeast and Mold, Aspergillus</v>
      </c>
      <c r="S378" s="1" t="str">
        <f aca="false">VLOOKUP(P378,[1]Categorizations!A$1:C$1048576,3,FALSE())</f>
        <v>Multiple</v>
      </c>
    </row>
    <row r="379" customFormat="false" ht="15.75" hidden="false" customHeight="false" outlineLevel="0" collapsed="false">
      <c r="A379" s="1" t="s">
        <v>1204</v>
      </c>
      <c r="C379" s="5" t="n">
        <v>46066</v>
      </c>
      <c r="D379" s="1" t="s">
        <v>780</v>
      </c>
      <c r="E379" s="6" t="s">
        <v>1205</v>
      </c>
      <c r="F379" s="1"/>
      <c r="G379" s="1" t="s">
        <v>38</v>
      </c>
      <c r="H379" s="1" t="s">
        <v>1187</v>
      </c>
      <c r="I379" s="1" t="s">
        <v>1188</v>
      </c>
      <c r="J379" s="1" t="s">
        <v>1189</v>
      </c>
      <c r="M379" s="1" t="s">
        <v>103</v>
      </c>
      <c r="N379" s="4"/>
      <c r="O379" s="4" t="n">
        <v>45898</v>
      </c>
      <c r="P379" s="1" t="s">
        <v>1121</v>
      </c>
      <c r="Q379" s="1" t="s">
        <v>35</v>
      </c>
      <c r="R379" s="1" t="str">
        <f aca="false">VLOOKUP(P379,[1]Categorizations!A$1:C$1048576,2,FALSE())</f>
        <v>Multiple: Yeast and Mold, Aspergillus</v>
      </c>
      <c r="S379" s="1" t="str">
        <f aca="false">VLOOKUP(P379,[1]Categorizations!A$1:C$1048576,3,FALSE())</f>
        <v>Multiple</v>
      </c>
    </row>
    <row r="380" customFormat="false" ht="15.75" hidden="false" customHeight="false" outlineLevel="0" collapsed="false">
      <c r="A380" s="1" t="str">
        <f aca="false">CONCATENATE(C380,J380)</f>
        <v>46079RMRC LLC</v>
      </c>
      <c r="C380" s="5" t="n">
        <v>46079</v>
      </c>
      <c r="D380" s="1" t="s">
        <v>780</v>
      </c>
      <c r="E380" s="6" t="s">
        <v>1206</v>
      </c>
      <c r="F380" s="1"/>
      <c r="G380" s="1" t="s">
        <v>38</v>
      </c>
      <c r="H380" s="1" t="s">
        <v>1187</v>
      </c>
      <c r="I380" s="1" t="s">
        <v>1207</v>
      </c>
      <c r="J380" s="1" t="s">
        <v>1208</v>
      </c>
      <c r="M380" s="1" t="s">
        <v>103</v>
      </c>
      <c r="N380" s="4"/>
      <c r="O380" s="4" t="n">
        <v>45898</v>
      </c>
      <c r="P380" s="1" t="s">
        <v>1209</v>
      </c>
      <c r="Q380" s="1" t="s">
        <v>35</v>
      </c>
      <c r="R380" s="1" t="str">
        <f aca="false">VLOOKUP(P380,[1]Categorizations!A$1:C$1048576,2,FALSE())</f>
        <v>Total Yeast and Mold</v>
      </c>
      <c r="S380" s="1" t="str">
        <f aca="false">VLOOKUP(P380,[1]Categorizations!A$1:C$1048576,3,FALSE())</f>
        <v>Microbial Contamination</v>
      </c>
    </row>
    <row r="381" customFormat="false" ht="15.75" hidden="false" customHeight="false" outlineLevel="0" collapsed="false">
      <c r="A381" s="1" t="str">
        <f aca="false">CONCATENATE(C381,J381)</f>
        <v>46079Double C Farms LLC.</v>
      </c>
      <c r="C381" s="5" t="n">
        <v>46079</v>
      </c>
      <c r="D381" s="1" t="s">
        <v>780</v>
      </c>
      <c r="E381" s="6" t="s">
        <v>1210</v>
      </c>
      <c r="F381" s="1"/>
      <c r="G381" s="1" t="s">
        <v>1111</v>
      </c>
      <c r="H381" s="1" t="s">
        <v>39</v>
      </c>
      <c r="I381" s="1" t="s">
        <v>1172</v>
      </c>
      <c r="J381" s="1" t="s">
        <v>1172</v>
      </c>
      <c r="M381" s="1" t="s">
        <v>103</v>
      </c>
      <c r="N381" s="4"/>
      <c r="O381" s="4" t="n">
        <v>45507</v>
      </c>
      <c r="P381" s="1" t="s">
        <v>1211</v>
      </c>
      <c r="Q381" s="1" t="s">
        <v>35</v>
      </c>
      <c r="R381" s="1" t="str">
        <f aca="false">VLOOKUP(P381,[1]Categorizations!A$1:C$1048576,2,FALSE())</f>
        <v>Multiple: Total Yeast and Mold, Cadmium</v>
      </c>
      <c r="S381" s="1" t="str">
        <f aca="false">VLOOKUP(P381,[1]Categorizations!A$1:C$1048576,3,FALSE())</f>
        <v>Multiple</v>
      </c>
    </row>
    <row r="382" customFormat="false" ht="15.75" hidden="false" customHeight="false" outlineLevel="0" collapsed="false">
      <c r="A382" s="1" t="str">
        <f aca="false">CONCATENATE(C382,J382)</f>
        <v>46101David Jackson LLC, dba Timberline Extracts</v>
      </c>
      <c r="C382" s="7" t="n">
        <v>46101</v>
      </c>
      <c r="D382" s="2" t="s">
        <v>780</v>
      </c>
      <c r="E382" s="8" t="s">
        <v>1212</v>
      </c>
      <c r="F382" s="8" t="s">
        <v>1213</v>
      </c>
      <c r="G382" s="2" t="s">
        <v>38</v>
      </c>
      <c r="H382" s="2" t="s">
        <v>116</v>
      </c>
      <c r="I382" s="2" t="s">
        <v>1214</v>
      </c>
      <c r="J382" s="2" t="s">
        <v>1214</v>
      </c>
      <c r="K382" s="1"/>
      <c r="L382" s="1"/>
      <c r="M382" s="2" t="s">
        <v>103</v>
      </c>
      <c r="N382" s="4"/>
      <c r="O382" s="11" t="n">
        <v>45904</v>
      </c>
      <c r="P382" s="2" t="s">
        <v>1215</v>
      </c>
      <c r="Q382" s="1" t="s">
        <v>35</v>
      </c>
      <c r="R382" s="1" t="str">
        <f aca="false">VLOOKUP(P382,[1]Categorizations!A$1:C$1048576,2,FALSE())</f>
        <v>Pesticides</v>
      </c>
      <c r="S382" s="1" t="str">
        <f aca="false">VLOOKUP(P382,[1]Categorizations!A$1:C$1048576,3,FALSE())</f>
        <v>Pesticides</v>
      </c>
    </row>
    <row r="383" customFormat="false" ht="15.75" hidden="false" customHeight="false" outlineLevel="0" collapsed="false">
      <c r="A383" s="1" t="str">
        <f aca="false">CONCATENATE(C383,J383)</f>
        <v>46113J&amp;C Corp</v>
      </c>
      <c r="C383" s="7" t="n">
        <v>46113</v>
      </c>
      <c r="D383" s="2" t="s">
        <v>780</v>
      </c>
      <c r="E383" s="8" t="s">
        <v>1216</v>
      </c>
      <c r="F383" s="8" t="s">
        <v>1217</v>
      </c>
      <c r="G383" s="2" t="s">
        <v>38</v>
      </c>
      <c r="H383" s="2" t="s">
        <v>116</v>
      </c>
      <c r="I383" s="2" t="s">
        <v>1218</v>
      </c>
      <c r="J383" s="2" t="s">
        <v>1219</v>
      </c>
      <c r="K383" s="1"/>
      <c r="L383" s="1"/>
      <c r="M383" s="2" t="s">
        <v>103</v>
      </c>
      <c r="N383" s="4"/>
      <c r="O383" s="11" t="n">
        <v>45973</v>
      </c>
      <c r="P383" s="2" t="s">
        <v>1215</v>
      </c>
      <c r="Q383" s="1" t="s">
        <v>35</v>
      </c>
      <c r="R383" s="1" t="str">
        <f aca="false">VLOOKUP(P383,[1]Categorizations!A$1:C$1048576,2,FALSE())</f>
        <v>Pesticides</v>
      </c>
      <c r="S383" s="1" t="str">
        <f aca="false">VLOOKUP(P383,[1]Categorizations!A$1:C$1048576,3,FALSE())</f>
        <v>Pesticides</v>
      </c>
    </row>
    <row r="384" customFormat="false" ht="15.75" hidden="false" customHeight="false" outlineLevel="0" collapsed="false">
      <c r="A384" s="1" t="str">
        <f aca="false">CONCATENATE(C384,J384)</f>
        <v>46126403R-00235</v>
      </c>
      <c r="C384" s="7" t="n">
        <v>46126</v>
      </c>
      <c r="D384" s="2" t="s">
        <v>780</v>
      </c>
      <c r="E384" s="8" t="s">
        <v>1220</v>
      </c>
      <c r="F384" s="8" t="s">
        <v>1221</v>
      </c>
      <c r="G384" s="2" t="s">
        <v>38</v>
      </c>
      <c r="H384" s="2" t="s">
        <v>39</v>
      </c>
      <c r="I384" s="2" t="s">
        <v>1222</v>
      </c>
      <c r="J384" s="2" t="s">
        <v>1223</v>
      </c>
      <c r="K384" s="1"/>
      <c r="L384" s="1"/>
      <c r="M384" s="2" t="s">
        <v>103</v>
      </c>
      <c r="N384" s="4"/>
      <c r="O384" s="11" t="n">
        <v>45905</v>
      </c>
      <c r="P384" s="2" t="s">
        <v>1215</v>
      </c>
      <c r="Q384" s="1" t="s">
        <v>35</v>
      </c>
      <c r="R384" s="1" t="str">
        <f aca="false">VLOOKUP(P384,[1]Categorizations!A$1:C$1048576,2,FALSE())</f>
        <v>Pesticides</v>
      </c>
      <c r="S384" s="1" t="str">
        <f aca="false">VLOOKUP(P384,[1]Categorizations!A$1:C$1048576,3,FALSE())</f>
        <v>Pesticides</v>
      </c>
    </row>
    <row r="385" customFormat="false" ht="15.75" hidden="false" customHeight="false" outlineLevel="0" collapsed="false">
      <c r="A385" s="1" t="str">
        <f aca="false">CONCATENATE(C385,J385)</f>
        <v>46147Arkansas Valley Organics, LLC,</v>
      </c>
      <c r="C385" s="7" t="n">
        <v>46147</v>
      </c>
      <c r="D385" s="2" t="s">
        <v>780</v>
      </c>
      <c r="E385" s="8" t="s">
        <v>1224</v>
      </c>
      <c r="F385" s="8" t="s">
        <v>1225</v>
      </c>
      <c r="G385" s="2" t="s">
        <v>38</v>
      </c>
      <c r="H385" s="2" t="s">
        <v>39</v>
      </c>
      <c r="I385" s="2" t="s">
        <v>1226</v>
      </c>
      <c r="J385" s="2" t="s">
        <v>1227</v>
      </c>
      <c r="K385" s="1"/>
      <c r="L385" s="1"/>
      <c r="M385" s="2" t="s">
        <v>103</v>
      </c>
      <c r="N385" s="4"/>
      <c r="O385" s="11" t="n">
        <v>46064</v>
      </c>
      <c r="P385" s="1" t="s">
        <v>1209</v>
      </c>
      <c r="Q385" s="1" t="s">
        <v>35</v>
      </c>
      <c r="R385" s="1" t="str">
        <f aca="false">VLOOKUP(P385,[1]Categorizations!A$1:C$1048576,2,FALSE())</f>
        <v>Total Yeast and Mold</v>
      </c>
      <c r="S385" s="1" t="str">
        <f aca="false">VLOOKUP(P385,[1]Categorizations!A$1:C$1048576,3,FALSE())</f>
        <v>Microbial Contamination</v>
      </c>
    </row>
    <row r="386" customFormat="false" ht="15.75" hidden="false" customHeight="false" outlineLevel="0" collapsed="false">
      <c r="A386" s="1" t="str">
        <f aca="false">CONCATENATE(C386,J386)</f>
        <v>46153Natural Alternatives for Health Corp.</v>
      </c>
      <c r="C386" s="7" t="n">
        <v>46153</v>
      </c>
      <c r="D386" s="2" t="s">
        <v>780</v>
      </c>
      <c r="E386" s="8" t="s">
        <v>1228</v>
      </c>
      <c r="F386" s="8" t="s">
        <v>1229</v>
      </c>
      <c r="G386" s="2" t="s">
        <v>1111</v>
      </c>
      <c r="H386" s="2" t="s">
        <v>39</v>
      </c>
      <c r="I386" s="2" t="s">
        <v>1230</v>
      </c>
      <c r="J386" s="2" t="s">
        <v>1230</v>
      </c>
      <c r="K386" s="1"/>
      <c r="L386" s="1"/>
      <c r="M386" s="2" t="s">
        <v>103</v>
      </c>
      <c r="N386" s="4"/>
      <c r="O386" s="11" t="n">
        <v>46031</v>
      </c>
      <c r="P386" s="2" t="s">
        <v>1231</v>
      </c>
      <c r="Q386" s="1" t="s">
        <v>35</v>
      </c>
      <c r="R386" s="1" t="str">
        <f aca="false">VLOOKUP(P386,[1]Categorizations!A$1:C$1048576,2,FALSE())</f>
        <v>Aspergillus</v>
      </c>
      <c r="S386" s="1" t="str">
        <f aca="false">VLOOKUP(P386,[1]Categorizations!A$1:C$1048576,3,FALSE())</f>
        <v>Microbial Contamination</v>
      </c>
    </row>
    <row r="387" customFormat="false" ht="15.75" hidden="false" customHeight="false" outlineLevel="0" collapsed="false">
      <c r="A387" s="1" t="str">
        <f aca="false">CONCATENATE(C387,J387)</f>
        <v>46174Workhorse Global LLC and WH Acoma LLC</v>
      </c>
      <c r="C387" s="7" t="n">
        <v>46174</v>
      </c>
      <c r="D387" s="2" t="s">
        <v>780</v>
      </c>
      <c r="E387" s="8" t="s">
        <v>1232</v>
      </c>
      <c r="F387" s="1"/>
      <c r="G387" s="2" t="s">
        <v>38</v>
      </c>
      <c r="H387" s="2" t="s">
        <v>1233</v>
      </c>
      <c r="I387" s="2" t="s">
        <v>1234</v>
      </c>
      <c r="J387" s="2" t="s">
        <v>1234</v>
      </c>
      <c r="K387" s="1"/>
      <c r="L387" s="1"/>
      <c r="M387" s="2" t="s">
        <v>103</v>
      </c>
      <c r="N387" s="4"/>
      <c r="O387" s="11" t="n">
        <v>45883</v>
      </c>
      <c r="P387" s="2" t="s">
        <v>1235</v>
      </c>
      <c r="Q387" s="1" t="s">
        <v>35</v>
      </c>
      <c r="R387" s="1" t="str">
        <f aca="false">VLOOKUP(P387,[1]Categorizations!A$1:C$1048576,2,FALSE())</f>
        <v>Prohibited Additives / Product</v>
      </c>
      <c r="S387" s="1" t="str">
        <f aca="false">VLOOKUP(P387,[1]Categorizations!A$1:C$1048576,3,FALSE())</f>
        <v>Prohibited Additives / Product</v>
      </c>
    </row>
    <row r="388" customFormat="false" ht="15.75" hidden="false" customHeight="false" outlineLevel="0" collapsed="false">
      <c r="A388" s="1" t="str">
        <f aca="false">CONCATENATE(C388,J388)</f>
        <v>46218Colorado Medical Processing LLC,</v>
      </c>
      <c r="C388" s="7" t="n">
        <v>46218</v>
      </c>
      <c r="D388" s="2" t="s">
        <v>780</v>
      </c>
      <c r="E388" s="8" t="s">
        <v>1236</v>
      </c>
      <c r="F388" s="8" t="s">
        <v>1237</v>
      </c>
      <c r="G388" s="2" t="s">
        <v>1111</v>
      </c>
      <c r="H388" s="2" t="s">
        <v>116</v>
      </c>
      <c r="I388" s="2" t="s">
        <v>1238</v>
      </c>
      <c r="J388" s="2" t="s">
        <v>1239</v>
      </c>
      <c r="K388" s="1"/>
      <c r="L388" s="1"/>
      <c r="M388" s="2" t="s">
        <v>103</v>
      </c>
      <c r="N388" s="4"/>
      <c r="O388" s="11" t="n">
        <v>45918</v>
      </c>
      <c r="P388" s="2" t="s">
        <v>1215</v>
      </c>
      <c r="Q388" s="1" t="s">
        <v>35</v>
      </c>
      <c r="R388" s="1" t="str">
        <f aca="false">VLOOKUP(P388,[1]Categorizations!A$1:C$1048576,2,FALSE())</f>
        <v>Pesticides</v>
      </c>
      <c r="S388" s="1" t="str">
        <f aca="false">VLOOKUP(P388,[1]Categorizations!A$1:C$1048576,3,FALSE())</f>
        <v>Pesticides</v>
      </c>
    </row>
    <row r="389" customFormat="false" ht="15.75" hidden="false" customHeight="false" outlineLevel="0" collapsed="false">
      <c r="A389" s="1" t="str">
        <f aca="false">CONCATENATE(C389,J389)</f>
        <v>46275Navajo Management LLC,</v>
      </c>
      <c r="C389" s="7" t="n">
        <v>46275</v>
      </c>
      <c r="D389" s="2" t="s">
        <v>780</v>
      </c>
      <c r="E389" s="8" t="s">
        <v>1240</v>
      </c>
      <c r="F389" s="1"/>
      <c r="G389" s="2" t="s">
        <v>1241</v>
      </c>
      <c r="H389" s="2" t="s">
        <v>39</v>
      </c>
      <c r="I389" s="2" t="s">
        <v>1242</v>
      </c>
      <c r="J389" s="2" t="s">
        <v>1243</v>
      </c>
      <c r="K389" s="1"/>
      <c r="L389" s="1"/>
      <c r="M389" s="2" t="s">
        <v>103</v>
      </c>
      <c r="N389" s="4"/>
      <c r="O389" s="11" t="n">
        <v>46122</v>
      </c>
      <c r="P389" s="1" t="s">
        <v>1121</v>
      </c>
      <c r="Q389" s="1" t="s">
        <v>35</v>
      </c>
      <c r="R389" s="1" t="str">
        <f aca="false">VLOOKUP(P389,[1]Categorizations!A$1:C$1048576,2,FALSE())</f>
        <v>Multiple: Yeast and Mold, Aspergillus</v>
      </c>
      <c r="S389" s="1" t="str">
        <f aca="false">VLOOKUP(P389,[1]Categorizations!A$1:C$1048576,3,FALSE())</f>
        <v>Multiple</v>
      </c>
    </row>
    <row r="390" customFormat="false" ht="15.75" hidden="false" customHeight="false" outlineLevel="0" collapsed="false">
      <c r="A390" s="1" t="str">
        <f aca="false">CONCATENATE(C390,J390)</f>
        <v>46281CC Brands, LLC, (Stash House)</v>
      </c>
      <c r="C390" s="7" t="n">
        <v>46281</v>
      </c>
      <c r="D390" s="2" t="s">
        <v>780</v>
      </c>
      <c r="E390" s="8" t="s">
        <v>1240</v>
      </c>
      <c r="F390" s="1"/>
      <c r="G390" s="2" t="s">
        <v>1241</v>
      </c>
      <c r="H390" s="2" t="s">
        <v>200</v>
      </c>
      <c r="I390" s="2" t="s">
        <v>1244</v>
      </c>
      <c r="J390" s="2" t="s">
        <v>1245</v>
      </c>
      <c r="K390" s="1"/>
      <c r="L390" s="1"/>
      <c r="M390" s="2" t="s">
        <v>103</v>
      </c>
      <c r="N390" s="4"/>
      <c r="O390" s="11" t="n">
        <v>46247</v>
      </c>
      <c r="P390" s="2" t="s">
        <v>1246</v>
      </c>
      <c r="Q390" s="1" t="s">
        <v>35</v>
      </c>
      <c r="R390" s="1" t="str">
        <f aca="false">VLOOKUP(P390,[1]Categorizations!A$1:C$1048576,2,FALSE())</f>
        <v>Solvent</v>
      </c>
      <c r="S390" s="1" t="str">
        <f aca="false">VLOOKUP(P390,[1]Categorizations!A$1:C$1048576,3,FALSE())</f>
        <v>Solvent</v>
      </c>
    </row>
    <row r="391" customFormat="false" ht="15.75" hidden="false" customHeight="false" outlineLevel="0" collapsed="false">
      <c r="A391" s="1" t="str">
        <f aca="false">CONCATENATE(C391,J391)</f>
        <v>46291StayCon LLC</v>
      </c>
      <c r="C391" s="7" t="n">
        <v>46291</v>
      </c>
      <c r="D391" s="2" t="s">
        <v>780</v>
      </c>
      <c r="E391" s="8" t="s">
        <v>1240</v>
      </c>
      <c r="F391" s="1"/>
      <c r="G391" s="2" t="s">
        <v>38</v>
      </c>
      <c r="H391" s="2" t="s">
        <v>200</v>
      </c>
      <c r="I391" s="2" t="s">
        <v>1247</v>
      </c>
      <c r="J391" s="2" t="s">
        <v>1248</v>
      </c>
      <c r="K391" s="2" t="s">
        <v>1249</v>
      </c>
      <c r="L391" s="1"/>
      <c r="M391" s="2" t="s">
        <v>103</v>
      </c>
      <c r="N391" s="4"/>
      <c r="O391" s="11" t="n">
        <v>46108</v>
      </c>
      <c r="P391" s="2" t="s">
        <v>1250</v>
      </c>
      <c r="Q391" s="2" t="s">
        <v>35</v>
      </c>
      <c r="R391" s="1" t="str">
        <f aca="false">VLOOKUP(P391,[1]Categorizations!A$1:C$1048576,2,FALSE())</f>
        <v>Solvent</v>
      </c>
      <c r="S391" s="1" t="str">
        <f aca="false">VLOOKUP(P391,[1]Categorizations!A$1:C$1048576,3,FALSE())</f>
        <v>Solvent</v>
      </c>
    </row>
    <row r="392" customFormat="false" ht="15.75" hidden="false" customHeight="false" outlineLevel="0" collapsed="false">
      <c r="A392" s="1" t="str">
        <f aca="false">CONCATENATE(C392,J392)</f>
        <v>45658Brix</v>
      </c>
      <c r="C392" s="5" t="n">
        <v>45658</v>
      </c>
      <c r="D392" s="1" t="s">
        <v>1251</v>
      </c>
      <c r="E392" s="6" t="s">
        <v>1252</v>
      </c>
      <c r="F392" s="1"/>
      <c r="H392" s="1" t="s">
        <v>116</v>
      </c>
      <c r="I392" s="1" t="s">
        <v>1253</v>
      </c>
      <c r="J392" s="1" t="s">
        <v>1253</v>
      </c>
      <c r="K392" s="1"/>
      <c r="L392" s="1" t="s">
        <v>103</v>
      </c>
      <c r="M392" s="1" t="s">
        <v>26</v>
      </c>
      <c r="N392" s="4"/>
      <c r="O392" s="4"/>
      <c r="P392" s="1" t="s">
        <v>1254</v>
      </c>
      <c r="Q392" s="1" t="s">
        <v>1255</v>
      </c>
      <c r="R392" s="1" t="str">
        <f aca="false">VLOOKUP(P392,[1]Categorizations!A$1:C$1048576,2,FALSE())</f>
        <v>Lead</v>
      </c>
      <c r="S392" s="1" t="str">
        <f aca="false">VLOOKUP(P392,[1]Categorizations!A$1:C$1048576,3,FALSE())</f>
        <v>Heavy Metals</v>
      </c>
    </row>
    <row r="393" customFormat="false" ht="15.75" hidden="false" customHeight="false" outlineLevel="0" collapsed="false">
      <c r="A393" s="1" t="str">
        <f aca="false">CONCATENATE(C393,J393)</f>
        <v>45789Curaleaf</v>
      </c>
      <c r="C393" s="5" t="n">
        <v>45789</v>
      </c>
      <c r="D393" s="1" t="s">
        <v>1251</v>
      </c>
      <c r="E393" s="6" t="s">
        <v>1256</v>
      </c>
      <c r="F393" s="1"/>
      <c r="H393" s="1" t="s">
        <v>39</v>
      </c>
      <c r="I393" s="1" t="s">
        <v>114</v>
      </c>
      <c r="J393" s="1" t="s">
        <v>114</v>
      </c>
      <c r="K393" s="1"/>
      <c r="L393" s="1" t="s">
        <v>103</v>
      </c>
      <c r="M393" s="1" t="s">
        <v>26</v>
      </c>
      <c r="N393" s="4"/>
      <c r="O393" s="4"/>
      <c r="P393" s="1" t="s">
        <v>1257</v>
      </c>
      <c r="Q393" s="1" t="s">
        <v>131</v>
      </c>
      <c r="R393" s="1" t="str">
        <f aca="false">VLOOKUP(P393,[1]Categorizations!A$1:C$1048576,2,FALSE())</f>
        <v>Total Yeast and Mold</v>
      </c>
      <c r="S393" s="1" t="str">
        <f aca="false">VLOOKUP(P393,[1]Categorizations!A$1:C$1048576,3,FALSE())</f>
        <v>Microbial Contamination</v>
      </c>
    </row>
    <row r="394" customFormat="false" ht="15.75" hidden="false" customHeight="false" outlineLevel="0" collapsed="false">
      <c r="A394" s="1" t="s">
        <v>1258</v>
      </c>
      <c r="C394" s="5" t="n">
        <v>44062</v>
      </c>
      <c r="D394" s="1" t="s">
        <v>1259</v>
      </c>
      <c r="E394" s="6" t="s">
        <v>1260</v>
      </c>
      <c r="G394" s="1" t="s">
        <v>22</v>
      </c>
      <c r="H394" s="1"/>
      <c r="I394" s="1"/>
      <c r="J394" s="1" t="s">
        <v>1261</v>
      </c>
      <c r="M394" s="1" t="s">
        <v>103</v>
      </c>
      <c r="N394" s="4"/>
      <c r="O394" s="4" t="n">
        <v>44013</v>
      </c>
      <c r="P394" s="1" t="s">
        <v>166</v>
      </c>
      <c r="Q394" s="1" t="s">
        <v>1262</v>
      </c>
      <c r="R394" s="1" t="str">
        <f aca="false">VLOOKUP(P394,[1]Categorizations!A$1:C$1048576,2,FALSE())</f>
        <v>Aspergillus</v>
      </c>
      <c r="S394" s="1" t="str">
        <f aca="false">VLOOKUP(P394,[1]Categorizations!A$1:C$1048576,3,FALSE())</f>
        <v>Microbial Contamination</v>
      </c>
    </row>
    <row r="395" customFormat="false" ht="15.75" hidden="false" customHeight="false" outlineLevel="0" collapsed="false">
      <c r="A395" s="1" t="s">
        <v>1263</v>
      </c>
      <c r="C395" s="5" t="n">
        <v>44512</v>
      </c>
      <c r="D395" s="1" t="s">
        <v>1259</v>
      </c>
      <c r="E395" s="6" t="s">
        <v>1264</v>
      </c>
      <c r="G395" s="1" t="s">
        <v>22</v>
      </c>
      <c r="H395" s="1"/>
      <c r="I395" s="1"/>
      <c r="J395" s="1" t="s">
        <v>114</v>
      </c>
      <c r="K395" s="1"/>
      <c r="L395" s="1" t="s">
        <v>103</v>
      </c>
      <c r="M395" s="1" t="s">
        <v>42</v>
      </c>
      <c r="N395" s="4" t="n">
        <v>44393</v>
      </c>
      <c r="O395" s="4"/>
      <c r="P395" s="1" t="s">
        <v>166</v>
      </c>
      <c r="Q395" s="1" t="s">
        <v>1262</v>
      </c>
      <c r="R395" s="1" t="str">
        <f aca="false">VLOOKUP(P395,[1]Categorizations!A$1:C$1048576,2,FALSE())</f>
        <v>Aspergillus</v>
      </c>
      <c r="S395" s="1" t="str">
        <f aca="false">VLOOKUP(P395,[1]Categorizations!A$1:C$1048576,3,FALSE())</f>
        <v>Microbial Contamination</v>
      </c>
    </row>
    <row r="396" customFormat="false" ht="15.75" hidden="false" customHeight="false" outlineLevel="0" collapsed="false">
      <c r="A396" s="1" t="s">
        <v>1265</v>
      </c>
      <c r="C396" s="5" t="n">
        <v>44540</v>
      </c>
      <c r="D396" s="1" t="s">
        <v>1266</v>
      </c>
      <c r="E396" s="6" t="s">
        <v>1267</v>
      </c>
      <c r="G396" s="1" t="s">
        <v>1268</v>
      </c>
      <c r="H396" s="1"/>
      <c r="I396" s="1"/>
      <c r="J396" s="1" t="s">
        <v>1269</v>
      </c>
      <c r="K396" s="1"/>
      <c r="L396" s="1" t="s">
        <v>103</v>
      </c>
      <c r="M396" s="1" t="s">
        <v>26</v>
      </c>
      <c r="N396" s="4"/>
      <c r="O396" s="4"/>
      <c r="P396" s="1" t="s">
        <v>1270</v>
      </c>
      <c r="Q396" s="1" t="s">
        <v>131</v>
      </c>
      <c r="R396" s="1" t="str">
        <f aca="false">VLOOKUP(P396,[1]Categorizations!A$1:C$1048576,2,FALSE())</f>
        <v>Other</v>
      </c>
      <c r="S396" s="1" t="str">
        <f aca="false">VLOOKUP(P396,[1]Categorizations!A$1:C$1048576,3,FALSE())</f>
        <v>Other</v>
      </c>
    </row>
    <row r="397" customFormat="false" ht="15.75" hidden="false" customHeight="false" outlineLevel="0" collapsed="false">
      <c r="A397" s="1" t="s">
        <v>1271</v>
      </c>
      <c r="C397" s="5" t="n">
        <v>42140</v>
      </c>
      <c r="D397" s="1" t="s">
        <v>1272</v>
      </c>
      <c r="E397" s="6" t="s">
        <v>1273</v>
      </c>
      <c r="G397" s="1" t="s">
        <v>38</v>
      </c>
      <c r="H397" s="1"/>
      <c r="I397" s="1"/>
      <c r="J397" s="1" t="s">
        <v>1274</v>
      </c>
      <c r="M397" s="1"/>
      <c r="N397" s="4"/>
      <c r="O397" s="4"/>
      <c r="P397" s="1" t="s">
        <v>964</v>
      </c>
      <c r="Q397" s="1" t="s">
        <v>131</v>
      </c>
      <c r="R397" s="1" t="str">
        <f aca="false">VLOOKUP(P397,[1]Categorizations!A$1:C$1048576,2,FALSE())</f>
        <v>Microbial</v>
      </c>
      <c r="S397" s="1" t="str">
        <f aca="false">VLOOKUP(P397,[1]Categorizations!A$1:C$1048576,3,FALSE())</f>
        <v>Microbial Contamination</v>
      </c>
    </row>
    <row r="398" customFormat="false" ht="15.75" hidden="false" customHeight="false" outlineLevel="0" collapsed="false">
      <c r="A398" s="1" t="str">
        <f aca="false">CONCATENATE(C398,J398)</f>
        <v>45545Cannabis Cured</v>
      </c>
      <c r="C398" s="5" t="n">
        <v>45545</v>
      </c>
      <c r="D398" s="1" t="s">
        <v>1272</v>
      </c>
      <c r="E398" s="6" t="s">
        <v>1275</v>
      </c>
      <c r="F398" s="1"/>
      <c r="G398" s="2" t="s">
        <v>1276</v>
      </c>
      <c r="H398" s="1" t="s">
        <v>1152</v>
      </c>
      <c r="I398" s="1" t="s">
        <v>1277</v>
      </c>
      <c r="J398" s="1" t="s">
        <v>1277</v>
      </c>
      <c r="M398" s="1" t="s">
        <v>103</v>
      </c>
      <c r="N398" s="4"/>
      <c r="O398" s="4" t="n">
        <v>45531</v>
      </c>
      <c r="P398" s="1" t="s">
        <v>1257</v>
      </c>
      <c r="Q398" s="1" t="s">
        <v>35</v>
      </c>
      <c r="R398" s="1" t="str">
        <f aca="false">VLOOKUP(P398,[1]Categorizations!A$1:C$1048576,2,FALSE())</f>
        <v>Total Yeast and Mold</v>
      </c>
      <c r="S398" s="1" t="str">
        <f aca="false">VLOOKUP(P398,[1]Categorizations!A$1:C$1048576,3,FALSE())</f>
        <v>Microbial Contamination</v>
      </c>
    </row>
    <row r="399" customFormat="false" ht="15.75" hidden="false" customHeight="false" outlineLevel="0" collapsed="false">
      <c r="A399" s="1" t="str">
        <f aca="false">CONCATENATE(C399,J399)</f>
        <v>45576Nova Farms</v>
      </c>
      <c r="C399" s="5" t="n">
        <v>45576</v>
      </c>
      <c r="D399" s="1" t="s">
        <v>1272</v>
      </c>
      <c r="E399" s="6" t="s">
        <v>1278</v>
      </c>
      <c r="F399" s="1"/>
      <c r="G399" s="2" t="s">
        <v>1276</v>
      </c>
      <c r="H399" s="1" t="s">
        <v>1279</v>
      </c>
      <c r="I399" s="1" t="s">
        <v>1280</v>
      </c>
      <c r="J399" s="1" t="s">
        <v>1280</v>
      </c>
      <c r="M399" s="1" t="s">
        <v>103</v>
      </c>
      <c r="N399" s="4"/>
      <c r="O399" s="4" t="n">
        <v>45534</v>
      </c>
      <c r="P399" s="1" t="s">
        <v>1281</v>
      </c>
      <c r="Q399" s="1" t="s">
        <v>35</v>
      </c>
      <c r="R399" s="1" t="str">
        <f aca="false">VLOOKUP(P399,[1]Categorizations!A$1:C$1048576,2,FALSE())</f>
        <v>Multiple - Microbials and Yeast and Mold</v>
      </c>
      <c r="S399" s="1" t="str">
        <f aca="false">VLOOKUP(P399,[1]Categorizations!A$1:C$1048576,3,FALSE())</f>
        <v>Multiple</v>
      </c>
    </row>
    <row r="400" customFormat="false" ht="15.75" hidden="false" customHeight="false" outlineLevel="0" collapsed="false">
      <c r="A400" s="1" t="str">
        <f aca="false">CONCATENATE(C400,J400)</f>
        <v>45603Leb City Greeneries</v>
      </c>
      <c r="C400" s="5" t="n">
        <v>45603</v>
      </c>
      <c r="D400" s="1" t="s">
        <v>1272</v>
      </c>
      <c r="E400" s="6" t="s">
        <v>1282</v>
      </c>
      <c r="F400" s="1"/>
      <c r="G400" s="2" t="s">
        <v>1276</v>
      </c>
      <c r="H400" s="1" t="s">
        <v>39</v>
      </c>
      <c r="I400" s="1" t="s">
        <v>1283</v>
      </c>
      <c r="J400" s="1" t="s">
        <v>1283</v>
      </c>
      <c r="M400" s="1" t="s">
        <v>103</v>
      </c>
      <c r="N400" s="4"/>
      <c r="O400" s="4" t="n">
        <v>45576</v>
      </c>
      <c r="P400" s="1" t="s">
        <v>1257</v>
      </c>
      <c r="Q400" s="1" t="s">
        <v>35</v>
      </c>
      <c r="R400" s="1" t="str">
        <f aca="false">VLOOKUP(P400,[1]Categorizations!A$1:C$1048576,2,FALSE())</f>
        <v>Total Yeast and Mold</v>
      </c>
      <c r="S400" s="1" t="str">
        <f aca="false">VLOOKUP(P400,[1]Categorizations!A$1:C$1048576,3,FALSE())</f>
        <v>Microbial Contamination</v>
      </c>
    </row>
    <row r="401" customFormat="false" ht="15.75" hidden="false" customHeight="false" outlineLevel="0" collapsed="false">
      <c r="A401" s="1" t="s">
        <v>1284</v>
      </c>
      <c r="C401" s="5" t="n">
        <v>45609</v>
      </c>
      <c r="D401" s="1" t="s">
        <v>1272</v>
      </c>
      <c r="E401" s="6" t="s">
        <v>1278</v>
      </c>
      <c r="F401" s="1"/>
      <c r="G401" s="2" t="s">
        <v>1276</v>
      </c>
      <c r="H401" s="1" t="s">
        <v>1279</v>
      </c>
      <c r="I401" s="1" t="s">
        <v>1280</v>
      </c>
      <c r="J401" s="1" t="s">
        <v>1280</v>
      </c>
      <c r="M401" s="1" t="s">
        <v>103</v>
      </c>
      <c r="N401" s="4"/>
      <c r="O401" s="4" t="n">
        <v>45534</v>
      </c>
      <c r="P401" s="1" t="s">
        <v>1281</v>
      </c>
      <c r="Q401" s="1" t="s">
        <v>35</v>
      </c>
      <c r="R401" s="1" t="str">
        <f aca="false">VLOOKUP(P401,[1]Categorizations!A$1:C$1048576,2,FALSE())</f>
        <v>Multiple - Microbials and Yeast and Mold</v>
      </c>
      <c r="S401" s="1" t="str">
        <f aca="false">VLOOKUP(P401,[1]Categorizations!A$1:C$1048576,3,FALSE())</f>
        <v>Multiple</v>
      </c>
    </row>
    <row r="402" customFormat="false" ht="15.75" hidden="false" customHeight="false" outlineLevel="0" collapsed="false">
      <c r="A402" s="1" t="str">
        <f aca="false">CONCATENATE(C402,J402)</f>
        <v>45957NorCO Outdoor Cannabis</v>
      </c>
      <c r="C402" s="5" t="n">
        <v>45957</v>
      </c>
      <c r="D402" s="1" t="s">
        <v>1272</v>
      </c>
      <c r="E402" s="6" t="s">
        <v>1285</v>
      </c>
      <c r="F402" s="1"/>
      <c r="G402" s="2" t="s">
        <v>1276</v>
      </c>
      <c r="H402" s="1" t="s">
        <v>302</v>
      </c>
      <c r="I402" s="1" t="s">
        <v>1286</v>
      </c>
      <c r="J402" s="1" t="s">
        <v>1286</v>
      </c>
      <c r="M402" s="1" t="s">
        <v>103</v>
      </c>
      <c r="N402" s="4"/>
      <c r="O402" s="4" t="n">
        <v>45848</v>
      </c>
      <c r="P402" s="1" t="s">
        <v>1143</v>
      </c>
      <c r="Q402" s="1" t="s">
        <v>35</v>
      </c>
      <c r="R402" s="1" t="str">
        <f aca="false">VLOOKUP(P402,[1]Categorizations!A$1:C$1048576,2,FALSE())</f>
        <v>Pesticides</v>
      </c>
      <c r="S402" s="1" t="str">
        <f aca="false">VLOOKUP(P402,[1]Categorizations!A$1:C$1048576,3,FALSE())</f>
        <v>Pesticides</v>
      </c>
    </row>
    <row r="403" customFormat="false" ht="15.75" hidden="false" customHeight="false" outlineLevel="0" collapsed="false">
      <c r="A403" s="1" t="s">
        <v>1287</v>
      </c>
      <c r="C403" s="5" t="n">
        <v>45974</v>
      </c>
      <c r="D403" s="1" t="s">
        <v>1272</v>
      </c>
      <c r="E403" s="6" t="s">
        <v>1285</v>
      </c>
      <c r="F403" s="1"/>
      <c r="G403" s="2" t="s">
        <v>1276</v>
      </c>
      <c r="H403" s="1" t="s">
        <v>302</v>
      </c>
      <c r="I403" s="1" t="s">
        <v>1286</v>
      </c>
      <c r="J403" s="1" t="s">
        <v>1286</v>
      </c>
      <c r="M403" s="1" t="s">
        <v>103</v>
      </c>
      <c r="N403" s="4"/>
      <c r="O403" s="4" t="n">
        <v>45848</v>
      </c>
      <c r="P403" s="1" t="s">
        <v>1143</v>
      </c>
      <c r="Q403" s="1" t="s">
        <v>35</v>
      </c>
      <c r="R403" s="1" t="str">
        <f aca="false">VLOOKUP(P403,[1]Categorizations!A$1:C$1048576,2,FALSE())</f>
        <v>Pesticides</v>
      </c>
      <c r="S403" s="1" t="str">
        <f aca="false">VLOOKUP(P403,[1]Categorizations!A$1:C$1048576,3,FALSE())</f>
        <v>Pesticides</v>
      </c>
    </row>
    <row r="404" customFormat="false" ht="15.75" hidden="false" customHeight="false" outlineLevel="0" collapsed="false">
      <c r="A404" s="1" t="str">
        <f aca="false">CONCATENATE(C404,J404)</f>
        <v>45994NorCO Outdoor Cannabis</v>
      </c>
      <c r="C404" s="5" t="n">
        <v>45994</v>
      </c>
      <c r="D404" s="1" t="s">
        <v>1272</v>
      </c>
      <c r="E404" s="6" t="s">
        <v>1288</v>
      </c>
      <c r="F404" s="1"/>
      <c r="G404" s="2" t="s">
        <v>1276</v>
      </c>
      <c r="H404" s="1" t="s">
        <v>39</v>
      </c>
      <c r="I404" s="1" t="s">
        <v>1286</v>
      </c>
      <c r="J404" s="1" t="s">
        <v>1286</v>
      </c>
      <c r="M404" s="1" t="s">
        <v>103</v>
      </c>
      <c r="N404" s="4"/>
      <c r="O404" s="4" t="n">
        <v>45945</v>
      </c>
      <c r="P404" s="1" t="s">
        <v>1289</v>
      </c>
      <c r="Q404" s="1" t="s">
        <v>35</v>
      </c>
      <c r="R404" s="1" t="str">
        <f aca="false">VLOOKUP(P404,[1]Categorizations!A$1:C$1048576,2,FALSE())</f>
        <v>Multiple- Yeast and Mold, Microbials, Heavy Metal</v>
      </c>
      <c r="S404" s="1" t="str">
        <f aca="false">VLOOKUP(P404,[1]Categorizations!A$1:C$1048576,3,FALSE())</f>
        <v>Multiple</v>
      </c>
    </row>
    <row r="405" customFormat="false" ht="15.75" hidden="false" customHeight="false" outlineLevel="0" collapsed="false">
      <c r="A405" s="1" t="str">
        <f aca="false">CONCATENATE(C405,J405)</f>
        <v>46044MarijuanaVille</v>
      </c>
      <c r="C405" s="5" t="n">
        <v>46044</v>
      </c>
      <c r="D405" s="1" t="s">
        <v>1272</v>
      </c>
      <c r="E405" s="6" t="s">
        <v>1290</v>
      </c>
      <c r="F405" s="1"/>
      <c r="G405" s="2" t="s">
        <v>1291</v>
      </c>
      <c r="H405" s="1" t="s">
        <v>116</v>
      </c>
      <c r="I405" s="1" t="s">
        <v>1292</v>
      </c>
      <c r="J405" s="1" t="s">
        <v>1292</v>
      </c>
      <c r="M405" s="1" t="s">
        <v>26</v>
      </c>
      <c r="N405" s="4"/>
      <c r="O405" s="4" t="n">
        <v>45945</v>
      </c>
      <c r="P405" s="1" t="s">
        <v>1293</v>
      </c>
      <c r="Q405" s="1" t="s">
        <v>35</v>
      </c>
      <c r="R405" s="1" t="str">
        <f aca="false">VLOOKUP(P405,[1]Categorizations!A$1:C$1048576,2,FALSE())</f>
        <v>Pesticides</v>
      </c>
      <c r="S405" s="1" t="str">
        <f aca="false">VLOOKUP(P405,[1]Categorizations!A$1:C$1048576,3,FALSE())</f>
        <v>Pesticides</v>
      </c>
    </row>
    <row r="406" customFormat="false" ht="15.75" hidden="false" customHeight="false" outlineLevel="0" collapsed="false">
      <c r="A406" s="1" t="str">
        <f aca="false">CONCATENATE(C406,J406)</f>
        <v>46143Northwoods Caregiver, LLC</v>
      </c>
      <c r="C406" s="11" t="n">
        <v>46143</v>
      </c>
      <c r="D406" s="2" t="s">
        <v>1272</v>
      </c>
      <c r="E406" s="8" t="s">
        <v>1294</v>
      </c>
      <c r="F406" s="8" t="s">
        <v>1295</v>
      </c>
      <c r="G406" s="2" t="s">
        <v>145</v>
      </c>
      <c r="H406" s="2" t="s">
        <v>39</v>
      </c>
      <c r="I406" s="2" t="s">
        <v>1296</v>
      </c>
      <c r="J406" s="2" t="s">
        <v>1296</v>
      </c>
      <c r="M406" s="2" t="s">
        <v>26</v>
      </c>
      <c r="N406" s="4"/>
      <c r="O406" s="4"/>
      <c r="P406" s="2" t="s">
        <v>1297</v>
      </c>
      <c r="Q406" s="1" t="s">
        <v>35</v>
      </c>
      <c r="R406" s="1" t="str">
        <f aca="false">VLOOKUP(P406,[1]Categorizations!A$1:C$1048576,2,FALSE())</f>
        <v>Pesticides</v>
      </c>
      <c r="S406" s="1" t="str">
        <f aca="false">VLOOKUP(P406,[1]Categorizations!A$1:C$1048576,3,FALSE())</f>
        <v>Pesticides</v>
      </c>
    </row>
    <row r="407" customFormat="false" ht="15.75" hidden="false" customHeight="false" outlineLevel="0" collapsed="false">
      <c r="A407" s="1" t="str">
        <f aca="false">CONCATENATE(C407,J407)</f>
        <v>46182Green Trap</v>
      </c>
      <c r="C407" s="11" t="n">
        <v>46182</v>
      </c>
      <c r="D407" s="2" t="s">
        <v>1272</v>
      </c>
      <c r="E407" s="8" t="s">
        <v>1298</v>
      </c>
      <c r="F407" s="8" t="s">
        <v>1299</v>
      </c>
      <c r="G407" s="2" t="s">
        <v>145</v>
      </c>
      <c r="H407" s="2" t="s">
        <v>39</v>
      </c>
      <c r="I407" s="2" t="s">
        <v>1300</v>
      </c>
      <c r="J407" s="2" t="s">
        <v>1301</v>
      </c>
      <c r="M407" s="2" t="s">
        <v>103</v>
      </c>
      <c r="N407" s="4"/>
      <c r="O407" s="4"/>
      <c r="P407" s="2" t="s">
        <v>1097</v>
      </c>
      <c r="Q407" s="1" t="s">
        <v>35</v>
      </c>
      <c r="R407" s="1" t="str">
        <f aca="false">VLOOKUP(P407,[1]Categorizations!A$1:C$1048576,2,FALSE())</f>
        <v>Total Yeast and Mold</v>
      </c>
      <c r="S407" s="1" t="str">
        <f aca="false">VLOOKUP(P407,[1]Categorizations!A$1:C$1048576,3,FALSE())</f>
        <v>Microbial Contamination</v>
      </c>
    </row>
    <row r="408" customFormat="false" ht="15.75" hidden="false" customHeight="false" outlineLevel="0" collapsed="false">
      <c r="A408" s="1" t="str">
        <f aca="false">CONCATENATE(C408,J408)</f>
        <v>46189ChoicesLab 2-in-1 disposable vape</v>
      </c>
      <c r="C408" s="11" t="n">
        <v>46189</v>
      </c>
      <c r="D408" s="2" t="s">
        <v>1272</v>
      </c>
      <c r="E408" s="8" t="s">
        <v>1302</v>
      </c>
      <c r="F408" s="8" t="s">
        <v>1303</v>
      </c>
      <c r="G408" s="2" t="s">
        <v>145</v>
      </c>
      <c r="H408" s="2" t="s">
        <v>1304</v>
      </c>
      <c r="I408" s="2" t="s">
        <v>1305</v>
      </c>
      <c r="J408" s="2" t="s">
        <v>1305</v>
      </c>
      <c r="M408" s="1"/>
      <c r="N408" s="4"/>
      <c r="O408" s="4"/>
      <c r="P408" s="2" t="s">
        <v>1306</v>
      </c>
      <c r="Q408" s="1" t="s">
        <v>35</v>
      </c>
      <c r="R408" s="1" t="str">
        <f aca="false">VLOOKUP(P408,[1]Categorizations!A$1:C$1048576,2,FALSE())</f>
        <v>Pesticides</v>
      </c>
      <c r="S408" s="1" t="str">
        <f aca="false">VLOOKUP(P408,[1]Categorizations!A$1:C$1048576,3,FALSE())</f>
        <v>Pesticides</v>
      </c>
    </row>
    <row r="409" customFormat="false" ht="15.75" hidden="false" customHeight="false" outlineLevel="0" collapsed="false">
      <c r="A409" s="1" t="str">
        <f aca="false">CONCATENATE(C409,J409)</f>
        <v>46283Ganja World</v>
      </c>
      <c r="C409" s="7" t="n">
        <v>46283</v>
      </c>
      <c r="D409" s="1" t="s">
        <v>1272</v>
      </c>
      <c r="E409" s="8" t="s">
        <v>1307</v>
      </c>
      <c r="F409" s="8" t="s">
        <v>1308</v>
      </c>
      <c r="G409" s="2" t="s">
        <v>1291</v>
      </c>
      <c r="H409" s="2" t="s">
        <v>116</v>
      </c>
      <c r="I409" s="2" t="s">
        <v>1309</v>
      </c>
      <c r="J409" s="2" t="s">
        <v>1309</v>
      </c>
      <c r="M409" s="2" t="s">
        <v>26</v>
      </c>
      <c r="O409" s="4"/>
      <c r="P409" s="2" t="s">
        <v>1310</v>
      </c>
      <c r="Q409" s="2" t="s">
        <v>35</v>
      </c>
      <c r="R409" s="1" t="str">
        <f aca="false">VLOOKUP(P409,[1]Categorizations!A$1:C$1048576,2,FALSE())</f>
        <v>Solvent</v>
      </c>
      <c r="S409" s="1" t="str">
        <f aca="false">VLOOKUP(P409,[1]Categorizations!A$1:C$1048576,3,FALSE())</f>
        <v>Solvent</v>
      </c>
    </row>
    <row r="410" customFormat="false" ht="15.75" hidden="false" customHeight="false" outlineLevel="0" collapsed="false">
      <c r="A410" s="1" t="str">
        <f aca="false">CONCATENATE(C410,J410)</f>
        <v>45916Not Specified, Locations Listed</v>
      </c>
      <c r="C410" s="5" t="n">
        <v>45916</v>
      </c>
      <c r="D410" s="1" t="s">
        <v>1311</v>
      </c>
      <c r="E410" s="6" t="s">
        <v>1312</v>
      </c>
      <c r="F410" s="1"/>
      <c r="H410" s="1" t="s">
        <v>1313</v>
      </c>
      <c r="I410" s="1" t="s">
        <v>1314</v>
      </c>
      <c r="J410" s="1" t="s">
        <v>1315</v>
      </c>
      <c r="M410" s="1" t="s">
        <v>26</v>
      </c>
      <c r="N410" s="4"/>
      <c r="O410" s="4" t="n">
        <v>45865</v>
      </c>
      <c r="P410" s="1" t="s">
        <v>1316</v>
      </c>
      <c r="Q410" s="1" t="s">
        <v>35</v>
      </c>
      <c r="R410" s="1" t="str">
        <f aca="false">VLOOKUP(P410,[1]Categorizations!A$1:C$1048576,2,FALSE())</f>
        <v>Coliforms</v>
      </c>
      <c r="S410" s="1" t="str">
        <f aca="false">VLOOKUP(P410,[1]Categorizations!A$1:C$1048576,3,FALSE())</f>
        <v>Microbial Contamination</v>
      </c>
    </row>
    <row r="411" customFormat="false" ht="15.75" hidden="false" customHeight="false" outlineLevel="0" collapsed="false">
      <c r="A411" s="1" t="s">
        <v>1317</v>
      </c>
      <c r="C411" s="5" t="n">
        <v>44609</v>
      </c>
      <c r="D411" s="1" t="s">
        <v>1318</v>
      </c>
      <c r="E411" s="6" t="s">
        <v>1319</v>
      </c>
      <c r="G411" s="1" t="s">
        <v>22</v>
      </c>
      <c r="H411" s="1"/>
      <c r="I411" s="1"/>
      <c r="J411" s="1" t="s">
        <v>1320</v>
      </c>
      <c r="M411" s="1" t="s">
        <v>26</v>
      </c>
      <c r="N411" s="4"/>
      <c r="O411" s="4"/>
      <c r="P411" s="1" t="s">
        <v>1321</v>
      </c>
      <c r="Q411" s="1" t="s">
        <v>1322</v>
      </c>
      <c r="R411" s="1" t="str">
        <f aca="false">VLOOKUP(P411,[1]Categorizations!A$1:C$1048576,2,FALSE())</f>
        <v>Mycotoxins</v>
      </c>
      <c r="S411" s="1" t="str">
        <f aca="false">VLOOKUP(P411,[1]Categorizations!A$1:C$1048576,3,FALSE())</f>
        <v>Mycotoxins</v>
      </c>
    </row>
    <row r="412" customFormat="false" ht="15.75" hidden="false" customHeight="false" outlineLevel="0" collapsed="false">
      <c r="A412" s="1" t="s">
        <v>1323</v>
      </c>
      <c r="C412" s="5" t="n">
        <v>44862</v>
      </c>
      <c r="D412" s="1" t="s">
        <v>1318</v>
      </c>
      <c r="E412" s="6" t="s">
        <v>1324</v>
      </c>
      <c r="G412" s="1" t="s">
        <v>22</v>
      </c>
      <c r="H412" s="1"/>
      <c r="I412" s="1"/>
      <c r="J412" s="1" t="s">
        <v>1320</v>
      </c>
      <c r="M412" s="1" t="s">
        <v>103</v>
      </c>
      <c r="N412" s="4" t="n">
        <v>44631</v>
      </c>
      <c r="O412" s="4"/>
      <c r="P412" s="1" t="s">
        <v>1325</v>
      </c>
      <c r="Q412" s="1" t="s">
        <v>1322</v>
      </c>
      <c r="R412" s="1" t="str">
        <f aca="false">VLOOKUP(P412,[1]Categorizations!A$1:C$1048576,2,FALSE())</f>
        <v>Untested</v>
      </c>
      <c r="S412" s="1" t="str">
        <f aca="false">VLOOKUP(P412,[1]Categorizations!A$1:C$1048576,3,FALSE())</f>
        <v>Lab Issue</v>
      </c>
    </row>
    <row r="413" customFormat="false" ht="15.75" hidden="false" customHeight="false" outlineLevel="0" collapsed="false">
      <c r="A413" s="1" t="str">
        <f aca="false">CONCATENATE(C413,J413)</f>
        <v>45691Not Specified, Locations Listed</v>
      </c>
      <c r="C413" s="5" t="n">
        <v>45691</v>
      </c>
      <c r="D413" s="1" t="s">
        <v>1318</v>
      </c>
      <c r="E413" s="6" t="s">
        <v>1326</v>
      </c>
      <c r="F413" s="1"/>
      <c r="H413" s="1" t="s">
        <v>1152</v>
      </c>
      <c r="I413" s="1" t="s">
        <v>1315</v>
      </c>
      <c r="J413" s="1" t="s">
        <v>1315</v>
      </c>
      <c r="M413" s="1" t="s">
        <v>103</v>
      </c>
      <c r="N413" s="4"/>
      <c r="O413" s="4" t="n">
        <v>45443</v>
      </c>
      <c r="P413" s="1" t="s">
        <v>1257</v>
      </c>
      <c r="Q413" s="1" t="s">
        <v>35</v>
      </c>
      <c r="R413" s="1" t="str">
        <f aca="false">VLOOKUP(P413,[1]Categorizations!A$1:C$1048576,2,FALSE())</f>
        <v>Total Yeast and Mold</v>
      </c>
      <c r="S413" s="1" t="str">
        <f aca="false">VLOOKUP(P413,[1]Categorizations!A$1:C$1048576,3,FALSE())</f>
        <v>Microbial Contamination</v>
      </c>
    </row>
    <row r="414" customFormat="false" ht="15.75" hidden="false" customHeight="false" outlineLevel="0" collapsed="false">
      <c r="A414" s="1" t="str">
        <f aca="false">CONCATENATE(C414,J414)</f>
        <v>45691Not Specified, Locations Listed</v>
      </c>
      <c r="C414" s="5" t="n">
        <v>45691</v>
      </c>
      <c r="D414" s="1" t="s">
        <v>1318</v>
      </c>
      <c r="E414" s="6" t="s">
        <v>1327</v>
      </c>
      <c r="F414" s="1"/>
      <c r="H414" s="1" t="s">
        <v>1152</v>
      </c>
      <c r="I414" s="1" t="s">
        <v>1315</v>
      </c>
      <c r="J414" s="1" t="s">
        <v>1315</v>
      </c>
      <c r="M414" s="1" t="s">
        <v>103</v>
      </c>
      <c r="N414" s="4"/>
      <c r="O414" s="4" t="n">
        <v>45553</v>
      </c>
      <c r="P414" s="1" t="s">
        <v>1097</v>
      </c>
      <c r="Q414" s="1" t="s">
        <v>35</v>
      </c>
      <c r="R414" s="1" t="str">
        <f aca="false">VLOOKUP(P414,[1]Categorizations!A$1:C$1048576,2,FALSE())</f>
        <v>Total Yeast and Mold</v>
      </c>
      <c r="S414" s="1" t="str">
        <f aca="false">VLOOKUP(P414,[1]Categorizations!A$1:C$1048576,3,FALSE())</f>
        <v>Microbial Contamination</v>
      </c>
    </row>
    <row r="415" customFormat="false" ht="15.75" hidden="false" customHeight="false" outlineLevel="0" collapsed="false">
      <c r="A415" s="1" t="str">
        <f aca="false">CONCATENATE(C415,J415)</f>
        <v>45875Not Specified, No Locations Listed</v>
      </c>
      <c r="C415" s="5" t="n">
        <v>45875</v>
      </c>
      <c r="D415" s="1" t="s">
        <v>1318</v>
      </c>
      <c r="E415" s="6" t="s">
        <v>1328</v>
      </c>
      <c r="F415" s="1"/>
      <c r="H415" s="1" t="s">
        <v>1313</v>
      </c>
      <c r="I415" s="1" t="s">
        <v>1329</v>
      </c>
      <c r="J415" s="1" t="s">
        <v>1329</v>
      </c>
      <c r="M415" s="1" t="s">
        <v>103</v>
      </c>
      <c r="N415" s="4"/>
      <c r="O415" s="4" t="n">
        <v>45383</v>
      </c>
      <c r="P415" s="1" t="s">
        <v>1097</v>
      </c>
      <c r="Q415" s="1" t="s">
        <v>35</v>
      </c>
      <c r="R415" s="1" t="str">
        <f aca="false">VLOOKUP(P415,[1]Categorizations!A$1:C$1048576,2,FALSE())</f>
        <v>Total Yeast and Mold</v>
      </c>
      <c r="S415" s="1" t="str">
        <f aca="false">VLOOKUP(P415,[1]Categorizations!A$1:C$1048576,3,FALSE())</f>
        <v>Microbial Contamination</v>
      </c>
    </row>
    <row r="416" customFormat="false" ht="15.75" hidden="false" customHeight="false" outlineLevel="0" collapsed="false">
      <c r="A416" s="1" t="s">
        <v>1330</v>
      </c>
      <c r="C416" s="5" t="n">
        <v>43469</v>
      </c>
      <c r="D416" s="1" t="s">
        <v>1331</v>
      </c>
      <c r="E416" s="6" t="s">
        <v>1332</v>
      </c>
      <c r="G416" s="1" t="s">
        <v>22</v>
      </c>
      <c r="H416" s="1"/>
      <c r="I416" s="1"/>
      <c r="J416" s="1" t="s">
        <v>1333</v>
      </c>
      <c r="M416" s="1" t="s">
        <v>26</v>
      </c>
      <c r="N416" s="4"/>
      <c r="O416" s="4"/>
      <c r="P416" s="1" t="s">
        <v>1334</v>
      </c>
      <c r="Q416" s="1" t="s">
        <v>35</v>
      </c>
      <c r="R416" s="1" t="str">
        <f aca="false">VLOOKUP(P416,[1]Categorizations!A$1:C$1048576,2,FALSE())</f>
        <v>Untested</v>
      </c>
      <c r="S416" s="1" t="str">
        <f aca="false">VLOOKUP(P416,[1]Categorizations!A$1:C$1048576,3,FALSE())</f>
        <v>Lab Issue</v>
      </c>
    </row>
    <row r="417" customFormat="false" ht="15.75" hidden="false" customHeight="false" outlineLevel="0" collapsed="false">
      <c r="A417" s="1" t="s">
        <v>1335</v>
      </c>
      <c r="C417" s="5" t="n">
        <v>43507</v>
      </c>
      <c r="D417" s="1" t="s">
        <v>1331</v>
      </c>
      <c r="E417" s="6" t="s">
        <v>1336</v>
      </c>
      <c r="G417" s="1" t="s">
        <v>22</v>
      </c>
      <c r="H417" s="1"/>
      <c r="I417" s="1"/>
      <c r="J417" s="1" t="s">
        <v>1337</v>
      </c>
      <c r="M417" s="1" t="s">
        <v>103</v>
      </c>
      <c r="N417" s="4"/>
      <c r="O417" s="4" t="n">
        <v>43446</v>
      </c>
      <c r="P417" s="1" t="s">
        <v>1338</v>
      </c>
      <c r="Q417" s="1" t="s">
        <v>35</v>
      </c>
      <c r="R417" s="1" t="str">
        <f aca="false">VLOOKUP(P417,[1]Categorizations!A$1:C$1048576,2,FALSE())</f>
        <v>Failed Testing</v>
      </c>
      <c r="S417" s="1" t="str">
        <f aca="false">VLOOKUP(P417,[1]Categorizations!A$1:C$1048576,3,FALSE())</f>
        <v>Lab Issue</v>
      </c>
    </row>
    <row r="418" customFormat="false" ht="15.75" hidden="false" customHeight="false" outlineLevel="0" collapsed="false">
      <c r="A418" s="1" t="s">
        <v>1339</v>
      </c>
      <c r="C418" s="5" t="n">
        <v>43522</v>
      </c>
      <c r="D418" s="1" t="s">
        <v>1331</v>
      </c>
      <c r="E418" s="6" t="s">
        <v>1340</v>
      </c>
      <c r="G418" s="1" t="s">
        <v>22</v>
      </c>
      <c r="H418" s="1"/>
      <c r="I418" s="1"/>
      <c r="J418" s="1" t="s">
        <v>1341</v>
      </c>
      <c r="M418" s="1" t="s">
        <v>103</v>
      </c>
      <c r="N418" s="4"/>
      <c r="O418" s="4" t="n">
        <v>43417</v>
      </c>
      <c r="P418" s="1" t="s">
        <v>1338</v>
      </c>
      <c r="Q418" s="1" t="s">
        <v>35</v>
      </c>
      <c r="R418" s="1" t="str">
        <f aca="false">VLOOKUP(P418,[1]Categorizations!A$1:C$1048576,2,FALSE())</f>
        <v>Failed Testing</v>
      </c>
      <c r="S418" s="1" t="str">
        <f aca="false">VLOOKUP(P418,[1]Categorizations!A$1:C$1048576,3,FALSE())</f>
        <v>Lab Issue</v>
      </c>
    </row>
    <row r="419" customFormat="false" ht="15.75" hidden="false" customHeight="false" outlineLevel="0" collapsed="false">
      <c r="A419" s="1" t="s">
        <v>1342</v>
      </c>
      <c r="C419" s="5" t="n">
        <v>43567</v>
      </c>
      <c r="D419" s="1" t="s">
        <v>1331</v>
      </c>
      <c r="E419" s="6" t="s">
        <v>1343</v>
      </c>
      <c r="G419" s="1" t="s">
        <v>22</v>
      </c>
      <c r="H419" s="1"/>
      <c r="I419" s="1"/>
      <c r="J419" s="1" t="s">
        <v>1344</v>
      </c>
      <c r="K419" s="1"/>
      <c r="L419" s="1"/>
      <c r="M419" s="1" t="s">
        <v>26</v>
      </c>
      <c r="N419" s="4"/>
      <c r="O419" s="4"/>
      <c r="P419" s="1" t="s">
        <v>1021</v>
      </c>
      <c r="Q419" s="1" t="s">
        <v>35</v>
      </c>
      <c r="R419" s="1" t="str">
        <f aca="false">VLOOKUP(P419,[1]Categorizations!A$1:C$1048576,2,FALSE())</f>
        <v>Lead</v>
      </c>
      <c r="S419" s="1" t="str">
        <f aca="false">VLOOKUP(P419,[1]Categorizations!A$1:C$1048576,3,FALSE())</f>
        <v>Heavy Metals</v>
      </c>
    </row>
    <row r="420" customFormat="false" ht="15.75" hidden="false" customHeight="false" outlineLevel="0" collapsed="false">
      <c r="A420" s="1" t="s">
        <v>1345</v>
      </c>
      <c r="C420" s="5" t="n">
        <v>43684</v>
      </c>
      <c r="D420" s="1" t="s">
        <v>1331</v>
      </c>
      <c r="E420" s="6" t="s">
        <v>1346</v>
      </c>
      <c r="G420" s="1" t="s">
        <v>22</v>
      </c>
      <c r="H420" s="1"/>
      <c r="I420" s="1"/>
      <c r="J420" s="1" t="s">
        <v>1347</v>
      </c>
      <c r="M420" s="1" t="s">
        <v>103</v>
      </c>
      <c r="N420" s="4" t="n">
        <v>43588</v>
      </c>
      <c r="O420" s="4"/>
      <c r="P420" s="1" t="s">
        <v>1348</v>
      </c>
      <c r="Q420" s="1" t="s">
        <v>35</v>
      </c>
      <c r="R420" s="1" t="str">
        <f aca="false">VLOOKUP(P420,[1]Categorizations!A$1:C$1048576,2,FALSE())</f>
        <v>Inaccurate THC</v>
      </c>
      <c r="S420" s="1" t="str">
        <f aca="false">VLOOKUP(P420,[1]Categorizations!A$1:C$1048576,3,FALSE())</f>
        <v>Lab Issue</v>
      </c>
    </row>
    <row r="421" customFormat="false" ht="15.75" hidden="false" customHeight="false" outlineLevel="0" collapsed="false">
      <c r="A421" s="1" t="s">
        <v>1349</v>
      </c>
      <c r="C421" s="5" t="n">
        <v>43693</v>
      </c>
      <c r="D421" s="1" t="s">
        <v>1331</v>
      </c>
      <c r="E421" s="6" t="s">
        <v>1350</v>
      </c>
      <c r="G421" s="1" t="s">
        <v>22</v>
      </c>
      <c r="H421" s="1"/>
      <c r="I421" s="1"/>
      <c r="J421" s="1" t="s">
        <v>1351</v>
      </c>
      <c r="M421" s="1" t="s">
        <v>26</v>
      </c>
      <c r="N421" s="4"/>
      <c r="O421" s="4"/>
      <c r="P421" s="1" t="s">
        <v>162</v>
      </c>
      <c r="Q421" s="1" t="s">
        <v>35</v>
      </c>
      <c r="R421" s="1" t="str">
        <f aca="false">VLOOKUP(P421,[1]Categorizations!A$1:C$1048576,2,FALSE())</f>
        <v>Lab Issue</v>
      </c>
      <c r="S421" s="1" t="str">
        <f aca="false">VLOOKUP(P421,[1]Categorizations!A$1:C$1048576,3,FALSE())</f>
        <v>Lab Issue</v>
      </c>
    </row>
    <row r="422" customFormat="false" ht="15.75" hidden="false" customHeight="false" outlineLevel="0" collapsed="false">
      <c r="A422" s="1" t="s">
        <v>1352</v>
      </c>
      <c r="C422" s="5" t="n">
        <v>43707</v>
      </c>
      <c r="D422" s="1" t="s">
        <v>1331</v>
      </c>
      <c r="E422" s="6" t="s">
        <v>1353</v>
      </c>
      <c r="G422" s="1" t="s">
        <v>22</v>
      </c>
      <c r="H422" s="1"/>
      <c r="I422" s="1"/>
      <c r="J422" s="1" t="s">
        <v>1351</v>
      </c>
      <c r="M422" s="1" t="s">
        <v>103</v>
      </c>
      <c r="N422" s="4" t="n">
        <v>43587</v>
      </c>
      <c r="O422" s="4"/>
      <c r="P422" s="1" t="s">
        <v>162</v>
      </c>
      <c r="Q422" s="1" t="s">
        <v>35</v>
      </c>
      <c r="R422" s="1" t="str">
        <f aca="false">VLOOKUP(P422,[1]Categorizations!A$1:C$1048576,2,FALSE())</f>
        <v>Lab Issue</v>
      </c>
      <c r="S422" s="1" t="str">
        <f aca="false">VLOOKUP(P422,[1]Categorizations!A$1:C$1048576,3,FALSE())</f>
        <v>Lab Issue</v>
      </c>
    </row>
    <row r="423" customFormat="false" ht="15.75" hidden="false" customHeight="false" outlineLevel="0" collapsed="false">
      <c r="A423" s="1" t="s">
        <v>1354</v>
      </c>
      <c r="C423" s="5" t="n">
        <v>43816</v>
      </c>
      <c r="D423" s="1" t="s">
        <v>1331</v>
      </c>
      <c r="E423" s="6" t="s">
        <v>1355</v>
      </c>
      <c r="G423" s="1" t="s">
        <v>22</v>
      </c>
      <c r="H423" s="1"/>
      <c r="I423" s="1"/>
      <c r="J423" s="1" t="s">
        <v>967</v>
      </c>
      <c r="M423" s="1" t="s">
        <v>103</v>
      </c>
      <c r="N423" s="4" t="n">
        <v>43600</v>
      </c>
      <c r="O423" s="4"/>
      <c r="P423" s="1" t="s">
        <v>971</v>
      </c>
      <c r="Q423" s="1" t="s">
        <v>35</v>
      </c>
      <c r="R423" s="1" t="str">
        <f aca="false">VLOOKUP(P423,[1]Categorizations!A$1:C$1048576,2,FALSE())</f>
        <v>Prohibited Additives / Product</v>
      </c>
      <c r="S423" s="1" t="str">
        <f aca="false">VLOOKUP(P423,[1]Categorizations!A$1:C$1048576,3,FALSE())</f>
        <v>Prohibited Additives / Product</v>
      </c>
    </row>
    <row r="424" customFormat="false" ht="15.75" hidden="false" customHeight="false" outlineLevel="0" collapsed="false">
      <c r="A424" s="1" t="s">
        <v>1356</v>
      </c>
      <c r="C424" s="5" t="n">
        <v>43840</v>
      </c>
      <c r="D424" s="1" t="s">
        <v>1331</v>
      </c>
      <c r="E424" s="6" t="s">
        <v>1357</v>
      </c>
      <c r="G424" s="1" t="s">
        <v>22</v>
      </c>
      <c r="H424" s="1"/>
      <c r="I424" s="1"/>
      <c r="J424" s="1" t="s">
        <v>1358</v>
      </c>
      <c r="M424" s="1" t="s">
        <v>42</v>
      </c>
      <c r="N424" s="4" t="n">
        <v>43654</v>
      </c>
      <c r="O424" s="4"/>
      <c r="P424" s="1" t="s">
        <v>1359</v>
      </c>
      <c r="Q424" s="1" t="s">
        <v>1360</v>
      </c>
      <c r="R424" s="1" t="str">
        <f aca="false">VLOOKUP(P424,[1]Categorizations!A$1:C$1048576,2,FALSE())</f>
        <v>Heavy Metals</v>
      </c>
      <c r="S424" s="1" t="str">
        <f aca="false">VLOOKUP(P424,[1]Categorizations!A$1:C$1048576,3,FALSE())</f>
        <v>Heavy Metals</v>
      </c>
    </row>
    <row r="425" customFormat="false" ht="15.75" hidden="false" customHeight="false" outlineLevel="0" collapsed="false">
      <c r="A425" s="1" t="s">
        <v>1361</v>
      </c>
      <c r="C425" s="5" t="n">
        <v>43847</v>
      </c>
      <c r="D425" s="1" t="s">
        <v>1331</v>
      </c>
      <c r="E425" s="6" t="s">
        <v>1362</v>
      </c>
      <c r="G425" s="1" t="s">
        <v>22</v>
      </c>
      <c r="H425" s="1"/>
      <c r="I425" s="1"/>
      <c r="J425" s="1" t="s">
        <v>1358</v>
      </c>
      <c r="M425" s="1" t="s">
        <v>42</v>
      </c>
      <c r="N425" s="4" t="n">
        <v>43654</v>
      </c>
      <c r="O425" s="4"/>
      <c r="P425" s="1" t="s">
        <v>1338</v>
      </c>
      <c r="Q425" s="1" t="s">
        <v>35</v>
      </c>
      <c r="R425" s="1" t="str">
        <f aca="false">VLOOKUP(P425,[1]Categorizations!A$1:C$1048576,2,FALSE())</f>
        <v>Failed Testing</v>
      </c>
      <c r="S425" s="1" t="str">
        <f aca="false">VLOOKUP(P425,[1]Categorizations!A$1:C$1048576,3,FALSE())</f>
        <v>Lab Issue</v>
      </c>
    </row>
    <row r="426" customFormat="false" ht="15.75" hidden="false" customHeight="false" outlineLevel="0" collapsed="false">
      <c r="A426" s="1" t="s">
        <v>1363</v>
      </c>
      <c r="C426" s="5" t="n">
        <v>43850</v>
      </c>
      <c r="D426" s="1" t="s">
        <v>1331</v>
      </c>
      <c r="E426" s="6" t="s">
        <v>1364</v>
      </c>
      <c r="G426" s="1" t="s">
        <v>22</v>
      </c>
      <c r="H426" s="1"/>
      <c r="I426" s="1"/>
      <c r="J426" s="1" t="s">
        <v>1358</v>
      </c>
      <c r="M426" s="1" t="s">
        <v>103</v>
      </c>
      <c r="N426" s="4"/>
      <c r="O426" s="4" t="n">
        <v>43741</v>
      </c>
      <c r="P426" s="1" t="s">
        <v>1338</v>
      </c>
      <c r="Q426" s="1" t="s">
        <v>35</v>
      </c>
      <c r="R426" s="1" t="str">
        <f aca="false">VLOOKUP(P426,[1]Categorizations!A$1:C$1048576,2,FALSE())</f>
        <v>Failed Testing</v>
      </c>
      <c r="S426" s="1" t="str">
        <f aca="false">VLOOKUP(P426,[1]Categorizations!A$1:C$1048576,3,FALSE())</f>
        <v>Lab Issue</v>
      </c>
    </row>
    <row r="427" customFormat="false" ht="15.75" hidden="false" customHeight="false" outlineLevel="0" collapsed="false">
      <c r="A427" s="1" t="s">
        <v>1365</v>
      </c>
      <c r="C427" s="5" t="n">
        <v>43852</v>
      </c>
      <c r="D427" s="1" t="s">
        <v>1331</v>
      </c>
      <c r="E427" s="6" t="s">
        <v>1366</v>
      </c>
      <c r="G427" s="1" t="s">
        <v>22</v>
      </c>
      <c r="H427" s="1"/>
      <c r="I427" s="1"/>
      <c r="J427" s="1" t="s">
        <v>1358</v>
      </c>
      <c r="M427" s="1" t="s">
        <v>103</v>
      </c>
      <c r="N427" s="4" t="n">
        <v>43741</v>
      </c>
      <c r="O427" s="4"/>
      <c r="P427" s="1" t="s">
        <v>971</v>
      </c>
      <c r="Q427" s="1" t="s">
        <v>35</v>
      </c>
      <c r="R427" s="1" t="str">
        <f aca="false">VLOOKUP(P427,[1]Categorizations!A$1:C$1048576,2,FALSE())</f>
        <v>Prohibited Additives / Product</v>
      </c>
      <c r="S427" s="1" t="str">
        <f aca="false">VLOOKUP(P427,[1]Categorizations!A$1:C$1048576,3,FALSE())</f>
        <v>Prohibited Additives / Product</v>
      </c>
    </row>
    <row r="428" customFormat="false" ht="15.75" hidden="false" customHeight="false" outlineLevel="0" collapsed="false">
      <c r="A428" s="1" t="s">
        <v>1367</v>
      </c>
      <c r="C428" s="5" t="n">
        <v>43868</v>
      </c>
      <c r="D428" s="1" t="s">
        <v>1331</v>
      </c>
      <c r="E428" s="6" t="s">
        <v>1368</v>
      </c>
      <c r="G428" s="1" t="s">
        <v>22</v>
      </c>
      <c r="H428" s="1"/>
      <c r="I428" s="1"/>
      <c r="J428" s="1" t="s">
        <v>1358</v>
      </c>
      <c r="M428" s="1" t="s">
        <v>103</v>
      </c>
      <c r="N428" s="4" t="n">
        <v>43555</v>
      </c>
      <c r="O428" s="4"/>
      <c r="P428" s="1" t="s">
        <v>971</v>
      </c>
      <c r="Q428" s="1" t="s">
        <v>35</v>
      </c>
      <c r="R428" s="1" t="str">
        <f aca="false">VLOOKUP(P428,[1]Categorizations!A$1:C$1048576,2,FALSE())</f>
        <v>Prohibited Additives / Product</v>
      </c>
      <c r="S428" s="1" t="str">
        <f aca="false">VLOOKUP(P428,[1]Categorizations!A$1:C$1048576,3,FALSE())</f>
        <v>Prohibited Additives / Product</v>
      </c>
    </row>
    <row r="429" customFormat="false" ht="15.75" hidden="false" customHeight="false" outlineLevel="0" collapsed="false">
      <c r="A429" s="1" t="s">
        <v>1369</v>
      </c>
      <c r="C429" s="5" t="n">
        <v>43910</v>
      </c>
      <c r="D429" s="1" t="s">
        <v>1331</v>
      </c>
      <c r="E429" s="6" t="s">
        <v>1370</v>
      </c>
      <c r="G429" s="1" t="s">
        <v>22</v>
      </c>
      <c r="H429" s="1"/>
      <c r="I429" s="1"/>
      <c r="J429" s="1" t="s">
        <v>1358</v>
      </c>
      <c r="M429" s="1" t="s">
        <v>103</v>
      </c>
      <c r="N429" s="4" t="n">
        <v>43658</v>
      </c>
      <c r="O429" s="4"/>
      <c r="P429" s="1" t="s">
        <v>971</v>
      </c>
      <c r="Q429" s="1" t="s">
        <v>35</v>
      </c>
      <c r="R429" s="1" t="str">
        <f aca="false">VLOOKUP(P429,[1]Categorizations!A$1:C$1048576,2,FALSE())</f>
        <v>Prohibited Additives / Product</v>
      </c>
      <c r="S429" s="1" t="str">
        <f aca="false">VLOOKUP(P429,[1]Categorizations!A$1:C$1048576,3,FALSE())</f>
        <v>Prohibited Additives / Product</v>
      </c>
    </row>
    <row r="430" customFormat="false" ht="15.75" hidden="false" customHeight="false" outlineLevel="0" collapsed="false">
      <c r="A430" s="1" t="s">
        <v>1371</v>
      </c>
      <c r="C430" s="5" t="n">
        <v>44049</v>
      </c>
      <c r="D430" s="1" t="s">
        <v>1331</v>
      </c>
      <c r="E430" s="6" t="s">
        <v>1372</v>
      </c>
      <c r="G430" s="1" t="s">
        <v>22</v>
      </c>
      <c r="H430" s="1"/>
      <c r="I430" s="1"/>
      <c r="J430" s="1" t="s">
        <v>1373</v>
      </c>
      <c r="M430" s="1" t="s">
        <v>103</v>
      </c>
      <c r="N430" s="4"/>
      <c r="O430" s="4" t="n">
        <v>43992</v>
      </c>
      <c r="P430" s="1" t="s">
        <v>1374</v>
      </c>
      <c r="Q430" s="1" t="s">
        <v>35</v>
      </c>
      <c r="R430" s="1" t="str">
        <f aca="false">VLOOKUP(P430,[1]Categorizations!A$1:C$1048576,2,FALSE())</f>
        <v>Other</v>
      </c>
      <c r="S430" s="1" t="str">
        <f aca="false">VLOOKUP(P430,[1]Categorizations!A$1:C$1048576,3,FALSE())</f>
        <v>Contaminants</v>
      </c>
    </row>
    <row r="431" customFormat="false" ht="15.75" hidden="false" customHeight="false" outlineLevel="0" collapsed="false">
      <c r="A431" s="1" t="s">
        <v>1375</v>
      </c>
      <c r="C431" s="5" t="n">
        <v>44091</v>
      </c>
      <c r="D431" s="1" t="s">
        <v>1331</v>
      </c>
      <c r="E431" s="6" t="s">
        <v>1376</v>
      </c>
      <c r="G431" s="1" t="s">
        <v>22</v>
      </c>
      <c r="H431" s="1"/>
      <c r="I431" s="1"/>
      <c r="J431" s="1" t="s">
        <v>1358</v>
      </c>
      <c r="M431" s="1" t="s">
        <v>103</v>
      </c>
      <c r="N431" s="4"/>
      <c r="O431" s="4" t="n">
        <v>44013</v>
      </c>
      <c r="P431" s="1" t="s">
        <v>978</v>
      </c>
      <c r="Q431" s="1" t="s">
        <v>35</v>
      </c>
      <c r="R431" s="1" t="str">
        <f aca="false">VLOOKUP(P431,[1]Categorizations!A$1:C$1048576,2,FALSE())</f>
        <v>Total Yeast and Mold</v>
      </c>
      <c r="S431" s="1" t="str">
        <f aca="false">VLOOKUP(P431,[1]Categorizations!A$1:C$1048576,3,FALSE())</f>
        <v>Microbial Contamination</v>
      </c>
    </row>
    <row r="432" customFormat="false" ht="15.75" hidden="false" customHeight="false" outlineLevel="0" collapsed="false">
      <c r="A432" s="1" t="s">
        <v>1377</v>
      </c>
      <c r="C432" s="5" t="n">
        <v>44384</v>
      </c>
      <c r="D432" s="1" t="s">
        <v>1331</v>
      </c>
      <c r="E432" s="6" t="s">
        <v>1378</v>
      </c>
      <c r="G432" s="1" t="s">
        <v>22</v>
      </c>
      <c r="H432" s="1"/>
      <c r="I432" s="1"/>
      <c r="J432" s="1" t="s">
        <v>1358</v>
      </c>
      <c r="K432" s="1"/>
      <c r="L432" s="1"/>
      <c r="M432" s="1" t="s">
        <v>103</v>
      </c>
      <c r="N432" s="4"/>
      <c r="O432" s="4" t="n">
        <v>44294</v>
      </c>
      <c r="P432" s="1" t="s">
        <v>1379</v>
      </c>
      <c r="Q432" s="1" t="s">
        <v>35</v>
      </c>
      <c r="R432" s="1" t="str">
        <f aca="false">VLOOKUP(P432,[1]Categorizations!A$1:C$1048576,2,FALSE())</f>
        <v>Untested</v>
      </c>
      <c r="S432" s="1" t="str">
        <f aca="false">VLOOKUP(P432,[1]Categorizations!A$1:C$1048576,3,FALSE())</f>
        <v>Lab Issue</v>
      </c>
    </row>
    <row r="433" customFormat="false" ht="15.75" hidden="false" customHeight="false" outlineLevel="0" collapsed="false">
      <c r="A433" s="1" t="s">
        <v>1380</v>
      </c>
      <c r="C433" s="5" t="n">
        <v>44463</v>
      </c>
      <c r="D433" s="1" t="s">
        <v>1331</v>
      </c>
      <c r="E433" s="6" t="s">
        <v>1381</v>
      </c>
      <c r="G433" s="1" t="s">
        <v>22</v>
      </c>
      <c r="H433" s="1"/>
      <c r="I433" s="1"/>
      <c r="J433" s="1" t="s">
        <v>1382</v>
      </c>
      <c r="M433" s="1" t="s">
        <v>103</v>
      </c>
      <c r="N433" s="4"/>
      <c r="O433" s="4" t="n">
        <v>44424</v>
      </c>
      <c r="P433" s="1" t="s">
        <v>1383</v>
      </c>
      <c r="Q433" s="1" t="s">
        <v>35</v>
      </c>
      <c r="R433" s="1" t="str">
        <f aca="false">VLOOKUP(P433,[1]Categorizations!A$1:C$1048576,2,FALSE())</f>
        <v>Pesticides</v>
      </c>
      <c r="S433" s="1" t="str">
        <f aca="false">VLOOKUP(P433,[1]Categorizations!A$1:C$1048576,3,FALSE())</f>
        <v>Pesticides</v>
      </c>
    </row>
    <row r="434" customFormat="false" ht="15.75" hidden="false" customHeight="false" outlineLevel="0" collapsed="false">
      <c r="A434" s="1" t="s">
        <v>1384</v>
      </c>
      <c r="C434" s="5" t="n">
        <v>44517</v>
      </c>
      <c r="D434" s="1" t="s">
        <v>1331</v>
      </c>
      <c r="E434" s="6" t="s">
        <v>1385</v>
      </c>
      <c r="F434" s="1"/>
      <c r="G434" s="1" t="s">
        <v>22</v>
      </c>
      <c r="H434" s="1"/>
      <c r="I434" s="1"/>
      <c r="J434" s="1" t="s">
        <v>1386</v>
      </c>
      <c r="M434" s="1" t="s">
        <v>103</v>
      </c>
      <c r="N434" s="4"/>
      <c r="O434" s="4" t="n">
        <v>44418</v>
      </c>
      <c r="P434" s="1" t="s">
        <v>1387</v>
      </c>
      <c r="Q434" s="1" t="s">
        <v>35</v>
      </c>
      <c r="R434" s="1" t="str">
        <f aca="false">VLOOKUP(P434,[1]Categorizations!A$1:C$1048576,2,FALSE())</f>
        <v>Lab Issue</v>
      </c>
      <c r="S434" s="1" t="str">
        <f aca="false">VLOOKUP(P434,[1]Categorizations!A$1:C$1048576,3,FALSE())</f>
        <v>Lab Issue</v>
      </c>
    </row>
    <row r="435" customFormat="false" ht="15.75" hidden="false" customHeight="false" outlineLevel="0" collapsed="false">
      <c r="A435" s="1" t="s">
        <v>1388</v>
      </c>
      <c r="C435" s="5" t="n">
        <v>44880</v>
      </c>
      <c r="D435" s="1" t="s">
        <v>1331</v>
      </c>
      <c r="E435" s="6" t="s">
        <v>1389</v>
      </c>
      <c r="G435" s="1" t="s">
        <v>22</v>
      </c>
      <c r="H435" s="1"/>
      <c r="I435" s="1"/>
      <c r="J435" s="1" t="s">
        <v>1390</v>
      </c>
      <c r="M435" s="1" t="s">
        <v>103</v>
      </c>
      <c r="N435" s="4"/>
      <c r="O435" s="4" t="n">
        <v>44602</v>
      </c>
      <c r="P435" s="1" t="s">
        <v>1334</v>
      </c>
      <c r="Q435" s="1" t="s">
        <v>35</v>
      </c>
      <c r="R435" s="1" t="str">
        <f aca="false">VLOOKUP(P435,[1]Categorizations!A$1:C$1048576,2,FALSE())</f>
        <v>Untested</v>
      </c>
      <c r="S435" s="1" t="str">
        <f aca="false">VLOOKUP(P435,[1]Categorizations!A$1:C$1048576,3,FALSE())</f>
        <v>Lab Issue</v>
      </c>
    </row>
    <row r="436" customFormat="false" ht="15.75" hidden="false" customHeight="false" outlineLevel="0" collapsed="false">
      <c r="A436" s="1" t="str">
        <f aca="false">CONCATENATE(C436,D326,J436)</f>
        <v>45114ColoradoBloomfield Development Group Grow, LLC</v>
      </c>
      <c r="C436" s="5" t="n">
        <v>45114</v>
      </c>
      <c r="D436" s="1" t="s">
        <v>1331</v>
      </c>
      <c r="E436" s="6" t="s">
        <v>1391</v>
      </c>
      <c r="F436" s="1"/>
      <c r="G436" s="1" t="s">
        <v>22</v>
      </c>
      <c r="H436" s="1"/>
      <c r="I436" s="1"/>
      <c r="J436" s="1" t="s">
        <v>1392</v>
      </c>
      <c r="K436" s="1"/>
      <c r="L436" s="1"/>
      <c r="M436" s="1" t="s">
        <v>103</v>
      </c>
      <c r="N436" s="4"/>
      <c r="O436" s="4" t="n">
        <v>45069</v>
      </c>
      <c r="P436" s="1" t="s">
        <v>1393</v>
      </c>
      <c r="Q436" s="1" t="s">
        <v>35</v>
      </c>
      <c r="R436" s="1" t="str">
        <f aca="false">VLOOKUP(P436,[1]Categorizations!A$1:C$1048576,2,FALSE())</f>
        <v>Packaging</v>
      </c>
      <c r="S436" s="1" t="str">
        <f aca="false">VLOOKUP(P436,[1]Categorizations!A$1:C$1048576,3,FALSE())</f>
        <v>Packaging</v>
      </c>
    </row>
    <row r="437" customFormat="false" ht="15.75" hidden="false" customHeight="false" outlineLevel="0" collapsed="false">
      <c r="A437" s="1" t="str">
        <f aca="false">CONCATENATE(C437,J437)</f>
        <v>45128Sky Labs, LLC</v>
      </c>
      <c r="C437" s="5" t="n">
        <v>45128</v>
      </c>
      <c r="D437" s="1" t="s">
        <v>1331</v>
      </c>
      <c r="E437" s="6" t="s">
        <v>1394</v>
      </c>
      <c r="F437" s="1"/>
      <c r="G437" s="1" t="s">
        <v>38</v>
      </c>
      <c r="H437" s="1"/>
      <c r="I437" s="1"/>
      <c r="J437" s="1" t="s">
        <v>1395</v>
      </c>
      <c r="K437" s="1"/>
      <c r="L437" s="1"/>
      <c r="M437" s="1" t="s">
        <v>103</v>
      </c>
      <c r="N437" s="4"/>
      <c r="O437" s="4" t="n">
        <v>44973</v>
      </c>
      <c r="P437" s="1" t="s">
        <v>1396</v>
      </c>
      <c r="Q437" s="1" t="s">
        <v>35</v>
      </c>
      <c r="R437" s="1" t="str">
        <f aca="false">VLOOKUP(P437,[1]Categorizations!A$1:C$1048576,2,FALSE())</f>
        <v>Chemical Resiue</v>
      </c>
      <c r="S437" s="1" t="str">
        <f aca="false">VLOOKUP(P437,[1]Categorizations!A$1:C$1048576,3,FALSE())</f>
        <v>Contaminants</v>
      </c>
    </row>
    <row r="438" customFormat="false" ht="15.75" hidden="false" customHeight="false" outlineLevel="0" collapsed="false">
      <c r="A438" s="1" t="str">
        <f aca="false">CONCATENATE(C438,J438)</f>
        <v>45196SBCMI, LLC</v>
      </c>
      <c r="C438" s="5" t="n">
        <v>45196</v>
      </c>
      <c r="D438" s="1" t="s">
        <v>1331</v>
      </c>
      <c r="E438" s="6" t="s">
        <v>1397</v>
      </c>
      <c r="F438" s="1"/>
      <c r="G438" s="1" t="s">
        <v>38</v>
      </c>
      <c r="H438" s="1"/>
      <c r="I438" s="1" t="s">
        <v>1398</v>
      </c>
      <c r="J438" s="1" t="s">
        <v>1399</v>
      </c>
      <c r="M438" s="1" t="s">
        <v>103</v>
      </c>
      <c r="N438" s="4"/>
      <c r="O438" s="4" t="n">
        <v>45070</v>
      </c>
      <c r="P438" s="1" t="s">
        <v>1400</v>
      </c>
      <c r="Q438" s="1" t="s">
        <v>35</v>
      </c>
      <c r="R438" s="1" t="str">
        <f aca="false">VLOOKUP(P438,[1]Categorizations!A$1:C$1048576,2,FALSE())</f>
        <v>Packaging</v>
      </c>
      <c r="S438" s="1" t="str">
        <f aca="false">VLOOKUP(P438,[1]Categorizations!A$1:C$1048576,3,FALSE())</f>
        <v>Packaging</v>
      </c>
    </row>
    <row r="439" customFormat="false" ht="15.75" hidden="false" customHeight="false" outlineLevel="0" collapsed="false">
      <c r="A439" s="1" t="str">
        <f aca="false">CONCATENATE(C439,J439)</f>
        <v>45238VBJG Mt. Clemens, LLC</v>
      </c>
      <c r="C439" s="5" t="n">
        <v>45238</v>
      </c>
      <c r="D439" s="1" t="s">
        <v>1331</v>
      </c>
      <c r="E439" s="6" t="s">
        <v>1401</v>
      </c>
      <c r="F439" s="1"/>
      <c r="G439" s="1" t="s">
        <v>38</v>
      </c>
      <c r="H439" s="1"/>
      <c r="I439" s="1" t="s">
        <v>1402</v>
      </c>
      <c r="J439" s="1" t="s">
        <v>1403</v>
      </c>
      <c r="M439" s="1" t="s">
        <v>103</v>
      </c>
      <c r="N439" s="4"/>
      <c r="O439" s="4" t="n">
        <v>45210</v>
      </c>
      <c r="P439" s="1" t="s">
        <v>1404</v>
      </c>
      <c r="Q439" s="1" t="s">
        <v>35</v>
      </c>
      <c r="R439" s="1" t="str">
        <f aca="false">VLOOKUP(P439,[1]Categorizations!A$1:C$1048576,2,FALSE())</f>
        <v>NonCompliant Product</v>
      </c>
      <c r="S439" s="1" t="str">
        <f aca="false">VLOOKUP(P439,[1]Categorizations!A$1:C$1048576,3,FALSE())</f>
        <v>Prohibited Additives / Product</v>
      </c>
    </row>
    <row r="440" customFormat="false" ht="15.75" hidden="false" customHeight="false" outlineLevel="0" collapsed="false">
      <c r="A440" s="1" t="str">
        <f aca="false">CONCATENATE(C440,J440)</f>
        <v>45250Bloomfield Development Group Grow, LLC</v>
      </c>
      <c r="C440" s="5" t="n">
        <v>45250</v>
      </c>
      <c r="D440" s="1" t="s">
        <v>1331</v>
      </c>
      <c r="E440" s="6" t="s">
        <v>1405</v>
      </c>
      <c r="F440" s="1"/>
      <c r="G440" s="1" t="s">
        <v>38</v>
      </c>
      <c r="H440" s="1"/>
      <c r="I440" s="1" t="s">
        <v>1406</v>
      </c>
      <c r="J440" s="1" t="s">
        <v>1392</v>
      </c>
      <c r="M440" s="1" t="s">
        <v>103</v>
      </c>
      <c r="N440" s="4"/>
      <c r="O440" s="4" t="n">
        <v>45093</v>
      </c>
      <c r="P440" s="1" t="s">
        <v>1407</v>
      </c>
      <c r="Q440" s="1" t="s">
        <v>35</v>
      </c>
      <c r="R440" s="1" t="str">
        <f aca="false">VLOOKUP(P440,[1]Categorizations!A$1:C$1048576,2,FALSE())</f>
        <v>Inaccurate THC</v>
      </c>
      <c r="S440" s="1" t="str">
        <f aca="false">VLOOKUP(P440,[1]Categorizations!A$1:C$1048576,3,FALSE())</f>
        <v>Inaccurate THC</v>
      </c>
    </row>
    <row r="441" customFormat="false" ht="15.75" hidden="false" customHeight="false" outlineLevel="0" collapsed="false">
      <c r="A441" s="1" t="str">
        <f aca="false">CONCATENATE(C441,J441)</f>
        <v>45427Flavor Galaxy LLC</v>
      </c>
      <c r="C441" s="5" t="n">
        <v>45427</v>
      </c>
      <c r="D441" s="1" t="s">
        <v>1331</v>
      </c>
      <c r="E441" s="6" t="s">
        <v>1408</v>
      </c>
      <c r="F441" s="1"/>
      <c r="G441" s="1" t="s">
        <v>38</v>
      </c>
      <c r="H441" s="1"/>
      <c r="I441" s="1" t="s">
        <v>1409</v>
      </c>
      <c r="J441" s="1" t="s">
        <v>1410</v>
      </c>
      <c r="M441" s="1" t="s">
        <v>103</v>
      </c>
      <c r="N441" s="4" t="n">
        <v>45255</v>
      </c>
      <c r="O441" s="4"/>
      <c r="P441" s="1" t="s">
        <v>1411</v>
      </c>
      <c r="Q441" s="1" t="s">
        <v>35</v>
      </c>
      <c r="R441" s="1" t="str">
        <f aca="false">VLOOKUP(P441,[1]Categorizations!A$1:C$1048576,2,FALSE())</f>
        <v>Not Properly Tracked</v>
      </c>
      <c r="S441" s="1" t="str">
        <f aca="false">VLOOKUP(P441,[1]Categorizations!A$1:C$1048576,3,FALSE())</f>
        <v>Other</v>
      </c>
    </row>
    <row r="442" customFormat="false" ht="15.75" hidden="false" customHeight="false" outlineLevel="0" collapsed="false">
      <c r="A442" s="1" t="str">
        <f aca="false">CONCATENATE(C442,J442)</f>
        <v>45427Flavor Galaxy LLC</v>
      </c>
      <c r="C442" s="5" t="n">
        <v>45427</v>
      </c>
      <c r="D442" s="1" t="s">
        <v>1331</v>
      </c>
      <c r="E442" s="6" t="s">
        <v>1412</v>
      </c>
      <c r="F442" s="1"/>
      <c r="G442" s="1" t="s">
        <v>1111</v>
      </c>
      <c r="H442" s="1" t="s">
        <v>1413</v>
      </c>
      <c r="I442" s="1" t="s">
        <v>1414</v>
      </c>
      <c r="J442" s="1" t="s">
        <v>1410</v>
      </c>
      <c r="M442" s="1" t="s">
        <v>26</v>
      </c>
      <c r="N442" s="4"/>
      <c r="O442" s="4"/>
      <c r="P442" s="1" t="s">
        <v>1415</v>
      </c>
      <c r="Q442" s="1" t="s">
        <v>35</v>
      </c>
      <c r="R442" s="1" t="str">
        <f aca="false">VLOOKUP(P442,[1]Categorizations!A$1:C$1048576,2,FALSE())</f>
        <v>Invalid Testing (Sampling)</v>
      </c>
      <c r="S442" s="1" t="str">
        <f aca="false">VLOOKUP(P442,[1]Categorizations!A$1:C$1048576,3,FALSE())</f>
        <v>Lab Issue</v>
      </c>
    </row>
    <row r="443" customFormat="false" ht="15.75" hidden="false" customHeight="false" outlineLevel="0" collapsed="false">
      <c r="A443" s="1" t="str">
        <f aca="false">CONCATENATE(C443,J443)</f>
        <v>45688RWB Michigan LLC</v>
      </c>
      <c r="C443" s="5" t="n">
        <v>45688</v>
      </c>
      <c r="D443" s="1" t="s">
        <v>1331</v>
      </c>
      <c r="E443" s="6" t="s">
        <v>1416</v>
      </c>
      <c r="F443" s="1"/>
      <c r="G443" s="1" t="s">
        <v>38</v>
      </c>
      <c r="H443" s="1" t="s">
        <v>302</v>
      </c>
      <c r="I443" s="1" t="s">
        <v>1417</v>
      </c>
      <c r="J443" s="1" t="s">
        <v>1418</v>
      </c>
      <c r="M443" s="1" t="s">
        <v>26</v>
      </c>
      <c r="N443" s="4"/>
      <c r="O443" s="4"/>
      <c r="P443" s="1" t="s">
        <v>1415</v>
      </c>
      <c r="Q443" s="1" t="s">
        <v>35</v>
      </c>
      <c r="R443" s="1" t="str">
        <f aca="false">VLOOKUP(P443,[1]Categorizations!A$1:C$1048576,2,FALSE())</f>
        <v>Invalid Testing (Sampling)</v>
      </c>
      <c r="S443" s="1" t="str">
        <f aca="false">VLOOKUP(P443,[1]Categorizations!A$1:C$1048576,3,FALSE())</f>
        <v>Lab Issue</v>
      </c>
    </row>
    <row r="444" customFormat="false" ht="15.75" hidden="false" customHeight="false" outlineLevel="0" collapsed="false">
      <c r="A444" s="1" t="str">
        <f aca="false">CONCATENATE(C444,J444)</f>
        <v>45699Exhale Systems Inc</v>
      </c>
      <c r="C444" s="5" t="n">
        <v>45699</v>
      </c>
      <c r="D444" s="1" t="s">
        <v>1331</v>
      </c>
      <c r="E444" s="6" t="s">
        <v>1419</v>
      </c>
      <c r="F444" s="1"/>
      <c r="G444" s="1" t="s">
        <v>38</v>
      </c>
      <c r="H444" s="1" t="s">
        <v>302</v>
      </c>
      <c r="I444" s="1" t="s">
        <v>1420</v>
      </c>
      <c r="J444" s="1" t="s">
        <v>1421</v>
      </c>
      <c r="M444" s="1" t="s">
        <v>26</v>
      </c>
      <c r="N444" s="4"/>
      <c r="O444" s="4"/>
      <c r="P444" s="1" t="s">
        <v>1422</v>
      </c>
      <c r="Q444" s="1" t="s">
        <v>35</v>
      </c>
      <c r="R444" s="1" t="str">
        <f aca="false">VLOOKUP(P444,[1]Categorizations!A$1:C$1048576,2,FALSE())</f>
        <v>Prohibited Additives / Product</v>
      </c>
      <c r="S444" s="1" t="str">
        <f aca="false">VLOOKUP(P444,[1]Categorizations!A$1:C$1048576,3,FALSE())</f>
        <v>Prohibited Additives / Product</v>
      </c>
    </row>
    <row r="445" customFormat="false" ht="15.75" hidden="false" customHeight="false" outlineLevel="0" collapsed="false">
      <c r="A445" s="1" t="str">
        <f aca="false">CONCATENATE(C445,J445)</f>
        <v>45881Sky Cannabis LLC</v>
      </c>
      <c r="C445" s="5" t="n">
        <v>45881</v>
      </c>
      <c r="D445" s="1" t="s">
        <v>1331</v>
      </c>
      <c r="E445" s="6" t="s">
        <v>1423</v>
      </c>
      <c r="F445" s="1"/>
      <c r="G445" s="1" t="s">
        <v>38</v>
      </c>
      <c r="H445" s="1" t="s">
        <v>302</v>
      </c>
      <c r="I445" s="1" t="s">
        <v>1424</v>
      </c>
      <c r="J445" s="1" t="s">
        <v>1424</v>
      </c>
      <c r="M445" s="1" t="s">
        <v>26</v>
      </c>
      <c r="N445" s="4"/>
      <c r="O445" s="4"/>
      <c r="P445" s="1" t="s">
        <v>1422</v>
      </c>
      <c r="Q445" s="1" t="s">
        <v>35</v>
      </c>
      <c r="R445" s="1" t="str">
        <f aca="false">VLOOKUP(P445,[1]Categorizations!A$1:C$1048576,2,FALSE())</f>
        <v>Prohibited Additives / Product</v>
      </c>
      <c r="S445" s="1" t="str">
        <f aca="false">VLOOKUP(P445,[1]Categorizations!A$1:C$1048576,3,FALSE())</f>
        <v>Prohibited Additives / Product</v>
      </c>
    </row>
    <row r="446" customFormat="false" ht="15.75" hidden="false" customHeight="false" outlineLevel="0" collapsed="false">
      <c r="A446" s="1" t="str">
        <f aca="false">CONCATENATE(C446,J446)</f>
        <v>45902IVP Holding, LLC</v>
      </c>
      <c r="C446" s="5" t="n">
        <v>45902</v>
      </c>
      <c r="D446" s="1" t="s">
        <v>1331</v>
      </c>
      <c r="E446" s="6" t="s">
        <v>1425</v>
      </c>
      <c r="F446" s="1"/>
      <c r="G446" s="1" t="s">
        <v>38</v>
      </c>
      <c r="H446" s="1" t="s">
        <v>302</v>
      </c>
      <c r="I446" s="1" t="s">
        <v>1426</v>
      </c>
      <c r="J446" s="1" t="s">
        <v>1427</v>
      </c>
      <c r="M446" s="1" t="s">
        <v>26</v>
      </c>
      <c r="N446" s="4"/>
      <c r="O446" s="4"/>
      <c r="P446" s="1" t="s">
        <v>1428</v>
      </c>
      <c r="Q446" s="1" t="s">
        <v>35</v>
      </c>
      <c r="R446" s="1" t="str">
        <f aca="false">VLOOKUP(P446,[1]Categorizations!A$1:C$1048576,2,FALSE())</f>
        <v>Prohibited Additives / Product</v>
      </c>
      <c r="S446" s="1" t="str">
        <f aca="false">VLOOKUP(P446,[1]Categorizations!A$1:C$1048576,3,FALSE())</f>
        <v>Prohibited Additives / Product</v>
      </c>
    </row>
    <row r="447" customFormat="false" ht="15.75" hidden="false" customHeight="false" outlineLevel="0" collapsed="false">
      <c r="A447" s="1" t="str">
        <f aca="false">CONCATENATE(C447,J447)</f>
        <v>46219Fantasy Farms, LLC</v>
      </c>
      <c r="C447" s="7" t="n">
        <v>46219</v>
      </c>
      <c r="D447" s="1" t="s">
        <v>1331</v>
      </c>
      <c r="E447" s="8" t="s">
        <v>1429</v>
      </c>
      <c r="F447" s="2"/>
      <c r="G447" s="2" t="s">
        <v>38</v>
      </c>
      <c r="H447" s="2" t="s">
        <v>1430</v>
      </c>
      <c r="I447" s="2" t="s">
        <v>1431</v>
      </c>
      <c r="J447" s="2" t="s">
        <v>1432</v>
      </c>
      <c r="M447" s="2" t="s">
        <v>26</v>
      </c>
      <c r="N447" s="4"/>
      <c r="O447" s="4"/>
      <c r="P447" s="2" t="s">
        <v>1433</v>
      </c>
      <c r="Q447" s="1" t="s">
        <v>35</v>
      </c>
      <c r="R447" s="1" t="str">
        <f aca="false">VLOOKUP(P447,[1]Categorizations!A$1:C$1048576,2,FALSE())</f>
        <v>Prohibited Additive</v>
      </c>
      <c r="S447" s="1" t="str">
        <f aca="false">VLOOKUP(P447,[1]Categorizations!A$1:C$1048576,3,FALSE())</f>
        <v>Prohibited Additives / Product</v>
      </c>
    </row>
    <row r="448" customFormat="false" ht="15.75" hidden="false" customHeight="false" outlineLevel="0" collapsed="false">
      <c r="A448" s="1" t="str">
        <f aca="false">CONCATENATE(C448,J448)</f>
        <v>46254Season 3 LLC</v>
      </c>
      <c r="B448" s="11" t="n">
        <v>46252</v>
      </c>
      <c r="C448" s="7" t="n">
        <v>46254</v>
      </c>
      <c r="D448" s="1" t="s">
        <v>1331</v>
      </c>
      <c r="E448" s="8" t="s">
        <v>1434</v>
      </c>
      <c r="F448" s="8" t="s">
        <v>1435</v>
      </c>
      <c r="G448" s="2" t="s">
        <v>38</v>
      </c>
      <c r="H448" s="2" t="s">
        <v>174</v>
      </c>
      <c r="I448" s="2" t="s">
        <v>1436</v>
      </c>
      <c r="J448" s="2" t="s">
        <v>1437</v>
      </c>
      <c r="M448" s="2" t="s">
        <v>26</v>
      </c>
      <c r="N448" s="4"/>
      <c r="O448" s="4"/>
      <c r="P448" s="2" t="s">
        <v>1438</v>
      </c>
      <c r="Q448" s="1" t="s">
        <v>35</v>
      </c>
      <c r="R448" s="1" t="str">
        <f aca="false">VLOOKUP(P448,[1]Categorizations!A$1:C$1048576,2,FALSE())</f>
        <v>Over THC Threshhold</v>
      </c>
      <c r="S448" s="1" t="str">
        <f aca="false">VLOOKUP(P448,[1]Categorizations!A$1:C$1048576,3,FALSE())</f>
        <v>Prohibited Additives / Product</v>
      </c>
    </row>
    <row r="449" customFormat="false" ht="15.75" hidden="false" customHeight="false" outlineLevel="0" collapsed="false">
      <c r="A449" s="1" t="str">
        <f aca="false">CONCATENATE(C449,J449)</f>
        <v>46283Fawn River Cultivation Company</v>
      </c>
      <c r="C449" s="7" t="n">
        <v>46283</v>
      </c>
      <c r="D449" s="2" t="s">
        <v>1331</v>
      </c>
      <c r="E449" s="8" t="s">
        <v>1439</v>
      </c>
      <c r="F449" s="8" t="s">
        <v>1440</v>
      </c>
      <c r="G449" s="1" t="s">
        <v>38</v>
      </c>
      <c r="H449" s="2" t="s">
        <v>116</v>
      </c>
      <c r="I449" s="2" t="s">
        <v>1441</v>
      </c>
      <c r="J449" s="2" t="s">
        <v>1442</v>
      </c>
      <c r="M449" s="1"/>
      <c r="N449" s="4"/>
      <c r="O449" s="4"/>
      <c r="P449" s="2" t="s">
        <v>1443</v>
      </c>
      <c r="Q449" s="1" t="s">
        <v>35</v>
      </c>
      <c r="R449" s="1" t="str">
        <f aca="false">VLOOKUP(P449,[1]Categorizations!A$1:C$1048576,2,FALSE())</f>
        <v>Unspecified Contaminant</v>
      </c>
      <c r="S449" s="1" t="str">
        <f aca="false">VLOOKUP(P449,[1]Categorizations!A$1:C$1048576,3,FALSE())</f>
        <v>Contaminants</v>
      </c>
    </row>
    <row r="450" customFormat="false" ht="15.75" hidden="false" customHeight="false" outlineLevel="0" collapsed="false">
      <c r="A450" s="1" t="str">
        <f aca="false">CONCATENATE(C450,J450)</f>
        <v>45497Kelly’s Green</v>
      </c>
      <c r="C450" s="5" t="n">
        <v>45497</v>
      </c>
      <c r="D450" s="1" t="s">
        <v>1444</v>
      </c>
      <c r="E450" s="6" t="s">
        <v>1445</v>
      </c>
      <c r="F450" s="1"/>
      <c r="G450" s="1" t="s">
        <v>38</v>
      </c>
      <c r="H450" s="1" t="s">
        <v>1313</v>
      </c>
      <c r="I450" s="1" t="s">
        <v>1446</v>
      </c>
      <c r="J450" s="1" t="s">
        <v>1446</v>
      </c>
      <c r="M450" s="1" t="s">
        <v>26</v>
      </c>
      <c r="N450" s="4"/>
      <c r="O450" s="4"/>
      <c r="P450" s="1" t="s">
        <v>1447</v>
      </c>
      <c r="Q450" s="1" t="s">
        <v>35</v>
      </c>
      <c r="R450" s="1" t="str">
        <f aca="false">VLOOKUP(P450,[1]Categorizations!A$1:C$1048576,2,FALSE())</f>
        <v>Mold</v>
      </c>
      <c r="S450" s="1" t="str">
        <f aca="false">VLOOKUP(P450,[1]Categorizations!A$1:C$1048576,3,FALSE())</f>
        <v>Microbial Contamination</v>
      </c>
    </row>
    <row r="451" customFormat="false" ht="15.75" hidden="false" customHeight="false" outlineLevel="0" collapsed="false">
      <c r="A451" s="1" t="str">
        <f aca="false">CONCATENATE(C451,J451)</f>
        <v>45152Delta Extraction, LLC,</v>
      </c>
      <c r="C451" s="5" t="n">
        <v>45152</v>
      </c>
      <c r="D451" s="1" t="s">
        <v>1448</v>
      </c>
      <c r="E451" s="6" t="s">
        <v>1449</v>
      </c>
      <c r="F451" s="1"/>
      <c r="H451" s="1" t="s">
        <v>1450</v>
      </c>
      <c r="I451" s="1" t="s">
        <v>1451</v>
      </c>
      <c r="J451" s="1" t="s">
        <v>1451</v>
      </c>
      <c r="M451" s="1" t="s">
        <v>26</v>
      </c>
      <c r="N451" s="4"/>
      <c r="O451" s="4"/>
      <c r="P451" s="1" t="s">
        <v>1452</v>
      </c>
      <c r="Q451" s="1" t="s">
        <v>35</v>
      </c>
      <c r="R451" s="1" t="str">
        <f aca="false">VLOOKUP(P451,[1]Categorizations!A$1:C$1048576,2,FALSE())</f>
        <v>Diverted Product</v>
      </c>
      <c r="S451" s="1" t="str">
        <f aca="false">VLOOKUP(P451,[1]Categorizations!A$1:C$1048576,3,FALSE())</f>
        <v>Prohibited Additives / Product</v>
      </c>
    </row>
    <row r="452" customFormat="false" ht="15.75" hidden="false" customHeight="false" outlineLevel="0" collapsed="false">
      <c r="A452" s="1" t="str">
        <f aca="false">CONCATENATE(C452,J452)</f>
        <v>45510NGWMO, LLC</v>
      </c>
      <c r="C452" s="5" t="n">
        <v>45510</v>
      </c>
      <c r="D452" s="1" t="s">
        <v>1448</v>
      </c>
      <c r="E452" s="6" t="s">
        <v>1453</v>
      </c>
      <c r="F452" s="1"/>
      <c r="H452" s="1" t="s">
        <v>39</v>
      </c>
      <c r="I452" s="1" t="s">
        <v>1454</v>
      </c>
      <c r="J452" s="1" t="s">
        <v>1454</v>
      </c>
      <c r="M452" s="1" t="s">
        <v>26</v>
      </c>
      <c r="N452" s="4"/>
      <c r="O452" s="4"/>
      <c r="P452" s="1" t="s">
        <v>1455</v>
      </c>
      <c r="Q452" s="1" t="s">
        <v>35</v>
      </c>
      <c r="R452" s="1" t="str">
        <f aca="false">VLOOKUP(P452,[1]Categorizations!A$1:C$1048576,2,FALSE())</f>
        <v>Invalid Testing</v>
      </c>
      <c r="S452" s="1" t="str">
        <f aca="false">VLOOKUP(P452,[1]Categorizations!A$1:C$1048576,3,FALSE())</f>
        <v>Lab Issue</v>
      </c>
    </row>
    <row r="453" customFormat="false" ht="15.75" hidden="false" customHeight="false" outlineLevel="0" collapsed="false">
      <c r="A453" s="1" t="str">
        <f aca="false">CONCATENATE(C453,J453)</f>
        <v>45512 C&amp;C Manufacturing, LLC,</v>
      </c>
      <c r="C453" s="5" t="n">
        <v>45512</v>
      </c>
      <c r="D453" s="1" t="s">
        <v>1448</v>
      </c>
      <c r="E453" s="6" t="s">
        <v>1456</v>
      </c>
      <c r="F453" s="1"/>
      <c r="H453" s="1" t="s">
        <v>1457</v>
      </c>
      <c r="I453" s="1" t="s">
        <v>1458</v>
      </c>
      <c r="J453" s="1" t="s">
        <v>1458</v>
      </c>
      <c r="M453" s="1" t="s">
        <v>26</v>
      </c>
      <c r="N453" s="4"/>
      <c r="O453" s="4"/>
      <c r="P453" s="1" t="s">
        <v>1411</v>
      </c>
      <c r="Q453" s="1" t="s">
        <v>35</v>
      </c>
      <c r="R453" s="1" t="str">
        <f aca="false">VLOOKUP(P453,[1]Categorizations!A$1:C$1048576,2,FALSE())</f>
        <v>Not Properly Tracked</v>
      </c>
      <c r="S453" s="1" t="str">
        <f aca="false">VLOOKUP(P453,[1]Categorizations!A$1:C$1048576,3,FALSE())</f>
        <v>Other</v>
      </c>
    </row>
    <row r="454" customFormat="false" ht="15.75" hidden="false" customHeight="false" outlineLevel="0" collapsed="false">
      <c r="A454" s="1" t="str">
        <f aca="false">CONCATENATE(C454,J454)</f>
        <v>45534Blue Sky Health &amp; Wellness, LLC</v>
      </c>
      <c r="C454" s="5" t="n">
        <v>45534</v>
      </c>
      <c r="D454" s="1" t="s">
        <v>1448</v>
      </c>
      <c r="E454" s="6" t="s">
        <v>1459</v>
      </c>
      <c r="F454" s="1"/>
      <c r="H454" s="1" t="s">
        <v>1460</v>
      </c>
      <c r="I454" s="1" t="s">
        <v>1461</v>
      </c>
      <c r="J454" s="1" t="s">
        <v>1461</v>
      </c>
      <c r="M454" s="1" t="s">
        <v>26</v>
      </c>
      <c r="N454" s="4"/>
      <c r="O454" s="4"/>
      <c r="P454" s="1" t="s">
        <v>1411</v>
      </c>
      <c r="Q454" s="1" t="s">
        <v>35</v>
      </c>
      <c r="R454" s="1" t="str">
        <f aca="false">VLOOKUP(P454,[1]Categorizations!A$1:C$1048576,2,FALSE())</f>
        <v>Not Properly Tracked</v>
      </c>
      <c r="S454" s="1" t="str">
        <f aca="false">VLOOKUP(P454,[1]Categorizations!A$1:C$1048576,3,FALSE())</f>
        <v>Other</v>
      </c>
    </row>
    <row r="455" customFormat="false" ht="15.75" hidden="false" customHeight="false" outlineLevel="0" collapsed="false">
      <c r="A455" s="1" t="str">
        <f aca="false">CONCATENATE(C455,J455)</f>
        <v>45552ClearWater Science, LLC</v>
      </c>
      <c r="C455" s="5" t="n">
        <v>45552</v>
      </c>
      <c r="D455" s="1" t="s">
        <v>1448</v>
      </c>
      <c r="E455" s="6" t="s">
        <v>1459</v>
      </c>
      <c r="F455" s="1"/>
      <c r="H455" s="1" t="s">
        <v>1462</v>
      </c>
      <c r="I455" s="1" t="s">
        <v>1463</v>
      </c>
      <c r="J455" s="1" t="s">
        <v>1463</v>
      </c>
      <c r="M455" s="1" t="s">
        <v>26</v>
      </c>
      <c r="N455" s="4"/>
      <c r="O455" s="4"/>
      <c r="P455" s="1" t="s">
        <v>1455</v>
      </c>
      <c r="Q455" s="1" t="s">
        <v>35</v>
      </c>
      <c r="R455" s="1" t="str">
        <f aca="false">VLOOKUP(P455,[1]Categorizations!A$1:C$1048576,2,FALSE())</f>
        <v>Invalid Testing</v>
      </c>
      <c r="S455" s="1" t="str">
        <f aca="false">VLOOKUP(P455,[1]Categorizations!A$1:C$1048576,3,FALSE())</f>
        <v>Lab Issue</v>
      </c>
    </row>
    <row r="456" customFormat="false" ht="15.75" hidden="false" customHeight="false" outlineLevel="0" collapsed="false">
      <c r="A456" s="1" t="str">
        <f aca="false">CONCATENATE(C456,J456)</f>
        <v>45611Noah’s Arc Foundation MAN97, LLC</v>
      </c>
      <c r="C456" s="5" t="n">
        <v>45611</v>
      </c>
      <c r="D456" s="1" t="s">
        <v>1448</v>
      </c>
      <c r="E456" s="6" t="s">
        <v>1464</v>
      </c>
      <c r="F456" s="1"/>
      <c r="G456" s="1" t="s">
        <v>22</v>
      </c>
      <c r="H456" s="1" t="s">
        <v>1465</v>
      </c>
      <c r="I456" s="1" t="s">
        <v>1466</v>
      </c>
      <c r="J456" s="1" t="s">
        <v>1466</v>
      </c>
      <c r="M456" s="1" t="s">
        <v>26</v>
      </c>
      <c r="N456" s="4"/>
      <c r="O456" s="4"/>
      <c r="P456" s="1" t="s">
        <v>674</v>
      </c>
      <c r="Q456" s="1" t="s">
        <v>35</v>
      </c>
      <c r="R456" s="1" t="str">
        <f aca="false">VLOOKUP(P456,[1]Categorizations!A$1:C$1048576,2,FALSE())</f>
        <v>Inaccurate Ingredient Label</v>
      </c>
      <c r="S456" s="1" t="str">
        <f aca="false">VLOOKUP(P456,[1]Categorizations!A$1:C$1048576,3,FALSE())</f>
        <v>Mislabeled</v>
      </c>
    </row>
    <row r="457" customFormat="false" ht="15.75" hidden="false" customHeight="false" outlineLevel="0" collapsed="false">
      <c r="A457" s="1" t="str">
        <f aca="false">CONCATENATE(C457,J457)</f>
        <v>45765Honey Green, LLC</v>
      </c>
      <c r="C457" s="5" t="n">
        <v>45765</v>
      </c>
      <c r="D457" s="1" t="s">
        <v>1448</v>
      </c>
      <c r="E457" s="6" t="s">
        <v>1467</v>
      </c>
      <c r="F457" s="1"/>
      <c r="G457" s="1" t="s">
        <v>22</v>
      </c>
      <c r="H457" s="2" t="s">
        <v>116</v>
      </c>
      <c r="I457" s="1" t="s">
        <v>1468</v>
      </c>
      <c r="J457" s="1" t="s">
        <v>1468</v>
      </c>
      <c r="M457" s="1" t="s">
        <v>26</v>
      </c>
      <c r="N457" s="4"/>
      <c r="O457" s="4"/>
      <c r="P457" s="1" t="s">
        <v>1469</v>
      </c>
      <c r="Q457" s="1" t="s">
        <v>35</v>
      </c>
      <c r="R457" s="1" t="str">
        <f aca="false">VLOOKUP(P457,[1]Categorizations!A$1:C$1048576,2,FALSE())</f>
        <v>Inaccurate THC</v>
      </c>
      <c r="S457" s="1" t="str">
        <f aca="false">VLOOKUP(P457,[1]Categorizations!A$1:C$1048576,3,FALSE())</f>
        <v>Mislabeled</v>
      </c>
    </row>
    <row r="458" customFormat="false" ht="15.75" hidden="false" customHeight="false" outlineLevel="0" collapsed="false">
      <c r="A458" s="1" t="str">
        <f aca="false">CONCATENATE(C458,J458)</f>
        <v>457651913 Carrollton Manufacturing LLC</v>
      </c>
      <c r="C458" s="5" t="n">
        <v>45765</v>
      </c>
      <c r="D458" s="1" t="s">
        <v>1448</v>
      </c>
      <c r="E458" s="6" t="s">
        <v>1470</v>
      </c>
      <c r="F458" s="1"/>
      <c r="G458" s="1" t="s">
        <v>22</v>
      </c>
      <c r="H458" s="1" t="s">
        <v>171</v>
      </c>
      <c r="I458" s="1" t="s">
        <v>1471</v>
      </c>
      <c r="J458" s="1" t="s">
        <v>1471</v>
      </c>
      <c r="M458" s="1" t="s">
        <v>26</v>
      </c>
      <c r="N458" s="4"/>
      <c r="O458" s="4"/>
      <c r="P458" s="1" t="s">
        <v>273</v>
      </c>
      <c r="Q458" s="1" t="s">
        <v>35</v>
      </c>
      <c r="R458" s="1" t="str">
        <f aca="false">VLOOKUP(P458,[1]Categorizations!A$1:C$1048576,2,FALSE())</f>
        <v>Attractive Label</v>
      </c>
      <c r="S458" s="1" t="str">
        <f aca="false">VLOOKUP(P458,[1]Categorizations!A$1:C$1048576,3,FALSE())</f>
        <v>Packaging</v>
      </c>
    </row>
    <row r="459" customFormat="false" ht="15.75" hidden="false" customHeight="false" outlineLevel="0" collapsed="false">
      <c r="A459" s="1" t="str">
        <f aca="false">CONCATENATE(C459,J459)</f>
        <v>45776Nodaway Holdings LLC</v>
      </c>
      <c r="C459" s="5" t="n">
        <v>45776</v>
      </c>
      <c r="D459" s="1" t="s">
        <v>1448</v>
      </c>
      <c r="E459" s="6" t="s">
        <v>1472</v>
      </c>
      <c r="F459" s="1"/>
      <c r="G459" s="1" t="s">
        <v>22</v>
      </c>
      <c r="H459" s="1" t="s">
        <v>171</v>
      </c>
      <c r="I459" s="1" t="s">
        <v>1473</v>
      </c>
      <c r="J459" s="1" t="s">
        <v>1473</v>
      </c>
      <c r="M459" s="1" t="s">
        <v>26</v>
      </c>
      <c r="N459" s="4"/>
      <c r="O459" s="4"/>
      <c r="P459" s="1" t="s">
        <v>273</v>
      </c>
      <c r="Q459" s="1" t="s">
        <v>35</v>
      </c>
      <c r="R459" s="1" t="str">
        <f aca="false">VLOOKUP(P459,[1]Categorizations!A$1:C$1048576,2,FALSE())</f>
        <v>Attractive Label</v>
      </c>
      <c r="S459" s="1" t="str">
        <f aca="false">VLOOKUP(P459,[1]Categorizations!A$1:C$1048576,3,FALSE())</f>
        <v>Packaging</v>
      </c>
    </row>
    <row r="460" customFormat="false" ht="15.75" hidden="false" customHeight="false" outlineLevel="0" collapsed="false">
      <c r="A460" s="1" t="str">
        <f aca="false">CONCATENATE(C460,J460)</f>
        <v>45839Bootheel CannaCare Columbia LLC</v>
      </c>
      <c r="C460" s="5" t="n">
        <v>45839</v>
      </c>
      <c r="D460" s="1" t="s">
        <v>1448</v>
      </c>
      <c r="E460" s="6" t="s">
        <v>1474</v>
      </c>
      <c r="F460" s="1"/>
      <c r="G460" s="1" t="s">
        <v>22</v>
      </c>
      <c r="H460" s="1" t="s">
        <v>210</v>
      </c>
      <c r="I460" s="1" t="s">
        <v>1475</v>
      </c>
      <c r="J460" s="1" t="s">
        <v>1475</v>
      </c>
      <c r="M460" s="1" t="s">
        <v>26</v>
      </c>
      <c r="N460" s="4"/>
      <c r="O460" s="4"/>
      <c r="P460" s="1" t="s">
        <v>674</v>
      </c>
      <c r="Q460" s="1" t="s">
        <v>35</v>
      </c>
      <c r="R460" s="1" t="str">
        <f aca="false">VLOOKUP(P460,[1]Categorizations!A$1:C$1048576,2,FALSE())</f>
        <v>Inaccurate Ingredient Label</v>
      </c>
      <c r="S460" s="1" t="str">
        <f aca="false">VLOOKUP(P460,[1]Categorizations!A$1:C$1048576,3,FALSE())</f>
        <v>Mislabeled</v>
      </c>
    </row>
    <row r="461" customFormat="false" ht="15.75" hidden="false" customHeight="false" outlineLevel="0" collapsed="false">
      <c r="A461" s="1" t="str">
        <f aca="false">CONCATENATE(C461,J461)</f>
        <v>46143Sinse Cultivation Cherokee, LLC i</v>
      </c>
      <c r="C461" s="11" t="n">
        <v>46143</v>
      </c>
      <c r="D461" s="1" t="s">
        <v>1448</v>
      </c>
      <c r="E461" s="8" t="s">
        <v>1476</v>
      </c>
      <c r="F461" s="8" t="s">
        <v>1477</v>
      </c>
      <c r="G461" s="2" t="s">
        <v>38</v>
      </c>
      <c r="H461" s="2" t="s">
        <v>39</v>
      </c>
      <c r="I461" s="2" t="s">
        <v>1478</v>
      </c>
      <c r="J461" s="2" t="s">
        <v>1479</v>
      </c>
      <c r="M461" s="2" t="s">
        <v>26</v>
      </c>
      <c r="N461" s="4"/>
      <c r="O461" s="4"/>
      <c r="P461" s="2" t="s">
        <v>47</v>
      </c>
      <c r="Q461" s="1" t="s">
        <v>35</v>
      </c>
      <c r="R461" s="1" t="str">
        <f aca="false">VLOOKUP(P461,[1]Categorizations!A$1:C$1048576,2,FALSE())</f>
        <v>Aspergillus</v>
      </c>
      <c r="S461" s="1" t="str">
        <f aca="false">VLOOKUP(P461,[1]Categorizations!A$1:C$1048576,3,FALSE())</f>
        <v>Microbial Contamination</v>
      </c>
    </row>
    <row r="462" customFormat="false" ht="15.75" hidden="false" customHeight="false" outlineLevel="0" collapsed="false">
      <c r="A462" s="1" t="str">
        <f aca="false">CONCATENATE(C462,J462)</f>
        <v>46169CPC of Missouri – Smithville, LLC</v>
      </c>
      <c r="C462" s="11" t="n">
        <v>46169</v>
      </c>
      <c r="D462" s="1" t="s">
        <v>1448</v>
      </c>
      <c r="E462" s="8" t="s">
        <v>1480</v>
      </c>
      <c r="F462" s="1"/>
      <c r="G462" s="2" t="s">
        <v>38</v>
      </c>
      <c r="H462" s="2" t="s">
        <v>116</v>
      </c>
      <c r="I462" s="2" t="s">
        <v>543</v>
      </c>
      <c r="J462" s="2" t="s">
        <v>1481</v>
      </c>
      <c r="M462" s="2" t="s">
        <v>26</v>
      </c>
      <c r="N462" s="4"/>
      <c r="O462" s="4"/>
      <c r="P462" s="2" t="s">
        <v>1482</v>
      </c>
      <c r="Q462" s="1" t="s">
        <v>35</v>
      </c>
      <c r="R462" s="1" t="str">
        <f aca="false">VLOOKUP(P462,[1]Categorizations!A$1:C$1048576,2,FALSE())</f>
        <v>Incomplete Testing</v>
      </c>
      <c r="S462" s="1" t="str">
        <f aca="false">VLOOKUP(P462,[1]Categorizations!A$1:C$1048576,3,FALSE())</f>
        <v>Lab Issue</v>
      </c>
    </row>
    <row r="463" customFormat="false" ht="15.75" hidden="false" customHeight="false" outlineLevel="0" collapsed="false">
      <c r="A463" s="1" t="str">
        <f aca="false">CONCATENATE(C463,J463)</f>
        <v>46267GF Extraction Lab LLC</v>
      </c>
      <c r="C463" s="7" t="n">
        <v>46267</v>
      </c>
      <c r="D463" s="1" t="s">
        <v>1448</v>
      </c>
      <c r="E463" s="8" t="s">
        <v>1483</v>
      </c>
      <c r="F463" s="8" t="s">
        <v>1484</v>
      </c>
      <c r="G463" s="2" t="s">
        <v>38</v>
      </c>
      <c r="H463" s="2" t="s">
        <v>116</v>
      </c>
      <c r="I463" s="2" t="s">
        <v>1485</v>
      </c>
      <c r="J463" s="2" t="s">
        <v>1485</v>
      </c>
      <c r="M463" s="2" t="s">
        <v>26</v>
      </c>
      <c r="N463" s="4"/>
      <c r="O463" s="4"/>
      <c r="P463" s="2" t="s">
        <v>1486</v>
      </c>
      <c r="Q463" s="1" t="s">
        <v>35</v>
      </c>
      <c r="R463" s="1" t="str">
        <f aca="false">VLOOKUP(P463,[1]Categorizations!A$1:C$1048576,2,FALSE())</f>
        <v>Synthetic Cannabinoids</v>
      </c>
      <c r="S463" s="1" t="str">
        <f aca="false">VLOOKUP(P463,[1]Categorizations!A$1:C$1048576,3,FALSE())</f>
        <v>Prohibited Additives / Product</v>
      </c>
    </row>
    <row r="464" customFormat="false" ht="15.75" hidden="false" customHeight="false" outlineLevel="0" collapsed="false">
      <c r="A464" s="1" t="str">
        <f aca="false">CONCATENATE(C464,J464)</f>
        <v>46281CCMRB Processing, LLC</v>
      </c>
      <c r="C464" s="7" t="n">
        <v>46281</v>
      </c>
      <c r="D464" s="1" t="s">
        <v>1448</v>
      </c>
      <c r="E464" s="8" t="s">
        <v>1487</v>
      </c>
      <c r="F464" s="8" t="s">
        <v>1484</v>
      </c>
      <c r="G464" s="2" t="s">
        <v>22</v>
      </c>
      <c r="H464" s="2" t="s">
        <v>1488</v>
      </c>
      <c r="I464" s="2" t="s">
        <v>1489</v>
      </c>
      <c r="J464" s="2" t="s">
        <v>1490</v>
      </c>
      <c r="M464" s="2" t="s">
        <v>26</v>
      </c>
      <c r="N464" s="4"/>
      <c r="O464" s="4"/>
      <c r="P464" s="2" t="s">
        <v>47</v>
      </c>
      <c r="Q464" s="1" t="s">
        <v>35</v>
      </c>
      <c r="R464" s="1" t="str">
        <f aca="false">VLOOKUP(P464,[1]Categorizations!A$1:C$1048576,2,FALSE())</f>
        <v>Aspergillus</v>
      </c>
      <c r="S464" s="1" t="str">
        <f aca="false">VLOOKUP(P464,[1]Categorizations!A$1:C$1048576,3,FALSE())</f>
        <v>Microbial Contamination</v>
      </c>
    </row>
    <row r="465" customFormat="false" ht="15.75" hidden="false" customHeight="false" outlineLevel="0" collapsed="false">
      <c r="A465" s="1" t="str">
        <f aca="false">CONCATENATE(C465,J465)</f>
        <v>45754BROUGHTON, Inc., </v>
      </c>
      <c r="C465" s="5" t="n">
        <v>45754</v>
      </c>
      <c r="D465" s="1" t="s">
        <v>1491</v>
      </c>
      <c r="E465" s="6" t="s">
        <v>1492</v>
      </c>
      <c r="F465" s="1"/>
      <c r="G465" s="1" t="s">
        <v>38</v>
      </c>
      <c r="H465" s="1" t="s">
        <v>1493</v>
      </c>
      <c r="I465" s="1" t="s">
        <v>1494</v>
      </c>
      <c r="J465" s="1" t="s">
        <v>1494</v>
      </c>
      <c r="M465" s="1" t="s">
        <v>26</v>
      </c>
      <c r="N465" s="4"/>
      <c r="O465" s="4"/>
      <c r="P465" s="1" t="s">
        <v>1495</v>
      </c>
      <c r="Q465" s="1" t="s">
        <v>35</v>
      </c>
      <c r="R465" s="1" t="str">
        <f aca="false">VLOOKUP(P465,[1]Categorizations!A$1:C$1048576,2,FALSE())</f>
        <v>Unspecified Contaminant</v>
      </c>
      <c r="S465" s="1" t="str">
        <f aca="false">VLOOKUP(P465,[1]Categorizations!A$1:C$1048576,3,FALSE())</f>
        <v>Lab Issue</v>
      </c>
    </row>
    <row r="466" customFormat="false" ht="15.75" hidden="false" customHeight="false" outlineLevel="0" collapsed="false">
      <c r="A466" s="1" t="str">
        <f aca="false">CONCATENATE(C466,J466)</f>
        <v>46050S&amp;J Strategic Enterprises</v>
      </c>
      <c r="C466" s="5" t="n">
        <v>46050</v>
      </c>
      <c r="D466" s="1" t="s">
        <v>1491</v>
      </c>
      <c r="E466" s="6" t="s">
        <v>1496</v>
      </c>
      <c r="F466" s="1"/>
      <c r="G466" s="1" t="s">
        <v>38</v>
      </c>
      <c r="H466" s="1" t="s">
        <v>1164</v>
      </c>
      <c r="I466" s="1" t="s">
        <v>1497</v>
      </c>
      <c r="J466" s="1" t="s">
        <v>1497</v>
      </c>
      <c r="M466" s="1" t="s">
        <v>26</v>
      </c>
      <c r="N466" s="4"/>
      <c r="O466" s="4"/>
      <c r="P466" s="1" t="s">
        <v>1498</v>
      </c>
      <c r="Q466" s="1" t="s">
        <v>35</v>
      </c>
      <c r="R466" s="1" t="str">
        <f aca="false">VLOOKUP(P466,[1]Categorizations!A$1:C$1048576,2,FALSE())</f>
        <v>Not Tested</v>
      </c>
      <c r="S466" s="1" t="str">
        <f aca="false">VLOOKUP(P466,[1]Categorizations!A$1:C$1048576,3,FALSE())</f>
        <v>Lab Issue</v>
      </c>
    </row>
    <row r="467" customFormat="false" ht="15.75" hidden="false" customHeight="false" outlineLevel="0" collapsed="false">
      <c r="A467" s="1" t="s">
        <v>1499</v>
      </c>
      <c r="C467" s="5" t="n">
        <v>44247</v>
      </c>
      <c r="D467" s="1" t="s">
        <v>1500</v>
      </c>
      <c r="E467" s="6" t="s">
        <v>1501</v>
      </c>
      <c r="G467" s="1" t="s">
        <v>22</v>
      </c>
      <c r="H467" s="1"/>
      <c r="I467" s="1"/>
      <c r="J467" s="1" t="s">
        <v>1358</v>
      </c>
      <c r="M467" s="1" t="s">
        <v>26</v>
      </c>
      <c r="N467" s="4"/>
      <c r="O467" s="4"/>
      <c r="P467" s="1" t="s">
        <v>1502</v>
      </c>
      <c r="Q467" s="1" t="s">
        <v>35</v>
      </c>
      <c r="R467" s="1" t="str">
        <f aca="false">VLOOKUP(P467,[1]Categorizations!A$1:C$1048576,2,FALSE())</f>
        <v>Microbial</v>
      </c>
      <c r="S467" s="1" t="str">
        <f aca="false">VLOOKUP(P467,[1]Categorizations!A$1:C$1048576,3,FALSE())</f>
        <v>Microbial Contamination</v>
      </c>
    </row>
    <row r="468" customFormat="false" ht="15.75" hidden="false" customHeight="false" outlineLevel="0" collapsed="false">
      <c r="A468" s="1" t="s">
        <v>1503</v>
      </c>
      <c r="C468" s="5" t="n">
        <v>44385</v>
      </c>
      <c r="D468" s="1" t="s">
        <v>1500</v>
      </c>
      <c r="E468" s="6" t="s">
        <v>1504</v>
      </c>
      <c r="G468" s="1" t="s">
        <v>22</v>
      </c>
      <c r="H468" s="1"/>
      <c r="I468" s="1"/>
      <c r="J468" s="1" t="s">
        <v>1116</v>
      </c>
      <c r="M468" s="1" t="s">
        <v>103</v>
      </c>
      <c r="N468" s="4"/>
      <c r="O468" s="4" t="n">
        <v>44372</v>
      </c>
      <c r="P468" s="1" t="s">
        <v>1505</v>
      </c>
      <c r="Q468" s="1" t="s">
        <v>35</v>
      </c>
      <c r="R468" s="1" t="str">
        <f aca="false">VLOOKUP(P468,[1]Categorizations!A$1:C$1048576,2,FALSE())</f>
        <v>Inaccurate THC</v>
      </c>
      <c r="S468" s="1" t="str">
        <f aca="false">VLOOKUP(P468,[1]Categorizations!A$1:C$1048576,3,FALSE())</f>
        <v>Inaccurate THC</v>
      </c>
    </row>
    <row r="469" customFormat="false" ht="15.75" hidden="false" customHeight="false" outlineLevel="0" collapsed="false">
      <c r="A469" s="1" t="s">
        <v>1506</v>
      </c>
      <c r="C469" s="5" t="n">
        <v>44505</v>
      </c>
      <c r="D469" s="1" t="s">
        <v>1500</v>
      </c>
      <c r="E469" s="6" t="s">
        <v>1507</v>
      </c>
      <c r="G469" s="1" t="s">
        <v>22</v>
      </c>
      <c r="H469" s="1"/>
      <c r="I469" s="1"/>
      <c r="J469" s="1" t="s">
        <v>1508</v>
      </c>
      <c r="M469" s="1" t="s">
        <v>103</v>
      </c>
      <c r="N469" s="4"/>
      <c r="O469" s="4" t="n">
        <v>44348</v>
      </c>
      <c r="P469" s="1" t="s">
        <v>1334</v>
      </c>
      <c r="Q469" s="1" t="s">
        <v>35</v>
      </c>
      <c r="R469" s="1" t="str">
        <f aca="false">VLOOKUP(P469,[1]Categorizations!A$1:C$1048576,2,FALSE())</f>
        <v>Untested</v>
      </c>
      <c r="S469" s="1" t="str">
        <f aca="false">VLOOKUP(P469,[1]Categorizations!A$1:C$1048576,3,FALSE())</f>
        <v>Lab Issue</v>
      </c>
    </row>
    <row r="470" customFormat="false" ht="15.75" hidden="false" customHeight="false" outlineLevel="0" collapsed="false">
      <c r="A470" s="1" t="s">
        <v>1509</v>
      </c>
      <c r="C470" s="5" t="n">
        <v>44624</v>
      </c>
      <c r="D470" s="1" t="s">
        <v>1500</v>
      </c>
      <c r="E470" s="6" t="s">
        <v>1510</v>
      </c>
      <c r="G470" s="1" t="s">
        <v>22</v>
      </c>
      <c r="H470" s="1"/>
      <c r="I470" s="1"/>
      <c r="J470" s="1" t="s">
        <v>1511</v>
      </c>
      <c r="M470" s="1" t="s">
        <v>103</v>
      </c>
      <c r="N470" s="4"/>
      <c r="O470" s="4" t="n">
        <v>44440</v>
      </c>
      <c r="P470" s="1" t="s">
        <v>1334</v>
      </c>
      <c r="Q470" s="1" t="s">
        <v>35</v>
      </c>
      <c r="R470" s="1" t="str">
        <f aca="false">VLOOKUP(P470,[1]Categorizations!A$1:C$1048576,2,FALSE())</f>
        <v>Untested</v>
      </c>
      <c r="S470" s="1" t="str">
        <f aca="false">VLOOKUP(P470,[1]Categorizations!A$1:C$1048576,3,FALSE())</f>
        <v>Lab Issue</v>
      </c>
    </row>
    <row r="471" customFormat="false" ht="15.75" hidden="false" customHeight="false" outlineLevel="0" collapsed="false">
      <c r="A471" s="1" t="s">
        <v>1512</v>
      </c>
      <c r="C471" s="5" t="n">
        <v>44650</v>
      </c>
      <c r="D471" s="1" t="s">
        <v>1500</v>
      </c>
      <c r="E471" s="6" t="s">
        <v>1513</v>
      </c>
      <c r="G471" s="1" t="s">
        <v>38</v>
      </c>
      <c r="H471" s="1"/>
      <c r="I471" s="1"/>
      <c r="J471" s="1" t="s">
        <v>1514</v>
      </c>
      <c r="M471" s="1" t="s">
        <v>103</v>
      </c>
      <c r="N471" s="4"/>
      <c r="O471" s="4" t="n">
        <v>44594</v>
      </c>
      <c r="P471" s="1" t="s">
        <v>1515</v>
      </c>
      <c r="Q471" s="1" t="s">
        <v>35</v>
      </c>
      <c r="R471" s="1" t="str">
        <f aca="false">VLOOKUP(P471,[1]Categorizations!A$1:C$1048576,2,FALSE())</f>
        <v>Mislabeled</v>
      </c>
      <c r="S471" s="1" t="str">
        <f aca="false">VLOOKUP(P471,[1]Categorizations!A$1:C$1048576,3,FALSE())</f>
        <v>Mislabeled</v>
      </c>
    </row>
    <row r="472" customFormat="false" ht="15.75" hidden="false" customHeight="false" outlineLevel="0" collapsed="false">
      <c r="A472" s="1" t="s">
        <v>1516</v>
      </c>
      <c r="C472" s="5" t="n">
        <v>44945</v>
      </c>
      <c r="D472" s="1" t="s">
        <v>1500</v>
      </c>
      <c r="E472" s="6" t="s">
        <v>1517</v>
      </c>
      <c r="G472" s="1" t="s">
        <v>22</v>
      </c>
      <c r="H472" s="1"/>
      <c r="I472" s="1"/>
      <c r="J472" s="1" t="s">
        <v>1518</v>
      </c>
      <c r="K472" s="1"/>
      <c r="L472" s="1"/>
      <c r="M472" s="1" t="s">
        <v>103</v>
      </c>
      <c r="N472" s="4"/>
      <c r="O472" s="4" t="n">
        <v>44439</v>
      </c>
      <c r="P472" s="1" t="s">
        <v>1519</v>
      </c>
      <c r="Q472" s="1" t="s">
        <v>35</v>
      </c>
      <c r="R472" s="1" t="str">
        <f aca="false">VLOOKUP(P472,[1]Categorizations!A$1:C$1048576,2,FALSE())</f>
        <v>Pesticides</v>
      </c>
      <c r="S472" s="1" t="str">
        <f aca="false">VLOOKUP(P472,[1]Categorizations!A$1:C$1048576,3,FALSE())</f>
        <v>Pesticides</v>
      </c>
    </row>
    <row r="473" customFormat="false" ht="15.75" hidden="false" customHeight="false" outlineLevel="0" collapsed="false">
      <c r="A473" s="1" t="s">
        <v>1520</v>
      </c>
      <c r="C473" s="5" t="n">
        <v>45038</v>
      </c>
      <c r="D473" s="1" t="s">
        <v>1500</v>
      </c>
      <c r="E473" s="6" t="s">
        <v>1521</v>
      </c>
      <c r="F473" s="1"/>
      <c r="G473" s="1" t="s">
        <v>22</v>
      </c>
      <c r="H473" s="1"/>
      <c r="I473" s="1"/>
      <c r="J473" s="1" t="s">
        <v>1522</v>
      </c>
      <c r="K473" s="1"/>
      <c r="L473" s="1"/>
      <c r="M473" s="1" t="s">
        <v>103</v>
      </c>
      <c r="N473" s="4"/>
      <c r="O473" s="4" t="n">
        <v>45008</v>
      </c>
      <c r="P473" s="1" t="s">
        <v>1519</v>
      </c>
      <c r="Q473" s="1" t="s">
        <v>35</v>
      </c>
      <c r="R473" s="1" t="str">
        <f aca="false">VLOOKUP(P473,[1]Categorizations!A$1:C$1048576,2,FALSE())</f>
        <v>Pesticides</v>
      </c>
      <c r="S473" s="1" t="str">
        <f aca="false">VLOOKUP(P473,[1]Categorizations!A$1:C$1048576,3,FALSE())</f>
        <v>Pesticides</v>
      </c>
    </row>
    <row r="474" customFormat="false" ht="15.75" hidden="false" customHeight="false" outlineLevel="0" collapsed="false">
      <c r="A474" s="1" t="s">
        <v>1523</v>
      </c>
      <c r="C474" s="5" t="n">
        <v>45100</v>
      </c>
      <c r="D474" s="1" t="s">
        <v>1500</v>
      </c>
      <c r="E474" s="6" t="s">
        <v>1524</v>
      </c>
      <c r="F474" s="1"/>
      <c r="G474" s="1" t="s">
        <v>22</v>
      </c>
      <c r="H474" s="1"/>
      <c r="I474" s="1"/>
      <c r="J474" s="1" t="s">
        <v>1525</v>
      </c>
      <c r="K474" s="1"/>
      <c r="L474" s="1"/>
      <c r="M474" s="1" t="s">
        <v>103</v>
      </c>
      <c r="N474" s="4"/>
      <c r="O474" s="4" t="n">
        <v>45055</v>
      </c>
      <c r="P474" s="1" t="s">
        <v>47</v>
      </c>
      <c r="Q474" s="1" t="s">
        <v>35</v>
      </c>
      <c r="R474" s="1" t="str">
        <f aca="false">VLOOKUP(P474,[1]Categorizations!A$1:C$1048576,2,FALSE())</f>
        <v>Aspergillus</v>
      </c>
      <c r="S474" s="1" t="str">
        <f aca="false">VLOOKUP(P474,[1]Categorizations!A$1:C$1048576,3,FALSE())</f>
        <v>Microbial Contamination</v>
      </c>
    </row>
    <row r="475" customFormat="false" ht="15.75" hidden="false" customHeight="false" outlineLevel="0" collapsed="false">
      <c r="A475" s="1" t="str">
        <f aca="false">CONCATENATE(C475,D475, J475)</f>
        <v>45462NevadaKynd LLC</v>
      </c>
      <c r="C475" s="5" t="n">
        <v>45462</v>
      </c>
      <c r="D475" s="1" t="s">
        <v>1500</v>
      </c>
      <c r="E475" s="6" t="s">
        <v>1526</v>
      </c>
      <c r="F475" s="1"/>
      <c r="G475" s="1" t="s">
        <v>38</v>
      </c>
      <c r="H475" s="1"/>
      <c r="I475" s="1" t="s">
        <v>1527</v>
      </c>
      <c r="J475" s="1" t="s">
        <v>1528</v>
      </c>
      <c r="K475" s="1"/>
      <c r="L475" s="1"/>
      <c r="M475" s="1" t="s">
        <v>103</v>
      </c>
      <c r="N475" s="4"/>
      <c r="O475" s="4" t="n">
        <v>45392</v>
      </c>
      <c r="P475" s="1" t="s">
        <v>1529</v>
      </c>
      <c r="Q475" s="1" t="s">
        <v>35</v>
      </c>
      <c r="R475" s="1" t="str">
        <f aca="false">VLOOKUP(P475,[1]Categorizations!A$1:C$1048576,2,FALSE())</f>
        <v>Synthetic Cannabinoids</v>
      </c>
      <c r="S475" s="1" t="str">
        <f aca="false">VLOOKUP(P475,[1]Categorizations!A$1:C$1048576,3,FALSE())</f>
        <v>Prohibited Additives / Product</v>
      </c>
    </row>
    <row r="476" customFormat="false" ht="15.75" hidden="false" customHeight="false" outlineLevel="0" collapsed="false">
      <c r="A476" s="1" t="s">
        <v>1523</v>
      </c>
      <c r="C476" s="5" t="n">
        <v>45464</v>
      </c>
      <c r="D476" s="1" t="s">
        <v>1500</v>
      </c>
      <c r="E476" s="6" t="s">
        <v>1530</v>
      </c>
      <c r="F476" s="1"/>
      <c r="G476" s="1" t="s">
        <v>38</v>
      </c>
      <c r="H476" s="1"/>
      <c r="I476" s="1" t="s">
        <v>1531</v>
      </c>
      <c r="J476" s="1" t="s">
        <v>1528</v>
      </c>
      <c r="K476" s="1"/>
      <c r="L476" s="1"/>
      <c r="M476" s="1" t="s">
        <v>103</v>
      </c>
      <c r="N476" s="4"/>
      <c r="O476" s="4" t="n">
        <v>45438</v>
      </c>
      <c r="P476" s="1" t="s">
        <v>1532</v>
      </c>
      <c r="Q476" s="1" t="s">
        <v>35</v>
      </c>
      <c r="R476" s="1" t="str">
        <f aca="false">VLOOKUP(P476,[1]Categorizations!A$1:C$1048576,2,FALSE())</f>
        <v>Inaccurate THC</v>
      </c>
      <c r="S476" s="1" t="str">
        <f aca="false">VLOOKUP(P476,[1]Categorizations!A$1:C$1048576,3,FALSE())</f>
        <v>Inaccurate THC</v>
      </c>
    </row>
    <row r="477" customFormat="false" ht="15.75" hidden="false" customHeight="false" outlineLevel="0" collapsed="false">
      <c r="A477" s="1" t="s">
        <v>1523</v>
      </c>
      <c r="C477" s="5" t="n">
        <v>45464</v>
      </c>
      <c r="D477" s="1" t="s">
        <v>1500</v>
      </c>
      <c r="E477" s="6" t="s">
        <v>1530</v>
      </c>
      <c r="F477" s="1"/>
      <c r="G477" s="1" t="s">
        <v>38</v>
      </c>
      <c r="H477" s="1"/>
      <c r="I477" s="1" t="s">
        <v>1531</v>
      </c>
      <c r="J477" s="1" t="s">
        <v>1528</v>
      </c>
      <c r="K477" s="1"/>
      <c r="L477" s="1"/>
      <c r="M477" s="1" t="s">
        <v>103</v>
      </c>
      <c r="N477" s="4"/>
      <c r="O477" s="4" t="n">
        <v>45438</v>
      </c>
      <c r="P477" s="1" t="s">
        <v>1532</v>
      </c>
      <c r="Q477" s="1" t="s">
        <v>35</v>
      </c>
      <c r="R477" s="1" t="str">
        <f aca="false">VLOOKUP(P477,[1]Categorizations!A$1:C$1048576,2,FALSE())</f>
        <v>Inaccurate THC</v>
      </c>
      <c r="S477" s="1" t="str">
        <f aca="false">VLOOKUP(P477,[1]Categorizations!A$1:C$1048576,3,FALSE())</f>
        <v>Inaccurate THC</v>
      </c>
    </row>
    <row r="478" customFormat="false" ht="15.75" hidden="false" customHeight="false" outlineLevel="0" collapsed="false">
      <c r="A478" s="1" t="s">
        <v>1523</v>
      </c>
      <c r="C478" s="5" t="n">
        <v>45464</v>
      </c>
      <c r="D478" s="1" t="s">
        <v>1500</v>
      </c>
      <c r="E478" s="6" t="s">
        <v>1530</v>
      </c>
      <c r="F478" s="1"/>
      <c r="G478" s="1" t="s">
        <v>38</v>
      </c>
      <c r="H478" s="1"/>
      <c r="I478" s="1" t="s">
        <v>1531</v>
      </c>
      <c r="J478" s="1" t="s">
        <v>1528</v>
      </c>
      <c r="K478" s="1"/>
      <c r="L478" s="1"/>
      <c r="M478" s="1" t="s">
        <v>103</v>
      </c>
      <c r="N478" s="4"/>
      <c r="O478" s="4" t="n">
        <v>45438</v>
      </c>
      <c r="P478" s="1" t="s">
        <v>1532</v>
      </c>
      <c r="Q478" s="1" t="s">
        <v>35</v>
      </c>
      <c r="R478" s="1" t="str">
        <f aca="false">VLOOKUP(P478,[1]Categorizations!A$1:C$1048576,2,FALSE())</f>
        <v>Inaccurate THC</v>
      </c>
      <c r="S478" s="1" t="str">
        <f aca="false">VLOOKUP(P478,[1]Categorizations!A$1:C$1048576,3,FALSE())</f>
        <v>Inaccurate THC</v>
      </c>
    </row>
    <row r="479" customFormat="false" ht="15.75" hidden="false" customHeight="false" outlineLevel="0" collapsed="false">
      <c r="A479" s="1" t="str">
        <f aca="false">CONCATENATE(C479,J479)</f>
        <v>45464KYND</v>
      </c>
      <c r="C479" s="5" t="n">
        <v>45464</v>
      </c>
      <c r="D479" s="1" t="s">
        <v>1500</v>
      </c>
      <c r="E479" s="6" t="s">
        <v>1530</v>
      </c>
      <c r="F479" s="1"/>
      <c r="H479" s="1" t="s">
        <v>1465</v>
      </c>
      <c r="I479" s="1" t="s">
        <v>1533</v>
      </c>
      <c r="J479" s="1" t="s">
        <v>1534</v>
      </c>
      <c r="M479" s="1" t="s">
        <v>26</v>
      </c>
      <c r="N479" s="4"/>
      <c r="O479" s="4"/>
      <c r="P479" s="1" t="s">
        <v>1469</v>
      </c>
      <c r="Q479" s="1" t="s">
        <v>35</v>
      </c>
      <c r="R479" s="1" t="str">
        <f aca="false">VLOOKUP(P479,[1]Categorizations!A$1:C$1048576,2,FALSE())</f>
        <v>Inaccurate THC</v>
      </c>
      <c r="S479" s="1" t="str">
        <f aca="false">VLOOKUP(P479,[1]Categorizations!A$1:C$1048576,3,FALSE())</f>
        <v>Mislabeled</v>
      </c>
    </row>
    <row r="480" customFormat="false" ht="15.75" hidden="false" customHeight="false" outlineLevel="0" collapsed="false">
      <c r="A480" s="1" t="str">
        <f aca="false">CONCATENATE(C480,J480)</f>
        <v>45492KYND</v>
      </c>
      <c r="C480" s="5" t="n">
        <v>45492</v>
      </c>
      <c r="D480" s="1" t="s">
        <v>1500</v>
      </c>
      <c r="E480" s="6" t="s">
        <v>1535</v>
      </c>
      <c r="F480" s="1"/>
      <c r="H480" s="1" t="s">
        <v>171</v>
      </c>
      <c r="I480" s="1" t="s">
        <v>1536</v>
      </c>
      <c r="J480" s="1" t="s">
        <v>1534</v>
      </c>
      <c r="M480" s="1" t="s">
        <v>26</v>
      </c>
      <c r="N480" s="4"/>
      <c r="O480" s="4"/>
      <c r="P480" s="1" t="s">
        <v>1537</v>
      </c>
      <c r="Q480" s="1" t="s">
        <v>35</v>
      </c>
      <c r="R480" s="1" t="str">
        <f aca="false">VLOOKUP(P480,[1]Categorizations!A$1:C$1048576,2,FALSE())</f>
        <v>Prohibited Additives / Product</v>
      </c>
      <c r="S480" s="1" t="str">
        <f aca="false">VLOOKUP(P480,[1]Categorizations!A$1:C$1048576,3,FALSE())</f>
        <v>Prohibited Additives / Product</v>
      </c>
    </row>
    <row r="481" customFormat="false" ht="15.75" hidden="false" customHeight="false" outlineLevel="0" collapsed="false">
      <c r="A481" s="1" t="str">
        <f aca="false">CONCATENATE(C481,D481, J481)</f>
        <v>45495NevadaMultiple</v>
      </c>
      <c r="C481" s="5" t="n">
        <v>45495</v>
      </c>
      <c r="D481" s="1" t="s">
        <v>1500</v>
      </c>
      <c r="E481" s="6" t="s">
        <v>1535</v>
      </c>
      <c r="F481" s="1"/>
      <c r="G481" s="1" t="s">
        <v>38</v>
      </c>
      <c r="H481" s="1"/>
      <c r="I481" s="1" t="s">
        <v>1538</v>
      </c>
      <c r="J481" s="1" t="s">
        <v>543</v>
      </c>
      <c r="K481" s="1"/>
      <c r="L481" s="1"/>
      <c r="M481" s="1" t="s">
        <v>103</v>
      </c>
      <c r="N481" s="4"/>
      <c r="O481" s="4" t="n">
        <v>44138</v>
      </c>
      <c r="P481" s="1" t="s">
        <v>1539</v>
      </c>
      <c r="Q481" s="1" t="s">
        <v>35</v>
      </c>
      <c r="R481" s="1" t="str">
        <f aca="false">VLOOKUP(P481,[1]Categorizations!A$1:C$1048576,2,FALSE())</f>
        <v>Prohibited Additives / Product</v>
      </c>
      <c r="S481" s="1" t="str">
        <f aca="false">VLOOKUP(P481,[1]Categorizations!A$1:C$1048576,3,FALSE())</f>
        <v>Prohibited Additives / Product</v>
      </c>
    </row>
    <row r="482" customFormat="false" ht="15.75" hidden="false" customHeight="false" outlineLevel="0" collapsed="false">
      <c r="A482" s="1" t="str">
        <f aca="false">CONCATENATE(C482,J482)</f>
        <v>45495Not Listed</v>
      </c>
      <c r="C482" s="5" t="n">
        <v>45495</v>
      </c>
      <c r="D482" s="1" t="s">
        <v>1500</v>
      </c>
      <c r="E482" s="6" t="s">
        <v>1535</v>
      </c>
      <c r="F482" s="1"/>
      <c r="H482" s="1" t="s">
        <v>182</v>
      </c>
      <c r="I482" s="1" t="s">
        <v>1540</v>
      </c>
      <c r="J482" s="1" t="s">
        <v>1540</v>
      </c>
      <c r="M482" s="1" t="s">
        <v>26</v>
      </c>
      <c r="N482" s="4"/>
      <c r="O482" s="4"/>
      <c r="P482" s="1" t="s">
        <v>971</v>
      </c>
      <c r="Q482" s="1" t="s">
        <v>35</v>
      </c>
      <c r="R482" s="1" t="str">
        <f aca="false">VLOOKUP(P482,[1]Categorizations!A$1:C$1048576,2,FALSE())</f>
        <v>Prohibited Additives / Product</v>
      </c>
      <c r="S482" s="1" t="str">
        <f aca="false">VLOOKUP(P482,[1]Categorizations!A$1:C$1048576,3,FALSE())</f>
        <v>Prohibited Additives / Product</v>
      </c>
    </row>
    <row r="483" customFormat="false" ht="15.75" hidden="false" customHeight="false" outlineLevel="0" collapsed="false">
      <c r="A483" s="1" t="str">
        <f aca="false">CONCATENATE(C483,J483)</f>
        <v>45601 Redwood Warehouse, LLC </v>
      </c>
      <c r="C483" s="5" t="n">
        <v>45601</v>
      </c>
      <c r="D483" s="1" t="s">
        <v>1500</v>
      </c>
      <c r="E483" s="6" t="s">
        <v>1541</v>
      </c>
      <c r="F483" s="1"/>
      <c r="H483" s="1" t="s">
        <v>1542</v>
      </c>
      <c r="I483" s="1" t="s">
        <v>1543</v>
      </c>
      <c r="J483" s="1" t="s">
        <v>1544</v>
      </c>
      <c r="M483" s="1" t="s">
        <v>26</v>
      </c>
      <c r="N483" s="4"/>
      <c r="O483" s="4"/>
      <c r="P483" s="1" t="s">
        <v>1545</v>
      </c>
      <c r="Q483" s="1" t="s">
        <v>35</v>
      </c>
      <c r="R483" s="1" t="str">
        <f aca="false">VLOOKUP(P483,[1]Categorizations!A$1:C$1048576,2,FALSE())</f>
        <v>Pesticides</v>
      </c>
      <c r="S483" s="1" t="str">
        <f aca="false">VLOOKUP(P483,[1]Categorizations!A$1:C$1048576,3,FALSE())</f>
        <v>Pesticides</v>
      </c>
    </row>
    <row r="484" customFormat="false" ht="15.75" hidden="false" customHeight="false" outlineLevel="0" collapsed="false">
      <c r="A484" s="1" t="str">
        <f aca="false">CONCATENATE(C484,J484)</f>
        <v>45912Not Listed</v>
      </c>
      <c r="C484" s="5" t="n">
        <v>45912</v>
      </c>
      <c r="D484" s="1" t="s">
        <v>1500</v>
      </c>
      <c r="E484" s="6" t="s">
        <v>1546</v>
      </c>
      <c r="F484" s="1"/>
      <c r="H484" s="1" t="s">
        <v>1547</v>
      </c>
      <c r="I484" s="1" t="s">
        <v>1540</v>
      </c>
      <c r="J484" s="1" t="s">
        <v>1540</v>
      </c>
      <c r="M484" s="1" t="s">
        <v>26</v>
      </c>
      <c r="N484" s="4"/>
      <c r="O484" s="4"/>
      <c r="P484" s="1" t="s">
        <v>1548</v>
      </c>
      <c r="Q484" s="1" t="s">
        <v>35</v>
      </c>
      <c r="R484" s="1" t="str">
        <f aca="false">VLOOKUP(P484,[1]Categorizations!A$1:C$1048576,2,FALSE())</f>
        <v>Multiple: invalid testing, aspergillus, mold</v>
      </c>
      <c r="S484" s="1" t="str">
        <f aca="false">VLOOKUP(P484,[1]Categorizations!A$1:C$1048576,3,FALSE())</f>
        <v>Multiple</v>
      </c>
    </row>
    <row r="485" customFormat="false" ht="15.75" hidden="false" customHeight="false" outlineLevel="0" collapsed="false">
      <c r="A485" s="1" t="str">
        <f aca="false">CONCATENATE(C485,J485)</f>
        <v>46006Greenway Medical, LLC</v>
      </c>
      <c r="B485" s="1" t="s">
        <v>1549</v>
      </c>
      <c r="C485" s="5" t="n">
        <v>46006</v>
      </c>
      <c r="D485" s="1" t="s">
        <v>1500</v>
      </c>
      <c r="E485" s="6" t="s">
        <v>1550</v>
      </c>
      <c r="F485" s="1"/>
      <c r="H485" s="1" t="s">
        <v>1542</v>
      </c>
      <c r="I485" s="1" t="s">
        <v>1551</v>
      </c>
      <c r="J485" s="1" t="s">
        <v>1551</v>
      </c>
      <c r="M485" s="1" t="s">
        <v>103</v>
      </c>
      <c r="N485" s="4" t="n">
        <v>45870</v>
      </c>
      <c r="O485" s="4"/>
      <c r="P485" s="1" t="s">
        <v>1552</v>
      </c>
      <c r="Q485" s="1" t="s">
        <v>35</v>
      </c>
      <c r="R485" s="1" t="str">
        <f aca="false">VLOOKUP(P485,[1]Categorizations!A$1:C$1048576,2,FALSE())</f>
        <v>Pesticides</v>
      </c>
      <c r="S485" s="1" t="str">
        <f aca="false">VLOOKUP(P485,[1]Categorizations!A$1:C$1048576,3,FALSE())</f>
        <v>Pesticides</v>
      </c>
    </row>
    <row r="486" customFormat="false" ht="15.75" hidden="false" customHeight="false" outlineLevel="0" collapsed="false">
      <c r="A486" s="1" t="str">
        <f aca="false">CONCATENATE(C486,D486, J486)</f>
        <v>44335New JerseyCuraleaf</v>
      </c>
      <c r="C486" s="5" t="n">
        <v>44335</v>
      </c>
      <c r="D486" s="1" t="s">
        <v>1553</v>
      </c>
      <c r="E486" s="6" t="s">
        <v>1554</v>
      </c>
      <c r="F486" s="1"/>
      <c r="G486" s="1" t="s">
        <v>22</v>
      </c>
      <c r="H486" s="1"/>
      <c r="I486" s="1"/>
      <c r="J486" s="1" t="s">
        <v>114</v>
      </c>
      <c r="K486" s="1"/>
      <c r="L486" s="1" t="s">
        <v>103</v>
      </c>
      <c r="M486" s="1" t="s">
        <v>103</v>
      </c>
      <c r="N486" s="4" t="n">
        <v>44187</v>
      </c>
      <c r="O486" s="4"/>
      <c r="P486" s="1" t="s">
        <v>1555</v>
      </c>
      <c r="Q486" s="1" t="s">
        <v>131</v>
      </c>
      <c r="R486" s="1" t="str">
        <f aca="false">VLOOKUP(P486,[1]Categorizations!A$1:C$1048576,2,FALSE())</f>
        <v>Total Yeast and Mold</v>
      </c>
      <c r="S486" s="1" t="str">
        <f aca="false">VLOOKUP(P486,[1]Categorizations!A$1:C$1048576,3,FALSE())</f>
        <v>Microbial Contamination</v>
      </c>
    </row>
    <row r="487" customFormat="false" ht="15.75" hidden="false" customHeight="false" outlineLevel="0" collapsed="false">
      <c r="A487" s="1" t="str">
        <f aca="false">CONCATENATE(C487,D487, J487)</f>
        <v>45502New JerseyGreen Medicine NJ</v>
      </c>
      <c r="C487" s="5" t="n">
        <v>45502</v>
      </c>
      <c r="D487" s="1" t="s">
        <v>1553</v>
      </c>
      <c r="E487" s="6" t="s">
        <v>1556</v>
      </c>
      <c r="F487" s="1"/>
      <c r="G487" s="1" t="s">
        <v>22</v>
      </c>
      <c r="H487" s="1"/>
      <c r="I487" s="1" t="s">
        <v>1557</v>
      </c>
      <c r="J487" s="1" t="s">
        <v>1558</v>
      </c>
      <c r="K487" s="1"/>
      <c r="L487" s="1"/>
      <c r="M487" s="1" t="s">
        <v>26</v>
      </c>
      <c r="N487" s="4"/>
      <c r="O487" s="4"/>
      <c r="P487" s="1" t="s">
        <v>1559</v>
      </c>
      <c r="Q487" s="1" t="s">
        <v>35</v>
      </c>
      <c r="R487" s="1" t="str">
        <f aca="false">VLOOKUP(P487,[1]Categorizations!A$1:C$1048576,2,FALSE())</f>
        <v>Hair and Insects</v>
      </c>
      <c r="S487" s="1" t="str">
        <f aca="false">VLOOKUP(P487,[1]Categorizations!A$1:C$1048576,3,FALSE())</f>
        <v>Contaminants</v>
      </c>
    </row>
    <row r="488" customFormat="false" ht="15.75" hidden="false" customHeight="false" outlineLevel="0" collapsed="false">
      <c r="A488" s="1" t="str">
        <f aca="false">CONCATENATE(C488,J488)</f>
        <v>46171ButACake Peach Elixir 5mg</v>
      </c>
      <c r="C488" s="11" t="n">
        <v>46171</v>
      </c>
      <c r="D488" s="2" t="s">
        <v>1553</v>
      </c>
      <c r="E488" s="8" t="s">
        <v>1560</v>
      </c>
      <c r="F488" s="8" t="s">
        <v>1561</v>
      </c>
      <c r="G488" s="2" t="s">
        <v>38</v>
      </c>
      <c r="H488" s="2" t="s">
        <v>174</v>
      </c>
      <c r="I488" s="8" t="s">
        <v>1562</v>
      </c>
      <c r="J488" s="8" t="s">
        <v>1562</v>
      </c>
      <c r="M488" s="1"/>
      <c r="N488" s="4"/>
      <c r="O488" s="4"/>
      <c r="P488" s="2" t="s">
        <v>1563</v>
      </c>
      <c r="Q488" s="1" t="s">
        <v>35</v>
      </c>
      <c r="R488" s="1" t="str">
        <f aca="false">VLOOKUP(P488,[1]Categorizations!A$1:C$1048576,2,FALSE())</f>
        <v>Packaging</v>
      </c>
      <c r="S488" s="1" t="str">
        <f aca="false">VLOOKUP(P488,[1]Categorizations!A$1:C$1048576,3,FALSE())</f>
        <v>Packaging</v>
      </c>
    </row>
    <row r="489" customFormat="false" ht="15.75" hidden="false" customHeight="false" outlineLevel="0" collapsed="false">
      <c r="A489" s="1" t="s">
        <v>1564</v>
      </c>
      <c r="C489" s="5" t="n">
        <v>44648</v>
      </c>
      <c r="D489" s="1" t="s">
        <v>1565</v>
      </c>
      <c r="E489" s="6" t="s">
        <v>1566</v>
      </c>
      <c r="F489" s="1"/>
      <c r="G489" s="1" t="s">
        <v>22</v>
      </c>
      <c r="H489" s="1"/>
      <c r="I489" s="1"/>
      <c r="J489" s="1" t="s">
        <v>1567</v>
      </c>
      <c r="K489" s="1"/>
      <c r="L489" s="1"/>
      <c r="M489" s="1" t="s">
        <v>26</v>
      </c>
      <c r="N489" s="4"/>
      <c r="O489" s="4"/>
      <c r="P489" s="1" t="s">
        <v>1568</v>
      </c>
      <c r="Q489" s="1" t="s">
        <v>131</v>
      </c>
      <c r="R489" s="1" t="str">
        <f aca="false">VLOOKUP(P489,[1]Categorizations!A$1:C$1048576,2,FALSE())</f>
        <v>Mold</v>
      </c>
      <c r="S489" s="1" t="str">
        <f aca="false">VLOOKUP(P489,[1]Categorizations!A$1:C$1048576,3,FALSE())</f>
        <v>Microbial Contamination</v>
      </c>
    </row>
    <row r="490" customFormat="false" ht="15.75" hidden="false" customHeight="false" outlineLevel="0" collapsed="false">
      <c r="A490" s="1" t="str">
        <f aca="false">CONCATENATE(C490,D490, J490)</f>
        <v>45373New MexicoCowboy RX, Sandia Botanicals, and Seven Clover,</v>
      </c>
      <c r="C490" s="5" t="n">
        <v>45373</v>
      </c>
      <c r="D490" s="1" t="s">
        <v>1565</v>
      </c>
      <c r="E490" s="6" t="s">
        <v>1569</v>
      </c>
      <c r="F490" s="1"/>
      <c r="G490" s="1" t="s">
        <v>22</v>
      </c>
      <c r="H490" s="1"/>
      <c r="I490" s="1" t="s">
        <v>1570</v>
      </c>
      <c r="J490" s="1" t="s">
        <v>1571</v>
      </c>
      <c r="K490" s="1"/>
      <c r="L490" s="1"/>
      <c r="M490" s="1" t="s">
        <v>42</v>
      </c>
      <c r="N490" s="4"/>
      <c r="O490" s="4" t="n">
        <v>44947</v>
      </c>
      <c r="P490" s="1" t="s">
        <v>1572</v>
      </c>
      <c r="Q490" s="1" t="s">
        <v>35</v>
      </c>
      <c r="R490" s="1" t="str">
        <f aca="false">VLOOKUP(P490,[1]Categorizations!A$1:C$1048576,2,FALSE())</f>
        <v>Pesticides</v>
      </c>
      <c r="S490" s="1" t="str">
        <f aca="false">VLOOKUP(P490,[1]Categorizations!A$1:C$1048576,3,FALSE())</f>
        <v>Pesticides</v>
      </c>
    </row>
    <row r="491" customFormat="false" ht="15.75" hidden="false" customHeight="false" outlineLevel="0" collapsed="false">
      <c r="A491" s="1" t="str">
        <f aca="false">CONCATENATE(C491,J491)</f>
        <v>45373Got Greens </v>
      </c>
      <c r="C491" s="5" t="n">
        <v>45373</v>
      </c>
      <c r="D491" s="1" t="s">
        <v>1565</v>
      </c>
      <c r="E491" s="6" t="s">
        <v>1573</v>
      </c>
      <c r="F491" s="1"/>
      <c r="H491" s="1" t="s">
        <v>31</v>
      </c>
      <c r="I491" s="1" t="s">
        <v>1574</v>
      </c>
      <c r="J491" s="1" t="s">
        <v>1574</v>
      </c>
      <c r="M491" s="1" t="s">
        <v>26</v>
      </c>
      <c r="N491" s="4"/>
      <c r="O491" s="4"/>
      <c r="P491" s="1" t="s">
        <v>1572</v>
      </c>
      <c r="Q491" s="1" t="s">
        <v>35</v>
      </c>
      <c r="R491" s="1" t="str">
        <f aca="false">VLOOKUP(P491,[1]Categorizations!A$1:C$1048576,2,FALSE())</f>
        <v>Pesticides</v>
      </c>
      <c r="S491" s="1" t="str">
        <f aca="false">VLOOKUP(P491,[1]Categorizations!A$1:C$1048576,3,FALSE())</f>
        <v>Pesticides</v>
      </c>
    </row>
    <row r="492" customFormat="false" ht="15.75" hidden="false" customHeight="false" outlineLevel="0" collapsed="false">
      <c r="A492" s="1" t="str">
        <f aca="false">CONCATENATE(C492,J492)</f>
        <v>45539WH Agriculture, LLC</v>
      </c>
      <c r="C492" s="5" t="n">
        <v>45539</v>
      </c>
      <c r="D492" s="1" t="s">
        <v>1565</v>
      </c>
      <c r="E492" s="6" t="s">
        <v>1575</v>
      </c>
      <c r="F492" s="1"/>
      <c r="H492" s="1" t="s">
        <v>39</v>
      </c>
      <c r="I492" s="1" t="s">
        <v>1576</v>
      </c>
      <c r="J492" s="1" t="s">
        <v>1577</v>
      </c>
      <c r="M492" s="1" t="s">
        <v>26</v>
      </c>
      <c r="N492" s="4"/>
      <c r="O492" s="4"/>
      <c r="P492" s="1" t="s">
        <v>1578</v>
      </c>
      <c r="Q492" s="1" t="s">
        <v>35</v>
      </c>
      <c r="R492" s="1" t="str">
        <f aca="false">VLOOKUP(P492,[1]Categorizations!A$1:C$1048576,2,FALSE())</f>
        <v>Pesticides</v>
      </c>
      <c r="S492" s="1" t="str">
        <f aca="false">VLOOKUP(P492,[1]Categorizations!A$1:C$1048576,3,FALSE())</f>
        <v>Pesticides</v>
      </c>
    </row>
    <row r="493" customFormat="false" ht="15.75" hidden="false" customHeight="false" outlineLevel="0" collapsed="false">
      <c r="A493" s="1" t="str">
        <f aca="false">CONCATENATE(C493,J493)</f>
        <v>45623JBS Technologies NM, LLC</v>
      </c>
      <c r="C493" s="5" t="n">
        <v>45623</v>
      </c>
      <c r="D493" s="1" t="s">
        <v>1565</v>
      </c>
      <c r="E493" s="6" t="s">
        <v>1579</v>
      </c>
      <c r="F493" s="1"/>
      <c r="G493" s="1" t="s">
        <v>22</v>
      </c>
      <c r="H493" s="1" t="s">
        <v>1580</v>
      </c>
      <c r="I493" s="1" t="s">
        <v>1581</v>
      </c>
      <c r="J493" s="1" t="s">
        <v>1582</v>
      </c>
      <c r="M493" s="1" t="s">
        <v>26</v>
      </c>
      <c r="N493" s="4"/>
      <c r="O493" s="4"/>
      <c r="P493" s="1" t="s">
        <v>1583</v>
      </c>
      <c r="Q493" s="1" t="s">
        <v>35</v>
      </c>
      <c r="R493" s="1" t="str">
        <f aca="false">VLOOKUP(P493,[1]Categorizations!A$1:C$1048576,2,FALSE())</f>
        <v>Pesticides</v>
      </c>
      <c r="S493" s="1" t="str">
        <f aca="false">VLOOKUP(P493,[1]Categorizations!A$1:C$1048576,3,FALSE())</f>
        <v>Pesticides</v>
      </c>
    </row>
    <row r="494" customFormat="false" ht="15.75" hidden="false" customHeight="false" outlineLevel="0" collapsed="false">
      <c r="A494" s="1" t="str">
        <f aca="false">CONCATENATE(C494,J494)</f>
        <v>46079GH LLC</v>
      </c>
      <c r="C494" s="5" t="n">
        <v>46079</v>
      </c>
      <c r="D494" s="1" t="s">
        <v>1565</v>
      </c>
      <c r="E494" s="6" t="s">
        <v>1584</v>
      </c>
      <c r="F494" s="1"/>
      <c r="G494" s="1" t="s">
        <v>22</v>
      </c>
      <c r="H494" s="1" t="s">
        <v>171</v>
      </c>
      <c r="I494" s="1" t="s">
        <v>1585</v>
      </c>
      <c r="J494" s="1" t="s">
        <v>1586</v>
      </c>
      <c r="M494" s="1" t="s">
        <v>26</v>
      </c>
      <c r="N494" s="4"/>
      <c r="O494" s="4"/>
      <c r="P494" s="1" t="s">
        <v>1587</v>
      </c>
      <c r="Q494" s="1" t="s">
        <v>35</v>
      </c>
      <c r="R494" s="1" t="str">
        <f aca="false">VLOOKUP(P494,[1]Categorizations!A$1:C$1048576,2,FALSE())</f>
        <v>Over THC Threshhold</v>
      </c>
      <c r="S494" s="1" t="str">
        <f aca="false">VLOOKUP(P494,[1]Categorizations!A$1:C$1048576,3,FALSE())</f>
        <v>Prohibited Additives / Product</v>
      </c>
    </row>
    <row r="495" customFormat="false" ht="15.75" hidden="false" customHeight="false" outlineLevel="0" collapsed="false">
      <c r="A495" s="1" t="str">
        <f aca="false">CONCATENATE(C495,D495, J495)</f>
        <v>44785New YorkCuraleaf</v>
      </c>
      <c r="C495" s="5" t="n">
        <v>44785</v>
      </c>
      <c r="D495" s="1" t="s">
        <v>1588</v>
      </c>
      <c r="E495" s="6" t="s">
        <v>1589</v>
      </c>
      <c r="F495" s="1"/>
      <c r="G495" s="1" t="s">
        <v>22</v>
      </c>
      <c r="H495" s="1"/>
      <c r="I495" s="1"/>
      <c r="J495" s="1" t="s">
        <v>114</v>
      </c>
      <c r="K495" s="1"/>
      <c r="L495" s="1" t="s">
        <v>103</v>
      </c>
      <c r="M495" s="1" t="s">
        <v>26</v>
      </c>
      <c r="N495" s="4"/>
      <c r="O495" s="4"/>
      <c r="P495" s="1" t="s">
        <v>1590</v>
      </c>
      <c r="Q495" s="1" t="s">
        <v>131</v>
      </c>
      <c r="R495" s="1" t="str">
        <f aca="false">VLOOKUP(P495,[1]Categorizations!A$1:C$1048576,2,FALSE())</f>
        <v>Inaccurate THC</v>
      </c>
      <c r="S495" s="1" t="str">
        <f aca="false">VLOOKUP(P495,[1]Categorizations!A$1:C$1048576,3,FALSE())</f>
        <v>Inaccurate THC</v>
      </c>
    </row>
    <row r="496" customFormat="false" ht="15.75" hidden="false" customHeight="false" outlineLevel="0" collapsed="false">
      <c r="A496" s="1" t="str">
        <f aca="false">CONCATENATE(C496,D496, J496)</f>
        <v>44853New YorkCuraleaf</v>
      </c>
      <c r="C496" s="5" t="n">
        <v>44853</v>
      </c>
      <c r="D496" s="1" t="s">
        <v>1588</v>
      </c>
      <c r="E496" s="6" t="s">
        <v>1591</v>
      </c>
      <c r="G496" s="1" t="s">
        <v>22</v>
      </c>
      <c r="H496" s="1"/>
      <c r="I496" s="1"/>
      <c r="J496" s="1" t="s">
        <v>114</v>
      </c>
      <c r="K496" s="1"/>
      <c r="L496" s="1" t="s">
        <v>103</v>
      </c>
      <c r="M496" s="1" t="s">
        <v>26</v>
      </c>
      <c r="N496" s="4"/>
      <c r="O496" s="4"/>
      <c r="P496" s="1" t="s">
        <v>1532</v>
      </c>
      <c r="Q496" s="1" t="s">
        <v>131</v>
      </c>
      <c r="R496" s="1" t="str">
        <f aca="false">VLOOKUP(P496,[1]Categorizations!A$1:C$1048576,2,FALSE())</f>
        <v>Inaccurate THC</v>
      </c>
      <c r="S496" s="1" t="str">
        <f aca="false">VLOOKUP(P496,[1]Categorizations!A$1:C$1048576,3,FALSE())</f>
        <v>Inaccurate THC</v>
      </c>
    </row>
    <row r="497" customFormat="false" ht="15.75" hidden="false" customHeight="false" outlineLevel="0" collapsed="false">
      <c r="A497" s="1" t="str">
        <f aca="false">CONCATENATE(C497,J497)</f>
        <v>45833IndoGro LLC</v>
      </c>
      <c r="B497" s="12" t="n">
        <v>45819</v>
      </c>
      <c r="C497" s="5" t="n">
        <v>45833</v>
      </c>
      <c r="D497" s="1" t="s">
        <v>1588</v>
      </c>
      <c r="E497" s="6" t="s">
        <v>1592</v>
      </c>
      <c r="F497" s="1"/>
      <c r="H497" s="1" t="s">
        <v>60</v>
      </c>
      <c r="I497" s="1" t="s">
        <v>1593</v>
      </c>
      <c r="J497" s="1" t="s">
        <v>1593</v>
      </c>
      <c r="M497" s="1" t="s">
        <v>26</v>
      </c>
      <c r="N497" s="4"/>
      <c r="O497" s="4"/>
      <c r="P497" s="1" t="s">
        <v>1594</v>
      </c>
      <c r="Q497" s="1" t="s">
        <v>35</v>
      </c>
      <c r="R497" s="1" t="str">
        <f aca="false">VLOOKUP(P497,[1]Categorizations!A$1:C$1048576,2,FALSE())</f>
        <v>Multiple: Unspecified Pesticides, Product not from Approved Producer</v>
      </c>
      <c r="S497" s="1" t="str">
        <f aca="false">VLOOKUP(P497,[1]Categorizations!A$1:C$1048576,3,FALSE())</f>
        <v>Pesticides</v>
      </c>
    </row>
    <row r="498" customFormat="false" ht="15.75" hidden="false" customHeight="false" outlineLevel="0" collapsed="false">
      <c r="A498" s="1" t="str">
        <f aca="false">CONCATENATE(C498,J498)</f>
        <v>45852East End Flower Farm LTD</v>
      </c>
      <c r="B498" s="12" t="n">
        <v>45852</v>
      </c>
      <c r="C498" s="5" t="n">
        <v>45852</v>
      </c>
      <c r="D498" s="1" t="s">
        <v>1588</v>
      </c>
      <c r="E498" s="6" t="s">
        <v>1592</v>
      </c>
      <c r="F498" s="1"/>
      <c r="H498" s="1" t="s">
        <v>39</v>
      </c>
      <c r="I498" s="1" t="s">
        <v>1595</v>
      </c>
      <c r="J498" s="1" t="s">
        <v>1595</v>
      </c>
      <c r="M498" s="1" t="s">
        <v>26</v>
      </c>
      <c r="N498" s="4"/>
      <c r="O498" s="4"/>
      <c r="P498" s="1" t="s">
        <v>1596</v>
      </c>
      <c r="Q498" s="1" t="s">
        <v>35</v>
      </c>
      <c r="R498" s="1" t="str">
        <f aca="false">VLOOKUP(P498,[1]Categorizations!A$1:C$1048576,2,FALSE())</f>
        <v>Multiple: not appropriately tested, pesticdes</v>
      </c>
      <c r="S498" s="1" t="str">
        <f aca="false">VLOOKUP(P498,[1]Categorizations!A$1:C$1048576,3,FALSE())</f>
        <v>Pesticides</v>
      </c>
    </row>
    <row r="499" customFormat="false" ht="15.75" hidden="false" customHeight="false" outlineLevel="0" collapsed="false">
      <c r="A499" s="1" t="str">
        <f aca="false">CONCATENATE(C499,J499)</f>
        <v>46079Keystone State Testing New York.</v>
      </c>
      <c r="C499" s="5" t="n">
        <v>46079</v>
      </c>
      <c r="D499" s="1" t="s">
        <v>1588</v>
      </c>
      <c r="E499" s="6" t="s">
        <v>1597</v>
      </c>
      <c r="F499" s="1"/>
      <c r="H499" s="1" t="s">
        <v>1598</v>
      </c>
      <c r="I499" s="1" t="s">
        <v>1599</v>
      </c>
      <c r="J499" s="1" t="s">
        <v>1599</v>
      </c>
      <c r="M499" s="1" t="s">
        <v>26</v>
      </c>
      <c r="N499" s="4"/>
      <c r="O499" s="4"/>
      <c r="P499" s="1" t="s">
        <v>47</v>
      </c>
      <c r="Q499" s="1" t="s">
        <v>35</v>
      </c>
      <c r="R499" s="1" t="str">
        <f aca="false">VLOOKUP(P499,[1]Categorizations!A$1:C$1048576,2,FALSE())</f>
        <v>Aspergillus</v>
      </c>
      <c r="S499" s="1" t="str">
        <f aca="false">VLOOKUP(P499,[1]Categorizations!A$1:C$1048576,3,FALSE())</f>
        <v>Microbial Contamination</v>
      </c>
    </row>
    <row r="500" customFormat="false" ht="15.75" hidden="false" customHeight="false" outlineLevel="0" collapsed="false">
      <c r="A500" s="1" t="str">
        <f aca="false">CONCATENATE(C500,D500, J500)</f>
        <v>43675OhioStandard Wellness</v>
      </c>
      <c r="C500" s="5" t="n">
        <v>43675</v>
      </c>
      <c r="D500" s="1" t="s">
        <v>1600</v>
      </c>
      <c r="E500" s="6" t="s">
        <v>1601</v>
      </c>
      <c r="F500" s="1"/>
      <c r="G500" s="1" t="s">
        <v>22</v>
      </c>
      <c r="H500" s="1"/>
      <c r="I500" s="1"/>
      <c r="J500" s="1" t="s">
        <v>1602</v>
      </c>
      <c r="L500" s="2" t="s">
        <v>103</v>
      </c>
      <c r="M500" s="1" t="s">
        <v>26</v>
      </c>
      <c r="N500" s="4"/>
      <c r="O500" s="4"/>
      <c r="P500" s="1" t="s">
        <v>1040</v>
      </c>
      <c r="Q500" s="1" t="s">
        <v>35</v>
      </c>
      <c r="R500" s="1" t="str">
        <f aca="false">VLOOKUP(P500,[1]Categorizations!A$1:C$1048576,2,FALSE())</f>
        <v>Adverse Health Events</v>
      </c>
      <c r="S500" s="1" t="str">
        <f aca="false">VLOOKUP(P500,[1]Categorizations!A$1:C$1048576,3,FALSE())</f>
        <v>Adverse Health Events</v>
      </c>
    </row>
    <row r="501" customFormat="false" ht="15.75" hidden="false" customHeight="false" outlineLevel="0" collapsed="false">
      <c r="A501" s="1" t="str">
        <f aca="false">CONCATENATE(C501,D501, J501)</f>
        <v>43786OhioOne Orijin</v>
      </c>
      <c r="C501" s="5" t="n">
        <v>43786</v>
      </c>
      <c r="D501" s="1" t="s">
        <v>1600</v>
      </c>
      <c r="E501" s="6" t="s">
        <v>1601</v>
      </c>
      <c r="F501" s="1"/>
      <c r="G501" s="1" t="s">
        <v>22</v>
      </c>
      <c r="H501" s="1"/>
      <c r="I501" s="1"/>
      <c r="J501" s="1" t="s">
        <v>1603</v>
      </c>
      <c r="M501" s="1" t="s">
        <v>26</v>
      </c>
      <c r="N501" s="4"/>
      <c r="O501" s="4"/>
      <c r="P501" s="1" t="s">
        <v>169</v>
      </c>
      <c r="Q501" s="1" t="s">
        <v>35</v>
      </c>
      <c r="R501" s="1" t="str">
        <f aca="false">VLOOKUP(P501,[1]Categorizations!A$1:C$1048576,2,FALSE())</f>
        <v>Prohibited Additives / Product</v>
      </c>
      <c r="S501" s="1" t="str">
        <f aca="false">VLOOKUP(P501,[1]Categorizations!A$1:C$1048576,3,FALSE())</f>
        <v>Prohibited Additives / Product</v>
      </c>
    </row>
    <row r="502" customFormat="false" ht="15.75" hidden="false" customHeight="false" outlineLevel="0" collapsed="false">
      <c r="A502" s="1" t="str">
        <f aca="false">CONCATENATE(C502,D502, J502)</f>
        <v>43819OhioGalenas</v>
      </c>
      <c r="C502" s="5" t="n">
        <v>43819</v>
      </c>
      <c r="D502" s="1" t="s">
        <v>1600</v>
      </c>
      <c r="E502" s="6" t="s">
        <v>1601</v>
      </c>
      <c r="F502" s="1"/>
      <c r="G502" s="1" t="s">
        <v>22</v>
      </c>
      <c r="H502" s="1"/>
      <c r="I502" s="1"/>
      <c r="J502" s="1" t="s">
        <v>1604</v>
      </c>
      <c r="M502" s="1" t="s">
        <v>26</v>
      </c>
      <c r="N502" s="4"/>
      <c r="O502" s="4"/>
      <c r="P502" s="1" t="s">
        <v>1334</v>
      </c>
      <c r="Q502" s="1" t="s">
        <v>35</v>
      </c>
      <c r="R502" s="1" t="str">
        <f aca="false">VLOOKUP(P502,[1]Categorizations!A$1:C$1048576,2,FALSE())</f>
        <v>Untested</v>
      </c>
      <c r="S502" s="1" t="str">
        <f aca="false">VLOOKUP(P502,[1]Categorizations!A$1:C$1048576,3,FALSE())</f>
        <v>Lab Issue</v>
      </c>
    </row>
    <row r="503" customFormat="false" ht="15.75" hidden="false" customHeight="false" outlineLevel="0" collapsed="false">
      <c r="A503" s="1" t="str">
        <f aca="false">CONCATENATE(C503,D503, J503)</f>
        <v>43903OhioPure Ohio Wellness</v>
      </c>
      <c r="C503" s="5" t="n">
        <v>43903</v>
      </c>
      <c r="D503" s="1" t="s">
        <v>1600</v>
      </c>
      <c r="E503" s="6" t="s">
        <v>1601</v>
      </c>
      <c r="F503" s="1"/>
      <c r="G503" s="1" t="s">
        <v>22</v>
      </c>
      <c r="H503" s="1"/>
      <c r="I503" s="1"/>
      <c r="J503" s="1" t="s">
        <v>1605</v>
      </c>
      <c r="M503" s="1" t="s">
        <v>26</v>
      </c>
      <c r="N503" s="4"/>
      <c r="O503" s="4"/>
      <c r="P503" s="1" t="s">
        <v>1334</v>
      </c>
      <c r="Q503" s="1" t="s">
        <v>35</v>
      </c>
      <c r="R503" s="1" t="str">
        <f aca="false">VLOOKUP(P503,[1]Categorizations!A$1:C$1048576,2,FALSE())</f>
        <v>Untested</v>
      </c>
      <c r="S503" s="1" t="str">
        <f aca="false">VLOOKUP(P503,[1]Categorizations!A$1:C$1048576,3,FALSE())</f>
        <v>Lab Issue</v>
      </c>
    </row>
    <row r="504" customFormat="false" ht="15.75" hidden="false" customHeight="false" outlineLevel="0" collapsed="false">
      <c r="A504" s="1" t="str">
        <f aca="false">CONCATENATE(C504,D504, J504)</f>
        <v>44106OhioVerano Brands</v>
      </c>
      <c r="C504" s="5" t="n">
        <v>44106</v>
      </c>
      <c r="D504" s="1" t="s">
        <v>1600</v>
      </c>
      <c r="E504" s="6" t="s">
        <v>1601</v>
      </c>
      <c r="F504" s="1"/>
      <c r="G504" s="1" t="s">
        <v>22</v>
      </c>
      <c r="H504" s="1"/>
      <c r="I504" s="1"/>
      <c r="J504" s="1" t="s">
        <v>1606</v>
      </c>
      <c r="K504" s="1"/>
      <c r="L504" s="1" t="s">
        <v>103</v>
      </c>
      <c r="M504" s="1" t="s">
        <v>103</v>
      </c>
      <c r="N504" s="4"/>
      <c r="O504" s="4" t="n">
        <v>44060</v>
      </c>
      <c r="P504" s="1" t="s">
        <v>996</v>
      </c>
      <c r="Q504" s="1" t="s">
        <v>35</v>
      </c>
      <c r="R504" s="1" t="str">
        <f aca="false">VLOOKUP(P504,[1]Categorizations!A$1:C$1048576,2,FALSE())</f>
        <v>Heavy Metals</v>
      </c>
      <c r="S504" s="1" t="str">
        <f aca="false">VLOOKUP(P504,[1]Categorizations!A$1:C$1048576,3,FALSE())</f>
        <v>Heavy Metals</v>
      </c>
    </row>
    <row r="505" customFormat="false" ht="15.75" hidden="false" customHeight="false" outlineLevel="0" collapsed="false">
      <c r="A505" s="1" t="str">
        <f aca="false">CONCATENATE(C505,D505, J505)</f>
        <v>44271OhioGTI Ohio</v>
      </c>
      <c r="C505" s="5" t="n">
        <v>44271</v>
      </c>
      <c r="D505" s="1" t="s">
        <v>1600</v>
      </c>
      <c r="E505" s="6" t="s">
        <v>1601</v>
      </c>
      <c r="F505" s="1"/>
      <c r="G505" s="1" t="s">
        <v>22</v>
      </c>
      <c r="H505" s="1"/>
      <c r="I505" s="1"/>
      <c r="J505" s="1" t="s">
        <v>1607</v>
      </c>
      <c r="K505" s="1"/>
      <c r="L505" s="1" t="s">
        <v>103</v>
      </c>
      <c r="M505" s="1" t="s">
        <v>103</v>
      </c>
      <c r="N505" s="4"/>
      <c r="O505" s="4" t="n">
        <v>44242</v>
      </c>
      <c r="P505" s="1" t="s">
        <v>1334</v>
      </c>
      <c r="Q505" s="1" t="s">
        <v>35</v>
      </c>
      <c r="R505" s="1" t="str">
        <f aca="false">VLOOKUP(P505,[1]Categorizations!A$1:C$1048576,2,FALSE())</f>
        <v>Untested</v>
      </c>
      <c r="S505" s="1" t="str">
        <f aca="false">VLOOKUP(P505,[1]Categorizations!A$1:C$1048576,3,FALSE())</f>
        <v>Lab Issue</v>
      </c>
    </row>
    <row r="506" customFormat="false" ht="15.75" hidden="false" customHeight="false" outlineLevel="0" collapsed="false">
      <c r="A506" s="1" t="str">
        <f aca="false">CONCATENATE(C506,D506, J506)</f>
        <v>44420OhioBeneleaves Limited</v>
      </c>
      <c r="C506" s="5" t="n">
        <v>44420</v>
      </c>
      <c r="D506" s="1" t="s">
        <v>1600</v>
      </c>
      <c r="E506" s="6" t="s">
        <v>1601</v>
      </c>
      <c r="F506" s="1"/>
      <c r="G506" s="1" t="s">
        <v>22</v>
      </c>
      <c r="H506" s="1"/>
      <c r="I506" s="1"/>
      <c r="J506" s="1" t="s">
        <v>1608</v>
      </c>
      <c r="M506" s="1" t="s">
        <v>103</v>
      </c>
      <c r="N506" s="4"/>
      <c r="O506" s="4" t="n">
        <v>44369</v>
      </c>
      <c r="P506" s="1" t="s">
        <v>1334</v>
      </c>
      <c r="Q506" s="1" t="s">
        <v>35</v>
      </c>
      <c r="R506" s="1" t="str">
        <f aca="false">VLOOKUP(P506,[1]Categorizations!A$1:C$1048576,2,FALSE())</f>
        <v>Untested</v>
      </c>
      <c r="S506" s="1" t="str">
        <f aca="false">VLOOKUP(P506,[1]Categorizations!A$1:C$1048576,3,FALSE())</f>
        <v>Lab Issue</v>
      </c>
    </row>
    <row r="507" customFormat="false" ht="15.75" hidden="false" customHeight="false" outlineLevel="0" collapsed="false">
      <c r="A507" s="1" t="str">
        <f aca="false">CONCATENATE(C507,D507, J507)</f>
        <v>44482OhioCertified Cultivators</v>
      </c>
      <c r="C507" s="5" t="n">
        <v>44482</v>
      </c>
      <c r="D507" s="1" t="s">
        <v>1600</v>
      </c>
      <c r="E507" s="6" t="s">
        <v>1601</v>
      </c>
      <c r="F507" s="1"/>
      <c r="G507" s="1" t="s">
        <v>22</v>
      </c>
      <c r="H507" s="1"/>
      <c r="I507" s="1"/>
      <c r="J507" s="1" t="s">
        <v>1609</v>
      </c>
      <c r="M507" s="1" t="s">
        <v>103</v>
      </c>
      <c r="N507" s="4"/>
      <c r="O507" s="4" t="n">
        <v>44440</v>
      </c>
      <c r="P507" s="1" t="s">
        <v>1334</v>
      </c>
      <c r="Q507" s="1" t="s">
        <v>35</v>
      </c>
      <c r="R507" s="1" t="str">
        <f aca="false">VLOOKUP(P507,[1]Categorizations!A$1:C$1048576,2,FALSE())</f>
        <v>Untested</v>
      </c>
      <c r="S507" s="1" t="str">
        <f aca="false">VLOOKUP(P507,[1]Categorizations!A$1:C$1048576,3,FALSE())</f>
        <v>Lab Issue</v>
      </c>
    </row>
    <row r="508" customFormat="false" ht="15.75" hidden="false" customHeight="false" outlineLevel="0" collapsed="false">
      <c r="A508" s="1" t="str">
        <f aca="false">CONCATENATE(C508,D508, J508)</f>
        <v>44536OhioGalenas</v>
      </c>
      <c r="C508" s="5" t="n">
        <v>44536</v>
      </c>
      <c r="D508" s="1" t="s">
        <v>1600</v>
      </c>
      <c r="E508" s="6" t="s">
        <v>1601</v>
      </c>
      <c r="F508" s="1"/>
      <c r="G508" s="1" t="s">
        <v>22</v>
      </c>
      <c r="H508" s="1"/>
      <c r="I508" s="1"/>
      <c r="J508" s="1" t="s">
        <v>1604</v>
      </c>
      <c r="K508" s="1"/>
      <c r="L508" s="1"/>
      <c r="M508" s="1"/>
      <c r="N508" s="4"/>
      <c r="O508" s="4"/>
      <c r="P508" s="1" t="s">
        <v>1610</v>
      </c>
      <c r="Q508" s="1" t="s">
        <v>35</v>
      </c>
      <c r="R508" s="1" t="str">
        <f aca="false">VLOOKUP(P508,[1]Categorizations!A$1:C$1048576,2,FALSE())</f>
        <v>Physical Contanimation</v>
      </c>
      <c r="S508" s="1" t="str">
        <f aca="false">VLOOKUP(P508,[1]Categorizations!A$1:C$1048576,3,FALSE())</f>
        <v>Contaminants</v>
      </c>
    </row>
    <row r="509" customFormat="false" ht="15.75" hidden="false" customHeight="false" outlineLevel="0" collapsed="false">
      <c r="A509" s="1" t="str">
        <f aca="false">CONCATENATE(C509,D509, J509)</f>
        <v>44536OhioGreen Investment Partners, LLC</v>
      </c>
      <c r="C509" s="5" t="n">
        <v>44536</v>
      </c>
      <c r="D509" s="1" t="s">
        <v>1600</v>
      </c>
      <c r="E509" s="6" t="s">
        <v>1601</v>
      </c>
      <c r="F509" s="1"/>
      <c r="G509" s="1" t="s">
        <v>38</v>
      </c>
      <c r="H509" s="1"/>
      <c r="I509" s="1"/>
      <c r="J509" s="1" t="s">
        <v>1611</v>
      </c>
      <c r="K509" s="1"/>
      <c r="L509" s="1"/>
      <c r="M509" s="1"/>
      <c r="N509" s="4"/>
      <c r="O509" s="4"/>
      <c r="P509" s="1" t="s">
        <v>1612</v>
      </c>
      <c r="Q509" s="1" t="s">
        <v>35</v>
      </c>
      <c r="R509" s="1" t="str">
        <f aca="false">VLOOKUP(P509,[1]Categorizations!A$1:C$1048576,2,FALSE())</f>
        <v>Total Yeast and Mold</v>
      </c>
      <c r="S509" s="1" t="str">
        <f aca="false">VLOOKUP(P509,[1]Categorizations!A$1:C$1048576,3,FALSE())</f>
        <v>Microbial Contamination</v>
      </c>
    </row>
    <row r="510" customFormat="false" ht="15.75" hidden="false" customHeight="false" outlineLevel="0" collapsed="false">
      <c r="A510" s="1" t="str">
        <f aca="false">CONCATENATE(C510,D510, J510)</f>
        <v>45288OhioBeneLeaves Limited</v>
      </c>
      <c r="C510" s="5" t="n">
        <v>45288</v>
      </c>
      <c r="D510" s="1" t="s">
        <v>1600</v>
      </c>
      <c r="E510" s="6" t="s">
        <v>1613</v>
      </c>
      <c r="F510" s="1"/>
      <c r="G510" s="1" t="s">
        <v>38</v>
      </c>
      <c r="H510" s="1"/>
      <c r="I510" s="1" t="s">
        <v>1614</v>
      </c>
      <c r="J510" s="1" t="s">
        <v>1615</v>
      </c>
      <c r="M510" s="1" t="s">
        <v>103</v>
      </c>
      <c r="N510" s="4"/>
      <c r="O510" s="4" t="n">
        <v>45184</v>
      </c>
      <c r="P510" s="1" t="s">
        <v>245</v>
      </c>
      <c r="Q510" s="1" t="s">
        <v>131</v>
      </c>
      <c r="R510" s="1" t="str">
        <f aca="false">VLOOKUP(P510,[1]Categorizations!A$1:C$1048576,2,FALSE())</f>
        <v>Packaging</v>
      </c>
      <c r="S510" s="1" t="str">
        <f aca="false">VLOOKUP(P510,[1]Categorizations!A$1:C$1048576,3,FALSE())</f>
        <v>Packaging</v>
      </c>
    </row>
    <row r="511" customFormat="false" ht="15.75" hidden="false" customHeight="false" outlineLevel="0" collapsed="false">
      <c r="A511" s="1" t="str">
        <f aca="false">CONCATENATE(C511,J511)</f>
        <v>45492 Standard Farms Ohio, LLC </v>
      </c>
      <c r="C511" s="5" t="n">
        <v>45492</v>
      </c>
      <c r="D511" s="1" t="s">
        <v>1600</v>
      </c>
      <c r="E511" s="6" t="s">
        <v>1616</v>
      </c>
      <c r="F511" s="1"/>
      <c r="H511" s="1" t="s">
        <v>171</v>
      </c>
      <c r="I511" s="1" t="s">
        <v>1617</v>
      </c>
      <c r="J511" s="1" t="s">
        <v>1618</v>
      </c>
      <c r="M511" s="1" t="s">
        <v>103</v>
      </c>
      <c r="N511" s="4"/>
      <c r="O511" s="4" t="n">
        <v>45364</v>
      </c>
      <c r="P511" s="1" t="s">
        <v>1619</v>
      </c>
      <c r="Q511" s="1" t="s">
        <v>35</v>
      </c>
      <c r="R511" s="1" t="str">
        <f aca="false">VLOOKUP(P511,[1]Categorizations!A$1:C$1048576,2,FALSE())</f>
        <v>Multiple: Spoilage and Mold</v>
      </c>
      <c r="S511" s="1" t="str">
        <f aca="false">VLOOKUP(P511,[1]Categorizations!A$1:C$1048576,3,FALSE())</f>
        <v>Multiple</v>
      </c>
    </row>
    <row r="512" customFormat="false" ht="15.75" hidden="false" customHeight="false" outlineLevel="0" collapsed="false">
      <c r="A512" s="1" t="str">
        <f aca="false">CONCATENATE(C512,J512)</f>
        <v>45583Paragon Development Group, LLC</v>
      </c>
      <c r="C512" s="5" t="n">
        <v>45583</v>
      </c>
      <c r="D512" s="1" t="s">
        <v>1600</v>
      </c>
      <c r="E512" s="6" t="s">
        <v>1620</v>
      </c>
      <c r="F512" s="1"/>
      <c r="H512" s="1" t="s">
        <v>39</v>
      </c>
      <c r="I512" s="1" t="s">
        <v>1621</v>
      </c>
      <c r="J512" s="1" t="s">
        <v>1622</v>
      </c>
      <c r="M512" s="1" t="s">
        <v>103</v>
      </c>
      <c r="N512" s="4"/>
      <c r="O512" s="4" t="n">
        <v>45422</v>
      </c>
      <c r="P512" s="1" t="s">
        <v>1623</v>
      </c>
      <c r="Q512" s="1" t="s">
        <v>35</v>
      </c>
      <c r="R512" s="1" t="str">
        <f aca="false">VLOOKUP(P512,[1]Categorizations!A$1:C$1048576,2,FALSE())</f>
        <v>Packaging</v>
      </c>
      <c r="S512" s="1" t="str">
        <f aca="false">VLOOKUP(P512,[1]Categorizations!A$1:C$1048576,3,FALSE())</f>
        <v>Packaging</v>
      </c>
    </row>
    <row r="513" customFormat="false" ht="15.75" hidden="false" customHeight="false" outlineLevel="0" collapsed="false">
      <c r="A513" s="1" t="str">
        <f aca="false">CONCATENATE(C513,J513)</f>
        <v>45846Beneleaves Limited –</v>
      </c>
      <c r="C513" s="5" t="n">
        <v>45846</v>
      </c>
      <c r="D513" s="1" t="s">
        <v>1600</v>
      </c>
      <c r="E513" s="6" t="s">
        <v>1624</v>
      </c>
      <c r="F513" s="1"/>
      <c r="H513" s="1" t="s">
        <v>1625</v>
      </c>
      <c r="I513" s="1" t="s">
        <v>1626</v>
      </c>
      <c r="J513" s="1" t="s">
        <v>1626</v>
      </c>
      <c r="M513" s="1" t="s">
        <v>103</v>
      </c>
      <c r="N513" s="1" t="s">
        <v>1627</v>
      </c>
      <c r="O513" s="4" t="n">
        <v>45036</v>
      </c>
      <c r="P513" s="1" t="s">
        <v>1623</v>
      </c>
      <c r="Q513" s="1" t="s">
        <v>35</v>
      </c>
      <c r="R513" s="1" t="str">
        <f aca="false">VLOOKUP(P513,[1]Categorizations!A$1:C$1048576,2,FALSE())</f>
        <v>Packaging</v>
      </c>
      <c r="S513" s="1" t="str">
        <f aca="false">VLOOKUP(P513,[1]Categorizations!A$1:C$1048576,3,FALSE())</f>
        <v>Packaging</v>
      </c>
    </row>
    <row r="514" customFormat="false" ht="15.75" hidden="false" customHeight="false" outlineLevel="0" collapsed="false">
      <c r="A514" s="1" t="str">
        <f aca="false">CONCATENATE(C514,J514)</f>
        <v>45926Beneleaves Limited,</v>
      </c>
      <c r="C514" s="5" t="n">
        <v>45926</v>
      </c>
      <c r="D514" s="1" t="s">
        <v>1600</v>
      </c>
      <c r="E514" s="6" t="s">
        <v>1628</v>
      </c>
      <c r="F514" s="1"/>
      <c r="H514" s="1" t="s">
        <v>171</v>
      </c>
      <c r="I514" s="1" t="s">
        <v>1629</v>
      </c>
      <c r="J514" s="1" t="s">
        <v>1630</v>
      </c>
      <c r="M514" s="1" t="s">
        <v>103</v>
      </c>
      <c r="N514" s="4" t="n">
        <v>45867</v>
      </c>
      <c r="O514" s="4" t="n">
        <v>45909</v>
      </c>
      <c r="P514" s="1" t="s">
        <v>1469</v>
      </c>
      <c r="Q514" s="1" t="s">
        <v>35</v>
      </c>
      <c r="R514" s="1" t="str">
        <f aca="false">VLOOKUP(P514,[1]Categorizations!A$1:C$1048576,2,FALSE())</f>
        <v>Inaccurate THC</v>
      </c>
      <c r="S514" s="1" t="str">
        <f aca="false">VLOOKUP(P514,[1]Categorizations!A$1:C$1048576,3,FALSE())</f>
        <v>Mislabeled</v>
      </c>
    </row>
    <row r="515" customFormat="false" ht="15.75" hidden="false" customHeight="false" outlineLevel="0" collapsed="false">
      <c r="A515" s="1" t="str">
        <f aca="false">CONCATENATE(C515,J515)</f>
        <v>45933Ohio Processing Plant LLC </v>
      </c>
      <c r="C515" s="5" t="n">
        <v>45933</v>
      </c>
      <c r="D515" s="1" t="s">
        <v>1600</v>
      </c>
      <c r="E515" s="6" t="s">
        <v>1631</v>
      </c>
      <c r="F515" s="1"/>
      <c r="H515" s="1" t="s">
        <v>171</v>
      </c>
      <c r="I515" s="1" t="s">
        <v>1632</v>
      </c>
      <c r="J515" s="1" t="s">
        <v>1633</v>
      </c>
      <c r="M515" s="1" t="s">
        <v>103</v>
      </c>
      <c r="N515" s="4" t="n">
        <v>45667</v>
      </c>
      <c r="O515" s="4" t="n">
        <v>45677</v>
      </c>
      <c r="P515" s="1" t="s">
        <v>1634</v>
      </c>
      <c r="Q515" s="1" t="s">
        <v>35</v>
      </c>
      <c r="R515" s="1" t="str">
        <f aca="false">VLOOKUP(P515,[1]Categorizations!A$1:C$1048576,2,FALSE())</f>
        <v>Labeling Issue</v>
      </c>
      <c r="S515" s="1" t="str">
        <f aca="false">VLOOKUP(P515,[1]Categorizations!A$1:C$1048576,3,FALSE())</f>
        <v>Mislabeled</v>
      </c>
    </row>
    <row r="516" customFormat="false" ht="15.75" hidden="false" customHeight="false" outlineLevel="0" collapsed="false">
      <c r="A516" s="1" t="str">
        <f aca="false">CONCATENATE(C516,J516)</f>
        <v>45951Klutch Processing, LLC</v>
      </c>
      <c r="C516" s="5" t="n">
        <v>45951</v>
      </c>
      <c r="D516" s="1" t="s">
        <v>1600</v>
      </c>
      <c r="E516" s="6" t="s">
        <v>1635</v>
      </c>
      <c r="F516" s="1"/>
      <c r="H516" s="1" t="s">
        <v>171</v>
      </c>
      <c r="I516" s="1" t="s">
        <v>1636</v>
      </c>
      <c r="J516" s="1" t="s">
        <v>1636</v>
      </c>
      <c r="M516" s="1" t="s">
        <v>103</v>
      </c>
      <c r="N516" s="4" t="n">
        <v>45671</v>
      </c>
      <c r="O516" s="4" t="n">
        <v>45671</v>
      </c>
      <c r="P516" s="1" t="s">
        <v>1634</v>
      </c>
      <c r="Q516" s="1" t="s">
        <v>35</v>
      </c>
      <c r="R516" s="1" t="str">
        <f aca="false">VLOOKUP(P516,[1]Categorizations!A$1:C$1048576,2,FALSE())</f>
        <v>Labeling Issue</v>
      </c>
      <c r="S516" s="1" t="str">
        <f aca="false">VLOOKUP(P516,[1]Categorizations!A$1:C$1048576,3,FALSE())</f>
        <v>Mislabeled</v>
      </c>
    </row>
    <row r="517" customFormat="false" ht="15.75" hidden="false" customHeight="false" outlineLevel="0" collapsed="false">
      <c r="A517" s="1" t="str">
        <f aca="false">CONCATENATE(C517,J517)</f>
        <v>45951Green Investment Partners, LLC </v>
      </c>
      <c r="C517" s="5" t="n">
        <v>45951</v>
      </c>
      <c r="D517" s="1" t="s">
        <v>1600</v>
      </c>
      <c r="E517" s="6" t="s">
        <v>1637</v>
      </c>
      <c r="F517" s="1"/>
      <c r="H517" s="1" t="s">
        <v>171</v>
      </c>
      <c r="I517" s="1" t="s">
        <v>1638</v>
      </c>
      <c r="J517" s="1" t="s">
        <v>1638</v>
      </c>
      <c r="M517" s="1" t="s">
        <v>103</v>
      </c>
      <c r="N517" s="4" t="n">
        <v>45904</v>
      </c>
      <c r="O517" s="4" t="n">
        <v>45905</v>
      </c>
      <c r="P517" s="1" t="s">
        <v>1634</v>
      </c>
      <c r="Q517" s="1" t="s">
        <v>35</v>
      </c>
      <c r="R517" s="1" t="str">
        <f aca="false">VLOOKUP(P517,[1]Categorizations!A$1:C$1048576,2,FALSE())</f>
        <v>Labeling Issue</v>
      </c>
      <c r="S517" s="1" t="str">
        <f aca="false">VLOOKUP(P517,[1]Categorizations!A$1:C$1048576,3,FALSE())</f>
        <v>Mislabeled</v>
      </c>
    </row>
    <row r="518" customFormat="false" ht="15.75" hidden="false" customHeight="false" outlineLevel="0" collapsed="false">
      <c r="A518" s="1" t="str">
        <f aca="false">CONCATENATE(C518,J518)</f>
        <v>45960Curaleaf OGT, Inc.</v>
      </c>
      <c r="C518" s="5" t="n">
        <v>45960</v>
      </c>
      <c r="D518" s="1" t="s">
        <v>1600</v>
      </c>
      <c r="E518" s="6" t="s">
        <v>1639</v>
      </c>
      <c r="F518" s="1"/>
      <c r="H518" s="1" t="s">
        <v>55</v>
      </c>
      <c r="I518" s="1" t="s">
        <v>1640</v>
      </c>
      <c r="J518" s="1" t="s">
        <v>1640</v>
      </c>
      <c r="K518" s="1"/>
      <c r="L518" s="1" t="s">
        <v>103</v>
      </c>
      <c r="M518" s="1" t="s">
        <v>103</v>
      </c>
      <c r="N518" s="4" t="n">
        <v>45887</v>
      </c>
      <c r="O518" s="4" t="n">
        <v>45915</v>
      </c>
      <c r="P518" s="1" t="s">
        <v>1097</v>
      </c>
      <c r="Q518" s="1" t="s">
        <v>35</v>
      </c>
      <c r="R518" s="1" t="str">
        <f aca="false">VLOOKUP(P518,[1]Categorizations!A$1:C$1048576,2,FALSE())</f>
        <v>Total Yeast and Mold</v>
      </c>
      <c r="S518" s="1" t="str">
        <f aca="false">VLOOKUP(P518,[1]Categorizations!A$1:C$1048576,3,FALSE())</f>
        <v>Microbial Contamination</v>
      </c>
    </row>
    <row r="519" customFormat="false" ht="15.75" hidden="false" customHeight="false" outlineLevel="0" collapsed="false">
      <c r="A519" s="1" t="str">
        <f aca="false">CONCATENATE(C519,J519)</f>
        <v>45960GTI Ohio, LLC</v>
      </c>
      <c r="C519" s="5" t="n">
        <v>45960</v>
      </c>
      <c r="D519" s="1" t="s">
        <v>1600</v>
      </c>
      <c r="E519" s="6" t="s">
        <v>1641</v>
      </c>
      <c r="F519" s="1"/>
      <c r="H519" s="1" t="s">
        <v>171</v>
      </c>
      <c r="I519" s="1" t="s">
        <v>1642</v>
      </c>
      <c r="J519" s="1" t="s">
        <v>1642</v>
      </c>
      <c r="K519" s="1"/>
      <c r="L519" s="1" t="s">
        <v>103</v>
      </c>
      <c r="M519" s="1" t="s">
        <v>103</v>
      </c>
      <c r="N519" s="4" t="n">
        <v>45832</v>
      </c>
      <c r="O519" s="4" t="n">
        <v>45841</v>
      </c>
      <c r="P519" s="1" t="s">
        <v>1634</v>
      </c>
      <c r="Q519" s="1" t="s">
        <v>35</v>
      </c>
      <c r="R519" s="1" t="str">
        <f aca="false">VLOOKUP(P519,[1]Categorizations!A$1:C$1048576,2,FALSE())</f>
        <v>Labeling Issue</v>
      </c>
      <c r="S519" s="1" t="str">
        <f aca="false">VLOOKUP(P519,[1]Categorizations!A$1:C$1048576,3,FALSE())</f>
        <v>Mislabeled</v>
      </c>
    </row>
    <row r="520" customFormat="false" ht="15.75" hidden="false" customHeight="false" outlineLevel="0" collapsed="false">
      <c r="A520" s="1" t="str">
        <f aca="false">CONCATENATE(C520,J520)</f>
        <v>45961Hundred Percent Labs</v>
      </c>
      <c r="C520" s="5" t="n">
        <v>45961</v>
      </c>
      <c r="D520" s="1" t="s">
        <v>1600</v>
      </c>
      <c r="E520" s="6" t="s">
        <v>1643</v>
      </c>
      <c r="F520" s="1"/>
      <c r="H520" s="1" t="s">
        <v>171</v>
      </c>
      <c r="I520" s="1" t="s">
        <v>1644</v>
      </c>
      <c r="J520" s="1" t="s">
        <v>1644</v>
      </c>
      <c r="M520" s="1" t="s">
        <v>103</v>
      </c>
      <c r="N520" s="4"/>
      <c r="O520" s="4" t="n">
        <v>45659</v>
      </c>
      <c r="P520" s="1" t="s">
        <v>1645</v>
      </c>
      <c r="Q520" s="1" t="s">
        <v>35</v>
      </c>
      <c r="R520" s="1" t="str">
        <f aca="false">VLOOKUP(P520,[1]Categorizations!A$1:C$1048576,2,FALSE())</f>
        <v>Multiple: Attractive to Children, Inaccurate Ingredient Label</v>
      </c>
      <c r="S520" s="1" t="str">
        <f aca="false">VLOOKUP(P520,[1]Categorizations!A$1:C$1048576,3,FALSE())</f>
        <v>Multiple</v>
      </c>
    </row>
    <row r="521" customFormat="false" ht="15.75" hidden="false" customHeight="false" outlineLevel="0" collapsed="false">
      <c r="A521" s="1" t="str">
        <f aca="false">CONCATENATE(C521,J521)</f>
        <v>45996Standard Farms Ohio LLC</v>
      </c>
      <c r="C521" s="5" t="n">
        <v>45996</v>
      </c>
      <c r="D521" s="1" t="s">
        <v>1600</v>
      </c>
      <c r="E521" s="6" t="s">
        <v>1646</v>
      </c>
      <c r="F521" s="1"/>
      <c r="H521" s="1" t="s">
        <v>171</v>
      </c>
      <c r="I521" s="1" t="s">
        <v>1647</v>
      </c>
      <c r="J521" s="1" t="s">
        <v>1647</v>
      </c>
      <c r="M521" s="1" t="s">
        <v>103</v>
      </c>
      <c r="N521" s="4"/>
      <c r="O521" s="4" t="n">
        <v>45975</v>
      </c>
      <c r="P521" s="1" t="s">
        <v>1469</v>
      </c>
      <c r="Q521" s="1" t="s">
        <v>35</v>
      </c>
      <c r="R521" s="1" t="str">
        <f aca="false">VLOOKUP(P521,[1]Categorizations!A$1:C$1048576,2,FALSE())</f>
        <v>Inaccurate THC</v>
      </c>
      <c r="S521" s="1" t="str">
        <f aca="false">VLOOKUP(P521,[1]Categorizations!A$1:C$1048576,3,FALSE())</f>
        <v>Mislabeled</v>
      </c>
    </row>
    <row r="522" customFormat="false" ht="15.75" hidden="false" customHeight="false" outlineLevel="0" collapsed="false">
      <c r="A522" s="1" t="str">
        <f aca="false">CONCATENATE(C522,J522)</f>
        <v>46073Marichron Pharma LLC </v>
      </c>
      <c r="C522" s="5" t="n">
        <v>46073</v>
      </c>
      <c r="D522" s="1" t="s">
        <v>1600</v>
      </c>
      <c r="E522" s="6" t="s">
        <v>1648</v>
      </c>
      <c r="F522" s="1"/>
      <c r="H522" s="1" t="s">
        <v>171</v>
      </c>
      <c r="I522" s="1" t="s">
        <v>1649</v>
      </c>
      <c r="J522" s="1" t="s">
        <v>1650</v>
      </c>
      <c r="M522" s="1" t="s">
        <v>103</v>
      </c>
      <c r="N522" s="4" t="n">
        <v>45905</v>
      </c>
      <c r="O522" s="4" t="n">
        <v>45914</v>
      </c>
      <c r="P522" s="1" t="s">
        <v>1634</v>
      </c>
      <c r="Q522" s="1" t="s">
        <v>35</v>
      </c>
      <c r="R522" s="1" t="str">
        <f aca="false">VLOOKUP(P522,[1]Categorizations!A$1:C$1048576,2,FALSE())</f>
        <v>Labeling Issue</v>
      </c>
      <c r="S522" s="1" t="str">
        <f aca="false">VLOOKUP(P522,[1]Categorizations!A$1:C$1048576,3,FALSE())</f>
        <v>Mislabeled</v>
      </c>
    </row>
    <row r="523" customFormat="false" ht="15.75" hidden="false" customHeight="false" outlineLevel="0" collapsed="false">
      <c r="A523" s="1" t="str">
        <f aca="false">CONCATENATE(C523,J523)</f>
        <v>46086Harvest Processing, LLC</v>
      </c>
      <c r="C523" s="5" t="n">
        <v>46086</v>
      </c>
      <c r="D523" s="1" t="s">
        <v>1600</v>
      </c>
      <c r="E523" s="6" t="s">
        <v>1651</v>
      </c>
      <c r="F523" s="1"/>
      <c r="H523" s="1" t="s">
        <v>171</v>
      </c>
      <c r="I523" s="1" t="s">
        <v>1652</v>
      </c>
      <c r="J523" s="1" t="s">
        <v>1652</v>
      </c>
      <c r="M523" s="1" t="s">
        <v>103</v>
      </c>
      <c r="N523" s="4"/>
      <c r="O523" s="4" t="n">
        <v>46042</v>
      </c>
      <c r="P523" s="1" t="s">
        <v>1634</v>
      </c>
      <c r="Q523" s="1" t="s">
        <v>35</v>
      </c>
      <c r="R523" s="1" t="str">
        <f aca="false">VLOOKUP(P523,[1]Categorizations!A$1:C$1048576,2,FALSE())</f>
        <v>Labeling Issue</v>
      </c>
      <c r="S523" s="1" t="str">
        <f aca="false">VLOOKUP(P523,[1]Categorizations!A$1:C$1048576,3,FALSE())</f>
        <v>Mislabeled</v>
      </c>
    </row>
    <row r="524" customFormat="false" ht="15.75" hidden="false" customHeight="false" outlineLevel="0" collapsed="false">
      <c r="A524" s="1" t="str">
        <f aca="false">CONCATENATE(C524,J524)</f>
        <v>46094Harvest Grows, LLC,</v>
      </c>
      <c r="C524" s="5" t="n">
        <v>46094</v>
      </c>
      <c r="D524" s="1" t="s">
        <v>1600</v>
      </c>
      <c r="E524" s="6" t="s">
        <v>1653</v>
      </c>
      <c r="F524" s="1"/>
      <c r="H524" s="1" t="s">
        <v>39</v>
      </c>
      <c r="I524" s="1" t="s">
        <v>1654</v>
      </c>
      <c r="J524" s="1" t="s">
        <v>1655</v>
      </c>
      <c r="M524" s="1" t="s">
        <v>103</v>
      </c>
      <c r="O524" s="4" t="n">
        <v>45976</v>
      </c>
      <c r="P524" s="1" t="s">
        <v>1415</v>
      </c>
      <c r="Q524" s="1" t="s">
        <v>35</v>
      </c>
      <c r="R524" s="1" t="str">
        <f aca="false">VLOOKUP(P524,[1]Categorizations!A$1:C$1048576,2,FALSE())</f>
        <v>Invalid Testing (Sampling)</v>
      </c>
      <c r="S524" s="1" t="str">
        <f aca="false">VLOOKUP(P524,[1]Categorizations!A$1:C$1048576,3,FALSE())</f>
        <v>Lab Issue</v>
      </c>
    </row>
    <row r="525" customFormat="false" ht="15.75" hidden="false" customHeight="false" outlineLevel="0" collapsed="false">
      <c r="A525" s="1" t="str">
        <f aca="false">CONCATENATE(C525,J525)</f>
        <v>46108Appalachian Pharm Processing, LLC</v>
      </c>
      <c r="C525" s="11" t="n">
        <v>46108</v>
      </c>
      <c r="D525" s="2" t="s">
        <v>1600</v>
      </c>
      <c r="E525" s="8" t="s">
        <v>1656</v>
      </c>
      <c r="F525" s="8" t="s">
        <v>1657</v>
      </c>
      <c r="G525" s="2" t="s">
        <v>1658</v>
      </c>
      <c r="H525" s="2" t="s">
        <v>1659</v>
      </c>
      <c r="I525" s="2" t="s">
        <v>1660</v>
      </c>
      <c r="J525" s="2" t="s">
        <v>1660</v>
      </c>
      <c r="M525" s="2" t="s">
        <v>103</v>
      </c>
      <c r="N525" s="4"/>
      <c r="O525" s="11" t="n">
        <v>46099</v>
      </c>
      <c r="P525" s="2" t="s">
        <v>1661</v>
      </c>
      <c r="Q525" s="1" t="s">
        <v>35</v>
      </c>
      <c r="R525" s="1" t="str">
        <f aca="false">VLOOKUP(P525,[1]Categorizations!A$1:C$1048576,2,FALSE())</f>
        <v>Inaccurate THC</v>
      </c>
      <c r="S525" s="1" t="str">
        <f aca="false">VLOOKUP(P525,[1]Categorizations!A$1:C$1048576,3,FALSE())</f>
        <v>Inaccurate THC</v>
      </c>
    </row>
    <row r="526" customFormat="false" ht="15.75" hidden="false" customHeight="false" outlineLevel="0" collapsed="false">
      <c r="A526" s="1" t="str">
        <f aca="false">CONCATENATE(C526,J526)</f>
        <v>46127Buckeye Relief LLC</v>
      </c>
      <c r="C526" s="11" t="n">
        <v>46127</v>
      </c>
      <c r="D526" s="2" t="s">
        <v>1600</v>
      </c>
      <c r="E526" s="8" t="s">
        <v>1662</v>
      </c>
      <c r="F526" s="8" t="s">
        <v>1663</v>
      </c>
      <c r="G526" s="2" t="s">
        <v>145</v>
      </c>
      <c r="H526" s="2" t="s">
        <v>171</v>
      </c>
      <c r="I526" s="2" t="s">
        <v>1664</v>
      </c>
      <c r="J526" s="2" t="s">
        <v>1664</v>
      </c>
      <c r="M526" s="2" t="s">
        <v>103</v>
      </c>
      <c r="N526" s="11"/>
      <c r="O526" s="11" t="n">
        <v>45854</v>
      </c>
      <c r="P526" s="2" t="s">
        <v>1665</v>
      </c>
      <c r="Q526" s="2" t="s">
        <v>35</v>
      </c>
      <c r="R526" s="1" t="str">
        <f aca="false">VLOOKUP(P526,[1]Categorizations!A$1:C$1048576,2,FALSE())</f>
        <v>Allergens</v>
      </c>
      <c r="S526" s="1" t="str">
        <f aca="false">VLOOKUP(P526,[1]Categorizations!A$1:C$1048576,3,FALSE())</f>
        <v>Mislabeled</v>
      </c>
    </row>
    <row r="527" customFormat="false" ht="15.75" hidden="false" customHeight="false" outlineLevel="0" collapsed="false">
      <c r="A527" s="1" t="str">
        <f aca="false">CONCATENATE(C527,J527)</f>
        <v>46133Standard Farms Ohio LLC</v>
      </c>
      <c r="C527" s="11" t="n">
        <v>46133</v>
      </c>
      <c r="D527" s="2" t="s">
        <v>1600</v>
      </c>
      <c r="E527" s="8" t="s">
        <v>1666</v>
      </c>
      <c r="F527" s="8" t="s">
        <v>1667</v>
      </c>
      <c r="G527" s="2" t="s">
        <v>145</v>
      </c>
      <c r="H527" s="2" t="s">
        <v>171</v>
      </c>
      <c r="I527" s="2" t="s">
        <v>1647</v>
      </c>
      <c r="J527" s="2" t="s">
        <v>1647</v>
      </c>
      <c r="M527" s="2" t="s">
        <v>103</v>
      </c>
      <c r="N527" s="4"/>
      <c r="O527" s="11" t="n">
        <v>45854</v>
      </c>
      <c r="P527" s="2" t="s">
        <v>1665</v>
      </c>
      <c r="Q527" s="2" t="s">
        <v>35</v>
      </c>
      <c r="R527" s="1" t="str">
        <f aca="false">VLOOKUP(P527,[1]Categorizations!A$1:C$1048576,2,FALSE())</f>
        <v>Allergens</v>
      </c>
      <c r="S527" s="1" t="str">
        <f aca="false">VLOOKUP(P527,[1]Categorizations!A$1:C$1048576,3,FALSE())</f>
        <v>Mislabeled</v>
      </c>
    </row>
    <row r="528" customFormat="false" ht="15.75" hidden="false" customHeight="false" outlineLevel="0" collapsed="false">
      <c r="A528" s="1" t="str">
        <f aca="false">CONCATENATE(C528,J528)</f>
        <v>46288Pure Ohio Wellness </v>
      </c>
      <c r="C528" s="7" t="n">
        <v>46288</v>
      </c>
      <c r="D528" s="2" t="s">
        <v>1600</v>
      </c>
      <c r="E528" s="8" t="s">
        <v>1668</v>
      </c>
      <c r="G528" s="2" t="s">
        <v>145</v>
      </c>
      <c r="H528" s="2" t="s">
        <v>39</v>
      </c>
      <c r="I528" s="2" t="s">
        <v>1669</v>
      </c>
      <c r="J528" s="2" t="s">
        <v>1669</v>
      </c>
      <c r="L528" s="2" t="s">
        <v>26</v>
      </c>
      <c r="M528" s="2" t="s">
        <v>103</v>
      </c>
      <c r="N528" s="4"/>
      <c r="O528" s="11" t="n">
        <v>46231</v>
      </c>
      <c r="P528" s="2" t="s">
        <v>1670</v>
      </c>
      <c r="Q528" s="2" t="s">
        <v>35</v>
      </c>
      <c r="R528" s="1" t="str">
        <f aca="false">VLOOKUP(P528,[1]Categorizations!A$1:C$1048576,2,FALSE())</f>
        <v>Total Yeast and Mold</v>
      </c>
      <c r="S528" s="1" t="str">
        <f aca="false">VLOOKUP(P528,[1]Categorizations!A$1:C$1048576,3,FALSE())</f>
        <v>Microbial Contamination</v>
      </c>
    </row>
    <row r="529" customFormat="false" ht="15.75" hidden="false" customHeight="false" outlineLevel="0" collapsed="false">
      <c r="A529" s="1" t="str">
        <f aca="false">CONCATENATE(C529,D529, J529)</f>
        <v>44700OklahomaScale Laboratories</v>
      </c>
      <c r="C529" s="5" t="n">
        <v>44700</v>
      </c>
      <c r="D529" s="1" t="s">
        <v>1671</v>
      </c>
      <c r="E529" s="6" t="s">
        <v>1672</v>
      </c>
      <c r="G529" s="1" t="s">
        <v>22</v>
      </c>
      <c r="H529" s="1"/>
      <c r="I529" s="1"/>
      <c r="J529" s="1" t="s">
        <v>1673</v>
      </c>
      <c r="M529" s="1" t="s">
        <v>26</v>
      </c>
      <c r="N529" s="4"/>
      <c r="O529" s="4"/>
      <c r="P529" s="1" t="s">
        <v>1674</v>
      </c>
      <c r="Q529" s="1" t="s">
        <v>35</v>
      </c>
      <c r="R529" s="1" t="str">
        <f aca="false">VLOOKUP(P529,[1]Categorizations!A$1:C$1048576,2,FALSE())</f>
        <v>Total Yeast and Mold</v>
      </c>
      <c r="S529" s="1" t="str">
        <f aca="false">VLOOKUP(P529,[1]Categorizations!A$1:C$1048576,3,FALSE())</f>
        <v>Microbial Contamination</v>
      </c>
    </row>
    <row r="530" customFormat="false" ht="15.75" hidden="false" customHeight="false" outlineLevel="0" collapsed="false">
      <c r="A530" s="1" t="str">
        <f aca="false">CONCATENATE(C530,D530, J530)</f>
        <v>44820OklahomaSeveral</v>
      </c>
      <c r="C530" s="5" t="n">
        <v>44820</v>
      </c>
      <c r="D530" s="1" t="s">
        <v>1671</v>
      </c>
      <c r="E530" s="6" t="s">
        <v>1675</v>
      </c>
      <c r="G530" s="1" t="s">
        <v>22</v>
      </c>
      <c r="H530" s="1"/>
      <c r="I530" s="1" t="s">
        <v>967</v>
      </c>
      <c r="J530" s="1" t="s">
        <v>967</v>
      </c>
      <c r="M530" s="1" t="s">
        <v>42</v>
      </c>
      <c r="N530" s="4" t="n">
        <v>43343</v>
      </c>
      <c r="O530" s="4"/>
      <c r="P530" s="1" t="s">
        <v>1676</v>
      </c>
      <c r="Q530" s="1" t="s">
        <v>35</v>
      </c>
      <c r="R530" s="1" t="str">
        <f aca="false">VLOOKUP(P530,[1]Categorizations!A$1:C$1048576,2,FALSE())</f>
        <v>Failed Testing</v>
      </c>
      <c r="S530" s="1" t="str">
        <f aca="false">VLOOKUP(P530,[1]Categorizations!A$1:C$1048576,3,FALSE())</f>
        <v>Lab Issue</v>
      </c>
    </row>
    <row r="531" customFormat="false" ht="15.75" hidden="false" customHeight="false" outlineLevel="0" collapsed="false">
      <c r="A531" s="1" t="str">
        <f aca="false">CONCATENATE(C531,D531, J531)</f>
        <v>45233OklahomaNot Listed</v>
      </c>
      <c r="C531" s="5" t="n">
        <v>45233</v>
      </c>
      <c r="D531" s="1" t="s">
        <v>1671</v>
      </c>
      <c r="E531" s="6" t="s">
        <v>1677</v>
      </c>
      <c r="F531" s="1"/>
      <c r="G531" s="1" t="s">
        <v>22</v>
      </c>
      <c r="H531" s="1"/>
      <c r="I531" s="1" t="s">
        <v>967</v>
      </c>
      <c r="J531" s="1" t="s">
        <v>1540</v>
      </c>
      <c r="M531" s="1" t="s">
        <v>42</v>
      </c>
      <c r="N531" s="4" t="n">
        <v>45023</v>
      </c>
      <c r="O531" s="4"/>
      <c r="P531" s="1" t="s">
        <v>1678</v>
      </c>
      <c r="Q531" s="1" t="s">
        <v>35</v>
      </c>
      <c r="R531" s="1" t="str">
        <f aca="false">VLOOKUP(P531,[1]Categorizations!A$1:C$1048576,2,FALSE())</f>
        <v>Untested</v>
      </c>
      <c r="S531" s="1" t="str">
        <f aca="false">VLOOKUP(P531,[1]Categorizations!A$1:C$1048576,3,FALSE())</f>
        <v>Lab Issue</v>
      </c>
    </row>
    <row r="532" customFormat="false" ht="15.75" hidden="false" customHeight="false" outlineLevel="0" collapsed="false">
      <c r="A532" s="1" t="str">
        <f aca="false">CONCATENATE(C532,D532, J532)</f>
        <v>45450OklahomaGraves Farm Organics LLC</v>
      </c>
      <c r="C532" s="5" t="n">
        <v>45450</v>
      </c>
      <c r="D532" s="1" t="s">
        <v>1671</v>
      </c>
      <c r="E532" s="6" t="s">
        <v>1679</v>
      </c>
      <c r="F532" s="1"/>
      <c r="G532" s="1" t="s">
        <v>22</v>
      </c>
      <c r="H532" s="1"/>
      <c r="I532" s="1" t="s">
        <v>1680</v>
      </c>
      <c r="J532" s="1" t="s">
        <v>1680</v>
      </c>
      <c r="M532" s="1" t="s">
        <v>42</v>
      </c>
      <c r="N532" s="4" t="n">
        <v>44852</v>
      </c>
      <c r="O532" s="4"/>
      <c r="P532" s="1" t="s">
        <v>1681</v>
      </c>
      <c r="Q532" s="1" t="s">
        <v>35</v>
      </c>
      <c r="R532" s="1" t="str">
        <f aca="false">VLOOKUP(P532,[1]Categorizations!A$1:C$1048576,2,FALSE())</f>
        <v>Pesticides</v>
      </c>
      <c r="S532" s="1" t="str">
        <f aca="false">VLOOKUP(P532,[1]Categorizations!A$1:C$1048576,3,FALSE())</f>
        <v>Pesticides</v>
      </c>
    </row>
    <row r="533" customFormat="false" ht="15.75" hidden="false" customHeight="false" outlineLevel="0" collapsed="false">
      <c r="A533" s="1" t="str">
        <f aca="false">CONCATENATE(C533,J533)</f>
        <v>45453Graves Farm Organics LLC</v>
      </c>
      <c r="C533" s="5" t="n">
        <v>45453</v>
      </c>
      <c r="D533" s="1" t="s">
        <v>1671</v>
      </c>
      <c r="E533" s="6" t="s">
        <v>1682</v>
      </c>
      <c r="F533" s="1"/>
      <c r="H533" s="1" t="s">
        <v>31</v>
      </c>
      <c r="I533" s="1" t="s">
        <v>1680</v>
      </c>
      <c r="J533" s="1" t="s">
        <v>1680</v>
      </c>
      <c r="M533" s="1" t="s">
        <v>103</v>
      </c>
      <c r="N533" s="4" t="n">
        <v>45387</v>
      </c>
      <c r="O533" s="4"/>
      <c r="P533" s="1" t="s">
        <v>1683</v>
      </c>
      <c r="Q533" s="1" t="s">
        <v>35</v>
      </c>
      <c r="R533" s="1" t="str">
        <f aca="false">VLOOKUP(P533,[1]Categorizations!A$1:C$1048576,2,FALSE())</f>
        <v>Pesticides</v>
      </c>
      <c r="S533" s="1" t="str">
        <f aca="false">VLOOKUP(P533,[1]Categorizations!A$1:C$1048576,3,FALSE())</f>
        <v>Pesticides</v>
      </c>
    </row>
    <row r="534" customFormat="false" ht="15.75" hidden="false" customHeight="false" outlineLevel="0" collapsed="false">
      <c r="A534" s="1" t="str">
        <f aca="false">CONCATENATE(C534,J534)</f>
        <v>45741PAK Family Farm, LL</v>
      </c>
      <c r="C534" s="5" t="n">
        <v>45741</v>
      </c>
      <c r="D534" s="1" t="s">
        <v>1671</v>
      </c>
      <c r="E534" s="6" t="s">
        <v>1684</v>
      </c>
      <c r="F534" s="1"/>
      <c r="H534" s="1" t="s">
        <v>39</v>
      </c>
      <c r="I534" s="1" t="s">
        <v>1685</v>
      </c>
      <c r="J534" s="1" t="s">
        <v>1686</v>
      </c>
      <c r="M534" s="1" t="s">
        <v>103</v>
      </c>
      <c r="N534" s="4"/>
      <c r="O534" s="4" t="n">
        <v>45637</v>
      </c>
      <c r="P534" s="1" t="s">
        <v>1687</v>
      </c>
      <c r="Q534" s="1" t="s">
        <v>35</v>
      </c>
      <c r="R534" s="1" t="str">
        <f aca="false">VLOOKUP(P534,[1]Categorizations!A$1:C$1048576,2,FALSE())</f>
        <v>Heavy Metals</v>
      </c>
      <c r="S534" s="1" t="str">
        <f aca="false">VLOOKUP(P534,[1]Categorizations!A$1:C$1048576,3,FALSE())</f>
        <v>Heavy Metals</v>
      </c>
    </row>
    <row r="535" customFormat="false" ht="15.75" hidden="false" customHeight="false" outlineLevel="0" collapsed="false">
      <c r="A535" s="1" t="str">
        <f aca="false">CONCATENATE(C535,J535)</f>
        <v>45940Michael William Redus</v>
      </c>
      <c r="C535" s="7" t="n">
        <v>45940</v>
      </c>
      <c r="D535" s="1" t="s">
        <v>1671</v>
      </c>
      <c r="E535" s="6" t="s">
        <v>1688</v>
      </c>
      <c r="F535" s="1"/>
      <c r="H535" s="1" t="s">
        <v>1689</v>
      </c>
      <c r="I535" s="1" t="s">
        <v>1690</v>
      </c>
      <c r="J535" s="1" t="s">
        <v>1691</v>
      </c>
      <c r="M535" s="1" t="s">
        <v>103</v>
      </c>
      <c r="N535" s="4" t="n">
        <v>44858</v>
      </c>
      <c r="O535" s="4"/>
      <c r="P535" s="1" t="s">
        <v>1692</v>
      </c>
      <c r="Q535" s="1" t="s">
        <v>35</v>
      </c>
      <c r="R535" s="1" t="str">
        <f aca="false">VLOOKUP(P535,[1]Categorizations!A$1:C$1048576,2,FALSE())</f>
        <v>Invalid Testing</v>
      </c>
      <c r="S535" s="1" t="str">
        <f aca="false">VLOOKUP(P535,[1]Categorizations!A$1:C$1048576,3,FALSE())</f>
        <v>Lab Issue</v>
      </c>
    </row>
    <row r="536" customFormat="false" ht="15.75" hidden="false" customHeight="false" outlineLevel="0" collapsed="false">
      <c r="A536" s="1" t="str">
        <f aca="false">CONCATENATE(C536,J536)</f>
        <v>45953Ruby Mae’s LLC </v>
      </c>
      <c r="B536" s="1" t="s">
        <v>1693</v>
      </c>
      <c r="C536" s="5" t="n">
        <v>45953</v>
      </c>
      <c r="D536" s="1" t="s">
        <v>1671</v>
      </c>
      <c r="E536" s="6" t="s">
        <v>1694</v>
      </c>
      <c r="F536" s="1"/>
      <c r="H536" s="1" t="s">
        <v>1695</v>
      </c>
      <c r="I536" s="1" t="s">
        <v>1696</v>
      </c>
      <c r="J536" s="1" t="s">
        <v>1697</v>
      </c>
      <c r="M536" s="1" t="s">
        <v>26</v>
      </c>
      <c r="N536" s="4" t="n">
        <v>44810</v>
      </c>
      <c r="O536" s="4"/>
      <c r="P536" s="1" t="s">
        <v>1692</v>
      </c>
      <c r="Q536" s="1" t="s">
        <v>35</v>
      </c>
      <c r="R536" s="1" t="str">
        <f aca="false">VLOOKUP(P536,[1]Categorizations!A$1:C$1048576,2,FALSE())</f>
        <v>Invalid Testing</v>
      </c>
      <c r="S536" s="1" t="str">
        <f aca="false">VLOOKUP(P536,[1]Categorizations!A$1:C$1048576,3,FALSE())</f>
        <v>Lab Issue</v>
      </c>
    </row>
    <row r="537" customFormat="false" ht="15.75" hidden="false" customHeight="false" outlineLevel="0" collapsed="false">
      <c r="A537" s="1" t="str">
        <f aca="false">CONCATENATE(C537,J537)</f>
        <v>45954Green Delight 2 LLC</v>
      </c>
      <c r="B537" s="13" t="n">
        <v>45943</v>
      </c>
      <c r="C537" s="5" t="n">
        <v>45954</v>
      </c>
      <c r="D537" s="1" t="s">
        <v>1671</v>
      </c>
      <c r="E537" s="6" t="s">
        <v>1698</v>
      </c>
      <c r="F537" s="1"/>
      <c r="H537" s="1" t="s">
        <v>39</v>
      </c>
      <c r="I537" s="1" t="s">
        <v>1699</v>
      </c>
      <c r="J537" s="1" t="s">
        <v>1699</v>
      </c>
      <c r="M537" s="1" t="s">
        <v>103</v>
      </c>
      <c r="N537" s="4" t="n">
        <v>45632</v>
      </c>
      <c r="O537" s="4"/>
      <c r="P537" s="1" t="s">
        <v>1700</v>
      </c>
      <c r="Q537" s="1" t="s">
        <v>35</v>
      </c>
      <c r="R537" s="1" t="str">
        <f aca="false">VLOOKUP(P537,[1]Categorizations!A$1:C$1048576,2,FALSE())</f>
        <v>Pesticides</v>
      </c>
      <c r="S537" s="1" t="str">
        <f aca="false">VLOOKUP(P537,[1]Categorizations!A$1:C$1048576,3,FALSE())</f>
        <v>Pesticides</v>
      </c>
    </row>
    <row r="538" customFormat="false" ht="15.75" hidden="false" customHeight="false" outlineLevel="0" collapsed="false">
      <c r="A538" s="1" t="str">
        <f aca="false">CONCATENATE(C538,J538)</f>
        <v>45986Vice Capital Extraction, LLC</v>
      </c>
      <c r="C538" s="5" t="n">
        <v>45986</v>
      </c>
      <c r="D538" s="1" t="s">
        <v>1671</v>
      </c>
      <c r="E538" s="6" t="s">
        <v>1701</v>
      </c>
      <c r="F538" s="1"/>
      <c r="G538" s="1" t="s">
        <v>38</v>
      </c>
      <c r="H538" s="1" t="s">
        <v>60</v>
      </c>
      <c r="I538" s="1" t="s">
        <v>1702</v>
      </c>
      <c r="J538" s="1" t="s">
        <v>1702</v>
      </c>
      <c r="M538" s="1" t="s">
        <v>103</v>
      </c>
      <c r="N538" s="4"/>
      <c r="O538" s="4" t="n">
        <v>45943</v>
      </c>
      <c r="P538" s="1" t="s">
        <v>1703</v>
      </c>
      <c r="Q538" s="1" t="s">
        <v>35</v>
      </c>
      <c r="R538" s="1" t="str">
        <f aca="false">VLOOKUP(P538,[1]Categorizations!A$1:C$1048576,2,FALSE())</f>
        <v>Microbial</v>
      </c>
      <c r="S538" s="1" t="str">
        <f aca="false">VLOOKUP(P538,[1]Categorizations!A$1:C$1048576,3,FALSE())</f>
        <v>Microbial Contamination</v>
      </c>
    </row>
    <row r="539" customFormat="false" ht="15.75" hidden="false" customHeight="false" outlineLevel="0" collapsed="false">
      <c r="A539" s="1" t="str">
        <f aca="false">CONCATENATE(C539,J539)</f>
        <v>46014Carter County Extracts, Inc.</v>
      </c>
      <c r="C539" s="5" t="n">
        <v>46014</v>
      </c>
      <c r="D539" s="1" t="s">
        <v>1671</v>
      </c>
      <c r="E539" s="6" t="s">
        <v>1704</v>
      </c>
      <c r="F539" s="1"/>
      <c r="H539" s="1" t="s">
        <v>171</v>
      </c>
      <c r="I539" s="1" t="s">
        <v>1705</v>
      </c>
      <c r="J539" s="1" t="s">
        <v>1705</v>
      </c>
      <c r="M539" s="1" t="s">
        <v>103</v>
      </c>
      <c r="N539" s="4"/>
      <c r="O539" s="4" t="n">
        <v>46014</v>
      </c>
      <c r="P539" s="1" t="s">
        <v>816</v>
      </c>
      <c r="Q539" s="1" t="s">
        <v>35</v>
      </c>
      <c r="R539" s="1" t="str">
        <f aca="false">VLOOKUP(P539,[1]Categorizations!A$1:C$1048576,2,FALSE())</f>
        <v>Pesticides</v>
      </c>
      <c r="S539" s="1" t="str">
        <f aca="false">VLOOKUP(P539,[1]Categorizations!A$1:C$1048576,3,FALSE())</f>
        <v>Pesticides</v>
      </c>
    </row>
    <row r="540" customFormat="false" ht="15.75" hidden="false" customHeight="false" outlineLevel="0" collapsed="false">
      <c r="A540" s="1" t="str">
        <f aca="false">CONCATENATE(C540,J540)</f>
        <v>46100Multiple</v>
      </c>
      <c r="C540" s="11" t="n">
        <v>46100</v>
      </c>
      <c r="D540" s="2" t="s">
        <v>1671</v>
      </c>
      <c r="E540" s="8" t="s">
        <v>1706</v>
      </c>
      <c r="F540" s="8" t="s">
        <v>1707</v>
      </c>
      <c r="G540" s="2" t="s">
        <v>22</v>
      </c>
      <c r="H540" s="1" t="s">
        <v>1708</v>
      </c>
      <c r="I540" s="2" t="s">
        <v>543</v>
      </c>
      <c r="J540" s="2" t="s">
        <v>543</v>
      </c>
      <c r="K540" s="2" t="s">
        <v>1709</v>
      </c>
      <c r="M540" s="2" t="s">
        <v>103</v>
      </c>
      <c r="N540" s="11" t="n">
        <v>45169</v>
      </c>
      <c r="O540" s="4"/>
      <c r="P540" s="2" t="s">
        <v>1710</v>
      </c>
      <c r="Q540" s="2" t="s">
        <v>35</v>
      </c>
      <c r="R540" s="1" t="str">
        <f aca="false">VLOOKUP(P540,[1]Categorizations!A$1:C$1048576,2,FALSE())</f>
        <v>Incomplete Testing</v>
      </c>
      <c r="S540" s="1" t="str">
        <f aca="false">VLOOKUP(P540,[1]Categorizations!A$1:C$1048576,3,FALSE())</f>
        <v>Lab Issue</v>
      </c>
    </row>
    <row r="541" customFormat="false" ht="15.75" hidden="false" customHeight="false" outlineLevel="0" collapsed="false">
      <c r="A541" s="1" t="str">
        <f aca="false">CONCATENATE(C541,J541)</f>
        <v>46104Sunny Roads Processing 2, LLC</v>
      </c>
      <c r="C541" s="11" t="n">
        <v>46104</v>
      </c>
      <c r="D541" s="2" t="s">
        <v>1671</v>
      </c>
      <c r="E541" s="8" t="s">
        <v>1711</v>
      </c>
      <c r="F541" s="8" t="s">
        <v>1707</v>
      </c>
      <c r="G541" s="2" t="s">
        <v>145</v>
      </c>
      <c r="H541" s="2" t="s">
        <v>1712</v>
      </c>
      <c r="I541" s="2" t="s">
        <v>543</v>
      </c>
      <c r="J541" s="2" t="s">
        <v>1713</v>
      </c>
      <c r="M541" s="2" t="s">
        <v>103</v>
      </c>
      <c r="N541" s="11" t="n">
        <v>46098</v>
      </c>
      <c r="O541" s="4"/>
      <c r="P541" s="14" t="s">
        <v>1714</v>
      </c>
      <c r="Q541" s="2" t="s">
        <v>35</v>
      </c>
      <c r="R541" s="1" t="str">
        <f aca="false">VLOOKUP(P541,[1]Categorizations!A$1:C$1048576,2,FALSE())</f>
        <v>Pesticides</v>
      </c>
      <c r="S541" s="1" t="str">
        <f aca="false">VLOOKUP(P541,[1]Categorizations!A$1:C$1048576,3,FALSE())</f>
        <v>Pesticides</v>
      </c>
    </row>
    <row r="542" customFormat="false" ht="15.75" hidden="false" customHeight="false" outlineLevel="0" collapsed="false">
      <c r="A542" s="1" t="s">
        <v>1715</v>
      </c>
      <c r="C542" s="5" t="n">
        <v>42811</v>
      </c>
      <c r="D542" s="1" t="s">
        <v>1716</v>
      </c>
      <c r="E542" s="6" t="s">
        <v>1717</v>
      </c>
      <c r="F542" s="1"/>
      <c r="G542" s="1" t="s">
        <v>22</v>
      </c>
      <c r="H542" s="1"/>
      <c r="I542" s="1" t="s">
        <v>1718</v>
      </c>
      <c r="J542" s="1" t="s">
        <v>1718</v>
      </c>
      <c r="M542" s="1" t="s">
        <v>42</v>
      </c>
      <c r="N542" s="4"/>
      <c r="O542" s="4" t="n">
        <v>42802</v>
      </c>
      <c r="P542" s="1" t="s">
        <v>808</v>
      </c>
      <c r="Q542" s="1" t="s">
        <v>35</v>
      </c>
      <c r="R542" s="1" t="str">
        <f aca="false">VLOOKUP(P542,[1]Categorizations!A$1:C$1048576,2,FALSE())</f>
        <v>Pesticides</v>
      </c>
      <c r="S542" s="1" t="str">
        <f aca="false">VLOOKUP(P542,[1]Categorizations!A$1:C$1048576,3,FALSE())</f>
        <v>Pesticides</v>
      </c>
    </row>
    <row r="543" customFormat="false" ht="15.75" hidden="false" customHeight="false" outlineLevel="0" collapsed="false">
      <c r="A543" s="1" t="s">
        <v>1719</v>
      </c>
      <c r="C543" s="5" t="n">
        <v>44176</v>
      </c>
      <c r="D543" s="1" t="s">
        <v>1716</v>
      </c>
      <c r="E543" s="6" t="s">
        <v>1720</v>
      </c>
      <c r="G543" s="1" t="s">
        <v>22</v>
      </c>
      <c r="H543" s="1"/>
      <c r="I543" s="1" t="s">
        <v>1721</v>
      </c>
      <c r="J543" s="1" t="s">
        <v>1721</v>
      </c>
      <c r="M543" s="1" t="s">
        <v>103</v>
      </c>
      <c r="N543" s="4" t="n">
        <v>43708</v>
      </c>
      <c r="O543" s="4"/>
      <c r="P543" s="1" t="s">
        <v>971</v>
      </c>
      <c r="Q543" s="1" t="s">
        <v>35</v>
      </c>
      <c r="R543" s="1" t="str">
        <f aca="false">VLOOKUP(P543,[1]Categorizations!A$1:C$1048576,2,FALSE())</f>
        <v>Prohibited Additives / Product</v>
      </c>
      <c r="S543" s="1" t="str">
        <f aca="false">VLOOKUP(P543,[1]Categorizations!A$1:C$1048576,3,FALSE())</f>
        <v>Prohibited Additives / Product</v>
      </c>
    </row>
    <row r="544" customFormat="false" ht="15.75" hidden="false" customHeight="false" outlineLevel="0" collapsed="false">
      <c r="A544" s="1" t="s">
        <v>1722</v>
      </c>
      <c r="C544" s="5" t="n">
        <v>44202</v>
      </c>
      <c r="D544" s="1" t="s">
        <v>1716</v>
      </c>
      <c r="E544" s="6" t="s">
        <v>1723</v>
      </c>
      <c r="F544" s="1"/>
      <c r="G544" s="1" t="s">
        <v>22</v>
      </c>
      <c r="H544" s="1"/>
      <c r="I544" s="1" t="s">
        <v>1724</v>
      </c>
      <c r="J544" s="1" t="s">
        <v>1724</v>
      </c>
      <c r="M544" s="1" t="s">
        <v>103</v>
      </c>
      <c r="N544" s="4" t="n">
        <v>44083</v>
      </c>
      <c r="O544" s="4" t="n">
        <v>43911</v>
      </c>
      <c r="P544" s="1" t="s">
        <v>1725</v>
      </c>
      <c r="Q544" s="1" t="s">
        <v>35</v>
      </c>
      <c r="R544" s="1" t="str">
        <f aca="false">VLOOKUP(P544,[1]Categorizations!A$1:C$1048576,2,FALSE())</f>
        <v>Pesticides</v>
      </c>
      <c r="S544" s="1" t="str">
        <f aca="false">VLOOKUP(P544,[1]Categorizations!A$1:C$1048576,3,FALSE())</f>
        <v>Pesticides</v>
      </c>
    </row>
    <row r="545" customFormat="false" ht="15.75" hidden="false" customHeight="false" outlineLevel="0" collapsed="false">
      <c r="A545" s="1" t="s">
        <v>1726</v>
      </c>
      <c r="C545" s="5" t="n">
        <v>44337</v>
      </c>
      <c r="D545" s="1" t="s">
        <v>1716</v>
      </c>
      <c r="E545" s="6" t="s">
        <v>1727</v>
      </c>
      <c r="F545" s="1"/>
      <c r="G545" s="1" t="s">
        <v>22</v>
      </c>
      <c r="H545" s="1"/>
      <c r="I545" s="1" t="s">
        <v>1728</v>
      </c>
      <c r="J545" s="1" t="s">
        <v>1728</v>
      </c>
      <c r="M545" s="1" t="s">
        <v>103</v>
      </c>
      <c r="N545" s="4" t="n">
        <v>43739</v>
      </c>
      <c r="O545" s="4"/>
      <c r="P545" s="1" t="s">
        <v>1334</v>
      </c>
      <c r="Q545" s="1" t="s">
        <v>35</v>
      </c>
      <c r="R545" s="1" t="str">
        <f aca="false">VLOOKUP(P545,[1]Categorizations!A$1:C$1048576,2,FALSE())</f>
        <v>Untested</v>
      </c>
      <c r="S545" s="1" t="str">
        <f aca="false">VLOOKUP(P545,[1]Categorizations!A$1:C$1048576,3,FALSE())</f>
        <v>Lab Issue</v>
      </c>
    </row>
    <row r="546" customFormat="false" ht="15.75" hidden="false" customHeight="false" outlineLevel="0" collapsed="false">
      <c r="A546" s="1" t="s">
        <v>1729</v>
      </c>
      <c r="C546" s="5" t="n">
        <v>44460</v>
      </c>
      <c r="D546" s="1" t="s">
        <v>1716</v>
      </c>
      <c r="E546" s="6" t="s">
        <v>1730</v>
      </c>
      <c r="G546" s="1" t="s">
        <v>22</v>
      </c>
      <c r="H546" s="1"/>
      <c r="I546" s="1" t="s">
        <v>1731</v>
      </c>
      <c r="J546" s="1" t="s">
        <v>1731</v>
      </c>
      <c r="K546" s="1"/>
      <c r="L546" s="1" t="s">
        <v>103</v>
      </c>
      <c r="M546" s="1" t="s">
        <v>103</v>
      </c>
      <c r="N546" s="4" t="n">
        <v>44330</v>
      </c>
      <c r="O546" s="4" t="n">
        <v>44366</v>
      </c>
      <c r="P546" s="1" t="s">
        <v>568</v>
      </c>
      <c r="Q546" s="1" t="s">
        <v>35</v>
      </c>
      <c r="R546" s="1" t="str">
        <f aca="false">VLOOKUP(P546,[1]Categorizations!A$1:C$1048576,2,FALSE())</f>
        <v>Inaccurate THC</v>
      </c>
      <c r="S546" s="1" t="str">
        <f aca="false">VLOOKUP(P546,[1]Categorizations!A$1:C$1048576,3,FALSE())</f>
        <v>Inaccurate THC</v>
      </c>
    </row>
    <row r="547" customFormat="false" ht="15.75" hidden="false" customHeight="false" outlineLevel="0" collapsed="false">
      <c r="A547" s="1" t="s">
        <v>1732</v>
      </c>
      <c r="C547" s="5" t="n">
        <v>44463</v>
      </c>
      <c r="D547" s="1" t="s">
        <v>1716</v>
      </c>
      <c r="E547" s="6" t="s">
        <v>1733</v>
      </c>
      <c r="F547" s="1"/>
      <c r="G547" s="1" t="s">
        <v>22</v>
      </c>
      <c r="H547" s="1"/>
      <c r="I547" s="1" t="s">
        <v>1731</v>
      </c>
      <c r="J547" s="1" t="s">
        <v>1731</v>
      </c>
      <c r="K547" s="1"/>
      <c r="L547" s="1" t="s">
        <v>103</v>
      </c>
      <c r="M547" s="1" t="s">
        <v>103</v>
      </c>
      <c r="N547" s="4" t="n">
        <v>44330</v>
      </c>
      <c r="O547" s="4" t="n">
        <v>44376</v>
      </c>
      <c r="P547" s="1" t="s">
        <v>568</v>
      </c>
      <c r="Q547" s="1" t="s">
        <v>35</v>
      </c>
      <c r="R547" s="1" t="str">
        <f aca="false">VLOOKUP(P547,[1]Categorizations!A$1:C$1048576,2,FALSE())</f>
        <v>Inaccurate THC</v>
      </c>
      <c r="S547" s="1" t="str">
        <f aca="false">VLOOKUP(P547,[1]Categorizations!A$1:C$1048576,3,FALSE())</f>
        <v>Inaccurate THC</v>
      </c>
    </row>
    <row r="548" customFormat="false" ht="15.75" hidden="false" customHeight="false" outlineLevel="0" collapsed="false">
      <c r="A548" s="1" t="s">
        <v>1734</v>
      </c>
      <c r="C548" s="5" t="n">
        <v>44791</v>
      </c>
      <c r="D548" s="1" t="s">
        <v>1716</v>
      </c>
      <c r="E548" s="6" t="s">
        <v>1735</v>
      </c>
      <c r="G548" s="1" t="s">
        <v>22</v>
      </c>
      <c r="H548" s="1"/>
      <c r="I548" s="1" t="s">
        <v>1736</v>
      </c>
      <c r="J548" s="1" t="s">
        <v>1736</v>
      </c>
      <c r="M548" s="1" t="s">
        <v>42</v>
      </c>
      <c r="N548" s="4"/>
      <c r="O548" s="4" t="n">
        <v>44512</v>
      </c>
      <c r="P548" s="1" t="s">
        <v>971</v>
      </c>
      <c r="Q548" s="1" t="s">
        <v>35</v>
      </c>
      <c r="R548" s="1" t="str">
        <f aca="false">VLOOKUP(P548,[1]Categorizations!A$1:C$1048576,2,FALSE())</f>
        <v>Prohibited Additives / Product</v>
      </c>
      <c r="S548" s="1" t="str">
        <f aca="false">VLOOKUP(P548,[1]Categorizations!A$1:C$1048576,3,FALSE())</f>
        <v>Prohibited Additives / Product</v>
      </c>
    </row>
    <row r="549" customFormat="false" ht="15.75" hidden="false" customHeight="false" outlineLevel="0" collapsed="false">
      <c r="A549" s="1" t="s">
        <v>1737</v>
      </c>
      <c r="C549" s="5" t="n">
        <v>44875</v>
      </c>
      <c r="D549" s="1" t="s">
        <v>1716</v>
      </c>
      <c r="E549" s="6" t="s">
        <v>1738</v>
      </c>
      <c r="G549" s="1" t="s">
        <v>38</v>
      </c>
      <c r="H549" s="1"/>
      <c r="I549" s="1" t="s">
        <v>1739</v>
      </c>
      <c r="J549" s="1" t="s">
        <v>1739</v>
      </c>
      <c r="M549" s="1" t="s">
        <v>26</v>
      </c>
      <c r="N549" s="4"/>
      <c r="O549" s="4"/>
      <c r="P549" s="1" t="s">
        <v>1740</v>
      </c>
      <c r="Q549" s="1" t="s">
        <v>35</v>
      </c>
      <c r="R549" s="1" t="str">
        <f aca="false">VLOOKUP(P549,[1]Categorizations!A$1:C$1048576,2,FALSE())</f>
        <v>Packaging</v>
      </c>
      <c r="S549" s="1" t="str">
        <f aca="false">VLOOKUP(P549,[1]Categorizations!A$1:C$1048576,3,FALSE())</f>
        <v>Packaging</v>
      </c>
    </row>
    <row r="550" customFormat="false" ht="15.75" hidden="false" customHeight="false" outlineLevel="0" collapsed="false">
      <c r="A550" s="1" t="s">
        <v>1741</v>
      </c>
      <c r="C550" s="5" t="n">
        <v>44897</v>
      </c>
      <c r="D550" s="1" t="s">
        <v>1716</v>
      </c>
      <c r="E550" s="6" t="s">
        <v>1742</v>
      </c>
      <c r="F550" s="1"/>
      <c r="G550" s="1" t="s">
        <v>22</v>
      </c>
      <c r="H550" s="1"/>
      <c r="I550" s="1" t="s">
        <v>1743</v>
      </c>
      <c r="J550" s="1" t="s">
        <v>1743</v>
      </c>
      <c r="M550" s="1" t="s">
        <v>42</v>
      </c>
      <c r="N550" s="4" t="n">
        <v>44529</v>
      </c>
      <c r="O550" s="4" t="n">
        <v>44819</v>
      </c>
      <c r="P550" s="1" t="s">
        <v>808</v>
      </c>
      <c r="Q550" s="1" t="s">
        <v>35</v>
      </c>
      <c r="R550" s="1" t="str">
        <f aca="false">VLOOKUP(P550,[1]Categorizations!A$1:C$1048576,2,FALSE())</f>
        <v>Pesticides</v>
      </c>
      <c r="S550" s="1" t="str">
        <f aca="false">VLOOKUP(P550,[1]Categorizations!A$1:C$1048576,3,FALSE())</f>
        <v>Pesticides</v>
      </c>
    </row>
    <row r="551" customFormat="false" ht="15.75" hidden="false" customHeight="false" outlineLevel="0" collapsed="false">
      <c r="A551" s="1" t="s">
        <v>1744</v>
      </c>
      <c r="C551" s="5" t="n">
        <v>44910</v>
      </c>
      <c r="D551" s="1" t="s">
        <v>1716</v>
      </c>
      <c r="E551" s="6" t="s">
        <v>1745</v>
      </c>
      <c r="F551" s="1"/>
      <c r="G551" s="1" t="s">
        <v>38</v>
      </c>
      <c r="H551" s="1"/>
      <c r="I551" s="1" t="s">
        <v>1746</v>
      </c>
      <c r="J551" s="1" t="s">
        <v>1746</v>
      </c>
      <c r="M551" s="1" t="s">
        <v>42</v>
      </c>
      <c r="N551" s="4" t="n">
        <v>44531</v>
      </c>
      <c r="O551" s="4" t="n">
        <v>44531</v>
      </c>
      <c r="P551" s="1" t="s">
        <v>1515</v>
      </c>
      <c r="Q551" s="1" t="s">
        <v>35</v>
      </c>
      <c r="R551" s="1" t="str">
        <f aca="false">VLOOKUP(P551,[1]Categorizations!A$1:C$1048576,2,FALSE())</f>
        <v>Mislabeled</v>
      </c>
      <c r="S551" s="1" t="str">
        <f aca="false">VLOOKUP(P551,[1]Categorizations!A$1:C$1048576,3,FALSE())</f>
        <v>Mislabeled</v>
      </c>
    </row>
    <row r="552" customFormat="false" ht="15.75" hidden="false" customHeight="false" outlineLevel="0" collapsed="false">
      <c r="A552" s="1" t="s">
        <v>1747</v>
      </c>
      <c r="C552" s="5" t="n">
        <v>44938</v>
      </c>
      <c r="D552" s="1" t="s">
        <v>1716</v>
      </c>
      <c r="E552" s="6" t="s">
        <v>1748</v>
      </c>
      <c r="F552" s="1"/>
      <c r="G552" s="1" t="s">
        <v>22</v>
      </c>
      <c r="H552" s="1"/>
      <c r="I552" s="1" t="s">
        <v>1749</v>
      </c>
      <c r="J552" s="1" t="s">
        <v>1749</v>
      </c>
      <c r="M552" s="1" t="s">
        <v>42</v>
      </c>
      <c r="N552" s="4" t="n">
        <v>44409</v>
      </c>
      <c r="O552" s="4" t="n">
        <v>44603</v>
      </c>
      <c r="P552" s="1" t="s">
        <v>971</v>
      </c>
      <c r="Q552" s="1" t="s">
        <v>35</v>
      </c>
      <c r="R552" s="1" t="str">
        <f aca="false">VLOOKUP(P552,[1]Categorizations!A$1:C$1048576,2,FALSE())</f>
        <v>Prohibited Additives / Product</v>
      </c>
      <c r="S552" s="1" t="str">
        <f aca="false">VLOOKUP(P552,[1]Categorizations!A$1:C$1048576,3,FALSE())</f>
        <v>Prohibited Additives / Product</v>
      </c>
    </row>
    <row r="553" customFormat="false" ht="15.75" hidden="false" customHeight="false" outlineLevel="0" collapsed="false">
      <c r="A553" s="1" t="s">
        <v>1750</v>
      </c>
      <c r="C553" s="5" t="n">
        <v>44952</v>
      </c>
      <c r="D553" s="1" t="s">
        <v>1716</v>
      </c>
      <c r="E553" s="6" t="s">
        <v>1751</v>
      </c>
      <c r="F553" s="1"/>
      <c r="G553" s="1" t="s">
        <v>22</v>
      </c>
      <c r="H553" s="1"/>
      <c r="I553" s="1" t="s">
        <v>1752</v>
      </c>
      <c r="J553" s="1" t="s">
        <v>1752</v>
      </c>
      <c r="M553" s="1" t="s">
        <v>42</v>
      </c>
      <c r="N553" s="4" t="n">
        <v>44350</v>
      </c>
      <c r="O553" s="4" t="n">
        <v>44722</v>
      </c>
      <c r="P553" s="1" t="s">
        <v>1753</v>
      </c>
      <c r="Q553" s="1" t="s">
        <v>35</v>
      </c>
      <c r="R553" s="1" t="str">
        <f aca="false">VLOOKUP(P553,[1]Categorizations!A$1:C$1048576,2,FALSE())</f>
        <v>Pesticides</v>
      </c>
      <c r="S553" s="1" t="str">
        <f aca="false">VLOOKUP(P553,[1]Categorizations!A$1:C$1048576,3,FALSE())</f>
        <v>Pesticides</v>
      </c>
    </row>
    <row r="554" customFormat="false" ht="15.75" hidden="false" customHeight="false" outlineLevel="0" collapsed="false">
      <c r="A554" s="1" t="s">
        <v>1754</v>
      </c>
      <c r="C554" s="5" t="n">
        <v>44971</v>
      </c>
      <c r="D554" s="1" t="s">
        <v>1716</v>
      </c>
      <c r="E554" s="6" t="s">
        <v>1755</v>
      </c>
      <c r="F554" s="1"/>
      <c r="G554" s="1" t="s">
        <v>22</v>
      </c>
      <c r="H554" s="1"/>
      <c r="I554" s="1" t="s">
        <v>1749</v>
      </c>
      <c r="J554" s="1" t="s">
        <v>1749</v>
      </c>
      <c r="M554" s="1" t="s">
        <v>42</v>
      </c>
      <c r="N554" s="4" t="n">
        <v>44319</v>
      </c>
      <c r="O554" s="4"/>
      <c r="P554" s="1" t="s">
        <v>971</v>
      </c>
      <c r="Q554" s="1" t="s">
        <v>35</v>
      </c>
      <c r="R554" s="1" t="str">
        <f aca="false">VLOOKUP(P554,[1]Categorizations!A$1:C$1048576,2,FALSE())</f>
        <v>Prohibited Additives / Product</v>
      </c>
      <c r="S554" s="1" t="str">
        <f aca="false">VLOOKUP(P554,[1]Categorizations!A$1:C$1048576,3,FALSE())</f>
        <v>Prohibited Additives / Product</v>
      </c>
    </row>
    <row r="555" customFormat="false" ht="15.75" hidden="false" customHeight="false" outlineLevel="0" collapsed="false">
      <c r="A555" s="1" t="s">
        <v>1756</v>
      </c>
      <c r="C555" s="5" t="n">
        <v>44988</v>
      </c>
      <c r="D555" s="1" t="s">
        <v>1716</v>
      </c>
      <c r="E555" s="6" t="s">
        <v>1757</v>
      </c>
      <c r="F555" s="1"/>
      <c r="G555" s="1" t="s">
        <v>22</v>
      </c>
      <c r="H555" s="1"/>
      <c r="I555" s="1" t="s">
        <v>1758</v>
      </c>
      <c r="J555" s="1" t="s">
        <v>1758</v>
      </c>
      <c r="M555" s="1" t="s">
        <v>103</v>
      </c>
      <c r="N555" s="4" t="n">
        <v>44977</v>
      </c>
      <c r="O555" s="4"/>
      <c r="P555" s="1" t="s">
        <v>568</v>
      </c>
      <c r="Q555" s="1" t="s">
        <v>35</v>
      </c>
      <c r="R555" s="1" t="str">
        <f aca="false">VLOOKUP(P555,[1]Categorizations!A$1:C$1048576,2,FALSE())</f>
        <v>Inaccurate THC</v>
      </c>
      <c r="S555" s="1" t="str">
        <f aca="false">VLOOKUP(P555,[1]Categorizations!A$1:C$1048576,3,FALSE())</f>
        <v>Inaccurate THC</v>
      </c>
    </row>
    <row r="556" customFormat="false" ht="15.75" hidden="false" customHeight="false" outlineLevel="0" collapsed="false">
      <c r="A556" s="1" t="s">
        <v>1759</v>
      </c>
      <c r="C556" s="5" t="n">
        <v>45000</v>
      </c>
      <c r="D556" s="1" t="s">
        <v>1716</v>
      </c>
      <c r="E556" s="6" t="s">
        <v>1760</v>
      </c>
      <c r="F556" s="1"/>
      <c r="G556" s="1" t="s">
        <v>38</v>
      </c>
      <c r="H556" s="1"/>
      <c r="I556" s="1" t="s">
        <v>1761</v>
      </c>
      <c r="J556" s="1" t="s">
        <v>1761</v>
      </c>
      <c r="M556" s="1" t="s">
        <v>103</v>
      </c>
      <c r="N556" s="4" t="n">
        <v>44899</v>
      </c>
      <c r="O556" s="4"/>
      <c r="P556" s="1" t="s">
        <v>1515</v>
      </c>
      <c r="Q556" s="1" t="s">
        <v>35</v>
      </c>
      <c r="R556" s="1" t="str">
        <f aca="false">VLOOKUP(P556,[1]Categorizations!A$1:C$1048576,2,FALSE())</f>
        <v>Mislabeled</v>
      </c>
      <c r="S556" s="1" t="str">
        <f aca="false">VLOOKUP(P556,[1]Categorizations!A$1:C$1048576,3,FALSE())</f>
        <v>Mislabeled</v>
      </c>
    </row>
    <row r="557" customFormat="false" ht="15.75" hidden="false" customHeight="false" outlineLevel="0" collapsed="false">
      <c r="A557" s="1" t="s">
        <v>1762</v>
      </c>
      <c r="C557" s="5" t="n">
        <v>45029</v>
      </c>
      <c r="D557" s="1" t="s">
        <v>1716</v>
      </c>
      <c r="E557" s="6" t="s">
        <v>1763</v>
      </c>
      <c r="F557" s="1"/>
      <c r="G557" s="1" t="s">
        <v>38</v>
      </c>
      <c r="H557" s="1"/>
      <c r="I557" s="1" t="s">
        <v>1764</v>
      </c>
      <c r="J557" s="1" t="s">
        <v>1764</v>
      </c>
      <c r="K557" s="1"/>
      <c r="L557" s="1"/>
      <c r="M557" s="1" t="s">
        <v>103</v>
      </c>
      <c r="N557" s="4" t="n">
        <v>44970</v>
      </c>
      <c r="O557" s="4"/>
      <c r="P557" s="1" t="s">
        <v>1765</v>
      </c>
      <c r="Q557" s="1" t="s">
        <v>35</v>
      </c>
      <c r="R557" s="1" t="str">
        <f aca="false">VLOOKUP(P557,[1]Categorizations!A$1:C$1048576,2,FALSE())</f>
        <v>Synthetic Cannabinoids</v>
      </c>
      <c r="S557" s="1" t="str">
        <f aca="false">VLOOKUP(P557,[1]Categorizations!A$1:C$1048576,3,FALSE())</f>
        <v>Prohibited Additives / Product</v>
      </c>
    </row>
    <row r="558" customFormat="false" ht="15.75" hidden="false" customHeight="false" outlineLevel="0" collapsed="false">
      <c r="A558" s="1" t="s">
        <v>1766</v>
      </c>
      <c r="C558" s="5" t="n">
        <v>45097</v>
      </c>
      <c r="D558" s="1" t="s">
        <v>1716</v>
      </c>
      <c r="E558" s="6" t="s">
        <v>1767</v>
      </c>
      <c r="F558" s="1"/>
      <c r="G558" s="1" t="s">
        <v>22</v>
      </c>
      <c r="H558" s="1"/>
      <c r="I558" s="1" t="s">
        <v>1768</v>
      </c>
      <c r="J558" s="1" t="s">
        <v>1768</v>
      </c>
      <c r="K558" s="1"/>
      <c r="L558" s="1"/>
      <c r="M558" s="1" t="s">
        <v>42</v>
      </c>
      <c r="N558" s="4" t="n">
        <v>45050</v>
      </c>
      <c r="O558" s="4"/>
      <c r="P558" s="1" t="s">
        <v>1769</v>
      </c>
      <c r="Q558" s="1" t="s">
        <v>1770</v>
      </c>
      <c r="R558" s="1" t="str">
        <f aca="false">VLOOKUP(P558,[1]Categorizations!A$1:C$1048576,2,FALSE())</f>
        <v>Packaging</v>
      </c>
      <c r="S558" s="1" t="str">
        <f aca="false">VLOOKUP(P558,[1]Categorizations!A$1:C$1048576,3,FALSE())</f>
        <v>Packaging</v>
      </c>
    </row>
    <row r="559" customFormat="false" ht="15.75" hidden="false" customHeight="false" outlineLevel="0" collapsed="false">
      <c r="A559" s="1" t="s">
        <v>1771</v>
      </c>
      <c r="C559" s="5" t="n">
        <v>45103</v>
      </c>
      <c r="D559" s="1" t="s">
        <v>1716</v>
      </c>
      <c r="E559" s="6" t="s">
        <v>1772</v>
      </c>
      <c r="F559" s="1"/>
      <c r="G559" s="1" t="s">
        <v>22</v>
      </c>
      <c r="H559" s="1"/>
      <c r="I559" s="1" t="s">
        <v>1773</v>
      </c>
      <c r="J559" s="1" t="s">
        <v>1773</v>
      </c>
      <c r="K559" s="1"/>
      <c r="L559" s="1"/>
      <c r="M559" s="1" t="s">
        <v>42</v>
      </c>
      <c r="N559" s="4" t="n">
        <v>44835</v>
      </c>
      <c r="O559" s="4" t="n">
        <v>44927</v>
      </c>
      <c r="P559" s="1" t="s">
        <v>1774</v>
      </c>
      <c r="Q559" s="1" t="s">
        <v>35</v>
      </c>
      <c r="R559" s="1" t="str">
        <f aca="false">VLOOKUP(P559,[1]Categorizations!A$1:C$1048576,2,FALSE())</f>
        <v>Mercury</v>
      </c>
      <c r="S559" s="1" t="str">
        <f aca="false">VLOOKUP(P559,[1]Categorizations!A$1:C$1048576,3,FALSE())</f>
        <v>Heavy Metals</v>
      </c>
    </row>
    <row r="560" customFormat="false" ht="15.75" hidden="false" customHeight="false" outlineLevel="0" collapsed="false">
      <c r="A560" s="1" t="s">
        <v>1775</v>
      </c>
      <c r="C560" s="5" t="n">
        <v>45120</v>
      </c>
      <c r="D560" s="1" t="s">
        <v>1716</v>
      </c>
      <c r="E560" s="6" t="s">
        <v>1776</v>
      </c>
      <c r="F560" s="1"/>
      <c r="G560" s="1" t="s">
        <v>22</v>
      </c>
      <c r="H560" s="1"/>
      <c r="I560" s="1" t="s">
        <v>1777</v>
      </c>
      <c r="J560" s="1" t="s">
        <v>1777</v>
      </c>
      <c r="K560" s="1"/>
      <c r="L560" s="1"/>
      <c r="M560" s="1" t="s">
        <v>103</v>
      </c>
      <c r="N560" s="4" t="n">
        <v>44896</v>
      </c>
      <c r="O560" s="4" t="n">
        <v>45100</v>
      </c>
      <c r="P560" s="1" t="s">
        <v>1778</v>
      </c>
      <c r="Q560" s="1" t="s">
        <v>35</v>
      </c>
      <c r="R560" s="1" t="str">
        <f aca="false">VLOOKUP(P560,[1]Categorizations!A$1:C$1048576,2,FALSE())</f>
        <v>Arsenic</v>
      </c>
      <c r="S560" s="1" t="str">
        <f aca="false">VLOOKUP(P560,[1]Categorizations!A$1:C$1048576,3,FALSE())</f>
        <v>Heavy Metals</v>
      </c>
    </row>
    <row r="561" customFormat="false" ht="15.75" hidden="false" customHeight="false" outlineLevel="0" collapsed="false">
      <c r="A561" s="1" t="s">
        <v>1779</v>
      </c>
      <c r="C561" s="5" t="n">
        <v>45121</v>
      </c>
      <c r="D561" s="1" t="s">
        <v>1716</v>
      </c>
      <c r="E561" s="6" t="s">
        <v>1776</v>
      </c>
      <c r="F561" s="1"/>
      <c r="G561" s="1" t="s">
        <v>22</v>
      </c>
      <c r="H561" s="1"/>
      <c r="I561" s="1" t="s">
        <v>1777</v>
      </c>
      <c r="J561" s="1" t="s">
        <v>1777</v>
      </c>
      <c r="K561" s="1"/>
      <c r="L561" s="1"/>
      <c r="M561" s="1" t="s">
        <v>103</v>
      </c>
      <c r="N561" s="4" t="n">
        <v>44896</v>
      </c>
      <c r="O561" s="4" t="n">
        <v>45100</v>
      </c>
      <c r="P561" s="1" t="s">
        <v>1778</v>
      </c>
      <c r="Q561" s="1" t="s">
        <v>35</v>
      </c>
      <c r="R561" s="1" t="str">
        <f aca="false">VLOOKUP(P561,[1]Categorizations!A$1:C$1048576,2,FALSE())</f>
        <v>Arsenic</v>
      </c>
      <c r="S561" s="1" t="str">
        <f aca="false">VLOOKUP(P561,[1]Categorizations!A$1:C$1048576,3,FALSE())</f>
        <v>Heavy Metals</v>
      </c>
    </row>
    <row r="562" customFormat="false" ht="15.75" hidden="false" customHeight="false" outlineLevel="0" collapsed="false">
      <c r="A562" s="1" t="str">
        <f aca="false">CONCATENATE(C562,D562, J562)</f>
        <v>45191OregonDr. Jolly's</v>
      </c>
      <c r="C562" s="5" t="n">
        <v>45191</v>
      </c>
      <c r="D562" s="1" t="s">
        <v>1716</v>
      </c>
      <c r="E562" s="6" t="s">
        <v>1780</v>
      </c>
      <c r="F562" s="1"/>
      <c r="G562" s="1" t="s">
        <v>22</v>
      </c>
      <c r="H562" s="1"/>
      <c r="I562" s="1" t="s">
        <v>1781</v>
      </c>
      <c r="J562" s="1" t="s">
        <v>1782</v>
      </c>
      <c r="M562" s="1" t="s">
        <v>103</v>
      </c>
      <c r="N562" s="4" t="n">
        <v>45062</v>
      </c>
      <c r="O562" s="4" t="n">
        <v>45086</v>
      </c>
      <c r="P562" s="1" t="s">
        <v>568</v>
      </c>
      <c r="Q562" s="1" t="s">
        <v>35</v>
      </c>
      <c r="R562" s="1" t="str">
        <f aca="false">VLOOKUP(P562,[1]Categorizations!A$1:C$1048576,2,FALSE())</f>
        <v>Inaccurate THC</v>
      </c>
      <c r="S562" s="1" t="str">
        <f aca="false">VLOOKUP(P562,[1]Categorizations!A$1:C$1048576,3,FALSE())</f>
        <v>Inaccurate THC</v>
      </c>
    </row>
    <row r="563" customFormat="false" ht="15.75" hidden="false" customHeight="false" outlineLevel="0" collapsed="false">
      <c r="A563" s="1" t="str">
        <f aca="false">CONCATENATE(C563,J563)</f>
        <v>45575Epoch Investments LLC</v>
      </c>
      <c r="C563" s="5" t="n">
        <v>45575</v>
      </c>
      <c r="D563" s="1" t="s">
        <v>1716</v>
      </c>
      <c r="E563" s="6" t="s">
        <v>1783</v>
      </c>
      <c r="F563" s="1"/>
      <c r="G563" s="1" t="s">
        <v>38</v>
      </c>
      <c r="H563" s="1" t="s">
        <v>171</v>
      </c>
      <c r="I563" s="1" t="s">
        <v>1784</v>
      </c>
      <c r="J563" s="1" t="s">
        <v>1785</v>
      </c>
      <c r="M563" s="1"/>
      <c r="N563" s="4"/>
      <c r="O563" s="4"/>
      <c r="P563" s="1" t="s">
        <v>1515</v>
      </c>
      <c r="Q563" s="1" t="s">
        <v>35</v>
      </c>
      <c r="R563" s="1" t="str">
        <f aca="false">VLOOKUP(P563,[1]Categorizations!A$1:C$1048576,2,FALSE())</f>
        <v>Mislabeled</v>
      </c>
      <c r="S563" s="1" t="str">
        <f aca="false">VLOOKUP(P563,[1]Categorizations!A$1:C$1048576,3,FALSE())</f>
        <v>Mislabeled</v>
      </c>
    </row>
    <row r="564" customFormat="false" ht="15.75" hidden="false" customHeight="false" outlineLevel="0" collapsed="false">
      <c r="A564" s="1" t="str">
        <f aca="false">CONCATENATE(C564,J564)</f>
        <v>45590LTRMN Inc</v>
      </c>
      <c r="C564" s="5" t="n">
        <v>45590</v>
      </c>
      <c r="D564" s="1" t="s">
        <v>1716</v>
      </c>
      <c r="E564" s="6" t="s">
        <v>1786</v>
      </c>
      <c r="F564" s="1"/>
      <c r="G564" s="1" t="s">
        <v>38</v>
      </c>
      <c r="H564" s="1" t="s">
        <v>171</v>
      </c>
      <c r="I564" s="1" t="s">
        <v>1787</v>
      </c>
      <c r="J564" s="1" t="s">
        <v>1788</v>
      </c>
      <c r="M564" s="1"/>
      <c r="N564" s="4"/>
      <c r="O564" s="4" t="n">
        <v>45390</v>
      </c>
      <c r="P564" s="1" t="s">
        <v>1789</v>
      </c>
      <c r="Q564" s="1" t="s">
        <v>35</v>
      </c>
      <c r="R564" s="1" t="str">
        <f aca="false">VLOOKUP(P564,[1]Categorizations!A$1:C$1048576,2,FALSE())</f>
        <v>QA Recall by Vendor</v>
      </c>
      <c r="S564" s="1" t="str">
        <f aca="false">VLOOKUP(P564,[1]Categorizations!A$1:C$1048576,3,FALSE())</f>
        <v>Other</v>
      </c>
    </row>
    <row r="565" customFormat="false" ht="15.75" hidden="false" customHeight="false" outlineLevel="0" collapsed="false">
      <c r="A565" s="1" t="str">
        <f aca="false">CONCATENATE(C565,J565)</f>
        <v>45649Atlas Farms (Lopaka Farms LLC)</v>
      </c>
      <c r="C565" s="5" t="n">
        <v>45649</v>
      </c>
      <c r="D565" s="1" t="s">
        <v>1716</v>
      </c>
      <c r="E565" s="6" t="s">
        <v>1790</v>
      </c>
      <c r="F565" s="1"/>
      <c r="H565" s="1" t="s">
        <v>39</v>
      </c>
      <c r="I565" s="1" t="s">
        <v>1791</v>
      </c>
      <c r="J565" s="1" t="s">
        <v>1792</v>
      </c>
      <c r="M565" s="1"/>
      <c r="N565" s="4"/>
      <c r="O565" s="4" t="n">
        <v>45108</v>
      </c>
      <c r="P565" s="1" t="s">
        <v>1793</v>
      </c>
      <c r="Q565" s="1" t="s">
        <v>35</v>
      </c>
      <c r="R565" s="1" t="str">
        <f aca="false">VLOOKUP(P565,[1]Categorizations!A$1:C$1048576,2,FALSE())</f>
        <v>Pesticides</v>
      </c>
      <c r="S565" s="1" t="str">
        <f aca="false">VLOOKUP(P565,[1]Categorizations!A$1:C$1048576,3,FALSE())</f>
        <v>Pesticides</v>
      </c>
    </row>
    <row r="566" customFormat="false" ht="15.75" hidden="false" customHeight="false" outlineLevel="0" collapsed="false">
      <c r="A566" s="1" t="str">
        <f aca="false">CONCATENATE(C566,J566)</f>
        <v>45680ELITEXTRX, LLC</v>
      </c>
      <c r="C566" s="5" t="n">
        <v>45680</v>
      </c>
      <c r="D566" s="1" t="s">
        <v>1716</v>
      </c>
      <c r="E566" s="6" t="s">
        <v>1794</v>
      </c>
      <c r="F566" s="1"/>
      <c r="H566" s="1" t="s">
        <v>171</v>
      </c>
      <c r="I566" s="1" t="s">
        <v>1795</v>
      </c>
      <c r="J566" s="1" t="s">
        <v>1796</v>
      </c>
      <c r="M566" s="1"/>
      <c r="N566" s="4"/>
      <c r="O566" s="1"/>
      <c r="P566" s="1" t="s">
        <v>1515</v>
      </c>
      <c r="Q566" s="1" t="s">
        <v>35</v>
      </c>
      <c r="R566" s="1" t="str">
        <f aca="false">VLOOKUP(P566,[1]Categorizations!A$1:C$1048576,2,FALSE())</f>
        <v>Mislabeled</v>
      </c>
      <c r="S566" s="1" t="str">
        <f aca="false">VLOOKUP(P566,[1]Categorizations!A$1:C$1048576,3,FALSE())</f>
        <v>Mislabeled</v>
      </c>
    </row>
    <row r="567" customFormat="false" ht="15.75" hidden="false" customHeight="false" outlineLevel="0" collapsed="false">
      <c r="A567" s="1" t="str">
        <f aca="false">CONCATENATE(C567,J567)</f>
        <v>45701ELITEXTRX, LLC</v>
      </c>
      <c r="C567" s="5" t="n">
        <v>45701</v>
      </c>
      <c r="D567" s="1" t="s">
        <v>1716</v>
      </c>
      <c r="E567" s="6" t="s">
        <v>1794</v>
      </c>
      <c r="F567" s="1"/>
      <c r="H567" s="1" t="s">
        <v>171</v>
      </c>
      <c r="I567" s="1" t="s">
        <v>1795</v>
      </c>
      <c r="J567" s="1" t="s">
        <v>1796</v>
      </c>
      <c r="M567" s="1"/>
      <c r="N567" s="4"/>
      <c r="O567" s="4"/>
      <c r="P567" s="1" t="s">
        <v>1515</v>
      </c>
      <c r="Q567" s="1" t="s">
        <v>35</v>
      </c>
      <c r="R567" s="1" t="str">
        <f aca="false">VLOOKUP(P567,[1]Categorizations!A$1:C$1048576,2,FALSE())</f>
        <v>Mislabeled</v>
      </c>
      <c r="S567" s="1" t="str">
        <f aca="false">VLOOKUP(P567,[1]Categorizations!A$1:C$1048576,3,FALSE())</f>
        <v>Mislabeled</v>
      </c>
    </row>
    <row r="568" customFormat="false" ht="15.75" hidden="false" customHeight="false" outlineLevel="0" collapsed="false">
      <c r="A568" s="1" t="str">
        <f aca="false">CONCATENATE(C568,J568)</f>
        <v>45741C&amp;R Oregon Corporation or Green Box MFG LLC</v>
      </c>
      <c r="C568" s="5" t="n">
        <v>45741</v>
      </c>
      <c r="D568" s="1" t="s">
        <v>1716</v>
      </c>
      <c r="E568" s="6" t="s">
        <v>1797</v>
      </c>
      <c r="F568" s="1"/>
      <c r="H568" s="1" t="s">
        <v>171</v>
      </c>
      <c r="I568" s="1" t="s">
        <v>1798</v>
      </c>
      <c r="J568" s="1" t="s">
        <v>1799</v>
      </c>
      <c r="M568" s="1"/>
      <c r="N568" s="4"/>
      <c r="O568" s="4" t="n">
        <v>45231</v>
      </c>
      <c r="P568" s="1" t="s">
        <v>1515</v>
      </c>
      <c r="Q568" s="1" t="s">
        <v>35</v>
      </c>
      <c r="R568" s="1" t="str">
        <f aca="false">VLOOKUP(P568,[1]Categorizations!A$1:C$1048576,2,FALSE())</f>
        <v>Mislabeled</v>
      </c>
      <c r="S568" s="1" t="str">
        <f aca="false">VLOOKUP(P568,[1]Categorizations!A$1:C$1048576,3,FALSE())</f>
        <v>Mislabeled</v>
      </c>
    </row>
    <row r="569" customFormat="false" ht="15.75" hidden="false" customHeight="false" outlineLevel="0" collapsed="false">
      <c r="A569" s="1" t="str">
        <f aca="false">CONCATENATE(C569,J569)</f>
        <v>44693Multiple</v>
      </c>
      <c r="C569" s="5" t="n">
        <v>44693</v>
      </c>
      <c r="D569" s="1" t="s">
        <v>1800</v>
      </c>
      <c r="E569" s="6" t="s">
        <v>1801</v>
      </c>
      <c r="F569" s="1"/>
      <c r="H569" s="1" t="s">
        <v>302</v>
      </c>
      <c r="I569" s="1" t="s">
        <v>543</v>
      </c>
      <c r="J569" s="1" t="s">
        <v>543</v>
      </c>
      <c r="M569" s="1"/>
      <c r="N569" s="4"/>
      <c r="O569" s="4"/>
      <c r="P569" s="1" t="s">
        <v>1802</v>
      </c>
      <c r="Q569" s="1" t="s">
        <v>1803</v>
      </c>
      <c r="R569" s="1" t="str">
        <f aca="false">VLOOKUP(P569,[1]Categorizations!A$1:C$1048576,2,FALSE())</f>
        <v>Prohibited Additives / Product</v>
      </c>
      <c r="S569" s="1" t="str">
        <f aca="false">VLOOKUP(P569,[1]Categorizations!A$1:C$1048576,3,FALSE())</f>
        <v>Prohibited Additives / Product</v>
      </c>
    </row>
    <row r="570" customFormat="false" ht="15.75" hidden="false" customHeight="false" outlineLevel="0" collapsed="false">
      <c r="A570" s="1" t="str">
        <f aca="false">CONCATENATE(C570,J570)</f>
        <v>46125Ayr Wellness</v>
      </c>
      <c r="C570" s="11" t="n">
        <v>46125</v>
      </c>
      <c r="D570" s="2" t="s">
        <v>1800</v>
      </c>
      <c r="E570" s="8" t="s">
        <v>1804</v>
      </c>
      <c r="F570" s="8" t="s">
        <v>1805</v>
      </c>
      <c r="G570" s="2" t="s">
        <v>145</v>
      </c>
      <c r="H570" s="2" t="s">
        <v>1806</v>
      </c>
      <c r="I570" s="2" t="s">
        <v>1807</v>
      </c>
      <c r="J570" s="2" t="s">
        <v>1807</v>
      </c>
      <c r="M570" s="2" t="s">
        <v>26</v>
      </c>
      <c r="N570" s="4"/>
      <c r="O570" s="4"/>
      <c r="P570" s="2" t="s">
        <v>1808</v>
      </c>
      <c r="Q570" s="2" t="s">
        <v>35</v>
      </c>
      <c r="R570" s="1" t="str">
        <f aca="false">VLOOKUP(P570,[1]Categorizations!A$1:C$1048576,2,FALSE())</f>
        <v>Inaccurate THC</v>
      </c>
      <c r="S570" s="1" t="str">
        <f aca="false">VLOOKUP(P570,[1]Categorizations!A$1:C$1048576,3,FALSE())</f>
        <v>Inaccurate THC</v>
      </c>
    </row>
    <row r="571" customFormat="false" ht="15.75" hidden="false" customHeight="false" outlineLevel="0" collapsed="false">
      <c r="A571" s="1" t="str">
        <f aca="false">CONCATENATE(C571,D571, J571)</f>
        <v>44959VermontHolland</v>
      </c>
      <c r="C571" s="5" t="n">
        <v>44959</v>
      </c>
      <c r="D571" s="1" t="s">
        <v>1809</v>
      </c>
      <c r="E571" s="6" t="s">
        <v>1810</v>
      </c>
      <c r="F571" s="1"/>
      <c r="G571" s="1" t="s">
        <v>22</v>
      </c>
      <c r="H571" s="1"/>
      <c r="I571" s="1" t="s">
        <v>1811</v>
      </c>
      <c r="J571" s="1" t="s">
        <v>1812</v>
      </c>
      <c r="M571" s="1" t="s">
        <v>42</v>
      </c>
      <c r="N571" s="4" t="n">
        <v>44849</v>
      </c>
      <c r="O571" s="4"/>
      <c r="P571" s="1" t="s">
        <v>1813</v>
      </c>
      <c r="Q571" s="1" t="s">
        <v>28</v>
      </c>
      <c r="R571" s="1" t="str">
        <f aca="false">VLOOKUP(P571,[1]Categorizations!A$1:C$1048576,2,FALSE())</f>
        <v>Pesticides</v>
      </c>
      <c r="S571" s="1" t="str">
        <f aca="false">VLOOKUP(P571,[1]Categorizations!A$1:C$1048576,3,FALSE())</f>
        <v>Pesticides</v>
      </c>
    </row>
    <row r="572" customFormat="false" ht="15.75" hidden="false" customHeight="false" outlineLevel="0" collapsed="false">
      <c r="A572" s="1" t="str">
        <f aca="false">CONCATENATE(C572,D572, J572)</f>
        <v>45415VermontHolland</v>
      </c>
      <c r="C572" s="5" t="n">
        <v>45415</v>
      </c>
      <c r="D572" s="1" t="s">
        <v>1809</v>
      </c>
      <c r="E572" s="6" t="s">
        <v>1814</v>
      </c>
      <c r="F572" s="1"/>
      <c r="G572" s="1" t="s">
        <v>22</v>
      </c>
      <c r="H572" s="1"/>
      <c r="I572" s="1" t="s">
        <v>1811</v>
      </c>
      <c r="J572" s="1" t="s">
        <v>1812</v>
      </c>
      <c r="M572" s="1" t="s">
        <v>42</v>
      </c>
      <c r="N572" s="4" t="n">
        <v>44849</v>
      </c>
      <c r="O572" s="4"/>
      <c r="P572" s="1" t="s">
        <v>1815</v>
      </c>
      <c r="Q572" s="1" t="s">
        <v>28</v>
      </c>
      <c r="R572" s="1" t="str">
        <f aca="false">VLOOKUP(P572,[1]Categorizations!A$1:C$1048576,2,FALSE())</f>
        <v>Pesticides</v>
      </c>
      <c r="S572" s="1" t="str">
        <f aca="false">VLOOKUP(P572,[1]Categorizations!A$1:C$1048576,3,FALSE())</f>
        <v>Pesticides</v>
      </c>
    </row>
    <row r="573" customFormat="false" ht="15.75" hidden="false" customHeight="false" outlineLevel="0" collapsed="false">
      <c r="A573" s="1" t="s">
        <v>1816</v>
      </c>
      <c r="C573" s="5" t="n">
        <v>42713</v>
      </c>
      <c r="D573" s="1" t="s">
        <v>1817</v>
      </c>
      <c r="E573" s="6" t="s">
        <v>1818</v>
      </c>
      <c r="G573" s="1" t="s">
        <v>22</v>
      </c>
      <c r="H573" s="1"/>
      <c r="I573" s="1" t="s">
        <v>1819</v>
      </c>
      <c r="J573" s="1" t="s">
        <v>1819</v>
      </c>
      <c r="M573" s="1" t="s">
        <v>26</v>
      </c>
      <c r="N573" s="4"/>
      <c r="O573" s="4"/>
      <c r="P573" s="1" t="s">
        <v>808</v>
      </c>
      <c r="Q573" s="1" t="s">
        <v>35</v>
      </c>
      <c r="R573" s="1" t="str">
        <f aca="false">VLOOKUP(P573,[1]Categorizations!A$1:C$1048576,2,FALSE())</f>
        <v>Pesticides</v>
      </c>
      <c r="S573" s="1" t="str">
        <f aca="false">VLOOKUP(P573,[1]Categorizations!A$1:C$1048576,3,FALSE())</f>
        <v>Pesticides</v>
      </c>
    </row>
    <row r="574" customFormat="false" ht="15.75" hidden="false" customHeight="false" outlineLevel="0" collapsed="false">
      <c r="A574" s="1" t="s">
        <v>1820</v>
      </c>
      <c r="C574" s="5" t="n">
        <v>42873</v>
      </c>
      <c r="D574" s="1" t="s">
        <v>1817</v>
      </c>
      <c r="E574" s="6" t="s">
        <v>1818</v>
      </c>
      <c r="G574" s="1" t="s">
        <v>22</v>
      </c>
      <c r="H574" s="1"/>
      <c r="I574" s="1" t="s">
        <v>1821</v>
      </c>
      <c r="J574" s="1" t="s">
        <v>1821</v>
      </c>
      <c r="M574" s="1" t="s">
        <v>26</v>
      </c>
      <c r="N574" s="4"/>
      <c r="O574" s="4"/>
      <c r="P574" s="1" t="s">
        <v>1540</v>
      </c>
      <c r="Q574" s="1" t="s">
        <v>35</v>
      </c>
      <c r="R574" s="1" t="str">
        <f aca="false">VLOOKUP(P574,[1]Categorizations!A$1:C$1048576,2,FALSE())</f>
        <v>Other</v>
      </c>
      <c r="S574" s="1" t="str">
        <f aca="false">VLOOKUP(P574,[1]Categorizations!A$1:C$1048576,3,FALSE())</f>
        <v>Other</v>
      </c>
    </row>
    <row r="575" customFormat="false" ht="15.75" hidden="false" customHeight="false" outlineLevel="0" collapsed="false">
      <c r="A575" s="1" t="s">
        <v>1822</v>
      </c>
      <c r="C575" s="5" t="n">
        <v>42941</v>
      </c>
      <c r="D575" s="1" t="s">
        <v>1817</v>
      </c>
      <c r="E575" s="6" t="s">
        <v>1818</v>
      </c>
      <c r="G575" s="1" t="s">
        <v>22</v>
      </c>
      <c r="H575" s="1"/>
      <c r="I575" s="1" t="s">
        <v>1347</v>
      </c>
      <c r="J575" s="1" t="s">
        <v>1347</v>
      </c>
      <c r="M575" s="1" t="s">
        <v>26</v>
      </c>
      <c r="N575" s="4"/>
      <c r="O575" s="4"/>
      <c r="P575" s="1" t="s">
        <v>808</v>
      </c>
      <c r="Q575" s="1" t="s">
        <v>35</v>
      </c>
      <c r="R575" s="1" t="str">
        <f aca="false">VLOOKUP(P575,[1]Categorizations!A$1:C$1048576,2,FALSE())</f>
        <v>Pesticides</v>
      </c>
      <c r="S575" s="1" t="str">
        <f aca="false">VLOOKUP(P575,[1]Categorizations!A$1:C$1048576,3,FALSE())</f>
        <v>Pesticides</v>
      </c>
    </row>
    <row r="576" customFormat="false" ht="15.75" hidden="false" customHeight="false" outlineLevel="0" collapsed="false">
      <c r="A576" s="1" t="s">
        <v>1823</v>
      </c>
      <c r="C576" s="5" t="n">
        <v>43392</v>
      </c>
      <c r="D576" s="1" t="s">
        <v>1817</v>
      </c>
      <c r="E576" s="6" t="s">
        <v>1818</v>
      </c>
      <c r="G576" s="1" t="s">
        <v>22</v>
      </c>
      <c r="H576" s="1"/>
      <c r="I576" s="1" t="s">
        <v>1824</v>
      </c>
      <c r="J576" s="1" t="s">
        <v>1824</v>
      </c>
      <c r="M576" s="1" t="s">
        <v>26</v>
      </c>
      <c r="N576" s="4"/>
      <c r="O576" s="4"/>
      <c r="P576" s="1" t="s">
        <v>808</v>
      </c>
      <c r="Q576" s="1" t="s">
        <v>35</v>
      </c>
      <c r="R576" s="1" t="str">
        <f aca="false">VLOOKUP(P576,[1]Categorizations!A$1:C$1048576,2,FALSE())</f>
        <v>Pesticides</v>
      </c>
      <c r="S576" s="1" t="str">
        <f aca="false">VLOOKUP(P576,[1]Categorizations!A$1:C$1048576,3,FALSE())</f>
        <v>Pesticides</v>
      </c>
    </row>
    <row r="577" customFormat="false" ht="15.75" hidden="false" customHeight="false" outlineLevel="0" collapsed="false">
      <c r="A577" s="1" t="s">
        <v>1825</v>
      </c>
      <c r="C577" s="5" t="n">
        <v>43511</v>
      </c>
      <c r="D577" s="1" t="s">
        <v>1817</v>
      </c>
      <c r="E577" s="6" t="s">
        <v>1818</v>
      </c>
      <c r="G577" s="1" t="s">
        <v>22</v>
      </c>
      <c r="H577" s="1"/>
      <c r="I577" s="1" t="s">
        <v>1826</v>
      </c>
      <c r="J577" s="1" t="s">
        <v>1826</v>
      </c>
      <c r="M577" s="1" t="s">
        <v>26</v>
      </c>
      <c r="N577" s="4"/>
      <c r="O577" s="4"/>
      <c r="P577" s="1" t="s">
        <v>808</v>
      </c>
      <c r="Q577" s="1" t="s">
        <v>35</v>
      </c>
      <c r="R577" s="1" t="str">
        <f aca="false">VLOOKUP(P577,[1]Categorizations!A$1:C$1048576,2,FALSE())</f>
        <v>Pesticides</v>
      </c>
      <c r="S577" s="1" t="str">
        <f aca="false">VLOOKUP(P577,[1]Categorizations!A$1:C$1048576,3,FALSE())</f>
        <v>Pesticides</v>
      </c>
    </row>
    <row r="578" customFormat="false" ht="15.75" hidden="false" customHeight="false" outlineLevel="0" collapsed="false">
      <c r="A578" s="1" t="s">
        <v>1827</v>
      </c>
      <c r="C578" s="5" t="n">
        <v>43570</v>
      </c>
      <c r="D578" s="1" t="s">
        <v>1817</v>
      </c>
      <c r="E578" s="6" t="s">
        <v>1818</v>
      </c>
      <c r="G578" s="1" t="s">
        <v>22</v>
      </c>
      <c r="H578" s="1"/>
      <c r="I578" s="1" t="s">
        <v>1828</v>
      </c>
      <c r="J578" s="1" t="s">
        <v>1828</v>
      </c>
      <c r="M578" s="1" t="s">
        <v>26</v>
      </c>
      <c r="N578" s="4"/>
      <c r="O578" s="4"/>
      <c r="P578" s="1" t="s">
        <v>808</v>
      </c>
      <c r="Q578" s="1" t="s">
        <v>35</v>
      </c>
      <c r="R578" s="1" t="str">
        <f aca="false">VLOOKUP(P578,[1]Categorizations!A$1:C$1048576,2,FALSE())</f>
        <v>Pesticides</v>
      </c>
      <c r="S578" s="1" t="str">
        <f aca="false">VLOOKUP(P578,[1]Categorizations!A$1:C$1048576,3,FALSE())</f>
        <v>Pesticides</v>
      </c>
    </row>
    <row r="579" customFormat="false" ht="15.75" hidden="false" customHeight="false" outlineLevel="0" collapsed="false">
      <c r="A579" s="1" t="s">
        <v>1829</v>
      </c>
      <c r="C579" s="5" t="n">
        <v>43573</v>
      </c>
      <c r="D579" s="1" t="s">
        <v>1817</v>
      </c>
      <c r="E579" s="6" t="s">
        <v>1818</v>
      </c>
      <c r="G579" s="1" t="s">
        <v>22</v>
      </c>
      <c r="H579" s="1"/>
      <c r="I579" s="1" t="s">
        <v>1830</v>
      </c>
      <c r="J579" s="1" t="s">
        <v>1830</v>
      </c>
      <c r="M579" s="1" t="s">
        <v>26</v>
      </c>
      <c r="N579" s="4"/>
      <c r="O579" s="4"/>
      <c r="P579" s="1" t="s">
        <v>808</v>
      </c>
      <c r="Q579" s="1" t="s">
        <v>35</v>
      </c>
      <c r="R579" s="1" t="str">
        <f aca="false">VLOOKUP(P579,[1]Categorizations!A$1:C$1048576,2,FALSE())</f>
        <v>Pesticides</v>
      </c>
      <c r="S579" s="1" t="str">
        <f aca="false">VLOOKUP(P579,[1]Categorizations!A$1:C$1048576,3,FALSE())</f>
        <v>Pesticides</v>
      </c>
    </row>
    <row r="580" customFormat="false" ht="15.75" hidden="false" customHeight="false" outlineLevel="0" collapsed="false">
      <c r="A580" s="1" t="s">
        <v>1831</v>
      </c>
      <c r="C580" s="5" t="n">
        <v>43591</v>
      </c>
      <c r="D580" s="1" t="s">
        <v>1817</v>
      </c>
      <c r="E580" s="6" t="s">
        <v>1818</v>
      </c>
      <c r="G580" s="1" t="s">
        <v>22</v>
      </c>
      <c r="H580" s="1"/>
      <c r="I580" s="1" t="s">
        <v>1832</v>
      </c>
      <c r="J580" s="1" t="s">
        <v>1832</v>
      </c>
      <c r="M580" s="1" t="s">
        <v>26</v>
      </c>
      <c r="N580" s="4"/>
      <c r="O580" s="4"/>
      <c r="P580" s="1" t="s">
        <v>808</v>
      </c>
      <c r="Q580" s="1" t="s">
        <v>35</v>
      </c>
      <c r="R580" s="1" t="str">
        <f aca="false">VLOOKUP(P580,[1]Categorizations!A$1:C$1048576,2,FALSE())</f>
        <v>Pesticides</v>
      </c>
      <c r="S580" s="1" t="str">
        <f aca="false">VLOOKUP(P580,[1]Categorizations!A$1:C$1048576,3,FALSE())</f>
        <v>Pesticides</v>
      </c>
    </row>
    <row r="581" customFormat="false" ht="15.75" hidden="false" customHeight="false" outlineLevel="0" collapsed="false">
      <c r="A581" s="1" t="s">
        <v>1833</v>
      </c>
      <c r="C581" s="5" t="n">
        <v>43591</v>
      </c>
      <c r="D581" s="1" t="s">
        <v>1817</v>
      </c>
      <c r="E581" s="6" t="s">
        <v>1818</v>
      </c>
      <c r="G581" s="1" t="s">
        <v>22</v>
      </c>
      <c r="H581" s="1"/>
      <c r="I581" s="1" t="s">
        <v>1834</v>
      </c>
      <c r="J581" s="1" t="s">
        <v>1834</v>
      </c>
      <c r="M581" s="1" t="s">
        <v>26</v>
      </c>
      <c r="N581" s="4"/>
      <c r="O581" s="4"/>
      <c r="P581" s="1" t="s">
        <v>808</v>
      </c>
      <c r="Q581" s="1" t="s">
        <v>35</v>
      </c>
      <c r="R581" s="1" t="str">
        <f aca="false">VLOOKUP(P581,[1]Categorizations!A$1:C$1048576,2,FALSE())</f>
        <v>Pesticides</v>
      </c>
      <c r="S581" s="1" t="str">
        <f aca="false">VLOOKUP(P581,[1]Categorizations!A$1:C$1048576,3,FALSE())</f>
        <v>Pesticides</v>
      </c>
    </row>
    <row r="582" customFormat="false" ht="15.75" hidden="false" customHeight="false" outlineLevel="0" collapsed="false">
      <c r="A582" s="1" t="s">
        <v>1835</v>
      </c>
      <c r="C582" s="5" t="n">
        <v>43594</v>
      </c>
      <c r="D582" s="1" t="s">
        <v>1817</v>
      </c>
      <c r="E582" s="6" t="s">
        <v>1818</v>
      </c>
      <c r="G582" s="1" t="s">
        <v>22</v>
      </c>
      <c r="H582" s="1"/>
      <c r="I582" s="1" t="s">
        <v>1836</v>
      </c>
      <c r="J582" s="1" t="s">
        <v>1836</v>
      </c>
      <c r="M582" s="1" t="s">
        <v>26</v>
      </c>
      <c r="N582" s="4"/>
      <c r="O582" s="4"/>
      <c r="P582" s="1" t="s">
        <v>808</v>
      </c>
      <c r="Q582" s="1" t="s">
        <v>35</v>
      </c>
      <c r="R582" s="1" t="str">
        <f aca="false">VLOOKUP(P582,[1]Categorizations!A$1:C$1048576,2,FALSE())</f>
        <v>Pesticides</v>
      </c>
      <c r="S582" s="1" t="str">
        <f aca="false">VLOOKUP(P582,[1]Categorizations!A$1:C$1048576,3,FALSE())</f>
        <v>Pesticides</v>
      </c>
    </row>
    <row r="583" customFormat="false" ht="15.75" hidden="false" customHeight="false" outlineLevel="0" collapsed="false">
      <c r="A583" s="1" t="s">
        <v>1837</v>
      </c>
      <c r="C583" s="5" t="n">
        <v>43595</v>
      </c>
      <c r="D583" s="1" t="s">
        <v>1817</v>
      </c>
      <c r="E583" s="6" t="s">
        <v>1818</v>
      </c>
      <c r="G583" s="1" t="s">
        <v>22</v>
      </c>
      <c r="H583" s="1"/>
      <c r="I583" s="1" t="s">
        <v>1838</v>
      </c>
      <c r="J583" s="1" t="s">
        <v>1838</v>
      </c>
      <c r="M583" s="1" t="s">
        <v>26</v>
      </c>
      <c r="N583" s="4"/>
      <c r="O583" s="4"/>
      <c r="P583" s="1" t="s">
        <v>808</v>
      </c>
      <c r="Q583" s="1" t="s">
        <v>35</v>
      </c>
      <c r="R583" s="1" t="str">
        <f aca="false">VLOOKUP(P583,[1]Categorizations!A$1:C$1048576,2,FALSE())</f>
        <v>Pesticides</v>
      </c>
      <c r="S583" s="1" t="str">
        <f aca="false">VLOOKUP(P583,[1]Categorizations!A$1:C$1048576,3,FALSE())</f>
        <v>Pesticides</v>
      </c>
    </row>
    <row r="584" customFormat="false" ht="15.75" hidden="false" customHeight="false" outlineLevel="0" collapsed="false">
      <c r="A584" s="1" t="s">
        <v>1839</v>
      </c>
      <c r="C584" s="5" t="n">
        <v>43649</v>
      </c>
      <c r="D584" s="1" t="s">
        <v>1817</v>
      </c>
      <c r="E584" s="6" t="s">
        <v>1818</v>
      </c>
      <c r="G584" s="1" t="s">
        <v>22</v>
      </c>
      <c r="H584" s="1"/>
      <c r="I584" s="1" t="s">
        <v>1840</v>
      </c>
      <c r="J584" s="1" t="s">
        <v>1840</v>
      </c>
      <c r="M584" s="1" t="s">
        <v>26</v>
      </c>
      <c r="N584" s="4"/>
      <c r="O584" s="4"/>
      <c r="P584" s="1" t="s">
        <v>808</v>
      </c>
      <c r="Q584" s="1" t="s">
        <v>35</v>
      </c>
      <c r="R584" s="1" t="str">
        <f aca="false">VLOOKUP(P584,[1]Categorizations!A$1:C$1048576,2,FALSE())</f>
        <v>Pesticides</v>
      </c>
      <c r="S584" s="1" t="str">
        <f aca="false">VLOOKUP(P584,[1]Categorizations!A$1:C$1048576,3,FALSE())</f>
        <v>Pesticides</v>
      </c>
    </row>
    <row r="585" customFormat="false" ht="15.75" hidden="false" customHeight="false" outlineLevel="0" collapsed="false">
      <c r="A585" s="1" t="s">
        <v>1841</v>
      </c>
      <c r="C585" s="5" t="n">
        <v>43662</v>
      </c>
      <c r="D585" s="1" t="s">
        <v>1817</v>
      </c>
      <c r="E585" s="6" t="s">
        <v>1818</v>
      </c>
      <c r="G585" s="1" t="s">
        <v>22</v>
      </c>
      <c r="H585" s="1"/>
      <c r="I585" s="1" t="s">
        <v>1842</v>
      </c>
      <c r="J585" s="1" t="s">
        <v>1842</v>
      </c>
      <c r="M585" s="1" t="s">
        <v>26</v>
      </c>
      <c r="N585" s="4"/>
      <c r="O585" s="4"/>
      <c r="P585" s="1" t="s">
        <v>808</v>
      </c>
      <c r="Q585" s="1" t="s">
        <v>35</v>
      </c>
      <c r="R585" s="1" t="str">
        <f aca="false">VLOOKUP(P585,[1]Categorizations!A$1:C$1048576,2,FALSE())</f>
        <v>Pesticides</v>
      </c>
      <c r="S585" s="1" t="str">
        <f aca="false">VLOOKUP(P585,[1]Categorizations!A$1:C$1048576,3,FALSE())</f>
        <v>Pesticides</v>
      </c>
    </row>
    <row r="586" customFormat="false" ht="15.75" hidden="false" customHeight="false" outlineLevel="0" collapsed="false">
      <c r="A586" s="1" t="s">
        <v>1843</v>
      </c>
      <c r="C586" s="5" t="n">
        <v>43669</v>
      </c>
      <c r="D586" s="1" t="s">
        <v>1817</v>
      </c>
      <c r="E586" s="6" t="s">
        <v>1818</v>
      </c>
      <c r="G586" s="1" t="s">
        <v>22</v>
      </c>
      <c r="H586" s="1"/>
      <c r="I586" s="1" t="s">
        <v>1844</v>
      </c>
      <c r="J586" s="1" t="s">
        <v>1844</v>
      </c>
      <c r="M586" s="1" t="s">
        <v>26</v>
      </c>
      <c r="N586" s="4"/>
      <c r="O586" s="4"/>
      <c r="P586" s="1" t="s">
        <v>808</v>
      </c>
      <c r="Q586" s="1" t="s">
        <v>35</v>
      </c>
      <c r="R586" s="1" t="str">
        <f aca="false">VLOOKUP(P586,[1]Categorizations!A$1:C$1048576,2,FALSE())</f>
        <v>Pesticides</v>
      </c>
      <c r="S586" s="1" t="str">
        <f aca="false">VLOOKUP(P586,[1]Categorizations!A$1:C$1048576,3,FALSE())</f>
        <v>Pesticides</v>
      </c>
    </row>
    <row r="587" customFormat="false" ht="15.75" hidden="false" customHeight="false" outlineLevel="0" collapsed="false">
      <c r="A587" s="1" t="s">
        <v>1845</v>
      </c>
      <c r="C587" s="5" t="n">
        <v>43669</v>
      </c>
      <c r="D587" s="1" t="s">
        <v>1817</v>
      </c>
      <c r="E587" s="6" t="s">
        <v>1818</v>
      </c>
      <c r="G587" s="1" t="s">
        <v>22</v>
      </c>
      <c r="H587" s="1"/>
      <c r="I587" s="1" t="s">
        <v>1846</v>
      </c>
      <c r="J587" s="1" t="s">
        <v>1846</v>
      </c>
      <c r="M587" s="1" t="s">
        <v>26</v>
      </c>
      <c r="N587" s="4"/>
      <c r="O587" s="4"/>
      <c r="P587" s="1" t="s">
        <v>808</v>
      </c>
      <c r="Q587" s="1" t="s">
        <v>35</v>
      </c>
      <c r="R587" s="1" t="str">
        <f aca="false">VLOOKUP(P587,[1]Categorizations!A$1:C$1048576,2,FALSE())</f>
        <v>Pesticides</v>
      </c>
      <c r="S587" s="1" t="str">
        <f aca="false">VLOOKUP(P587,[1]Categorizations!A$1:C$1048576,3,FALSE())</f>
        <v>Pesticides</v>
      </c>
    </row>
    <row r="588" customFormat="false" ht="15.75" hidden="false" customHeight="false" outlineLevel="0" collapsed="false">
      <c r="A588" s="1" t="s">
        <v>1847</v>
      </c>
      <c r="C588" s="5" t="n">
        <v>43671</v>
      </c>
      <c r="D588" s="1" t="s">
        <v>1817</v>
      </c>
      <c r="E588" s="6" t="s">
        <v>1818</v>
      </c>
      <c r="G588" s="1" t="s">
        <v>22</v>
      </c>
      <c r="H588" s="1"/>
      <c r="I588" s="1" t="s">
        <v>1347</v>
      </c>
      <c r="J588" s="1" t="s">
        <v>1347</v>
      </c>
      <c r="M588" s="1" t="s">
        <v>26</v>
      </c>
      <c r="N588" s="4"/>
      <c r="O588" s="4"/>
      <c r="P588" s="1" t="s">
        <v>808</v>
      </c>
      <c r="Q588" s="1" t="s">
        <v>35</v>
      </c>
      <c r="R588" s="1" t="str">
        <f aca="false">VLOOKUP(P588,[1]Categorizations!A$1:C$1048576,2,FALSE())</f>
        <v>Pesticides</v>
      </c>
      <c r="S588" s="1" t="str">
        <f aca="false">VLOOKUP(P588,[1]Categorizations!A$1:C$1048576,3,FALSE())</f>
        <v>Pesticides</v>
      </c>
    </row>
    <row r="589" customFormat="false" ht="15.75" hidden="false" customHeight="false" outlineLevel="0" collapsed="false">
      <c r="A589" s="1" t="s">
        <v>1848</v>
      </c>
      <c r="C589" s="5" t="n">
        <v>44155</v>
      </c>
      <c r="D589" s="1" t="s">
        <v>1817</v>
      </c>
      <c r="E589" s="6" t="s">
        <v>1818</v>
      </c>
      <c r="G589" s="1" t="s">
        <v>22</v>
      </c>
      <c r="H589" s="1"/>
      <c r="I589" s="1" t="s">
        <v>1849</v>
      </c>
      <c r="J589" s="1" t="s">
        <v>1849</v>
      </c>
      <c r="M589" s="1" t="s">
        <v>26</v>
      </c>
      <c r="N589" s="4"/>
      <c r="O589" s="4"/>
      <c r="P589" s="1" t="s">
        <v>808</v>
      </c>
      <c r="Q589" s="1" t="s">
        <v>35</v>
      </c>
      <c r="R589" s="1" t="str">
        <f aca="false">VLOOKUP(P589,[1]Categorizations!A$1:C$1048576,2,FALSE())</f>
        <v>Pesticides</v>
      </c>
      <c r="S589" s="1" t="str">
        <f aca="false">VLOOKUP(P589,[1]Categorizations!A$1:C$1048576,3,FALSE())</f>
        <v>Pesticides</v>
      </c>
    </row>
    <row r="590" customFormat="false" ht="15.75" hidden="false" customHeight="false" outlineLevel="0" collapsed="false">
      <c r="A590" s="1" t="s">
        <v>1850</v>
      </c>
      <c r="C590" s="5" t="n">
        <v>44281</v>
      </c>
      <c r="D590" s="1" t="s">
        <v>1817</v>
      </c>
      <c r="E590" s="6" t="s">
        <v>1818</v>
      </c>
      <c r="G590" s="1" t="s">
        <v>22</v>
      </c>
      <c r="H590" s="1"/>
      <c r="I590" s="1" t="s">
        <v>1851</v>
      </c>
      <c r="J590" s="1" t="s">
        <v>1851</v>
      </c>
      <c r="M590" s="1" t="s">
        <v>26</v>
      </c>
      <c r="N590" s="4"/>
      <c r="O590" s="4"/>
      <c r="P590" s="1" t="s">
        <v>808</v>
      </c>
      <c r="Q590" s="1" t="s">
        <v>35</v>
      </c>
      <c r="R590" s="1" t="str">
        <f aca="false">VLOOKUP(P590,[1]Categorizations!A$1:C$1048576,2,FALSE())</f>
        <v>Pesticides</v>
      </c>
      <c r="S590" s="1" t="str">
        <f aca="false">VLOOKUP(P590,[1]Categorizations!A$1:C$1048576,3,FALSE())</f>
        <v>Pesticides</v>
      </c>
    </row>
    <row r="591" customFormat="false" ht="15.75" hidden="false" customHeight="false" outlineLevel="0" collapsed="false">
      <c r="A591" s="1" t="s">
        <v>1852</v>
      </c>
      <c r="C591" s="5" t="n">
        <v>44285</v>
      </c>
      <c r="D591" s="1" t="s">
        <v>1817</v>
      </c>
      <c r="E591" s="6" t="s">
        <v>1818</v>
      </c>
      <c r="G591" s="1" t="s">
        <v>22</v>
      </c>
      <c r="H591" s="1"/>
      <c r="I591" s="1" t="s">
        <v>1853</v>
      </c>
      <c r="J591" s="1" t="s">
        <v>1853</v>
      </c>
      <c r="M591" s="1" t="s">
        <v>26</v>
      </c>
      <c r="N591" s="4"/>
      <c r="O591" s="4"/>
      <c r="P591" s="1" t="s">
        <v>808</v>
      </c>
      <c r="Q591" s="1" t="s">
        <v>35</v>
      </c>
      <c r="R591" s="1" t="str">
        <f aca="false">VLOOKUP(P591,[1]Categorizations!A$1:C$1048576,2,FALSE())</f>
        <v>Pesticides</v>
      </c>
      <c r="S591" s="1" t="str">
        <f aca="false">VLOOKUP(P591,[1]Categorizations!A$1:C$1048576,3,FALSE())</f>
        <v>Pesticides</v>
      </c>
    </row>
    <row r="592" customFormat="false" ht="15.75" hidden="false" customHeight="false" outlineLevel="0" collapsed="false">
      <c r="A592" s="1" t="s">
        <v>1854</v>
      </c>
      <c r="C592" s="5" t="n">
        <v>44299</v>
      </c>
      <c r="D592" s="1" t="s">
        <v>1817</v>
      </c>
      <c r="E592" s="6" t="s">
        <v>1818</v>
      </c>
      <c r="G592" s="1" t="s">
        <v>22</v>
      </c>
      <c r="H592" s="1"/>
      <c r="I592" s="1" t="s">
        <v>1855</v>
      </c>
      <c r="J592" s="1" t="s">
        <v>1855</v>
      </c>
      <c r="M592" s="1" t="s">
        <v>26</v>
      </c>
      <c r="N592" s="4"/>
      <c r="O592" s="4"/>
      <c r="P592" s="1" t="s">
        <v>808</v>
      </c>
      <c r="Q592" s="1" t="s">
        <v>35</v>
      </c>
      <c r="R592" s="1" t="str">
        <f aca="false">VLOOKUP(P592,[1]Categorizations!A$1:C$1048576,2,FALSE())</f>
        <v>Pesticides</v>
      </c>
      <c r="S592" s="1" t="str">
        <f aca="false">VLOOKUP(P592,[1]Categorizations!A$1:C$1048576,3,FALSE())</f>
        <v>Pesticides</v>
      </c>
    </row>
    <row r="593" customFormat="false" ht="15.75" hidden="false" customHeight="false" outlineLevel="0" collapsed="false">
      <c r="A593" s="1" t="s">
        <v>1856</v>
      </c>
      <c r="C593" s="5" t="n">
        <v>44390</v>
      </c>
      <c r="D593" s="1" t="s">
        <v>1817</v>
      </c>
      <c r="E593" s="6" t="s">
        <v>1818</v>
      </c>
      <c r="G593" s="1" t="s">
        <v>22</v>
      </c>
      <c r="H593" s="1"/>
      <c r="I593" s="1" t="s">
        <v>1824</v>
      </c>
      <c r="J593" s="1" t="s">
        <v>1824</v>
      </c>
      <c r="M593" s="1" t="s">
        <v>26</v>
      </c>
      <c r="N593" s="4"/>
      <c r="O593" s="4"/>
      <c r="P593" s="1" t="s">
        <v>808</v>
      </c>
      <c r="Q593" s="1" t="s">
        <v>35</v>
      </c>
      <c r="R593" s="1" t="str">
        <f aca="false">VLOOKUP(P593,[1]Categorizations!A$1:C$1048576,2,FALSE())</f>
        <v>Pesticides</v>
      </c>
      <c r="S593" s="1" t="str">
        <f aca="false">VLOOKUP(P593,[1]Categorizations!A$1:C$1048576,3,FALSE())</f>
        <v>Pesticides</v>
      </c>
    </row>
    <row r="594" customFormat="false" ht="15.75" hidden="false" customHeight="false" outlineLevel="0" collapsed="false">
      <c r="A594" s="1" t="s">
        <v>1857</v>
      </c>
      <c r="C594" s="5" t="n">
        <v>44397</v>
      </c>
      <c r="D594" s="1" t="s">
        <v>1817</v>
      </c>
      <c r="E594" s="6" t="s">
        <v>1818</v>
      </c>
      <c r="G594" s="1" t="s">
        <v>22</v>
      </c>
      <c r="H594" s="1"/>
      <c r="I594" s="1" t="s">
        <v>1858</v>
      </c>
      <c r="J594" s="1" t="s">
        <v>1858</v>
      </c>
      <c r="M594" s="1" t="s">
        <v>26</v>
      </c>
      <c r="N594" s="4"/>
      <c r="O594" s="4"/>
      <c r="P594" s="1" t="s">
        <v>808</v>
      </c>
      <c r="Q594" s="1" t="s">
        <v>35</v>
      </c>
      <c r="R594" s="1" t="str">
        <f aca="false">VLOOKUP(P594,[1]Categorizations!A$1:C$1048576,2,FALSE())</f>
        <v>Pesticides</v>
      </c>
      <c r="S594" s="1" t="str">
        <f aca="false">VLOOKUP(P594,[1]Categorizations!A$1:C$1048576,3,FALSE())</f>
        <v>Pesticides</v>
      </c>
    </row>
    <row r="595" customFormat="false" ht="15.75" hidden="false" customHeight="false" outlineLevel="0" collapsed="false">
      <c r="A595" s="1" t="s">
        <v>1859</v>
      </c>
      <c r="C595" s="5" t="n">
        <v>44804</v>
      </c>
      <c r="D595" s="1" t="s">
        <v>1817</v>
      </c>
      <c r="E595" s="6" t="s">
        <v>1818</v>
      </c>
      <c r="G595" s="1" t="s">
        <v>22</v>
      </c>
      <c r="H595" s="1"/>
      <c r="I595" s="1" t="s">
        <v>1860</v>
      </c>
      <c r="J595" s="1" t="s">
        <v>1860</v>
      </c>
      <c r="M595" s="1" t="s">
        <v>26</v>
      </c>
      <c r="N595" s="4"/>
      <c r="O595" s="4"/>
      <c r="P595" s="1" t="s">
        <v>808</v>
      </c>
      <c r="Q595" s="1" t="s">
        <v>35</v>
      </c>
      <c r="R595" s="1" t="str">
        <f aca="false">VLOOKUP(P595,[1]Categorizations!A$1:C$1048576,2,FALSE())</f>
        <v>Pesticides</v>
      </c>
      <c r="S595" s="1" t="str">
        <f aca="false">VLOOKUP(P595,[1]Categorizations!A$1:C$1048576,3,FALSE())</f>
        <v>Pesticides</v>
      </c>
    </row>
    <row r="596" customFormat="false" ht="15.75" hidden="false" customHeight="false" outlineLevel="0" collapsed="false">
      <c r="A596" s="1" t="s">
        <v>1861</v>
      </c>
      <c r="C596" s="5" t="n">
        <v>44942</v>
      </c>
      <c r="D596" s="1" t="s">
        <v>1817</v>
      </c>
      <c r="E596" s="6" t="s">
        <v>1818</v>
      </c>
      <c r="G596" s="1" t="s">
        <v>22</v>
      </c>
      <c r="H596" s="1"/>
      <c r="I596" s="1" t="s">
        <v>1862</v>
      </c>
      <c r="J596" s="1" t="s">
        <v>1862</v>
      </c>
      <c r="M596" s="1" t="s">
        <v>26</v>
      </c>
      <c r="N596" s="4"/>
      <c r="O596" s="4"/>
      <c r="P596" s="1" t="s">
        <v>808</v>
      </c>
      <c r="Q596" s="1" t="s">
        <v>35</v>
      </c>
      <c r="R596" s="1" t="str">
        <f aca="false">VLOOKUP(P596,[1]Categorizations!A$1:C$1048576,2,FALSE())</f>
        <v>Pesticides</v>
      </c>
      <c r="S596" s="1" t="str">
        <f aca="false">VLOOKUP(P596,[1]Categorizations!A$1:C$1048576,3,FALSE())</f>
        <v>Pesticides</v>
      </c>
    </row>
    <row r="597" customFormat="false" ht="15.75" hidden="false" customHeight="false" outlineLevel="0" collapsed="false">
      <c r="A597" s="1" t="s">
        <v>1863</v>
      </c>
      <c r="C597" s="5" t="n">
        <v>45022</v>
      </c>
      <c r="D597" s="1" t="s">
        <v>1817</v>
      </c>
      <c r="E597" s="6" t="s">
        <v>1818</v>
      </c>
      <c r="G597" s="1" t="s">
        <v>22</v>
      </c>
      <c r="H597" s="1"/>
      <c r="I597" s="1" t="s">
        <v>1864</v>
      </c>
      <c r="J597" s="1" t="s">
        <v>1864</v>
      </c>
      <c r="M597" s="1" t="s">
        <v>26</v>
      </c>
      <c r="N597" s="4"/>
      <c r="O597" s="4"/>
      <c r="P597" s="1" t="s">
        <v>808</v>
      </c>
      <c r="Q597" s="1" t="s">
        <v>35</v>
      </c>
      <c r="R597" s="1" t="str">
        <f aca="false">VLOOKUP(P597,[1]Categorizations!A$1:C$1048576,2,FALSE())</f>
        <v>Pesticides</v>
      </c>
      <c r="S597" s="1" t="str">
        <f aca="false">VLOOKUP(P597,[1]Categorizations!A$1:C$1048576,3,FALSE())</f>
        <v>Pesticides</v>
      </c>
    </row>
    <row r="598" customFormat="false" ht="15.75" hidden="false" customHeight="false" outlineLevel="0" collapsed="false">
      <c r="A598" s="1" t="s">
        <v>1865</v>
      </c>
      <c r="C598" s="5" t="n">
        <v>45022</v>
      </c>
      <c r="D598" s="1" t="s">
        <v>1817</v>
      </c>
      <c r="E598" s="6" t="s">
        <v>1818</v>
      </c>
      <c r="G598" s="1" t="s">
        <v>22</v>
      </c>
      <c r="H598" s="1"/>
      <c r="I598" s="1" t="s">
        <v>1866</v>
      </c>
      <c r="J598" s="1" t="s">
        <v>1866</v>
      </c>
      <c r="M598" s="1" t="s">
        <v>26</v>
      </c>
      <c r="N598" s="4"/>
      <c r="O598" s="4"/>
      <c r="P598" s="1" t="s">
        <v>808</v>
      </c>
      <c r="Q598" s="1" t="s">
        <v>35</v>
      </c>
      <c r="R598" s="1" t="str">
        <f aca="false">VLOOKUP(P598,[1]Categorizations!A$1:C$1048576,2,FALSE())</f>
        <v>Pesticides</v>
      </c>
      <c r="S598" s="1" t="str">
        <f aca="false">VLOOKUP(P598,[1]Categorizations!A$1:C$1048576,3,FALSE())</f>
        <v>Pesticides</v>
      </c>
    </row>
    <row r="599" customFormat="false" ht="15.75" hidden="false" customHeight="false" outlineLevel="0" collapsed="false">
      <c r="A599" s="1" t="s">
        <v>1867</v>
      </c>
      <c r="C599" s="5" t="n">
        <v>45022</v>
      </c>
      <c r="D599" s="1" t="s">
        <v>1817</v>
      </c>
      <c r="E599" s="6" t="s">
        <v>1818</v>
      </c>
      <c r="G599" s="1" t="s">
        <v>22</v>
      </c>
      <c r="H599" s="1"/>
      <c r="I599" s="1" t="s">
        <v>1868</v>
      </c>
      <c r="J599" s="1" t="s">
        <v>1868</v>
      </c>
      <c r="M599" s="1" t="s">
        <v>26</v>
      </c>
      <c r="N599" s="4"/>
      <c r="O599" s="4"/>
      <c r="P599" s="1" t="s">
        <v>808</v>
      </c>
      <c r="Q599" s="1" t="s">
        <v>35</v>
      </c>
      <c r="R599" s="1" t="str">
        <f aca="false">VLOOKUP(P599,[1]Categorizations!A$1:C$1048576,2,FALSE())</f>
        <v>Pesticides</v>
      </c>
      <c r="S599" s="1" t="str">
        <f aca="false">VLOOKUP(P599,[1]Categorizations!A$1:C$1048576,3,FALSE())</f>
        <v>Pesticides</v>
      </c>
    </row>
    <row r="600" customFormat="false" ht="15.75" hidden="false" customHeight="false" outlineLevel="0" collapsed="false">
      <c r="A600" s="1" t="s">
        <v>1869</v>
      </c>
      <c r="C600" s="5" t="n">
        <v>45022</v>
      </c>
      <c r="D600" s="1" t="s">
        <v>1817</v>
      </c>
      <c r="E600" s="6" t="s">
        <v>1818</v>
      </c>
      <c r="G600" s="1" t="s">
        <v>22</v>
      </c>
      <c r="H600" s="1"/>
      <c r="I600" s="1" t="s">
        <v>1870</v>
      </c>
      <c r="J600" s="1" t="s">
        <v>1870</v>
      </c>
      <c r="M600" s="1" t="s">
        <v>26</v>
      </c>
      <c r="N600" s="4"/>
      <c r="O600" s="4"/>
      <c r="P600" s="1" t="s">
        <v>808</v>
      </c>
      <c r="Q600" s="1" t="s">
        <v>35</v>
      </c>
      <c r="R600" s="1" t="str">
        <f aca="false">VLOOKUP(P600,[1]Categorizations!A$1:C$1048576,2,FALSE())</f>
        <v>Pesticides</v>
      </c>
      <c r="S600" s="1" t="str">
        <f aca="false">VLOOKUP(P600,[1]Categorizations!A$1:C$1048576,3,FALSE())</f>
        <v>Pesticides</v>
      </c>
    </row>
    <row r="601" customFormat="false" ht="15.75" hidden="false" customHeight="false" outlineLevel="0" collapsed="false">
      <c r="A601" s="1" t="s">
        <v>1871</v>
      </c>
      <c r="C601" s="5" t="n">
        <v>45022</v>
      </c>
      <c r="D601" s="1" t="s">
        <v>1817</v>
      </c>
      <c r="E601" s="6" t="s">
        <v>1818</v>
      </c>
      <c r="G601" s="1" t="s">
        <v>22</v>
      </c>
      <c r="H601" s="1"/>
      <c r="I601" s="1" t="s">
        <v>1872</v>
      </c>
      <c r="J601" s="1" t="s">
        <v>1872</v>
      </c>
      <c r="M601" s="1" t="s">
        <v>26</v>
      </c>
      <c r="N601" s="4"/>
      <c r="O601" s="4"/>
      <c r="P601" s="1" t="s">
        <v>808</v>
      </c>
      <c r="Q601" s="1" t="s">
        <v>35</v>
      </c>
      <c r="R601" s="1" t="str">
        <f aca="false">VLOOKUP(P601,[1]Categorizations!A$1:C$1048576,2,FALSE())</f>
        <v>Pesticides</v>
      </c>
      <c r="S601" s="1" t="str">
        <f aca="false">VLOOKUP(P601,[1]Categorizations!A$1:C$1048576,3,FALSE())</f>
        <v>Pesticides</v>
      </c>
    </row>
    <row r="602" customFormat="false" ht="15.75" hidden="false" customHeight="false" outlineLevel="0" collapsed="false">
      <c r="A602" s="1" t="s">
        <v>1873</v>
      </c>
      <c r="C602" s="5" t="n">
        <v>45048</v>
      </c>
      <c r="D602" s="1" t="s">
        <v>1817</v>
      </c>
      <c r="E602" s="6" t="s">
        <v>1818</v>
      </c>
      <c r="G602" s="1" t="s">
        <v>22</v>
      </c>
      <c r="H602" s="1"/>
      <c r="I602" s="1" t="s">
        <v>1874</v>
      </c>
      <c r="J602" s="1" t="s">
        <v>1874</v>
      </c>
      <c r="M602" s="1" t="s">
        <v>26</v>
      </c>
      <c r="N602" s="4"/>
      <c r="O602" s="4"/>
      <c r="P602" s="1" t="s">
        <v>808</v>
      </c>
      <c r="Q602" s="1" t="s">
        <v>35</v>
      </c>
      <c r="R602" s="1" t="str">
        <f aca="false">VLOOKUP(P602,[1]Categorizations!A$1:C$1048576,2,FALSE())</f>
        <v>Pesticides</v>
      </c>
      <c r="S602" s="1" t="str">
        <f aca="false">VLOOKUP(P602,[1]Categorizations!A$1:C$1048576,3,FALSE())</f>
        <v>Pesticides</v>
      </c>
    </row>
    <row r="603" customFormat="false" ht="15.75" hidden="false" customHeight="false" outlineLevel="0" collapsed="false">
      <c r="A603" s="1" t="s">
        <v>1875</v>
      </c>
      <c r="C603" s="5" t="n">
        <v>45051</v>
      </c>
      <c r="D603" s="1" t="s">
        <v>1817</v>
      </c>
      <c r="E603" s="6" t="s">
        <v>1818</v>
      </c>
      <c r="G603" s="1" t="s">
        <v>22</v>
      </c>
      <c r="H603" s="1"/>
      <c r="I603" s="1" t="s">
        <v>1876</v>
      </c>
      <c r="J603" s="1" t="s">
        <v>1876</v>
      </c>
      <c r="M603" s="1" t="s">
        <v>26</v>
      </c>
      <c r="N603" s="4"/>
      <c r="O603" s="4"/>
      <c r="P603" s="1" t="s">
        <v>808</v>
      </c>
      <c r="Q603" s="1" t="s">
        <v>35</v>
      </c>
      <c r="R603" s="1" t="str">
        <f aca="false">VLOOKUP(P603,[1]Categorizations!A$1:C$1048576,2,FALSE())</f>
        <v>Pesticides</v>
      </c>
      <c r="S603" s="1" t="str">
        <f aca="false">VLOOKUP(P603,[1]Categorizations!A$1:C$1048576,3,FALSE())</f>
        <v>Pesticides</v>
      </c>
    </row>
    <row r="604" customFormat="false" ht="15.75" hidden="false" customHeight="false" outlineLevel="0" collapsed="false">
      <c r="A604" s="1" t="s">
        <v>1877</v>
      </c>
      <c r="C604" s="5" t="n">
        <v>45055</v>
      </c>
      <c r="D604" s="1" t="s">
        <v>1817</v>
      </c>
      <c r="E604" s="6" t="s">
        <v>1818</v>
      </c>
      <c r="G604" s="1" t="s">
        <v>22</v>
      </c>
      <c r="H604" s="1"/>
      <c r="I604" s="1" t="s">
        <v>1878</v>
      </c>
      <c r="J604" s="1" t="s">
        <v>1878</v>
      </c>
      <c r="M604" s="1" t="s">
        <v>26</v>
      </c>
      <c r="N604" s="4"/>
      <c r="O604" s="4"/>
      <c r="P604" s="1" t="s">
        <v>808</v>
      </c>
      <c r="Q604" s="1" t="s">
        <v>35</v>
      </c>
      <c r="R604" s="1" t="str">
        <f aca="false">VLOOKUP(P604,[1]Categorizations!A$1:C$1048576,2,FALSE())</f>
        <v>Pesticides</v>
      </c>
      <c r="S604" s="1" t="str">
        <f aca="false">VLOOKUP(P604,[1]Categorizations!A$1:C$1048576,3,FALSE())</f>
        <v>Pesticides</v>
      </c>
    </row>
    <row r="605" customFormat="false" ht="15.75" hidden="false" customHeight="false" outlineLevel="0" collapsed="false">
      <c r="A605" s="1" t="s">
        <v>1879</v>
      </c>
      <c r="C605" s="5" t="n">
        <v>45055</v>
      </c>
      <c r="D605" s="1" t="s">
        <v>1817</v>
      </c>
      <c r="E605" s="6" t="s">
        <v>1818</v>
      </c>
      <c r="G605" s="1" t="s">
        <v>22</v>
      </c>
      <c r="H605" s="1"/>
      <c r="I605" s="1" t="s">
        <v>1880</v>
      </c>
      <c r="J605" s="1" t="s">
        <v>1880</v>
      </c>
      <c r="M605" s="1" t="s">
        <v>26</v>
      </c>
      <c r="N605" s="4"/>
      <c r="O605" s="4"/>
      <c r="P605" s="1" t="s">
        <v>808</v>
      </c>
      <c r="Q605" s="1" t="s">
        <v>35</v>
      </c>
      <c r="R605" s="1" t="str">
        <f aca="false">VLOOKUP(P605,[1]Categorizations!A$1:C$1048576,2,FALSE())</f>
        <v>Pesticides</v>
      </c>
      <c r="S605" s="1" t="str">
        <f aca="false">VLOOKUP(P605,[1]Categorizations!A$1:C$1048576,3,FALSE())</f>
        <v>Pesticides</v>
      </c>
    </row>
    <row r="606" customFormat="false" ht="15.75" hidden="false" customHeight="false" outlineLevel="0" collapsed="false">
      <c r="A606" s="1" t="s">
        <v>1881</v>
      </c>
      <c r="C606" s="5" t="n">
        <v>45140</v>
      </c>
      <c r="D606" s="1" t="s">
        <v>1817</v>
      </c>
      <c r="E606" s="6" t="s">
        <v>1818</v>
      </c>
      <c r="F606" s="1"/>
      <c r="G606" s="1" t="s">
        <v>22</v>
      </c>
      <c r="H606" s="1"/>
      <c r="I606" s="1" t="s">
        <v>1882</v>
      </c>
      <c r="J606" s="1" t="s">
        <v>1882</v>
      </c>
      <c r="M606" s="1" t="s">
        <v>26</v>
      </c>
      <c r="N606" s="4"/>
      <c r="O606" s="4"/>
      <c r="P606" s="1" t="s">
        <v>808</v>
      </c>
      <c r="Q606" s="1" t="s">
        <v>35</v>
      </c>
      <c r="R606" s="1" t="str">
        <f aca="false">VLOOKUP(P606,[1]Categorizations!A$1:C$1048576,2,FALSE())</f>
        <v>Pesticides</v>
      </c>
      <c r="S606" s="1" t="str">
        <f aca="false">VLOOKUP(P606,[1]Categorizations!A$1:C$1048576,3,FALSE())</f>
        <v>Pesticides</v>
      </c>
    </row>
    <row r="607" customFormat="false" ht="15.75" hidden="false" customHeight="false" outlineLevel="0" collapsed="false">
      <c r="A607" s="1" t="str">
        <f aca="false">CONCATENATE(C607,J607)</f>
        <v>45306Green Bluff Greenhouse</v>
      </c>
      <c r="C607" s="5" t="n">
        <v>45306</v>
      </c>
      <c r="D607" s="1" t="s">
        <v>1817</v>
      </c>
      <c r="E607" s="6" t="s">
        <v>1883</v>
      </c>
      <c r="F607" s="1"/>
      <c r="H607" s="1" t="s">
        <v>39</v>
      </c>
      <c r="I607" s="1" t="s">
        <v>1884</v>
      </c>
      <c r="J607" s="1" t="s">
        <v>1884</v>
      </c>
      <c r="M607" s="1"/>
      <c r="N607" s="4"/>
      <c r="O607" s="4"/>
      <c r="P607" s="1" t="s">
        <v>1885</v>
      </c>
      <c r="Q607" s="1" t="s">
        <v>35</v>
      </c>
      <c r="R607" s="1" t="str">
        <f aca="false">VLOOKUP(P607,[1]Categorizations!A$1:C$1048576,2,FALSE())</f>
        <v>Pesticides</v>
      </c>
      <c r="S607" s="1" t="str">
        <f aca="false">VLOOKUP(P607,[1]Categorizations!A$1:C$1048576,3,FALSE())</f>
        <v>Multiple</v>
      </c>
    </row>
    <row r="608" customFormat="false" ht="15.75" hidden="false" customHeight="false" outlineLevel="0" collapsed="false">
      <c r="A608" s="1" t="s">
        <v>1881</v>
      </c>
      <c r="C608" s="5" t="n">
        <v>45309</v>
      </c>
      <c r="D608" s="1" t="s">
        <v>1817</v>
      </c>
      <c r="E608" s="6" t="s">
        <v>1818</v>
      </c>
      <c r="F608" s="1"/>
      <c r="G608" s="1" t="s">
        <v>22</v>
      </c>
      <c r="H608" s="1"/>
      <c r="I608" s="1" t="s">
        <v>1886</v>
      </c>
      <c r="J608" s="1" t="s">
        <v>1886</v>
      </c>
      <c r="M608" s="1" t="s">
        <v>26</v>
      </c>
      <c r="N608" s="4"/>
      <c r="O608" s="4"/>
      <c r="P608" s="1" t="s">
        <v>808</v>
      </c>
      <c r="Q608" s="1" t="s">
        <v>35</v>
      </c>
      <c r="R608" s="1" t="str">
        <f aca="false">VLOOKUP(P608,[1]Categorizations!A$1:C$1048576,2,FALSE())</f>
        <v>Pesticides</v>
      </c>
      <c r="S608" s="1" t="str">
        <f aca="false">VLOOKUP(P608,[1]Categorizations!A$1:C$1048576,3,FALSE())</f>
        <v>Pesticides</v>
      </c>
    </row>
    <row r="609" customFormat="false" ht="15.75" hidden="false" customHeight="false" outlineLevel="0" collapsed="false">
      <c r="A609" s="1" t="str">
        <f aca="false">CONCATENATE(C609,J609)</f>
        <v>45492Playa Grande </v>
      </c>
      <c r="C609" s="5" t="n">
        <v>45492</v>
      </c>
      <c r="D609" s="1" t="s">
        <v>1817</v>
      </c>
      <c r="E609" s="6" t="s">
        <v>1883</v>
      </c>
      <c r="F609" s="1"/>
      <c r="H609" s="1" t="s">
        <v>23</v>
      </c>
      <c r="I609" s="1" t="s">
        <v>1887</v>
      </c>
      <c r="J609" s="1" t="s">
        <v>1888</v>
      </c>
      <c r="M609" s="1"/>
      <c r="N609" s="4"/>
      <c r="O609" s="4"/>
      <c r="P609" s="1" t="s">
        <v>1889</v>
      </c>
      <c r="Q609" s="1" t="s">
        <v>35</v>
      </c>
      <c r="R609" s="1" t="str">
        <f aca="false">VLOOKUP(P609,[1]Categorizations!A$1:C$1048576,2,FALSE())</f>
        <v>Pesticides</v>
      </c>
      <c r="S609" s="1" t="str">
        <f aca="false">VLOOKUP(P609,[1]Categorizations!A$1:C$1048576,3,FALSE())</f>
        <v>Pesticides</v>
      </c>
    </row>
    <row r="610" customFormat="false" ht="15.75" hidden="false" customHeight="false" outlineLevel="0" collapsed="false">
      <c r="A610" s="1" t="str">
        <f aca="false">CONCATENATE(C610,J610)</f>
        <v>45532Vert Corporation</v>
      </c>
      <c r="C610" s="5" t="n">
        <v>45532</v>
      </c>
      <c r="D610" s="1" t="s">
        <v>1817</v>
      </c>
      <c r="E610" s="6" t="s">
        <v>1883</v>
      </c>
      <c r="F610" s="1"/>
      <c r="H610" s="1" t="s">
        <v>39</v>
      </c>
      <c r="I610" s="1" t="s">
        <v>1890</v>
      </c>
      <c r="J610" s="1" t="s">
        <v>1891</v>
      </c>
      <c r="M610" s="1"/>
      <c r="N610" s="4"/>
      <c r="O610" s="4"/>
      <c r="P610" s="1" t="s">
        <v>1254</v>
      </c>
      <c r="Q610" s="1" t="s">
        <v>35</v>
      </c>
      <c r="R610" s="1" t="str">
        <f aca="false">VLOOKUP(P610,[1]Categorizations!A$1:C$1048576,2,FALSE())</f>
        <v>Lead</v>
      </c>
      <c r="S610" s="1" t="str">
        <f aca="false">VLOOKUP(P610,[1]Categorizations!A$1:C$1048576,3,FALSE())</f>
        <v>Heavy Metals</v>
      </c>
    </row>
    <row r="611" customFormat="false" ht="15.75" hidden="false" customHeight="false" outlineLevel="0" collapsed="false">
      <c r="A611" s="1" t="str">
        <f aca="false">CONCATENATE(C611,J611)</f>
        <v>45689 Orange State </v>
      </c>
      <c r="C611" s="5" t="n">
        <v>45689</v>
      </c>
      <c r="D611" s="1" t="s">
        <v>1817</v>
      </c>
      <c r="E611" s="6" t="s">
        <v>1883</v>
      </c>
      <c r="F611" s="1"/>
      <c r="H611" s="1" t="s">
        <v>23</v>
      </c>
      <c r="I611" s="1" t="s">
        <v>1892</v>
      </c>
      <c r="J611" s="1" t="s">
        <v>1893</v>
      </c>
      <c r="M611" s="1"/>
      <c r="N611" s="4"/>
      <c r="O611" s="4"/>
      <c r="P611" s="1" t="s">
        <v>1894</v>
      </c>
      <c r="Q611" s="1" t="s">
        <v>35</v>
      </c>
      <c r="R611" s="1" t="str">
        <f aca="false">VLOOKUP(P611,[1]Categorizations!A$1:C$1048576,2,FALSE())</f>
        <v>Pesticides</v>
      </c>
      <c r="S611" s="1" t="str">
        <f aca="false">VLOOKUP(P611,[1]Categorizations!A$1:C$1048576,3,FALSE())</f>
        <v>Pesticides</v>
      </c>
    </row>
    <row r="612" customFormat="false" ht="15.75" hidden="false" customHeight="false" outlineLevel="0" collapsed="false">
      <c r="A612" s="1" t="str">
        <f aca="false">CONCATENATE(C612,J612)</f>
        <v>45730Northwest Cannabis Solutions</v>
      </c>
      <c r="C612" s="5" t="n">
        <v>45730</v>
      </c>
      <c r="D612" s="1" t="s">
        <v>1817</v>
      </c>
      <c r="E612" s="6" t="s">
        <v>1883</v>
      </c>
      <c r="F612" s="1"/>
      <c r="H612" s="2" t="s">
        <v>1895</v>
      </c>
      <c r="I612" s="1" t="s">
        <v>1896</v>
      </c>
      <c r="J612" s="1" t="s">
        <v>1896</v>
      </c>
      <c r="M612" s="1"/>
      <c r="N612" s="4"/>
      <c r="O612" s="4"/>
      <c r="P612" s="1" t="s">
        <v>1897</v>
      </c>
      <c r="Q612" s="1" t="s">
        <v>35</v>
      </c>
      <c r="R612" s="1" t="str">
        <f aca="false">VLOOKUP(P612,[1]Categorizations!A$1:C$1048576,2,FALSE())</f>
        <v>Multiple: Pesticides / Solvents</v>
      </c>
      <c r="S612" s="1" t="str">
        <f aca="false">VLOOKUP(P612,[1]Categorizations!A$1:C$1048576,3,FALSE())</f>
        <v>Pesticides</v>
      </c>
    </row>
    <row r="613" customFormat="false" ht="15.75" hidden="false" customHeight="false" outlineLevel="0" collapsed="false">
      <c r="A613" s="1" t="str">
        <f aca="false">CONCATENATE(C613,J613)</f>
        <v>45789Green Bluff Orchards</v>
      </c>
      <c r="C613" s="5" t="n">
        <v>45789</v>
      </c>
      <c r="D613" s="1" t="s">
        <v>1817</v>
      </c>
      <c r="E613" s="6" t="s">
        <v>1883</v>
      </c>
      <c r="F613" s="1"/>
      <c r="H613" s="1" t="s">
        <v>1898</v>
      </c>
      <c r="I613" s="1" t="s">
        <v>1899</v>
      </c>
      <c r="J613" s="1" t="s">
        <v>1900</v>
      </c>
      <c r="M613" s="1"/>
      <c r="N613" s="4"/>
      <c r="O613" s="4"/>
      <c r="P613" s="1" t="s">
        <v>1901</v>
      </c>
      <c r="Q613" s="1" t="s">
        <v>35</v>
      </c>
      <c r="R613" s="1" t="str">
        <f aca="false">VLOOKUP(P613,[1]Categorizations!A$1:C$1048576,2,FALSE())</f>
        <v>Pesticides</v>
      </c>
      <c r="S613" s="1" t="str">
        <f aca="false">VLOOKUP(P613,[1]Categorizations!A$1:C$1048576,3,FALSE())</f>
        <v>Pesticides</v>
      </c>
    </row>
    <row r="614" customFormat="false" ht="15.75" hidden="false" customHeight="false" outlineLevel="0" collapsed="false">
      <c r="A614" s="1" t="str">
        <f aca="false">CONCATENATE(C614,J614)</f>
        <v>46057ALKI HERBAL 412371</v>
      </c>
      <c r="C614" s="5" t="n">
        <v>46057</v>
      </c>
      <c r="D614" s="1" t="s">
        <v>1817</v>
      </c>
      <c r="E614" s="6" t="s">
        <v>1883</v>
      </c>
      <c r="F614" s="1"/>
      <c r="G614" s="2" t="s">
        <v>145</v>
      </c>
      <c r="H614" s="1" t="s">
        <v>1708</v>
      </c>
      <c r="I614" s="1" t="s">
        <v>1902</v>
      </c>
      <c r="J614" s="1" t="s">
        <v>1903</v>
      </c>
      <c r="M614" s="1"/>
      <c r="N614" s="4"/>
      <c r="O614" s="4"/>
      <c r="P614" s="1" t="s">
        <v>1904</v>
      </c>
      <c r="Q614" s="1" t="s">
        <v>35</v>
      </c>
      <c r="R614" s="1" t="str">
        <f aca="false">VLOOKUP(P614,[1]Categorizations!A$1:C$1048576,2,FALSE())</f>
        <v>Pesticides</v>
      </c>
      <c r="S614" s="1" t="str">
        <f aca="false">VLOOKUP(P614,[1]Categorizations!A$1:C$1048576,3,FALSE())</f>
        <v>Pesticides</v>
      </c>
    </row>
  </sheetData>
  <dataValidations count="3">
    <dataValidation allowBlank="true" errorStyle="stop" operator="between" showDropDown="false" showErrorMessage="true" showInputMessage="false" sqref="G2:G38 G41:G59 G61:G90 G262:G350 G394:G397 G406:G408 G411:G412 G416:G441 G467:G478 G481 G486:G490 G495:G496 G500:G510 G526:G532 G540:G562 G570:G606 G608 G614" type="list">
      <formula1>"Mandatory,Voluntary,Shady,Not Specified"</formula1>
      <formula2>0</formula2>
    </dataValidation>
    <dataValidation allowBlank="true" errorStyle="stop" operator="between" showDropDown="false" showErrorMessage="true" showInputMessage="false" sqref="G60" type="list">
      <formula1>"Mandatory,Voluntary,Shady,Unspecified"</formula1>
      <formula2>0</formula2>
    </dataValidation>
    <dataValidation allowBlank="true" errorStyle="stop" operator="between" showDropDown="false" showErrorMessage="true" showInputMessage="false" sqref="G525" type="list">
      <formula1>"Mandatory,Voluntary,Shady,Not Specified,Non-Recall Alert"</formula1>
      <formula2>0</formula2>
    </dataValidation>
  </dataValidations>
  <hyperlinks>
    <hyperlink ref="E2" r:id="rId2" location="page=7%23page=7" display="https://web.archive.org/web/20230619022017/https://www.commerce.alaska.gov/web/Portals/9/pub/MCB/Minutes/2020/01.23/Tab6.pdf#page=7#page=7"/>
    <hyperlink ref="F2" r:id="rId3" location="page=7%23page=7" display="https://web.archive.org/web/20230619022017/https://www.commerce.alaska.gov/web/Portals/9/pub/MCB/Minutes/2020/01.23/Tab6.pdf#page=7#page=7"/>
    <hyperlink ref="E3" r:id="rId4" display="https://web.archive.org/web/20250719042132/https://www.commerce.alaska.gov/web/Portals/9/pub/HomePage/Press%20Release/Director%20Advisory.administrativehold.3.2.23.final%20(2).pdf"/>
    <hyperlink ref="F3" r:id="rId5" display="https://web.archive.org/web/20250719042132/https://www.commerce.alaska.gov/web/Portals/9/pub/HomePage/Press%20Release/Director%20Advisory.administrativehold.3.2.23.final%20(2).pdf"/>
    <hyperlink ref="E4" r:id="rId6" location="news-release-062321" display="https://web.archive.org/web/20260000000000*/https://www.azdhs.gov/director/public-information-office/index.php#news-release-062321"/>
    <hyperlink ref="F4" r:id="rId7" location="news-release-062321" display="https://web.archive.org/web/20260000000000*/https://www.azdhs.gov/director/public-information-office/index.php#news-release-062321"/>
    <hyperlink ref="E5" r:id="rId8" location="news-release-062321" display="https://www.azdhs.gov/director/public-information-office/index.php#news-release-062321"/>
    <hyperlink ref="E6" r:id="rId9" location="news-release-062321" display="https://www.azdhs.gov/director/public-information-office/index.php#news-release-062321"/>
    <hyperlink ref="E7" r:id="rId10" location="news-release-062321" display="https://www.azdhs.gov/director/public-information-office/index.php#news-release-062321"/>
    <hyperlink ref="E8" r:id="rId11" location="news-release-062321" display="https://www.azdhs.gov/director/public-information-office/index.php#news-release-062321"/>
    <hyperlink ref="E9" r:id="rId12" location="news-release-062321" display="https://www.azdhs.gov/director/public-information-office/index.php#news-release-062321"/>
    <hyperlink ref="E10" r:id="rId13" location="news-release-062321" display="https://www.azdhs.gov/director/public-information-office/index.php#news-release-062321"/>
    <hyperlink ref="E11" r:id="rId14" location="news-release-062321" display="https://www.azdhs.gov/director/public-information-office/index.php#news-release-062321"/>
    <hyperlink ref="E12" r:id="rId15" location="news-release-111121" display="https://www.azdhs.gov/director/public-information-office/index.php#news-release-111121"/>
    <hyperlink ref="E13" r:id="rId16" location="news-release-111121" display="https://www.azdhs.gov/director/public-information-office/index.php#news-release-111121"/>
    <hyperlink ref="E14" r:id="rId17" location="news-release-111022" display="https://www.azdhs.gov/director/public-information-office/index.php#news-release-111022"/>
    <hyperlink ref="E15" r:id="rId18" location="news-release-111022" display="https://www.azdhs.gov/director/public-information-office/index.php#news-release-111022"/>
    <hyperlink ref="E16" r:id="rId19" location="news-release-111022" display="https://www.azdhs.gov/director/public-information-office/index.php#news-release-111022"/>
    <hyperlink ref="E17" r:id="rId20" location="news-release-111022" display="https://www.azdhs.gov/director/public-information-office/index.php#news-release-111022"/>
    <hyperlink ref="E18" r:id="rId21" location="news-release-111022" display="https://www.azdhs.gov/director/public-information-office/index.php#news-release-111022"/>
    <hyperlink ref="E19" r:id="rId22" location="news-release-111022" display="AZDHS | Financial Services"/>
    <hyperlink ref="E20" r:id="rId23" location="news-release-032123" display="https://www.azdhs.gov/policy-intergovernmental-affairs/index.php#news-release-032123"/>
    <hyperlink ref="E21" r:id="rId24" location="news-release-032123" display="https://www.azdhs.gov/director/public-information-office/index.php#news-release-032123"/>
    <hyperlink ref="E22" r:id="rId25" location="news-release-032123" display="https://www.azdhs.gov/director/public-information-office/index.php#news-release-032123"/>
    <hyperlink ref="E23" r:id="rId26" location="news-release-032123" display="https://www.azdhs.gov/director/public-information-office/index.php#news-release-032123"/>
    <hyperlink ref="E24" r:id="rId27" location="news-release-032123" display="https://www.azdhs.gov/director/public-information-office/index.php#news-release-032123"/>
    <hyperlink ref="E25" r:id="rId28" location="news-release-060223" display="https://www.azdhs.gov/policy-intergovernmental-affairs/index.php#news-release-060223"/>
    <hyperlink ref="E26" r:id="rId29" location="news-release-060223" display="https://www.azdhs.gov/policy-intergovernmental-affairs/index.php#news-release-060223"/>
    <hyperlink ref="E27" r:id="rId30" location="news-release-072423" display="https://www.azdhs.gov/policy-intergovernmental-affairs/index.php#news-release-072423"/>
    <hyperlink ref="E28" r:id="rId31" location="news-release-072423" display="https://www.azdhs.gov/policy-intergovernmental-affairs/index.php#news-release-072423"/>
    <hyperlink ref="E29" r:id="rId32" location="news-release-072423" display="https://www.azdhs.gov/policy-intergovernmental-affairs/index.php#news-release-072423"/>
    <hyperlink ref="E30" r:id="rId33" location="news-release-072423" display="https://www.azdhs.gov/policy-intergovernmental-affairs/index.php#news-release-072423"/>
    <hyperlink ref="E31" r:id="rId34" location="news-release-080723" display="https://www.azdhs.gov/policy-intergovernmental-affairs/index.php#news-release-080723"/>
    <hyperlink ref="E32" r:id="rId35" location="news-release-082323" display="https://www.azdhs.gov/policy-intergovernmental-affairs/index.php#news-release-082323"/>
    <hyperlink ref="E33" r:id="rId36" location="news-release-102023" display="https://www.azdhs.gov/policy-intergovernmental-affairs/index.php#news-release-102023"/>
    <hyperlink ref="E34" r:id="rId37" location="news-release-110923" display="https://www.azdhs.gov/policy-intergovernmental-affairs/index.php#news-release-110923"/>
    <hyperlink ref="E35" r:id="rId38" location="news-release-110923" display="https://www.azdhs.gov/policy-intergovernmental-affairs/index.php#news-release-110923"/>
    <hyperlink ref="E36" r:id="rId39" location="news-release-112723" display="https://www.azdhs.gov/policy-intergovernmental-affairs/index.php#news-release-112723"/>
    <hyperlink ref="E37" r:id="rId40" location="news-release-050624" display="https://www.azdhs.gov/policy-intergovernmental-affairs/index.php#news-release-050624"/>
    <hyperlink ref="E38" r:id="rId41" display="https://www.azdhs.gov/documents/policy-intergovernmental-affairs/public-information/news-releases/news-release-for-recall-7-10-24.pdf"/>
    <hyperlink ref="E39" r:id="rId42" display="https://arizonastatecannabis.org/news-25oct2025"/>
    <hyperlink ref="E40" r:id="rId43" display="https://www.fox10phoenix.com/news/arizona-announces-marijuana-recall-amid-contamination-worries-heres-what-know"/>
    <hyperlink ref="E41" r:id="rId44" display="https://www.kvoa.com/news/arizona/marijuana-products-in-arizona-recalled-after-fungus-found-in-batches/article_a5dcfa01-e49f-48c4-8db0-0c0dd10fbdd5.html"/>
    <hyperlink ref="F41" r:id="rId45" display="https://web.archive.org/web/20260319223623/https://www.kvoa.com/news/arizona/aspergillus-scare-prompts-arizona-marijuana-product-recall/article_cbc7c23a-dd1e-4c3f-9a01-5fc4ab80402b.html"/>
    <hyperlink ref="E42" r:id="rId46" display="https://web.archive.org/web/20260904154150/https://www.fox10phoenix.com/news/marijuana-azdhs-announces-voluntary-recall-amid-contamination-worries"/>
    <hyperlink ref="E43" r:id="rId47" display="https://directorsblog.health.azdhs.gov/recall-notice/"/>
    <hyperlink ref="F43" r:id="rId48" display="https://web.archive.org/web/20260520010915/https://www.fox10phoenix.com/news/marijuana-products-recalled-arizona-due-possible-fungus-contamination"/>
    <hyperlink ref="E44" r:id="rId49" display="https://www.kvoa.com/news/arizona/arizona-marijuana-recall-possible-fungus-found-in-2-products/article_2c0b2be7-80bc-4716-aa22-c0e68eb2a394.html"/>
    <hyperlink ref="F44" r:id="rId50" display="https://www.kvoa.com/news/arizona/arizona-marijuana-recall-possible-fungus-found-in-2-products/article_2c0b2be7-80bc-4716-aa22-c0e68eb2a394.html"/>
    <hyperlink ref="E45" r:id="rId51" display="https://www.kvoa.com/news/arizona/arizona-marijuana-recall-possible-fungus-found-in-2-products/article_2c0b2be7-80bc-4716-aa22-c0e68eb2a394.html"/>
    <hyperlink ref="F45" r:id="rId52" display="https://web.archive.org/web/20260723094334/https://www.kvoa.com/news/arizona/arizona-marijuana-recall-possible-fungus-found-in-2-products/article_2c0b2be7-80bc-4716-aa22-c0e68eb2a394.html"/>
    <hyperlink ref="E46" r:id="rId53" display="https://www.upi.com/Top_News/US/2018/12/24/California-marijuana-recall-threatens-state-cannabis-industry/3001545673498/"/>
    <hyperlink ref="E47" r:id="rId54" display="https://cannabis.ca.gov/resources/cannabis-recalls-and-safety-notices/"/>
    <hyperlink ref="E48" r:id="rId55" display="https://cannabis.ca.gov/resources/cannabis-recalls-and-safety-notices/"/>
    <hyperlink ref="E49" r:id="rId56" display="https://cannabis.ca.gov/resources/cannabis-recalls-and-safety-notices/"/>
    <hyperlink ref="E50" r:id="rId57" display="https://cannabis.ca.gov/resources/cannabis-recalls-and-safety-notices/"/>
    <hyperlink ref="E51" r:id="rId58" display="https://cannabis.ca.gov/resources/cannabis-recalls-and-safety-notices/"/>
    <hyperlink ref="E52" r:id="rId59" display="https://cannabis.ca.gov/2023/07/voluntary-recall-last-minute-venture-llc-cannalean-brand-products/"/>
    <hyperlink ref="E53" r:id="rId60" display="https://cannabis.ca.gov/resources/cannabis-recalls-and-safety-notices/left-coast-llc-lil-leftys/"/>
    <hyperlink ref="E54" r:id="rId61" display="https://cannabis.ca.gov/resources/cannabis-recalls-and-safety-notices/grizzly-peak-farms-llc-zoap-cannabis-flower/"/>
    <hyperlink ref="E55" r:id="rId62" display="https://cannabis.ca.gov/resources/cannabis-recalls-and-safety-notices/echsen-industries/"/>
    <hyperlink ref="E56" r:id="rId63" display="https://cannabis.ca.gov/resources/cannabis-recalls-and-safety-notices/urban-therapies-distribution-llc/"/>
    <hyperlink ref="E57" r:id="rId64" display="https://recalls.cannabis.ca.gov/recalls/6761bc0d449a15805975db02"/>
    <hyperlink ref="E58" r:id="rId65" display="https://cannabis.ca.gov/resources/cannabis-recalls-and-safety-notices/roundtrip-pistachio-flower/"/>
    <hyperlink ref="E59" r:id="rId66" display="https://cannabis.ca.gov/resources/cannabis-recalls-and-safety-notices/lowell-big-buds/"/>
    <hyperlink ref="E60" r:id="rId67" display="https://cannabis.ca.gov/resources/cannabis-recalls-and-safety-notices/grizzly-peak-premium-indoor-flower/"/>
    <hyperlink ref="E61" r:id="rId68" display="https://cannabis.ca.gov/resources/cannabis-recalls-and-safety-notices/panda-pen/"/>
    <hyperlink ref="E62" r:id="rId69" display="https://recalls.cannabis.ca.gov/recalls/6761aeec449a15805975dae9"/>
    <hyperlink ref="E63" r:id="rId70" display="https://recalls.cannabis.ca.gov/recalls/6761acd7d62cebee0c5c9943"/>
    <hyperlink ref="E64" r:id="rId71" display="https://recalls.cannabis.ca.gov/recalls/6761abdbd62cebee0c5c993d"/>
    <hyperlink ref="E65" r:id="rId72" display="https://recalls.cannabis.ca.gov/recalls/6761bccb449a15805975db06"/>
    <hyperlink ref="E66" r:id="rId73" display="https://recalls.cannabis.ca.gov/recalls/6761b4b3449a15805975dafe"/>
    <hyperlink ref="E67" r:id="rId74" display="https://recalls.cannabis.ca.gov/recalls/6761b362449a15805975daf9"/>
    <hyperlink ref="E68" r:id="rId75" display="https://cannabis.ca.gov/resources/cannabis-recalls-and-safety-notices/8-track-pre-roll/"/>
    <hyperlink ref="E69" r:id="rId76" display="https://recalls.cannabis.ca.gov/recalls/6761bc23449a15805975db04"/>
    <hyperlink ref="E70" r:id="rId77" display="https://cannabis.ca.gov/resources/cannabis-recalls-and-safety-notices/canndescent-california-100-whole-flower-pre-rolls/"/>
    <hyperlink ref="E71" r:id="rId78" display="https://cannabis.ca.gov/resources/cannabis-recalls-and-safety-notices/cali-kosher-flower/"/>
    <hyperlink ref="E72" r:id="rId79" display="https://cannabis.ca.gov/resources/cannabis-recalls-and-safety-notices/lax-packs-premium-flower/"/>
    <hyperlink ref="E73" r:id="rId80" display="https://recalls.cannabis.ca.gov/recalls/67607f90e7333c2117ce13c2"/>
    <hyperlink ref="E74" r:id="rId81" display="https://recalls.cannabis.ca.gov/recalls/676075d467bff701781d9596"/>
    <hyperlink ref="E75" r:id="rId82" display="https://recalls.cannabis.ca.gov/recalls/67608282141ebf4b23e92734"/>
    <hyperlink ref="E76" r:id="rId83" display="https://recalls.cannabis.ca.gov/recalls/67608d79141ebf4b23e92757"/>
    <hyperlink ref="E77" r:id="rId84" display="https://recalls.cannabis.ca.gov/recalls/67607a66e7333c2117ce13ab"/>
    <hyperlink ref="E78" r:id="rId85" display="https://cannabis.ca.gov/resources/cannabis-recalls-and-safety-notices/west-coast-cure-live-resin-vape-cartridge/"/>
    <hyperlink ref="E79" r:id="rId86" display="https://cannabis.ca.gov/resources/cannabis-recalls-and-safety-notices/west-coast-cure-curepen-vape-cartridge/"/>
    <hyperlink ref="E80" r:id="rId87" display="https://cannabis.ca.gov/resources/cannabis-recalls-and-safety-notices/backpackboyz-premium-vape/"/>
    <hyperlink ref="E81" r:id="rId88" display="https://cannabis.ca.gov/resources/cannabis-recalls-and-safety-notices/circles-cannabis-oil-vaporizer/"/>
    <hyperlink ref="E82" r:id="rId89" display="https://recalls.cannabis.ca.gov/recalls/67608170e7333c2117ce13c5"/>
    <hyperlink ref="E83" r:id="rId90" display="https://cannabis.ca.gov/resources/cannabis-recalls-and-safety-notices/kush-creaturz-flower/"/>
    <hyperlink ref="E84" r:id="rId91" display="https://cannabis.ca.gov/resources/cannabis-recalls-and-safety-notices/kush-creaturz-flower/"/>
    <hyperlink ref="E85" r:id="rId92" display="https://cannabis.ca.gov/resources/cannabis-recalls-and-safety-notices/kush-creaturz-flower/"/>
    <hyperlink ref="E86" r:id="rId93" display="https://cannabis.ca.gov/resources/cannabis-recalls-and-safety-notices/kush-creaturz-flower/"/>
    <hyperlink ref="E87" r:id="rId94" display="https://cannabis.ca.gov/resources/cannabis-recalls-and-safety-notices/kush-creaturz-flower/"/>
    <hyperlink ref="E88" r:id="rId95" display="https://cannabis.ca.gov/resources/cannabis-recalls-and-safety-notices/kush-creaturz-flower/"/>
    <hyperlink ref="E89" r:id="rId96" display="https://cannabis.ca.gov/resources/cannabis-recalls-and-safety-notices/lowell-35s-10-tall-pre-roll/"/>
    <hyperlink ref="E90" r:id="rId97" display="https://recalls.cannabis.ca.gov/recalls/67607f00e7333c2117ce13bd"/>
    <hyperlink ref="E91" r:id="rId98" display="https://recalls.cannabis.ca.gov/recalls/67607f00e7333c2117ce13bd"/>
    <hyperlink ref="E92" r:id="rId99" display="https://recalls.cannabis.ca.gov/recalls/676060ab2dec600a5fdab838"/>
    <hyperlink ref="E93" r:id="rId100" display="https://recalls.cannabis.ca.gov/recalls/67607b92e7333c2117ce13b7"/>
    <hyperlink ref="E94" r:id="rId101" display="https://recalls.cannabis.ca.gov/recalls/67607b87e7333c2117ce13b5"/>
    <hyperlink ref="E95" r:id="rId102" display="https://recalls.cannabis.ca.gov/recalls/676061d02dec600a5fdab847"/>
    <hyperlink ref="E96" r:id="rId103" display="https://recalls.cannabis.ca.gov/recalls/67607a8ce7333c2117ce13b0"/>
    <hyperlink ref="E97" r:id="rId104" display="https://recalls.cannabis.ca.gov/recalls/6760641e2dec600a5fdab874"/>
    <hyperlink ref="E98" r:id="rId105" display="https://recalls.cannabis.ca.gov/recalls/676071c2348fc6641c270943"/>
    <hyperlink ref="E99" r:id="rId106" display="https://recalls.cannabis.ca.gov/recalls/676078ffe7333c2117ce13a3"/>
    <hyperlink ref="E100" r:id="rId107" display="https://recalls.cannabis.ca.gov/recalls/675cd072db9d2f38e6a8bfc9"/>
    <hyperlink ref="E101" r:id="rId108" display="https://recalls.cannabis.ca.gov/recalls/675c9df9d777de57d7f3a530"/>
    <hyperlink ref="E102" r:id="rId109" display="https://recalls.cannabis.ca.gov/recalls/676062d92dec600a5fdab858"/>
    <hyperlink ref="E103" r:id="rId110" display="https://recalls.cannabis.ca.gov/recalls/67606ff62dec600a5fdab8c0"/>
    <hyperlink ref="E104" r:id="rId111" display="https://recalls.cannabis.ca.gov/recalls/67607231348fc6641c27094a"/>
    <hyperlink ref="E105" r:id="rId112" display="https://recalls.cannabis.ca.gov/recalls/676321559f9bcc32fed462a9"/>
    <hyperlink ref="E106" r:id="rId113" display="https://recalls.cannabis.ca.gov/recalls/6761e5bc66acba23980354d6"/>
    <hyperlink ref="E107" r:id="rId114" display="https://recalls.cannabis.ca.gov/recalls/6761ec9694a546fcd1a88412"/>
    <hyperlink ref="E108" r:id="rId115" display="https://recalls.cannabis.ca.gov/recalls/67605ca02dec600a5fdab80d"/>
    <hyperlink ref="E109" r:id="rId116" display="https://recalls.cannabis.ca.gov/recalls/6761f01694a546fcd1a88422"/>
    <hyperlink ref="E110" r:id="rId117" display="https://recalls.cannabis.ca.gov/recalls/676052bb754559745e2d2bf5"/>
    <hyperlink ref="E111" r:id="rId118" display="https://recalls.cannabis.ca.gov/recalls/675cda3e89feb03b44eca7ca"/>
    <hyperlink ref="E112" r:id="rId119" display="https://recalls.cannabis.ca.gov/recalls/675cd92adb9d2f38e6a8bfd9"/>
    <hyperlink ref="E113" r:id="rId120" display="https://recalls.cannabis.ca.gov/recalls/675cd52bdb9d2f38e6a8bfd2"/>
    <hyperlink ref="E114" r:id="rId121" display="https://recalls.cannabis.ca.gov/recalls/675cd7eadb9d2f38e6a8bfd7"/>
    <hyperlink ref="E115" r:id="rId122" display="https://recalls.cannabis.ca.gov/recalls/675cd698db9d2f38e6a8bfd4"/>
    <hyperlink ref="E116" r:id="rId123" display="https://recalls.cannabis.ca.gov/recalls/6761ac09d62cebee0c5c993f"/>
    <hyperlink ref="E117" r:id="rId124" display="https://recalls.cannabis.ca.gov/recalls/675ca701d777de57d7f3a540"/>
    <hyperlink ref="E118" r:id="rId125" display="https://recalls.cannabis.ca.gov/recalls/6761fe8594a546fcd1a88447"/>
    <hyperlink ref="E119" r:id="rId126" display="https://recalls.cannabis.ca.gov/recalls/6761f90394a546fcd1a8843a"/>
    <hyperlink ref="E120" r:id="rId127" display="https://recalls.cannabis.ca.gov/recalls/6761c1de449a15805975db10"/>
    <hyperlink ref="E121" r:id="rId128" display="https://recalls.cannabis.ca.gov/recalls/676352eb82281c7c02888fb4"/>
    <hyperlink ref="E122" r:id="rId129" display="https://recalls.cannabis.ca.gov/recalls/67743be120de76de169418b0"/>
    <hyperlink ref="E123" r:id="rId130" display="https://recalls.cannabis.ca.gov/recalls/677c1ce27b818645f37d81b5"/>
    <hyperlink ref="E124" r:id="rId131" display="https://recalls.cannabis.ca.gov/recalls/678a9dcd3820f840e8dab8d9"/>
    <hyperlink ref="E125" r:id="rId132" display="https://recalls.cannabis.ca.gov/recalls/67995807ff1d541902f51156"/>
    <hyperlink ref="E126" r:id="rId133" display="https://recalls.cannabis.ca.gov/recalls/679aa03c6c2cf8a3a782d944"/>
    <hyperlink ref="E127" r:id="rId134" display="https://recalls.cannabis.ca.gov/recalls/67a26199d7bedce43a97eac8"/>
    <hyperlink ref="E128" r:id="rId135" display="https://recalls.cannabis.ca.gov/recalls/67a3ed7d027ff9b39bd5c651"/>
    <hyperlink ref="E129" r:id="rId136" display="https://recalls.cannabis.ca.gov/recalls/67b65de006adb198f38bbd2a"/>
    <hyperlink ref="E130" r:id="rId137" display="https://recalls.cannabis.ca.gov/recalls/67b8bf5feee6bdf8bdc4f05d"/>
    <hyperlink ref="E131" r:id="rId138" display="https://recalls.cannabis.ca.gov/recalls/67b8d224dcf312eab06ec3c9"/>
    <hyperlink ref="E132" r:id="rId139" display="https://recalls.cannabis.ca.gov/recalls/67b7be7906f27bfc532c0345"/>
    <hyperlink ref="E133" r:id="rId140" display="https://recalls.cannabis.ca.gov/recalls/67c0a8966a1df8e2aab2a805"/>
    <hyperlink ref="E134" r:id="rId141" display="https://recalls.cannabis.ca.gov/recalls/67c7586fb3647b7230d6851d"/>
    <hyperlink ref="E135" r:id="rId142" display="https://recalls.cannabis.ca.gov/recalls/67c63ac9abf1dacdb9277769"/>
    <hyperlink ref="E136" r:id="rId143" display="https://recalls.cannabis.ca.gov/recalls/67c8a860cb103f654b157bf9"/>
    <hyperlink ref="E137" r:id="rId144" display="https://recalls.cannabis.ca.gov/recalls/67ca15a2d3e118305ac6204e"/>
    <hyperlink ref="E138" r:id="rId145" display="https://recalls.cannabis.ca.gov/recalls/67ca292d29119e4c62d9f0bd"/>
    <hyperlink ref="E139" r:id="rId146" display="https://recalls.cannabis.ca.gov/recalls/67cb5ccd9b4d75e795d8ead3"/>
    <hyperlink ref="E140" r:id="rId147" display="https://recalls.cannabis.ca.gov/recalls/67cb5ddc9b4d75e795d8ead5"/>
    <hyperlink ref="E141" r:id="rId148" display="https://recalls.cannabis.ca.gov/recalls/67cf2bf64e313b143eeeefaf"/>
    <hyperlink ref="E142" r:id="rId149" display="https://recalls.cannabis.ca.gov/recalls/67cb5f3e9b4d75e795d8ead7"/>
    <hyperlink ref="E143" r:id="rId150" display="https://recalls.cannabis.ca.gov/recalls/67d09f9f5c03fd67e1699304"/>
    <hyperlink ref="E144" r:id="rId151" display="https://recalls.cannabis.ca.gov/recalls/67e1c59a764a2b6664808b45"/>
    <hyperlink ref="E145" r:id="rId152" display="https://recalls.cannabis.ca.gov/recalls/67d4467a4106f28998de60cc"/>
    <hyperlink ref="E146" r:id="rId153" display="https://recalls.cannabis.ca.gov/recalls/67e2f72be1d586b2abb40828"/>
    <hyperlink ref="E147" r:id="rId154" display="https://recalls.cannabis.ca.gov/recalls/67d9a58bee53fc0e4a85cfd0"/>
    <hyperlink ref="E148" r:id="rId155" display="https://recalls.cannabis.ca.gov/recalls/67edc40ed271b2cd4fb6700b"/>
    <hyperlink ref="E149" r:id="rId156" display="https://recalls.cannabis.ca.gov/recalls/67edaf9003fb5784226ca7f3"/>
    <hyperlink ref="E150" r:id="rId157" display="https://recalls.cannabis.ca.gov/recalls/67edb9ef03fb5784226ca7f7"/>
    <hyperlink ref="E151" r:id="rId158" display="https://recalls.cannabis.ca.gov/recalls/67eecc81eeed9a2d044639f6"/>
    <hyperlink ref="E152" r:id="rId159" display="https://recalls.cannabis.ca.gov/recalls/67cb60539b4d75e795d8eada"/>
    <hyperlink ref="E153" r:id="rId160" display="https://recalls.cannabis.ca.gov/recalls/67eef04f7e45d7785194736a"/>
    <hyperlink ref="E154" r:id="rId161" display="https://recalls.cannabis.ca.gov/recalls/67f044164c8fed4662b01b99"/>
    <hyperlink ref="E155" r:id="rId162" display="https://recalls.cannabis.ca.gov/recalls/67ec59be4becf15d41092d3b"/>
    <hyperlink ref="E156" r:id="rId163" display="https://recalls.cannabis.ca.gov/recalls/67f44320ef33cec4b8c75618"/>
    <hyperlink ref="E157" r:id="rId164" display="https://recalls.cannabis.ca.gov/recalls/67f93629a6af6c345158589b"/>
    <hyperlink ref="E158" r:id="rId165" display="https://recalls.cannabis.ca.gov/recalls/67f42df6ef33cec4b8c75611"/>
    <hyperlink ref="E159" r:id="rId166" display="https://recalls.cannabis.ca.gov/recalls/67fd4d20f04bba13cf57a67a"/>
    <hyperlink ref="E160" r:id="rId167" display="https://recalls.cannabis.ca.gov/recalls/67fd4fdff04bba13cf57a683"/>
    <hyperlink ref="E161" r:id="rId168" display="https://recalls.cannabis.ca.gov/recalls/67f6dd47ad69398ae71adddf"/>
    <hyperlink ref="E162" r:id="rId169" display="https://recalls.cannabis.ca.gov/recalls/68080bb50a02d94b409051c1"/>
    <hyperlink ref="E163" r:id="rId170" display="https://recalls.cannabis.ca.gov/recalls/68110cdec31741749dfed970"/>
    <hyperlink ref="E164" r:id="rId171" display="https://recalls.cannabis.ca.gov/recalls/68111fa2c31741749dfed972"/>
    <hyperlink ref="E165" r:id="rId172" display="https://recalls.cannabis.ca.gov/recalls/6814ee606c27402413d2d041"/>
    <hyperlink ref="E166" r:id="rId173" display="https://recalls.cannabis.ca.gov/recalls/6813b5e2171a2609a7b46d63"/>
    <hyperlink ref="E167" r:id="rId174" display="https://recalls.cannabis.ca.gov/recalls/6815444781aae3b8cf89b805"/>
    <hyperlink ref="E168" r:id="rId175" display="https://recalls.cannabis.ca.gov/recalls/681a690ede8dfd7993fb4d2d"/>
    <hyperlink ref="E169" r:id="rId176" display="https://recalls.cannabis.ca.gov/recalls/68263e4690232c8644ea388d"/>
    <hyperlink ref="E170" r:id="rId177" display="https://recalls.cannabis.ca.gov/recalls/6826696d651df98cac943a90"/>
    <hyperlink ref="E171" r:id="rId178" display="https://recalls.cannabis.ca.gov/recalls/6830b01b19b3195b7d15ab2c"/>
    <hyperlink ref="E172" r:id="rId179" display="https://recalls.cannabis.ca.gov/recalls/6830bace19b3195b7d15ab32"/>
    <hyperlink ref="E173" r:id="rId180" display="https://recalls.cannabis.ca.gov/recalls/6830c47e19b3195b7d15ab3c"/>
    <hyperlink ref="E174" r:id="rId181" display="https://recalls.cannabis.ca.gov/recalls/6830e5eedc244dc5ad4cd0fa"/>
    <hyperlink ref="E175" r:id="rId182" display="https://recalls.cannabis.ca.gov/recalls/68430a9c756a3425f6e09241"/>
    <hyperlink ref="E176" r:id="rId183" display="https://recalls.cannabis.ca.gov/recalls/685085643f86ce0b7a6948f5"/>
    <hyperlink ref="E177" r:id="rId184" display="https://recalls.cannabis.ca.gov/recalls/68508fed3f86ce0b7a6948f8"/>
    <hyperlink ref="E178" r:id="rId185" display="https://recalls.cannabis.ca.gov/recalls/6859c1263ac16dd9b79d4d6e"/>
    <hyperlink ref="E179" r:id="rId186" display="https://recalls.cannabis.ca.gov/recalls/6859b52b6240f323aa90f91f"/>
    <hyperlink ref="E180" r:id="rId187" display="https://recalls.cannabis.ca.gov/recalls/67d9957f61812ef297c873ce"/>
    <hyperlink ref="E181" r:id="rId188" display="https://recalls.cannabis.ca.gov/recalls/685dc1eda34dbb6517647c95"/>
    <hyperlink ref="E182" r:id="rId189" display="https://recalls.cannabis.ca.gov/recalls/68644cffda2ab8a7147f8fde"/>
    <hyperlink ref="E183" r:id="rId190" display="https://recalls.cannabis.ca.gov/recalls/685ef369cc5cc22033bf6c62"/>
    <hyperlink ref="E184" r:id="rId191" display="https://recalls.cannabis.ca.gov/recalls/68659c06bf883c279db9fda7"/>
    <hyperlink ref="E185" r:id="rId192" display="https://recalls.cannabis.ca.gov/recalls/68645cbcc770556dd1eedc84"/>
    <hyperlink ref="E186" r:id="rId193" display="https://recalls.cannabis.ca.gov/recalls/686d9e7c2c808b9976ca6035"/>
    <hyperlink ref="E187" r:id="rId194" display="https://recalls.cannabis.ca.gov/recalls/685ac399a5767e9bd4299cf3"/>
    <hyperlink ref="E188" r:id="rId195" display="https://recalls.cannabis.ca.gov/recalls/686eebe4e18974d667a1250e"/>
    <hyperlink ref="E189" r:id="rId196" display="https://recalls.cannabis.ca.gov/recalls/688931563e687541be28d909"/>
    <hyperlink ref="E190" r:id="rId197" display="https://recalls.cannabis.ca.gov/recalls/688a598cfb4b11aeefd90243"/>
    <hyperlink ref="E191" r:id="rId198" display="https://recalls.cannabis.ca.gov/recalls/688d39f0608329d100bd15b9"/>
    <hyperlink ref="E192" r:id="rId199" display="https://recalls.cannabis.ca.gov/recalls/688d39f9608329d100bd15bc"/>
    <hyperlink ref="E193" r:id="rId200" display="https://recalls.cannabis.ca.gov/recalls/689a0f741ddade6d2bbbdb25"/>
    <hyperlink ref="E194" r:id="rId201" display="https://recalls.cannabis.ca.gov/recalls/6896301db1a1dbf6ed2660e4"/>
    <hyperlink ref="E195" r:id="rId202" display="https://recalls.cannabis.ca.gov/recalls/68a38a94a2543acbbf481d07"/>
    <hyperlink ref="E196" r:id="rId203" display="https://recalls.cannabis.ca.gov/recalls/68af7d32f9fe68d804e858be"/>
    <hyperlink ref="E197" r:id="rId204" display="https://recalls.cannabis.ca.gov/recalls/68bb3c9f277fb53dceadb5f7"/>
    <hyperlink ref="E198" r:id="rId205" display="https://recalls.cannabis.ca.gov/recalls/68bb3fdd277fb53dceadb5fd"/>
    <hyperlink ref="E199" r:id="rId206" display="https://recalls.cannabis.ca.gov/recalls/68bb4102277fb53dceadb600"/>
    <hyperlink ref="E200" r:id="rId207" display="https://recalls.cannabis.ca.gov/recalls/68bb4247277fb53dceadb603"/>
    <hyperlink ref="E201" r:id="rId208" display="https://recalls.cannabis.ca.gov/recalls/68c9eaf9ee3f253d00cfa2be"/>
    <hyperlink ref="E202" r:id="rId209" display="https://recalls.cannabis.ca.gov/recalls/68cd9bbc430614b40340b9ca"/>
    <hyperlink ref="E203" r:id="rId210" display="https://recalls.cannabis.ca.gov/recalls/68dc1e41372f5d5e380d20f1"/>
    <hyperlink ref="E204" r:id="rId211" display="https://recalls.cannabis.ca.gov/recalls/68f01187a1ea37801c910981"/>
    <hyperlink ref="E205" r:id="rId212" display="https://recalls.cannabis.ca.gov/recalls/691508e4bfd28f115bd1da13"/>
    <hyperlink ref="E206" r:id="rId213" display="https://recalls.cannabis.ca.gov/recalls/680813de0a02d94b409051cb"/>
    <hyperlink ref="E207" r:id="rId214" display="https://recalls.cannabis.ca.gov/recalls/6924e7173e31dcbd909c9f63"/>
    <hyperlink ref="E208" r:id="rId215" display="https://recalls.cannabis.ca.gov/recalls/6925e7cc4fdb2651d21000be"/>
    <hyperlink ref="E209" r:id="rId216" display="https://recalls.cannabis.ca.gov/recalls/691f827fb0f55be0f7377c9b"/>
    <hyperlink ref="E210" r:id="rId217" display="https://recalls.cannabis.ca.gov/recalls/6926012c57a72c517a7927fc"/>
    <hyperlink ref="E211" r:id="rId218" display="https://recalls.cannabis.ca.gov/recalls/69263e87a4fa6eedebd6c039"/>
    <hyperlink ref="E212" r:id="rId219" display="https://recalls.cannabis.ca.gov/recalls/692de8526885e3b780908abf"/>
    <hyperlink ref="E213" r:id="rId220" display="https://recalls.cannabis.ca.gov/recalls/69449011220ee0d97a09e7c2"/>
    <hyperlink ref="E214" r:id="rId221" display="https://recalls.cannabis.ca.gov/recalls/6949c333275295130057a2b5"/>
    <hyperlink ref="E215" r:id="rId222" display="https://recalls.cannabis.ca.gov/recalls/6949c49c275295130057a2b9"/>
    <hyperlink ref="E216" r:id="rId223" display="https://recalls.cannabis.ca.gov/recalls/69612a25c92173ffea4e8179"/>
    <hyperlink ref="E217" r:id="rId224" display="https://recalls.cannabis.ca.gov/recalls/69851e0f298cd056cfb16d79"/>
    <hyperlink ref="E218" r:id="rId225" display="https://recalls.cannabis.ca.gov/recalls/6998af38ba87ca08bd8caba5"/>
    <hyperlink ref="E219" r:id="rId226" display="https://recalls.cannabis.ca.gov/recalls/69a205cb8fa6fba508b1b4fb"/>
    <hyperlink ref="E220" r:id="rId227" display="https://recalls.cannabis.ca.gov/recalls/69a21d3f96df1c8b70f43527"/>
    <hyperlink ref="E221" r:id="rId228" display="https://recalls.cannabis.ca.gov/recalls/69a85ce32d19d8796b0803db"/>
    <hyperlink ref="E222" r:id="rId229" display="https://recalls.cannabis.ca.gov/recalls/69b1b5a32a82b185bbc723ca"/>
    <hyperlink ref="F222" r:id="rId230" display="https://web.archive.org/web/20260806223017/https://recalls.cannabis.ca.gov/recalls/69b1b5a32a82b185bbc723ca"/>
    <hyperlink ref="E223" r:id="rId231" display="https://recalls.cannabis.ca.gov/recalls/69bac321a64de26e1f61b1bc"/>
    <hyperlink ref="F223" r:id="rId232" display="https://web.archive.org/web/20260806223948/https://recalls.cannabis.ca.gov/recalls/69bac321a64de26e1f61b1bc"/>
    <hyperlink ref="E224" r:id="rId233" display="https://recalls.cannabis.ca.gov/recalls/69c454e93e73b4fb85e02ce0"/>
    <hyperlink ref="F224" r:id="rId234" display="https://web.archive.org/web/20260806224527/https://recalls.cannabis.ca.gov/recalls/69c454e93e73b4fb85e02ce0"/>
    <hyperlink ref="E225" r:id="rId235" display="https://recalls.cannabis.ca.gov/recalls/69dfd9e6f9ee786037778a16"/>
    <hyperlink ref="F225" r:id="rId236" display="https://web.archive.org/web/20260806224527/https://recalls.cannabis.ca.gov/recalls/69c454e93e73b4fb85e02ce0"/>
    <hyperlink ref="E226" r:id="rId237" display="https://recalls.cannabis.ca.gov/recalls/69f5062022586b8849e9ca84"/>
    <hyperlink ref="F226" r:id="rId238" display="https://web.archive.org/web/20260806225451/https://recalls.cannabis.ca.gov/recalls/69f5062022586b8849e9ca84"/>
    <hyperlink ref="E227" r:id="rId239" display="https://recalls.cannabis.ca.gov/recalls/69fcd4c2c3306dd2d846ad42"/>
    <hyperlink ref="F227" r:id="rId240" display="https://web.archive.org/web/20260806225823/https://recalls.cannabis.ca.gov/recalls/69fcd4c2c3306dd2d846ad42"/>
    <hyperlink ref="E228" r:id="rId241" display="https://recalls.cannabis.ca.gov/recalls/6a1dc9de98859a29f3f06962"/>
    <hyperlink ref="F228" r:id="rId242" display="https://web.archive.org/web/20260806230128/https://recalls.cannabis.ca.gov/recalls/6a1dc9de98859a29f3f06962"/>
    <hyperlink ref="E229" r:id="rId243" display="https://recalls.cannabis.ca.gov/recalls/6a232de738fb6c5513a12792"/>
    <hyperlink ref="F229" r:id="rId244" display="https://web.archive.org/web/20260806230803/https://recalls.cannabis.ca.gov/recalls/6a232de738fb6c5513a12792"/>
    <hyperlink ref="E230" r:id="rId245" display="https://recalls.cannabis.ca.gov/recalls/6a298137bb2d05e9afc2c265"/>
    <hyperlink ref="F230" r:id="rId246" display="https://web.archive.org/web/20260806231110/https://recalls.cannabis.ca.gov/recalls/6a298137bb2d05e9afc2c265"/>
    <hyperlink ref="E231" r:id="rId247" display="https://recalls.cannabis.ca.gov/recalls/6a39b80122dc5a363f09adc6"/>
    <hyperlink ref="F231" r:id="rId248" display="https://web.archive.org/web/20260806231358/https://recalls.cannabis.ca.gov/recalls/6a39b80122dc5a363f09adc6"/>
    <hyperlink ref="E232" r:id="rId249" display="https://recalls.cannabis.ca.gov/recalls/6a39ba986d79688bab955d8f"/>
    <hyperlink ref="F232" r:id="rId250" display="https://web.archive.org/web/20260806231718/https://recalls.cannabis.ca.gov/recalls/6a39ba986d79688bab955d8f"/>
    <hyperlink ref="E233" r:id="rId251" display="https://recalls.cannabis.ca.gov/recalls/6a39be622b28878ef4fac90d"/>
    <hyperlink ref="F233" r:id="rId252" display="https://web.archive.org/web/20260806232059/https://recalls.cannabis.ca.gov/recalls/6a39be622b28878ef4fac90d"/>
    <hyperlink ref="E234" r:id="rId253" display="https://recalls.cannabis.ca.gov/recalls/6a3c3b5b3e7bbb565418e5a5"/>
    <hyperlink ref="F234" r:id="rId254" display="https://web.archive.org/web/20260806232613/https://recalls.cannabis.ca.gov/recalls/6a3c3b5b3e7bbb565418e5a5"/>
    <hyperlink ref="E235" r:id="rId255" display="https://recalls.cannabis.ca.gov/recalls/6a43e400469891f7ecd256ae"/>
    <hyperlink ref="F235" r:id="rId256" display="https://web.archive.org/web/20260806233125/https://recalls.cannabis.ca.gov/recalls/6a43e400469891f7ecd256ae"/>
    <hyperlink ref="E236" r:id="rId257" display="https://recalls.cannabis.ca.gov/recalls/6a68dfdbc5b39a34e10f7334"/>
    <hyperlink ref="F236" r:id="rId258" display="https://web.archive.org/web/20260806233329/https://recalls.cannabis.ca.gov/recalls/6a68dfdbc5b39a34e10f7334"/>
    <hyperlink ref="E237" r:id="rId259" display="https://recalls.cannabis.ca.gov/recalls/6a7def131ecec3939f89bbf8"/>
    <hyperlink ref="F237" r:id="rId260" display="https://web.archive.org/web/20260904162908/https://recalls.cannabis.ca.gov/recalls/6a7def131ecec3939f89bbf8"/>
    <hyperlink ref="E238" r:id="rId261" display="https://recalls.cannabis.ca.gov/recalls/6a7df5f743ccda90f01aa8d9"/>
    <hyperlink ref="F238" r:id="rId262" display="https://web.archive.org/web/20260904164303/https://recalls.cannabis.ca.gov/recalls/6a7df5f743ccda90f01aa8d9"/>
    <hyperlink ref="E239" r:id="rId263" display="https://recalls.cannabis.ca.gov/recalls/6a8f33edb98914ac1cbf7ad5"/>
    <hyperlink ref="F239" r:id="rId264" display="https://web.archive.org/web/20260904164937/https://recalls.cannabis.ca.gov/recalls/6a8f33edb98914ac1cbf7ad5"/>
    <hyperlink ref="E240" r:id="rId265" display="https://recalls.cannabis.ca.gov/recalls/6aa070a00b3990d0d1911b0b"/>
    <hyperlink ref="F240" r:id="rId266" display="https://web.archive.org/web/20261006171958/https://recalls.cannabis.ca.gov/recalls/6aa070a00b3990d0d1911b0b"/>
    <hyperlink ref="E241" r:id="rId267" display="https://recalls.cannabis.ca.gov/recalls/6aa1a4bcb4769c715186bad8"/>
    <hyperlink ref="F241" r:id="rId268" display="https://web.archive.org/web/20261006173158/https://accounts.google.com/v3/signin/identifier?continue=https://docs.google.com/spreadsheets/d/17JBmDRWDa_EDOp6PvbQLT1gbOnHdK5XleaaQwNZ9ie4/edit?gid%3D0&amp;followup=https://docs.google.com/spreadsheets/d/17JBmDRWDa_EDOp6PvbQLT1gbOnHdK5XleaaQwNZ9ie4/edit?gid%3D0&amp;ltmpl=sheets&amp;osid=1&amp;passive=1209600&amp;service=wise&amp;flowName=GlifWebSignIn&amp;flowEntry=ServiceLogin&amp;dsh=S-1087237001:1791307916246548"/>
    <hyperlink ref="E242" r:id="rId269" display="https://recalls.cannabis.ca.gov/recalls/6aa2e912f2accebd33e19a65"/>
    <hyperlink ref="F242" r:id="rId270" display="https://web.archive.org/web/20261006173540/https://recalls.cannabis.ca.gov/recalls/6aa2e912f2accebd33e19a65"/>
    <hyperlink ref="E243" r:id="rId271" display="https://recalls.cannabis.ca.gov/recalls/6aa2ec645346d55ff8c73669"/>
    <hyperlink ref="F243" r:id="rId272" display="https://web.archive.org/web/20261006183543/https://recalls.cannabis.ca.gov/recalls/6aa2ec645346d55ff8c73669"/>
    <hyperlink ref="E244" r:id="rId273" display="https://recalls.cannabis.ca.gov/recalls/6aa1c7498a36944d2b7efd81"/>
    <hyperlink ref="F244" r:id="rId274" display="https://web.archive.org/web/20261006173158/https://accounts.google.com/v3/signin/identifier?continue=https://docs.google.com/spreadsheets/d/17JBmDRWDa_EDOp6PvbQLT1gbOnHdK5XleaaQwNZ9ie4/edit?gid%3D0&amp;followup=https://docs.google.com/spreadsheets/d/17JBmDRWDa_EDOp6PvbQLT1gbOnHdK5XleaaQwNZ9ie4/edit?gid%3D0&amp;ltmpl=sheets&amp;osid=1&amp;passive=1209600&amp;service=wise&amp;flowName=GlifWebSignIn&amp;flowEntry=ServiceLogin&amp;dsh=S-1087237001:1791307916246548"/>
    <hyperlink ref="E245" r:id="rId275" display="https://recalls.cannabis.ca.gov/recalls/6aa4651fa0feceb139d91ef9"/>
    <hyperlink ref="F245" r:id="rId276" display="https://web.archive.org/web/20261006184842/https://recalls.cannabis.ca.gov/recalls/6aa4651fa0feceb139d91ef9"/>
    <hyperlink ref="E246" r:id="rId277" display="https://web.archive.org/web/20160913223139/https://www.denvergov.org/content/denvergov/en/environmental-health/about-us/news-room/2015/mahatma-concentrates-recalls-marijuana-product-due-to-possible-p.html"/>
    <hyperlink ref="E247" r:id="rId278" display="https://web.archive.org/web/20160913211656/https://www.denvergov.org/content/denvergov/en/environmental-health/about-us/news-room/2015/TwoBusinessesRecallMarijuanaProducts.html"/>
    <hyperlink ref="E248" r:id="rId279" display="https://web.archive.org/web/20160913211656/https://www.denvergov.org/content/denvergov/en/environmental-health/about-us/news-room/2015/TwoBusinessesRecallMarijuanaProducts.html"/>
    <hyperlink ref="E249" r:id="rId280" display="https://web.archive.org/web/20160913222800/https://www.denvergov.org/content/denvergov/en/environmental-health/about-us/news-room/2015/two-denver-cultivation-facilities-recall-marijuana-products--due.html"/>
    <hyperlink ref="E250" r:id="rId281" display="https://web.archive.org/web/20160913223522/https://www.denvergov.org/content/denvergov/en/environmental-health/about-us/news-room/2015/nature_s-cure-recalls-marijuana-products-due-to-possible-pestici.html"/>
    <hyperlink ref="E251" r:id="rId282" display="https://web.archive.org/web/20180429040251/http://www.denvergov.org/content/denvergov/en/environmental-health/about-us/news-room/2015/green-cross-recalls-marijuana-products-due-to-possible-pesticide.html"/>
    <hyperlink ref="E252" r:id="rId283" display="https://web.archive.org/web/20160731234447/http://www.denvergov.org/content/denvergov/en/environmental-health/about-us/news-room/2015/gaia_s-garden-recalls-marijuana-products-due-to-possible-pestici.html"/>
    <hyperlink ref="E253" r:id="rId284" display="https://web.archive.org/web/20151205052712/https://www.denvergov.org/content/denvergov/en/environmental-health/about-us/news-room/2015/Marijuana-product-recall.html"/>
    <hyperlink ref="E254" r:id="rId285" display="https://web.archive.org/web/20151216222102/http://www.denvergov.org/content/denvergov/en/environmental-health/about-us/news-room/2015/gaia_s-garden-recalls-marijuana-products-due-to-possible-pestici.html"/>
    <hyperlink ref="E255" r:id="rId286" display="https://web.archive.org/web/20160913215642/https://www.denvergov.org/content/denvergov/en/environmental-health/about-us/news-room/2015/edipure-recalls-marijuana-products-due-to-pesticide-residues.html"/>
    <hyperlink ref="E256" r:id="rId287" display="https://www.thecannabist.co/2015/12/04/pesticide-pot-recall-list-marijuana/44711/"/>
    <hyperlink ref="E257" r:id="rId288" display="https://www.thecannabist.co/2015/12/04/pesticide-pot-recall-list-marijuana/44711/"/>
    <hyperlink ref="E258" r:id="rId289" display="https://www.thecannabist.co/2015/12/04/pesticide-pot-recall-list-marijuana/44711/"/>
    <hyperlink ref="E259" r:id="rId290" display="https://www.thecannabist.co/2015/12/04/pesticide-pot-recall-list-marijuana/44711/"/>
    <hyperlink ref="P259" r:id="rId291" display="imidacloprid and myclobutanil"/>
    <hyperlink ref="E260" r:id="rId292" display="https://www.thecannabist.co/2015/12/04/pesticide-pot-recall-list-marijuana/44711/"/>
    <hyperlink ref="P260" r:id="rId293" display="myclobutanil and etoxazole"/>
    <hyperlink ref="E261" r:id="rId294" display="https://www.thecannabist.co/2015/12/04/pesticide-pot-recall-list-marijuana/44711/"/>
    <hyperlink ref="P261" r:id="rId295" display="imidacloprid and myclobutanil"/>
    <hyperlink ref="E262" r:id="rId296" display="https://sbg.colorado.gov/sites/sbg/files/MED%20Levity%20Advisory%2002192016_1_1.pdf"/>
    <hyperlink ref="E263" r:id="rId297" display="https://sbg.colorado.gov/sites/sbg/files/MED%20Dr.%20Releaf%20Advisory%2002192016_1_1.pdf"/>
    <hyperlink ref="E264" r:id="rId298" display="https://sbg.colorado.gov/sites/sbg/files/2.23.16%20XG%20Platinum%20HSA_1_1.pdf"/>
    <hyperlink ref="E265" r:id="rId299" display="https://sbg.colorado.gov/sites/sbg/files/Health%20%26%20Safety%20Advisory%20-%20RMO%202-24-16%20Final_1_1.pdf"/>
    <hyperlink ref="E266" r:id="rId300" display="https://sbg.colorado.gov/sites/sbg/files/2.25.16%20BTTG%20final_1_1.pdf"/>
    <hyperlink ref="E267" r:id="rId301" display="https://sbg.colorado.gov/sites/sbg/files/160307%20Advisory%20-%20Sunrise%20Solutions_Final%20%281%29_2_1.pdf"/>
    <hyperlink ref="E268" r:id="rId302" display="https://sbg.colorado.gov/sites/sbg/files/CNW%20Final%2003092016_1.pdf"/>
    <hyperlink ref="E269" r:id="rId303" display="https://sbg.colorado.gov/sites/sbg/files/Headquarters%20Emp%20HSA%20final%2003102016_1_1.pdf"/>
    <hyperlink ref="E270" r:id="rId304" display="https://sbg.colorado.gov/sites/sbg/files/SkinnyPineapple%20Final%2003102016_1_1.pdf"/>
    <hyperlink ref="E271" r:id="rId305" display="https://sbg.colorado.gov/sites/sbg/files/AMA%20Final%2003142016_1_1.pdf"/>
    <hyperlink ref="E272" r:id="rId306" display="https://sbg.colorado.gov/sites/sbg/files/RR%20Services%20Final%2003142016_1_1.pdf"/>
    <hyperlink ref="E273" r:id="rId307" display="https://sbg.colorado.gov/sites/sbg/files/MGI%20HSA%2003172016_1_1.pdf"/>
    <hyperlink ref="E274" r:id="rId308" display="https://sbg.colorado.gov/sites/sbg/files/Colorados%20Best%2003212016_1.pdf"/>
    <hyperlink ref="E275" r:id="rId309" display="https://sbg.colorado.gov/sites/sbg/files/Firehouse%20central%20final%2003232016%20%281%29_1.pdf"/>
    <hyperlink ref="E276" r:id="rId310" display="https://sbg.colorado.gov/sites/sbg/files/Health%20Depot%20LLC%2004012016_1_1.pdf"/>
    <hyperlink ref="E277" r:id="rId311" display="https://sbg.colorado.gov/sites/sbg/files/Wanna%20LLC%2004012016_1_1.pdf"/>
    <hyperlink ref="E278" r:id="rId312" display="https://sbg.colorado.gov/sites/sbg/files/ACME%20Healing%20Center%20of%20Ridgway%20LLC%2004052016_1_1.pdf"/>
    <hyperlink ref="E279" r:id="rId313" display="https://sbg.colorado.gov/sites/sbg/files/Flower%20Power%20HSA%2004072016_1_1.pdf"/>
    <hyperlink ref="E280" r:id="rId314" display="https://sbg.colorado.gov/sites/sbg/files/J%20and%20J%2004072016_1_1.pdf"/>
    <hyperlink ref="E281" r:id="rId315" display="https://sbg.colorado.gov/sites/sbg/files/Grow%20Life%20HSA%2004212016_1_1.pdf"/>
    <hyperlink ref="E282" r:id="rId316" display="https://sbg.colorado.gov/sites/sbg/files/Medicine%20Man%20HSA%2004222016_1.pdf"/>
    <hyperlink ref="E283" r:id="rId317" display="https://sbg.colorado.gov/sites/sbg/files/Kazimer%20HSA%20%2004162016_1_1.pdf"/>
    <hyperlink ref="E284" r:id="rId318" display="https://sbg.colorado.gov/sites/sbg/files/Best%20Budz%20HSA%2005232016_1_1.pdf"/>
    <hyperlink ref="E285" r:id="rId319" display="https://sbg.colorado.gov/sites/sbg/files/Biomeds%20HSA%2005232016_1_1.pdf"/>
    <hyperlink ref="E286" r:id="rId320" display="https://sbg.colorado.gov/sites/sbg/files/9.7.16%20AMOCH%20HSA_1.pdf"/>
    <hyperlink ref="E287" r:id="rId321" display="https://sbg.colorado.gov/sites/sbg/files/9.7.16%20Green%20Naturals%20HSA_1.pdf"/>
    <hyperlink ref="E288" r:id="rId322" display="https://sbg.colorado.gov/sites/sbg/files/9.13.16%20Southern%20Colorado%20HSA_1.pdf"/>
    <hyperlink ref="E289" r:id="rId323" display="https://sbg.colorado.gov/sites/sbg/files/9.13.16%20The%20Tea%20Pot_1.pdf"/>
    <hyperlink ref="E290" r:id="rId324" display="https://sbg.colorado.gov/sites/sbg/files/JVT%20Enterprises%20HSA%2009232016_1.pdf"/>
    <hyperlink ref="E291" r:id="rId325" display="https://sbg.colorado.gov/sites/sbg/files/HSA%20Wash%20Park%20Boutique%20HSA%2009232016_1.pdf"/>
    <hyperlink ref="E292" r:id="rId326" display="https://drive.google.com/file/d/1VfVYuvXn63TWF1ZzeDR83DcrX1qkO9Yt/view?usp=sharing"/>
    <hyperlink ref="E293" r:id="rId327" display="https://sbg.colorado.gov/sites/sbg/files/Herbal%20Options%20HSA%2004262017_1_1.pdf"/>
    <hyperlink ref="E294" r:id="rId328" display="https://sbg.colorado.gov/sites/sbg/files/Rocky%20Mtn%20Ways%20HSA%2004262017_1_1.pdf"/>
    <hyperlink ref="E295" r:id="rId329" display="https://sbg.colorado.gov/sites/sbg/files/documents/7.19%20Kirke.pdf"/>
    <hyperlink ref="E296" r:id="rId330" display="https://sbg.colorado.gov/sites/sbg/files/documents/Metro%20Denver%20Telluride%20HSA%2007202017.pdf"/>
    <hyperlink ref="E297" r:id="rId331" display="https://drive.google.com/file/d/1ujY1WAdeo6T8TUTehRd0N3O8ayw5eAsD/view?usp=sharing"/>
    <hyperlink ref="E298" r:id="rId332" display="https://sbg.colorado.gov/sites/sbg/files/HSATree%20of%20Wellness%2011032017_2.pdf"/>
    <hyperlink ref="E299" r:id="rId333" display="https://sbg.colorado.gov/sites/sbg/files/HSA%20Citi-Med%2011172017_2.pdf"/>
    <hyperlink ref="E300" r:id="rId334" display="https://sbg.colorado.gov/sites/sbg/files/HSA%20Pikes%20Peak%20Cannabis%20Caregivers%20for%20Life%20402-00123%20and%20403-01328_1.pdf"/>
    <hyperlink ref="E301" r:id="rId335" display="https://sbg.colorado.gov/sites/sbg/files/01242018%20Bronner%20Corp%20HSA.pdf"/>
    <hyperlink ref="E302" r:id="rId336" display="https://sbg.colorado.gov/sites/sbg/files/181121%20HSA%20CWC.pdf"/>
    <hyperlink ref="E303" r:id="rId337" display="https://sbg.colorado.gov/sites/sbg/files/Crossroads%20Wellness%20HSA%20Final.pdf"/>
    <hyperlink ref="E304" r:id="rId338" display="https://sbg.colorado.gov/sites/sbg/files/HSA%20Mile%20High%20Medical%2004112019.pdf"/>
    <hyperlink ref="E305" r:id="rId339" display="https://sbg.colorado.gov/sites/sbg/files/documents/190816%20Public%20Health%20and%20Safety%20Advisory-%20Herbal%20Wellness%2C%20LLC.pdf"/>
    <hyperlink ref="E306" r:id="rId340" display="https://drive.google.com/open?id=1RJSbwmD5DzoI-E09vDshbUATjN9wvx6h"/>
    <hyperlink ref="E307" r:id="rId341" display="https://drive.google.com/open?id=1oZxftn0twX4egl0ZPGDbIi0UL12ey3uS"/>
    <hyperlink ref="E308" r:id="rId342" display="https://drive.google.com/file/d/1fA2Md16UM1sp028SKLWjIme7_Cvc_3Qs/view"/>
    <hyperlink ref="E309" r:id="rId343" display="https://drive.google.com/file/d/15p7-15uOMGjz84uqEYz5hpUljx-oP62p/view"/>
    <hyperlink ref="E310" r:id="rId344" display="https://drive.google.com/file/d/1xowig7vPtl-lz_xUAALt3DIxeGua1xY6/view?usp=sharing"/>
    <hyperlink ref="E311" r:id="rId345" display="https://sbg.colorado.gov/sites/sbg/files/201105%20HSA%20Physician%20Preferred%20Products%20LLC%20403-01905.pdf"/>
    <hyperlink ref="E312" r:id="rId346" display="https://sbg.colorado.gov/sites/sbg/files/documents/Health%20and%20Safety%20Advisory%20-%20Carrick-Harvest%20LLC.pdf"/>
    <hyperlink ref="E313" r:id="rId347" display="https://sbg.colorado.gov/sites/sbg/files/documents/210210%20FINAL%20Medically%20Correct%20HSA.pdf"/>
    <hyperlink ref="E314" r:id="rId348" display="https://sbg.colorado.gov/sites/sbg/files/documents/20210330%20TZ%20Financial%20LLC%20403R-00123%20HSA%20Final.pdf"/>
    <hyperlink ref="E315" r:id="rId349" display="https://sbg.colorado.gov/sites/sbg/files/documents/210419%20HSA%20Primal%20LLC%20402-01058%20Final.pdf"/>
    <hyperlink ref="E316" r:id="rId350" display="https://sbg.colorado.gov/sites/sbg/files/Health_and_Safety_Advisory_The_Chronic_Factory_LLC.pdf"/>
    <hyperlink ref="E317" r:id="rId351" display="https://drive.google.com/file/d/1ap4Pkw4aJxhvzy9G0tbZNkViwE69_6Ry/view?usp=sharing"/>
    <hyperlink ref="J317" r:id="rId352" display="FIRST CLASS LLC"/>
    <hyperlink ref="E318" r:id="rId353" display="https://sbg.colorado.gov/sites/sbg/files/documents/Health_and_Safety_Advisory_Tree_Farmers_LLC_211208.pdf"/>
    <hyperlink ref="E319" r:id="rId354" display="https://sbg.colorado.gov/sites/sbg/files/documents/Health_and_Safety_Advisory_211214_REVISED_HSA_Innovative_Fusion_LLC.pdf"/>
    <hyperlink ref="E320" r:id="rId355" display="https://docs.google.com/document/d/1S_40b2SJe9L_ZeHc-fK7Klq19YMnDROTX3cy81itYks/edit"/>
    <hyperlink ref="E321" r:id="rId356" display="https://drive.google.com/file/d/1I-nbQQyv4UKLNghmjmbliC_WVa8fkpeJ/view"/>
    <hyperlink ref="E322" r:id="rId357" display="https://sbg.colorado.gov/sites/sbg/files/Health_and_Safety_Advisory_LivWell_I_LLC_403R-00252.pdf"/>
    <hyperlink ref="E323" r:id="rId358" display="https://sbg.colorado.gov/sites/sbg/files/documents/220420Final_Fresh_Baked_LLC_403R-00250_HSA.pdf"/>
    <hyperlink ref="E324" r:id="rId359" display="https://sbg.colorado.gov/sites/sbg/files/220503_HSA_Canna_Meds_Wellness_Center_LLC.pdf"/>
    <hyperlink ref="E325" r:id="rId360" display="https://sbg.colorado.gov/sites/sbg/files/220518_Fresh_Baked_LLC_403R-00250_HSA_2.pdf"/>
    <hyperlink ref="E326" r:id="rId361" display="https://sbg.colorado.gov/sites/sbg/files/220714_Dune_Valley_Farms_LLC_403R-00850_HSA.pdf"/>
    <hyperlink ref="E327" r:id="rId362" display="https://sbg.colorado.gov/sites/sbg/files/220722_Informational_%20Notification_RE_Adverse_Health_Events_Reported_Related_to_1906_Midnight_Drops.pdf"/>
    <hyperlink ref="E328" r:id="rId363" display="https://sbg.colorado.gov/sites/sbg/files/221012_HSA_Beyond_Broadway_LLC.pdf"/>
    <hyperlink ref="E329" r:id="rId364" display="https://sbg.colorado.gov/sites/sbg/files/221026_SDJ_LLC_HSA.docx.pdf"/>
    <hyperlink ref="E330" r:id="rId365" display="https://sbg.colorado.gov/sites/sbg/files/221123_HSA_Beddor_Claude_LLC.docx.pdf"/>
    <hyperlink ref="E331" r:id="rId366" display="https://sbg.colorado.gov/sites/sbg/files/221215_HSA_240_Arthur_Avenue_LLC.pdf"/>
    <hyperlink ref="E332" r:id="rId367" display="https://sbg.colorado.gov/sites/sbg/files/FINAL_HSA_Jolet_Ventures_403R-00132.pdf"/>
    <hyperlink ref="E333" r:id="rId368" display="https://sbg.colorado.gov/sites/sbg/files/FINAL_HSA_Sissco_LLC_403-00840_403R-00333.pdf"/>
    <hyperlink ref="E334" r:id="rId369" display="https://sbg.colorado.gov/sites/sbg/files/230126%20Health%20and%20Safety%20Advisory_%20Physician%20Preferred%20Products%20LLC%20%28DBA%20Doc%E2%80%99s%20Apothecary%29.pdf"/>
    <hyperlink ref="E335" r:id="rId370" display="https://sbg.colorado.gov/sites/sbg/files/230309_CORRECTED_Health_and_Safety_Advisory_Green_Street_LLC.pdf"/>
    <hyperlink ref="E336" r:id="rId371" display="https://sbg.colorado.gov/sites/sbg/files/documents/230320_HSA_MJ_Durango.pdf"/>
    <hyperlink ref="E337" r:id="rId372" display="https://sbg.colorado.gov/sites/sbg/files/documents/230322_Updated_HSA_Carrick-Harvest.docx.pdf"/>
    <hyperlink ref="E338" r:id="rId373" display="https://sbg.colorado.gov/sites/sbg/files/documents/230412_BBM_Enterprises_LLC_HSA.pdf"/>
    <hyperlink ref="E339" r:id="rId374" display="https://sbg.colorado.gov/sites/sbg/files/documents/230412_COS_Investments_LLC_HSA.pdf"/>
    <hyperlink ref="E340" r:id="rId375" display="https://sbg.colorado.gov/sites/sbg/files/documents/230412_Trinidad_Cultivation_Services_HSA.pdf"/>
    <hyperlink ref="E341" r:id="rId376" display="https://sbg.colorado.gov/sites/sbg/files/documents/230417_Long_Gone_Farms_HSA.pdf"/>
    <hyperlink ref="E342" r:id="rId377" display="https://sbg.colorado.gov/sites/sbg/files/documents/230508_Big_Mountain_Organics_LLC_HSA.docx.pdf"/>
    <hyperlink ref="E343" r:id="rId378" display="https://sbg.colorado.gov/sites/sbg/files/documents/230509_MJ_Durango_HSA.pdf"/>
    <hyperlink ref="E344" r:id="rId379" display="https://sbg.colorado.gov/sites/sbg/files/documents/230523_GT_Retail_LLC_HSA.pdf"/>
    <hyperlink ref="E345" r:id="rId380" display="https://sbg.colorado.gov/sites/sbg/files/documents/230601%20Informational%20Notification%20RE_%20Adverse%20Health%20Events%20Reported%20Related%20to%201906%20Midnight%20Drops.pdf"/>
    <hyperlink ref="E346" r:id="rId381" display="https://sbg.colorado.gov/sites/sbg/files/documents/230612%20HSA%20Kind%20Care%20of%20Colorado%20LLC%20402-00841%20%26%20402R-00516.pdf"/>
    <hyperlink ref="E347" r:id="rId382" display="https://sbg.colorado.gov/sites/sbg/files/documents/230622%20Tumbleweed%20Steamboat%20LLC%20HSA%20memo.pdf"/>
    <hyperlink ref="E348" r:id="rId383" display="https://sbg.colorado.gov/sites/sbg/files/documents/230824%20P2C3%2C%20LLC%20HSA%20%20Revised.pdf"/>
    <hyperlink ref="E349" r:id="rId384" display="https://drive.google.com/file/d/1YHAR9H4TClbzgUXNwLn8q3uh-NAxVoG8/view"/>
    <hyperlink ref="E350" r:id="rId385" display="https://drive.google.com/file/d/11ZQK6nVV01HHHKjuJM-_leTDFSiPbLFn/view"/>
    <hyperlink ref="E351" r:id="rId386" display="https://med.colorado.gov/sites/med/files/documents/240830_SLOW_BURN_FARM_%20LLC_2024-0127_HSA_MEMO.pdf"/>
    <hyperlink ref="E352" r:id="rId387" display="https://drive.google.com/file/d/19WkOCu8hxtPrD_NbEIiARDM6r6TAv91B/view"/>
    <hyperlink ref="E353" r:id="rId388" display="https://drive.google.com/file/d/1Ouz0dMZyAoBPFFfo9cKvW7RWSfsX92Ea/view"/>
    <hyperlink ref="E354" r:id="rId389" display="https://drive.google.com/file/d/1_wFzm3GOJfzE6tmSqIhIcyvtI8ocZJDf/view"/>
    <hyperlink ref="E355" r:id="rId390" display="https://drive.google.com/file/d/1idBqkIEOYMygYTyIrTMjdJZgRSjlyX_O/view"/>
    <hyperlink ref="E356" r:id="rId391" location="gid=0" display="https://docs.google.com/spreadsheets/d/10YkN4Rqg58UGLMEH5R_pS1_9uNAoTdNG2UDLxc21FXs/edit?gid=0#gid=0"/>
    <hyperlink ref="E357" r:id="rId392" display="https://drive.google.com/file/d/1-8eWEfr3zRc4GI3VXz5GTGJHl-Am0P1W/view"/>
    <hyperlink ref="E358" r:id="rId393" display="https://drive.google.com/file/d/1iAnXF7p_mCzCHRMVsxGmuYuGdA7lrBwR/view"/>
    <hyperlink ref="E359" r:id="rId394" display="https://drive.google.com/file/d/1XjvXw1cBy9RUUsRO95g9YQVBYN2aPKP4/view"/>
    <hyperlink ref="E360" r:id="rId395" display="https://drive.google.com/file/d/1S-DzTLFKhdxm9scoC-EgZSoyHluy3oCm/view"/>
    <hyperlink ref="E361" r:id="rId396" display="https://drive.google.com/file/d/1uTORm-zZZvUK2YC_Tbh59h_0rcQZPjjT/view"/>
    <hyperlink ref="E362" r:id="rId397" display="https://drive.google.com/file/d/1CiIaN9i_LaRfkPphezsddl7jz6QYva7p/view"/>
    <hyperlink ref="E363" r:id="rId398" display="https://drive.google.com/file/d/1PXcEnUUvJ0FhKHSGMPAdqc7xq6oSlZPJ/view"/>
    <hyperlink ref="E364" r:id="rId399" display="https://drive.google.com/file/d/1Fv-ODcgUshxPwdKn31ODct8y0ZZ4n_gN/view"/>
    <hyperlink ref="E365" r:id="rId400" display="https://drive.google.com/file/d/1BHySC8XCeVLWUZPjUgiyYtlaRfJC5Pin/view"/>
    <hyperlink ref="E366" r:id="rId401" display="https://drive.google.com/file/d/1d9dxbbcp38qhitq_nnBXNGXx8tihY-eu/view"/>
    <hyperlink ref="E367" r:id="rId402" location="gid=0" display="https://docs.google.com/spreadsheets/d/10YkN4Rqg58UGLMEH5R_pS1_9uNAoTdNG2UDLxc21FXs/edit?gid=0#gid=0"/>
    <hyperlink ref="E368" r:id="rId403" display="https://drive.google.com/file/d/1wxGzfS5E5CvpSdIl0p3_wpaUGOVlg7-O/view"/>
    <hyperlink ref="E369" r:id="rId404" display="https://drive.google.com/file/d/1UAGSwwkSjaNBMT4_55iNo-xjhiBuTt4H/view"/>
    <hyperlink ref="E370" r:id="rId405" display="https://drive.google.com/file/d/155K5itnbbcG9r6nxemU_8UHDu709cMJB/view"/>
    <hyperlink ref="E371" r:id="rId406" location="gid=0" display="https://docs.google.com/spreadsheets/d/10YkN4Rqg58UGLMEH5R_pS1_9uNAoTdNG2UDLxc21FXs/edit?gid=0#gid=0"/>
    <hyperlink ref="E372" r:id="rId407" display="https://drive.google.com/file/d/19q__x77AyU7ZTTrhGXGGMJNjWyJ9R5Sj/view"/>
    <hyperlink ref="E373" r:id="rId408" display="https://drive.google.com/file/d/1hVBxJXY-_7ZXrCz3yI0J7CENF9eas4Dy/view"/>
    <hyperlink ref="E374" r:id="rId409" display="https://drive.google.com/file/d/1GKnyLFccnLupVkDLLZwADODi7o8x40Cd/view"/>
    <hyperlink ref="E375" r:id="rId410" display="https://drive.google.com/file/d/1KvyOhoFc8TmE6_A6Tn_8_pEVBsfHd8Yc/view"/>
    <hyperlink ref="E376" r:id="rId411" display="https://drive.google.com/file/d/1r3Tyzturym13Qc6BjpToStviBvOOtUwk/view"/>
    <hyperlink ref="E377" r:id="rId412" display="https://drive.google.com/file/d/1pD-nht94Id2_tmp6-WDPiFNciH67jxVq/view"/>
    <hyperlink ref="E378" r:id="rId413" display="https://drive.google.com/file/d/13YLI15IZ7lGFeVAnZES8vw1jlCuMczC5/view"/>
    <hyperlink ref="E379" r:id="rId414" display="https://drive.google.com/file/d/1WFrJsUtGrK0J9CibBjMAwK4i_kXtlpvK/view"/>
    <hyperlink ref="E380" r:id="rId415" display="https://drive.google.com/file/d/1eNsw8cITFVIFlTvpF1KXNHiFP1jWxaJB/view"/>
    <hyperlink ref="E381" r:id="rId416" display="https://drive.google.com/file/d/1s5YrlVCaIsEywcYMU-ughAiXbQnLFe0V/view"/>
    <hyperlink ref="E382" r:id="rId417" display="https://drive.google.com/file/d/1VrpYPuL0r4KFSuO54ewvJnInXZE2J7vK/view"/>
    <hyperlink ref="F382" r:id="rId418" display="https://web.archive.org/web/20260806233910/https://drive.google.com/file/d/1VrpYPuL0r4KFSuO54ewvJnInXZE2J7vK/view"/>
    <hyperlink ref="E383" r:id="rId419" display="https://drive.google.com/file/d/1mCGOawrQC-Z9FCU08ES4kPJSokQb2WXR/view"/>
    <hyperlink ref="F383" r:id="rId420" display="https://web.archive.org/web/20260806234403/https://drive.google.com/file/d/1mCGOawrQC-Z9FCU08ES4kPJSokQb2WXR/view"/>
    <hyperlink ref="E384" r:id="rId421" display="https://drive.google.com/file/d/1ektS_ZuQhTvhUfmVgYhLqrjRv58bEouX/view"/>
    <hyperlink ref="F384" r:id="rId422" display="https://web.archive.org/web/20260806234654/https://drive.google.com/file/d/1ektS_ZuQhTvhUfmVgYhLqrjRv58bEouX/view"/>
    <hyperlink ref="E385" r:id="rId423" display="https://drive.google.com/file/d/1OQT5HDn3okfuhUnoP9h3c7_GZ9ZYnBvd/view"/>
    <hyperlink ref="F385" r:id="rId424" display="https://web.archive.org/web/20260806235112/https://drive.google.com/file/d/1OQT5HDn3okfuhUnoP9h3c7_GZ9ZYnBvd/view"/>
    <hyperlink ref="E386" r:id="rId425" display="https://drive.google.com/file/d/1Kh6Irf6lmLqr2t8WdPi6-PZGzX0BHIHH/view"/>
    <hyperlink ref="F386" r:id="rId426" display="https://web.archive.org/web/20260806235447/https://drive.google.com/file/d/1Kh6Irf6lmLqr2t8WdPi6-PZGzX0BHIHH/view"/>
    <hyperlink ref="E387" r:id="rId427" display="https://drive.google.com/file/d/1yFEI1eJSuhjnk8tqt75XekV5lOs2kJzb/view"/>
    <hyperlink ref="E388" r:id="rId428" display="https://drive.google.com/file/d/1Ucb5LAtuLsvm6rL2QwEXLC4wYLqdLRMi/view"/>
    <hyperlink ref="F388" r:id="rId429" display="https://web.archive.org/web/20260807000323/https://drive.google.com/file/d/1Ucb5LAtuLsvm6rL2QwEXLC4wYLqdLRMi/view"/>
    <hyperlink ref="E389" r:id="rId430" location="gid=0" display="https://docs.google.com/spreadsheets/d/17JBmDRWDa_EDOp6PvbQLT1gbOnHdK5XleaaQwNZ9ie4/edit?gid=0#gid=0"/>
    <hyperlink ref="E390" r:id="rId431" location="gid=0" display="https://docs.google.com/spreadsheets/d/17JBmDRWDa_EDOp6PvbQLT1gbOnHdK5XleaaQwNZ9ie4/edit?gid=0#gid=0"/>
    <hyperlink ref="E391" r:id="rId432" location="gid=0" display="https://docs.google.com/spreadsheets/d/17JBmDRWDa_EDOp6PvbQLT1gbOnHdK5XleaaQwNZ9ie4/edit?gid=0#gid=0"/>
    <hyperlink ref="E392" r:id="rId433" location="lightbox" display="https://www.reddit.com/r/Connecticut/comments/1qemph5/recall_on_brix_cannabis/#lightbox"/>
    <hyperlink ref="E393" r:id="rId434" display="https://www.ctinsider.com/cannabis/article/curaleaf-medical-cannabis-product-recall-ct-20322956.php"/>
    <hyperlink ref="E394" r:id="rId435" display="https://www.floridahealth.gov/newsroom/2020/08/081820-ommu-press-release.pr.html"/>
    <hyperlink ref="E395" r:id="rId436" display="https://www.floridahealth.gov/_documents/newsroom/press-releases/2021/11/20211108-cur-press-release.pdf"/>
    <hyperlink ref="E396" r:id="rId437" display="https://chicago.suntimes.com/2021/12/10/22821308/marijuana-regulation-illinois-legal-weed-mag-landrace-consumers-cannabis-industry"/>
    <hyperlink ref="E397" r:id="rId438" display="https://www.centralmaine.com/2015/09/05/wellness-connection-of-maine-recalls-two-strains-of-medical-marijuana/"/>
    <hyperlink ref="E398" r:id="rId439" display="https://www.maine.gov/dafs/ocp/recalls/cannabis-cured-9-2024"/>
    <hyperlink ref="E399" r:id="rId440" display="https://www.maine.gov/dafs/ocp/recalls/nova-farms-10-2024"/>
    <hyperlink ref="E400" r:id="rId441" display="https://www.maine.gov/dafs/ocp/recalls/leb-city-11-2024"/>
    <hyperlink ref="E401" r:id="rId442" display="https://www.maine.gov/dafs/ocp/recalls/nova-farms-10-2024"/>
    <hyperlink ref="E402" r:id="rId443" display="https://www.maine.gov/dafs/ocp/recalls/norco-10-2025"/>
    <hyperlink ref="E403" r:id="rId444" display="https://www.maine.gov/dafs/ocp/recalls/norco-10-2025"/>
    <hyperlink ref="E404" r:id="rId445" display="https://www.maine.gov/dafs/ocp/recalls/norco-12-2025"/>
    <hyperlink ref="E405" r:id="rId446" display="https://www.maine.gov/dafs/ocp/recalls/marijuanaville-1-2026"/>
    <hyperlink ref="E406" r:id="rId447" display="https://www.maine.gov/dafs/ocp/recalls/northwoods-5-2026"/>
    <hyperlink ref="F406" r:id="rId448" display="https://web.archive.org/save/https://www.maine.gov/dafs/ocp/recalls/northwoods-5-2026"/>
    <hyperlink ref="E407" r:id="rId449" display="https://www.maine.gov/dafs/ocp/recalls/green-trap-6-2026"/>
    <hyperlink ref="F407" r:id="rId450" display="https://web.archive.org/save/https://www.maine.gov/dafs/ocp/recalls/green-trap-6-2026"/>
    <hyperlink ref="E408" r:id="rId451" display="https://www.maine.gov/dafs/ocp/recalls/klouds-society-6-2026"/>
    <hyperlink ref="F408" r:id="rId452" display="https://web.archive.org/web/20260807002447/https://www.maine.gov/dafs/ocp/recalls/klouds-society-6-2026"/>
    <hyperlink ref="E409" r:id="rId453" display="https://www.maine.gov/dafs/ocp/recalls/ganja-world-9-2026"/>
    <hyperlink ref="F409" r:id="rId454" display="https://web.archive.org/web/20261006210001/https://www.maine.gov/dafs/ocp/recalls/ganja-world-9-2026"/>
    <hyperlink ref="E410" r:id="rId455" display="https://cannabis.maryland.gov/Documents/2025_PDF_Files/Bulletins/Recall%20Notification.pdf"/>
    <hyperlink ref="E411" r:id="rId456" display="https://masscannabiscontrol.com/2022/02/cannabis-control-commission-alerts-the-public-to-quarantine-order-requiring-ack-natural-llc-to-recall-its-marijuana-and-marijuana-products/"/>
    <hyperlink ref="E412" r:id="rId457" display="https://masscannabiscontrol.com/2021/10/quarantine-order-g-l-c-94g-%c2%a7%c2%a7-4axi-and-xix-935-cmr-500-340-quarantine-order-and-935-cmr-501-340-quarantine-order/"/>
    <hyperlink ref="E413" r:id="rId458" display="https://masscannabiscontrol.com/2025/02/notice-massachusetts-cannabis-control-commission-public-health-and-safety-advisory-potentially-contaminated-marijuana-products-sold-between-may-31-2024-and-january-23-2025-february-3-2025/"/>
    <hyperlink ref="E414" r:id="rId459" display="https://masscannabiscontrol.com/2025/02/notice-massachusetts-cannabis-control-commission-public-health-and-safety-advisory-potentially-contaminated-marijuana-products-sold-between-september-18-2024-and-january-30-2025-february-3/"/>
    <hyperlink ref="E415" r:id="rId460" display="https://masscannabiscontrol.com/2025/08/notice-massachusetts-cannabis-control-commission-public-health-and-safety-advisory-contaminated-and-potentially-contaminated-marijuana-products-august-6-2025/"/>
    <hyperlink ref="E416" r:id="rId461" display="https://www.michigan.gov/cra/-/media/Project/Websites/cra/bulletin/1Public-Health-an-Safety-Advisory/Public_Health_and_Safety_Advisory_1-4-2019_Final_642608_7.pdf?rev=1d41645ec2ee4765a1fc1530279d1bad&amp;hash=30327154BC6A3EF673FE772154B88856"/>
    <hyperlink ref="E417" r:id="rId462" display="https://www.michigan.gov/cra/-/media/Project/Websites/cra/bulletin/1Public-Health-an-Safety-Advisory/Public_Health_and_Safety_Advisory_CCBD_1-10-19_643369_7.pdf?rev=c778c23b3db649e5ba57b6802a7caddb&amp;hash=539ED0B6BFE0DA9ABA691327FBB334C6"/>
    <hyperlink ref="E418" r:id="rId463" display="https://www.michigan.gov/cra/-/media/Project/Websites/cra/bulletin/1Public-Health-an-Safety-Advisory/Public_Health_and_Safety_Advisory_664_Vassar_LLC_Elite_Wellness_Vassar_2-6-2019_003_645544_7.pdf?rev=a0fd4848db594909a577f76615c3b601&amp;hash=1DD185D2E6BF9AC2DF886691FF0958A3"/>
    <hyperlink ref="E419" r:id="rId464" display="https://www.michigan.gov/cra/-/media/Project/Websites/cra/bulletin/1Public-Health-an-Safety-Advisory/Public_Health_and_Safety_Advisory_Lead_Contamination_in_Vape_Cartridges_4-12-2019_652464_7.pdf?rev=6549195f142f469c8c8f72186bec538c&amp;hash=470D11A50F6DB94EF6911B083354576F"/>
    <hyperlink ref="E420" r:id="rId465" display="https://www.michigan.gov/cra/-/media/Project/Websites/cra/bulletin/1Public-Health-an-Safety-Advisory/The_Spott_Public_Health_and_Safety_Advisory_Bulletin_080719_662637_7.pdf?rev=65b3c1e4670543d09a14c40cf50fce43&amp;hash=C8EF735869E39C58ECD0886845E2523A"/>
    <hyperlink ref="E421" r:id="rId466" display="https://www.michigan.gov/cra/-/media/Project/Websites/cra/bulletin/1Public-Health-an-Safety-Advisory/Iron_Labs_Public_Health_and_Safety_Advisory_Bulletin_081619_663601_7.pdf?rev=48fd02603c0a44419c83059c4d56292c&amp;hash=7E474D9480AECA4AC720B2060B9A0DBD"/>
    <hyperlink ref="E422" r:id="rId467" display="https://www.michigan.gov/cra/-/media/Project/Websites/cra/bulletin/1Public-Health-an-Safety-Advisory/public-health-safety-advisory-iron-lab-recall-08302019_664856_7.pdf?rev=b638ef9b02dc46729e3f0575c3c13329&amp;hash=DB534585A391AA9D1BBC7B779E9B8E73"/>
    <hyperlink ref="E423" r:id="rId468" display="https://www.michigan.gov/cra/-/media/Project/Websites/cra/bulletin/1Public-Health-an-Safety-Advisory/VitaminEPublic_Health_and_Safety_Advisory_674168_7.pdf?rev=2a3fc07778df4bb4aebaa5a7e66a950d&amp;hash=1D050C55F7F71A488714315AEB6256D4"/>
    <hyperlink ref="E424" r:id="rId469" display="https://www.michigan.gov/cra/-/media/Project/Websites/lara/about/Folder5/Public_Health_and_Safety_Advisory_Bulletin.pdf?rev=dc510ae2fa264bcc8c06aa1a2b4b8668&amp;hash=623D5BADE4C99D847963CA865199F600"/>
    <hyperlink ref="E425" r:id="rId470" display="https://www.michigan.gov/cra/-/media/Project/Websites/cra/bulletin/1Public-Health-an-Safety-Advisory/Public_Health_and_Safety_Advisory_Bulletin_678819_7.pdf?rev=e73ec2ae43d9413681e6c790fbd8d1ea&amp;hash=5AAF2D6FCA6AED9084F211CF38DB62D0"/>
    <hyperlink ref="E426" r:id="rId471" display="https://www.michigan.gov/cra/-/media/Project/Websites/cra/bulletin/1Public-Health-an-Safety-Advisory/Public_Health_and_Safety_Advisory_676863_7.pdf?rev=ffaad15d875041a481593909d2c39c71&amp;hash=054A2DEE39F652D7EA52146968EBC83F"/>
    <hyperlink ref="E427" r:id="rId472" display="https://www.michigan.gov/cra/-/media/Project/Websites/cra/bulletin/1Public-Health-an-Safety-Advisory/Plan_BVitaminEPublic_Health_and_Safety_Advisory_01222020_679263_7.pdf?rev=bca9494704d24630b9e9f920d9743a9f&amp;hash=C57D4E3C86303A96E407F055731EE2A0"/>
    <hyperlink ref="E428" r:id="rId473" display="https://www.michigan.gov/cra/-/media/Project/Websites/cra/bulletin/1Public-Health-an-Safety-Advisory/Bulletin_-_020620_vitamin_E_recall_680676_7.pdf?rev=6f42e52007e3493a861785147bf708f3&amp;hash=CA31FE4FAA34B75AD2643E927EFA7C21"/>
    <hyperlink ref="E429" r:id="rId474" display="https://www.michigan.gov/cra/-/media/Project/Websites/cra/bulletin/1Public-Health-an-Safety-Advisory/Vape_Carts_Recall_-_03202020_684355_7.pdf?rev=781b71cd09c14e29a23196354f6496f5&amp;hash=9FC520927F7B132901318D345884C891"/>
    <hyperlink ref="E430" r:id="rId475" display="https://www.michigan.gov/cra/-/media/Project/Websites/cra/bulletin/1Public-Health-an-Safety-Advisory/3843_Euclid_Recall_Notice_698577_7.pdf?rev=575192df3b56454fa1f281775c754f59&amp;hash=F53E6204E6825E25C10F86DEF4D81D77"/>
    <hyperlink ref="E431" r:id="rId476" display="https://www.michigan.gov/cra/-/media/Project/Websites/cra/bulletin/1Public-Health-an-Safety-Advisory/9-17-2020_MRA_recall_health_and_safety_bulletin_702606_7.pdf?rev=ed2a117406a6463d99cbff9287b4a55b&amp;hash=FCD0E3B0C0427E2A67A9D48AC06E8FF9"/>
    <hyperlink ref="E432" r:id="rId477" display="https://www.michigan.gov/cra/-/media/Project/Websites/cra/bulletin/1Public-Health-an-Safety-Advisory/3843_Euclid_Recall_Notice_7-7-2021_FINAL_729720_7.pdf?rev=7ed2a67934fa43d9a2de8ad259aac5b2&amp;hash=6942B7C8D4E3239800D68B4F6FD46B5C"/>
    <hyperlink ref="E433" r:id="rId478" display="https://www.michigan.gov/cra/-/media/Project/Websites/cra/bulletin/1Public-Health-an-Safety-Advisory/DRAFTMichiganMedicalMarijuanaLLCAUGB000128DBAGLOPublicHealthandSafetyAdvisoryBulletinDHv27366207.pdf?rev=42d521521a1b4f6ca7b5742950b7b737&amp;hash=A28C8FE63CCDA3BC7D26D84CCFC21BC6"/>
    <hyperlink ref="E434" r:id="rId479" display="https://web.archive.org/web/20221104175751/https://www.michigan.gov/cra/-/media/Project/Websites/cra/bulletin/1Public-Health-an-Safety-Advisory/111821_Notification_of_Marijuana_Product_Recall_Viridis_Bulletin_Update_741566_7.pdf?rev=17c593bdbd564a1ca1cf589fafdec38b&amp;hash=9AEC302EDA4DC8C5E87097379BFC1A7D"/>
    <hyperlink ref="E435" r:id="rId480" display="https://www.michigan.gov/cra/-/media/Project/Websites/cra/bulletin/1Public-Health-an-Safety-Advisory/Public-Health-and-Safety-Advisory---Marijuana-Consumer-Alert---111522-(002).pdf?rev=5e161e5217be4e92aa3a647108dae628&amp;hash=0DDBB7A9E318F9D54E6D8A6721BAF240"/>
    <hyperlink ref="E436" r:id="rId481" display="https://www.michigan.gov/cra/-/media/Project/Websites/cra/bulletin/1Public-Health-an-Safety-Advisory/Public-Health-and-Safety-Advisory---Voluntary-Recall---Weed-Bar_Final-(772023).pdf?rev=bc225217e56a400b81503d5d0d0b990c&amp;hash=B2C99489BE3B79F7868CBA606C0EC645"/>
    <hyperlink ref="E437" r:id="rId482" display="https://www.michigan.gov/cra/-/media/Project/Websites/cra/bulletin/1Public-Health-an-Safety-Advisory/Public-Health-and-Safety-Advisory---Marijuana-Consumer-Alert--Flight-Vapes--FINAL.pdf?rev=6040378ee85e454eab531e551e37528e&amp;hash=3D6029D6929D54E9C5040E382B6A1572"/>
    <hyperlink ref="E438" r:id="rId483" display="https://www.michigan.gov/cra/-/media/Project/Websites/cra/bulletin/health-safety/Public-Health-and-Safety-Advisory---Voluntary-Recall---SBCMI_-FINAL.pdf?rev=a8116ff5facd4c8fb0edfc3804c651f0&amp;hash=13F0C4155A6C4FE4BE2E178F68DE1A1F"/>
    <hyperlink ref="E439" r:id="rId484" display="https://www.michigan.gov/cra/-/media/Project/Websites/cra/bulletin/1Public-Health-an-Safety-Advisory/RecallBulletin110823FINAL.pdf?rev=ce7bc38437e94cab9f10ff967d1d4886&amp;hash=E22EA5B355923BEFA6E6E134E1052B76"/>
    <hyperlink ref="E440" r:id="rId485" display="https://www.michigan.gov/cra/-/media/Project/Websites/cra/bulletin/1Public-Health-an-Safety-Advisory/Recall-Bulletin-112023---FINAL.pdf?rev=747ba59d2b4349bcbae99420672cf590&amp;hash=C7DEB9EBB5AF04BCD47AF8E7DD307BCA"/>
    <hyperlink ref="E441" r:id="rId486" display="https://www.michigan.gov/cra/-/media/Project/Websites/cra/bulletin/1Public-Health-an-Safety-Advisory/Recall-Bulletin---Flavor-Galaxy---FINAL.pdf?rev=b8a5df78c4b94b47b0dc9874cd7beedc&amp;hash=AD8FF73EE3D0A44A976381C012110C63"/>
    <hyperlink ref="E442" r:id="rId487" display="https://www.michigan.gov/cra/-/media/Project/Websites/cra/bulletin/1Public-Health-an-Safety-Advisory/Public-Health-and-Safety-Advisory---Flavor-Galaxy---FINAL.pdf?rev=d3953bd7527247d2bb6222398c814499&amp;hash=36B9C6D838E469CC999978762560FDC5"/>
    <hyperlink ref="E443" r:id="rId488" display="https://www.michigan.gov/cra/-/media/Project/Websites/cra/bulletin/1Public-Health-an-Safety-Advisory/Recall-Bulletin---Flavor-Galaxy---FINAL.pdf?rev=b8a5df78c4b94b47b0dc9874cd7beedc&amp;hash=7682C403EE558A9A77BB33095E8DC10B"/>
    <hyperlink ref="E444" r:id="rId489" display="https://www.michigan.gov/cra/-/media/Project/Websites/cra/bulletin/1Public-Health-an-Safety-Advisory/Exhale-Public-health-and-Safety-Bulletin-021125.pdf?rev=1421222a965141769356ce7980221106&amp;hash=B8BB13DDB11F7190506481172C79E4A4"/>
    <hyperlink ref="E445" r:id="rId490" display="https://www.michigan.gov/cra/-/media/Project/Websites/cra/bulletin/1Public-Health-an-Safety-Advisory/Voluntary-Product-Recall-Sky-Cannabis-LLC.pdf?rev=d484c2a12e614cefa7bf45ee9688e617&amp;hash=233AE731E64AAA2A206459E2E8E17743"/>
    <hyperlink ref="E446" r:id="rId491" display="https://www.michigan.gov/cra/-/media/Project/Websites/cra/bulletin/1Public-Health-an-Safety-Advisory/9225-Press-Release--CRA-Announces-Voluntary-Vape-Recall-House-Brands-Distro.pdf?rev=eaaa4828c3dc47d19936b92e581f1615&amp;hash=E1AD671E04BBECA360ED1F72AD8DA752"/>
    <hyperlink ref="E447" r:id="rId492" display="https://www.michigan.gov/cra/bulletins/public-health-and-safety-advisory-bulletins-recalls/public-health-and-safety-advisory-voluntary-product-recall-fantasy-farms-llc"/>
    <hyperlink ref="E448" r:id="rId493" display="https://www.michigan.gov/cra/-/media/Project/Websites/cra/bulletin/1Public-Health-an-Safety-Advisory/Public-Health-and-Safety-Advisory--Voluntary-Product-Recall-Season-3-LLC.pdf?rev=994a8e3f0759405c80c26511a708b7eb&amp;hash=2D14C030F33DE6A778D80E03C464030D"/>
    <hyperlink ref="F448" r:id="rId494" display="https://web.archive.org/web/20261006214226/https://www.michigan.gov/cra/-/media/Project/Websites/cra/bulletin/1Public-Health-an-Safety-Advisory/Public-Health-and-Safety-Advisory--Voluntary-Product-Recall-Season-3-LLC.pdf?rev=994a8e3f0759405c80c26511a708b7eb&amp;hash=2D14C030F33DE6A778D80E03C464030D"/>
    <hyperlink ref="E449" r:id="rId495" display="https://www.michigan.gov/cra/bulletins/public-health-and-safety-advisory-bulletins-recalls/public-health-and-safety-advisory-voluntary-product-recall-fawn-river-cultivation-company-llc"/>
    <hyperlink ref="F449" r:id="rId496" display="https://web.archive.org/web/20260923084326/https://www.michigan.gov/cra/bulletins/public-health-and-safety-advisory-bulletins-recalls/public-health-and-safety-advisory-voluntary-product-recall-fawn-river-cultivation-company-llc"/>
    <hyperlink ref="E450" r:id="rId497" display="https://www.mmcp.ms.gov/compliance/compliance-bulletins-announcements"/>
    <hyperlink ref="E451" r:id="rId498" display="https://health.mo.gov/safety/cannabis/pdf/notice-of-product-recall041025.pdf"/>
    <hyperlink ref="E452" r:id="rId499" display="https://health.mo.gov/safety/cannabis/pdf/notice-of-product-recall080624.pdf"/>
    <hyperlink ref="E453" r:id="rId500" display="https://health.mo.gov/safety/cannabis/pdf/notice-of-product-recall080824-508.pdf"/>
    <hyperlink ref="E454" r:id="rId501" display="https://health.mo.gov/safety/cannabis/pdf/notice-of-product-recall083024.pdf"/>
    <hyperlink ref="E455" r:id="rId502" display="https://health.mo.gov/safety/cannabis/pdf/notice-of-product-recall083024.pdf"/>
    <hyperlink ref="E456" r:id="rId503" display="https://health.mo.gov/safety/cannabis/pdf/notice-of-product-recall1115524.pdf"/>
    <hyperlink ref="E457" r:id="rId504" display="https://health.mo.gov/safety/cannabis/pdf/man-044-notice-of-product-recall-041825.pdf"/>
    <hyperlink ref="E458" r:id="rId505" display="https://health.mo.gov/safety/cannabis/pdf/man-10-notice-of-product-recall-041825-ada.pdf"/>
    <hyperlink ref="E459" r:id="rId506" display="https://health.mo.gov/safety/cannabis/pdf/notice-of-product-recall-042925-508.pdf"/>
    <hyperlink ref="E460" r:id="rId507" display="https://health.mo.gov/safety/cannabis/pdf/notice-of-product-recall-070125-ada.pdf"/>
    <hyperlink ref="E461" r:id="rId508" location="accordion-item-title-24981" display="https://health.mo.gov/business-professionals/cannabis-regulation/licensee-compliance-guidance/product-recalls#accordion-item-title-24981"/>
    <hyperlink ref="F461" r:id="rId509" location="accordion-item-title-24981" display="https://web.archive.org/web/20260904171924/https://health.mo.gov/business-professionals/cannabis-regulation/licensee-compliance-guidance/product-recalls#accordion-item-title-24981"/>
    <hyperlink ref="E462" r:id="rId510" location="accordion-item-title-24976" display="https://health.mo.gov/business-professionals/cannabis-regulation/licensee-compliance-guidance/product-recalls#accordion-item-title-24976"/>
    <hyperlink ref="E463" r:id="rId511" display="https://health.mo.gov/sites/health/files/media/pdf/2026/09/dcr-notice-of-recall-09-02-26-ada.pdf"/>
    <hyperlink ref="F463" r:id="rId512" display="https://web.archive.org/web/20261006220158/https://health.mo.gov/sites/health/files/media/pdf/2026/09/dcr-notice-of-recall-09-02-26-ada.pdf"/>
    <hyperlink ref="E464" r:id="rId513" display="https://health.mo.gov/business-professionals/cannabis-regulation/licensee-compliance-guidance/product-recalls"/>
    <hyperlink ref="F464" r:id="rId514" display="https://web.archive.org/web/20261006220158/https://health.mo.gov/sites/health/files/media/pdf/2026/09/dcr-notice-of-recall-09-02-26-ada.pdf"/>
    <hyperlink ref="E465" r:id="rId515" display="https://revenuefiles.mt.gov/files/Cannabis/Cannabis-Product-Recalls/Broughton_aka_Starrbuds_Item_Recall.pdf"/>
    <hyperlink ref="E466" r:id="rId516" display="https://revenuefiles.mt.gov/files/Cannabis/Cannabis-Product-Recalls/Marijuana-Product-Recall-SJ-Strategic-Enterprises.pdf"/>
    <hyperlink ref="E467" r:id="rId517" display="https://ccbnvdev.wpengine.com/wp-content/uploads/2021/02/CCB-Public-Health-and-Safety-Advisory-2021-01.pdf"/>
    <hyperlink ref="E468" r:id="rId518" display="https://ccbnvdev.wpengine.com/wp-content/uploads/2021/07/Corrected-CCB-Public-Health-and-Safety-Bulletin-2021-1.pdf"/>
    <hyperlink ref="E469" r:id="rId519" display="https://ccbnvdev.wpengine.com/wp-content/uploads/2021/11/Public-Health-and-Safety-Bulletin-2021-2-for-release.pdf"/>
    <hyperlink ref="E470" r:id="rId520" display="https://ccbnvdev.wpengine.com/wp-content/uploads/2022/03/Public-Health-and-Safety-Bulletin-2022-01-for-release.pdf"/>
    <hyperlink ref="E471" r:id="rId521" display="https://ccbnvdev.wpengine.com/wp-content/uploads/2022/03/Public-Health-and-Safety-Bulletin-2022-02-for-release.pdf"/>
    <hyperlink ref="E472" r:id="rId522" display="https://ccb.nv.gov/wp-content/uploads/2023/02/Public-Health-and-Safety-Bulletin-2023-01-Updated-02-09-23.pdf"/>
    <hyperlink ref="E473" r:id="rId523" display="https://ccb.nv.gov/wp-content/uploads/2023/04/Public-Health-and-Safety-Bulletin-2023-02.pdf"/>
    <hyperlink ref="E474" r:id="rId524" display="https://ccb.nv.gov/wp-content/uploads/2023/06/CCB-Public-Health-and-Safety-Bulletin-2023-03-6-23-23for-release-1.pdf"/>
    <hyperlink ref="E475" r:id="rId525" display="https://ccb.nv.gov/wp-content/uploads/2024/07/Public-Safety-and-Health-Bulletin-2024-02.pdf"/>
    <hyperlink ref="E476" r:id="rId526" display="https://ccb.nv.gov/wp-content/uploads/2024/06/Public-Safety-and-Health-Bulletin-2024-01.pdf"/>
    <hyperlink ref="E477" r:id="rId527" display="https://ccb.nv.gov/wp-content/uploads/2024/06/Public-Safety-and-Health-Bulletin-2024-01.pdf"/>
    <hyperlink ref="E478" r:id="rId528" display="https://ccb.nv.gov/wp-content/uploads/2024/06/Public-Safety-and-Health-Bulletin-2024-01.pdf"/>
    <hyperlink ref="E479" r:id="rId529" display="https://ccb.nv.gov/wp-content/uploads/2024/06/Public-Safety-and-Health-Bulletin-2024-01.pdf"/>
    <hyperlink ref="E480" r:id="rId530" display="https://ccb.nv.gov/wp-content/uploads/2024/07/Public-Safety-and-Health-Bulletin-2024-03.pdf"/>
    <hyperlink ref="E481" r:id="rId531" display="https://ccb.nv.gov/wp-content/uploads/2024/07/Public-Safety-and-Health-Bulletin-2024-03.pdf"/>
    <hyperlink ref="E482" r:id="rId532" display="https://ccb.nv.gov/wp-content/uploads/2024/07/Public-Safety-and-Health-Bulletin-2024-03.pdf"/>
    <hyperlink ref="E483" r:id="rId533" display="https://ccb.nv.gov/wp-content/uploads/2024/11/Public-Health-Safety-Bulletin-2024-04-for-release-11-05-24.pdf"/>
    <hyperlink ref="E484" r:id="rId534" display="https://ccb.nv.gov/wp-content/uploads/2025/09/Public-Health-and-Safety-Bulletin-2025-01.pdf"/>
    <hyperlink ref="E485" r:id="rId535" display="https://ccb.nv.gov/wp-content/uploads/2025/12/Public-Health-and-Safety-Bulletin-2025-02-Amended-.pdf"/>
    <hyperlink ref="E486" r:id="rId536" display="https://headynj.com/recall-of-moldy-curaleaf-cannabis-sold-by-curaleaf-gti-rise-issued/"/>
    <hyperlink ref="E487" r:id="rId537" display="https://nj.gov//cannabis/documents/Advisories/Recalls/Consumer%20Advisory%20Notice_Green%20Medicine.pdf"/>
    <hyperlink ref="E488" r:id="rId538" display="https://www.nj.gov/cannabis/adult-personal/recalls/"/>
    <hyperlink ref="F488" r:id="rId539" display="https://web.archive.org/web/20260807004545/https://www.nj.gov/cannabis/documents/Advisories/Recalls/Consumer%20Advisory%20Notice_Peach%20Elixer%20ButACake%205mg.pdf"/>
    <hyperlink ref="I488" r:id="rId540" display="ButACake Peach Elixir 5mg"/>
    <hyperlink ref="J488" r:id="rId541" display="ButACake Peach Elixir 5mg"/>
    <hyperlink ref="E489" r:id="rId542" display="https://web.archive.org/web/20220617160150/https://ccd.rld.state.nm.us/wp-content/uploads/2022/03/Sacred-Garden.pdf"/>
    <hyperlink ref="E490" r:id="rId543" location=":~:text=Products%20subject%20to%20this%20recall,Diamonds%2C%20and%20OG%20Kush%20Shatter." display="https://www.rld.nm.gov/2024/03/22/consumer-health-and-safety-advisory-cannabis-control-division-recalls-cannabis-concentrates-sold-at-got-greens/#:~:text=Products%20subject%20to%20this%20recall,Diamonds%2C%20and%20OG%20Kush%20Shatter."/>
    <hyperlink ref="E491" r:id="rId544" display="https://www.rld.nm.gov/wp-content/uploads/2024/04/3.22.2024-Recall-Details.pdf"/>
    <hyperlink ref="E492" r:id="rId545" display="https://www.rld.nm.gov/wp-content/uploads/2024/11/Recall-Notification-9.4.24.pdf"/>
    <hyperlink ref="E493" r:id="rId546" display="https://www.rld.nm.gov/wp-content/uploads/2024/11/24.11.RC_.MANU-2022-0060-Recall-Order-Final.pdf"/>
    <hyperlink ref="E494" r:id="rId547" display="https://www.rld.nm.gov/2026/02/26/state-recalls-medical-cannabis-edible/"/>
    <hyperlink ref="E495" r:id="rId548" display="https://www.syracuse.com/marijuana/2022/08/curaleaf-forced-to-remove-thousands-of-medical-marijuana-products-from-ny-dispensaries.html?e=ba462af342cab4070905a0f77a2ed0c5&amp;utm_source=Sailthru&amp;utm_medium=email&amp;utm_campaign=Cannabis%208.12.22%20AM&amp;utm_term=Newsletter_cannabis"/>
    <hyperlink ref="E496" r:id="rId549" display="https://www.syracuse.com/marijuana/2022/10/curaleaf-recalls-over-marijuana-labeling-piling-up-in-new-york.html"/>
    <hyperlink ref="E497" r:id="rId550" display="https://cannabis.ny.gov/past-recalls"/>
    <hyperlink ref="E498" r:id="rId551" display="https://cannabis.ny.gov/past-recalls"/>
    <hyperlink ref="E499" r:id="rId552" display="https://cannabis.ny.gov/current-recalls"/>
    <hyperlink ref="E500" r:id="rId553" display="https://web.archive.org/web/20220513012729/https://medicalmarijuana.ohio.gov/documents/recalls/recall%20notices%20and%20summaries/archived%20recall%20notices/archived%20recall%20notices.pdf"/>
    <hyperlink ref="E501" r:id="rId554" display="https://web.archive.org/web/20220513012729/https://medicalmarijuana.ohio.gov/documents/recalls/recall%20notices%20and%20summaries/archived%20recall%20notices/archived%20recall%20notices.pdf"/>
    <hyperlink ref="E502" r:id="rId555" display="https://web.archive.org/web/20220513012729/https://medicalmarijuana.ohio.gov/documents/recalls/recall%20notices%20and%20summaries/archived%20recall%20notices/archived%20recall%20notices.pdf"/>
    <hyperlink ref="E503" r:id="rId556" display="https://web.archive.org/web/20220513012729/https://medicalmarijuana.ohio.gov/documents/recalls/recall%20notices%20and%20summaries/archived%20recall%20notices/archived%20recall%20notices.pdf"/>
    <hyperlink ref="E504" r:id="rId557" display="https://web.archive.org/web/20220513012729/https://medicalmarijuana.ohio.gov/documents/recalls/recall%20notices%20and%20summaries/archived%20recall%20notices/archived%20recall%20notices.pdf"/>
    <hyperlink ref="E505" r:id="rId558" display="https://web.archive.org/web/20220513012729/https://medicalmarijuana.ohio.gov/documents/recalls/recall%20notices%20and%20summaries/archived%20recall%20notices/archived%20recall%20notices.pdf"/>
    <hyperlink ref="E506" r:id="rId559" display="https://web.archive.org/web/20220513012729/https://medicalmarijuana.ohio.gov/documents/recalls/recall%20notices%20and%20summaries/archived%20recall%20notices/archived%20recall%20notices.pdf"/>
    <hyperlink ref="E507" r:id="rId560" display="https://web.archive.org/web/20220513012729/https://medicalmarijuana.ohio.gov/documents/recalls/recall%20notices%20and%20summaries/archived%20recall%20notices/archived%20recall%20notices.pdf"/>
    <hyperlink ref="E508" r:id="rId561" display="https://web.archive.org/web/20220513012729/https://medicalmarijuana.ohio.gov/documents/recalls/recall%20notices%20and%20summaries/archived%20recall%20notices/archived%20recall%20notices.pdf"/>
    <hyperlink ref="E509" r:id="rId562" display="https://web.archive.org/web/20220513012729/https://medicalmarijuana.ohio.gov/documents/recalls/recall%20notices%20and%20summaries/archived%20recall%20notices/archived%20recall%20notices.pdf"/>
    <hyperlink ref="E510" r:id="rId563" display="https://www.wfmj.com/story/50287035/ohio-medical-marijuana-control-program-recalls-edible-medical-marijuana-products"/>
    <hyperlink ref="E511" r:id="rId564" display="https://com.ohio.gov/divisions-and-programs/cannabis-control/product-safety/zzz-product-recall-2024-01"/>
    <hyperlink ref="E512" r:id="rId565" display="https://com.ohio.gov/divisions-and-programs/cannabis-control/product-safety/yyy-product-recall-2024-04"/>
    <hyperlink ref="E513" r:id="rId566" display="https://com.ohio.gov/divisions-and-programs/cannabis-control/product-safety/YProduct-Recall-2025-02-Beneleaves"/>
    <hyperlink ref="E514" r:id="rId567" display="https://com.ohio.gov/divisions-and-programs/cannabis-control/product-safety/X-Product-Recall-Beneleaves-Chocolate"/>
    <hyperlink ref="E515" r:id="rId568" display="https://com.ohio.gov/divisions-and-programs/cannabis-control/product-safety/WWW-product-recall-2025-04"/>
    <hyperlink ref="E516" r:id="rId569" display="https://com.ohio.gov/divisions-and-programs/cannabis-control/product-safety/W-Product-Recall-2025-06-Klutch-Processing"/>
    <hyperlink ref="E517" r:id="rId570" display="https://com.ohio.gov/divisions-and-programs/cannabis-control/product-safety/WW-Product-Recall-2025-05-Green-Investment-Partners"/>
    <hyperlink ref="E518" r:id="rId571" display="https://com.ohio.gov/divisions-and-programs/cannabis-control/product-safety/VV-Product-Recall-2025-08-Curaleaf"/>
    <hyperlink ref="E519" r:id="rId572" display="https://com.ohio.gov/divisions-and-programs/cannabis-control/product-safety/VVV-Product-Recall-2025-07-GTI"/>
    <hyperlink ref="E520" r:id="rId573" display="https://com.ohio.gov/divisions-and-programs/cannabis-control/product-safety/V-Product-Recall-2025-09-Hundred-Percent-Labs"/>
    <hyperlink ref="E521" r:id="rId574" display="https://com.ohio.gov/divisions-and-programs/cannabis-control/product-safety/UU-Product-Alert-2025-07-Standard-Farms"/>
    <hyperlink ref="E522" r:id="rId575" display="https://com.ohio.gov/divisions-and-programs/cannabis-control/product-safety/U-Product-Recall-2026-01"/>
    <hyperlink ref="E523" r:id="rId576" display="https://com.ohio.gov/divisions-and-programs/cannabis-control/product-safety/TTT-Product-Recall-2026-02"/>
    <hyperlink ref="E524" r:id="rId577" display="https://com.ohio.gov/divisions-and-programs/cannabis-control/product-safety/TT-Product-Recall-2026-03"/>
    <hyperlink ref="E525" r:id="rId578" display="https://com.ohio.gov/divisions-and-programs/cannabis-control/product-safety/T-Product-Alert-2026-01"/>
    <hyperlink ref="F525" r:id="rId579" display="https://web.archive.org/web/20260807130043/https://com.ohio.gov/divisions-and-programs/cannabis-control/product-safety/T-Product-Alert-2026-01"/>
    <hyperlink ref="E526" r:id="rId580" display="https://com.ohio.gov/divisions-and-programs/cannabis-control/product-safety/SSS-Product-Recall-2024-04"/>
    <hyperlink ref="F526" r:id="rId581" display="https://web.archive.org/save/https://com.ohio.gov/divisions-and-programs/cannabis-control/product-safety/SSS-Product-Recall-2024-04"/>
    <hyperlink ref="E527" r:id="rId582" display="https://com.ohio.gov/divisions-and-programs/cannabis-control/product-safety/SS-Product-Recall"/>
    <hyperlink ref="F527" r:id="rId583" display="https://web.archive.org/web/20260807135531/https://com.ohio.gov/divisions-and-programs/cannabis-control/product-safety/SS-Product-Recall"/>
    <hyperlink ref="E528" r:id="rId584" display="https://com.ohio.gov/divisions-and-programs/cannabis-control/product-safety/s-Product-Recall-2026-06-Pure-Ohio-Wellness"/>
    <hyperlink ref="E529" r:id="rId585" display="https://oklahoma.gov/content/dam/ok/en/omma/docs/2022/2022.05.19_Recall%20Product%20List.pdf"/>
    <hyperlink ref="E530" r:id="rId586" display="https://oklahoma.gov/content/dam/ok/en/omma/docs/2022/2022.09.16_Emergency%20Order%20of%20Embargo%20and%20Recall.pdf"/>
    <hyperlink ref="E531" r:id="rId587" location="recall-product-and-business-list" display="https://oklahoma.gov/omma/embargoed-and-recalled-products/product-recall-nov-3-2023.html#recall-product-and-business-list"/>
    <hyperlink ref="E532" r:id="rId588" display="https://oklahoma.gov/omma/embargoed-and-recalled-products/product-recall-june-10-2024.html"/>
    <hyperlink ref="E533" r:id="rId589" display="https://oklahoma.gov/omma/recalls/embargoed-and-recalled-products/product-recall-june-10-2024.html"/>
    <hyperlink ref="E534" r:id="rId590" location="accordion-08efa350b5-item-4d4e4ec992" display="https://oklahoma.gov/omma/recalls/embargoed-and-recalled-products.html#accordion-08efa350b5-item-4d4e4ec992"/>
    <hyperlink ref="E535" r:id="rId591" display="https://oklahoma.gov/omma/recalls/embargoed-and-recalled-products/product-recall-october-10-2025.html"/>
    <hyperlink ref="E536" r:id="rId592" display="https://oklahoma.gov/omma/recalls/embargoed-and-recalled-products/product-recall-october-23-2025.html"/>
    <hyperlink ref="E537" r:id="rId593" display="https://oklahoma.gov/omma/recalls/embargoed-and-recalled-products/product-recall-october-24-2025.html"/>
    <hyperlink ref="E538" r:id="rId594" display="https://oklahoma.gov/omma/recalls/embargoed-and-recalled-products/product-recall-novober-25-2025.html"/>
    <hyperlink ref="E539" r:id="rId595" display="https://oklahoma.gov/omma/recalls/embargoed-and-recalled-products/product-recall-december-23-2025.html"/>
    <hyperlink ref="E540" r:id="rId596" display="https://oklahoma.gov/omma/recalls/embargoed-and-recalled-products/product-recall-march-19-20261.html"/>
    <hyperlink ref="F540" r:id="rId597" display="https://web.archive.org/web/20260807141842/https://oklahoma.gov/omma/recalls/embargoed-and-recalled-products/product-recall-march-19-20261.html"/>
    <hyperlink ref="E541" r:id="rId598" display="https://oklahoma.gov/omma/recalls/embargoed-and-recalled-products/product-recall-march-23-2026.html"/>
    <hyperlink ref="F541" r:id="rId599" display="https://web.archive.org/web/20260807141842/https://oklahoma.gov/omma/recalls/embargoed-and-recalled-products/product-recall-march-19-20261.html"/>
    <hyperlink ref="E542" r:id="rId600" display="https://web.archive.org/web/20170326224431/https://www.oregon.gov/olcc/Docs/news/news_releases/2017/nr_03_18_17_Emerald_Wave_recall.pdf"/>
    <hyperlink ref="E543" r:id="rId601" display="https://www.oregon.gov/olcc/Docs/news/news_releases/2020/nr_121120_Cannabis_Product_Recall.pdf"/>
    <hyperlink ref="E544" r:id="rId602" display="https://www.oregon.gov/olcc/Docs/news/news_releases/2021/nr_010621_MJ_PR_Medical_Marijuana_Recall.pdf"/>
    <hyperlink ref="E545" r:id="rId603" display="https://www.oregon.gov/olcc/Docs/news/news_releases/2021/nr052121_MJ_PR_Recall_Naked_Extracts.pdf"/>
    <hyperlink ref="E546" r:id="rId604" display="https://www.oregon.gov/olcc/Docs/news/news_releases/2021/nr092121-Cannabis-Product-Recall-Cura-Select-CBD.pdf"/>
    <hyperlink ref="E547" r:id="rId605" display="https://www.oregon.gov/olcc/Docs/news/news_releases/2021/nr092421-Cannabis-Product-Recall-Expanded-Cura-Select-THC.pdf"/>
    <hyperlink ref="E548" r:id="rId606" display="https://www.oregon.gov/olcc/Docs/news/news_releases/2022/nr081822-Cannabis-Product-Advisory-Dark-Horse.pdf"/>
    <hyperlink ref="E549" r:id="rId607" display="https://www.oregon.gov/olcc/Docs/Bubbly-Recall.pdf"/>
    <hyperlink ref="E550" r:id="rId608" display="https://www.oregon.gov/olcc/Docs/news/news_releases/2022/nr120222-Cannabis-Product-Recall-Pesticide-Bobsled-QuantumAlchemy.pdf"/>
    <hyperlink ref="E551" r:id="rId609" display="https://www.oregon.gov/olcc/Docs/Recall-Notice-Oregon-Original-Chocowana-Bar.pdf"/>
    <hyperlink ref="E552" r:id="rId610" display="https://www.oregon.gov/olcc/Docs/news/news_releases/2023/nr011223-Cannabis-Product-Recall-Firefly.pdf"/>
    <hyperlink ref="E553" r:id="rId611" display="https://www.oregon.gov/olcc/Docs/news/news_releases/2023/nr012623-Recall-Notice-Cannabis-PREE-Labs.pdf"/>
    <hyperlink ref="E554" r:id="rId612" display="https://www.oregon.gov/olcc/Docs/news/news_releases/2023/nr021423-Cannabis-Product-Recall-Firefly-Expansion.pdf"/>
    <hyperlink ref="E555" r:id="rId613" display="https://www.oregon.gov/olcc/marijuana/Documents/Avitas-Recall-Notice.pdf"/>
    <hyperlink ref="E556" r:id="rId614" display="https://www.oregon.gov/olcc/marijuana/Documents/Recall-Notice-Hapy-Kitchen.pdf"/>
    <hyperlink ref="E557" r:id="rId615" display="https://www.oregon.gov/olcc/marijuana/Documents/Recall-Notice-Crumble-Apple-Crisp.pdf"/>
    <hyperlink ref="E558" r:id="rId616" display="https://www.oregon.gov/olcc/marijuana/Documents/Recall-Notice-Covert-Extracts.pdf"/>
    <hyperlink ref="E559" r:id="rId617" display="https://www.oregon.gov/olcc/Docs/news/news_releases/2023/nr062623-Cannabis-Recall.pdf"/>
    <hyperlink ref="E560" r:id="rId618" display="https://www.oregon.gov/olcc/Docs/news/news_releases/2023/nr071323-Cannabis-Arsenic-Recall.pdf"/>
    <hyperlink ref="E561" r:id="rId619" display="https://www.oregon.gov/olcc/Docs/news/news_releases/2023/nr071323-Cannabis-Arsenic-Recall.pdf"/>
    <hyperlink ref="E562" r:id="rId620" display="https://www.oregon.gov/olcc/Docs/Dr-Jollys-Recall-9.22.2023.pdf"/>
    <hyperlink ref="E563" r:id="rId621" display="https://www.oregon.gov/olcc/marijuana/Documents/Epoch-Investments-Quality-Drugs-Fruit-Chews-Recall.pdf"/>
    <hyperlink ref="E564" r:id="rId622" display="https://www.oregon.gov/olcc/marijuana/Documents/LTRMN-Beacoup-Gummy-Recall.pdf"/>
    <hyperlink ref="E565" r:id="rId623" display="https://content.govdelivery.com/accounts/OLCC/bulletins/3c9046e"/>
    <hyperlink ref="E566" r:id="rId624" display="https://www.oregon.gov/olcc/Docs/news/news_releases/2025/nr012325%20Elitextrx-Recall.pdf"/>
    <hyperlink ref="E567" r:id="rId625" display="https://www.oregon.gov/olcc/Docs/news/news_releases/2025/nr012325%20Elitextrx-Recall.pdf"/>
    <hyperlink ref="E568" r:id="rId626" display="https://www.oregon.gov/olcc/Docs/news/news_releases/2025/MJ-Cookie-Recall.pdf"/>
    <hyperlink ref="E569" r:id="rId627" display="https://www.pa.gov/content/dam/copapwp-pagov/en/health/documents/topics/documents/programs/medical-marijuana/DOH%20-%20Withdraw%20of%20Products%20Containing%20Additives%20Not%20Approved%20for%20Inhalation%20by%20the%20FDA.pdf"/>
    <hyperlink ref="E570" r:id="rId628" display="https://ir.ayrwellness.com/news-events/press-releases/detail/274/canntech-pa-issues-recall-of-oral-tinctures"/>
    <hyperlink ref="F570" r:id="rId629" display="https://web.archive.org/save/https://ir.ayrwellness.com/news-events/press-releases/detail/274/canntech-pa-issues-recall-of-oral-tinctures"/>
    <hyperlink ref="E571" r:id="rId630" display="https://ccb.vermont.gov/consumer-protection-warning-holland-cannabis-company"/>
    <hyperlink ref="E572" r:id="rId631" display="https://ccb.vermont.gov/consumer-protection-warning-holland-cannabis-company-0"/>
    <hyperlink ref="E573" r:id="rId632" display="https://lcb.wa.gov/marj/notice_of_recalls"/>
    <hyperlink ref="E574" r:id="rId633" display="https://lcb.wa.gov/marj/notice_of_recalls"/>
    <hyperlink ref="E575" r:id="rId634" display="https://lcb.wa.gov/marj/notice_of_recalls"/>
    <hyperlink ref="E576" r:id="rId635" display="https://lcb.wa.gov/marj/notice_of_recalls"/>
    <hyperlink ref="E577" r:id="rId636" display="https://lcb.wa.gov/marj/notice_of_recalls"/>
    <hyperlink ref="E578" r:id="rId637" display="https://lcb.wa.gov/marj/notice_of_recalls"/>
    <hyperlink ref="E579" r:id="rId638" display="https://lcb.wa.gov/marj/notice_of_recalls"/>
    <hyperlink ref="E580" r:id="rId639" display="https://lcb.wa.gov/marj/notice_of_recalls"/>
    <hyperlink ref="E581" r:id="rId640" display="https://lcb.wa.gov/marj/notice_of_recalls"/>
    <hyperlink ref="E582" r:id="rId641" display="https://lcb.wa.gov/marj/notice_of_recalls"/>
    <hyperlink ref="E583" r:id="rId642" display="https://lcb.wa.gov/marj/notice_of_recalls"/>
    <hyperlink ref="E584" r:id="rId643" display="https://lcb.wa.gov/marj/notice_of_recalls"/>
    <hyperlink ref="E585" r:id="rId644" display="https://lcb.wa.gov/marj/notice_of_recalls"/>
    <hyperlink ref="E586" r:id="rId645" display="https://lcb.wa.gov/marj/notice_of_recalls"/>
    <hyperlink ref="E587" r:id="rId646" display="https://lcb.wa.gov/marj/notice_of_recalls"/>
    <hyperlink ref="E588" r:id="rId647" display="https://lcb.wa.gov/marj/notice_of_recalls"/>
    <hyperlink ref="E589" r:id="rId648" display="https://lcb.wa.gov/marj/notice_of_recalls"/>
    <hyperlink ref="E590" r:id="rId649" display="https://lcb.wa.gov/marj/notice_of_recalls"/>
    <hyperlink ref="E591" r:id="rId650" display="https://lcb.wa.gov/marj/notice_of_recalls"/>
    <hyperlink ref="E592" r:id="rId651" display="https://lcb.wa.gov/marj/notice_of_recalls"/>
    <hyperlink ref="E593" r:id="rId652" display="https://lcb.wa.gov/marj/notice_of_recalls"/>
    <hyperlink ref="E594" r:id="rId653" display="https://lcb.wa.gov/marj/notice_of_recalls"/>
    <hyperlink ref="E595" r:id="rId654" display="https://lcb.wa.gov/marj/notice_of_recalls"/>
    <hyperlink ref="E596" r:id="rId655" display="https://lcb.wa.gov/marj/notice_of_recalls"/>
    <hyperlink ref="E597" r:id="rId656" display="https://lcb.wa.gov/marj/notice_of_recalls"/>
    <hyperlink ref="E598" r:id="rId657" display="https://lcb.wa.gov/marj/notice_of_recalls"/>
    <hyperlink ref="E599" r:id="rId658" display="https://lcb.wa.gov/marj/notice_of_recalls"/>
    <hyperlink ref="E600" r:id="rId659" display="https://lcb.wa.gov/marj/notice_of_recalls"/>
    <hyperlink ref="E601" r:id="rId660" display="https://lcb.wa.gov/marj/notice_of_recalls"/>
    <hyperlink ref="E602" r:id="rId661" display="https://lcb.wa.gov/marj/notice_of_recalls"/>
    <hyperlink ref="E603" r:id="rId662" display="https://lcb.wa.gov/marj/notice_of_recalls"/>
    <hyperlink ref="E604" r:id="rId663" display="https://lcb.wa.gov/marj/notice_of_recalls"/>
    <hyperlink ref="E605" r:id="rId664" display="https://lcb.wa.gov/marj/notice_of_recalls"/>
    <hyperlink ref="E606" r:id="rId665" display="https://lcb.wa.gov/marj/notice_of_recalls"/>
    <hyperlink ref="E607" r:id="rId666" display="https://lcb.wa.gov/examiners/recalls"/>
    <hyperlink ref="E608" r:id="rId667" display="https://lcb.wa.gov/marj/notice_of_recalls"/>
    <hyperlink ref="E609" r:id="rId668" display="https://lcb.wa.gov/examiners/recalls"/>
    <hyperlink ref="E610" r:id="rId669" display="https://lcb.wa.gov/examiners/recalls"/>
    <hyperlink ref="E611" r:id="rId670" display="https://lcb.wa.gov/examiners/recalls"/>
    <hyperlink ref="E612" r:id="rId671" display="https://lcb.wa.gov/examiners/recalls"/>
    <hyperlink ref="E613" r:id="rId672" display="https://lcb.wa.gov/examiners/recalls"/>
    <hyperlink ref="E614" r:id="rId673" display="https://lcb.wa.gov/examiners/recall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67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314"/>
  <sheetViews>
    <sheetView showFormulas="false" showGridLines="true" showRowColHeaders="true" showZeros="true" rightToLeft="false" tabSelected="true" showOutlineSymbols="true" defaultGridColor="true" view="normal" topLeftCell="A300" colorId="64" zoomScale="100" zoomScaleNormal="100" zoomScalePageLayoutView="100" workbookViewId="0">
      <selection pane="topLeft" activeCell="A316" activeCellId="0" sqref="A316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0" width="72.25"/>
    <col collapsed="false" customWidth="true" hidden="false" outlineLevel="0" max="2" min="2" style="0" width="27.25"/>
    <col collapsed="false" customWidth="true" hidden="false" outlineLevel="0" max="3" min="3" style="0" width="12.63"/>
  </cols>
  <sheetData>
    <row r="1" customFormat="false" ht="15.75" hidden="false" customHeight="false" outlineLevel="0" collapsed="false">
      <c r="A1" s="2" t="s">
        <v>15</v>
      </c>
      <c r="B1" s="2" t="s">
        <v>17</v>
      </c>
      <c r="C1" s="2" t="s">
        <v>1905</v>
      </c>
    </row>
    <row r="2" customFormat="false" ht="15.75" hidden="false" customHeight="false" outlineLevel="0" collapsed="false">
      <c r="A2" s="2" t="s">
        <v>1383</v>
      </c>
      <c r="B2" s="1" t="s">
        <v>1131</v>
      </c>
      <c r="C2" s="1" t="s">
        <v>1131</v>
      </c>
    </row>
    <row r="3" customFormat="false" ht="15.75" hidden="false" customHeight="false" outlineLevel="0" collapsed="false">
      <c r="A3" s="2" t="s">
        <v>1753</v>
      </c>
      <c r="B3" s="1" t="s">
        <v>1131</v>
      </c>
      <c r="C3" s="1" t="s">
        <v>1131</v>
      </c>
    </row>
    <row r="4" customFormat="false" ht="15.75" hidden="false" customHeight="false" outlineLevel="0" collapsed="false">
      <c r="A4" s="2" t="s">
        <v>1725</v>
      </c>
      <c r="B4" s="1" t="s">
        <v>1131</v>
      </c>
      <c r="C4" s="1" t="s">
        <v>1131</v>
      </c>
    </row>
    <row r="5" customFormat="false" ht="15.75" hidden="false" customHeight="false" outlineLevel="0" collapsed="false">
      <c r="A5" s="2" t="s">
        <v>810</v>
      </c>
      <c r="B5" s="1" t="s">
        <v>1131</v>
      </c>
      <c r="C5" s="1" t="s">
        <v>1131</v>
      </c>
    </row>
    <row r="6" customFormat="false" ht="15.75" hidden="false" customHeight="false" outlineLevel="0" collapsed="false">
      <c r="A6" s="2" t="s">
        <v>1681</v>
      </c>
      <c r="B6" s="1" t="s">
        <v>1131</v>
      </c>
      <c r="C6" s="1" t="s">
        <v>1131</v>
      </c>
    </row>
    <row r="7" customFormat="false" ht="15.75" hidden="false" customHeight="false" outlineLevel="0" collapsed="false">
      <c r="A7" s="2" t="s">
        <v>1572</v>
      </c>
      <c r="B7" s="1" t="s">
        <v>1131</v>
      </c>
      <c r="C7" s="1" t="s">
        <v>1131</v>
      </c>
    </row>
    <row r="8" customFormat="false" ht="15.75" hidden="false" customHeight="false" outlineLevel="0" collapsed="false">
      <c r="A8" s="2" t="s">
        <v>1519</v>
      </c>
      <c r="B8" s="1" t="s">
        <v>1131</v>
      </c>
      <c r="C8" s="1" t="s">
        <v>1131</v>
      </c>
    </row>
    <row r="9" customFormat="false" ht="15.75" hidden="false" customHeight="false" outlineLevel="0" collapsed="false">
      <c r="A9" s="2" t="s">
        <v>808</v>
      </c>
      <c r="B9" s="1" t="s">
        <v>1131</v>
      </c>
      <c r="C9" s="1" t="s">
        <v>1131</v>
      </c>
    </row>
    <row r="10" customFormat="false" ht="15.75" hidden="false" customHeight="false" outlineLevel="0" collapsed="false">
      <c r="A10" s="2" t="s">
        <v>960</v>
      </c>
      <c r="B10" s="1" t="s">
        <v>1131</v>
      </c>
      <c r="C10" s="1" t="s">
        <v>1131</v>
      </c>
    </row>
    <row r="11" customFormat="false" ht="15.75" hidden="false" customHeight="false" outlineLevel="0" collapsed="false">
      <c r="A11" s="2" t="s">
        <v>956</v>
      </c>
      <c r="B11" s="1" t="s">
        <v>1131</v>
      </c>
      <c r="C11" s="1" t="s">
        <v>1131</v>
      </c>
    </row>
    <row r="12" customFormat="false" ht="15.75" hidden="false" customHeight="false" outlineLevel="0" collapsed="false">
      <c r="A12" s="2" t="s">
        <v>952</v>
      </c>
      <c r="B12" s="1" t="s">
        <v>1131</v>
      </c>
      <c r="C12" s="1" t="s">
        <v>1131</v>
      </c>
    </row>
    <row r="13" customFormat="false" ht="15.75" hidden="false" customHeight="false" outlineLevel="0" collapsed="false">
      <c r="A13" s="2" t="s">
        <v>929</v>
      </c>
      <c r="B13" s="1" t="s">
        <v>1131</v>
      </c>
      <c r="C13" s="1" t="s">
        <v>1131</v>
      </c>
    </row>
    <row r="14" customFormat="false" ht="15.75" hidden="false" customHeight="false" outlineLevel="0" collapsed="false">
      <c r="A14" s="2" t="s">
        <v>922</v>
      </c>
      <c r="B14" s="1" t="s">
        <v>1131</v>
      </c>
      <c r="C14" s="1" t="s">
        <v>1131</v>
      </c>
    </row>
    <row r="15" customFormat="false" ht="15.75" hidden="false" customHeight="false" outlineLevel="0" collapsed="false">
      <c r="A15" s="2" t="s">
        <v>906</v>
      </c>
      <c r="B15" s="1" t="s">
        <v>1131</v>
      </c>
      <c r="C15" s="1" t="s">
        <v>1131</v>
      </c>
    </row>
    <row r="16" customFormat="false" ht="15.75" hidden="false" customHeight="false" outlineLevel="0" collapsed="false">
      <c r="A16" s="2" t="s">
        <v>902</v>
      </c>
      <c r="B16" s="1" t="s">
        <v>1131</v>
      </c>
      <c r="C16" s="1" t="s">
        <v>1131</v>
      </c>
    </row>
    <row r="17" customFormat="false" ht="15.75" hidden="false" customHeight="false" outlineLevel="0" collapsed="false">
      <c r="A17" s="2" t="s">
        <v>895</v>
      </c>
      <c r="B17" s="1" t="s">
        <v>1131</v>
      </c>
      <c r="C17" s="1" t="s">
        <v>1131</v>
      </c>
    </row>
    <row r="18" customFormat="false" ht="15.75" hidden="false" customHeight="false" outlineLevel="0" collapsed="false">
      <c r="A18" s="2" t="s">
        <v>891</v>
      </c>
      <c r="B18" s="1" t="s">
        <v>1131</v>
      </c>
      <c r="C18" s="1" t="s">
        <v>1131</v>
      </c>
    </row>
    <row r="19" customFormat="false" ht="15.75" hidden="false" customHeight="false" outlineLevel="0" collapsed="false">
      <c r="A19" s="2" t="s">
        <v>816</v>
      </c>
      <c r="B19" s="1" t="s">
        <v>1131</v>
      </c>
      <c r="C19" s="1" t="s">
        <v>1131</v>
      </c>
    </row>
    <row r="20" customFormat="false" ht="15.75" hidden="false" customHeight="false" outlineLevel="0" collapsed="false">
      <c r="A20" s="2" t="s">
        <v>878</v>
      </c>
      <c r="B20" s="1" t="s">
        <v>1131</v>
      </c>
      <c r="C20" s="1" t="s">
        <v>1131</v>
      </c>
    </row>
    <row r="21" customFormat="false" ht="15.75" hidden="false" customHeight="false" outlineLevel="0" collapsed="false">
      <c r="A21" s="2" t="s">
        <v>874</v>
      </c>
      <c r="B21" s="1" t="s">
        <v>1131</v>
      </c>
      <c r="C21" s="1" t="s">
        <v>1131</v>
      </c>
    </row>
    <row r="22" customFormat="false" ht="15.75" hidden="false" customHeight="false" outlineLevel="0" collapsed="false">
      <c r="A22" s="2" t="s">
        <v>846</v>
      </c>
      <c r="B22" s="1" t="s">
        <v>1131</v>
      </c>
      <c r="C22" s="1" t="s">
        <v>1131</v>
      </c>
    </row>
    <row r="23" customFormat="false" ht="15.75" hidden="false" customHeight="false" outlineLevel="0" collapsed="false">
      <c r="A23" s="2" t="s">
        <v>842</v>
      </c>
      <c r="B23" s="1" t="s">
        <v>1131</v>
      </c>
      <c r="C23" s="1" t="s">
        <v>1131</v>
      </c>
    </row>
    <row r="24" customFormat="false" ht="15.75" hidden="false" customHeight="false" outlineLevel="0" collapsed="false">
      <c r="A24" s="2" t="s">
        <v>831</v>
      </c>
      <c r="B24" s="1" t="s">
        <v>1131</v>
      </c>
      <c r="C24" s="1" t="s">
        <v>1131</v>
      </c>
    </row>
    <row r="25" customFormat="false" ht="15.75" hidden="false" customHeight="false" outlineLevel="0" collapsed="false">
      <c r="A25" s="2" t="s">
        <v>27</v>
      </c>
      <c r="B25" s="1" t="s">
        <v>1131</v>
      </c>
      <c r="C25" s="1" t="s">
        <v>1131</v>
      </c>
    </row>
    <row r="26" customFormat="false" ht="15.75" hidden="false" customHeight="false" outlineLevel="0" collapsed="false">
      <c r="A26" s="2" t="s">
        <v>835</v>
      </c>
      <c r="B26" s="1" t="s">
        <v>1131</v>
      </c>
      <c r="C26" s="1" t="s">
        <v>1131</v>
      </c>
    </row>
    <row r="27" customFormat="false" ht="15.75" hidden="false" customHeight="false" outlineLevel="0" collapsed="false">
      <c r="A27" s="2" t="s">
        <v>823</v>
      </c>
      <c r="B27" s="1" t="s">
        <v>1131</v>
      </c>
      <c r="C27" s="1" t="s">
        <v>1131</v>
      </c>
    </row>
    <row r="28" customFormat="false" ht="15.75" hidden="false" customHeight="false" outlineLevel="0" collapsed="false">
      <c r="A28" s="2" t="s">
        <v>827</v>
      </c>
      <c r="B28" s="1" t="s">
        <v>1131</v>
      </c>
      <c r="C28" s="1" t="s">
        <v>1131</v>
      </c>
    </row>
    <row r="29" customFormat="false" ht="15.75" hidden="false" customHeight="false" outlineLevel="0" collapsed="false">
      <c r="A29" s="2" t="s">
        <v>127</v>
      </c>
      <c r="B29" s="1" t="s">
        <v>1131</v>
      </c>
      <c r="C29" s="1" t="s">
        <v>1131</v>
      </c>
    </row>
    <row r="30" customFormat="false" ht="15.75" hidden="false" customHeight="false" outlineLevel="0" collapsed="false">
      <c r="A30" s="15" t="s">
        <v>801</v>
      </c>
      <c r="B30" s="1" t="s">
        <v>1131</v>
      </c>
      <c r="C30" s="1" t="s">
        <v>1131</v>
      </c>
    </row>
    <row r="31" customFormat="false" ht="15.75" hidden="false" customHeight="false" outlineLevel="0" collapsed="false">
      <c r="A31" s="16" t="s">
        <v>805</v>
      </c>
      <c r="B31" s="1" t="s">
        <v>1131</v>
      </c>
      <c r="C31" s="1" t="s">
        <v>1131</v>
      </c>
    </row>
    <row r="32" customFormat="false" ht="15.75" hidden="false" customHeight="false" outlineLevel="0" collapsed="false">
      <c r="A32" s="2" t="s">
        <v>791</v>
      </c>
      <c r="B32" s="1" t="s">
        <v>1131</v>
      </c>
      <c r="C32" s="1" t="s">
        <v>1131</v>
      </c>
    </row>
    <row r="33" customFormat="false" ht="15.75" hidden="false" customHeight="false" outlineLevel="0" collapsed="false">
      <c r="A33" s="15" t="s">
        <v>794</v>
      </c>
      <c r="B33" s="1" t="s">
        <v>1131</v>
      </c>
      <c r="C33" s="1" t="s">
        <v>1131</v>
      </c>
    </row>
    <row r="34" customFormat="false" ht="15.75" hidden="false" customHeight="false" outlineLevel="0" collapsed="false">
      <c r="A34" s="2" t="s">
        <v>787</v>
      </c>
      <c r="B34" s="1" t="s">
        <v>1131</v>
      </c>
      <c r="C34" s="1" t="s">
        <v>1131</v>
      </c>
    </row>
    <row r="35" customFormat="false" ht="15.75" hidden="false" customHeight="false" outlineLevel="0" collapsed="false">
      <c r="A35" s="2" t="s">
        <v>783</v>
      </c>
      <c r="B35" s="1" t="s">
        <v>1131</v>
      </c>
      <c r="C35" s="1" t="s">
        <v>1131</v>
      </c>
    </row>
    <row r="36" customFormat="false" ht="15.75" hidden="false" customHeight="false" outlineLevel="0" collapsed="false">
      <c r="A36" s="2" t="s">
        <v>1131</v>
      </c>
      <c r="B36" s="1" t="s">
        <v>1131</v>
      </c>
      <c r="C36" s="1" t="s">
        <v>1131</v>
      </c>
    </row>
    <row r="37" customFormat="false" ht="15.75" hidden="false" customHeight="false" outlineLevel="0" collapsed="false">
      <c r="A37" s="2" t="s">
        <v>1815</v>
      </c>
      <c r="B37" s="1" t="s">
        <v>1131</v>
      </c>
      <c r="C37" s="1" t="s">
        <v>1131</v>
      </c>
    </row>
    <row r="38" customFormat="false" ht="15.75" hidden="false" customHeight="false" outlineLevel="0" collapsed="false">
      <c r="A38" s="2" t="s">
        <v>1559</v>
      </c>
      <c r="B38" s="2" t="s">
        <v>1906</v>
      </c>
      <c r="C38" s="2" t="s">
        <v>1907</v>
      </c>
    </row>
    <row r="39" customFormat="false" ht="15.75" hidden="false" customHeight="false" outlineLevel="0" collapsed="false">
      <c r="A39" s="2" t="s">
        <v>1539</v>
      </c>
      <c r="B39" s="1" t="s">
        <v>1908</v>
      </c>
      <c r="C39" s="1" t="s">
        <v>1908</v>
      </c>
    </row>
    <row r="40" customFormat="false" ht="15.75" hidden="false" customHeight="false" outlineLevel="0" collapsed="false">
      <c r="A40" s="2" t="s">
        <v>1529</v>
      </c>
      <c r="B40" s="2" t="s">
        <v>1909</v>
      </c>
      <c r="C40" s="1" t="s">
        <v>1908</v>
      </c>
    </row>
    <row r="41" customFormat="false" ht="15.75" hidden="false" customHeight="false" outlineLevel="0" collapsed="false">
      <c r="A41" s="2" t="s">
        <v>1469</v>
      </c>
      <c r="B41" s="1" t="s">
        <v>568</v>
      </c>
      <c r="C41" s="1" t="s">
        <v>1910</v>
      </c>
    </row>
    <row r="42" customFormat="false" ht="15.75" hidden="false" customHeight="false" outlineLevel="0" collapsed="false">
      <c r="A42" s="2" t="s">
        <v>1411</v>
      </c>
      <c r="B42" s="1" t="s">
        <v>1411</v>
      </c>
      <c r="C42" s="2" t="s">
        <v>1911</v>
      </c>
    </row>
    <row r="43" customFormat="false" ht="15.75" hidden="false" customHeight="false" outlineLevel="0" collapsed="false">
      <c r="A43" s="2" t="s">
        <v>1407</v>
      </c>
      <c r="B43" s="1" t="s">
        <v>568</v>
      </c>
      <c r="C43" s="1" t="s">
        <v>568</v>
      </c>
    </row>
    <row r="44" customFormat="false" ht="15.75" hidden="false" customHeight="false" outlineLevel="0" collapsed="false">
      <c r="A44" s="2" t="s">
        <v>1400</v>
      </c>
      <c r="B44" s="1" t="s">
        <v>1912</v>
      </c>
      <c r="C44" s="1" t="s">
        <v>1912</v>
      </c>
    </row>
    <row r="45" customFormat="false" ht="15.75" hidden="false" customHeight="false" outlineLevel="0" collapsed="false">
      <c r="A45" s="2" t="s">
        <v>1404</v>
      </c>
      <c r="B45" s="2" t="s">
        <v>1913</v>
      </c>
      <c r="C45" s="1" t="s">
        <v>1908</v>
      </c>
    </row>
    <row r="46" customFormat="false" ht="15.75" hidden="false" customHeight="false" outlineLevel="0" collapsed="false">
      <c r="A46" s="2" t="s">
        <v>273</v>
      </c>
      <c r="B46" s="1" t="s">
        <v>1914</v>
      </c>
      <c r="C46" s="1" t="s">
        <v>1912</v>
      </c>
    </row>
    <row r="47" customFormat="false" ht="15.75" hidden="false" customHeight="false" outlineLevel="0" collapsed="false">
      <c r="A47" s="2" t="s">
        <v>283</v>
      </c>
      <c r="B47" s="2" t="s">
        <v>47</v>
      </c>
      <c r="C47" s="2" t="s">
        <v>1915</v>
      </c>
    </row>
    <row r="48" customFormat="false" ht="15.75" hidden="false" customHeight="false" outlineLevel="0" collapsed="false">
      <c r="A48" s="2" t="s">
        <v>127</v>
      </c>
      <c r="B48" s="2" t="s">
        <v>1131</v>
      </c>
      <c r="C48" s="2" t="s">
        <v>1131</v>
      </c>
    </row>
    <row r="49" customFormat="false" ht="15.75" hidden="false" customHeight="false" outlineLevel="0" collapsed="false">
      <c r="A49" s="2" t="s">
        <v>1447</v>
      </c>
      <c r="B49" s="2" t="s">
        <v>1447</v>
      </c>
      <c r="C49" s="2" t="s">
        <v>1915</v>
      </c>
    </row>
    <row r="50" customFormat="false" ht="15.75" hidden="false" customHeight="false" outlineLevel="0" collapsed="false">
      <c r="A50" s="2" t="s">
        <v>166</v>
      </c>
      <c r="B50" s="2" t="s">
        <v>47</v>
      </c>
      <c r="C50" s="2" t="s">
        <v>1915</v>
      </c>
    </row>
    <row r="51" customFormat="false" ht="15.75" hidden="false" customHeight="false" outlineLevel="0" collapsed="false">
      <c r="A51" s="2" t="s">
        <v>982</v>
      </c>
      <c r="B51" s="2" t="s">
        <v>1097</v>
      </c>
      <c r="C51" s="2" t="s">
        <v>1915</v>
      </c>
    </row>
    <row r="52" customFormat="false" ht="15.75" hidden="false" customHeight="false" outlineLevel="0" collapsed="false">
      <c r="A52" s="2" t="s">
        <v>982</v>
      </c>
      <c r="B52" s="2" t="s">
        <v>1916</v>
      </c>
      <c r="C52" s="2" t="s">
        <v>1916</v>
      </c>
    </row>
    <row r="53" customFormat="false" ht="15.75" hidden="false" customHeight="false" outlineLevel="0" collapsed="false">
      <c r="A53" s="2" t="s">
        <v>47</v>
      </c>
      <c r="B53" s="2" t="s">
        <v>47</v>
      </c>
      <c r="C53" s="2" t="s">
        <v>1915</v>
      </c>
    </row>
    <row r="54" customFormat="false" ht="15.75" hidden="false" customHeight="false" outlineLevel="0" collapsed="false">
      <c r="A54" s="2" t="s">
        <v>996</v>
      </c>
      <c r="B54" s="2" t="s">
        <v>1916</v>
      </c>
      <c r="C54" s="2" t="s">
        <v>1916</v>
      </c>
    </row>
    <row r="55" customFormat="false" ht="15.75" hidden="false" customHeight="false" outlineLevel="0" collapsed="false">
      <c r="A55" s="2" t="s">
        <v>1359</v>
      </c>
      <c r="B55" s="2" t="s">
        <v>1916</v>
      </c>
      <c r="C55" s="2" t="s">
        <v>1916</v>
      </c>
    </row>
    <row r="56" customFormat="false" ht="15.75" hidden="false" customHeight="false" outlineLevel="0" collapsed="false">
      <c r="A56" s="2" t="s">
        <v>1359</v>
      </c>
      <c r="B56" s="2" t="s">
        <v>1097</v>
      </c>
      <c r="C56" s="2" t="s">
        <v>1915</v>
      </c>
    </row>
    <row r="57" customFormat="false" ht="15.75" hidden="false" customHeight="false" outlineLevel="0" collapsed="false">
      <c r="A57" s="2" t="s">
        <v>1359</v>
      </c>
      <c r="B57" s="1" t="s">
        <v>47</v>
      </c>
      <c r="C57" s="2" t="s">
        <v>1915</v>
      </c>
    </row>
    <row r="58" customFormat="false" ht="15.75" hidden="false" customHeight="false" outlineLevel="0" collapsed="false">
      <c r="A58" s="2" t="s">
        <v>1359</v>
      </c>
      <c r="B58" s="1" t="s">
        <v>1447</v>
      </c>
      <c r="C58" s="2" t="s">
        <v>1915</v>
      </c>
    </row>
    <row r="59" customFormat="false" ht="15.75" hidden="false" customHeight="false" outlineLevel="0" collapsed="false">
      <c r="A59" s="2" t="s">
        <v>1359</v>
      </c>
      <c r="B59" s="1" t="s">
        <v>1917</v>
      </c>
      <c r="C59" s="2" t="s">
        <v>1915</v>
      </c>
    </row>
    <row r="60" customFormat="false" ht="15.75" hidden="false" customHeight="false" outlineLevel="0" collapsed="false">
      <c r="A60" s="2" t="s">
        <v>1359</v>
      </c>
      <c r="B60" s="1" t="s">
        <v>1321</v>
      </c>
      <c r="C60" s="1" t="s">
        <v>1321</v>
      </c>
    </row>
    <row r="61" customFormat="false" ht="15.75" hidden="false" customHeight="false" outlineLevel="0" collapsed="false">
      <c r="A61" s="2" t="s">
        <v>1359</v>
      </c>
      <c r="B61" s="1" t="s">
        <v>1918</v>
      </c>
      <c r="C61" s="2" t="s">
        <v>1918</v>
      </c>
    </row>
    <row r="62" customFormat="false" ht="15.75" hidden="false" customHeight="false" outlineLevel="0" collapsed="false">
      <c r="A62" s="2" t="s">
        <v>1270</v>
      </c>
      <c r="B62" s="1" t="s">
        <v>1911</v>
      </c>
      <c r="C62" s="2" t="s">
        <v>1911</v>
      </c>
    </row>
    <row r="63" customFormat="false" ht="15.75" hidden="false" customHeight="false" outlineLevel="0" collapsed="false">
      <c r="A63" s="2" t="s">
        <v>996</v>
      </c>
      <c r="B63" s="2" t="s">
        <v>1916</v>
      </c>
      <c r="C63" s="2" t="s">
        <v>1916</v>
      </c>
    </row>
    <row r="64" customFormat="false" ht="15.75" hidden="false" customHeight="false" outlineLevel="0" collapsed="false">
      <c r="A64" s="2" t="s">
        <v>1502</v>
      </c>
      <c r="B64" s="1" t="s">
        <v>1917</v>
      </c>
      <c r="C64" s="2" t="s">
        <v>1915</v>
      </c>
    </row>
    <row r="65" customFormat="false" ht="15.75" hidden="false" customHeight="false" outlineLevel="0" collapsed="false">
      <c r="A65" s="2" t="s">
        <v>1338</v>
      </c>
      <c r="B65" s="2" t="s">
        <v>1338</v>
      </c>
      <c r="C65" s="2" t="s">
        <v>1919</v>
      </c>
    </row>
    <row r="66" customFormat="false" ht="15.75" hidden="false" customHeight="false" outlineLevel="0" collapsed="false">
      <c r="A66" s="2" t="s">
        <v>1568</v>
      </c>
      <c r="B66" s="1" t="s">
        <v>1447</v>
      </c>
      <c r="C66" s="2" t="s">
        <v>1915</v>
      </c>
    </row>
    <row r="67" customFormat="false" ht="15.75" hidden="false" customHeight="false" outlineLevel="0" collapsed="false">
      <c r="A67" s="2" t="s">
        <v>568</v>
      </c>
      <c r="B67" s="1" t="s">
        <v>568</v>
      </c>
      <c r="C67" s="1" t="s">
        <v>568</v>
      </c>
    </row>
    <row r="68" customFormat="false" ht="15.75" hidden="false" customHeight="false" outlineLevel="0" collapsed="false">
      <c r="A68" s="2" t="s">
        <v>1532</v>
      </c>
      <c r="B68" s="1" t="s">
        <v>568</v>
      </c>
      <c r="C68" s="1" t="s">
        <v>568</v>
      </c>
    </row>
    <row r="69" customFormat="false" ht="15.75" hidden="false" customHeight="false" outlineLevel="0" collapsed="false">
      <c r="A69" s="2" t="s">
        <v>1040</v>
      </c>
      <c r="B69" s="1" t="s">
        <v>1920</v>
      </c>
      <c r="C69" s="1" t="s">
        <v>1920</v>
      </c>
    </row>
    <row r="70" customFormat="false" ht="15.75" hidden="false" customHeight="false" outlineLevel="0" collapsed="false">
      <c r="A70" s="2" t="s">
        <v>1515</v>
      </c>
      <c r="B70" s="1" t="s">
        <v>1910</v>
      </c>
      <c r="C70" s="1" t="s">
        <v>1910</v>
      </c>
    </row>
    <row r="71" customFormat="false" ht="15.75" hidden="false" customHeight="false" outlineLevel="0" collapsed="false">
      <c r="A71" s="2" t="s">
        <v>162</v>
      </c>
      <c r="B71" s="1" t="s">
        <v>1919</v>
      </c>
      <c r="C71" s="1" t="s">
        <v>1919</v>
      </c>
    </row>
    <row r="72" customFormat="false" ht="15.75" hidden="false" customHeight="false" outlineLevel="0" collapsed="false">
      <c r="A72" s="2" t="s">
        <v>1348</v>
      </c>
      <c r="B72" s="1" t="s">
        <v>568</v>
      </c>
      <c r="C72" s="1" t="s">
        <v>1919</v>
      </c>
    </row>
    <row r="73" customFormat="false" ht="15.75" hidden="false" customHeight="false" outlineLevel="0" collapsed="false">
      <c r="A73" s="2" t="s">
        <v>1348</v>
      </c>
      <c r="B73" s="1" t="s">
        <v>568</v>
      </c>
      <c r="C73" s="1" t="s">
        <v>568</v>
      </c>
    </row>
    <row r="74" customFormat="false" ht="15.75" hidden="false" customHeight="false" outlineLevel="0" collapsed="false">
      <c r="A74" s="2" t="s">
        <v>1254</v>
      </c>
      <c r="B74" s="2" t="s">
        <v>1254</v>
      </c>
      <c r="C74" s="2" t="s">
        <v>1916</v>
      </c>
    </row>
    <row r="75" customFormat="false" ht="15.75" hidden="false" customHeight="false" outlineLevel="0" collapsed="false">
      <c r="A75" s="2" t="s">
        <v>1921</v>
      </c>
      <c r="B75" s="2" t="s">
        <v>1254</v>
      </c>
      <c r="C75" s="2" t="s">
        <v>1916</v>
      </c>
    </row>
    <row r="76" customFormat="false" ht="15.75" hidden="false" customHeight="false" outlineLevel="0" collapsed="false">
      <c r="A76" s="2" t="s">
        <v>1000</v>
      </c>
      <c r="B76" s="2" t="s">
        <v>1254</v>
      </c>
      <c r="C76" s="2" t="s">
        <v>1916</v>
      </c>
    </row>
    <row r="77" customFormat="false" ht="15.75" hidden="false" customHeight="false" outlineLevel="0" collapsed="false">
      <c r="A77" s="2" t="s">
        <v>1000</v>
      </c>
      <c r="B77" s="2" t="s">
        <v>1097</v>
      </c>
      <c r="C77" s="2" t="s">
        <v>1915</v>
      </c>
    </row>
    <row r="78" customFormat="false" ht="15.75" hidden="false" customHeight="false" outlineLevel="0" collapsed="false">
      <c r="A78" s="2" t="s">
        <v>1007</v>
      </c>
      <c r="B78" s="2" t="s">
        <v>1007</v>
      </c>
      <c r="C78" s="2" t="s">
        <v>1916</v>
      </c>
    </row>
    <row r="79" customFormat="false" ht="15.75" hidden="false" customHeight="false" outlineLevel="0" collapsed="false">
      <c r="A79" s="2" t="s">
        <v>1922</v>
      </c>
      <c r="B79" s="1" t="s">
        <v>1917</v>
      </c>
      <c r="C79" s="2" t="s">
        <v>1915</v>
      </c>
    </row>
    <row r="80" customFormat="false" ht="15.75" hidden="false" customHeight="false" outlineLevel="0" collapsed="false">
      <c r="A80" s="2" t="s">
        <v>964</v>
      </c>
      <c r="B80" s="1" t="s">
        <v>1917</v>
      </c>
      <c r="C80" s="2" t="s">
        <v>1915</v>
      </c>
    </row>
    <row r="81" customFormat="false" ht="15.75" hidden="false" customHeight="false" outlineLevel="0" collapsed="false">
      <c r="A81" s="2" t="s">
        <v>992</v>
      </c>
      <c r="B81" s="1" t="s">
        <v>568</v>
      </c>
      <c r="C81" s="1" t="s">
        <v>568</v>
      </c>
    </row>
    <row r="82" customFormat="false" ht="15.75" hidden="false" customHeight="false" outlineLevel="0" collapsed="false">
      <c r="A82" s="2" t="s">
        <v>1674</v>
      </c>
      <c r="B82" s="2" t="s">
        <v>1097</v>
      </c>
      <c r="C82" s="2" t="s">
        <v>1915</v>
      </c>
    </row>
    <row r="83" customFormat="false" ht="15.75" hidden="false" customHeight="false" outlineLevel="0" collapsed="false">
      <c r="A83" s="2" t="s">
        <v>1674</v>
      </c>
      <c r="B83" s="1" t="s">
        <v>47</v>
      </c>
      <c r="C83" s="2" t="s">
        <v>1915</v>
      </c>
    </row>
    <row r="84" customFormat="false" ht="15.75" hidden="false" customHeight="false" outlineLevel="0" collapsed="false">
      <c r="A84" s="2" t="s">
        <v>1674</v>
      </c>
      <c r="B84" s="2" t="s">
        <v>43</v>
      </c>
      <c r="C84" s="2" t="s">
        <v>1915</v>
      </c>
    </row>
    <row r="85" customFormat="false" ht="15.75" hidden="false" customHeight="false" outlineLevel="0" collapsed="false">
      <c r="A85" s="2" t="s">
        <v>1674</v>
      </c>
      <c r="B85" s="2" t="s">
        <v>1923</v>
      </c>
      <c r="C85" s="2" t="s">
        <v>1915</v>
      </c>
    </row>
    <row r="86" customFormat="false" ht="15.75" hidden="false" customHeight="false" outlineLevel="0" collapsed="false">
      <c r="A86" s="2" t="s">
        <v>1924</v>
      </c>
      <c r="B86" s="1" t="s">
        <v>1131</v>
      </c>
      <c r="C86" s="1" t="s">
        <v>1131</v>
      </c>
    </row>
    <row r="87" customFormat="false" ht="15.75" hidden="false" customHeight="false" outlineLevel="0" collapsed="false">
      <c r="A87" s="2" t="s">
        <v>1321</v>
      </c>
      <c r="B87" s="1" t="s">
        <v>1321</v>
      </c>
      <c r="C87" s="1" t="s">
        <v>1321</v>
      </c>
    </row>
    <row r="88" customFormat="false" ht="15.75" hidden="false" customHeight="false" outlineLevel="0" collapsed="false">
      <c r="A88" s="2" t="s">
        <v>1540</v>
      </c>
      <c r="B88" s="1" t="s">
        <v>1911</v>
      </c>
      <c r="C88" s="1" t="s">
        <v>1911</v>
      </c>
    </row>
    <row r="89" customFormat="false" ht="15.75" hidden="false" customHeight="false" outlineLevel="0" collapsed="false">
      <c r="A89" s="2" t="s">
        <v>1813</v>
      </c>
      <c r="B89" s="1" t="s">
        <v>1131</v>
      </c>
      <c r="C89" s="1" t="s">
        <v>1131</v>
      </c>
    </row>
    <row r="90" customFormat="false" ht="15.75" hidden="false" customHeight="false" outlineLevel="0" collapsed="false">
      <c r="A90" s="2" t="s">
        <v>1925</v>
      </c>
      <c r="B90" s="1" t="s">
        <v>1131</v>
      </c>
      <c r="C90" s="1" t="s">
        <v>1131</v>
      </c>
    </row>
    <row r="91" customFormat="false" ht="15.75" hidden="false" customHeight="false" outlineLevel="0" collapsed="false">
      <c r="A91" s="2" t="s">
        <v>1926</v>
      </c>
      <c r="B91" s="1" t="s">
        <v>1131</v>
      </c>
      <c r="C91" s="1" t="s">
        <v>1131</v>
      </c>
    </row>
    <row r="92" customFormat="false" ht="15.75" hidden="false" customHeight="false" outlineLevel="0" collapsed="false">
      <c r="A92" s="2" t="s">
        <v>1927</v>
      </c>
      <c r="B92" s="1" t="s">
        <v>47</v>
      </c>
      <c r="C92" s="1" t="s">
        <v>1131</v>
      </c>
    </row>
    <row r="93" customFormat="false" ht="15.75" hidden="false" customHeight="false" outlineLevel="0" collapsed="false">
      <c r="A93" s="2" t="s">
        <v>1928</v>
      </c>
      <c r="B93" s="1" t="s">
        <v>47</v>
      </c>
      <c r="C93" s="2" t="s">
        <v>1915</v>
      </c>
    </row>
    <row r="94" customFormat="false" ht="15.75" hidden="false" customHeight="false" outlineLevel="0" collapsed="false">
      <c r="A94" s="2" t="s">
        <v>1928</v>
      </c>
      <c r="B94" s="1" t="s">
        <v>43</v>
      </c>
      <c r="C94" s="2" t="s">
        <v>1915</v>
      </c>
    </row>
    <row r="95" customFormat="false" ht="15.75" hidden="false" customHeight="false" outlineLevel="0" collapsed="false">
      <c r="A95" s="2" t="s">
        <v>176</v>
      </c>
      <c r="B95" s="1" t="s">
        <v>1912</v>
      </c>
      <c r="C95" s="1" t="s">
        <v>1912</v>
      </c>
    </row>
    <row r="96" customFormat="false" ht="15.75" hidden="false" customHeight="false" outlineLevel="0" collapsed="false">
      <c r="A96" s="2" t="s">
        <v>1505</v>
      </c>
      <c r="B96" s="1" t="s">
        <v>568</v>
      </c>
      <c r="C96" s="1" t="s">
        <v>568</v>
      </c>
    </row>
    <row r="97" customFormat="false" ht="15.75" hidden="false" customHeight="false" outlineLevel="0" collapsed="false">
      <c r="A97" s="2" t="s">
        <v>1505</v>
      </c>
      <c r="B97" s="1" t="s">
        <v>1919</v>
      </c>
      <c r="C97" s="2" t="s">
        <v>1919</v>
      </c>
    </row>
    <row r="98" customFormat="false" ht="15.75" hidden="false" customHeight="false" outlineLevel="0" collapsed="false">
      <c r="A98" s="2" t="s">
        <v>1740</v>
      </c>
      <c r="B98" s="1" t="s">
        <v>1912</v>
      </c>
      <c r="C98" s="1" t="s">
        <v>1912</v>
      </c>
    </row>
    <row r="99" customFormat="false" ht="15.75" hidden="false" customHeight="false" outlineLevel="0" collapsed="false">
      <c r="A99" s="2" t="s">
        <v>1676</v>
      </c>
      <c r="B99" s="2" t="s">
        <v>1338</v>
      </c>
      <c r="C99" s="1" t="s">
        <v>1919</v>
      </c>
    </row>
    <row r="100" customFormat="false" ht="15.75" hidden="false" customHeight="false" outlineLevel="0" collapsed="false">
      <c r="A100" s="2" t="s">
        <v>1929</v>
      </c>
      <c r="B100" s="1" t="s">
        <v>1908</v>
      </c>
      <c r="C100" s="1" t="s">
        <v>1908</v>
      </c>
    </row>
    <row r="101" customFormat="false" ht="15.75" hidden="false" customHeight="false" outlineLevel="0" collapsed="false">
      <c r="A101" s="2" t="s">
        <v>971</v>
      </c>
      <c r="B101" s="1" t="s">
        <v>1908</v>
      </c>
      <c r="C101" s="1" t="s">
        <v>1908</v>
      </c>
    </row>
    <row r="102" customFormat="false" ht="15.75" hidden="false" customHeight="false" outlineLevel="0" collapsed="false">
      <c r="A102" s="2" t="s">
        <v>169</v>
      </c>
      <c r="B102" s="1" t="s">
        <v>1908</v>
      </c>
      <c r="C102" s="1" t="s">
        <v>1908</v>
      </c>
    </row>
    <row r="103" customFormat="false" ht="15.75" hidden="false" customHeight="false" outlineLevel="0" collapsed="false">
      <c r="A103" s="2" t="s">
        <v>948</v>
      </c>
      <c r="B103" s="1" t="s">
        <v>1918</v>
      </c>
      <c r="C103" s="1" t="s">
        <v>1918</v>
      </c>
    </row>
    <row r="104" customFormat="false" ht="15.75" hidden="false" customHeight="false" outlineLevel="0" collapsed="false">
      <c r="A104" s="2" t="s">
        <v>1374</v>
      </c>
      <c r="B104" s="1" t="s">
        <v>1911</v>
      </c>
      <c r="C104" s="2" t="s">
        <v>1907</v>
      </c>
    </row>
    <row r="105" customFormat="false" ht="15.75" hidden="false" customHeight="false" outlineLevel="0" collapsed="false">
      <c r="A105" s="2" t="s">
        <v>1590</v>
      </c>
      <c r="B105" s="1" t="s">
        <v>568</v>
      </c>
      <c r="C105" s="1" t="s">
        <v>568</v>
      </c>
    </row>
    <row r="106" customFormat="false" ht="15.75" hidden="false" customHeight="false" outlineLevel="0" collapsed="false">
      <c r="A106" s="2" t="s">
        <v>1590</v>
      </c>
      <c r="B106" s="2" t="s">
        <v>568</v>
      </c>
      <c r="C106" s="2" t="s">
        <v>1919</v>
      </c>
    </row>
    <row r="107" customFormat="false" ht="15.75" hidden="false" customHeight="false" outlineLevel="0" collapsed="false">
      <c r="A107" s="2" t="s">
        <v>1334</v>
      </c>
      <c r="B107" s="1" t="s">
        <v>1325</v>
      </c>
      <c r="C107" s="2" t="s">
        <v>1919</v>
      </c>
    </row>
    <row r="108" customFormat="false" ht="15.75" hidden="false" customHeight="false" outlineLevel="0" collapsed="false">
      <c r="A108" s="2" t="s">
        <v>1930</v>
      </c>
      <c r="B108" s="1" t="s">
        <v>1131</v>
      </c>
      <c r="C108" s="1" t="s">
        <v>1131</v>
      </c>
    </row>
    <row r="109" customFormat="false" ht="15.75" hidden="false" customHeight="false" outlineLevel="0" collapsed="false">
      <c r="A109" s="2" t="s">
        <v>1931</v>
      </c>
      <c r="B109" s="1" t="s">
        <v>1325</v>
      </c>
      <c r="C109" s="2" t="s">
        <v>1919</v>
      </c>
    </row>
    <row r="110" customFormat="false" ht="15.75" hidden="false" customHeight="false" outlineLevel="0" collapsed="false">
      <c r="A110" s="2" t="s">
        <v>1931</v>
      </c>
      <c r="B110" s="1" t="s">
        <v>1919</v>
      </c>
      <c r="C110" s="2" t="s">
        <v>1919</v>
      </c>
    </row>
    <row r="111" customFormat="false" ht="15.75" hidden="false" customHeight="false" outlineLevel="0" collapsed="false">
      <c r="A111" s="2" t="s">
        <v>34</v>
      </c>
      <c r="B111" s="2" t="s">
        <v>1932</v>
      </c>
      <c r="C111" s="1" t="s">
        <v>1908</v>
      </c>
    </row>
    <row r="112" customFormat="false" ht="15.75" hidden="false" customHeight="false" outlineLevel="0" collapsed="false">
      <c r="A112" s="2" t="s">
        <v>1387</v>
      </c>
      <c r="B112" s="1" t="s">
        <v>1919</v>
      </c>
      <c r="C112" s="1" t="s">
        <v>1919</v>
      </c>
    </row>
    <row r="113" customFormat="false" ht="15.75" hidden="false" customHeight="false" outlineLevel="0" collapsed="false">
      <c r="A113" s="2" t="s">
        <v>1325</v>
      </c>
      <c r="B113" s="1" t="s">
        <v>1325</v>
      </c>
      <c r="C113" s="1" t="s">
        <v>1919</v>
      </c>
    </row>
    <row r="114" customFormat="false" ht="15.75" hidden="false" customHeight="false" outlineLevel="0" collapsed="false">
      <c r="A114" s="2" t="s">
        <v>1014</v>
      </c>
      <c r="B114" s="1" t="s">
        <v>1447</v>
      </c>
      <c r="C114" s="2" t="s">
        <v>1915</v>
      </c>
    </row>
    <row r="115" customFormat="false" ht="15.75" hidden="false" customHeight="false" outlineLevel="0" collapsed="false">
      <c r="A115" s="2" t="s">
        <v>1014</v>
      </c>
      <c r="B115" s="1" t="s">
        <v>1325</v>
      </c>
      <c r="C115" s="1" t="s">
        <v>1919</v>
      </c>
    </row>
    <row r="116" customFormat="false" ht="15.75" hidden="false" customHeight="false" outlineLevel="0" collapsed="false">
      <c r="A116" s="2" t="s">
        <v>1025</v>
      </c>
      <c r="B116" s="2" t="s">
        <v>1097</v>
      </c>
      <c r="C116" s="2" t="s">
        <v>1915</v>
      </c>
    </row>
    <row r="117" customFormat="false" ht="15.75" hidden="false" customHeight="false" outlineLevel="0" collapsed="false">
      <c r="A117" s="2" t="s">
        <v>1047</v>
      </c>
      <c r="B117" s="2" t="s">
        <v>1097</v>
      </c>
      <c r="C117" s="2" t="s">
        <v>1915</v>
      </c>
    </row>
    <row r="118" customFormat="false" ht="15.75" hidden="false" customHeight="false" outlineLevel="0" collapsed="false">
      <c r="A118" s="2" t="s">
        <v>1047</v>
      </c>
      <c r="B118" s="1" t="s">
        <v>47</v>
      </c>
      <c r="C118" s="2" t="s">
        <v>1915</v>
      </c>
    </row>
    <row r="119" customFormat="false" ht="15.75" hidden="false" customHeight="false" outlineLevel="0" collapsed="false">
      <c r="A119" s="2" t="s">
        <v>1933</v>
      </c>
      <c r="B119" s="2" t="s">
        <v>1920</v>
      </c>
      <c r="C119" s="2" t="s">
        <v>1920</v>
      </c>
    </row>
    <row r="120" customFormat="false" ht="15.75" hidden="false" customHeight="false" outlineLevel="0" collapsed="false">
      <c r="A120" s="2" t="s">
        <v>978</v>
      </c>
      <c r="B120" s="2" t="s">
        <v>1097</v>
      </c>
      <c r="C120" s="2" t="s">
        <v>1915</v>
      </c>
    </row>
    <row r="121" customFormat="false" ht="15.75" hidden="false" customHeight="false" outlineLevel="0" collapsed="false">
      <c r="A121" s="2" t="s">
        <v>1043</v>
      </c>
      <c r="B121" s="2" t="s">
        <v>1097</v>
      </c>
      <c r="C121" s="2" t="s">
        <v>1915</v>
      </c>
    </row>
    <row r="122" customFormat="false" ht="15.75" hidden="false" customHeight="false" outlineLevel="0" collapsed="false">
      <c r="A122" s="2" t="s">
        <v>1043</v>
      </c>
      <c r="B122" s="1" t="s">
        <v>47</v>
      </c>
      <c r="C122" s="2" t="s">
        <v>1915</v>
      </c>
    </row>
    <row r="123" customFormat="false" ht="15.75" hidden="false" customHeight="false" outlineLevel="0" collapsed="false">
      <c r="A123" s="2" t="s">
        <v>179</v>
      </c>
      <c r="B123" s="1" t="s">
        <v>1912</v>
      </c>
      <c r="C123" s="2" t="s">
        <v>1912</v>
      </c>
    </row>
    <row r="124" customFormat="false" ht="15.75" hidden="false" customHeight="false" outlineLevel="0" collapsed="false">
      <c r="A124" s="2" t="s">
        <v>1097</v>
      </c>
      <c r="B124" s="2" t="s">
        <v>1097</v>
      </c>
      <c r="C124" s="2" t="s">
        <v>1915</v>
      </c>
    </row>
    <row r="125" customFormat="false" ht="15.75" hidden="false" customHeight="false" outlineLevel="0" collapsed="false">
      <c r="A125" s="2" t="s">
        <v>1093</v>
      </c>
      <c r="B125" s="1" t="s">
        <v>1920</v>
      </c>
      <c r="C125" s="1" t="s">
        <v>1920</v>
      </c>
    </row>
    <row r="126" customFormat="false" ht="15.75" hidden="false" customHeight="false" outlineLevel="0" collapsed="false">
      <c r="A126" s="2" t="s">
        <v>1079</v>
      </c>
      <c r="B126" s="2" t="s">
        <v>1097</v>
      </c>
      <c r="C126" s="2" t="s">
        <v>1915</v>
      </c>
    </row>
    <row r="127" customFormat="false" ht="15.75" hidden="false" customHeight="false" outlineLevel="0" collapsed="false">
      <c r="A127" s="2" t="s">
        <v>1079</v>
      </c>
      <c r="B127" s="2" t="s">
        <v>47</v>
      </c>
      <c r="C127" s="2" t="s">
        <v>1915</v>
      </c>
    </row>
    <row r="128" customFormat="false" ht="15.75" hidden="false" customHeight="false" outlineLevel="0" collapsed="false">
      <c r="A128" s="2" t="s">
        <v>1393</v>
      </c>
      <c r="B128" s="1" t="s">
        <v>1912</v>
      </c>
      <c r="C128" s="1" t="s">
        <v>1912</v>
      </c>
    </row>
    <row r="129" customFormat="false" ht="15.75" hidden="false" customHeight="false" outlineLevel="0" collapsed="false">
      <c r="A129" s="2" t="s">
        <v>1934</v>
      </c>
      <c r="B129" s="1" t="s">
        <v>1131</v>
      </c>
      <c r="C129" s="1" t="s">
        <v>1131</v>
      </c>
    </row>
    <row r="130" customFormat="false" ht="15.75" hidden="false" customHeight="false" outlineLevel="0" collapsed="false">
      <c r="A130" s="2" t="s">
        <v>1555</v>
      </c>
      <c r="B130" s="2" t="s">
        <v>1097</v>
      </c>
      <c r="C130" s="2" t="s">
        <v>1915</v>
      </c>
    </row>
    <row r="131" customFormat="false" ht="15.75" hidden="false" customHeight="false" outlineLevel="0" collapsed="false">
      <c r="A131" s="2" t="s">
        <v>1678</v>
      </c>
      <c r="B131" s="1" t="s">
        <v>1325</v>
      </c>
      <c r="C131" s="2" t="s">
        <v>1919</v>
      </c>
    </row>
    <row r="132" customFormat="false" ht="15.75" hidden="false" customHeight="false" outlineLevel="0" collapsed="false">
      <c r="A132" s="2" t="s">
        <v>1778</v>
      </c>
      <c r="B132" s="2" t="s">
        <v>1778</v>
      </c>
      <c r="C132" s="2" t="s">
        <v>1916</v>
      </c>
    </row>
    <row r="133" customFormat="false" ht="15.75" hidden="false" customHeight="false" outlineLevel="0" collapsed="false">
      <c r="A133" s="2" t="s">
        <v>1007</v>
      </c>
      <c r="B133" s="2" t="s">
        <v>1007</v>
      </c>
      <c r="C133" s="2" t="s">
        <v>1916</v>
      </c>
    </row>
    <row r="134" customFormat="false" ht="15.75" hidden="false" customHeight="false" outlineLevel="0" collapsed="false">
      <c r="A134" s="2" t="s">
        <v>1769</v>
      </c>
      <c r="B134" s="1" t="s">
        <v>1912</v>
      </c>
      <c r="C134" s="1" t="s">
        <v>1912</v>
      </c>
    </row>
    <row r="135" customFormat="false" ht="15.75" hidden="false" customHeight="false" outlineLevel="0" collapsed="false">
      <c r="A135" s="2" t="s">
        <v>1765</v>
      </c>
      <c r="B135" s="2" t="s">
        <v>1909</v>
      </c>
      <c r="C135" s="1" t="s">
        <v>1908</v>
      </c>
    </row>
    <row r="136" customFormat="false" ht="15.75" hidden="false" customHeight="false" outlineLevel="0" collapsed="false">
      <c r="A136" s="2" t="s">
        <v>1610</v>
      </c>
      <c r="B136" s="2" t="s">
        <v>1935</v>
      </c>
      <c r="C136" s="2" t="s">
        <v>1907</v>
      </c>
    </row>
    <row r="137" customFormat="false" ht="15.75" hidden="false" customHeight="false" outlineLevel="0" collapsed="false">
      <c r="A137" s="2" t="s">
        <v>184</v>
      </c>
      <c r="B137" s="1" t="s">
        <v>1910</v>
      </c>
      <c r="C137" s="1" t="s">
        <v>1910</v>
      </c>
    </row>
    <row r="138" customFormat="false" ht="15.75" hidden="false" customHeight="false" outlineLevel="0" collapsed="false">
      <c r="A138" s="2" t="s">
        <v>1231</v>
      </c>
      <c r="B138" s="1" t="s">
        <v>47</v>
      </c>
      <c r="C138" s="2" t="s">
        <v>1915</v>
      </c>
    </row>
    <row r="139" customFormat="false" ht="15.75" hidden="false" customHeight="false" outlineLevel="0" collapsed="false">
      <c r="A139" s="2" t="s">
        <v>1231</v>
      </c>
      <c r="B139" s="2" t="s">
        <v>1097</v>
      </c>
      <c r="C139" s="2" t="s">
        <v>1915</v>
      </c>
    </row>
    <row r="140" customFormat="false" ht="15.75" hidden="false" customHeight="false" outlineLevel="0" collapsed="false">
      <c r="A140" s="2" t="s">
        <v>1231</v>
      </c>
      <c r="B140" s="2" t="s">
        <v>1097</v>
      </c>
      <c r="C140" s="2" t="s">
        <v>1915</v>
      </c>
    </row>
    <row r="141" customFormat="false" ht="15.75" hidden="false" customHeight="false" outlineLevel="0" collapsed="false">
      <c r="A141" s="2" t="s">
        <v>1936</v>
      </c>
      <c r="B141" s="2" t="s">
        <v>1937</v>
      </c>
      <c r="C141" s="1" t="s">
        <v>1908</v>
      </c>
    </row>
    <row r="142" customFormat="false" ht="15.75" hidden="false" customHeight="false" outlineLevel="0" collapsed="false">
      <c r="A142" s="2" t="s">
        <v>1396</v>
      </c>
      <c r="B142" s="2" t="s">
        <v>1938</v>
      </c>
      <c r="C142" s="2" t="s">
        <v>1907</v>
      </c>
    </row>
    <row r="143" customFormat="false" ht="15.75" hidden="false" customHeight="false" outlineLevel="0" collapsed="false">
      <c r="A143" s="2" t="s">
        <v>1774</v>
      </c>
      <c r="B143" s="1" t="s">
        <v>1007</v>
      </c>
      <c r="C143" s="2" t="s">
        <v>1916</v>
      </c>
    </row>
    <row r="144" customFormat="false" ht="15.75" hidden="false" customHeight="false" outlineLevel="0" collapsed="false">
      <c r="A144" s="2" t="s">
        <v>1774</v>
      </c>
      <c r="B144" s="1" t="s">
        <v>996</v>
      </c>
      <c r="C144" s="2" t="s">
        <v>1916</v>
      </c>
    </row>
    <row r="145" customFormat="false" ht="15.75" hidden="false" customHeight="false" outlineLevel="0" collapsed="false">
      <c r="A145" s="2" t="s">
        <v>1774</v>
      </c>
      <c r="B145" s="1" t="s">
        <v>1447</v>
      </c>
      <c r="C145" s="2" t="s">
        <v>1915</v>
      </c>
    </row>
    <row r="146" customFormat="false" ht="15.75" hidden="false" customHeight="false" outlineLevel="0" collapsed="false">
      <c r="A146" s="2" t="s">
        <v>816</v>
      </c>
      <c r="B146" s="1" t="s">
        <v>1131</v>
      </c>
      <c r="C146" s="2" t="s">
        <v>1131</v>
      </c>
    </row>
    <row r="147" customFormat="false" ht="15.75" hidden="false" customHeight="false" outlineLevel="0" collapsed="false">
      <c r="A147" s="2" t="s">
        <v>188</v>
      </c>
      <c r="B147" s="1" t="s">
        <v>568</v>
      </c>
      <c r="C147" s="1" t="s">
        <v>568</v>
      </c>
    </row>
    <row r="148" customFormat="false" ht="15.75" hidden="false" customHeight="false" outlineLevel="0" collapsed="false">
      <c r="A148" s="2" t="s">
        <v>191</v>
      </c>
      <c r="B148" s="1" t="s">
        <v>1131</v>
      </c>
      <c r="C148" s="1" t="s">
        <v>1131</v>
      </c>
    </row>
    <row r="149" customFormat="false" ht="15.75" hidden="false" customHeight="false" outlineLevel="0" collapsed="false">
      <c r="A149" s="2" t="s">
        <v>195</v>
      </c>
      <c r="B149" s="1" t="s">
        <v>1131</v>
      </c>
      <c r="C149" s="1" t="s">
        <v>1131</v>
      </c>
    </row>
    <row r="150" customFormat="false" ht="15.75" hidden="false" customHeight="false" outlineLevel="0" collapsed="false">
      <c r="A150" s="2" t="s">
        <v>198</v>
      </c>
      <c r="B150" s="1" t="s">
        <v>47</v>
      </c>
      <c r="C150" s="2" t="s">
        <v>1915</v>
      </c>
    </row>
    <row r="151" customFormat="false" ht="15.75" hidden="false" customHeight="false" outlineLevel="0" collapsed="false">
      <c r="A151" s="2" t="s">
        <v>204</v>
      </c>
      <c r="B151" s="1" t="s">
        <v>47</v>
      </c>
      <c r="C151" s="2" t="s">
        <v>1915</v>
      </c>
    </row>
    <row r="152" customFormat="false" ht="15.75" hidden="false" customHeight="false" outlineLevel="0" collapsed="false">
      <c r="A152" s="2" t="s">
        <v>212</v>
      </c>
      <c r="B152" s="1" t="s">
        <v>1910</v>
      </c>
      <c r="C152" s="1" t="s">
        <v>1910</v>
      </c>
    </row>
    <row r="153" customFormat="false" ht="15.75" hidden="false" customHeight="false" outlineLevel="0" collapsed="false">
      <c r="A153" s="2" t="s">
        <v>215</v>
      </c>
      <c r="B153" s="1" t="s">
        <v>47</v>
      </c>
      <c r="C153" s="2" t="s">
        <v>1915</v>
      </c>
    </row>
    <row r="154" customFormat="false" ht="15.75" hidden="false" customHeight="false" outlineLevel="0" collapsed="false">
      <c r="A154" s="2" t="s">
        <v>218</v>
      </c>
      <c r="B154" s="1" t="s">
        <v>47</v>
      </c>
      <c r="C154" s="1" t="s">
        <v>1910</v>
      </c>
    </row>
    <row r="155" customFormat="false" ht="15.75" hidden="false" customHeight="false" outlineLevel="0" collapsed="false">
      <c r="A155" s="2" t="s">
        <v>223</v>
      </c>
      <c r="B155" s="1" t="s">
        <v>47</v>
      </c>
      <c r="C155" s="2" t="s">
        <v>1915</v>
      </c>
    </row>
    <row r="156" customFormat="false" ht="15.75" hidden="false" customHeight="false" outlineLevel="0" collapsed="false">
      <c r="A156" s="2" t="s">
        <v>226</v>
      </c>
      <c r="B156" s="1" t="s">
        <v>568</v>
      </c>
      <c r="C156" s="1" t="s">
        <v>568</v>
      </c>
    </row>
    <row r="157" customFormat="false" ht="15.75" hidden="false" customHeight="false" outlineLevel="0" collapsed="false">
      <c r="A157" s="2" t="s">
        <v>231</v>
      </c>
      <c r="B157" s="2" t="s">
        <v>1939</v>
      </c>
      <c r="C157" s="2" t="s">
        <v>543</v>
      </c>
    </row>
    <row r="158" customFormat="false" ht="15.75" hidden="false" customHeight="false" outlineLevel="0" collapsed="false">
      <c r="A158" s="2" t="s">
        <v>1940</v>
      </c>
      <c r="B158" s="2" t="s">
        <v>1939</v>
      </c>
      <c r="C158" s="1" t="s">
        <v>1910</v>
      </c>
    </row>
    <row r="159" customFormat="false" ht="15.75" hidden="false" customHeight="false" outlineLevel="0" collapsed="false">
      <c r="A159" s="2" t="s">
        <v>252</v>
      </c>
      <c r="B159" s="1" t="s">
        <v>568</v>
      </c>
      <c r="C159" s="1" t="s">
        <v>568</v>
      </c>
    </row>
    <row r="160" customFormat="false" ht="15.75" hidden="false" customHeight="false" outlineLevel="0" collapsed="false">
      <c r="A160" s="2" t="s">
        <v>236</v>
      </c>
      <c r="B160" s="2" t="s">
        <v>1939</v>
      </c>
      <c r="C160" s="2" t="s">
        <v>543</v>
      </c>
    </row>
    <row r="161" customFormat="false" ht="15.75" hidden="false" customHeight="false" outlineLevel="0" collapsed="false">
      <c r="A161" s="2" t="s">
        <v>239</v>
      </c>
      <c r="B161" s="1" t="s">
        <v>568</v>
      </c>
      <c r="C161" s="1" t="s">
        <v>568</v>
      </c>
    </row>
    <row r="162" customFormat="false" ht="15.75" hidden="false" customHeight="false" outlineLevel="0" collapsed="false">
      <c r="A162" s="2" t="s">
        <v>242</v>
      </c>
      <c r="B162" s="2" t="s">
        <v>1939</v>
      </c>
      <c r="C162" s="2" t="s">
        <v>543</v>
      </c>
    </row>
    <row r="163" customFormat="false" ht="15.75" hidden="false" customHeight="false" outlineLevel="0" collapsed="false">
      <c r="A163" s="2" t="s">
        <v>245</v>
      </c>
      <c r="B163" s="1" t="s">
        <v>1912</v>
      </c>
      <c r="C163" s="1" t="s">
        <v>1912</v>
      </c>
    </row>
    <row r="164" customFormat="false" ht="15.75" hidden="false" customHeight="false" outlineLevel="0" collapsed="false">
      <c r="A164" s="2" t="s">
        <v>248</v>
      </c>
      <c r="B164" s="2" t="s">
        <v>1939</v>
      </c>
      <c r="C164" s="2" t="s">
        <v>543</v>
      </c>
    </row>
    <row r="165" customFormat="false" ht="15.75" hidden="false" customHeight="false" outlineLevel="0" collapsed="false">
      <c r="A165" s="2" t="s">
        <v>256</v>
      </c>
      <c r="B165" s="1" t="s">
        <v>1131</v>
      </c>
      <c r="C165" s="1" t="s">
        <v>1912</v>
      </c>
    </row>
    <row r="166" customFormat="false" ht="15.75" hidden="false" customHeight="false" outlineLevel="0" collapsed="false">
      <c r="A166" s="2" t="s">
        <v>50</v>
      </c>
      <c r="B166" s="1" t="s">
        <v>47</v>
      </c>
      <c r="C166" s="2" t="s">
        <v>1915</v>
      </c>
    </row>
    <row r="167" customFormat="false" ht="15.75" hidden="false" customHeight="false" outlineLevel="0" collapsed="false">
      <c r="A167" s="2" t="s">
        <v>43</v>
      </c>
      <c r="B167" s="1" t="s">
        <v>43</v>
      </c>
      <c r="C167" s="2" t="s">
        <v>1915</v>
      </c>
    </row>
    <row r="168" customFormat="false" ht="15.75" hidden="false" customHeight="false" outlineLevel="0" collapsed="false">
      <c r="A168" s="17" t="s">
        <v>288</v>
      </c>
      <c r="B168" s="1" t="s">
        <v>47</v>
      </c>
      <c r="C168" s="2" t="s">
        <v>1915</v>
      </c>
    </row>
    <row r="169" customFormat="false" ht="15.75" hidden="false" customHeight="false" outlineLevel="0" collapsed="false">
      <c r="A169" s="17" t="s">
        <v>291</v>
      </c>
      <c r="B169" s="1" t="s">
        <v>47</v>
      </c>
      <c r="C169" s="2" t="s">
        <v>1915</v>
      </c>
    </row>
    <row r="170" customFormat="false" ht="15.75" hidden="false" customHeight="false" outlineLevel="0" collapsed="false">
      <c r="A170" s="17" t="s">
        <v>300</v>
      </c>
      <c r="B170" s="1" t="s">
        <v>1131</v>
      </c>
      <c r="C170" s="1" t="s">
        <v>1131</v>
      </c>
    </row>
    <row r="171" customFormat="false" ht="15.75" hidden="false" customHeight="false" outlineLevel="0" collapsed="false">
      <c r="A171" s="17" t="s">
        <v>311</v>
      </c>
      <c r="B171" s="1" t="s">
        <v>1914</v>
      </c>
      <c r="C171" s="2" t="s">
        <v>1912</v>
      </c>
    </row>
    <row r="172" customFormat="false" ht="15.75" hidden="false" customHeight="false" outlineLevel="0" collapsed="false">
      <c r="A172" s="17" t="s">
        <v>315</v>
      </c>
      <c r="B172" s="1" t="s">
        <v>1131</v>
      </c>
      <c r="C172" s="1" t="s">
        <v>1131</v>
      </c>
    </row>
    <row r="173" customFormat="false" ht="15.75" hidden="false" customHeight="false" outlineLevel="0" collapsed="false">
      <c r="A173" s="17" t="s">
        <v>322</v>
      </c>
      <c r="B173" s="1" t="s">
        <v>1131</v>
      </c>
      <c r="C173" s="1" t="s">
        <v>1131</v>
      </c>
    </row>
    <row r="174" customFormat="false" ht="15.75" hidden="false" customHeight="false" outlineLevel="0" collapsed="false">
      <c r="A174" s="17" t="s">
        <v>322</v>
      </c>
      <c r="B174" s="1" t="s">
        <v>1941</v>
      </c>
      <c r="C174" s="2" t="s">
        <v>543</v>
      </c>
    </row>
    <row r="175" customFormat="false" ht="15.75" hidden="false" customHeight="false" outlineLevel="0" collapsed="false">
      <c r="A175" s="17" t="s">
        <v>326</v>
      </c>
      <c r="B175" s="1" t="s">
        <v>47</v>
      </c>
      <c r="C175" s="2" t="s">
        <v>1915</v>
      </c>
    </row>
    <row r="176" customFormat="false" ht="15.75" hidden="false" customHeight="false" outlineLevel="0" collapsed="false">
      <c r="A176" s="17" t="s">
        <v>333</v>
      </c>
      <c r="B176" s="2" t="s">
        <v>1939</v>
      </c>
      <c r="C176" s="2" t="s">
        <v>543</v>
      </c>
    </row>
    <row r="177" customFormat="false" ht="15.75" hidden="false" customHeight="false" outlineLevel="0" collapsed="false">
      <c r="A177" s="17" t="s">
        <v>336</v>
      </c>
      <c r="B177" s="1" t="s">
        <v>1131</v>
      </c>
      <c r="C177" s="1" t="s">
        <v>1131</v>
      </c>
    </row>
    <row r="178" customFormat="false" ht="15.75" hidden="false" customHeight="false" outlineLevel="0" collapsed="false">
      <c r="A178" s="17" t="s">
        <v>343</v>
      </c>
      <c r="B178" s="1" t="s">
        <v>1908</v>
      </c>
      <c r="C178" s="1" t="s">
        <v>1908</v>
      </c>
    </row>
    <row r="179" customFormat="false" ht="15.75" hidden="false" customHeight="false" outlineLevel="0" collapsed="false">
      <c r="A179" s="17" t="s">
        <v>346</v>
      </c>
      <c r="B179" s="1" t="s">
        <v>1942</v>
      </c>
      <c r="C179" s="2" t="s">
        <v>1910</v>
      </c>
    </row>
    <row r="180" customFormat="false" ht="15.75" hidden="false" customHeight="false" outlineLevel="0" collapsed="false">
      <c r="A180" s="17" t="s">
        <v>350</v>
      </c>
      <c r="B180" s="2" t="s">
        <v>1778</v>
      </c>
      <c r="C180" s="2" t="s">
        <v>1916</v>
      </c>
    </row>
    <row r="181" customFormat="false" ht="15.75" hidden="false" customHeight="false" outlineLevel="0" collapsed="false">
      <c r="A181" s="17" t="s">
        <v>354</v>
      </c>
      <c r="B181" s="1" t="s">
        <v>1131</v>
      </c>
      <c r="C181" s="1" t="s">
        <v>1131</v>
      </c>
    </row>
    <row r="182" customFormat="false" ht="15.75" hidden="false" customHeight="false" outlineLevel="0" collapsed="false">
      <c r="A182" s="17" t="s">
        <v>358</v>
      </c>
      <c r="B182" s="1" t="s">
        <v>1908</v>
      </c>
      <c r="C182" s="1" t="s">
        <v>1908</v>
      </c>
    </row>
    <row r="183" customFormat="false" ht="15.75" hidden="false" customHeight="false" outlineLevel="0" collapsed="false">
      <c r="A183" s="17" t="s">
        <v>369</v>
      </c>
      <c r="B183" s="1" t="s">
        <v>1131</v>
      </c>
      <c r="C183" s="1" t="s">
        <v>1131</v>
      </c>
    </row>
    <row r="184" customFormat="false" ht="15.75" hidden="false" customHeight="false" outlineLevel="0" collapsed="false">
      <c r="A184" s="17" t="s">
        <v>380</v>
      </c>
      <c r="B184" s="2" t="s">
        <v>1939</v>
      </c>
      <c r="C184" s="2" t="s">
        <v>543</v>
      </c>
    </row>
    <row r="185" customFormat="false" ht="15.75" hidden="false" customHeight="false" outlineLevel="0" collapsed="false">
      <c r="A185" s="17" t="s">
        <v>386</v>
      </c>
      <c r="B185" s="1" t="s">
        <v>1918</v>
      </c>
      <c r="C185" s="2" t="s">
        <v>1918</v>
      </c>
    </row>
    <row r="186" customFormat="false" ht="15.75" hidden="false" customHeight="false" outlineLevel="0" collapsed="false">
      <c r="A186" s="17" t="s">
        <v>390</v>
      </c>
      <c r="B186" s="2" t="s">
        <v>1943</v>
      </c>
      <c r="C186" s="2" t="s">
        <v>543</v>
      </c>
    </row>
    <row r="187" customFormat="false" ht="15.75" hidden="false" customHeight="false" outlineLevel="0" collapsed="false">
      <c r="A187" s="2" t="s">
        <v>396</v>
      </c>
      <c r="B187" s="1" t="s">
        <v>1944</v>
      </c>
      <c r="C187" s="2" t="s">
        <v>1919</v>
      </c>
    </row>
    <row r="188" customFormat="false" ht="15.75" hidden="false" customHeight="false" outlineLevel="0" collapsed="false">
      <c r="A188" s="17" t="s">
        <v>400</v>
      </c>
      <c r="B188" s="1" t="s">
        <v>47</v>
      </c>
      <c r="C188" s="2" t="s">
        <v>1915</v>
      </c>
    </row>
    <row r="189" customFormat="false" ht="15.75" hidden="false" customHeight="false" outlineLevel="0" collapsed="false">
      <c r="A189" s="17" t="s">
        <v>407</v>
      </c>
      <c r="B189" s="1" t="s">
        <v>1455</v>
      </c>
      <c r="C189" s="2" t="s">
        <v>1919</v>
      </c>
    </row>
    <row r="190" customFormat="false" ht="15.75" hidden="false" customHeight="false" outlineLevel="0" collapsed="false">
      <c r="A190" s="17" t="s">
        <v>411</v>
      </c>
      <c r="B190" s="1" t="s">
        <v>1945</v>
      </c>
      <c r="C190" s="2" t="s">
        <v>1910</v>
      </c>
    </row>
    <row r="191" customFormat="false" ht="15.75" hidden="false" customHeight="false" outlineLevel="0" collapsed="false">
      <c r="A191" s="17" t="s">
        <v>415</v>
      </c>
      <c r="B191" s="1" t="s">
        <v>1455</v>
      </c>
      <c r="C191" s="2" t="s">
        <v>1919</v>
      </c>
    </row>
    <row r="192" customFormat="false" ht="15.75" hidden="false" customHeight="false" outlineLevel="0" collapsed="false">
      <c r="A192" s="17" t="s">
        <v>425</v>
      </c>
      <c r="B192" s="2" t="s">
        <v>1939</v>
      </c>
      <c r="C192" s="2" t="s">
        <v>543</v>
      </c>
    </row>
    <row r="193" customFormat="false" ht="15.75" hidden="false" customHeight="false" outlineLevel="0" collapsed="false">
      <c r="A193" s="17" t="s">
        <v>469</v>
      </c>
      <c r="B193" s="1" t="s">
        <v>47</v>
      </c>
      <c r="C193" s="2" t="s">
        <v>1915</v>
      </c>
    </row>
    <row r="194" customFormat="false" ht="15.75" hidden="false" customHeight="false" outlineLevel="0" collapsed="false">
      <c r="A194" s="17" t="s">
        <v>473</v>
      </c>
      <c r="B194" s="1" t="s">
        <v>47</v>
      </c>
      <c r="C194" s="2" t="s">
        <v>543</v>
      </c>
    </row>
    <row r="195" customFormat="false" ht="15.75" hidden="false" customHeight="false" outlineLevel="0" collapsed="false">
      <c r="A195" s="17" t="s">
        <v>477</v>
      </c>
      <c r="B195" s="1" t="s">
        <v>47</v>
      </c>
      <c r="C195" s="2" t="s">
        <v>1915</v>
      </c>
    </row>
    <row r="196" customFormat="false" ht="15.75" hidden="false" customHeight="false" outlineLevel="0" collapsed="false">
      <c r="A196" s="17" t="s">
        <v>484</v>
      </c>
      <c r="B196" s="1" t="s">
        <v>47</v>
      </c>
      <c r="C196" s="2" t="s">
        <v>1915</v>
      </c>
    </row>
    <row r="197" customFormat="false" ht="15.75" hidden="false" customHeight="false" outlineLevel="0" collapsed="false">
      <c r="A197" s="17" t="s">
        <v>505</v>
      </c>
      <c r="B197" s="1" t="s">
        <v>1455</v>
      </c>
      <c r="C197" s="2" t="s">
        <v>1919</v>
      </c>
    </row>
    <row r="198" customFormat="false" ht="15.75" hidden="false" customHeight="false" outlineLevel="0" collapsed="false">
      <c r="A198" s="17" t="s">
        <v>508</v>
      </c>
      <c r="B198" s="1" t="s">
        <v>1945</v>
      </c>
      <c r="C198" s="2" t="s">
        <v>543</v>
      </c>
    </row>
    <row r="199" customFormat="false" ht="15.75" hidden="false" customHeight="false" outlineLevel="0" collapsed="false">
      <c r="A199" s="17" t="s">
        <v>521</v>
      </c>
      <c r="B199" s="1" t="s">
        <v>1946</v>
      </c>
      <c r="C199" s="2" t="s">
        <v>1910</v>
      </c>
    </row>
    <row r="200" customFormat="false" ht="15.75" hidden="false" customHeight="false" outlineLevel="0" collapsed="false">
      <c r="A200" s="17" t="s">
        <v>531</v>
      </c>
      <c r="B200" s="1" t="s">
        <v>1947</v>
      </c>
      <c r="C200" s="2" t="s">
        <v>543</v>
      </c>
    </row>
    <row r="201" customFormat="false" ht="15.75" hidden="false" customHeight="false" outlineLevel="0" collapsed="false">
      <c r="A201" s="17" t="s">
        <v>535</v>
      </c>
      <c r="B201" s="1" t="s">
        <v>1948</v>
      </c>
      <c r="C201" s="2" t="s">
        <v>543</v>
      </c>
    </row>
    <row r="202" customFormat="false" ht="15.75" hidden="false" customHeight="false" outlineLevel="0" collapsed="false">
      <c r="A202" s="17" t="s">
        <v>537</v>
      </c>
      <c r="B202" s="1" t="s">
        <v>1949</v>
      </c>
      <c r="C202" s="2" t="s">
        <v>1910</v>
      </c>
    </row>
    <row r="203" customFormat="false" ht="15.75" hidden="false" customHeight="false" outlineLevel="0" collapsed="false">
      <c r="A203" s="17" t="s">
        <v>546</v>
      </c>
      <c r="B203" s="1" t="s">
        <v>1950</v>
      </c>
      <c r="C203" s="2" t="s">
        <v>543</v>
      </c>
    </row>
    <row r="204" customFormat="false" ht="15.75" hidden="false" customHeight="false" outlineLevel="0" collapsed="false">
      <c r="A204" s="17" t="s">
        <v>549</v>
      </c>
      <c r="B204" s="1" t="s">
        <v>47</v>
      </c>
      <c r="C204" s="2" t="s">
        <v>1915</v>
      </c>
    </row>
    <row r="205" customFormat="false" ht="15.75" hidden="false" customHeight="false" outlineLevel="0" collapsed="false">
      <c r="A205" s="17" t="s">
        <v>556</v>
      </c>
      <c r="B205" s="1" t="s">
        <v>47</v>
      </c>
      <c r="C205" s="2" t="s">
        <v>1915</v>
      </c>
    </row>
    <row r="206" customFormat="false" ht="15.75" hidden="false" customHeight="false" outlineLevel="0" collapsed="false">
      <c r="A206" s="17" t="s">
        <v>572</v>
      </c>
      <c r="B206" s="2" t="s">
        <v>1951</v>
      </c>
      <c r="C206" s="2" t="s">
        <v>1915</v>
      </c>
    </row>
    <row r="207" customFormat="false" ht="15.75" hidden="false" customHeight="false" outlineLevel="0" collapsed="false">
      <c r="A207" s="17" t="s">
        <v>674</v>
      </c>
      <c r="B207" s="17" t="s">
        <v>674</v>
      </c>
      <c r="C207" s="2" t="s">
        <v>1910</v>
      </c>
    </row>
    <row r="208" customFormat="false" ht="15.75" hidden="false" customHeight="false" outlineLevel="0" collapsed="false">
      <c r="A208" s="17" t="s">
        <v>580</v>
      </c>
      <c r="B208" s="1" t="s">
        <v>1908</v>
      </c>
      <c r="C208" s="1" t="s">
        <v>1908</v>
      </c>
    </row>
    <row r="209" customFormat="false" ht="15.75" hidden="false" customHeight="false" outlineLevel="0" collapsed="false">
      <c r="A209" s="17" t="s">
        <v>601</v>
      </c>
      <c r="B209" s="1" t="s">
        <v>1908</v>
      </c>
      <c r="C209" s="1" t="s">
        <v>1908</v>
      </c>
    </row>
    <row r="210" customFormat="false" ht="15.75" hidden="false" customHeight="false" outlineLevel="0" collapsed="false">
      <c r="A210" s="17" t="s">
        <v>607</v>
      </c>
      <c r="B210" s="1" t="s">
        <v>1131</v>
      </c>
      <c r="C210" s="1" t="s">
        <v>1131</v>
      </c>
    </row>
    <row r="211" customFormat="false" ht="15.75" hidden="false" customHeight="false" outlineLevel="0" collapsed="false">
      <c r="A211" s="17" t="s">
        <v>576</v>
      </c>
      <c r="B211" s="17" t="s">
        <v>1952</v>
      </c>
      <c r="C211" s="2" t="s">
        <v>543</v>
      </c>
    </row>
    <row r="212" customFormat="false" ht="15.75" hidden="false" customHeight="false" outlineLevel="0" collapsed="false">
      <c r="A212" s="2" t="s">
        <v>637</v>
      </c>
      <c r="B212" s="1" t="s">
        <v>1953</v>
      </c>
      <c r="C212" s="2" t="s">
        <v>543</v>
      </c>
    </row>
    <row r="213" customFormat="false" ht="15.75" hidden="false" customHeight="false" outlineLevel="0" collapsed="false">
      <c r="A213" s="18" t="s">
        <v>649</v>
      </c>
      <c r="B213" s="19" t="s">
        <v>649</v>
      </c>
      <c r="C213" s="2" t="s">
        <v>1911</v>
      </c>
    </row>
    <row r="214" customFormat="false" ht="15.75" hidden="false" customHeight="false" outlineLevel="0" collapsed="false">
      <c r="A214" s="17" t="s">
        <v>665</v>
      </c>
      <c r="B214" s="17" t="s">
        <v>665</v>
      </c>
      <c r="C214" s="2" t="s">
        <v>1911</v>
      </c>
    </row>
    <row r="215" customFormat="false" ht="15.75" hidden="false" customHeight="false" outlineLevel="0" collapsed="false">
      <c r="A215" s="2" t="s">
        <v>1113</v>
      </c>
      <c r="B215" s="1" t="s">
        <v>1113</v>
      </c>
      <c r="C215" s="2" t="s">
        <v>543</v>
      </c>
    </row>
    <row r="216" customFormat="false" ht="15.75" hidden="false" customHeight="false" outlineLevel="0" collapsed="false">
      <c r="A216" s="2" t="s">
        <v>1117</v>
      </c>
      <c r="B216" s="2" t="s">
        <v>568</v>
      </c>
      <c r="C216" s="1" t="s">
        <v>568</v>
      </c>
    </row>
    <row r="217" customFormat="false" ht="15.75" hidden="false" customHeight="false" outlineLevel="0" collapsed="false">
      <c r="A217" s="2" t="s">
        <v>1121</v>
      </c>
      <c r="B217" s="1" t="s">
        <v>1954</v>
      </c>
      <c r="C217" s="2" t="s">
        <v>543</v>
      </c>
    </row>
    <row r="218" customFormat="false" ht="15.75" hidden="false" customHeight="false" outlineLevel="0" collapsed="false">
      <c r="A218" s="2" t="s">
        <v>1124</v>
      </c>
      <c r="B218" s="1" t="s">
        <v>1097</v>
      </c>
      <c r="C218" s="2" t="s">
        <v>1915</v>
      </c>
    </row>
    <row r="219" customFormat="false" ht="15.75" hidden="false" customHeight="false" outlineLevel="0" collapsed="false">
      <c r="A219" s="2" t="s">
        <v>1134</v>
      </c>
      <c r="B219" s="1" t="s">
        <v>1955</v>
      </c>
      <c r="C219" s="2" t="s">
        <v>543</v>
      </c>
    </row>
    <row r="220" customFormat="false" ht="15.75" hidden="false" customHeight="false" outlineLevel="0" collapsed="false">
      <c r="A220" s="20" t="s">
        <v>1143</v>
      </c>
      <c r="B220" s="1" t="s">
        <v>1131</v>
      </c>
      <c r="C220" s="1" t="s">
        <v>1131</v>
      </c>
    </row>
    <row r="221" customFormat="false" ht="15.75" hidden="false" customHeight="false" outlineLevel="0" collapsed="false">
      <c r="A221" s="2" t="s">
        <v>1147</v>
      </c>
      <c r="B221" s="1" t="s">
        <v>1131</v>
      </c>
      <c r="C221" s="1" t="s">
        <v>1131</v>
      </c>
    </row>
    <row r="222" customFormat="false" ht="15.75" hidden="false" customHeight="false" outlineLevel="0" collapsed="false">
      <c r="A222" s="2" t="s">
        <v>1150</v>
      </c>
      <c r="B222" s="1" t="s">
        <v>1131</v>
      </c>
      <c r="C222" s="1" t="s">
        <v>1131</v>
      </c>
    </row>
    <row r="223" customFormat="false" ht="15.75" hidden="false" customHeight="false" outlineLevel="0" collapsed="false">
      <c r="A223" s="20" t="s">
        <v>1161</v>
      </c>
      <c r="B223" s="1" t="s">
        <v>1956</v>
      </c>
      <c r="C223" s="2" t="s">
        <v>543</v>
      </c>
    </row>
    <row r="224" customFormat="false" ht="15.75" hidden="false" customHeight="false" outlineLevel="0" collapsed="false">
      <c r="A224" s="2" t="s">
        <v>1170</v>
      </c>
      <c r="B224" s="2" t="s">
        <v>1916</v>
      </c>
      <c r="C224" s="2" t="s">
        <v>1916</v>
      </c>
    </row>
    <row r="225" customFormat="false" ht="15.75" hidden="false" customHeight="false" outlineLevel="0" collapsed="false">
      <c r="A225" s="20" t="s">
        <v>1173</v>
      </c>
      <c r="B225" s="1" t="s">
        <v>1956</v>
      </c>
      <c r="C225" s="2" t="s">
        <v>543</v>
      </c>
    </row>
    <row r="226" customFormat="false" ht="15.75" hidden="false" customHeight="false" outlineLevel="0" collapsed="false">
      <c r="A226" s="20" t="s">
        <v>1180</v>
      </c>
      <c r="B226" s="1" t="s">
        <v>1131</v>
      </c>
      <c r="C226" s="1" t="s">
        <v>1131</v>
      </c>
    </row>
    <row r="227" customFormat="false" ht="15.75" hidden="false" customHeight="false" outlineLevel="0" collapsed="false">
      <c r="A227" s="2" t="s">
        <v>1176</v>
      </c>
      <c r="B227" s="1" t="s">
        <v>1131</v>
      </c>
      <c r="C227" s="1" t="s">
        <v>1131</v>
      </c>
    </row>
    <row r="228" customFormat="false" ht="15.75" hidden="false" customHeight="false" outlineLevel="0" collapsed="false">
      <c r="A228" s="2" t="s">
        <v>1194</v>
      </c>
      <c r="B228" s="1" t="s">
        <v>1131</v>
      </c>
      <c r="C228" s="1" t="s">
        <v>1131</v>
      </c>
    </row>
    <row r="229" customFormat="false" ht="15.75" hidden="false" customHeight="false" outlineLevel="0" collapsed="false">
      <c r="A229" s="20" t="s">
        <v>1198</v>
      </c>
      <c r="B229" s="1" t="s">
        <v>1131</v>
      </c>
      <c r="C229" s="1" t="s">
        <v>1131</v>
      </c>
    </row>
    <row r="230" customFormat="false" ht="15.75" hidden="false" customHeight="false" outlineLevel="0" collapsed="false">
      <c r="A230" s="2" t="s">
        <v>1209</v>
      </c>
      <c r="B230" s="2" t="s">
        <v>1097</v>
      </c>
      <c r="C230" s="2" t="s">
        <v>1915</v>
      </c>
    </row>
    <row r="231" customFormat="false" ht="15.75" hidden="false" customHeight="false" outlineLevel="0" collapsed="false">
      <c r="A231" s="20" t="s">
        <v>1211</v>
      </c>
      <c r="B231" s="2" t="s">
        <v>1957</v>
      </c>
      <c r="C231" s="2" t="s">
        <v>543</v>
      </c>
    </row>
    <row r="232" customFormat="false" ht="15.75" hidden="false" customHeight="false" outlineLevel="0" collapsed="false">
      <c r="A232" s="20" t="s">
        <v>1257</v>
      </c>
      <c r="B232" s="2" t="s">
        <v>1097</v>
      </c>
      <c r="C232" s="2" t="s">
        <v>1915</v>
      </c>
    </row>
    <row r="233" customFormat="false" ht="15.75" hidden="false" customHeight="false" outlineLevel="0" collapsed="false">
      <c r="A233" s="21" t="s">
        <v>1281</v>
      </c>
      <c r="B233" s="2" t="s">
        <v>1958</v>
      </c>
      <c r="C233" s="2" t="s">
        <v>543</v>
      </c>
    </row>
    <row r="234" customFormat="false" ht="15.75" hidden="false" customHeight="false" outlineLevel="0" collapsed="false">
      <c r="A234" s="20" t="s">
        <v>1959</v>
      </c>
      <c r="B234" s="20" t="s">
        <v>1959</v>
      </c>
      <c r="C234" s="20" t="s">
        <v>1959</v>
      </c>
    </row>
    <row r="235" customFormat="false" ht="15.75" hidden="false" customHeight="false" outlineLevel="0" collapsed="false">
      <c r="A235" s="20" t="s">
        <v>1289</v>
      </c>
      <c r="B235" s="2" t="s">
        <v>1960</v>
      </c>
      <c r="C235" s="2" t="s">
        <v>543</v>
      </c>
    </row>
    <row r="236" customFormat="false" ht="15.75" hidden="false" customHeight="false" outlineLevel="0" collapsed="false">
      <c r="A236" s="2" t="s">
        <v>1961</v>
      </c>
      <c r="B236" s="2" t="s">
        <v>1131</v>
      </c>
      <c r="C236" s="2" t="s">
        <v>1131</v>
      </c>
    </row>
    <row r="237" customFormat="false" ht="15.75" hidden="false" customHeight="false" outlineLevel="0" collapsed="false">
      <c r="A237" s="20" t="s">
        <v>1293</v>
      </c>
      <c r="B237" s="2" t="s">
        <v>1131</v>
      </c>
      <c r="C237" s="2" t="s">
        <v>1131</v>
      </c>
    </row>
    <row r="238" customFormat="false" ht="15.75" hidden="false" customHeight="false" outlineLevel="0" collapsed="false">
      <c r="A238" s="22" t="s">
        <v>1097</v>
      </c>
      <c r="B238" s="2" t="s">
        <v>1097</v>
      </c>
      <c r="C238" s="2" t="s">
        <v>1915</v>
      </c>
    </row>
    <row r="239" customFormat="false" ht="15.75" hidden="false" customHeight="false" outlineLevel="0" collapsed="false">
      <c r="A239" s="2" t="s">
        <v>1316</v>
      </c>
      <c r="B239" s="2" t="s">
        <v>1962</v>
      </c>
      <c r="C239" s="2" t="s">
        <v>1915</v>
      </c>
    </row>
    <row r="240" customFormat="false" ht="15.75" hidden="false" customHeight="false" outlineLevel="0" collapsed="false">
      <c r="A240" s="20" t="s">
        <v>1415</v>
      </c>
      <c r="B240" s="2" t="s">
        <v>1963</v>
      </c>
      <c r="C240" s="2" t="s">
        <v>1919</v>
      </c>
    </row>
    <row r="241" customFormat="false" ht="15.75" hidden="false" customHeight="false" outlineLevel="0" collapsed="false">
      <c r="A241" s="20" t="s">
        <v>1422</v>
      </c>
      <c r="B241" s="1" t="s">
        <v>1908</v>
      </c>
      <c r="C241" s="1" t="s">
        <v>1908</v>
      </c>
    </row>
    <row r="242" customFormat="false" ht="15.75" hidden="false" customHeight="false" outlineLevel="0" collapsed="false">
      <c r="A242" s="2" t="s">
        <v>1428</v>
      </c>
      <c r="B242" s="1" t="s">
        <v>1908</v>
      </c>
      <c r="C242" s="1" t="s">
        <v>1908</v>
      </c>
    </row>
    <row r="243" customFormat="false" ht="15.75" hidden="false" customHeight="false" outlineLevel="0" collapsed="false">
      <c r="A243" s="20" t="s">
        <v>1964</v>
      </c>
      <c r="B243" s="2" t="s">
        <v>1965</v>
      </c>
      <c r="C243" s="1" t="s">
        <v>1908</v>
      </c>
    </row>
    <row r="244" customFormat="false" ht="15.75" hidden="false" customHeight="false" outlineLevel="0" collapsed="false">
      <c r="A244" s="2" t="s">
        <v>1452</v>
      </c>
      <c r="B244" s="2" t="s">
        <v>1932</v>
      </c>
      <c r="C244" s="1" t="s">
        <v>1908</v>
      </c>
    </row>
    <row r="245" customFormat="false" ht="15.75" hidden="false" customHeight="false" outlineLevel="0" collapsed="false">
      <c r="A245" s="20" t="s">
        <v>1455</v>
      </c>
      <c r="B245" s="2" t="s">
        <v>1455</v>
      </c>
      <c r="C245" s="2" t="s">
        <v>1919</v>
      </c>
    </row>
    <row r="246" customFormat="false" ht="15.75" hidden="false" customHeight="false" outlineLevel="0" collapsed="false">
      <c r="A246" s="17" t="s">
        <v>674</v>
      </c>
      <c r="B246" s="17" t="s">
        <v>674</v>
      </c>
      <c r="C246" s="1" t="s">
        <v>1908</v>
      </c>
    </row>
    <row r="247" customFormat="false" ht="15.75" hidden="false" customHeight="false" outlineLevel="0" collapsed="false">
      <c r="A247" s="20" t="s">
        <v>1495</v>
      </c>
      <c r="B247" s="2" t="s">
        <v>1966</v>
      </c>
      <c r="C247" s="2" t="s">
        <v>1919</v>
      </c>
    </row>
    <row r="248" customFormat="false" ht="15.75" hidden="false" customHeight="false" outlineLevel="0" collapsed="false">
      <c r="A248" s="20" t="s">
        <v>1498</v>
      </c>
      <c r="B248" s="20" t="s">
        <v>1498</v>
      </c>
      <c r="C248" s="2" t="s">
        <v>1919</v>
      </c>
    </row>
    <row r="249" customFormat="false" ht="15.75" hidden="false" customHeight="false" outlineLevel="0" collapsed="false">
      <c r="A249" s="2" t="s">
        <v>1537</v>
      </c>
      <c r="B249" s="1" t="s">
        <v>1908</v>
      </c>
      <c r="C249" s="1" t="s">
        <v>1908</v>
      </c>
    </row>
    <row r="250" customFormat="false" ht="15.75" hidden="false" customHeight="false" outlineLevel="0" collapsed="false">
      <c r="A250" s="2" t="s">
        <v>1545</v>
      </c>
      <c r="B250" s="2" t="s">
        <v>1131</v>
      </c>
      <c r="C250" s="2" t="s">
        <v>1131</v>
      </c>
    </row>
    <row r="251" customFormat="false" ht="15.75" hidden="false" customHeight="false" outlineLevel="0" collapsed="false">
      <c r="A251" s="20" t="s">
        <v>1548</v>
      </c>
      <c r="B251" s="2" t="s">
        <v>1967</v>
      </c>
      <c r="C251" s="2" t="s">
        <v>543</v>
      </c>
    </row>
    <row r="252" customFormat="false" ht="15.75" hidden="false" customHeight="false" outlineLevel="0" collapsed="false">
      <c r="A252" s="20" t="s">
        <v>1552</v>
      </c>
      <c r="B252" s="2" t="s">
        <v>1131</v>
      </c>
      <c r="C252" s="2" t="s">
        <v>1131</v>
      </c>
    </row>
    <row r="253" customFormat="false" ht="15.75" hidden="false" customHeight="false" outlineLevel="0" collapsed="false">
      <c r="A253" s="23" t="s">
        <v>1968</v>
      </c>
      <c r="B253" s="2" t="s">
        <v>1907</v>
      </c>
      <c r="C253" s="2" t="s">
        <v>1907</v>
      </c>
    </row>
    <row r="254" customFormat="false" ht="15.75" hidden="false" customHeight="false" outlineLevel="0" collapsed="false">
      <c r="A254" s="2" t="s">
        <v>1587</v>
      </c>
      <c r="B254" s="2" t="s">
        <v>1965</v>
      </c>
      <c r="C254" s="1" t="s">
        <v>1908</v>
      </c>
    </row>
    <row r="255" customFormat="false" ht="15.75" hidden="false" customHeight="false" outlineLevel="0" collapsed="false">
      <c r="A255" s="2" t="s">
        <v>1583</v>
      </c>
      <c r="B255" s="2" t="s">
        <v>1131</v>
      </c>
      <c r="C255" s="2" t="s">
        <v>1131</v>
      </c>
    </row>
    <row r="256" customFormat="false" ht="15.75" hidden="false" customHeight="false" outlineLevel="0" collapsed="false">
      <c r="A256" s="2" t="s">
        <v>1578</v>
      </c>
      <c r="B256" s="2" t="s">
        <v>1131</v>
      </c>
      <c r="C256" s="2" t="s">
        <v>1131</v>
      </c>
    </row>
    <row r="257" customFormat="false" ht="15.75" hidden="false" customHeight="false" outlineLevel="0" collapsed="false">
      <c r="A257" s="20" t="s">
        <v>1594</v>
      </c>
      <c r="B257" s="2" t="s">
        <v>1969</v>
      </c>
      <c r="C257" s="2" t="s">
        <v>1131</v>
      </c>
    </row>
    <row r="258" customFormat="false" ht="15.75" hidden="false" customHeight="false" outlineLevel="0" collapsed="false">
      <c r="A258" s="20" t="s">
        <v>1596</v>
      </c>
      <c r="B258" s="2" t="s">
        <v>1970</v>
      </c>
      <c r="C258" s="2" t="s">
        <v>1131</v>
      </c>
    </row>
    <row r="259" customFormat="false" ht="15.75" hidden="false" customHeight="false" outlineLevel="0" collapsed="false">
      <c r="A259" s="20" t="s">
        <v>1634</v>
      </c>
      <c r="B259" s="2" t="s">
        <v>1971</v>
      </c>
      <c r="C259" s="2" t="s">
        <v>1910</v>
      </c>
    </row>
    <row r="260" customFormat="false" ht="15.75" hidden="false" customHeight="false" outlineLevel="0" collapsed="false">
      <c r="A260" s="20" t="s">
        <v>1645</v>
      </c>
      <c r="B260" s="20" t="s">
        <v>1645</v>
      </c>
      <c r="C260" s="2" t="s">
        <v>543</v>
      </c>
    </row>
    <row r="261" customFormat="false" ht="15.75" hidden="false" customHeight="false" outlineLevel="0" collapsed="false">
      <c r="A261" s="2" t="s">
        <v>1623</v>
      </c>
      <c r="B261" s="2" t="s">
        <v>1912</v>
      </c>
      <c r="C261" s="2" t="s">
        <v>1912</v>
      </c>
    </row>
    <row r="262" customFormat="false" ht="15.75" hidden="false" customHeight="false" outlineLevel="0" collapsed="false">
      <c r="A262" s="20" t="s">
        <v>1619</v>
      </c>
      <c r="B262" s="2" t="s">
        <v>1972</v>
      </c>
      <c r="C262" s="2" t="s">
        <v>543</v>
      </c>
    </row>
    <row r="263" customFormat="false" ht="17.35" hidden="false" customHeight="false" outlineLevel="0" collapsed="false">
      <c r="A263" s="24" t="s">
        <v>1683</v>
      </c>
      <c r="B263" s="2" t="s">
        <v>1131</v>
      </c>
      <c r="C263" s="2" t="s">
        <v>1131</v>
      </c>
    </row>
    <row r="264" customFormat="false" ht="15.75" hidden="false" customHeight="false" outlineLevel="0" collapsed="false">
      <c r="A264" s="2" t="s">
        <v>1687</v>
      </c>
      <c r="B264" s="2" t="s">
        <v>1916</v>
      </c>
      <c r="C264" s="2" t="s">
        <v>1916</v>
      </c>
    </row>
    <row r="265" customFormat="false" ht="17.35" hidden="false" customHeight="false" outlineLevel="0" collapsed="false">
      <c r="A265" s="25" t="s">
        <v>1692</v>
      </c>
      <c r="B265" s="2" t="s">
        <v>1455</v>
      </c>
      <c r="C265" s="2" t="s">
        <v>1919</v>
      </c>
    </row>
    <row r="266" customFormat="false" ht="17.35" hidden="false" customHeight="false" outlineLevel="0" collapsed="false">
      <c r="A266" s="25" t="s">
        <v>1700</v>
      </c>
      <c r="B266" s="2" t="s">
        <v>1131</v>
      </c>
      <c r="C266" s="2" t="s">
        <v>1131</v>
      </c>
    </row>
    <row r="267" customFormat="false" ht="15.75" hidden="false" customHeight="false" outlineLevel="0" collapsed="false">
      <c r="A267" s="2" t="s">
        <v>1703</v>
      </c>
      <c r="B267" s="2" t="s">
        <v>1917</v>
      </c>
      <c r="C267" s="2" t="s">
        <v>1915</v>
      </c>
    </row>
    <row r="268" customFormat="false" ht="15.75" hidden="false" customHeight="false" outlineLevel="0" collapsed="false">
      <c r="A268" s="20" t="s">
        <v>1789</v>
      </c>
      <c r="B268" s="20" t="s">
        <v>1789</v>
      </c>
      <c r="C268" s="20" t="s">
        <v>1911</v>
      </c>
    </row>
    <row r="269" customFormat="false" ht="15.75" hidden="false" customHeight="false" outlineLevel="0" collapsed="false">
      <c r="A269" s="20" t="s">
        <v>1973</v>
      </c>
      <c r="B269" s="2" t="s">
        <v>1974</v>
      </c>
      <c r="C269" s="2" t="s">
        <v>543</v>
      </c>
    </row>
    <row r="270" customFormat="false" ht="15.75" hidden="false" customHeight="false" outlineLevel="0" collapsed="false">
      <c r="A270" s="26" t="s">
        <v>1802</v>
      </c>
      <c r="B270" s="1" t="s">
        <v>1908</v>
      </c>
      <c r="C270" s="1" t="s">
        <v>1908</v>
      </c>
    </row>
    <row r="271" customFormat="false" ht="15.75" hidden="false" customHeight="false" outlineLevel="0" collapsed="false">
      <c r="A271" s="20" t="s">
        <v>1904</v>
      </c>
      <c r="B271" s="2" t="s">
        <v>1131</v>
      </c>
      <c r="C271" s="2" t="s">
        <v>1131</v>
      </c>
    </row>
    <row r="272" customFormat="false" ht="15.75" hidden="false" customHeight="false" outlineLevel="0" collapsed="false">
      <c r="A272" s="20" t="s">
        <v>1901</v>
      </c>
      <c r="B272" s="2" t="s">
        <v>1131</v>
      </c>
      <c r="C272" s="2" t="s">
        <v>1131</v>
      </c>
    </row>
    <row r="273" customFormat="false" ht="15.75" hidden="false" customHeight="false" outlineLevel="0" collapsed="false">
      <c r="A273" s="20" t="s">
        <v>1897</v>
      </c>
      <c r="B273" s="2" t="s">
        <v>1975</v>
      </c>
      <c r="C273" s="2" t="s">
        <v>1131</v>
      </c>
    </row>
    <row r="274" customFormat="false" ht="15.75" hidden="false" customHeight="false" outlineLevel="0" collapsed="false">
      <c r="A274" s="27" t="s">
        <v>1894</v>
      </c>
      <c r="B274" s="2" t="s">
        <v>1131</v>
      </c>
      <c r="C274" s="2" t="s">
        <v>1131</v>
      </c>
    </row>
    <row r="275" customFormat="false" ht="15.75" hidden="false" customHeight="false" outlineLevel="0" collapsed="false">
      <c r="A275" s="27" t="s">
        <v>1885</v>
      </c>
      <c r="B275" s="2" t="s">
        <v>1131</v>
      </c>
      <c r="C275" s="2" t="s">
        <v>543</v>
      </c>
    </row>
    <row r="276" customFormat="false" ht="15.75" hidden="false" customHeight="false" outlineLevel="0" collapsed="false">
      <c r="A276" s="27" t="s">
        <v>1889</v>
      </c>
      <c r="B276" s="2" t="s">
        <v>1131</v>
      </c>
      <c r="C276" s="2" t="s">
        <v>1131</v>
      </c>
    </row>
    <row r="277" customFormat="false" ht="15.75" hidden="false" customHeight="false" outlineLevel="0" collapsed="false">
      <c r="A277" s="2" t="s">
        <v>130</v>
      </c>
      <c r="B277" s="2" t="s">
        <v>47</v>
      </c>
      <c r="C277" s="2" t="s">
        <v>543</v>
      </c>
    </row>
    <row r="278" customFormat="false" ht="15.75" hidden="false" customHeight="false" outlineLevel="0" collapsed="false">
      <c r="A278" s="2" t="s">
        <v>130</v>
      </c>
      <c r="B278" s="2" t="s">
        <v>1254</v>
      </c>
      <c r="C278" s="2" t="s">
        <v>543</v>
      </c>
    </row>
    <row r="279" customFormat="false" ht="15.75" hidden="false" customHeight="false" outlineLevel="0" collapsed="false">
      <c r="A279" s="2" t="s">
        <v>1976</v>
      </c>
      <c r="B279" s="2" t="s">
        <v>1131</v>
      </c>
      <c r="C279" s="2" t="s">
        <v>1131</v>
      </c>
    </row>
    <row r="280" customFormat="false" ht="15.75" hidden="false" customHeight="false" outlineLevel="0" collapsed="false">
      <c r="A280" s="2" t="s">
        <v>155</v>
      </c>
      <c r="B280" s="2" t="s">
        <v>1977</v>
      </c>
      <c r="C280" s="2" t="s">
        <v>543</v>
      </c>
    </row>
    <row r="281" customFormat="false" ht="15.75" hidden="false" customHeight="false" outlineLevel="0" collapsed="false">
      <c r="A281" s="2" t="s">
        <v>689</v>
      </c>
      <c r="B281" s="2" t="s">
        <v>1978</v>
      </c>
      <c r="C281" s="2" t="s">
        <v>543</v>
      </c>
    </row>
    <row r="282" customFormat="false" ht="15.75" hidden="false" customHeight="false" outlineLevel="0" collapsed="false">
      <c r="A282" s="2" t="s">
        <v>694</v>
      </c>
      <c r="B282" s="2" t="s">
        <v>1910</v>
      </c>
      <c r="C282" s="2" t="s">
        <v>1910</v>
      </c>
    </row>
    <row r="283" customFormat="false" ht="15.75" hidden="false" customHeight="false" outlineLevel="0" collapsed="false">
      <c r="A283" s="2" t="s">
        <v>699</v>
      </c>
      <c r="B283" s="2" t="s">
        <v>1909</v>
      </c>
      <c r="C283" s="1" t="s">
        <v>1908</v>
      </c>
    </row>
    <row r="284" customFormat="false" ht="15.75" hidden="false" customHeight="false" outlineLevel="0" collapsed="false">
      <c r="A284" s="2" t="s">
        <v>703</v>
      </c>
      <c r="B284" s="2" t="s">
        <v>1979</v>
      </c>
      <c r="C284" s="2" t="s">
        <v>1910</v>
      </c>
    </row>
    <row r="285" customFormat="false" ht="15.75" hidden="false" customHeight="false" outlineLevel="0" collapsed="false">
      <c r="A285" s="2" t="s">
        <v>712</v>
      </c>
      <c r="B285" s="2" t="s">
        <v>47</v>
      </c>
      <c r="C285" s="2" t="s">
        <v>1915</v>
      </c>
    </row>
    <row r="286" customFormat="false" ht="15.75" hidden="false" customHeight="false" outlineLevel="0" collapsed="false">
      <c r="A286" s="2" t="s">
        <v>717</v>
      </c>
      <c r="B286" s="2" t="s">
        <v>1980</v>
      </c>
      <c r="C286" s="1" t="s">
        <v>1919</v>
      </c>
    </row>
    <row r="287" customFormat="false" ht="15.75" hidden="false" customHeight="false" outlineLevel="0" collapsed="false">
      <c r="A287" s="2" t="s">
        <v>735</v>
      </c>
      <c r="B287" s="2" t="s">
        <v>1910</v>
      </c>
      <c r="C287" s="2" t="s">
        <v>1910</v>
      </c>
    </row>
    <row r="288" customFormat="false" ht="15.75" hidden="false" customHeight="false" outlineLevel="0" collapsed="false">
      <c r="A288" s="2" t="s">
        <v>740</v>
      </c>
      <c r="B288" s="2" t="s">
        <v>1131</v>
      </c>
      <c r="C288" s="2" t="s">
        <v>1131</v>
      </c>
    </row>
    <row r="289" customFormat="false" ht="15.75" hidden="false" customHeight="false" outlineLevel="0" collapsed="false">
      <c r="A289" s="2" t="s">
        <v>745</v>
      </c>
      <c r="B289" s="1" t="s">
        <v>1914</v>
      </c>
      <c r="C289" s="2" t="s">
        <v>1912</v>
      </c>
    </row>
    <row r="290" customFormat="false" ht="15.75" hidden="false" customHeight="false" outlineLevel="0" collapsed="false">
      <c r="A290" s="2" t="s">
        <v>1235</v>
      </c>
      <c r="B290" s="1" t="s">
        <v>1908</v>
      </c>
      <c r="C290" s="1" t="s">
        <v>1908</v>
      </c>
    </row>
    <row r="291" customFormat="false" ht="15.75" hidden="false" customHeight="false" outlineLevel="0" collapsed="false">
      <c r="A291" s="2" t="s">
        <v>1297</v>
      </c>
      <c r="B291" s="2" t="s">
        <v>1131</v>
      </c>
      <c r="C291" s="2" t="s">
        <v>1131</v>
      </c>
    </row>
    <row r="292" customFormat="false" ht="15.75" hidden="false" customHeight="false" outlineLevel="0" collapsed="false">
      <c r="A292" s="2" t="s">
        <v>1297</v>
      </c>
      <c r="B292" s="2" t="s">
        <v>1097</v>
      </c>
      <c r="C292" s="2" t="s">
        <v>1915</v>
      </c>
    </row>
    <row r="293" customFormat="false" ht="15.75" hidden="false" customHeight="false" outlineLevel="0" collapsed="false">
      <c r="A293" s="2" t="s">
        <v>1306</v>
      </c>
      <c r="B293" s="2" t="s">
        <v>1131</v>
      </c>
      <c r="C293" s="2" t="s">
        <v>1131</v>
      </c>
    </row>
    <row r="294" customFormat="false" ht="15.75" hidden="false" customHeight="false" outlineLevel="0" collapsed="false">
      <c r="A294" s="2" t="s">
        <v>1563</v>
      </c>
      <c r="B294" s="2" t="s">
        <v>1912</v>
      </c>
      <c r="C294" s="2" t="s">
        <v>1912</v>
      </c>
    </row>
    <row r="295" customFormat="false" ht="15.75" hidden="false" customHeight="false" outlineLevel="0" collapsed="false">
      <c r="A295" s="2" t="s">
        <v>1661</v>
      </c>
      <c r="B295" s="2" t="s">
        <v>568</v>
      </c>
      <c r="C295" s="1" t="s">
        <v>568</v>
      </c>
    </row>
    <row r="296" customFormat="false" ht="15.75" hidden="false" customHeight="false" outlineLevel="0" collapsed="false">
      <c r="A296" s="2" t="s">
        <v>1665</v>
      </c>
      <c r="B296" s="2" t="s">
        <v>1979</v>
      </c>
      <c r="C296" s="2" t="s">
        <v>1910</v>
      </c>
    </row>
    <row r="297" customFormat="false" ht="15.75" hidden="false" customHeight="false" outlineLevel="0" collapsed="false">
      <c r="A297" s="14" t="s">
        <v>1714</v>
      </c>
      <c r="B297" s="2" t="s">
        <v>1131</v>
      </c>
      <c r="C297" s="2" t="s">
        <v>1131</v>
      </c>
    </row>
    <row r="298" customFormat="false" ht="15.75" hidden="false" customHeight="false" outlineLevel="0" collapsed="false">
      <c r="A298" s="2" t="s">
        <v>1710</v>
      </c>
      <c r="B298" s="2" t="s">
        <v>1980</v>
      </c>
      <c r="C298" s="1" t="s">
        <v>1919</v>
      </c>
    </row>
    <row r="299" customFormat="false" ht="15.75" hidden="false" customHeight="false" outlineLevel="0" collapsed="false">
      <c r="A299" s="2" t="s">
        <v>1808</v>
      </c>
      <c r="B299" s="2" t="s">
        <v>568</v>
      </c>
      <c r="C299" s="1" t="s">
        <v>568</v>
      </c>
    </row>
    <row r="300" customFormat="false" ht="15.75" hidden="false" customHeight="false" outlineLevel="0" collapsed="false">
      <c r="A300" s="1" t="s">
        <v>136</v>
      </c>
      <c r="B300" s="2" t="s">
        <v>1131</v>
      </c>
      <c r="C300" s="2" t="s">
        <v>1131</v>
      </c>
    </row>
    <row r="301" customFormat="false" ht="15.75" hidden="false" customHeight="false" outlineLevel="0" collapsed="false">
      <c r="A301" s="2" t="s">
        <v>1482</v>
      </c>
      <c r="B301" s="2" t="s">
        <v>1980</v>
      </c>
      <c r="C301" s="1" t="s">
        <v>1919</v>
      </c>
    </row>
    <row r="302" customFormat="false" ht="15.75" hidden="false" customHeight="false" outlineLevel="0" collapsed="false">
      <c r="A302" s="2" t="s">
        <v>765</v>
      </c>
      <c r="B302" s="2" t="s">
        <v>1981</v>
      </c>
      <c r="C302" s="2" t="s">
        <v>1908</v>
      </c>
    </row>
    <row r="303" customFormat="false" ht="15.75" hidden="false" customHeight="false" outlineLevel="0" collapsed="false">
      <c r="A303" s="2" t="s">
        <v>773</v>
      </c>
      <c r="B303" s="2" t="s">
        <v>1981</v>
      </c>
      <c r="C303" s="2" t="s">
        <v>1908</v>
      </c>
    </row>
    <row r="304" customFormat="false" ht="15.75" hidden="false" customHeight="false" outlineLevel="0" collapsed="false">
      <c r="A304" s="2" t="s">
        <v>779</v>
      </c>
      <c r="B304" s="2" t="s">
        <v>47</v>
      </c>
      <c r="C304" s="2" t="s">
        <v>47</v>
      </c>
    </row>
    <row r="305" customFormat="false" ht="15.75" hidden="false" customHeight="false" outlineLevel="0" collapsed="false">
      <c r="A305" s="2" t="s">
        <v>1246</v>
      </c>
      <c r="B305" s="2" t="s">
        <v>1918</v>
      </c>
      <c r="C305" s="2" t="s">
        <v>1918</v>
      </c>
    </row>
    <row r="306" customFormat="false" ht="15.75" hidden="false" customHeight="false" outlineLevel="0" collapsed="false">
      <c r="A306" s="2" t="s">
        <v>1310</v>
      </c>
      <c r="B306" s="2" t="s">
        <v>1918</v>
      </c>
      <c r="C306" s="2" t="s">
        <v>1918</v>
      </c>
    </row>
    <row r="307" customFormat="false" ht="15.75" hidden="false" customHeight="false" outlineLevel="0" collapsed="false">
      <c r="A307" s="2" t="s">
        <v>1932</v>
      </c>
      <c r="B307" s="2" t="s">
        <v>1932</v>
      </c>
      <c r="C307" s="2" t="s">
        <v>1908</v>
      </c>
    </row>
    <row r="308" customFormat="false" ht="15.75" hidden="false" customHeight="false" outlineLevel="0" collapsed="false">
      <c r="A308" s="2" t="s">
        <v>1982</v>
      </c>
      <c r="B308" s="2" t="s">
        <v>1097</v>
      </c>
      <c r="C308" s="2" t="s">
        <v>1915</v>
      </c>
    </row>
    <row r="309" customFormat="false" ht="15.75" hidden="false" customHeight="false" outlineLevel="0" collapsed="false">
      <c r="A309" s="2" t="s">
        <v>1443</v>
      </c>
      <c r="B309" s="2" t="s">
        <v>1966</v>
      </c>
      <c r="C309" s="2" t="s">
        <v>1907</v>
      </c>
    </row>
    <row r="310" customFormat="false" ht="15.75" hidden="false" customHeight="false" outlineLevel="0" collapsed="false">
      <c r="A310" s="2" t="s">
        <v>1438</v>
      </c>
      <c r="B310" s="2" t="s">
        <v>1965</v>
      </c>
      <c r="C310" s="1" t="s">
        <v>1908</v>
      </c>
    </row>
    <row r="311" customFormat="false" ht="15.75" hidden="false" customHeight="false" outlineLevel="0" collapsed="false">
      <c r="A311" s="2" t="s">
        <v>1433</v>
      </c>
      <c r="B311" s="2" t="s">
        <v>1929</v>
      </c>
      <c r="C311" s="1" t="s">
        <v>1908</v>
      </c>
    </row>
    <row r="312" customFormat="false" ht="15.75" hidden="false" customHeight="false" outlineLevel="0" collapsed="false">
      <c r="A312" s="2" t="s">
        <v>1486</v>
      </c>
      <c r="B312" s="2" t="s">
        <v>1909</v>
      </c>
      <c r="C312" s="1" t="s">
        <v>1908</v>
      </c>
    </row>
    <row r="313" customFormat="false" ht="15.75" hidden="false" customHeight="false" outlineLevel="0" collapsed="false">
      <c r="A313" s="2" t="s">
        <v>1670</v>
      </c>
      <c r="B313" s="2" t="s">
        <v>1097</v>
      </c>
      <c r="C313" s="2" t="s">
        <v>1915</v>
      </c>
    </row>
    <row r="314" customFormat="false" ht="15.75" hidden="false" customHeight="true" outlineLevel="0" collapsed="false">
      <c r="A314" s="2" t="s">
        <v>1250</v>
      </c>
      <c r="B314" s="0" t="s">
        <v>1918</v>
      </c>
      <c r="C314" s="0" t="s">
        <v>1918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9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61.88"/>
  </cols>
  <sheetData>
    <row r="1" customFormat="false" ht="15.75" hidden="false" customHeight="false" outlineLevel="0" collapsed="false">
      <c r="A1" s="2" t="s">
        <v>15</v>
      </c>
      <c r="B1" s="2" t="s">
        <v>1131</v>
      </c>
    </row>
    <row r="2" customFormat="false" ht="15.75" hidden="false" customHeight="false" outlineLevel="0" collapsed="false">
      <c r="A2" s="2" t="s">
        <v>1753</v>
      </c>
      <c r="B2" s="28" t="s">
        <v>1983</v>
      </c>
    </row>
    <row r="3" customFormat="false" ht="15.75" hidden="false" customHeight="false" outlineLevel="0" collapsed="false">
      <c r="A3" s="2" t="s">
        <v>1753</v>
      </c>
      <c r="B3" s="28" t="s">
        <v>1984</v>
      </c>
    </row>
    <row r="4" customFormat="false" ht="15.75" hidden="false" customHeight="false" outlineLevel="0" collapsed="false">
      <c r="A4" s="2" t="s">
        <v>1725</v>
      </c>
      <c r="B4" s="2" t="s">
        <v>1725</v>
      </c>
    </row>
    <row r="5" customFormat="false" ht="15.75" hidden="false" customHeight="false" outlineLevel="0" collapsed="false">
      <c r="A5" s="2" t="s">
        <v>1383</v>
      </c>
      <c r="B5" s="28" t="s">
        <v>1985</v>
      </c>
    </row>
    <row r="6" customFormat="false" ht="15.75" hidden="false" customHeight="false" outlineLevel="0" collapsed="false">
      <c r="A6" s="2" t="s">
        <v>1383</v>
      </c>
      <c r="B6" s="28" t="s">
        <v>1143</v>
      </c>
    </row>
    <row r="7" customFormat="false" ht="15.75" hidden="false" customHeight="false" outlineLevel="0" collapsed="false">
      <c r="A7" s="2" t="s">
        <v>811</v>
      </c>
      <c r="B7" s="2" t="s">
        <v>816</v>
      </c>
    </row>
    <row r="8" customFormat="false" ht="15.75" hidden="false" customHeight="false" outlineLevel="0" collapsed="false">
      <c r="A8" s="2" t="s">
        <v>811</v>
      </c>
      <c r="B8" s="2" t="s">
        <v>878</v>
      </c>
    </row>
    <row r="9" customFormat="false" ht="15.75" hidden="false" customHeight="false" outlineLevel="0" collapsed="false">
      <c r="A9" s="2" t="s">
        <v>810</v>
      </c>
      <c r="B9" s="2" t="s">
        <v>816</v>
      </c>
    </row>
    <row r="10" customFormat="false" ht="15.75" hidden="false" customHeight="false" outlineLevel="0" collapsed="false">
      <c r="A10" s="2" t="s">
        <v>810</v>
      </c>
      <c r="B10" s="28" t="s">
        <v>801</v>
      </c>
    </row>
    <row r="11" customFormat="false" ht="17.35" hidden="false" customHeight="false" outlineLevel="0" collapsed="false">
      <c r="A11" s="29" t="s">
        <v>1681</v>
      </c>
      <c r="B11" s="28" t="s">
        <v>1986</v>
      </c>
    </row>
    <row r="12" customFormat="false" ht="17.35" hidden="false" customHeight="false" outlineLevel="0" collapsed="false">
      <c r="A12" s="29" t="s">
        <v>1681</v>
      </c>
      <c r="B12" s="28" t="s">
        <v>1987</v>
      </c>
    </row>
    <row r="13" customFormat="false" ht="15.75" hidden="false" customHeight="false" outlineLevel="0" collapsed="false">
      <c r="A13" s="30" t="s">
        <v>1572</v>
      </c>
      <c r="B13" s="30" t="s">
        <v>1572</v>
      </c>
    </row>
    <row r="14" customFormat="false" ht="15.75" hidden="false" customHeight="false" outlineLevel="0" collapsed="false">
      <c r="A14" s="2" t="s">
        <v>1519</v>
      </c>
      <c r="B14" s="2" t="s">
        <v>1519</v>
      </c>
    </row>
    <row r="15" customFormat="false" ht="15.75" hidden="false" customHeight="false" outlineLevel="0" collapsed="false">
      <c r="A15" s="2" t="s">
        <v>808</v>
      </c>
      <c r="B15" s="2" t="s">
        <v>23</v>
      </c>
    </row>
    <row r="16" customFormat="false" ht="15.75" hidden="false" customHeight="false" outlineLevel="0" collapsed="false">
      <c r="A16" s="2" t="s">
        <v>960</v>
      </c>
      <c r="B16" s="2" t="s">
        <v>960</v>
      </c>
    </row>
    <row r="17" customFormat="false" ht="15.75" hidden="false" customHeight="false" outlineLevel="0" collapsed="false">
      <c r="A17" s="2" t="s">
        <v>956</v>
      </c>
      <c r="B17" s="2" t="s">
        <v>1985</v>
      </c>
    </row>
    <row r="18" customFormat="false" ht="15.75" hidden="false" customHeight="false" outlineLevel="0" collapsed="false">
      <c r="A18" s="2" t="s">
        <v>956</v>
      </c>
      <c r="B18" s="2" t="s">
        <v>960</v>
      </c>
    </row>
    <row r="19" customFormat="false" ht="15.75" hidden="false" customHeight="false" outlineLevel="0" collapsed="false">
      <c r="A19" s="2" t="s">
        <v>952</v>
      </c>
      <c r="B19" s="2" t="s">
        <v>952</v>
      </c>
    </row>
    <row r="20" customFormat="false" ht="15.75" hidden="false" customHeight="false" outlineLevel="0" collapsed="false">
      <c r="A20" s="2" t="s">
        <v>929</v>
      </c>
      <c r="B20" s="2" t="s">
        <v>816</v>
      </c>
    </row>
    <row r="21" customFormat="false" ht="15.75" hidden="false" customHeight="false" outlineLevel="0" collapsed="false">
      <c r="A21" s="2" t="s">
        <v>929</v>
      </c>
      <c r="B21" s="28" t="s">
        <v>1988</v>
      </c>
    </row>
    <row r="22" customFormat="false" ht="15.75" hidden="false" customHeight="false" outlineLevel="0" collapsed="false">
      <c r="A22" s="2" t="s">
        <v>929</v>
      </c>
      <c r="B22" s="2" t="s">
        <v>846</v>
      </c>
    </row>
    <row r="23" customFormat="false" ht="15.75" hidden="false" customHeight="false" outlineLevel="0" collapsed="false">
      <c r="A23" s="2" t="s">
        <v>929</v>
      </c>
      <c r="B23" s="28" t="s">
        <v>801</v>
      </c>
    </row>
    <row r="24" customFormat="false" ht="15.75" hidden="false" customHeight="false" outlineLevel="0" collapsed="false">
      <c r="A24" s="2" t="s">
        <v>922</v>
      </c>
      <c r="B24" s="28" t="s">
        <v>1989</v>
      </c>
    </row>
    <row r="25" customFormat="false" ht="15.75" hidden="false" customHeight="false" outlineLevel="0" collapsed="false">
      <c r="A25" s="2" t="s">
        <v>922</v>
      </c>
      <c r="B25" s="28" t="s">
        <v>1990</v>
      </c>
    </row>
    <row r="26" customFormat="false" ht="15.75" hidden="false" customHeight="false" outlineLevel="0" collapsed="false">
      <c r="A26" s="2" t="s">
        <v>922</v>
      </c>
      <c r="B26" s="28" t="s">
        <v>1991</v>
      </c>
    </row>
    <row r="27" customFormat="false" ht="15.75" hidden="false" customHeight="false" outlineLevel="0" collapsed="false">
      <c r="A27" s="2" t="s">
        <v>906</v>
      </c>
      <c r="B27" s="28" t="s">
        <v>801</v>
      </c>
    </row>
    <row r="28" customFormat="false" ht="15.75" hidden="false" customHeight="false" outlineLevel="0" collapsed="false">
      <c r="A28" s="2" t="s">
        <v>906</v>
      </c>
      <c r="B28" s="2" t="s">
        <v>816</v>
      </c>
    </row>
    <row r="29" customFormat="false" ht="15.75" hidden="false" customHeight="false" outlineLevel="0" collapsed="false">
      <c r="A29" s="2" t="s">
        <v>906</v>
      </c>
      <c r="B29" s="2" t="s">
        <v>846</v>
      </c>
    </row>
    <row r="30" customFormat="false" ht="15.75" hidden="false" customHeight="false" outlineLevel="0" collapsed="false">
      <c r="A30" s="2" t="s">
        <v>906</v>
      </c>
      <c r="B30" s="28" t="s">
        <v>842</v>
      </c>
    </row>
    <row r="31" customFormat="false" ht="15.75" hidden="false" customHeight="false" outlineLevel="0" collapsed="false">
      <c r="A31" s="2" t="s">
        <v>902</v>
      </c>
      <c r="B31" s="2" t="s">
        <v>816</v>
      </c>
    </row>
    <row r="32" customFormat="false" ht="15.75" hidden="false" customHeight="false" outlineLevel="0" collapsed="false">
      <c r="A32" s="2" t="s">
        <v>902</v>
      </c>
      <c r="B32" s="2" t="s">
        <v>1991</v>
      </c>
    </row>
    <row r="33" customFormat="false" ht="15.75" hidden="false" customHeight="false" outlineLevel="0" collapsed="false">
      <c r="A33" s="2" t="s">
        <v>895</v>
      </c>
      <c r="B33" s="2" t="s">
        <v>895</v>
      </c>
    </row>
    <row r="34" customFormat="false" ht="15.75" hidden="false" customHeight="false" outlineLevel="0" collapsed="false">
      <c r="A34" s="2" t="s">
        <v>891</v>
      </c>
      <c r="B34" s="2" t="s">
        <v>816</v>
      </c>
    </row>
    <row r="35" customFormat="false" ht="15.75" hidden="false" customHeight="false" outlineLevel="0" collapsed="false">
      <c r="A35" s="2" t="s">
        <v>891</v>
      </c>
      <c r="B35" s="28" t="s">
        <v>842</v>
      </c>
    </row>
    <row r="36" customFormat="false" ht="15.75" hidden="false" customHeight="false" outlineLevel="0" collapsed="false">
      <c r="A36" s="2" t="s">
        <v>816</v>
      </c>
      <c r="B36" s="2" t="s">
        <v>816</v>
      </c>
    </row>
    <row r="37" customFormat="false" ht="15.75" hidden="false" customHeight="false" outlineLevel="0" collapsed="false">
      <c r="A37" s="2" t="s">
        <v>874</v>
      </c>
      <c r="B37" s="28" t="s">
        <v>1992</v>
      </c>
    </row>
    <row r="38" customFormat="false" ht="15.75" hidden="false" customHeight="false" outlineLevel="0" collapsed="false">
      <c r="A38" s="2" t="s">
        <v>874</v>
      </c>
      <c r="B38" s="28" t="s">
        <v>801</v>
      </c>
    </row>
    <row r="39" customFormat="false" ht="15.75" hidden="false" customHeight="false" outlineLevel="0" collapsed="false">
      <c r="A39" s="2" t="s">
        <v>842</v>
      </c>
      <c r="B39" s="2" t="s">
        <v>842</v>
      </c>
    </row>
    <row r="40" customFormat="false" ht="15.75" hidden="false" customHeight="false" outlineLevel="0" collapsed="false">
      <c r="A40" s="2" t="s">
        <v>878</v>
      </c>
      <c r="B40" s="2" t="s">
        <v>878</v>
      </c>
    </row>
    <row r="41" customFormat="false" ht="15.75" hidden="false" customHeight="false" outlineLevel="0" collapsed="false">
      <c r="A41" s="2" t="s">
        <v>27</v>
      </c>
      <c r="B41" s="31" t="s">
        <v>1993</v>
      </c>
    </row>
    <row r="42" customFormat="false" ht="15.75" hidden="false" customHeight="false" outlineLevel="0" collapsed="false">
      <c r="A42" s="2" t="s">
        <v>846</v>
      </c>
      <c r="B42" s="2" t="s">
        <v>846</v>
      </c>
    </row>
    <row r="43" customFormat="false" ht="15.75" hidden="false" customHeight="false" outlineLevel="0" collapsed="false">
      <c r="A43" s="32" t="s">
        <v>801</v>
      </c>
      <c r="B43" s="32" t="s">
        <v>801</v>
      </c>
    </row>
    <row r="44" customFormat="false" ht="15.75" hidden="false" customHeight="false" outlineLevel="0" collapsed="false">
      <c r="A44" s="2" t="s">
        <v>835</v>
      </c>
      <c r="B44" s="32" t="s">
        <v>801</v>
      </c>
    </row>
    <row r="45" customFormat="false" ht="15.75" hidden="false" customHeight="false" outlineLevel="0" collapsed="false">
      <c r="A45" s="2" t="s">
        <v>835</v>
      </c>
      <c r="B45" s="2" t="s">
        <v>878</v>
      </c>
    </row>
    <row r="46" customFormat="false" ht="15.75" hidden="false" customHeight="false" outlineLevel="0" collapsed="false">
      <c r="A46" s="33" t="s">
        <v>805</v>
      </c>
      <c r="B46" s="2" t="s">
        <v>816</v>
      </c>
    </row>
    <row r="47" customFormat="false" ht="15.75" hidden="false" customHeight="false" outlineLevel="0" collapsed="false">
      <c r="A47" s="34" t="s">
        <v>805</v>
      </c>
      <c r="B47" s="28" t="s">
        <v>846</v>
      </c>
    </row>
    <row r="48" customFormat="false" ht="15.75" hidden="false" customHeight="false" outlineLevel="0" collapsed="false">
      <c r="A48" s="34" t="s">
        <v>805</v>
      </c>
      <c r="B48" s="28" t="s">
        <v>801</v>
      </c>
    </row>
    <row r="49" customFormat="false" ht="15.75" hidden="false" customHeight="false" outlineLevel="0" collapsed="false">
      <c r="A49" s="2" t="s">
        <v>831</v>
      </c>
      <c r="B49" s="28" t="s">
        <v>846</v>
      </c>
    </row>
    <row r="50" customFormat="false" ht="15.75" hidden="false" customHeight="false" outlineLevel="0" collapsed="false">
      <c r="A50" s="2" t="s">
        <v>831</v>
      </c>
      <c r="B50" s="2" t="s">
        <v>816</v>
      </c>
    </row>
    <row r="51" customFormat="false" ht="15.75" hidden="false" customHeight="false" outlineLevel="0" collapsed="false">
      <c r="A51" s="2" t="s">
        <v>827</v>
      </c>
      <c r="B51" s="2" t="s">
        <v>816</v>
      </c>
    </row>
    <row r="52" customFormat="false" ht="15.75" hidden="false" customHeight="false" outlineLevel="0" collapsed="false">
      <c r="A52" s="2" t="s">
        <v>827</v>
      </c>
      <c r="B52" s="2" t="s">
        <v>1994</v>
      </c>
    </row>
    <row r="53" customFormat="false" ht="15.75" hidden="false" customHeight="false" outlineLevel="0" collapsed="false">
      <c r="A53" s="2" t="s">
        <v>823</v>
      </c>
      <c r="B53" s="2" t="s">
        <v>816</v>
      </c>
    </row>
    <row r="54" customFormat="false" ht="15.75" hidden="false" customHeight="false" outlineLevel="0" collapsed="false">
      <c r="A54" s="2" t="s">
        <v>823</v>
      </c>
      <c r="B54" s="2" t="s">
        <v>878</v>
      </c>
    </row>
    <row r="55" customFormat="false" ht="15.75" hidden="false" customHeight="false" outlineLevel="0" collapsed="false">
      <c r="A55" s="35" t="s">
        <v>791</v>
      </c>
      <c r="B55" s="2" t="s">
        <v>816</v>
      </c>
    </row>
    <row r="56" customFormat="false" ht="15.75" hidden="false" customHeight="false" outlineLevel="0" collapsed="false">
      <c r="A56" s="35" t="s">
        <v>791</v>
      </c>
      <c r="B56" s="2" t="s">
        <v>794</v>
      </c>
    </row>
    <row r="57" customFormat="false" ht="15.75" hidden="false" customHeight="false" outlineLevel="0" collapsed="false">
      <c r="A57" s="35" t="s">
        <v>791</v>
      </c>
      <c r="B57" s="32" t="s">
        <v>801</v>
      </c>
    </row>
    <row r="58" customFormat="false" ht="15.75" hidden="false" customHeight="false" outlineLevel="0" collapsed="false">
      <c r="A58" s="32" t="s">
        <v>794</v>
      </c>
      <c r="B58" s="2" t="s">
        <v>794</v>
      </c>
    </row>
    <row r="59" customFormat="false" ht="15.75" hidden="false" customHeight="false" outlineLevel="0" collapsed="false">
      <c r="A59" s="35" t="s">
        <v>787</v>
      </c>
      <c r="B59" s="2" t="s">
        <v>816</v>
      </c>
    </row>
    <row r="60" customFormat="false" ht="15.75" hidden="false" customHeight="false" outlineLevel="0" collapsed="false">
      <c r="A60" s="35" t="s">
        <v>787</v>
      </c>
      <c r="B60" s="2" t="s">
        <v>794</v>
      </c>
    </row>
    <row r="61" customFormat="false" ht="15.75" hidden="false" customHeight="false" outlineLevel="0" collapsed="false">
      <c r="A61" s="35" t="s">
        <v>787</v>
      </c>
      <c r="B61" s="28" t="s">
        <v>846</v>
      </c>
    </row>
    <row r="62" customFormat="false" ht="15.75" hidden="false" customHeight="false" outlineLevel="0" collapsed="false">
      <c r="A62" s="35" t="s">
        <v>783</v>
      </c>
      <c r="B62" s="32" t="s">
        <v>801</v>
      </c>
    </row>
    <row r="63" customFormat="false" ht="15.75" hidden="false" customHeight="false" outlineLevel="0" collapsed="false">
      <c r="A63" s="35" t="s">
        <v>783</v>
      </c>
      <c r="B63" s="2" t="s">
        <v>816</v>
      </c>
    </row>
    <row r="64" customFormat="false" ht="15.75" hidden="false" customHeight="false" outlineLevel="0" collapsed="false">
      <c r="A64" s="35" t="s">
        <v>783</v>
      </c>
      <c r="B64" s="28" t="s">
        <v>846</v>
      </c>
    </row>
    <row r="65" customFormat="false" ht="15.75" hidden="false" customHeight="false" outlineLevel="0" collapsed="false">
      <c r="A65" s="2" t="s">
        <v>1131</v>
      </c>
      <c r="B65" s="2" t="s">
        <v>23</v>
      </c>
    </row>
    <row r="66" customFormat="false" ht="15.75" hidden="false" customHeight="false" outlineLevel="0" collapsed="false">
      <c r="A66" s="2" t="s">
        <v>1815</v>
      </c>
      <c r="B66" s="2" t="s">
        <v>816</v>
      </c>
    </row>
    <row r="67" customFormat="false" ht="15.75" hidden="false" customHeight="false" outlineLevel="0" collapsed="false">
      <c r="A67" s="2" t="s">
        <v>127</v>
      </c>
      <c r="B67" s="28" t="s">
        <v>1984</v>
      </c>
    </row>
    <row r="68" customFormat="false" ht="15.75" hidden="false" customHeight="false" outlineLevel="0" collapsed="false">
      <c r="A68" s="2" t="s">
        <v>1924</v>
      </c>
      <c r="B68" s="2" t="s">
        <v>816</v>
      </c>
    </row>
    <row r="69" customFormat="false" ht="15.75" hidden="false" customHeight="false" outlineLevel="0" collapsed="false">
      <c r="A69" s="2" t="s">
        <v>1813</v>
      </c>
      <c r="B69" s="2" t="s">
        <v>23</v>
      </c>
    </row>
    <row r="70" customFormat="false" ht="15.75" hidden="false" customHeight="false" outlineLevel="0" collapsed="false">
      <c r="A70" s="2" t="s">
        <v>1925</v>
      </c>
      <c r="B70" s="32" t="s">
        <v>801</v>
      </c>
    </row>
    <row r="71" customFormat="false" ht="15.75" hidden="false" customHeight="false" outlineLevel="0" collapsed="false">
      <c r="A71" s="2" t="s">
        <v>1926</v>
      </c>
      <c r="B71" s="2" t="s">
        <v>23</v>
      </c>
    </row>
    <row r="72" customFormat="false" ht="15.75" hidden="false" customHeight="false" outlineLevel="0" collapsed="false">
      <c r="A72" s="2" t="s">
        <v>1930</v>
      </c>
      <c r="B72" s="28" t="s">
        <v>1519</v>
      </c>
    </row>
    <row r="73" customFormat="false" ht="15.75" hidden="false" customHeight="false" outlineLevel="0" collapsed="false">
      <c r="A73" s="2" t="s">
        <v>1934</v>
      </c>
      <c r="B73" s="2" t="s">
        <v>23</v>
      </c>
    </row>
    <row r="74" customFormat="false" ht="15.75" hidden="false" customHeight="false" outlineLevel="0" collapsed="false">
      <c r="A74" s="2" t="s">
        <v>816</v>
      </c>
      <c r="B74" s="2" t="s">
        <v>816</v>
      </c>
    </row>
    <row r="75" customFormat="false" ht="15.75" hidden="false" customHeight="false" outlineLevel="0" collapsed="false">
      <c r="A75" s="2" t="s">
        <v>191</v>
      </c>
      <c r="B75" s="28" t="s">
        <v>1995</v>
      </c>
    </row>
    <row r="76" customFormat="false" ht="15.75" hidden="false" customHeight="false" outlineLevel="0" collapsed="false">
      <c r="A76" s="2" t="s">
        <v>195</v>
      </c>
      <c r="B76" s="2" t="s">
        <v>794</v>
      </c>
    </row>
    <row r="77" customFormat="false" ht="15.75" hidden="false" customHeight="false" outlineLevel="0" collapsed="false">
      <c r="A77" s="2" t="s">
        <v>256</v>
      </c>
      <c r="B77" s="28" t="s">
        <v>1995</v>
      </c>
    </row>
    <row r="78" customFormat="false" ht="15.75" hidden="false" customHeight="false" outlineLevel="0" collapsed="false">
      <c r="A78" s="36" t="s">
        <v>300</v>
      </c>
      <c r="B78" s="28" t="s">
        <v>1995</v>
      </c>
    </row>
    <row r="79" customFormat="false" ht="15.75" hidden="false" customHeight="false" outlineLevel="0" collapsed="false">
      <c r="A79" s="36" t="s">
        <v>315</v>
      </c>
      <c r="B79" s="2" t="s">
        <v>1996</v>
      </c>
    </row>
    <row r="80" customFormat="false" ht="15.75" hidden="false" customHeight="false" outlineLevel="0" collapsed="false">
      <c r="A80" s="36" t="s">
        <v>322</v>
      </c>
      <c r="B80" s="28" t="s">
        <v>1995</v>
      </c>
    </row>
    <row r="81" customFormat="false" ht="15.75" hidden="false" customHeight="false" outlineLevel="0" collapsed="false">
      <c r="A81" s="36" t="s">
        <v>354</v>
      </c>
      <c r="B81" s="2" t="s">
        <v>1997</v>
      </c>
    </row>
    <row r="82" customFormat="false" ht="15.75" hidden="false" customHeight="false" outlineLevel="0" collapsed="false">
      <c r="A82" s="36" t="s">
        <v>369</v>
      </c>
      <c r="B82" s="2" t="s">
        <v>1998</v>
      </c>
    </row>
    <row r="83" customFormat="false" ht="15.75" hidden="false" customHeight="false" outlineLevel="0" collapsed="false">
      <c r="A83" s="36" t="s">
        <v>336</v>
      </c>
      <c r="B83" s="2" t="s">
        <v>1997</v>
      </c>
    </row>
    <row r="84" customFormat="false" ht="15.75" hidden="false" customHeight="false" outlineLevel="0" collapsed="false">
      <c r="A84" s="36" t="s">
        <v>607</v>
      </c>
      <c r="B84" s="2" t="s">
        <v>1999</v>
      </c>
    </row>
    <row r="85" customFormat="false" ht="15.75" hidden="false" customHeight="false" outlineLevel="0" collapsed="false">
      <c r="A85" s="2" t="s">
        <v>1113</v>
      </c>
      <c r="B85" s="2" t="s">
        <v>2000</v>
      </c>
    </row>
    <row r="86" customFormat="false" ht="15.75" hidden="false" customHeight="false" outlineLevel="0" collapsed="false">
      <c r="A86" s="2" t="s">
        <v>1143</v>
      </c>
      <c r="B86" s="2" t="s">
        <v>1143</v>
      </c>
    </row>
    <row r="87" customFormat="false" ht="15.75" hidden="false" customHeight="false" outlineLevel="0" collapsed="false">
      <c r="A87" s="2" t="s">
        <v>1147</v>
      </c>
      <c r="B87" s="2" t="s">
        <v>1143</v>
      </c>
    </row>
    <row r="88" customFormat="false" ht="15.75" hidden="false" customHeight="false" outlineLevel="0" collapsed="false">
      <c r="A88" s="2" t="s">
        <v>1150</v>
      </c>
      <c r="B88" s="2" t="s">
        <v>1988</v>
      </c>
    </row>
    <row r="89" customFormat="false" ht="15.75" hidden="false" customHeight="false" outlineLevel="0" collapsed="false">
      <c r="A89" s="2" t="s">
        <v>1150</v>
      </c>
      <c r="B89" s="2" t="s">
        <v>2001</v>
      </c>
    </row>
    <row r="90" customFormat="false" ht="15.75" hidden="false" customHeight="false" outlineLevel="0" collapsed="false">
      <c r="A90" s="2" t="s">
        <v>1150</v>
      </c>
      <c r="B90" s="2" t="s">
        <v>816</v>
      </c>
    </row>
    <row r="91" customFormat="false" ht="15.75" hidden="false" customHeight="false" outlineLevel="0" collapsed="false">
      <c r="A91" s="20" t="s">
        <v>1180</v>
      </c>
      <c r="B91" s="20" t="s">
        <v>1143</v>
      </c>
    </row>
    <row r="92" customFormat="false" ht="15.75" hidden="false" customHeight="false" outlineLevel="0" collapsed="false">
      <c r="A92" s="20" t="s">
        <v>1180</v>
      </c>
      <c r="B92" s="2" t="s">
        <v>2002</v>
      </c>
    </row>
    <row r="93" customFormat="false" ht="15.75" hidden="false" customHeight="false" outlineLevel="0" collapsed="false">
      <c r="A93" s="2" t="s">
        <v>1176</v>
      </c>
      <c r="B93" s="2" t="s">
        <v>1995</v>
      </c>
    </row>
    <row r="94" customFormat="false" ht="15.75" hidden="false" customHeight="false" outlineLevel="0" collapsed="false">
      <c r="A94" s="2" t="s">
        <v>1176</v>
      </c>
      <c r="B94" s="2" t="s">
        <v>2003</v>
      </c>
    </row>
    <row r="95" customFormat="false" ht="15.75" hidden="false" customHeight="false" outlineLevel="0" collapsed="false">
      <c r="A95" s="2" t="s">
        <v>1194</v>
      </c>
      <c r="B95" s="2" t="s">
        <v>2004</v>
      </c>
    </row>
    <row r="96" customFormat="false" ht="15.75" hidden="false" customHeight="false" outlineLevel="0" collapsed="false">
      <c r="A96" s="20" t="s">
        <v>1198</v>
      </c>
      <c r="B96" s="20" t="s">
        <v>2005</v>
      </c>
    </row>
    <row r="97" customFormat="false" ht="15.75" hidden="false" customHeight="false" outlineLevel="0" collapsed="false">
      <c r="A97" s="20" t="s">
        <v>1198</v>
      </c>
      <c r="B97" s="20" t="s">
        <v>2006</v>
      </c>
    </row>
    <row r="98" customFormat="false" ht="15.75" hidden="false" customHeight="false" outlineLevel="0" collapsed="false">
      <c r="A98" s="20" t="s">
        <v>1198</v>
      </c>
      <c r="B98" s="20" t="s">
        <v>2007</v>
      </c>
    </row>
    <row r="99" customFormat="false" ht="15.75" hidden="false" customHeight="false" outlineLevel="0" collapsed="false">
      <c r="A99" s="20" t="s">
        <v>1293</v>
      </c>
      <c r="B99" s="2" t="s">
        <v>1985</v>
      </c>
    </row>
    <row r="100" customFormat="false" ht="17.35" hidden="false" customHeight="false" outlineLevel="0" collapsed="false">
      <c r="A100" s="20" t="s">
        <v>1293</v>
      </c>
      <c r="B100" s="37" t="s">
        <v>2008</v>
      </c>
    </row>
    <row r="101" customFormat="false" ht="17.35" hidden="false" customHeight="false" outlineLevel="0" collapsed="false">
      <c r="A101" s="20" t="s">
        <v>1293</v>
      </c>
      <c r="B101" s="37" t="s">
        <v>2009</v>
      </c>
    </row>
    <row r="102" customFormat="false" ht="17.35" hidden="false" customHeight="false" outlineLevel="0" collapsed="false">
      <c r="A102" s="20" t="s">
        <v>1293</v>
      </c>
      <c r="B102" s="37" t="s">
        <v>2008</v>
      </c>
    </row>
    <row r="103" customFormat="false" ht="15.75" hidden="false" customHeight="false" outlineLevel="0" collapsed="false">
      <c r="A103" s="20" t="s">
        <v>1293</v>
      </c>
      <c r="B103" s="38" t="s">
        <v>2010</v>
      </c>
    </row>
    <row r="104" customFormat="false" ht="17.35" hidden="false" customHeight="false" outlineLevel="0" collapsed="false">
      <c r="A104" s="20" t="s">
        <v>1293</v>
      </c>
      <c r="B104" s="39" t="s">
        <v>2011</v>
      </c>
    </row>
    <row r="105" customFormat="false" ht="17.35" hidden="false" customHeight="false" outlineLevel="0" collapsed="false">
      <c r="A105" s="20" t="s">
        <v>1293</v>
      </c>
      <c r="B105" s="37" t="s">
        <v>1143</v>
      </c>
    </row>
    <row r="106" customFormat="false" ht="17.35" hidden="false" customHeight="false" outlineLevel="0" collapsed="false">
      <c r="A106" s="20" t="s">
        <v>1293</v>
      </c>
      <c r="B106" s="37" t="s">
        <v>2012</v>
      </c>
    </row>
    <row r="107" customFormat="false" ht="17.35" hidden="false" customHeight="false" outlineLevel="0" collapsed="false">
      <c r="A107" s="20" t="s">
        <v>1293</v>
      </c>
      <c r="B107" s="37" t="s">
        <v>2011</v>
      </c>
    </row>
    <row r="108" customFormat="false" ht="15.75" hidden="false" customHeight="false" outlineLevel="0" collapsed="false">
      <c r="A108" s="2" t="s">
        <v>1545</v>
      </c>
      <c r="B108" s="2" t="s">
        <v>1976</v>
      </c>
    </row>
    <row r="109" customFormat="false" ht="15.75" hidden="false" customHeight="false" outlineLevel="0" collapsed="false">
      <c r="A109" s="2" t="s">
        <v>1552</v>
      </c>
      <c r="B109" s="40" t="s">
        <v>816</v>
      </c>
    </row>
    <row r="110" customFormat="false" ht="15.75" hidden="false" customHeight="false" outlineLevel="0" collapsed="false">
      <c r="A110" s="2" t="s">
        <v>1583</v>
      </c>
      <c r="B110" s="2" t="s">
        <v>1991</v>
      </c>
    </row>
    <row r="111" customFormat="false" ht="15.75" hidden="false" customHeight="false" outlineLevel="0" collapsed="false">
      <c r="A111" s="20" t="s">
        <v>1594</v>
      </c>
      <c r="B111" s="2" t="s">
        <v>2013</v>
      </c>
    </row>
    <row r="112" customFormat="false" ht="17.35" hidden="false" customHeight="false" outlineLevel="0" collapsed="false">
      <c r="A112" s="41" t="s">
        <v>1683</v>
      </c>
      <c r="B112" s="41" t="s">
        <v>1986</v>
      </c>
    </row>
    <row r="113" customFormat="false" ht="17.35" hidden="false" customHeight="false" outlineLevel="0" collapsed="false">
      <c r="A113" s="41" t="s">
        <v>1683</v>
      </c>
      <c r="B113" s="41" t="s">
        <v>1987</v>
      </c>
    </row>
    <row r="114" customFormat="false" ht="17.35" hidden="false" customHeight="false" outlineLevel="0" collapsed="false">
      <c r="A114" s="42" t="s">
        <v>1700</v>
      </c>
      <c r="B114" s="2" t="s">
        <v>2013</v>
      </c>
    </row>
    <row r="115" customFormat="false" ht="15.75" hidden="false" customHeight="false" outlineLevel="0" collapsed="false">
      <c r="A115" s="20" t="s">
        <v>1904</v>
      </c>
      <c r="B115" s="43" t="s">
        <v>2013</v>
      </c>
    </row>
    <row r="116" customFormat="false" ht="15.75" hidden="false" customHeight="false" outlineLevel="0" collapsed="false">
      <c r="A116" s="20" t="s">
        <v>1901</v>
      </c>
      <c r="B116" s="44" t="s">
        <v>1901</v>
      </c>
    </row>
    <row r="117" customFormat="false" ht="15.75" hidden="false" customHeight="false" outlineLevel="0" collapsed="false">
      <c r="A117" s="20" t="s">
        <v>1897</v>
      </c>
      <c r="B117" s="2" t="s">
        <v>2013</v>
      </c>
    </row>
    <row r="118" customFormat="false" ht="15.75" hidden="false" customHeight="false" outlineLevel="0" collapsed="false">
      <c r="A118" s="27" t="s">
        <v>1894</v>
      </c>
      <c r="B118" s="27" t="s">
        <v>1894</v>
      </c>
    </row>
    <row r="119" customFormat="false" ht="15.75" hidden="false" customHeight="false" outlineLevel="0" collapsed="false">
      <c r="A119" s="27" t="s">
        <v>1885</v>
      </c>
      <c r="B119" s="27" t="s">
        <v>2014</v>
      </c>
    </row>
    <row r="120" customFormat="false" ht="15.75" hidden="false" customHeight="false" outlineLevel="0" collapsed="false">
      <c r="A120" s="27" t="s">
        <v>1885</v>
      </c>
      <c r="B120" s="27" t="s">
        <v>2015</v>
      </c>
    </row>
    <row r="121" customFormat="false" ht="15.75" hidden="false" customHeight="false" outlineLevel="0" collapsed="false">
      <c r="A121" s="2" t="s">
        <v>1131</v>
      </c>
      <c r="B121" s="2" t="s">
        <v>2013</v>
      </c>
    </row>
    <row r="122" customFormat="false" ht="15.75" hidden="false" customHeight="false" outlineLevel="0" collapsed="false">
      <c r="A122" s="2" t="s">
        <v>1976</v>
      </c>
      <c r="B122" s="2" t="s">
        <v>1976</v>
      </c>
    </row>
    <row r="123" customFormat="false" ht="15.75" hidden="false" customHeight="false" outlineLevel="0" collapsed="false">
      <c r="A123" s="2" t="s">
        <v>740</v>
      </c>
      <c r="B123" s="2" t="s">
        <v>1983</v>
      </c>
    </row>
    <row r="124" customFormat="false" ht="15.75" hidden="false" customHeight="false" outlineLevel="0" collapsed="false">
      <c r="A124" s="2" t="s">
        <v>1297</v>
      </c>
      <c r="B124" s="2" t="s">
        <v>2016</v>
      </c>
    </row>
    <row r="125" customFormat="false" ht="17.35" hidden="false" customHeight="false" outlineLevel="0" collapsed="false">
      <c r="A125" s="2" t="s">
        <v>1306</v>
      </c>
      <c r="B125" s="45" t="s">
        <v>1985</v>
      </c>
    </row>
    <row r="126" customFormat="false" ht="15.75" hidden="false" customHeight="false" outlineLevel="0" collapsed="false">
      <c r="A126" s="2" t="s">
        <v>1306</v>
      </c>
      <c r="B126" s="2" t="s">
        <v>1143</v>
      </c>
    </row>
    <row r="127" customFormat="false" ht="17.35" hidden="false" customHeight="false" outlineLevel="0" collapsed="false">
      <c r="A127" s="2" t="s">
        <v>1306</v>
      </c>
      <c r="B127" s="45" t="s">
        <v>2008</v>
      </c>
    </row>
    <row r="128" customFormat="false" ht="17.35" hidden="false" customHeight="false" outlineLevel="0" collapsed="false">
      <c r="A128" s="2" t="s">
        <v>1306</v>
      </c>
      <c r="B128" s="45" t="s">
        <v>2017</v>
      </c>
    </row>
    <row r="129" customFormat="false" ht="17.35" hidden="false" customHeight="false" outlineLevel="0" collapsed="false">
      <c r="A129" s="2" t="s">
        <v>1306</v>
      </c>
      <c r="B129" s="45" t="s">
        <v>2009</v>
      </c>
    </row>
    <row r="130" customFormat="false" ht="15.75" hidden="false" customHeight="false" outlineLevel="0" collapsed="false">
      <c r="A130" s="2" t="s">
        <v>136</v>
      </c>
      <c r="B130" s="2" t="s">
        <v>136</v>
      </c>
    </row>
    <row r="131" customFormat="false" ht="15.75" hidden="false" customHeight="false" outlineLevel="0" collapsed="false">
      <c r="A131" s="2"/>
      <c r="B131" s="2"/>
    </row>
    <row r="132" customFormat="false" ht="15.75" hidden="false" customHeight="false" outlineLevel="0" collapsed="false">
      <c r="A132" s="2"/>
      <c r="B132" s="2"/>
    </row>
    <row r="133" customFormat="false" ht="15.75" hidden="false" customHeight="false" outlineLevel="0" collapsed="false">
      <c r="A133" s="2"/>
      <c r="B133" s="2"/>
    </row>
    <row r="134" customFormat="false" ht="15.75" hidden="false" customHeight="false" outlineLevel="0" collapsed="false">
      <c r="A134" s="2"/>
      <c r="B134" s="2"/>
    </row>
    <row r="135" customFormat="false" ht="15.75" hidden="false" customHeight="false" outlineLevel="0" collapsed="false">
      <c r="A135" s="2"/>
      <c r="B135" s="2"/>
    </row>
    <row r="136" customFormat="false" ht="15.75" hidden="false" customHeight="false" outlineLevel="0" collapsed="false">
      <c r="A136" s="2"/>
      <c r="B136" s="2"/>
    </row>
    <row r="137" customFormat="false" ht="15.75" hidden="false" customHeight="false" outlineLevel="0" collapsed="false">
      <c r="A137" s="2"/>
      <c r="B137" s="2"/>
    </row>
    <row r="138" customFormat="false" ht="15.75" hidden="false" customHeight="false" outlineLevel="0" collapsed="false">
      <c r="A138" s="2"/>
      <c r="B138" s="2"/>
    </row>
    <row r="139" customFormat="false" ht="15.75" hidden="false" customHeight="false" outlineLevel="0" collapsed="false">
      <c r="A139" s="2"/>
      <c r="B139" s="2"/>
    </row>
    <row r="140" customFormat="false" ht="15.75" hidden="false" customHeight="false" outlineLevel="0" collapsed="false">
      <c r="A140" s="2"/>
      <c r="B140" s="2"/>
    </row>
    <row r="141" customFormat="false" ht="15.75" hidden="false" customHeight="false" outlineLevel="0" collapsed="false">
      <c r="A141" s="2"/>
      <c r="B141" s="2"/>
    </row>
    <row r="142" customFormat="false" ht="15.75" hidden="false" customHeight="false" outlineLevel="0" collapsed="false">
      <c r="A142" s="2"/>
      <c r="B142" s="2"/>
    </row>
    <row r="143" customFormat="false" ht="15.75" hidden="false" customHeight="false" outlineLevel="0" collapsed="false">
      <c r="A143" s="2"/>
      <c r="B143" s="2"/>
    </row>
    <row r="144" customFormat="false" ht="15.75" hidden="false" customHeight="false" outlineLevel="0" collapsed="false">
      <c r="A144" s="2"/>
      <c r="B144" s="2"/>
    </row>
    <row r="145" customFormat="false" ht="15.75" hidden="false" customHeight="false" outlineLevel="0" collapsed="false">
      <c r="A145" s="2"/>
      <c r="B145" s="2"/>
    </row>
    <row r="146" customFormat="false" ht="15.75" hidden="false" customHeight="false" outlineLevel="0" collapsed="false">
      <c r="A146" s="2"/>
      <c r="B146" s="2"/>
    </row>
    <row r="147" customFormat="false" ht="15.75" hidden="false" customHeight="false" outlineLevel="0" collapsed="false">
      <c r="A147" s="2"/>
      <c r="B147" s="2"/>
    </row>
    <row r="148" customFormat="false" ht="15.75" hidden="false" customHeight="false" outlineLevel="0" collapsed="false">
      <c r="A148" s="2"/>
      <c r="B148" s="2"/>
    </row>
    <row r="149" customFormat="false" ht="15.75" hidden="false" customHeight="false" outlineLevel="0" collapsed="false">
      <c r="A149" s="2"/>
      <c r="B149" s="2"/>
    </row>
    <row r="150" customFormat="false" ht="15.75" hidden="false" customHeight="false" outlineLevel="0" collapsed="false">
      <c r="A150" s="2"/>
      <c r="B150" s="2"/>
    </row>
    <row r="151" customFormat="false" ht="15.75" hidden="false" customHeight="false" outlineLevel="0" collapsed="false">
      <c r="A151" s="2"/>
      <c r="B151" s="2"/>
    </row>
    <row r="152" customFormat="false" ht="15.75" hidden="false" customHeight="false" outlineLevel="0" collapsed="false">
      <c r="A152" s="2"/>
      <c r="B152" s="2"/>
    </row>
    <row r="153" customFormat="false" ht="15.75" hidden="false" customHeight="false" outlineLevel="0" collapsed="false">
      <c r="A153" s="2"/>
      <c r="B153" s="2"/>
    </row>
    <row r="154" customFormat="false" ht="15.75" hidden="false" customHeight="false" outlineLevel="0" collapsed="false">
      <c r="A154" s="2"/>
      <c r="B154" s="2"/>
    </row>
    <row r="155" customFormat="false" ht="15.75" hidden="false" customHeight="false" outlineLevel="0" collapsed="false">
      <c r="A155" s="2"/>
      <c r="B155" s="2"/>
    </row>
    <row r="156" customFormat="false" ht="15.75" hidden="false" customHeight="false" outlineLevel="0" collapsed="false">
      <c r="A156" s="2"/>
      <c r="B156" s="2"/>
    </row>
    <row r="157" customFormat="false" ht="15.75" hidden="false" customHeight="false" outlineLevel="0" collapsed="false">
      <c r="A157" s="2"/>
      <c r="B157" s="2"/>
    </row>
    <row r="158" customFormat="false" ht="15.75" hidden="false" customHeight="false" outlineLevel="0" collapsed="false">
      <c r="A158" s="2"/>
      <c r="B158" s="2"/>
    </row>
    <row r="159" customFormat="false" ht="15.75" hidden="false" customHeight="false" outlineLevel="0" collapsed="false">
      <c r="A159" s="2"/>
      <c r="B159" s="2"/>
    </row>
    <row r="160" customFormat="false" ht="15.75" hidden="false" customHeight="false" outlineLevel="0" collapsed="false">
      <c r="A160" s="2"/>
      <c r="B160" s="2"/>
    </row>
    <row r="161" customFormat="false" ht="15.75" hidden="false" customHeight="false" outlineLevel="0" collapsed="false">
      <c r="A161" s="2"/>
      <c r="B161" s="2"/>
    </row>
    <row r="162" customFormat="false" ht="15.75" hidden="false" customHeight="false" outlineLevel="0" collapsed="false">
      <c r="A162" s="2"/>
      <c r="B162" s="2"/>
    </row>
    <row r="163" customFormat="false" ht="15.75" hidden="false" customHeight="false" outlineLevel="0" collapsed="false">
      <c r="A163" s="2"/>
      <c r="B163" s="2"/>
    </row>
    <row r="164" customFormat="false" ht="15.75" hidden="false" customHeight="false" outlineLevel="0" collapsed="false">
      <c r="A164" s="2"/>
      <c r="B164" s="2"/>
    </row>
    <row r="165" customFormat="false" ht="15.75" hidden="false" customHeight="false" outlineLevel="0" collapsed="false">
      <c r="A165" s="2"/>
      <c r="B165" s="2"/>
    </row>
    <row r="166" customFormat="false" ht="15.75" hidden="false" customHeight="false" outlineLevel="0" collapsed="false">
      <c r="A166" s="2"/>
      <c r="B166" s="2"/>
    </row>
    <row r="167" customFormat="false" ht="15.75" hidden="false" customHeight="false" outlineLevel="0" collapsed="false">
      <c r="A167" s="2"/>
      <c r="B167" s="2"/>
    </row>
    <row r="168" customFormat="false" ht="15.75" hidden="false" customHeight="false" outlineLevel="0" collapsed="false">
      <c r="A168" s="2"/>
      <c r="B168" s="2"/>
    </row>
    <row r="169" customFormat="false" ht="15.75" hidden="false" customHeight="false" outlineLevel="0" collapsed="false">
      <c r="A169" s="2"/>
      <c r="B169" s="2"/>
    </row>
    <row r="170" customFormat="false" ht="15.75" hidden="false" customHeight="false" outlineLevel="0" collapsed="false">
      <c r="A170" s="2"/>
      <c r="B170" s="2"/>
    </row>
    <row r="171" customFormat="false" ht="15.75" hidden="false" customHeight="false" outlineLevel="0" collapsed="false">
      <c r="A171" s="2"/>
      <c r="B171" s="2"/>
    </row>
    <row r="172" customFormat="false" ht="15.75" hidden="false" customHeight="false" outlineLevel="0" collapsed="false">
      <c r="A172" s="2"/>
      <c r="B172" s="2"/>
    </row>
    <row r="173" customFormat="false" ht="15.75" hidden="false" customHeight="false" outlineLevel="0" collapsed="false">
      <c r="A173" s="2"/>
      <c r="B173" s="2"/>
    </row>
    <row r="174" customFormat="false" ht="15.75" hidden="false" customHeight="false" outlineLevel="0" collapsed="false">
      <c r="A174" s="2"/>
      <c r="B174" s="2"/>
    </row>
    <row r="175" customFormat="false" ht="15.75" hidden="false" customHeight="false" outlineLevel="0" collapsed="false">
      <c r="A175" s="2"/>
      <c r="B175" s="2"/>
    </row>
    <row r="176" customFormat="false" ht="15.75" hidden="false" customHeight="false" outlineLevel="0" collapsed="false">
      <c r="A176" s="2"/>
      <c r="B176" s="2"/>
    </row>
    <row r="177" customFormat="false" ht="15.75" hidden="false" customHeight="false" outlineLevel="0" collapsed="false">
      <c r="A177" s="2"/>
      <c r="B177" s="2"/>
    </row>
    <row r="178" customFormat="false" ht="15.75" hidden="false" customHeight="false" outlineLevel="0" collapsed="false">
      <c r="A178" s="2"/>
      <c r="B178" s="2"/>
    </row>
    <row r="179" customFormat="false" ht="15.75" hidden="false" customHeight="false" outlineLevel="0" collapsed="false">
      <c r="A179" s="2"/>
      <c r="B179" s="2"/>
    </row>
    <row r="180" customFormat="false" ht="15.75" hidden="false" customHeight="false" outlineLevel="0" collapsed="false">
      <c r="A180" s="2"/>
      <c r="B180" s="2"/>
    </row>
    <row r="181" customFormat="false" ht="15.75" hidden="false" customHeight="false" outlineLevel="0" collapsed="false">
      <c r="A181" s="2"/>
      <c r="B181" s="2"/>
    </row>
    <row r="182" customFormat="false" ht="15.75" hidden="false" customHeight="false" outlineLevel="0" collapsed="false">
      <c r="A182" s="2"/>
      <c r="B182" s="2"/>
    </row>
    <row r="183" customFormat="false" ht="15.75" hidden="false" customHeight="false" outlineLevel="0" collapsed="false">
      <c r="A183" s="2"/>
      <c r="B183" s="2"/>
    </row>
    <row r="184" customFormat="false" ht="15.75" hidden="false" customHeight="false" outlineLevel="0" collapsed="false">
      <c r="A184" s="2"/>
      <c r="B184" s="2"/>
    </row>
    <row r="185" customFormat="false" ht="15.75" hidden="false" customHeight="false" outlineLevel="0" collapsed="false">
      <c r="A185" s="2"/>
      <c r="B185" s="2"/>
    </row>
    <row r="186" customFormat="false" ht="15.75" hidden="false" customHeight="false" outlineLevel="0" collapsed="false">
      <c r="A186" s="2"/>
      <c r="B186" s="2"/>
    </row>
    <row r="187" customFormat="false" ht="15.75" hidden="false" customHeight="false" outlineLevel="0" collapsed="false">
      <c r="A187" s="2"/>
      <c r="B187" s="2"/>
    </row>
    <row r="188" customFormat="false" ht="15.75" hidden="false" customHeight="false" outlineLevel="0" collapsed="false">
      <c r="A188" s="2"/>
      <c r="B188" s="2"/>
    </row>
    <row r="189" customFormat="false" ht="15.75" hidden="false" customHeight="false" outlineLevel="0" collapsed="false">
      <c r="A189" s="2"/>
      <c r="B189" s="2"/>
    </row>
    <row r="190" customFormat="false" ht="15.75" hidden="false" customHeight="false" outlineLevel="0" collapsed="false">
      <c r="A190" s="2"/>
      <c r="B190" s="2"/>
    </row>
    <row r="191" customFormat="false" ht="15.75" hidden="false" customHeight="false" outlineLevel="0" collapsed="false">
      <c r="A191" s="2"/>
      <c r="B191" s="2"/>
    </row>
    <row r="192" customFormat="false" ht="15.75" hidden="false" customHeight="false" outlineLevel="0" collapsed="false">
      <c r="A192" s="2"/>
      <c r="B192" s="2"/>
    </row>
    <row r="193" customFormat="false" ht="15.75" hidden="false" customHeight="false" outlineLevel="0" collapsed="false">
      <c r="A193" s="2"/>
      <c r="B193" s="2"/>
    </row>
    <row r="194" customFormat="false" ht="15.75" hidden="false" customHeight="false" outlineLevel="0" collapsed="false">
      <c r="A194" s="2"/>
      <c r="B194" s="2"/>
    </row>
    <row r="195" customFormat="false" ht="15.75" hidden="false" customHeight="false" outlineLevel="0" collapsed="false">
      <c r="A195" s="2"/>
      <c r="B195" s="2"/>
    </row>
    <row r="196" customFormat="false" ht="15.75" hidden="false" customHeight="false" outlineLevel="0" collapsed="false">
      <c r="A196" s="2"/>
      <c r="B196" s="2"/>
    </row>
    <row r="197" customFormat="false" ht="15.75" hidden="false" customHeight="false" outlineLevel="0" collapsed="false">
      <c r="A197" s="2"/>
      <c r="B197" s="2"/>
    </row>
    <row r="198" customFormat="false" ht="15.75" hidden="false" customHeight="false" outlineLevel="0" collapsed="false">
      <c r="A198" s="2"/>
      <c r="B198" s="2"/>
    </row>
    <row r="199" customFormat="false" ht="15.75" hidden="false" customHeight="false" outlineLevel="0" collapsed="false">
      <c r="A199" s="2"/>
      <c r="B199" s="2"/>
    </row>
    <row r="200" customFormat="false" ht="15.75" hidden="false" customHeight="false" outlineLevel="0" collapsed="false">
      <c r="A200" s="2"/>
      <c r="B200" s="2"/>
    </row>
    <row r="201" customFormat="false" ht="15.75" hidden="false" customHeight="false" outlineLevel="0" collapsed="false">
      <c r="A201" s="2"/>
      <c r="B201" s="2"/>
    </row>
    <row r="202" customFormat="false" ht="15.75" hidden="false" customHeight="false" outlineLevel="0" collapsed="false">
      <c r="A202" s="2"/>
      <c r="B202" s="2"/>
    </row>
    <row r="203" customFormat="false" ht="15.75" hidden="false" customHeight="false" outlineLevel="0" collapsed="false">
      <c r="A203" s="2"/>
      <c r="B203" s="2"/>
    </row>
    <row r="204" customFormat="false" ht="15.75" hidden="false" customHeight="false" outlineLevel="0" collapsed="false">
      <c r="A204" s="2"/>
      <c r="B204" s="2"/>
    </row>
    <row r="205" customFormat="false" ht="15.75" hidden="false" customHeight="false" outlineLevel="0" collapsed="false">
      <c r="A205" s="2"/>
      <c r="B205" s="2"/>
    </row>
    <row r="206" customFormat="false" ht="15.75" hidden="false" customHeight="false" outlineLevel="0" collapsed="false">
      <c r="A206" s="2"/>
      <c r="B206" s="2"/>
    </row>
    <row r="207" customFormat="false" ht="15.75" hidden="false" customHeight="false" outlineLevel="0" collapsed="false">
      <c r="A207" s="2"/>
      <c r="B207" s="2"/>
    </row>
    <row r="208" customFormat="false" ht="15.75" hidden="false" customHeight="false" outlineLevel="0" collapsed="false">
      <c r="A208" s="2"/>
      <c r="B208" s="2"/>
    </row>
    <row r="209" customFormat="false" ht="15.75" hidden="false" customHeight="false" outlineLevel="0" collapsed="false">
      <c r="A209" s="2"/>
      <c r="B209" s="2"/>
    </row>
    <row r="210" customFormat="false" ht="15.75" hidden="false" customHeight="false" outlineLevel="0" collapsed="false">
      <c r="A210" s="2"/>
      <c r="B210" s="2"/>
    </row>
    <row r="211" customFormat="false" ht="15.75" hidden="false" customHeight="false" outlineLevel="0" collapsed="false">
      <c r="A211" s="2"/>
      <c r="B211" s="2"/>
    </row>
    <row r="212" customFormat="false" ht="15.75" hidden="false" customHeight="false" outlineLevel="0" collapsed="false">
      <c r="A212" s="2"/>
      <c r="B212" s="2"/>
    </row>
    <row r="213" customFormat="false" ht="15.75" hidden="false" customHeight="false" outlineLevel="0" collapsed="false">
      <c r="A213" s="2"/>
      <c r="B213" s="2"/>
    </row>
    <row r="214" customFormat="false" ht="15.75" hidden="false" customHeight="false" outlineLevel="0" collapsed="false">
      <c r="A214" s="2"/>
      <c r="B214" s="2"/>
    </row>
    <row r="215" customFormat="false" ht="15.75" hidden="false" customHeight="false" outlineLevel="0" collapsed="false">
      <c r="A215" s="2"/>
      <c r="B215" s="2"/>
    </row>
    <row r="216" customFormat="false" ht="15.75" hidden="false" customHeight="false" outlineLevel="0" collapsed="false">
      <c r="A216" s="2"/>
      <c r="B216" s="2"/>
    </row>
    <row r="217" customFormat="false" ht="15.75" hidden="false" customHeight="false" outlineLevel="0" collapsed="false">
      <c r="A217" s="2"/>
      <c r="B217" s="2"/>
    </row>
    <row r="218" customFormat="false" ht="15.75" hidden="false" customHeight="false" outlineLevel="0" collapsed="false">
      <c r="A218" s="2"/>
      <c r="B218" s="2"/>
    </row>
    <row r="219" customFormat="false" ht="15.75" hidden="false" customHeight="false" outlineLevel="0" collapsed="false">
      <c r="A219" s="2"/>
      <c r="B219" s="2"/>
    </row>
    <row r="220" customFormat="false" ht="15.75" hidden="false" customHeight="false" outlineLevel="0" collapsed="false">
      <c r="A220" s="2"/>
      <c r="B220" s="2"/>
    </row>
    <row r="221" customFormat="false" ht="15.75" hidden="false" customHeight="false" outlineLevel="0" collapsed="false">
      <c r="A221" s="2"/>
      <c r="B221" s="2"/>
    </row>
    <row r="222" customFormat="false" ht="15.75" hidden="false" customHeight="false" outlineLevel="0" collapsed="false">
      <c r="A222" s="2"/>
      <c r="B222" s="2"/>
    </row>
    <row r="223" customFormat="false" ht="15.75" hidden="false" customHeight="false" outlineLevel="0" collapsed="false">
      <c r="A223" s="2"/>
      <c r="B223" s="2"/>
    </row>
    <row r="224" customFormat="false" ht="15.75" hidden="false" customHeight="false" outlineLevel="0" collapsed="false">
      <c r="A224" s="2"/>
      <c r="B224" s="2"/>
    </row>
    <row r="225" customFormat="false" ht="15.75" hidden="false" customHeight="false" outlineLevel="0" collapsed="false">
      <c r="A225" s="2"/>
      <c r="B225" s="2"/>
    </row>
    <row r="226" customFormat="false" ht="15.75" hidden="false" customHeight="false" outlineLevel="0" collapsed="false">
      <c r="A226" s="2"/>
      <c r="B226" s="2"/>
    </row>
    <row r="227" customFormat="false" ht="15.75" hidden="false" customHeight="false" outlineLevel="0" collapsed="false">
      <c r="A227" s="2"/>
      <c r="B227" s="2"/>
    </row>
    <row r="228" customFormat="false" ht="15.75" hidden="false" customHeight="false" outlineLevel="0" collapsed="false">
      <c r="A228" s="2"/>
      <c r="B228" s="2"/>
    </row>
    <row r="229" customFormat="false" ht="15.75" hidden="false" customHeight="false" outlineLevel="0" collapsed="false">
      <c r="A229" s="2"/>
      <c r="B229" s="2"/>
    </row>
    <row r="230" customFormat="false" ht="15.75" hidden="false" customHeight="false" outlineLevel="0" collapsed="false">
      <c r="A230" s="2"/>
      <c r="B230" s="2"/>
    </row>
    <row r="231" customFormat="false" ht="15.75" hidden="false" customHeight="false" outlineLevel="0" collapsed="false">
      <c r="A231" s="2"/>
      <c r="B231" s="2"/>
    </row>
    <row r="232" customFormat="false" ht="15.75" hidden="false" customHeight="false" outlineLevel="0" collapsed="false">
      <c r="A232" s="2"/>
      <c r="B232" s="2"/>
    </row>
    <row r="233" customFormat="false" ht="15.75" hidden="false" customHeight="false" outlineLevel="0" collapsed="false">
      <c r="A233" s="2"/>
      <c r="B233" s="2"/>
    </row>
    <row r="234" customFormat="false" ht="15.75" hidden="false" customHeight="false" outlineLevel="0" collapsed="false">
      <c r="A234" s="2"/>
      <c r="B234" s="2"/>
    </row>
    <row r="235" customFormat="false" ht="15.75" hidden="false" customHeight="false" outlineLevel="0" collapsed="false">
      <c r="A235" s="2"/>
      <c r="B235" s="2"/>
    </row>
    <row r="236" customFormat="false" ht="15.75" hidden="false" customHeight="false" outlineLevel="0" collapsed="false">
      <c r="A236" s="2"/>
      <c r="B236" s="2"/>
    </row>
    <row r="237" customFormat="false" ht="15.75" hidden="false" customHeight="false" outlineLevel="0" collapsed="false">
      <c r="A237" s="2"/>
      <c r="B237" s="2"/>
    </row>
    <row r="238" customFormat="false" ht="15.75" hidden="false" customHeight="false" outlineLevel="0" collapsed="false">
      <c r="A238" s="2"/>
      <c r="B238" s="2"/>
    </row>
    <row r="239" customFormat="false" ht="15.75" hidden="false" customHeight="false" outlineLevel="0" collapsed="false">
      <c r="A239" s="2"/>
      <c r="B239" s="2"/>
    </row>
    <row r="240" customFormat="false" ht="15.75" hidden="false" customHeight="false" outlineLevel="0" collapsed="false">
      <c r="A240" s="2"/>
      <c r="B240" s="2"/>
    </row>
    <row r="241" customFormat="false" ht="15.75" hidden="false" customHeight="false" outlineLevel="0" collapsed="false">
      <c r="A241" s="2"/>
      <c r="B241" s="2"/>
    </row>
    <row r="242" customFormat="false" ht="15.75" hidden="false" customHeight="false" outlineLevel="0" collapsed="false">
      <c r="A242" s="2"/>
      <c r="B242" s="2"/>
    </row>
    <row r="243" customFormat="false" ht="15.75" hidden="false" customHeight="false" outlineLevel="0" collapsed="false">
      <c r="A243" s="2"/>
      <c r="B243" s="2"/>
    </row>
    <row r="244" customFormat="false" ht="15.75" hidden="false" customHeight="false" outlineLevel="0" collapsed="false">
      <c r="A244" s="2"/>
      <c r="B244" s="2"/>
    </row>
    <row r="245" customFormat="false" ht="15.75" hidden="false" customHeight="false" outlineLevel="0" collapsed="false">
      <c r="A245" s="2"/>
      <c r="B245" s="2"/>
    </row>
    <row r="246" customFormat="false" ht="15.75" hidden="false" customHeight="false" outlineLevel="0" collapsed="false">
      <c r="A246" s="2"/>
      <c r="B246" s="2"/>
    </row>
    <row r="247" customFormat="false" ht="15.75" hidden="false" customHeight="false" outlineLevel="0" collapsed="false">
      <c r="A247" s="2"/>
      <c r="B247" s="2"/>
    </row>
    <row r="248" customFormat="false" ht="15.75" hidden="false" customHeight="false" outlineLevel="0" collapsed="false">
      <c r="A248" s="2"/>
      <c r="B248" s="2"/>
    </row>
    <row r="249" customFormat="false" ht="15.75" hidden="false" customHeight="false" outlineLevel="0" collapsed="false">
      <c r="A249" s="2"/>
      <c r="B249" s="2"/>
    </row>
    <row r="250" customFormat="false" ht="15.75" hidden="false" customHeight="false" outlineLevel="0" collapsed="false">
      <c r="A250" s="2"/>
      <c r="B250" s="2"/>
    </row>
    <row r="251" customFormat="false" ht="15.75" hidden="false" customHeight="false" outlineLevel="0" collapsed="false">
      <c r="A251" s="2"/>
      <c r="B251" s="2"/>
    </row>
    <row r="252" customFormat="false" ht="15.75" hidden="false" customHeight="false" outlineLevel="0" collapsed="false">
      <c r="A252" s="2"/>
      <c r="B252" s="2"/>
    </row>
    <row r="253" customFormat="false" ht="15.75" hidden="false" customHeight="false" outlineLevel="0" collapsed="false">
      <c r="A253" s="2"/>
      <c r="B253" s="2"/>
    </row>
    <row r="254" customFormat="false" ht="15.75" hidden="false" customHeight="false" outlineLevel="0" collapsed="false">
      <c r="A254" s="2"/>
      <c r="B254" s="2"/>
    </row>
    <row r="255" customFormat="false" ht="15.75" hidden="false" customHeight="false" outlineLevel="0" collapsed="false">
      <c r="A255" s="2"/>
      <c r="B255" s="2"/>
    </row>
    <row r="256" customFormat="false" ht="15.75" hidden="false" customHeight="false" outlineLevel="0" collapsed="false">
      <c r="A256" s="2"/>
      <c r="B256" s="2"/>
    </row>
    <row r="257" customFormat="false" ht="15.75" hidden="false" customHeight="false" outlineLevel="0" collapsed="false">
      <c r="A257" s="2"/>
      <c r="B257" s="2"/>
    </row>
    <row r="258" customFormat="false" ht="15.75" hidden="false" customHeight="false" outlineLevel="0" collapsed="false">
      <c r="A258" s="2"/>
      <c r="B258" s="2"/>
    </row>
    <row r="259" customFormat="false" ht="15.75" hidden="false" customHeight="false" outlineLevel="0" collapsed="false">
      <c r="A259" s="2"/>
      <c r="B259" s="2"/>
    </row>
    <row r="260" customFormat="false" ht="15.75" hidden="false" customHeight="false" outlineLevel="0" collapsed="false">
      <c r="A260" s="2"/>
      <c r="B260" s="2"/>
    </row>
    <row r="261" customFormat="false" ht="15.75" hidden="false" customHeight="false" outlineLevel="0" collapsed="false">
      <c r="A261" s="2"/>
      <c r="B261" s="2"/>
    </row>
    <row r="262" customFormat="false" ht="15.75" hidden="false" customHeight="false" outlineLevel="0" collapsed="false">
      <c r="A262" s="2"/>
      <c r="B262" s="2"/>
    </row>
    <row r="263" customFormat="false" ht="15.75" hidden="false" customHeight="false" outlineLevel="0" collapsed="false">
      <c r="A263" s="2"/>
      <c r="B263" s="2"/>
    </row>
    <row r="264" customFormat="false" ht="15.75" hidden="false" customHeight="false" outlineLevel="0" collapsed="false">
      <c r="A264" s="2"/>
      <c r="B264" s="2"/>
    </row>
    <row r="265" customFormat="false" ht="15.75" hidden="false" customHeight="false" outlineLevel="0" collapsed="false">
      <c r="A265" s="2"/>
      <c r="B265" s="2"/>
    </row>
    <row r="266" customFormat="false" ht="15.75" hidden="false" customHeight="false" outlineLevel="0" collapsed="false">
      <c r="A266" s="2"/>
      <c r="B266" s="2"/>
    </row>
    <row r="267" customFormat="false" ht="15.75" hidden="false" customHeight="false" outlineLevel="0" collapsed="false">
      <c r="A267" s="2"/>
      <c r="B267" s="2"/>
    </row>
    <row r="268" customFormat="false" ht="15.75" hidden="false" customHeight="false" outlineLevel="0" collapsed="false">
      <c r="A268" s="2"/>
      <c r="B268" s="2"/>
    </row>
    <row r="269" customFormat="false" ht="15.75" hidden="false" customHeight="false" outlineLevel="0" collapsed="false">
      <c r="A269" s="2"/>
      <c r="B269" s="2"/>
    </row>
    <row r="270" customFormat="false" ht="15.75" hidden="false" customHeight="false" outlineLevel="0" collapsed="false">
      <c r="A270" s="2"/>
      <c r="B270" s="2"/>
    </row>
    <row r="271" customFormat="false" ht="15.75" hidden="false" customHeight="false" outlineLevel="0" collapsed="false">
      <c r="A271" s="2"/>
      <c r="B271" s="2"/>
    </row>
    <row r="272" customFormat="false" ht="15.75" hidden="false" customHeight="false" outlineLevel="0" collapsed="false">
      <c r="A272" s="2"/>
      <c r="B272" s="2"/>
    </row>
    <row r="273" customFormat="false" ht="15.75" hidden="false" customHeight="false" outlineLevel="0" collapsed="false">
      <c r="A273" s="2"/>
      <c r="B273" s="2"/>
    </row>
    <row r="274" customFormat="false" ht="15.75" hidden="false" customHeight="false" outlineLevel="0" collapsed="false">
      <c r="A274" s="2"/>
      <c r="B274" s="2"/>
    </row>
    <row r="275" customFormat="false" ht="15.75" hidden="false" customHeight="false" outlineLevel="0" collapsed="false">
      <c r="A275" s="2"/>
      <c r="B275" s="2"/>
    </row>
    <row r="276" customFormat="false" ht="15.75" hidden="false" customHeight="false" outlineLevel="0" collapsed="false">
      <c r="A276" s="2"/>
      <c r="B276" s="2"/>
    </row>
    <row r="277" customFormat="false" ht="15.75" hidden="false" customHeight="false" outlineLevel="0" collapsed="false">
      <c r="A277" s="2"/>
      <c r="B277" s="2"/>
    </row>
    <row r="278" customFormat="false" ht="15.75" hidden="false" customHeight="false" outlineLevel="0" collapsed="false">
      <c r="A278" s="2"/>
      <c r="B278" s="2"/>
    </row>
    <row r="279" customFormat="false" ht="15.75" hidden="false" customHeight="false" outlineLevel="0" collapsed="false">
      <c r="A279" s="2"/>
      <c r="B279" s="2"/>
    </row>
    <row r="280" customFormat="false" ht="15.75" hidden="false" customHeight="false" outlineLevel="0" collapsed="false">
      <c r="A280" s="2"/>
      <c r="B280" s="2"/>
    </row>
    <row r="281" customFormat="false" ht="15.75" hidden="false" customHeight="false" outlineLevel="0" collapsed="false">
      <c r="A281" s="2"/>
      <c r="B281" s="2"/>
    </row>
    <row r="282" customFormat="false" ht="15.75" hidden="false" customHeight="false" outlineLevel="0" collapsed="false">
      <c r="A282" s="2"/>
      <c r="B282" s="2"/>
    </row>
    <row r="283" customFormat="false" ht="15.75" hidden="false" customHeight="false" outlineLevel="0" collapsed="false">
      <c r="A283" s="2"/>
      <c r="B283" s="2"/>
    </row>
    <row r="284" customFormat="false" ht="15.75" hidden="false" customHeight="false" outlineLevel="0" collapsed="false">
      <c r="A284" s="2"/>
      <c r="B284" s="2"/>
    </row>
    <row r="285" customFormat="false" ht="15.75" hidden="false" customHeight="false" outlineLevel="0" collapsed="false">
      <c r="A285" s="2"/>
      <c r="B285" s="2"/>
    </row>
    <row r="286" customFormat="false" ht="15.75" hidden="false" customHeight="false" outlineLevel="0" collapsed="false">
      <c r="A286" s="2"/>
      <c r="B286" s="2"/>
    </row>
    <row r="287" customFormat="false" ht="15.75" hidden="false" customHeight="false" outlineLevel="0" collapsed="false">
      <c r="A287" s="2"/>
      <c r="B287" s="2"/>
    </row>
    <row r="288" customFormat="false" ht="15.75" hidden="false" customHeight="false" outlineLevel="0" collapsed="false">
      <c r="A288" s="2"/>
      <c r="B288" s="2"/>
    </row>
    <row r="289" customFormat="false" ht="15.75" hidden="false" customHeight="false" outlineLevel="0" collapsed="false">
      <c r="A289" s="2"/>
      <c r="B289" s="2"/>
    </row>
    <row r="290" customFormat="false" ht="15.75" hidden="false" customHeight="false" outlineLevel="0" collapsed="false">
      <c r="A290" s="2"/>
      <c r="B290" s="2"/>
    </row>
    <row r="291" customFormat="false" ht="15.75" hidden="false" customHeight="false" outlineLevel="0" collapsed="false">
      <c r="A291" s="2"/>
      <c r="B291" s="2"/>
    </row>
    <row r="292" customFormat="false" ht="15.75" hidden="false" customHeight="false" outlineLevel="0" collapsed="false">
      <c r="A292" s="2"/>
      <c r="B292" s="2"/>
    </row>
    <row r="293" customFormat="false" ht="15.75" hidden="false" customHeight="false" outlineLevel="0" collapsed="false">
      <c r="A293" s="2"/>
      <c r="B293" s="2"/>
    </row>
    <row r="294" customFormat="false" ht="15.75" hidden="false" customHeight="false" outlineLevel="0" collapsed="false">
      <c r="A294" s="2"/>
      <c r="B294" s="2"/>
    </row>
    <row r="295" customFormat="false" ht="15.75" hidden="false" customHeight="false" outlineLevel="0" collapsed="false">
      <c r="A295" s="2"/>
      <c r="B295" s="2"/>
    </row>
    <row r="296" customFormat="false" ht="15.75" hidden="false" customHeight="false" outlineLevel="0" collapsed="false">
      <c r="A296" s="2"/>
      <c r="B296" s="2"/>
    </row>
    <row r="297" customFormat="false" ht="15.75" hidden="false" customHeight="false" outlineLevel="0" collapsed="false">
      <c r="A297" s="2"/>
      <c r="B297" s="2"/>
    </row>
    <row r="298" customFormat="false" ht="15.75" hidden="false" customHeight="false" outlineLevel="0" collapsed="false">
      <c r="A298" s="2"/>
      <c r="B298" s="2"/>
    </row>
    <row r="299" customFormat="false" ht="15.75" hidden="false" customHeight="false" outlineLevel="0" collapsed="false">
      <c r="A299" s="2"/>
      <c r="B299" s="2"/>
    </row>
    <row r="300" customFormat="false" ht="15.75" hidden="false" customHeight="false" outlineLevel="0" collapsed="false">
      <c r="A300" s="2"/>
      <c r="B300" s="2"/>
    </row>
    <row r="301" customFormat="false" ht="15.75" hidden="false" customHeight="false" outlineLevel="0" collapsed="false">
      <c r="A301" s="2"/>
      <c r="B301" s="2"/>
    </row>
    <row r="302" customFormat="false" ht="15.75" hidden="false" customHeight="false" outlineLevel="0" collapsed="false">
      <c r="A302" s="2"/>
      <c r="B302" s="2"/>
    </row>
    <row r="303" customFormat="false" ht="15.75" hidden="false" customHeight="false" outlineLevel="0" collapsed="false">
      <c r="A303" s="2"/>
      <c r="B303" s="2"/>
    </row>
    <row r="304" customFormat="false" ht="15.75" hidden="false" customHeight="false" outlineLevel="0" collapsed="false">
      <c r="A304" s="2"/>
      <c r="B304" s="2"/>
    </row>
    <row r="305" customFormat="false" ht="15.75" hidden="false" customHeight="false" outlineLevel="0" collapsed="false">
      <c r="A305" s="2"/>
      <c r="B305" s="2"/>
    </row>
    <row r="306" customFormat="false" ht="15.75" hidden="false" customHeight="false" outlineLevel="0" collapsed="false">
      <c r="A306" s="2"/>
      <c r="B306" s="2"/>
    </row>
    <row r="307" customFormat="false" ht="15.75" hidden="false" customHeight="false" outlineLevel="0" collapsed="false">
      <c r="A307" s="2"/>
      <c r="B307" s="2"/>
    </row>
    <row r="308" customFormat="false" ht="15.75" hidden="false" customHeight="false" outlineLevel="0" collapsed="false">
      <c r="A308" s="2"/>
      <c r="B308" s="2"/>
    </row>
    <row r="309" customFormat="false" ht="15.75" hidden="false" customHeight="false" outlineLevel="0" collapsed="false">
      <c r="A309" s="2"/>
      <c r="B309" s="2"/>
    </row>
    <row r="310" customFormat="false" ht="15.75" hidden="false" customHeight="false" outlineLevel="0" collapsed="false">
      <c r="A310" s="2"/>
      <c r="B310" s="2"/>
    </row>
    <row r="311" customFormat="false" ht="15.75" hidden="false" customHeight="false" outlineLevel="0" collapsed="false">
      <c r="A311" s="2"/>
      <c r="B311" s="2"/>
    </row>
    <row r="312" customFormat="false" ht="15.75" hidden="false" customHeight="false" outlineLevel="0" collapsed="false">
      <c r="A312" s="2"/>
      <c r="B312" s="2"/>
    </row>
    <row r="313" customFormat="false" ht="15.75" hidden="false" customHeight="false" outlineLevel="0" collapsed="false">
      <c r="A313" s="2"/>
      <c r="B313" s="2"/>
    </row>
    <row r="314" customFormat="false" ht="15.75" hidden="false" customHeight="false" outlineLevel="0" collapsed="false">
      <c r="A314" s="2"/>
      <c r="B314" s="2"/>
    </row>
    <row r="315" customFormat="false" ht="15.75" hidden="false" customHeight="false" outlineLevel="0" collapsed="false">
      <c r="A315" s="2"/>
      <c r="B315" s="2"/>
    </row>
    <row r="316" customFormat="false" ht="15.75" hidden="false" customHeight="false" outlineLevel="0" collapsed="false">
      <c r="A316" s="2"/>
      <c r="B316" s="2"/>
    </row>
    <row r="317" customFormat="false" ht="15.75" hidden="false" customHeight="false" outlineLevel="0" collapsed="false">
      <c r="A317" s="2"/>
      <c r="B317" s="2"/>
    </row>
    <row r="318" customFormat="false" ht="15.75" hidden="false" customHeight="false" outlineLevel="0" collapsed="false">
      <c r="A318" s="2"/>
      <c r="B318" s="2"/>
    </row>
    <row r="319" customFormat="false" ht="15.75" hidden="false" customHeight="false" outlineLevel="0" collapsed="false">
      <c r="A319" s="2"/>
      <c r="B319" s="2"/>
    </row>
    <row r="320" customFormat="false" ht="15.75" hidden="false" customHeight="false" outlineLevel="0" collapsed="false">
      <c r="A320" s="2"/>
      <c r="B320" s="2"/>
    </row>
    <row r="321" customFormat="false" ht="15.75" hidden="false" customHeight="false" outlineLevel="0" collapsed="false">
      <c r="A321" s="2"/>
      <c r="B321" s="2"/>
    </row>
    <row r="322" customFormat="false" ht="15.75" hidden="false" customHeight="false" outlineLevel="0" collapsed="false">
      <c r="A322" s="2"/>
      <c r="B322" s="2"/>
    </row>
    <row r="323" customFormat="false" ht="15.75" hidden="false" customHeight="false" outlineLevel="0" collapsed="false">
      <c r="A323" s="2"/>
      <c r="B323" s="2"/>
    </row>
    <row r="324" customFormat="false" ht="15.75" hidden="false" customHeight="false" outlineLevel="0" collapsed="false">
      <c r="A324" s="2"/>
      <c r="B324" s="2"/>
    </row>
    <row r="325" customFormat="false" ht="15.75" hidden="false" customHeight="false" outlineLevel="0" collapsed="false">
      <c r="A325" s="2"/>
      <c r="B325" s="2"/>
    </row>
    <row r="326" customFormat="false" ht="15.75" hidden="false" customHeight="false" outlineLevel="0" collapsed="false">
      <c r="A326" s="2"/>
      <c r="B326" s="2"/>
    </row>
    <row r="327" customFormat="false" ht="15.75" hidden="false" customHeight="false" outlineLevel="0" collapsed="false">
      <c r="A327" s="2"/>
      <c r="B327" s="2"/>
    </row>
    <row r="328" customFormat="false" ht="15.75" hidden="false" customHeight="false" outlineLevel="0" collapsed="false">
      <c r="A328" s="2"/>
      <c r="B328" s="2"/>
    </row>
    <row r="329" customFormat="false" ht="15.75" hidden="false" customHeight="false" outlineLevel="0" collapsed="false">
      <c r="A329" s="2"/>
      <c r="B329" s="2"/>
    </row>
    <row r="330" customFormat="false" ht="15.75" hidden="false" customHeight="false" outlineLevel="0" collapsed="false">
      <c r="A330" s="2"/>
      <c r="B330" s="2"/>
    </row>
    <row r="331" customFormat="false" ht="15.75" hidden="false" customHeight="false" outlineLevel="0" collapsed="false">
      <c r="A331" s="2"/>
      <c r="B331" s="2"/>
    </row>
    <row r="332" customFormat="false" ht="15.75" hidden="false" customHeight="false" outlineLevel="0" collapsed="false">
      <c r="A332" s="2"/>
      <c r="B332" s="2"/>
    </row>
    <row r="333" customFormat="false" ht="15.75" hidden="false" customHeight="false" outlineLevel="0" collapsed="false">
      <c r="A333" s="2"/>
      <c r="B333" s="2"/>
    </row>
    <row r="334" customFormat="false" ht="15.75" hidden="false" customHeight="false" outlineLevel="0" collapsed="false">
      <c r="A334" s="2"/>
      <c r="B334" s="2"/>
    </row>
    <row r="335" customFormat="false" ht="15.75" hidden="false" customHeight="false" outlineLevel="0" collapsed="false">
      <c r="A335" s="2"/>
      <c r="B335" s="2"/>
    </row>
    <row r="336" customFormat="false" ht="15.75" hidden="false" customHeight="false" outlineLevel="0" collapsed="false">
      <c r="A336" s="2"/>
      <c r="B336" s="2"/>
    </row>
    <row r="337" customFormat="false" ht="15.75" hidden="false" customHeight="false" outlineLevel="0" collapsed="false">
      <c r="A337" s="2"/>
      <c r="B337" s="2"/>
    </row>
    <row r="338" customFormat="false" ht="15.75" hidden="false" customHeight="false" outlineLevel="0" collapsed="false">
      <c r="A338" s="2"/>
      <c r="B338" s="2"/>
    </row>
    <row r="339" customFormat="false" ht="15.75" hidden="false" customHeight="false" outlineLevel="0" collapsed="false">
      <c r="A339" s="2"/>
      <c r="B339" s="2"/>
    </row>
    <row r="340" customFormat="false" ht="15.75" hidden="false" customHeight="false" outlineLevel="0" collapsed="false">
      <c r="A340" s="2"/>
      <c r="B340" s="2"/>
    </row>
    <row r="341" customFormat="false" ht="15.75" hidden="false" customHeight="false" outlineLevel="0" collapsed="false">
      <c r="A341" s="2"/>
      <c r="B341" s="2"/>
    </row>
    <row r="342" customFormat="false" ht="15.75" hidden="false" customHeight="false" outlineLevel="0" collapsed="false">
      <c r="A342" s="2"/>
      <c r="B342" s="2"/>
    </row>
    <row r="343" customFormat="false" ht="15.75" hidden="false" customHeight="false" outlineLevel="0" collapsed="false">
      <c r="A343" s="2"/>
      <c r="B343" s="2"/>
    </row>
    <row r="344" customFormat="false" ht="15.75" hidden="false" customHeight="false" outlineLevel="0" collapsed="false">
      <c r="A344" s="2"/>
      <c r="B344" s="2"/>
    </row>
    <row r="345" customFormat="false" ht="15.75" hidden="false" customHeight="false" outlineLevel="0" collapsed="false">
      <c r="A345" s="2"/>
      <c r="B345" s="2"/>
    </row>
    <row r="346" customFormat="false" ht="15.75" hidden="false" customHeight="false" outlineLevel="0" collapsed="false">
      <c r="A346" s="2"/>
      <c r="B346" s="2"/>
    </row>
    <row r="347" customFormat="false" ht="15.75" hidden="false" customHeight="false" outlineLevel="0" collapsed="false">
      <c r="A347" s="2"/>
      <c r="B347" s="2"/>
    </row>
    <row r="348" customFormat="false" ht="15.75" hidden="false" customHeight="false" outlineLevel="0" collapsed="false">
      <c r="A348" s="2"/>
      <c r="B348" s="2"/>
    </row>
    <row r="349" customFormat="false" ht="15.75" hidden="false" customHeight="false" outlineLevel="0" collapsed="false">
      <c r="A349" s="2"/>
      <c r="B349" s="2"/>
    </row>
    <row r="350" customFormat="false" ht="15.75" hidden="false" customHeight="false" outlineLevel="0" collapsed="false">
      <c r="A350" s="2"/>
      <c r="B350" s="2"/>
    </row>
    <row r="351" customFormat="false" ht="15.75" hidden="false" customHeight="false" outlineLevel="0" collapsed="false">
      <c r="A351" s="2"/>
      <c r="B351" s="2"/>
    </row>
    <row r="352" customFormat="false" ht="15.75" hidden="false" customHeight="false" outlineLevel="0" collapsed="false">
      <c r="A352" s="2"/>
      <c r="B352" s="2"/>
    </row>
    <row r="353" customFormat="false" ht="15.75" hidden="false" customHeight="false" outlineLevel="0" collapsed="false">
      <c r="A353" s="2"/>
      <c r="B353" s="2"/>
    </row>
    <row r="354" customFormat="false" ht="15.75" hidden="false" customHeight="false" outlineLevel="0" collapsed="false">
      <c r="A354" s="2"/>
      <c r="B354" s="2"/>
    </row>
    <row r="355" customFormat="false" ht="15.75" hidden="false" customHeight="false" outlineLevel="0" collapsed="false">
      <c r="A355" s="2"/>
      <c r="B355" s="2"/>
    </row>
    <row r="356" customFormat="false" ht="15.75" hidden="false" customHeight="false" outlineLevel="0" collapsed="false">
      <c r="A356" s="2"/>
      <c r="B356" s="2"/>
    </row>
    <row r="357" customFormat="false" ht="15.75" hidden="false" customHeight="false" outlineLevel="0" collapsed="false">
      <c r="A357" s="2"/>
      <c r="B357" s="2"/>
    </row>
    <row r="358" customFormat="false" ht="15.75" hidden="false" customHeight="false" outlineLevel="0" collapsed="false">
      <c r="A358" s="2"/>
      <c r="B358" s="2"/>
    </row>
    <row r="359" customFormat="false" ht="15.75" hidden="false" customHeight="false" outlineLevel="0" collapsed="false">
      <c r="A359" s="2"/>
      <c r="B359" s="2"/>
    </row>
    <row r="360" customFormat="false" ht="15.75" hidden="false" customHeight="false" outlineLevel="0" collapsed="false">
      <c r="A360" s="2"/>
      <c r="B360" s="2"/>
    </row>
    <row r="361" customFormat="false" ht="15.75" hidden="false" customHeight="false" outlineLevel="0" collapsed="false">
      <c r="A361" s="2"/>
      <c r="B361" s="2"/>
    </row>
    <row r="362" customFormat="false" ht="15.75" hidden="false" customHeight="false" outlineLevel="0" collapsed="false">
      <c r="A362" s="2"/>
      <c r="B362" s="2"/>
    </row>
    <row r="363" customFormat="false" ht="15.75" hidden="false" customHeight="false" outlineLevel="0" collapsed="false">
      <c r="A363" s="2"/>
      <c r="B363" s="2"/>
    </row>
    <row r="364" customFormat="false" ht="15.75" hidden="false" customHeight="false" outlineLevel="0" collapsed="false">
      <c r="A364" s="2"/>
      <c r="B364" s="2"/>
    </row>
    <row r="365" customFormat="false" ht="15.75" hidden="false" customHeight="false" outlineLevel="0" collapsed="false">
      <c r="A365" s="2"/>
      <c r="B365" s="2"/>
    </row>
    <row r="366" customFormat="false" ht="15.75" hidden="false" customHeight="false" outlineLevel="0" collapsed="false">
      <c r="A366" s="2"/>
      <c r="B366" s="2"/>
    </row>
    <row r="367" customFormat="false" ht="15.75" hidden="false" customHeight="false" outlineLevel="0" collapsed="false">
      <c r="A367" s="2"/>
      <c r="B367" s="2"/>
    </row>
    <row r="368" customFormat="false" ht="15.75" hidden="false" customHeight="false" outlineLevel="0" collapsed="false">
      <c r="A368" s="2"/>
      <c r="B368" s="2"/>
    </row>
    <row r="369" customFormat="false" ht="15.75" hidden="false" customHeight="false" outlineLevel="0" collapsed="false">
      <c r="A369" s="2"/>
      <c r="B369" s="2"/>
    </row>
    <row r="370" customFormat="false" ht="15.75" hidden="false" customHeight="false" outlineLevel="0" collapsed="false">
      <c r="A370" s="2"/>
      <c r="B370" s="2"/>
    </row>
    <row r="371" customFormat="false" ht="15.75" hidden="false" customHeight="false" outlineLevel="0" collapsed="false">
      <c r="A371" s="2"/>
      <c r="B371" s="2"/>
    </row>
    <row r="372" customFormat="false" ht="15.75" hidden="false" customHeight="false" outlineLevel="0" collapsed="false">
      <c r="A372" s="2"/>
      <c r="B372" s="2"/>
    </row>
    <row r="373" customFormat="false" ht="15.75" hidden="false" customHeight="false" outlineLevel="0" collapsed="false">
      <c r="A373" s="2"/>
      <c r="B373" s="2"/>
    </row>
    <row r="374" customFormat="false" ht="15.75" hidden="false" customHeight="false" outlineLevel="0" collapsed="false">
      <c r="A374" s="2"/>
      <c r="B374" s="2"/>
    </row>
    <row r="375" customFormat="false" ht="15.75" hidden="false" customHeight="false" outlineLevel="0" collapsed="false">
      <c r="A375" s="2"/>
      <c r="B375" s="2"/>
    </row>
    <row r="376" customFormat="false" ht="15.75" hidden="false" customHeight="false" outlineLevel="0" collapsed="false">
      <c r="A376" s="2"/>
      <c r="B376" s="2"/>
    </row>
    <row r="377" customFormat="false" ht="15.75" hidden="false" customHeight="false" outlineLevel="0" collapsed="false">
      <c r="A377" s="2"/>
      <c r="B377" s="2"/>
    </row>
    <row r="378" customFormat="false" ht="15.75" hidden="false" customHeight="false" outlineLevel="0" collapsed="false">
      <c r="A378" s="2"/>
      <c r="B378" s="2"/>
    </row>
    <row r="379" customFormat="false" ht="15.75" hidden="false" customHeight="false" outlineLevel="0" collapsed="false">
      <c r="A379" s="2"/>
      <c r="B379" s="2"/>
    </row>
    <row r="380" customFormat="false" ht="15.75" hidden="false" customHeight="false" outlineLevel="0" collapsed="false">
      <c r="A380" s="2"/>
      <c r="B380" s="2"/>
    </row>
    <row r="381" customFormat="false" ht="15.75" hidden="false" customHeight="false" outlineLevel="0" collapsed="false">
      <c r="A381" s="2"/>
      <c r="B381" s="2"/>
    </row>
    <row r="382" customFormat="false" ht="15.75" hidden="false" customHeight="false" outlineLevel="0" collapsed="false">
      <c r="A382" s="2"/>
      <c r="B382" s="2"/>
    </row>
    <row r="383" customFormat="false" ht="15.75" hidden="false" customHeight="false" outlineLevel="0" collapsed="false">
      <c r="A383" s="2"/>
      <c r="B383" s="2"/>
    </row>
    <row r="384" customFormat="false" ht="15.75" hidden="false" customHeight="false" outlineLevel="0" collapsed="false">
      <c r="A384" s="2"/>
      <c r="B384" s="2"/>
    </row>
    <row r="385" customFormat="false" ht="15.75" hidden="false" customHeight="false" outlineLevel="0" collapsed="false">
      <c r="A385" s="2"/>
      <c r="B385" s="2"/>
    </row>
    <row r="386" customFormat="false" ht="15.75" hidden="false" customHeight="false" outlineLevel="0" collapsed="false">
      <c r="A386" s="2"/>
      <c r="B386" s="2"/>
    </row>
    <row r="387" customFormat="false" ht="15.75" hidden="false" customHeight="false" outlineLevel="0" collapsed="false">
      <c r="A387" s="2"/>
      <c r="B387" s="2"/>
    </row>
    <row r="388" customFormat="false" ht="15.75" hidden="false" customHeight="false" outlineLevel="0" collapsed="false">
      <c r="A388" s="2"/>
      <c r="B388" s="2"/>
    </row>
    <row r="389" customFormat="false" ht="15.75" hidden="false" customHeight="false" outlineLevel="0" collapsed="false">
      <c r="A389" s="2"/>
      <c r="B389" s="2"/>
    </row>
    <row r="390" customFormat="false" ht="15.75" hidden="false" customHeight="false" outlineLevel="0" collapsed="false">
      <c r="A390" s="2"/>
      <c r="B390" s="2"/>
    </row>
    <row r="391" customFormat="false" ht="15.75" hidden="false" customHeight="false" outlineLevel="0" collapsed="false">
      <c r="A391" s="2"/>
      <c r="B391" s="2"/>
    </row>
    <row r="392" customFormat="false" ht="15.75" hidden="false" customHeight="false" outlineLevel="0" collapsed="false">
      <c r="A392" s="2"/>
      <c r="B392" s="2"/>
    </row>
    <row r="393" customFormat="false" ht="15.75" hidden="false" customHeight="false" outlineLevel="0" collapsed="false">
      <c r="A393" s="2"/>
      <c r="B393" s="2"/>
    </row>
    <row r="394" customFormat="false" ht="15.75" hidden="false" customHeight="false" outlineLevel="0" collapsed="false">
      <c r="A394" s="2"/>
      <c r="B394" s="2"/>
    </row>
    <row r="395" customFormat="false" ht="15.75" hidden="false" customHeight="false" outlineLevel="0" collapsed="false">
      <c r="A395" s="2"/>
      <c r="B395" s="2"/>
    </row>
    <row r="396" customFormat="false" ht="15.75" hidden="false" customHeight="false" outlineLevel="0" collapsed="false">
      <c r="A396" s="2"/>
      <c r="B396" s="2"/>
    </row>
    <row r="397" customFormat="false" ht="15.75" hidden="false" customHeight="false" outlineLevel="0" collapsed="false">
      <c r="A397" s="2"/>
      <c r="B397" s="2"/>
    </row>
    <row r="398" customFormat="false" ht="15.75" hidden="false" customHeight="false" outlineLevel="0" collapsed="false">
      <c r="A398" s="2"/>
      <c r="B398" s="2"/>
    </row>
    <row r="399" customFormat="false" ht="15.75" hidden="false" customHeight="false" outlineLevel="0" collapsed="false">
      <c r="A399" s="2"/>
      <c r="B399" s="2"/>
    </row>
    <row r="400" customFormat="false" ht="15.75" hidden="false" customHeight="false" outlineLevel="0" collapsed="false">
      <c r="A400" s="2"/>
      <c r="B400" s="2"/>
    </row>
    <row r="401" customFormat="false" ht="15.75" hidden="false" customHeight="false" outlineLevel="0" collapsed="false">
      <c r="A401" s="2"/>
      <c r="B401" s="2"/>
    </row>
    <row r="402" customFormat="false" ht="15.75" hidden="false" customHeight="false" outlineLevel="0" collapsed="false">
      <c r="A402" s="2"/>
      <c r="B402" s="2"/>
    </row>
    <row r="403" customFormat="false" ht="15.75" hidden="false" customHeight="false" outlineLevel="0" collapsed="false">
      <c r="A403" s="2"/>
      <c r="B403" s="2"/>
    </row>
    <row r="404" customFormat="false" ht="15.75" hidden="false" customHeight="false" outlineLevel="0" collapsed="false">
      <c r="A404" s="2"/>
      <c r="B404" s="2"/>
    </row>
    <row r="405" customFormat="false" ht="15.75" hidden="false" customHeight="false" outlineLevel="0" collapsed="false">
      <c r="A405" s="2"/>
      <c r="B405" s="2"/>
    </row>
    <row r="406" customFormat="false" ht="15.75" hidden="false" customHeight="false" outlineLevel="0" collapsed="false">
      <c r="A406" s="2"/>
      <c r="B406" s="2"/>
    </row>
    <row r="407" customFormat="false" ht="15.75" hidden="false" customHeight="false" outlineLevel="0" collapsed="false">
      <c r="A407" s="2"/>
      <c r="B407" s="2"/>
    </row>
    <row r="408" customFormat="false" ht="15.75" hidden="false" customHeight="false" outlineLevel="0" collapsed="false">
      <c r="A408" s="2"/>
      <c r="B408" s="2"/>
    </row>
    <row r="409" customFormat="false" ht="15.75" hidden="false" customHeight="false" outlineLevel="0" collapsed="false">
      <c r="A409" s="2"/>
      <c r="B409" s="2"/>
    </row>
    <row r="410" customFormat="false" ht="15.75" hidden="false" customHeight="false" outlineLevel="0" collapsed="false">
      <c r="A410" s="2"/>
      <c r="B410" s="2"/>
    </row>
    <row r="411" customFormat="false" ht="15.75" hidden="false" customHeight="false" outlineLevel="0" collapsed="false">
      <c r="A411" s="2"/>
      <c r="B411" s="2"/>
    </row>
    <row r="412" customFormat="false" ht="15.75" hidden="false" customHeight="false" outlineLevel="0" collapsed="false">
      <c r="A412" s="2"/>
      <c r="B412" s="2"/>
    </row>
    <row r="413" customFormat="false" ht="15.75" hidden="false" customHeight="false" outlineLevel="0" collapsed="false">
      <c r="A413" s="2"/>
      <c r="B413" s="2"/>
    </row>
    <row r="414" customFormat="false" ht="15.75" hidden="false" customHeight="false" outlineLevel="0" collapsed="false">
      <c r="A414" s="2"/>
      <c r="B414" s="2"/>
    </row>
    <row r="415" customFormat="false" ht="15.75" hidden="false" customHeight="false" outlineLevel="0" collapsed="false">
      <c r="A415" s="2"/>
      <c r="B415" s="2"/>
    </row>
    <row r="416" customFormat="false" ht="15.75" hidden="false" customHeight="false" outlineLevel="0" collapsed="false">
      <c r="A416" s="2"/>
      <c r="B416" s="2"/>
    </row>
    <row r="417" customFormat="false" ht="15.75" hidden="false" customHeight="false" outlineLevel="0" collapsed="false">
      <c r="A417" s="2"/>
      <c r="B417" s="2"/>
    </row>
    <row r="418" customFormat="false" ht="15.75" hidden="false" customHeight="false" outlineLevel="0" collapsed="false">
      <c r="A418" s="2"/>
      <c r="B418" s="2"/>
    </row>
    <row r="419" customFormat="false" ht="15.75" hidden="false" customHeight="false" outlineLevel="0" collapsed="false">
      <c r="A419" s="2"/>
      <c r="B419" s="2"/>
    </row>
    <row r="420" customFormat="false" ht="15.75" hidden="false" customHeight="false" outlineLevel="0" collapsed="false">
      <c r="A420" s="2"/>
      <c r="B420" s="2"/>
    </row>
    <row r="421" customFormat="false" ht="15.75" hidden="false" customHeight="false" outlineLevel="0" collapsed="false">
      <c r="A421" s="2"/>
      <c r="B421" s="2"/>
    </row>
    <row r="422" customFormat="false" ht="15.75" hidden="false" customHeight="false" outlineLevel="0" collapsed="false">
      <c r="A422" s="2"/>
      <c r="B422" s="2"/>
    </row>
    <row r="423" customFormat="false" ht="15.75" hidden="false" customHeight="false" outlineLevel="0" collapsed="false">
      <c r="A423" s="2"/>
      <c r="B423" s="2"/>
    </row>
    <row r="424" customFormat="false" ht="15.75" hidden="false" customHeight="false" outlineLevel="0" collapsed="false">
      <c r="A424" s="2"/>
      <c r="B424" s="2"/>
    </row>
    <row r="425" customFormat="false" ht="15.75" hidden="false" customHeight="false" outlineLevel="0" collapsed="false">
      <c r="A425" s="2"/>
      <c r="B425" s="2"/>
    </row>
    <row r="426" customFormat="false" ht="15.75" hidden="false" customHeight="false" outlineLevel="0" collapsed="false">
      <c r="A426" s="2"/>
      <c r="B426" s="2"/>
    </row>
    <row r="427" customFormat="false" ht="15.75" hidden="false" customHeight="false" outlineLevel="0" collapsed="false">
      <c r="A427" s="2"/>
      <c r="B427" s="2"/>
    </row>
    <row r="428" customFormat="false" ht="15.75" hidden="false" customHeight="false" outlineLevel="0" collapsed="false">
      <c r="A428" s="2"/>
      <c r="B428" s="2"/>
    </row>
    <row r="429" customFormat="false" ht="15.75" hidden="false" customHeight="false" outlineLevel="0" collapsed="false">
      <c r="A429" s="2"/>
      <c r="B429" s="2"/>
    </row>
    <row r="430" customFormat="false" ht="15.75" hidden="false" customHeight="false" outlineLevel="0" collapsed="false">
      <c r="A430" s="2"/>
      <c r="B430" s="2"/>
    </row>
    <row r="431" customFormat="false" ht="15.75" hidden="false" customHeight="false" outlineLevel="0" collapsed="false">
      <c r="A431" s="2"/>
      <c r="B431" s="2"/>
    </row>
    <row r="432" customFormat="false" ht="15.75" hidden="false" customHeight="false" outlineLevel="0" collapsed="false">
      <c r="A432" s="2"/>
      <c r="B432" s="2"/>
    </row>
    <row r="433" customFormat="false" ht="15.75" hidden="false" customHeight="false" outlineLevel="0" collapsed="false">
      <c r="A433" s="2"/>
      <c r="B433" s="2"/>
    </row>
    <row r="434" customFormat="false" ht="15.75" hidden="false" customHeight="false" outlineLevel="0" collapsed="false">
      <c r="A434" s="2"/>
      <c r="B434" s="2"/>
    </row>
    <row r="435" customFormat="false" ht="15.75" hidden="false" customHeight="false" outlineLevel="0" collapsed="false">
      <c r="A435" s="2"/>
      <c r="B435" s="2"/>
    </row>
    <row r="436" customFormat="false" ht="15.75" hidden="false" customHeight="false" outlineLevel="0" collapsed="false">
      <c r="A436" s="2"/>
      <c r="B436" s="2"/>
    </row>
    <row r="437" customFormat="false" ht="15.75" hidden="false" customHeight="false" outlineLevel="0" collapsed="false">
      <c r="A437" s="2"/>
      <c r="B437" s="2"/>
    </row>
    <row r="438" customFormat="false" ht="15.75" hidden="false" customHeight="false" outlineLevel="0" collapsed="false">
      <c r="A438" s="2"/>
      <c r="B438" s="2"/>
    </row>
    <row r="439" customFormat="false" ht="15.75" hidden="false" customHeight="false" outlineLevel="0" collapsed="false">
      <c r="A439" s="2"/>
      <c r="B439" s="2"/>
    </row>
    <row r="440" customFormat="false" ht="15.75" hidden="false" customHeight="false" outlineLevel="0" collapsed="false">
      <c r="A440" s="2"/>
      <c r="B440" s="2"/>
    </row>
    <row r="441" customFormat="false" ht="15.75" hidden="false" customHeight="false" outlineLevel="0" collapsed="false">
      <c r="A441" s="2"/>
      <c r="B441" s="2"/>
    </row>
    <row r="442" customFormat="false" ht="15.75" hidden="false" customHeight="false" outlineLevel="0" collapsed="false">
      <c r="A442" s="2"/>
      <c r="B442" s="2"/>
    </row>
    <row r="443" customFormat="false" ht="15.75" hidden="false" customHeight="false" outlineLevel="0" collapsed="false">
      <c r="A443" s="2"/>
      <c r="B443" s="2"/>
    </row>
    <row r="444" customFormat="false" ht="15.75" hidden="false" customHeight="false" outlineLevel="0" collapsed="false">
      <c r="A444" s="2"/>
      <c r="B444" s="2"/>
    </row>
    <row r="445" customFormat="false" ht="15.75" hidden="false" customHeight="false" outlineLevel="0" collapsed="false">
      <c r="A445" s="2"/>
      <c r="B445" s="2"/>
    </row>
    <row r="446" customFormat="false" ht="15.75" hidden="false" customHeight="false" outlineLevel="0" collapsed="false">
      <c r="A446" s="2"/>
      <c r="B446" s="2"/>
    </row>
    <row r="447" customFormat="false" ht="15.75" hidden="false" customHeight="false" outlineLevel="0" collapsed="false">
      <c r="A447" s="2"/>
      <c r="B447" s="2"/>
    </row>
    <row r="448" customFormat="false" ht="15.75" hidden="false" customHeight="false" outlineLevel="0" collapsed="false">
      <c r="A448" s="2"/>
      <c r="B448" s="2"/>
    </row>
    <row r="449" customFormat="false" ht="15.75" hidden="false" customHeight="false" outlineLevel="0" collapsed="false">
      <c r="A449" s="2"/>
      <c r="B449" s="2"/>
    </row>
    <row r="450" customFormat="false" ht="15.75" hidden="false" customHeight="false" outlineLevel="0" collapsed="false">
      <c r="A450" s="2"/>
      <c r="B450" s="2"/>
    </row>
    <row r="451" customFormat="false" ht="15.75" hidden="false" customHeight="false" outlineLevel="0" collapsed="false">
      <c r="A451" s="2"/>
      <c r="B451" s="2"/>
    </row>
    <row r="452" customFormat="false" ht="15.75" hidden="false" customHeight="false" outlineLevel="0" collapsed="false">
      <c r="A452" s="2"/>
      <c r="B452" s="2"/>
    </row>
    <row r="453" customFormat="false" ht="15.75" hidden="false" customHeight="false" outlineLevel="0" collapsed="false">
      <c r="A453" s="2"/>
      <c r="B453" s="2"/>
    </row>
    <row r="454" customFormat="false" ht="15.75" hidden="false" customHeight="false" outlineLevel="0" collapsed="false">
      <c r="A454" s="2"/>
      <c r="B454" s="2"/>
    </row>
    <row r="455" customFormat="false" ht="15.75" hidden="false" customHeight="false" outlineLevel="0" collapsed="false">
      <c r="A455" s="2"/>
      <c r="B455" s="2"/>
    </row>
    <row r="456" customFormat="false" ht="15.75" hidden="false" customHeight="false" outlineLevel="0" collapsed="false">
      <c r="A456" s="2"/>
      <c r="B456" s="2"/>
    </row>
    <row r="457" customFormat="false" ht="15.75" hidden="false" customHeight="false" outlineLevel="0" collapsed="false">
      <c r="A457" s="2"/>
      <c r="B457" s="2"/>
    </row>
    <row r="458" customFormat="false" ht="15.75" hidden="false" customHeight="false" outlineLevel="0" collapsed="false">
      <c r="A458" s="2"/>
      <c r="B458" s="2"/>
    </row>
    <row r="459" customFormat="false" ht="15.75" hidden="false" customHeight="false" outlineLevel="0" collapsed="false">
      <c r="A459" s="2"/>
      <c r="B459" s="2"/>
    </row>
    <row r="460" customFormat="false" ht="15.75" hidden="false" customHeight="false" outlineLevel="0" collapsed="false">
      <c r="A460" s="2"/>
      <c r="B460" s="2"/>
    </row>
    <row r="461" customFormat="false" ht="15.75" hidden="false" customHeight="false" outlineLevel="0" collapsed="false">
      <c r="A461" s="2"/>
      <c r="B461" s="2"/>
    </row>
    <row r="462" customFormat="false" ht="15.75" hidden="false" customHeight="false" outlineLevel="0" collapsed="false">
      <c r="A462" s="2"/>
      <c r="B462" s="2"/>
    </row>
    <row r="463" customFormat="false" ht="15.75" hidden="false" customHeight="false" outlineLevel="0" collapsed="false">
      <c r="A463" s="2"/>
      <c r="B463" s="2"/>
    </row>
    <row r="464" customFormat="false" ht="15.75" hidden="false" customHeight="false" outlineLevel="0" collapsed="false">
      <c r="A464" s="2"/>
      <c r="B464" s="2"/>
    </row>
    <row r="465" customFormat="false" ht="15.75" hidden="false" customHeight="false" outlineLevel="0" collapsed="false">
      <c r="A465" s="2"/>
      <c r="B465" s="2"/>
    </row>
    <row r="466" customFormat="false" ht="15.75" hidden="false" customHeight="false" outlineLevel="0" collapsed="false">
      <c r="A466" s="2"/>
      <c r="B466" s="2"/>
    </row>
    <row r="467" customFormat="false" ht="15.75" hidden="false" customHeight="false" outlineLevel="0" collapsed="false">
      <c r="A467" s="2"/>
      <c r="B467" s="2"/>
    </row>
    <row r="468" customFormat="false" ht="15.75" hidden="false" customHeight="false" outlineLevel="0" collapsed="false">
      <c r="A468" s="2"/>
      <c r="B468" s="2"/>
    </row>
    <row r="469" customFormat="false" ht="15.75" hidden="false" customHeight="false" outlineLevel="0" collapsed="false">
      <c r="A469" s="2"/>
      <c r="B469" s="2"/>
    </row>
    <row r="470" customFormat="false" ht="15.75" hidden="false" customHeight="false" outlineLevel="0" collapsed="false">
      <c r="A470" s="2"/>
      <c r="B470" s="2"/>
    </row>
    <row r="471" customFormat="false" ht="15.75" hidden="false" customHeight="false" outlineLevel="0" collapsed="false">
      <c r="A471" s="2"/>
      <c r="B471" s="2"/>
    </row>
    <row r="472" customFormat="false" ht="15.75" hidden="false" customHeight="false" outlineLevel="0" collapsed="false">
      <c r="A472" s="2"/>
      <c r="B472" s="2"/>
    </row>
    <row r="473" customFormat="false" ht="15.75" hidden="false" customHeight="false" outlineLevel="0" collapsed="false">
      <c r="A473" s="2"/>
      <c r="B473" s="2"/>
    </row>
    <row r="474" customFormat="false" ht="15.75" hidden="false" customHeight="false" outlineLevel="0" collapsed="false">
      <c r="A474" s="2"/>
      <c r="B474" s="2"/>
    </row>
    <row r="475" customFormat="false" ht="15.75" hidden="false" customHeight="false" outlineLevel="0" collapsed="false">
      <c r="A475" s="2"/>
      <c r="B475" s="2"/>
    </row>
    <row r="476" customFormat="false" ht="15.75" hidden="false" customHeight="false" outlineLevel="0" collapsed="false">
      <c r="A476" s="2"/>
      <c r="B476" s="2"/>
    </row>
    <row r="477" customFormat="false" ht="15.75" hidden="false" customHeight="false" outlineLevel="0" collapsed="false">
      <c r="A477" s="2"/>
      <c r="B477" s="2"/>
    </row>
    <row r="478" customFormat="false" ht="15.75" hidden="false" customHeight="false" outlineLevel="0" collapsed="false">
      <c r="A478" s="2"/>
      <c r="B478" s="2"/>
    </row>
    <row r="479" customFormat="false" ht="15.75" hidden="false" customHeight="false" outlineLevel="0" collapsed="false">
      <c r="A479" s="2"/>
      <c r="B479" s="2"/>
    </row>
    <row r="480" customFormat="false" ht="15.75" hidden="false" customHeight="false" outlineLevel="0" collapsed="false">
      <c r="A480" s="2"/>
      <c r="B480" s="2"/>
    </row>
    <row r="481" customFormat="false" ht="15.75" hidden="false" customHeight="false" outlineLevel="0" collapsed="false">
      <c r="A481" s="2"/>
      <c r="B481" s="2"/>
    </row>
    <row r="482" customFormat="false" ht="15.75" hidden="false" customHeight="false" outlineLevel="0" collapsed="false">
      <c r="A482" s="2"/>
      <c r="B482" s="2"/>
    </row>
    <row r="483" customFormat="false" ht="15.75" hidden="false" customHeight="false" outlineLevel="0" collapsed="false">
      <c r="A483" s="2"/>
      <c r="B483" s="2"/>
    </row>
    <row r="484" customFormat="false" ht="15.75" hidden="false" customHeight="false" outlineLevel="0" collapsed="false">
      <c r="A484" s="2"/>
      <c r="B484" s="2"/>
    </row>
    <row r="485" customFormat="false" ht="15.75" hidden="false" customHeight="false" outlineLevel="0" collapsed="false">
      <c r="A485" s="2"/>
      <c r="B485" s="2"/>
    </row>
    <row r="486" customFormat="false" ht="15.75" hidden="false" customHeight="false" outlineLevel="0" collapsed="false">
      <c r="A486" s="2"/>
      <c r="B486" s="2"/>
    </row>
    <row r="487" customFormat="false" ht="15.75" hidden="false" customHeight="false" outlineLevel="0" collapsed="false">
      <c r="A487" s="2"/>
      <c r="B487" s="2"/>
    </row>
    <row r="488" customFormat="false" ht="15.75" hidden="false" customHeight="false" outlineLevel="0" collapsed="false">
      <c r="A488" s="2"/>
      <c r="B488" s="2"/>
    </row>
    <row r="489" customFormat="false" ht="15.75" hidden="false" customHeight="false" outlineLevel="0" collapsed="false">
      <c r="A489" s="2"/>
      <c r="B489" s="2"/>
    </row>
    <row r="490" customFormat="false" ht="15.75" hidden="false" customHeight="false" outlineLevel="0" collapsed="false">
      <c r="A490" s="2"/>
      <c r="B490" s="2"/>
    </row>
    <row r="491" customFormat="false" ht="15.75" hidden="false" customHeight="false" outlineLevel="0" collapsed="false">
      <c r="A491" s="2"/>
      <c r="B491" s="2"/>
    </row>
    <row r="492" customFormat="false" ht="15.75" hidden="false" customHeight="false" outlineLevel="0" collapsed="false">
      <c r="A492" s="2"/>
      <c r="B492" s="2"/>
    </row>
    <row r="493" customFormat="false" ht="15.75" hidden="false" customHeight="false" outlineLevel="0" collapsed="false">
      <c r="A493" s="2"/>
      <c r="B493" s="2"/>
    </row>
    <row r="494" customFormat="false" ht="15.75" hidden="false" customHeight="false" outlineLevel="0" collapsed="false">
      <c r="A494" s="2"/>
      <c r="B494" s="2"/>
    </row>
    <row r="495" customFormat="false" ht="15.75" hidden="false" customHeight="false" outlineLevel="0" collapsed="false">
      <c r="A495" s="2"/>
      <c r="B495" s="2"/>
    </row>
    <row r="496" customFormat="false" ht="15.75" hidden="false" customHeight="false" outlineLevel="0" collapsed="false">
      <c r="A496" s="2"/>
      <c r="B496" s="2"/>
    </row>
    <row r="497" customFormat="false" ht="15.75" hidden="false" customHeight="false" outlineLevel="0" collapsed="false">
      <c r="A497" s="2"/>
      <c r="B497" s="2"/>
    </row>
    <row r="498" customFormat="false" ht="15.75" hidden="false" customHeight="false" outlineLevel="0" collapsed="false">
      <c r="A498" s="2"/>
      <c r="B498" s="2"/>
    </row>
    <row r="499" customFormat="false" ht="15.75" hidden="false" customHeight="false" outlineLevel="0" collapsed="false">
      <c r="A499" s="2"/>
      <c r="B499" s="2"/>
    </row>
    <row r="500" customFormat="false" ht="15.75" hidden="false" customHeight="false" outlineLevel="0" collapsed="false">
      <c r="A500" s="2"/>
      <c r="B500" s="2"/>
    </row>
    <row r="501" customFormat="false" ht="15.75" hidden="false" customHeight="false" outlineLevel="0" collapsed="false">
      <c r="A501" s="2"/>
      <c r="B501" s="2"/>
    </row>
    <row r="502" customFormat="false" ht="15.75" hidden="false" customHeight="false" outlineLevel="0" collapsed="false">
      <c r="A502" s="2"/>
      <c r="B502" s="2"/>
    </row>
    <row r="503" customFormat="false" ht="15.75" hidden="false" customHeight="false" outlineLevel="0" collapsed="false">
      <c r="A503" s="2"/>
      <c r="B503" s="2"/>
    </row>
    <row r="504" customFormat="false" ht="15.75" hidden="false" customHeight="false" outlineLevel="0" collapsed="false">
      <c r="A504" s="2"/>
      <c r="B504" s="2"/>
    </row>
    <row r="505" customFormat="false" ht="15.75" hidden="false" customHeight="false" outlineLevel="0" collapsed="false">
      <c r="A505" s="2"/>
      <c r="B505" s="2"/>
    </row>
    <row r="506" customFormat="false" ht="15.75" hidden="false" customHeight="false" outlineLevel="0" collapsed="false">
      <c r="A506" s="2"/>
      <c r="B506" s="2"/>
    </row>
    <row r="507" customFormat="false" ht="15.75" hidden="false" customHeight="false" outlineLevel="0" collapsed="false">
      <c r="A507" s="2"/>
      <c r="B507" s="2"/>
    </row>
    <row r="508" customFormat="false" ht="15.75" hidden="false" customHeight="false" outlineLevel="0" collapsed="false">
      <c r="A508" s="2"/>
      <c r="B508" s="2"/>
    </row>
    <row r="509" customFormat="false" ht="15.75" hidden="false" customHeight="false" outlineLevel="0" collapsed="false">
      <c r="A509" s="2"/>
      <c r="B509" s="2"/>
    </row>
    <row r="510" customFormat="false" ht="15.75" hidden="false" customHeight="false" outlineLevel="0" collapsed="false">
      <c r="A510" s="2"/>
      <c r="B510" s="2"/>
    </row>
    <row r="511" customFormat="false" ht="15.75" hidden="false" customHeight="false" outlineLevel="0" collapsed="false">
      <c r="A511" s="2"/>
      <c r="B511" s="2"/>
    </row>
    <row r="512" customFormat="false" ht="15.75" hidden="false" customHeight="false" outlineLevel="0" collapsed="false">
      <c r="A512" s="2"/>
      <c r="B512" s="2"/>
    </row>
    <row r="513" customFormat="false" ht="15.75" hidden="false" customHeight="false" outlineLevel="0" collapsed="false">
      <c r="A513" s="2"/>
      <c r="B513" s="2"/>
    </row>
    <row r="514" customFormat="false" ht="15.75" hidden="false" customHeight="false" outlineLevel="0" collapsed="false">
      <c r="A514" s="2"/>
      <c r="B514" s="2"/>
    </row>
    <row r="515" customFormat="false" ht="15.75" hidden="false" customHeight="false" outlineLevel="0" collapsed="false">
      <c r="A515" s="2"/>
      <c r="B515" s="2"/>
    </row>
    <row r="516" customFormat="false" ht="15.75" hidden="false" customHeight="false" outlineLevel="0" collapsed="false">
      <c r="A516" s="2"/>
      <c r="B516" s="2"/>
    </row>
    <row r="517" customFormat="false" ht="15.75" hidden="false" customHeight="false" outlineLevel="0" collapsed="false">
      <c r="A517" s="2"/>
      <c r="B517" s="2"/>
    </row>
    <row r="518" customFormat="false" ht="15.75" hidden="false" customHeight="false" outlineLevel="0" collapsed="false">
      <c r="A518" s="2"/>
      <c r="B518" s="2"/>
    </row>
    <row r="519" customFormat="false" ht="15.75" hidden="false" customHeight="false" outlineLevel="0" collapsed="false">
      <c r="A519" s="2"/>
      <c r="B519" s="2"/>
    </row>
    <row r="520" customFormat="false" ht="15.75" hidden="false" customHeight="false" outlineLevel="0" collapsed="false">
      <c r="A520" s="2"/>
      <c r="B520" s="2"/>
    </row>
    <row r="521" customFormat="false" ht="15.75" hidden="false" customHeight="false" outlineLevel="0" collapsed="false">
      <c r="A521" s="2"/>
      <c r="B521" s="2"/>
    </row>
    <row r="522" customFormat="false" ht="15.75" hidden="false" customHeight="false" outlineLevel="0" collapsed="false">
      <c r="A522" s="2"/>
      <c r="B522" s="2"/>
    </row>
    <row r="523" customFormat="false" ht="15.75" hidden="false" customHeight="false" outlineLevel="0" collapsed="false">
      <c r="A523" s="2"/>
      <c r="B523" s="2"/>
    </row>
    <row r="524" customFormat="false" ht="15.75" hidden="false" customHeight="false" outlineLevel="0" collapsed="false">
      <c r="A524" s="2"/>
      <c r="B524" s="2"/>
    </row>
    <row r="525" customFormat="false" ht="15.75" hidden="false" customHeight="false" outlineLevel="0" collapsed="false">
      <c r="A525" s="2"/>
      <c r="B525" s="2"/>
    </row>
    <row r="526" customFormat="false" ht="15.75" hidden="false" customHeight="false" outlineLevel="0" collapsed="false">
      <c r="A526" s="2"/>
      <c r="B526" s="2"/>
    </row>
    <row r="527" customFormat="false" ht="15.75" hidden="false" customHeight="false" outlineLevel="0" collapsed="false">
      <c r="A527" s="2"/>
      <c r="B527" s="2"/>
    </row>
    <row r="528" customFormat="false" ht="15.75" hidden="false" customHeight="false" outlineLevel="0" collapsed="false">
      <c r="A528" s="2"/>
      <c r="B528" s="2"/>
    </row>
    <row r="529" customFormat="false" ht="15.75" hidden="false" customHeight="false" outlineLevel="0" collapsed="false">
      <c r="A529" s="2"/>
      <c r="B529" s="2"/>
    </row>
    <row r="530" customFormat="false" ht="15.75" hidden="false" customHeight="false" outlineLevel="0" collapsed="false">
      <c r="A530" s="2"/>
      <c r="B530" s="2"/>
    </row>
    <row r="531" customFormat="false" ht="15.75" hidden="false" customHeight="false" outlineLevel="0" collapsed="false">
      <c r="A531" s="2"/>
      <c r="B531" s="2"/>
    </row>
    <row r="532" customFormat="false" ht="15.75" hidden="false" customHeight="false" outlineLevel="0" collapsed="false">
      <c r="A532" s="2"/>
      <c r="B532" s="2"/>
    </row>
    <row r="533" customFormat="false" ht="15.75" hidden="false" customHeight="false" outlineLevel="0" collapsed="false">
      <c r="A533" s="2"/>
      <c r="B533" s="2"/>
    </row>
    <row r="534" customFormat="false" ht="15.75" hidden="false" customHeight="false" outlineLevel="0" collapsed="false">
      <c r="A534" s="2"/>
      <c r="B534" s="2"/>
    </row>
    <row r="535" customFormat="false" ht="15.75" hidden="false" customHeight="false" outlineLevel="0" collapsed="false">
      <c r="A535" s="2"/>
      <c r="B535" s="2"/>
    </row>
    <row r="536" customFormat="false" ht="15.75" hidden="false" customHeight="false" outlineLevel="0" collapsed="false">
      <c r="A536" s="2"/>
      <c r="B536" s="2"/>
    </row>
    <row r="537" customFormat="false" ht="15.75" hidden="false" customHeight="false" outlineLevel="0" collapsed="false">
      <c r="A537" s="2"/>
      <c r="B537" s="2"/>
    </row>
    <row r="538" customFormat="false" ht="15.75" hidden="false" customHeight="false" outlineLevel="0" collapsed="false">
      <c r="A538" s="2"/>
      <c r="B538" s="2"/>
    </row>
    <row r="539" customFormat="false" ht="15.75" hidden="false" customHeight="false" outlineLevel="0" collapsed="false">
      <c r="A539" s="2"/>
      <c r="B539" s="2"/>
    </row>
    <row r="540" customFormat="false" ht="15.75" hidden="false" customHeight="false" outlineLevel="0" collapsed="false">
      <c r="A540" s="2"/>
      <c r="B540" s="2"/>
    </row>
    <row r="541" customFormat="false" ht="15.75" hidden="false" customHeight="false" outlineLevel="0" collapsed="false">
      <c r="A541" s="2"/>
      <c r="B541" s="2"/>
    </row>
    <row r="542" customFormat="false" ht="15.75" hidden="false" customHeight="false" outlineLevel="0" collapsed="false">
      <c r="A542" s="2"/>
      <c r="B542" s="2"/>
    </row>
    <row r="543" customFormat="false" ht="15.75" hidden="false" customHeight="false" outlineLevel="0" collapsed="false">
      <c r="A543" s="2"/>
      <c r="B543" s="2"/>
    </row>
    <row r="544" customFormat="false" ht="15.75" hidden="false" customHeight="false" outlineLevel="0" collapsed="false">
      <c r="A544" s="2"/>
      <c r="B544" s="2"/>
    </row>
    <row r="545" customFormat="false" ht="15.75" hidden="false" customHeight="false" outlineLevel="0" collapsed="false">
      <c r="A545" s="2"/>
      <c r="B545" s="2"/>
    </row>
    <row r="546" customFormat="false" ht="15.75" hidden="false" customHeight="false" outlineLevel="0" collapsed="false">
      <c r="A546" s="2"/>
      <c r="B546" s="2"/>
    </row>
    <row r="547" customFormat="false" ht="15.75" hidden="false" customHeight="false" outlineLevel="0" collapsed="false">
      <c r="A547" s="2"/>
      <c r="B547" s="2"/>
    </row>
    <row r="548" customFormat="false" ht="15.75" hidden="false" customHeight="false" outlineLevel="0" collapsed="false">
      <c r="A548" s="2"/>
      <c r="B548" s="2"/>
    </row>
    <row r="549" customFormat="false" ht="15.75" hidden="false" customHeight="false" outlineLevel="0" collapsed="false">
      <c r="A549" s="2"/>
      <c r="B549" s="2"/>
    </row>
    <row r="550" customFormat="false" ht="15.75" hidden="false" customHeight="false" outlineLevel="0" collapsed="false">
      <c r="A550" s="2"/>
      <c r="B550" s="2"/>
    </row>
    <row r="551" customFormat="false" ht="15.75" hidden="false" customHeight="false" outlineLevel="0" collapsed="false">
      <c r="A551" s="2"/>
      <c r="B551" s="2"/>
    </row>
    <row r="552" customFormat="false" ht="15.75" hidden="false" customHeight="false" outlineLevel="0" collapsed="false">
      <c r="A552" s="2"/>
      <c r="B552" s="2"/>
    </row>
    <row r="553" customFormat="false" ht="15.75" hidden="false" customHeight="false" outlineLevel="0" collapsed="false">
      <c r="A553" s="2"/>
      <c r="B553" s="2"/>
    </row>
    <row r="554" customFormat="false" ht="15.75" hidden="false" customHeight="false" outlineLevel="0" collapsed="false">
      <c r="A554" s="2"/>
      <c r="B554" s="2"/>
    </row>
    <row r="555" customFormat="false" ht="15.75" hidden="false" customHeight="false" outlineLevel="0" collapsed="false">
      <c r="A555" s="2"/>
      <c r="B555" s="2"/>
    </row>
    <row r="556" customFormat="false" ht="15.75" hidden="false" customHeight="false" outlineLevel="0" collapsed="false">
      <c r="A556" s="2"/>
      <c r="B556" s="2"/>
    </row>
    <row r="557" customFormat="false" ht="15.75" hidden="false" customHeight="false" outlineLevel="0" collapsed="false">
      <c r="A557" s="2"/>
      <c r="B557" s="2"/>
    </row>
    <row r="558" customFormat="false" ht="15.75" hidden="false" customHeight="false" outlineLevel="0" collapsed="false">
      <c r="A558" s="2"/>
      <c r="B558" s="2"/>
    </row>
    <row r="559" customFormat="false" ht="15.75" hidden="false" customHeight="false" outlineLevel="0" collapsed="false">
      <c r="A559" s="2"/>
      <c r="B559" s="2"/>
    </row>
    <row r="560" customFormat="false" ht="15.75" hidden="false" customHeight="false" outlineLevel="0" collapsed="false">
      <c r="A560" s="2"/>
      <c r="B560" s="2"/>
    </row>
    <row r="561" customFormat="false" ht="15.75" hidden="false" customHeight="false" outlineLevel="0" collapsed="false">
      <c r="A561" s="2"/>
      <c r="B561" s="2"/>
    </row>
    <row r="562" customFormat="false" ht="15.75" hidden="false" customHeight="false" outlineLevel="0" collapsed="false">
      <c r="A562" s="2"/>
      <c r="B562" s="2"/>
    </row>
    <row r="563" customFormat="false" ht="15.75" hidden="false" customHeight="false" outlineLevel="0" collapsed="false">
      <c r="A563" s="2"/>
      <c r="B563" s="2"/>
    </row>
    <row r="564" customFormat="false" ht="15.75" hidden="false" customHeight="false" outlineLevel="0" collapsed="false">
      <c r="A564" s="2"/>
      <c r="B564" s="2"/>
    </row>
    <row r="565" customFormat="false" ht="15.75" hidden="false" customHeight="false" outlineLevel="0" collapsed="false">
      <c r="A565" s="2"/>
      <c r="B565" s="2"/>
    </row>
    <row r="566" customFormat="false" ht="15.75" hidden="false" customHeight="false" outlineLevel="0" collapsed="false">
      <c r="A566" s="2"/>
      <c r="B566" s="2"/>
    </row>
    <row r="567" customFormat="false" ht="15.75" hidden="false" customHeight="false" outlineLevel="0" collapsed="false">
      <c r="A567" s="2"/>
      <c r="B567" s="2"/>
    </row>
    <row r="568" customFormat="false" ht="15.75" hidden="false" customHeight="false" outlineLevel="0" collapsed="false">
      <c r="A568" s="2"/>
      <c r="B568" s="2"/>
    </row>
    <row r="569" customFormat="false" ht="15.75" hidden="false" customHeight="false" outlineLevel="0" collapsed="false">
      <c r="A569" s="2"/>
      <c r="B569" s="2"/>
    </row>
    <row r="570" customFormat="false" ht="15.75" hidden="false" customHeight="false" outlineLevel="0" collapsed="false">
      <c r="A570" s="2"/>
      <c r="B570" s="2"/>
    </row>
    <row r="571" customFormat="false" ht="15.75" hidden="false" customHeight="false" outlineLevel="0" collapsed="false">
      <c r="A571" s="2"/>
      <c r="B571" s="2"/>
    </row>
    <row r="572" customFormat="false" ht="15.75" hidden="false" customHeight="false" outlineLevel="0" collapsed="false">
      <c r="A572" s="2"/>
      <c r="B572" s="2"/>
    </row>
    <row r="573" customFormat="false" ht="15.75" hidden="false" customHeight="false" outlineLevel="0" collapsed="false">
      <c r="A573" s="2"/>
      <c r="B573" s="2"/>
    </row>
    <row r="574" customFormat="false" ht="15.75" hidden="false" customHeight="false" outlineLevel="0" collapsed="false">
      <c r="A574" s="2"/>
      <c r="B574" s="2"/>
    </row>
    <row r="575" customFormat="false" ht="15.75" hidden="false" customHeight="false" outlineLevel="0" collapsed="false">
      <c r="A575" s="2"/>
      <c r="B575" s="2"/>
    </row>
    <row r="576" customFormat="false" ht="15.75" hidden="false" customHeight="false" outlineLevel="0" collapsed="false">
      <c r="A576" s="2"/>
      <c r="B576" s="2"/>
    </row>
    <row r="577" customFormat="false" ht="15.75" hidden="false" customHeight="false" outlineLevel="0" collapsed="false">
      <c r="A577" s="2"/>
      <c r="B577" s="2"/>
    </row>
    <row r="578" customFormat="false" ht="15.75" hidden="false" customHeight="false" outlineLevel="0" collapsed="false">
      <c r="A578" s="2"/>
      <c r="B578" s="2"/>
    </row>
    <row r="579" customFormat="false" ht="15.75" hidden="false" customHeight="false" outlineLevel="0" collapsed="false">
      <c r="A579" s="2"/>
      <c r="B579" s="2"/>
    </row>
    <row r="580" customFormat="false" ht="15.75" hidden="false" customHeight="false" outlineLevel="0" collapsed="false">
      <c r="A580" s="2"/>
      <c r="B580" s="2"/>
    </row>
    <row r="581" customFormat="false" ht="15.75" hidden="false" customHeight="false" outlineLevel="0" collapsed="false">
      <c r="A581" s="2"/>
      <c r="B581" s="2"/>
    </row>
    <row r="582" customFormat="false" ht="15.75" hidden="false" customHeight="false" outlineLevel="0" collapsed="false">
      <c r="A582" s="2"/>
      <c r="B582" s="2"/>
    </row>
    <row r="583" customFormat="false" ht="15.75" hidden="false" customHeight="false" outlineLevel="0" collapsed="false">
      <c r="A583" s="2"/>
      <c r="B583" s="2"/>
    </row>
    <row r="584" customFormat="false" ht="15.75" hidden="false" customHeight="false" outlineLevel="0" collapsed="false">
      <c r="A584" s="2"/>
      <c r="B584" s="2"/>
    </row>
    <row r="585" customFormat="false" ht="15.75" hidden="false" customHeight="false" outlineLevel="0" collapsed="false">
      <c r="A585" s="2"/>
      <c r="B585" s="2"/>
    </row>
    <row r="586" customFormat="false" ht="15.75" hidden="false" customHeight="false" outlineLevel="0" collapsed="false">
      <c r="A586" s="2"/>
      <c r="B586" s="2"/>
    </row>
    <row r="587" customFormat="false" ht="15.75" hidden="false" customHeight="false" outlineLevel="0" collapsed="false">
      <c r="A587" s="2"/>
      <c r="B587" s="2"/>
    </row>
    <row r="588" customFormat="false" ht="15.75" hidden="false" customHeight="false" outlineLevel="0" collapsed="false">
      <c r="A588" s="2"/>
      <c r="B588" s="2"/>
    </row>
    <row r="589" customFormat="false" ht="15.75" hidden="false" customHeight="false" outlineLevel="0" collapsed="false">
      <c r="A589" s="2"/>
      <c r="B589" s="2"/>
    </row>
    <row r="590" customFormat="false" ht="15.75" hidden="false" customHeight="false" outlineLevel="0" collapsed="false">
      <c r="A590" s="2"/>
      <c r="B590" s="2"/>
    </row>
    <row r="591" customFormat="false" ht="15.75" hidden="false" customHeight="false" outlineLevel="0" collapsed="false">
      <c r="A591" s="2"/>
      <c r="B591" s="2"/>
    </row>
    <row r="592" customFormat="false" ht="15.75" hidden="false" customHeight="false" outlineLevel="0" collapsed="false">
      <c r="A592" s="2"/>
      <c r="B592" s="2"/>
    </row>
    <row r="593" customFormat="false" ht="15.75" hidden="false" customHeight="false" outlineLevel="0" collapsed="false">
      <c r="A593" s="2"/>
      <c r="B593" s="2"/>
    </row>
    <row r="594" customFormat="false" ht="15.75" hidden="false" customHeight="false" outlineLevel="0" collapsed="false">
      <c r="A594" s="2"/>
      <c r="B594" s="2"/>
    </row>
    <row r="595" customFormat="false" ht="15.75" hidden="false" customHeight="false" outlineLevel="0" collapsed="false">
      <c r="A595" s="2"/>
      <c r="B595" s="2"/>
    </row>
    <row r="596" customFormat="false" ht="15.75" hidden="false" customHeight="false" outlineLevel="0" collapsed="false">
      <c r="A596" s="2"/>
      <c r="B596" s="2"/>
    </row>
    <row r="597" customFormat="false" ht="15.75" hidden="false" customHeight="false" outlineLevel="0" collapsed="false">
      <c r="A597" s="2"/>
      <c r="B597" s="2"/>
    </row>
    <row r="598" customFormat="false" ht="15.75" hidden="false" customHeight="false" outlineLevel="0" collapsed="false">
      <c r="A598" s="2"/>
      <c r="B598" s="2"/>
    </row>
    <row r="599" customFormat="false" ht="15.75" hidden="false" customHeight="false" outlineLevel="0" collapsed="false">
      <c r="A599" s="2"/>
      <c r="B599" s="2"/>
    </row>
    <row r="600" customFormat="false" ht="15.75" hidden="false" customHeight="false" outlineLevel="0" collapsed="false">
      <c r="A600" s="2"/>
      <c r="B600" s="2"/>
    </row>
    <row r="601" customFormat="false" ht="15.75" hidden="false" customHeight="false" outlineLevel="0" collapsed="false">
      <c r="A601" s="2"/>
      <c r="B601" s="2"/>
    </row>
    <row r="602" customFormat="false" ht="15.75" hidden="false" customHeight="false" outlineLevel="0" collapsed="false">
      <c r="A602" s="2"/>
      <c r="B602" s="2"/>
    </row>
    <row r="603" customFormat="false" ht="15.75" hidden="false" customHeight="false" outlineLevel="0" collapsed="false">
      <c r="A603" s="2"/>
      <c r="B603" s="2"/>
    </row>
    <row r="604" customFormat="false" ht="15.75" hidden="false" customHeight="false" outlineLevel="0" collapsed="false">
      <c r="A604" s="2"/>
      <c r="B604" s="2"/>
    </row>
    <row r="605" customFormat="false" ht="15.75" hidden="false" customHeight="false" outlineLevel="0" collapsed="false">
      <c r="A605" s="2"/>
      <c r="B605" s="2"/>
    </row>
    <row r="606" customFormat="false" ht="15.75" hidden="false" customHeight="false" outlineLevel="0" collapsed="false">
      <c r="A606" s="2"/>
      <c r="B606" s="2"/>
    </row>
    <row r="607" customFormat="false" ht="15.75" hidden="false" customHeight="false" outlineLevel="0" collapsed="false">
      <c r="A607" s="2"/>
      <c r="B607" s="2"/>
    </row>
    <row r="608" customFormat="false" ht="15.75" hidden="false" customHeight="false" outlineLevel="0" collapsed="false">
      <c r="A608" s="2"/>
      <c r="B608" s="2"/>
    </row>
    <row r="609" customFormat="false" ht="15.75" hidden="false" customHeight="false" outlineLevel="0" collapsed="false">
      <c r="A609" s="2"/>
      <c r="B609" s="2"/>
    </row>
    <row r="610" customFormat="false" ht="15.75" hidden="false" customHeight="false" outlineLevel="0" collapsed="false">
      <c r="A610" s="2"/>
      <c r="B610" s="2"/>
    </row>
    <row r="611" customFormat="false" ht="15.75" hidden="false" customHeight="false" outlineLevel="0" collapsed="false">
      <c r="A611" s="2"/>
      <c r="B611" s="2"/>
    </row>
    <row r="612" customFormat="false" ht="15.75" hidden="false" customHeight="false" outlineLevel="0" collapsed="false">
      <c r="A612" s="2"/>
      <c r="B612" s="2"/>
    </row>
    <row r="613" customFormat="false" ht="15.75" hidden="false" customHeight="false" outlineLevel="0" collapsed="false">
      <c r="A613" s="2"/>
      <c r="B613" s="2"/>
    </row>
    <row r="614" customFormat="false" ht="15.75" hidden="false" customHeight="false" outlineLevel="0" collapsed="false">
      <c r="A614" s="2"/>
      <c r="B614" s="2"/>
    </row>
    <row r="615" customFormat="false" ht="15.75" hidden="false" customHeight="false" outlineLevel="0" collapsed="false">
      <c r="A615" s="2"/>
      <c r="B615" s="2"/>
    </row>
    <row r="616" customFormat="false" ht="15.75" hidden="false" customHeight="false" outlineLevel="0" collapsed="false">
      <c r="A616" s="2"/>
      <c r="B616" s="2"/>
    </row>
    <row r="617" customFormat="false" ht="15.75" hidden="false" customHeight="false" outlineLevel="0" collapsed="false">
      <c r="A617" s="2"/>
      <c r="B617" s="2"/>
    </row>
    <row r="618" customFormat="false" ht="15.75" hidden="false" customHeight="false" outlineLevel="0" collapsed="false">
      <c r="A618" s="2"/>
      <c r="B618" s="2"/>
    </row>
    <row r="619" customFormat="false" ht="15.75" hidden="false" customHeight="false" outlineLevel="0" collapsed="false">
      <c r="A619" s="2"/>
      <c r="B619" s="2"/>
    </row>
    <row r="620" customFormat="false" ht="15.75" hidden="false" customHeight="false" outlineLevel="0" collapsed="false">
      <c r="A620" s="2"/>
      <c r="B620" s="2"/>
    </row>
    <row r="621" customFormat="false" ht="15.75" hidden="false" customHeight="false" outlineLevel="0" collapsed="false">
      <c r="A621" s="2"/>
      <c r="B621" s="2"/>
    </row>
    <row r="622" customFormat="false" ht="15.75" hidden="false" customHeight="false" outlineLevel="0" collapsed="false">
      <c r="A622" s="2"/>
      <c r="B622" s="2"/>
    </row>
    <row r="623" customFormat="false" ht="15.75" hidden="false" customHeight="false" outlineLevel="0" collapsed="false">
      <c r="A623" s="2"/>
      <c r="B623" s="2"/>
    </row>
    <row r="624" customFormat="false" ht="15.75" hidden="false" customHeight="false" outlineLevel="0" collapsed="false">
      <c r="A624" s="2"/>
      <c r="B624" s="2"/>
    </row>
    <row r="625" customFormat="false" ht="15.75" hidden="false" customHeight="false" outlineLevel="0" collapsed="false">
      <c r="A625" s="2"/>
      <c r="B625" s="2"/>
    </row>
    <row r="626" customFormat="false" ht="15.75" hidden="false" customHeight="false" outlineLevel="0" collapsed="false">
      <c r="A626" s="2"/>
      <c r="B626" s="2"/>
    </row>
    <row r="627" customFormat="false" ht="15.75" hidden="false" customHeight="false" outlineLevel="0" collapsed="false">
      <c r="A627" s="2"/>
      <c r="B627" s="2"/>
    </row>
    <row r="628" customFormat="false" ht="15.75" hidden="false" customHeight="false" outlineLevel="0" collapsed="false">
      <c r="A628" s="2"/>
      <c r="B628" s="2"/>
    </row>
    <row r="629" customFormat="false" ht="15.75" hidden="false" customHeight="false" outlineLevel="0" collapsed="false">
      <c r="A629" s="2"/>
      <c r="B629" s="2"/>
    </row>
    <row r="630" customFormat="false" ht="15.75" hidden="false" customHeight="false" outlineLevel="0" collapsed="false">
      <c r="A630" s="2"/>
      <c r="B630" s="2"/>
    </row>
    <row r="631" customFormat="false" ht="15.75" hidden="false" customHeight="false" outlineLevel="0" collapsed="false">
      <c r="A631" s="2"/>
      <c r="B631" s="2"/>
    </row>
    <row r="632" customFormat="false" ht="15.75" hidden="false" customHeight="false" outlineLevel="0" collapsed="false">
      <c r="A632" s="2"/>
      <c r="B632" s="2"/>
    </row>
    <row r="633" customFormat="false" ht="15.75" hidden="false" customHeight="false" outlineLevel="0" collapsed="false">
      <c r="A633" s="2"/>
      <c r="B633" s="2"/>
    </row>
    <row r="634" customFormat="false" ht="15.75" hidden="false" customHeight="false" outlineLevel="0" collapsed="false">
      <c r="A634" s="2"/>
      <c r="B634" s="2"/>
    </row>
    <row r="635" customFormat="false" ht="15.75" hidden="false" customHeight="false" outlineLevel="0" collapsed="false">
      <c r="A635" s="2"/>
      <c r="B635" s="2"/>
    </row>
    <row r="636" customFormat="false" ht="15.75" hidden="false" customHeight="false" outlineLevel="0" collapsed="false">
      <c r="A636" s="2"/>
      <c r="B636" s="2"/>
    </row>
    <row r="637" customFormat="false" ht="15.75" hidden="false" customHeight="false" outlineLevel="0" collapsed="false">
      <c r="A637" s="2"/>
      <c r="B637" s="2"/>
    </row>
    <row r="638" customFormat="false" ht="15.75" hidden="false" customHeight="false" outlineLevel="0" collapsed="false">
      <c r="A638" s="2"/>
      <c r="B638" s="2"/>
    </row>
    <row r="639" customFormat="false" ht="15.75" hidden="false" customHeight="false" outlineLevel="0" collapsed="false">
      <c r="A639" s="2"/>
      <c r="B639" s="2"/>
    </row>
    <row r="640" customFormat="false" ht="15.75" hidden="false" customHeight="false" outlineLevel="0" collapsed="false">
      <c r="A640" s="2"/>
      <c r="B640" s="2"/>
    </row>
    <row r="641" customFormat="false" ht="15.75" hidden="false" customHeight="false" outlineLevel="0" collapsed="false">
      <c r="A641" s="2"/>
      <c r="B641" s="2"/>
    </row>
    <row r="642" customFormat="false" ht="15.75" hidden="false" customHeight="false" outlineLevel="0" collapsed="false">
      <c r="A642" s="2"/>
      <c r="B642" s="2"/>
    </row>
    <row r="643" customFormat="false" ht="15.75" hidden="false" customHeight="false" outlineLevel="0" collapsed="false">
      <c r="A643" s="2"/>
      <c r="B643" s="2"/>
    </row>
    <row r="644" customFormat="false" ht="15.75" hidden="false" customHeight="false" outlineLevel="0" collapsed="false">
      <c r="A644" s="2"/>
      <c r="B644" s="2"/>
    </row>
    <row r="645" customFormat="false" ht="15.75" hidden="false" customHeight="false" outlineLevel="0" collapsed="false">
      <c r="A645" s="2"/>
      <c r="B645" s="2"/>
    </row>
    <row r="646" customFormat="false" ht="15.75" hidden="false" customHeight="false" outlineLevel="0" collapsed="false">
      <c r="A646" s="2"/>
      <c r="B646" s="2"/>
    </row>
    <row r="647" customFormat="false" ht="15.75" hidden="false" customHeight="false" outlineLevel="0" collapsed="false">
      <c r="A647" s="2"/>
      <c r="B647" s="2"/>
    </row>
    <row r="648" customFormat="false" ht="15.75" hidden="false" customHeight="false" outlineLevel="0" collapsed="false">
      <c r="A648" s="2"/>
      <c r="B648" s="2"/>
    </row>
    <row r="649" customFormat="false" ht="15.75" hidden="false" customHeight="false" outlineLevel="0" collapsed="false">
      <c r="A649" s="2"/>
      <c r="B649" s="2"/>
    </row>
    <row r="650" customFormat="false" ht="15.75" hidden="false" customHeight="false" outlineLevel="0" collapsed="false">
      <c r="A650" s="2"/>
      <c r="B650" s="2"/>
    </row>
    <row r="651" customFormat="false" ht="15.75" hidden="false" customHeight="false" outlineLevel="0" collapsed="false">
      <c r="A651" s="2"/>
      <c r="B651" s="2"/>
    </row>
    <row r="652" customFormat="false" ht="15.75" hidden="false" customHeight="false" outlineLevel="0" collapsed="false">
      <c r="A652" s="2"/>
      <c r="B652" s="2"/>
    </row>
    <row r="653" customFormat="false" ht="15.75" hidden="false" customHeight="false" outlineLevel="0" collapsed="false">
      <c r="A653" s="2"/>
      <c r="B653" s="2"/>
    </row>
    <row r="654" customFormat="false" ht="15.75" hidden="false" customHeight="false" outlineLevel="0" collapsed="false">
      <c r="A654" s="2"/>
      <c r="B654" s="2"/>
    </row>
    <row r="655" customFormat="false" ht="15.75" hidden="false" customHeight="false" outlineLevel="0" collapsed="false">
      <c r="A655" s="2"/>
      <c r="B655" s="2"/>
    </row>
    <row r="656" customFormat="false" ht="15.75" hidden="false" customHeight="false" outlineLevel="0" collapsed="false">
      <c r="A656" s="2"/>
      <c r="B656" s="2"/>
    </row>
    <row r="657" customFormat="false" ht="15.75" hidden="false" customHeight="false" outlineLevel="0" collapsed="false">
      <c r="A657" s="2"/>
      <c r="B657" s="2"/>
    </row>
    <row r="658" customFormat="false" ht="15.75" hidden="false" customHeight="false" outlineLevel="0" collapsed="false">
      <c r="A658" s="2"/>
      <c r="B658" s="2"/>
    </row>
    <row r="659" customFormat="false" ht="15.75" hidden="false" customHeight="false" outlineLevel="0" collapsed="false">
      <c r="A659" s="2"/>
      <c r="B659" s="2"/>
    </row>
    <row r="660" customFormat="false" ht="15.75" hidden="false" customHeight="false" outlineLevel="0" collapsed="false">
      <c r="A660" s="2"/>
      <c r="B660" s="2"/>
    </row>
    <row r="661" customFormat="false" ht="15.75" hidden="false" customHeight="false" outlineLevel="0" collapsed="false">
      <c r="A661" s="2"/>
      <c r="B661" s="2"/>
    </row>
    <row r="662" customFormat="false" ht="15.75" hidden="false" customHeight="false" outlineLevel="0" collapsed="false">
      <c r="A662" s="2"/>
      <c r="B662" s="2"/>
    </row>
    <row r="663" customFormat="false" ht="15.75" hidden="false" customHeight="false" outlineLevel="0" collapsed="false">
      <c r="A663" s="2"/>
      <c r="B663" s="2"/>
    </row>
    <row r="664" customFormat="false" ht="15.75" hidden="false" customHeight="false" outlineLevel="0" collapsed="false">
      <c r="A664" s="2"/>
      <c r="B664" s="2"/>
    </row>
    <row r="665" customFormat="false" ht="15.75" hidden="false" customHeight="false" outlineLevel="0" collapsed="false">
      <c r="A665" s="2"/>
      <c r="B665" s="2"/>
    </row>
    <row r="666" customFormat="false" ht="15.75" hidden="false" customHeight="false" outlineLevel="0" collapsed="false">
      <c r="A666" s="2"/>
      <c r="B666" s="2"/>
    </row>
    <row r="667" customFormat="false" ht="15.75" hidden="false" customHeight="false" outlineLevel="0" collapsed="false">
      <c r="A667" s="2"/>
      <c r="B667" s="2"/>
    </row>
    <row r="668" customFormat="false" ht="15.75" hidden="false" customHeight="false" outlineLevel="0" collapsed="false">
      <c r="A668" s="2"/>
      <c r="B668" s="2"/>
    </row>
    <row r="669" customFormat="false" ht="15.75" hidden="false" customHeight="false" outlineLevel="0" collapsed="false">
      <c r="A669" s="2"/>
      <c r="B669" s="2"/>
    </row>
    <row r="670" customFormat="false" ht="15.75" hidden="false" customHeight="false" outlineLevel="0" collapsed="false">
      <c r="A670" s="2"/>
      <c r="B670" s="2"/>
    </row>
    <row r="671" customFormat="false" ht="15.75" hidden="false" customHeight="false" outlineLevel="0" collapsed="false">
      <c r="A671" s="2"/>
      <c r="B671" s="2"/>
    </row>
    <row r="672" customFormat="false" ht="15.75" hidden="false" customHeight="false" outlineLevel="0" collapsed="false">
      <c r="A672" s="2"/>
      <c r="B672" s="2"/>
    </row>
    <row r="673" customFormat="false" ht="15.75" hidden="false" customHeight="false" outlineLevel="0" collapsed="false">
      <c r="A673" s="2"/>
      <c r="B673" s="2"/>
    </row>
    <row r="674" customFormat="false" ht="15.75" hidden="false" customHeight="false" outlineLevel="0" collapsed="false">
      <c r="A674" s="2"/>
      <c r="B674" s="2"/>
    </row>
    <row r="675" customFormat="false" ht="15.75" hidden="false" customHeight="false" outlineLevel="0" collapsed="false">
      <c r="A675" s="2"/>
      <c r="B675" s="2"/>
    </row>
    <row r="676" customFormat="false" ht="15.75" hidden="false" customHeight="false" outlineLevel="0" collapsed="false">
      <c r="A676" s="2"/>
      <c r="B676" s="2"/>
    </row>
    <row r="677" customFormat="false" ht="15.75" hidden="false" customHeight="false" outlineLevel="0" collapsed="false">
      <c r="A677" s="2"/>
      <c r="B677" s="2"/>
    </row>
    <row r="678" customFormat="false" ht="15.75" hidden="false" customHeight="false" outlineLevel="0" collapsed="false">
      <c r="A678" s="2"/>
      <c r="B678" s="2"/>
    </row>
    <row r="679" customFormat="false" ht="15.75" hidden="false" customHeight="false" outlineLevel="0" collapsed="false">
      <c r="A679" s="2"/>
      <c r="B679" s="2"/>
    </row>
    <row r="680" customFormat="false" ht="15.75" hidden="false" customHeight="false" outlineLevel="0" collapsed="false">
      <c r="A680" s="2"/>
      <c r="B680" s="2"/>
    </row>
    <row r="681" customFormat="false" ht="15.75" hidden="false" customHeight="false" outlineLevel="0" collapsed="false">
      <c r="A681" s="2"/>
      <c r="B681" s="2"/>
    </row>
    <row r="682" customFormat="false" ht="15.75" hidden="false" customHeight="false" outlineLevel="0" collapsed="false">
      <c r="A682" s="2"/>
      <c r="B682" s="2"/>
    </row>
    <row r="683" customFormat="false" ht="15.75" hidden="false" customHeight="false" outlineLevel="0" collapsed="false">
      <c r="A683" s="2"/>
      <c r="B683" s="2"/>
    </row>
    <row r="684" customFormat="false" ht="15.75" hidden="false" customHeight="false" outlineLevel="0" collapsed="false">
      <c r="A684" s="2"/>
      <c r="B684" s="2"/>
    </row>
    <row r="685" customFormat="false" ht="15.75" hidden="false" customHeight="false" outlineLevel="0" collapsed="false">
      <c r="A685" s="2"/>
      <c r="B685" s="2"/>
    </row>
    <row r="686" customFormat="false" ht="15.75" hidden="false" customHeight="false" outlineLevel="0" collapsed="false">
      <c r="A686" s="2"/>
      <c r="B686" s="2"/>
    </row>
    <row r="687" customFormat="false" ht="15.75" hidden="false" customHeight="false" outlineLevel="0" collapsed="false">
      <c r="A687" s="2"/>
      <c r="B687" s="2"/>
    </row>
    <row r="688" customFormat="false" ht="15.75" hidden="false" customHeight="false" outlineLevel="0" collapsed="false">
      <c r="A688" s="2"/>
      <c r="B688" s="2"/>
    </row>
    <row r="689" customFormat="false" ht="15.75" hidden="false" customHeight="false" outlineLevel="0" collapsed="false">
      <c r="A689" s="2"/>
      <c r="B689" s="2"/>
    </row>
    <row r="690" customFormat="false" ht="15.75" hidden="false" customHeight="false" outlineLevel="0" collapsed="false">
      <c r="A690" s="2"/>
      <c r="B690" s="2"/>
    </row>
    <row r="691" customFormat="false" ht="15.75" hidden="false" customHeight="false" outlineLevel="0" collapsed="false">
      <c r="A691" s="2"/>
      <c r="B691" s="2"/>
    </row>
    <row r="692" customFormat="false" ht="15.75" hidden="false" customHeight="false" outlineLevel="0" collapsed="false">
      <c r="A692" s="2"/>
      <c r="B692" s="2"/>
    </row>
    <row r="693" customFormat="false" ht="15.75" hidden="false" customHeight="false" outlineLevel="0" collapsed="false">
      <c r="A693" s="2"/>
      <c r="B693" s="2"/>
    </row>
    <row r="694" customFormat="false" ht="15.75" hidden="false" customHeight="false" outlineLevel="0" collapsed="false">
      <c r="A694" s="2"/>
      <c r="B694" s="2"/>
    </row>
    <row r="695" customFormat="false" ht="15.75" hidden="false" customHeight="false" outlineLevel="0" collapsed="false">
      <c r="A695" s="2"/>
      <c r="B695" s="2"/>
    </row>
    <row r="696" customFormat="false" ht="15.75" hidden="false" customHeight="false" outlineLevel="0" collapsed="false">
      <c r="A696" s="2"/>
      <c r="B696" s="2"/>
    </row>
    <row r="697" customFormat="false" ht="15.75" hidden="false" customHeight="false" outlineLevel="0" collapsed="false">
      <c r="A697" s="2"/>
      <c r="B697" s="2"/>
    </row>
    <row r="698" customFormat="false" ht="15.75" hidden="false" customHeight="false" outlineLevel="0" collapsed="false">
      <c r="A698" s="2"/>
      <c r="B698" s="2"/>
    </row>
    <row r="699" customFormat="false" ht="15.75" hidden="false" customHeight="false" outlineLevel="0" collapsed="false">
      <c r="A699" s="2"/>
      <c r="B699" s="2"/>
    </row>
    <row r="700" customFormat="false" ht="15.75" hidden="false" customHeight="false" outlineLevel="0" collapsed="false">
      <c r="A700" s="2"/>
      <c r="B700" s="2"/>
    </row>
    <row r="701" customFormat="false" ht="15.75" hidden="false" customHeight="false" outlineLevel="0" collapsed="false">
      <c r="A701" s="2"/>
      <c r="B701" s="2"/>
    </row>
    <row r="702" customFormat="false" ht="15.75" hidden="false" customHeight="false" outlineLevel="0" collapsed="false">
      <c r="A702" s="2"/>
      <c r="B702" s="2"/>
    </row>
    <row r="703" customFormat="false" ht="15.75" hidden="false" customHeight="false" outlineLevel="0" collapsed="false">
      <c r="A703" s="2"/>
      <c r="B703" s="2"/>
    </row>
    <row r="704" customFormat="false" ht="15.75" hidden="false" customHeight="false" outlineLevel="0" collapsed="false">
      <c r="A704" s="2"/>
      <c r="B704" s="2"/>
    </row>
    <row r="705" customFormat="false" ht="15.75" hidden="false" customHeight="false" outlineLevel="0" collapsed="false">
      <c r="A705" s="2"/>
      <c r="B705" s="2"/>
    </row>
    <row r="706" customFormat="false" ht="15.75" hidden="false" customHeight="false" outlineLevel="0" collapsed="false">
      <c r="A706" s="2"/>
      <c r="B706" s="2"/>
    </row>
    <row r="707" customFormat="false" ht="15.75" hidden="false" customHeight="false" outlineLevel="0" collapsed="false">
      <c r="A707" s="2"/>
      <c r="B707" s="2"/>
    </row>
    <row r="708" customFormat="false" ht="15.75" hidden="false" customHeight="false" outlineLevel="0" collapsed="false">
      <c r="A708" s="2"/>
      <c r="B708" s="2"/>
    </row>
    <row r="709" customFormat="false" ht="15.75" hidden="false" customHeight="false" outlineLevel="0" collapsed="false">
      <c r="A709" s="2"/>
      <c r="B709" s="2"/>
    </row>
    <row r="710" customFormat="false" ht="15.75" hidden="false" customHeight="false" outlineLevel="0" collapsed="false">
      <c r="A710" s="2"/>
      <c r="B710" s="2"/>
    </row>
    <row r="711" customFormat="false" ht="15.75" hidden="false" customHeight="false" outlineLevel="0" collapsed="false">
      <c r="A711" s="2"/>
      <c r="B711" s="2"/>
    </row>
    <row r="712" customFormat="false" ht="15.75" hidden="false" customHeight="false" outlineLevel="0" collapsed="false">
      <c r="A712" s="2"/>
      <c r="B712" s="2"/>
    </row>
    <row r="713" customFormat="false" ht="15.75" hidden="false" customHeight="false" outlineLevel="0" collapsed="false">
      <c r="A713" s="2"/>
      <c r="B713" s="2"/>
    </row>
    <row r="714" customFormat="false" ht="15.75" hidden="false" customHeight="false" outlineLevel="0" collapsed="false">
      <c r="A714" s="2"/>
      <c r="B714" s="2"/>
    </row>
    <row r="715" customFormat="false" ht="15.75" hidden="false" customHeight="false" outlineLevel="0" collapsed="false">
      <c r="A715" s="2"/>
      <c r="B715" s="2"/>
    </row>
    <row r="716" customFormat="false" ht="15.75" hidden="false" customHeight="false" outlineLevel="0" collapsed="false">
      <c r="A716" s="2"/>
      <c r="B716" s="2"/>
    </row>
    <row r="717" customFormat="false" ht="15.75" hidden="false" customHeight="false" outlineLevel="0" collapsed="false">
      <c r="A717" s="2"/>
      <c r="B717" s="2"/>
    </row>
    <row r="718" customFormat="false" ht="15.75" hidden="false" customHeight="false" outlineLevel="0" collapsed="false">
      <c r="A718" s="2"/>
      <c r="B718" s="2"/>
    </row>
    <row r="719" customFormat="false" ht="15.75" hidden="false" customHeight="false" outlineLevel="0" collapsed="false">
      <c r="A719" s="2"/>
      <c r="B719" s="2"/>
    </row>
    <row r="720" customFormat="false" ht="15.75" hidden="false" customHeight="false" outlineLevel="0" collapsed="false">
      <c r="A720" s="2"/>
      <c r="B720" s="2"/>
    </row>
    <row r="721" customFormat="false" ht="15.75" hidden="false" customHeight="false" outlineLevel="0" collapsed="false">
      <c r="A721" s="2"/>
      <c r="B721" s="2"/>
    </row>
    <row r="722" customFormat="false" ht="15.75" hidden="false" customHeight="false" outlineLevel="0" collapsed="false">
      <c r="A722" s="2"/>
      <c r="B722" s="2"/>
    </row>
    <row r="723" customFormat="false" ht="15.75" hidden="false" customHeight="false" outlineLevel="0" collapsed="false">
      <c r="A723" s="2"/>
      <c r="B723" s="2"/>
    </row>
    <row r="724" customFormat="false" ht="15.75" hidden="false" customHeight="false" outlineLevel="0" collapsed="false">
      <c r="A724" s="2"/>
      <c r="B724" s="2"/>
    </row>
    <row r="725" customFormat="false" ht="15.75" hidden="false" customHeight="false" outlineLevel="0" collapsed="false">
      <c r="A725" s="2"/>
      <c r="B725" s="2"/>
    </row>
    <row r="726" customFormat="false" ht="15.75" hidden="false" customHeight="false" outlineLevel="0" collapsed="false">
      <c r="A726" s="2"/>
      <c r="B726" s="2"/>
    </row>
    <row r="727" customFormat="false" ht="15.75" hidden="false" customHeight="false" outlineLevel="0" collapsed="false">
      <c r="A727" s="2"/>
      <c r="B727" s="2"/>
    </row>
    <row r="728" customFormat="false" ht="15.75" hidden="false" customHeight="false" outlineLevel="0" collapsed="false">
      <c r="A728" s="2"/>
      <c r="B728" s="2"/>
    </row>
    <row r="729" customFormat="false" ht="15.75" hidden="false" customHeight="false" outlineLevel="0" collapsed="false">
      <c r="A729" s="2"/>
      <c r="B729" s="2"/>
    </row>
    <row r="730" customFormat="false" ht="15.75" hidden="false" customHeight="false" outlineLevel="0" collapsed="false">
      <c r="A730" s="2"/>
      <c r="B730" s="2"/>
    </row>
    <row r="731" customFormat="false" ht="15.75" hidden="false" customHeight="false" outlineLevel="0" collapsed="false">
      <c r="A731" s="2"/>
      <c r="B731" s="2"/>
    </row>
    <row r="732" customFormat="false" ht="15.75" hidden="false" customHeight="false" outlineLevel="0" collapsed="false">
      <c r="A732" s="2"/>
      <c r="B732" s="2"/>
    </row>
    <row r="733" customFormat="false" ht="15.75" hidden="false" customHeight="false" outlineLevel="0" collapsed="false">
      <c r="A733" s="2"/>
      <c r="B733" s="2"/>
    </row>
    <row r="734" customFormat="false" ht="15.75" hidden="false" customHeight="false" outlineLevel="0" collapsed="false">
      <c r="A734" s="2"/>
      <c r="B734" s="2"/>
    </row>
    <row r="735" customFormat="false" ht="15.75" hidden="false" customHeight="false" outlineLevel="0" collapsed="false">
      <c r="A735" s="2"/>
      <c r="B735" s="2"/>
    </row>
    <row r="736" customFormat="false" ht="15.75" hidden="false" customHeight="false" outlineLevel="0" collapsed="false">
      <c r="A736" s="2"/>
      <c r="B736" s="2"/>
    </row>
    <row r="737" customFormat="false" ht="15.75" hidden="false" customHeight="false" outlineLevel="0" collapsed="false">
      <c r="A737" s="2"/>
      <c r="B737" s="2"/>
    </row>
    <row r="738" customFormat="false" ht="15.75" hidden="false" customHeight="false" outlineLevel="0" collapsed="false">
      <c r="A738" s="2"/>
      <c r="B738" s="2"/>
    </row>
    <row r="739" customFormat="false" ht="15.75" hidden="false" customHeight="false" outlineLevel="0" collapsed="false">
      <c r="A739" s="2"/>
      <c r="B739" s="2"/>
    </row>
    <row r="740" customFormat="false" ht="15.75" hidden="false" customHeight="false" outlineLevel="0" collapsed="false">
      <c r="A740" s="2"/>
      <c r="B740" s="2"/>
    </row>
    <row r="741" customFormat="false" ht="15.75" hidden="false" customHeight="false" outlineLevel="0" collapsed="false">
      <c r="A741" s="2"/>
      <c r="B741" s="2"/>
    </row>
    <row r="742" customFormat="false" ht="15.75" hidden="false" customHeight="false" outlineLevel="0" collapsed="false">
      <c r="A742" s="2"/>
      <c r="B742" s="2"/>
    </row>
    <row r="743" customFormat="false" ht="15.75" hidden="false" customHeight="false" outlineLevel="0" collapsed="false">
      <c r="A743" s="2"/>
      <c r="B743" s="2"/>
    </row>
    <row r="744" customFormat="false" ht="15.75" hidden="false" customHeight="false" outlineLevel="0" collapsed="false">
      <c r="A744" s="2"/>
      <c r="B744" s="2"/>
    </row>
    <row r="745" customFormat="false" ht="15.75" hidden="false" customHeight="false" outlineLevel="0" collapsed="false">
      <c r="A745" s="2"/>
      <c r="B745" s="2"/>
    </row>
    <row r="746" customFormat="false" ht="15.75" hidden="false" customHeight="false" outlineLevel="0" collapsed="false">
      <c r="A746" s="2"/>
      <c r="B746" s="2"/>
    </row>
    <row r="747" customFormat="false" ht="15.75" hidden="false" customHeight="false" outlineLevel="0" collapsed="false">
      <c r="A747" s="2"/>
      <c r="B747" s="2"/>
    </row>
    <row r="748" customFormat="false" ht="15.75" hidden="false" customHeight="false" outlineLevel="0" collapsed="false">
      <c r="A748" s="2"/>
      <c r="B748" s="2"/>
    </row>
    <row r="749" customFormat="false" ht="15.75" hidden="false" customHeight="false" outlineLevel="0" collapsed="false">
      <c r="A749" s="2"/>
      <c r="B749" s="2"/>
    </row>
    <row r="750" customFormat="false" ht="15.75" hidden="false" customHeight="false" outlineLevel="0" collapsed="false">
      <c r="A750" s="2"/>
      <c r="B750" s="2"/>
    </row>
    <row r="751" customFormat="false" ht="15.75" hidden="false" customHeight="false" outlineLevel="0" collapsed="false">
      <c r="A751" s="2"/>
      <c r="B751" s="2"/>
    </row>
    <row r="752" customFormat="false" ht="15.75" hidden="false" customHeight="false" outlineLevel="0" collapsed="false">
      <c r="A752" s="2"/>
      <c r="B752" s="2"/>
    </row>
    <row r="753" customFormat="false" ht="15.75" hidden="false" customHeight="false" outlineLevel="0" collapsed="false">
      <c r="A753" s="2"/>
      <c r="B753" s="2"/>
    </row>
    <row r="754" customFormat="false" ht="15.75" hidden="false" customHeight="false" outlineLevel="0" collapsed="false">
      <c r="A754" s="2"/>
      <c r="B754" s="2"/>
    </row>
    <row r="755" customFormat="false" ht="15.75" hidden="false" customHeight="false" outlineLevel="0" collapsed="false">
      <c r="A755" s="2"/>
      <c r="B755" s="2"/>
    </row>
    <row r="756" customFormat="false" ht="15.75" hidden="false" customHeight="false" outlineLevel="0" collapsed="false">
      <c r="A756" s="2"/>
      <c r="B756" s="2"/>
    </row>
    <row r="757" customFormat="false" ht="15.75" hidden="false" customHeight="false" outlineLevel="0" collapsed="false">
      <c r="A757" s="2"/>
      <c r="B757" s="2"/>
    </row>
    <row r="758" customFormat="false" ht="15.75" hidden="false" customHeight="false" outlineLevel="0" collapsed="false">
      <c r="A758" s="2"/>
      <c r="B758" s="2"/>
    </row>
    <row r="759" customFormat="false" ht="15.75" hidden="false" customHeight="false" outlineLevel="0" collapsed="false">
      <c r="A759" s="2"/>
      <c r="B759" s="2"/>
    </row>
    <row r="760" customFormat="false" ht="15.75" hidden="false" customHeight="false" outlineLevel="0" collapsed="false">
      <c r="A760" s="2"/>
      <c r="B760" s="2"/>
    </row>
    <row r="761" customFormat="false" ht="15.75" hidden="false" customHeight="false" outlineLevel="0" collapsed="false">
      <c r="A761" s="2"/>
      <c r="B761" s="2"/>
    </row>
    <row r="762" customFormat="false" ht="15.75" hidden="false" customHeight="false" outlineLevel="0" collapsed="false">
      <c r="A762" s="2"/>
      <c r="B762" s="2"/>
    </row>
    <row r="763" customFormat="false" ht="15.75" hidden="false" customHeight="false" outlineLevel="0" collapsed="false">
      <c r="A763" s="2"/>
      <c r="B763" s="2"/>
    </row>
    <row r="764" customFormat="false" ht="15.75" hidden="false" customHeight="false" outlineLevel="0" collapsed="false">
      <c r="A764" s="2"/>
      <c r="B764" s="2"/>
    </row>
    <row r="765" customFormat="false" ht="15.75" hidden="false" customHeight="false" outlineLevel="0" collapsed="false">
      <c r="A765" s="2"/>
      <c r="B765" s="2"/>
    </row>
    <row r="766" customFormat="false" ht="15.75" hidden="false" customHeight="false" outlineLevel="0" collapsed="false">
      <c r="A766" s="2"/>
      <c r="B766" s="2"/>
    </row>
    <row r="767" customFormat="false" ht="15.75" hidden="false" customHeight="false" outlineLevel="0" collapsed="false">
      <c r="A767" s="2"/>
      <c r="B767" s="2"/>
    </row>
    <row r="768" customFormat="false" ht="15.75" hidden="false" customHeight="false" outlineLevel="0" collapsed="false">
      <c r="A768" s="2"/>
      <c r="B768" s="2"/>
    </row>
    <row r="769" customFormat="false" ht="15.75" hidden="false" customHeight="false" outlineLevel="0" collapsed="false">
      <c r="A769" s="2"/>
      <c r="B769" s="2"/>
    </row>
    <row r="770" customFormat="false" ht="15.75" hidden="false" customHeight="false" outlineLevel="0" collapsed="false">
      <c r="A770" s="2"/>
      <c r="B770" s="2"/>
    </row>
    <row r="771" customFormat="false" ht="15.75" hidden="false" customHeight="false" outlineLevel="0" collapsed="false">
      <c r="A771" s="2"/>
      <c r="B771" s="2"/>
    </row>
    <row r="772" customFormat="false" ht="15.75" hidden="false" customHeight="false" outlineLevel="0" collapsed="false">
      <c r="A772" s="2"/>
      <c r="B772" s="2"/>
    </row>
    <row r="773" customFormat="false" ht="15.75" hidden="false" customHeight="false" outlineLevel="0" collapsed="false">
      <c r="A773" s="2"/>
      <c r="B773" s="2"/>
    </row>
    <row r="774" customFormat="false" ht="15.75" hidden="false" customHeight="false" outlineLevel="0" collapsed="false">
      <c r="A774" s="2"/>
      <c r="B774" s="2"/>
    </row>
    <row r="775" customFormat="false" ht="15.75" hidden="false" customHeight="false" outlineLevel="0" collapsed="false">
      <c r="A775" s="2"/>
      <c r="B775" s="2"/>
    </row>
    <row r="776" customFormat="false" ht="15.75" hidden="false" customHeight="false" outlineLevel="0" collapsed="false">
      <c r="A776" s="2"/>
      <c r="B776" s="2"/>
    </row>
    <row r="777" customFormat="false" ht="15.75" hidden="false" customHeight="false" outlineLevel="0" collapsed="false">
      <c r="A777" s="2"/>
      <c r="B777" s="2"/>
    </row>
    <row r="778" customFormat="false" ht="15.75" hidden="false" customHeight="false" outlineLevel="0" collapsed="false">
      <c r="A778" s="2"/>
      <c r="B778" s="2"/>
    </row>
    <row r="779" customFormat="false" ht="15.75" hidden="false" customHeight="false" outlineLevel="0" collapsed="false">
      <c r="A779" s="2"/>
      <c r="B779" s="2"/>
    </row>
    <row r="780" customFormat="false" ht="15.75" hidden="false" customHeight="false" outlineLevel="0" collapsed="false">
      <c r="A780" s="2"/>
      <c r="B780" s="2"/>
    </row>
    <row r="781" customFormat="false" ht="15.75" hidden="false" customHeight="false" outlineLevel="0" collapsed="false">
      <c r="A781" s="2"/>
      <c r="B781" s="2"/>
    </row>
    <row r="782" customFormat="false" ht="15.75" hidden="false" customHeight="false" outlineLevel="0" collapsed="false">
      <c r="A782" s="2"/>
      <c r="B782" s="2"/>
    </row>
    <row r="783" customFormat="false" ht="15.75" hidden="false" customHeight="false" outlineLevel="0" collapsed="false">
      <c r="A783" s="2"/>
      <c r="B783" s="2"/>
    </row>
    <row r="784" customFormat="false" ht="15.75" hidden="false" customHeight="false" outlineLevel="0" collapsed="false">
      <c r="A784" s="2"/>
      <c r="B784" s="2"/>
    </row>
    <row r="785" customFormat="false" ht="15.75" hidden="false" customHeight="false" outlineLevel="0" collapsed="false">
      <c r="A785" s="2"/>
      <c r="B785" s="2"/>
    </row>
    <row r="786" customFormat="false" ht="15.75" hidden="false" customHeight="false" outlineLevel="0" collapsed="false">
      <c r="A786" s="2"/>
      <c r="B786" s="2"/>
    </row>
    <row r="787" customFormat="false" ht="15.75" hidden="false" customHeight="false" outlineLevel="0" collapsed="false">
      <c r="A787" s="2"/>
      <c r="B787" s="2"/>
    </row>
    <row r="788" customFormat="false" ht="15.75" hidden="false" customHeight="false" outlineLevel="0" collapsed="false">
      <c r="A788" s="2"/>
      <c r="B788" s="2"/>
    </row>
    <row r="789" customFormat="false" ht="15.75" hidden="false" customHeight="false" outlineLevel="0" collapsed="false">
      <c r="A789" s="2"/>
      <c r="B789" s="2"/>
    </row>
    <row r="790" customFormat="false" ht="15.75" hidden="false" customHeight="false" outlineLevel="0" collapsed="false">
      <c r="A790" s="2"/>
      <c r="B790" s="2"/>
    </row>
    <row r="791" customFormat="false" ht="15.75" hidden="false" customHeight="false" outlineLevel="0" collapsed="false">
      <c r="A791" s="2"/>
      <c r="B791" s="2"/>
    </row>
    <row r="792" customFormat="false" ht="15.75" hidden="false" customHeight="false" outlineLevel="0" collapsed="false">
      <c r="A792" s="2"/>
      <c r="B792" s="2"/>
    </row>
    <row r="793" customFormat="false" ht="15.75" hidden="false" customHeight="false" outlineLevel="0" collapsed="false">
      <c r="A793" s="2"/>
      <c r="B793" s="2"/>
    </row>
    <row r="794" customFormat="false" ht="15.75" hidden="false" customHeight="false" outlineLevel="0" collapsed="false">
      <c r="A794" s="2"/>
      <c r="B794" s="2"/>
    </row>
    <row r="795" customFormat="false" ht="15.75" hidden="false" customHeight="false" outlineLevel="0" collapsed="false">
      <c r="A795" s="2"/>
      <c r="B795" s="2"/>
    </row>
    <row r="796" customFormat="false" ht="15.75" hidden="false" customHeight="false" outlineLevel="0" collapsed="false">
      <c r="A796" s="2"/>
      <c r="B796" s="2"/>
    </row>
    <row r="797" customFormat="false" ht="15.75" hidden="false" customHeight="false" outlineLevel="0" collapsed="false">
      <c r="A797" s="2"/>
      <c r="B797" s="2"/>
    </row>
    <row r="798" customFormat="false" ht="15.75" hidden="false" customHeight="false" outlineLevel="0" collapsed="false">
      <c r="A798" s="2"/>
      <c r="B798" s="2"/>
    </row>
    <row r="799" customFormat="false" ht="15.75" hidden="false" customHeight="false" outlineLevel="0" collapsed="false">
      <c r="A799" s="2"/>
      <c r="B799" s="2"/>
    </row>
    <row r="800" customFormat="false" ht="15.75" hidden="false" customHeight="false" outlineLevel="0" collapsed="false">
      <c r="A800" s="2"/>
      <c r="B800" s="2"/>
    </row>
    <row r="801" customFormat="false" ht="15.75" hidden="false" customHeight="false" outlineLevel="0" collapsed="false">
      <c r="A801" s="2"/>
      <c r="B801" s="2"/>
    </row>
    <row r="802" customFormat="false" ht="15.75" hidden="false" customHeight="false" outlineLevel="0" collapsed="false">
      <c r="A802" s="2"/>
      <c r="B802" s="2"/>
    </row>
    <row r="803" customFormat="false" ht="15.75" hidden="false" customHeight="false" outlineLevel="0" collapsed="false">
      <c r="A803" s="2"/>
      <c r="B803" s="2"/>
    </row>
    <row r="804" customFormat="false" ht="15.75" hidden="false" customHeight="false" outlineLevel="0" collapsed="false">
      <c r="A804" s="2"/>
      <c r="B804" s="2"/>
    </row>
    <row r="805" customFormat="false" ht="15.75" hidden="false" customHeight="false" outlineLevel="0" collapsed="false">
      <c r="A805" s="2"/>
      <c r="B805" s="2"/>
    </row>
    <row r="806" customFormat="false" ht="15.75" hidden="false" customHeight="false" outlineLevel="0" collapsed="false">
      <c r="A806" s="2"/>
      <c r="B806" s="2"/>
    </row>
    <row r="807" customFormat="false" ht="15.75" hidden="false" customHeight="false" outlineLevel="0" collapsed="false">
      <c r="A807" s="2"/>
      <c r="B807" s="2"/>
    </row>
    <row r="808" customFormat="false" ht="15.75" hidden="false" customHeight="false" outlineLevel="0" collapsed="false">
      <c r="A808" s="2"/>
      <c r="B808" s="2"/>
    </row>
    <row r="809" customFormat="false" ht="15.75" hidden="false" customHeight="false" outlineLevel="0" collapsed="false">
      <c r="A809" s="2"/>
      <c r="B809" s="2"/>
    </row>
    <row r="810" customFormat="false" ht="15.75" hidden="false" customHeight="false" outlineLevel="0" collapsed="false">
      <c r="A810" s="2"/>
      <c r="B810" s="2"/>
    </row>
    <row r="811" customFormat="false" ht="15.75" hidden="false" customHeight="false" outlineLevel="0" collapsed="false">
      <c r="A811" s="2"/>
      <c r="B811" s="2"/>
    </row>
    <row r="812" customFormat="false" ht="15.75" hidden="false" customHeight="false" outlineLevel="0" collapsed="false">
      <c r="A812" s="2"/>
      <c r="B812" s="2"/>
    </row>
    <row r="813" customFormat="false" ht="15.75" hidden="false" customHeight="false" outlineLevel="0" collapsed="false">
      <c r="A813" s="2"/>
      <c r="B813" s="2"/>
    </row>
    <row r="814" customFormat="false" ht="15.75" hidden="false" customHeight="false" outlineLevel="0" collapsed="false">
      <c r="A814" s="2"/>
      <c r="B814" s="2"/>
    </row>
    <row r="815" customFormat="false" ht="15.75" hidden="false" customHeight="false" outlineLevel="0" collapsed="false">
      <c r="A815" s="2"/>
      <c r="B815" s="2"/>
    </row>
    <row r="816" customFormat="false" ht="15.75" hidden="false" customHeight="false" outlineLevel="0" collapsed="false">
      <c r="A816" s="2"/>
      <c r="B816" s="2"/>
    </row>
    <row r="817" customFormat="false" ht="15.75" hidden="false" customHeight="false" outlineLevel="0" collapsed="false">
      <c r="A817" s="2"/>
      <c r="B817" s="2"/>
    </row>
    <row r="818" customFormat="false" ht="15.75" hidden="false" customHeight="false" outlineLevel="0" collapsed="false">
      <c r="A818" s="2"/>
      <c r="B818" s="2"/>
    </row>
    <row r="819" customFormat="false" ht="15.75" hidden="false" customHeight="false" outlineLevel="0" collapsed="false">
      <c r="A819" s="2"/>
      <c r="B819" s="2"/>
    </row>
    <row r="820" customFormat="false" ht="15.75" hidden="false" customHeight="false" outlineLevel="0" collapsed="false">
      <c r="A820" s="2"/>
      <c r="B820" s="2"/>
    </row>
    <row r="821" customFormat="false" ht="15.75" hidden="false" customHeight="false" outlineLevel="0" collapsed="false">
      <c r="A821" s="2"/>
      <c r="B821" s="2"/>
    </row>
    <row r="822" customFormat="false" ht="15.75" hidden="false" customHeight="false" outlineLevel="0" collapsed="false">
      <c r="A822" s="2"/>
      <c r="B822" s="2"/>
    </row>
    <row r="823" customFormat="false" ht="15.75" hidden="false" customHeight="false" outlineLevel="0" collapsed="false">
      <c r="A823" s="2"/>
      <c r="B823" s="2"/>
    </row>
    <row r="824" customFormat="false" ht="15.75" hidden="false" customHeight="false" outlineLevel="0" collapsed="false">
      <c r="A824" s="2"/>
      <c r="B824" s="2"/>
    </row>
    <row r="825" customFormat="false" ht="15.75" hidden="false" customHeight="false" outlineLevel="0" collapsed="false">
      <c r="A825" s="2"/>
      <c r="B825" s="2"/>
    </row>
    <row r="826" customFormat="false" ht="15.75" hidden="false" customHeight="false" outlineLevel="0" collapsed="false">
      <c r="A826" s="2"/>
      <c r="B826" s="2"/>
    </row>
    <row r="827" customFormat="false" ht="15.75" hidden="false" customHeight="false" outlineLevel="0" collapsed="false">
      <c r="A827" s="2"/>
      <c r="B827" s="2"/>
    </row>
    <row r="828" customFormat="false" ht="15.75" hidden="false" customHeight="false" outlineLevel="0" collapsed="false">
      <c r="A828" s="2"/>
      <c r="B828" s="2"/>
    </row>
    <row r="829" customFormat="false" ht="15.75" hidden="false" customHeight="false" outlineLevel="0" collapsed="false">
      <c r="A829" s="2"/>
      <c r="B829" s="2"/>
    </row>
    <row r="830" customFormat="false" ht="15.75" hidden="false" customHeight="false" outlineLevel="0" collapsed="false">
      <c r="A830" s="2"/>
      <c r="B830" s="2"/>
    </row>
    <row r="831" customFormat="false" ht="15.75" hidden="false" customHeight="false" outlineLevel="0" collapsed="false">
      <c r="A831" s="2"/>
      <c r="B831" s="2"/>
    </row>
    <row r="832" customFormat="false" ht="15.75" hidden="false" customHeight="false" outlineLevel="0" collapsed="false">
      <c r="A832" s="2"/>
      <c r="B832" s="2"/>
    </row>
    <row r="833" customFormat="false" ht="15.75" hidden="false" customHeight="false" outlineLevel="0" collapsed="false">
      <c r="A833" s="2"/>
      <c r="B833" s="2"/>
    </row>
    <row r="834" customFormat="false" ht="15.75" hidden="false" customHeight="false" outlineLevel="0" collapsed="false">
      <c r="A834" s="2"/>
      <c r="B834" s="2"/>
    </row>
    <row r="835" customFormat="false" ht="15.75" hidden="false" customHeight="false" outlineLevel="0" collapsed="false">
      <c r="A835" s="2"/>
      <c r="B835" s="2"/>
    </row>
    <row r="836" customFormat="false" ht="15.75" hidden="false" customHeight="false" outlineLevel="0" collapsed="false">
      <c r="A836" s="2"/>
      <c r="B836" s="2"/>
    </row>
    <row r="837" customFormat="false" ht="15.75" hidden="false" customHeight="false" outlineLevel="0" collapsed="false">
      <c r="A837" s="2"/>
      <c r="B837" s="2"/>
    </row>
    <row r="838" customFormat="false" ht="15.75" hidden="false" customHeight="false" outlineLevel="0" collapsed="false">
      <c r="A838" s="2"/>
      <c r="B838" s="2"/>
    </row>
    <row r="839" customFormat="false" ht="15.75" hidden="false" customHeight="false" outlineLevel="0" collapsed="false">
      <c r="A839" s="2"/>
      <c r="B839" s="2"/>
    </row>
    <row r="840" customFormat="false" ht="15.75" hidden="false" customHeight="false" outlineLevel="0" collapsed="false">
      <c r="A840" s="2"/>
      <c r="B840" s="2"/>
    </row>
    <row r="841" customFormat="false" ht="15.75" hidden="false" customHeight="false" outlineLevel="0" collapsed="false">
      <c r="A841" s="2"/>
      <c r="B841" s="2"/>
    </row>
    <row r="842" customFormat="false" ht="15.75" hidden="false" customHeight="false" outlineLevel="0" collapsed="false">
      <c r="A842" s="2"/>
      <c r="B842" s="2"/>
    </row>
    <row r="843" customFormat="false" ht="15.75" hidden="false" customHeight="false" outlineLevel="0" collapsed="false">
      <c r="A843" s="2"/>
      <c r="B843" s="2"/>
    </row>
    <row r="844" customFormat="false" ht="15.75" hidden="false" customHeight="false" outlineLevel="0" collapsed="false">
      <c r="A844" s="2"/>
      <c r="B844" s="2"/>
    </row>
    <row r="845" customFormat="false" ht="15.75" hidden="false" customHeight="false" outlineLevel="0" collapsed="false">
      <c r="A845" s="2"/>
      <c r="B845" s="2"/>
    </row>
    <row r="846" customFormat="false" ht="15.75" hidden="false" customHeight="false" outlineLevel="0" collapsed="false">
      <c r="A846" s="2"/>
      <c r="B846" s="2"/>
    </row>
    <row r="847" customFormat="false" ht="15.75" hidden="false" customHeight="false" outlineLevel="0" collapsed="false">
      <c r="A847" s="2"/>
      <c r="B847" s="2"/>
    </row>
    <row r="848" customFormat="false" ht="15.75" hidden="false" customHeight="false" outlineLevel="0" collapsed="false">
      <c r="A848" s="2"/>
      <c r="B848" s="2"/>
    </row>
    <row r="849" customFormat="false" ht="15.75" hidden="false" customHeight="false" outlineLevel="0" collapsed="false">
      <c r="A849" s="2"/>
      <c r="B849" s="2"/>
    </row>
    <row r="850" customFormat="false" ht="15.75" hidden="false" customHeight="false" outlineLevel="0" collapsed="false">
      <c r="A850" s="2"/>
      <c r="B850" s="2"/>
    </row>
    <row r="851" customFormat="false" ht="15.75" hidden="false" customHeight="false" outlineLevel="0" collapsed="false">
      <c r="A851" s="2"/>
      <c r="B851" s="2"/>
    </row>
    <row r="852" customFormat="false" ht="15.75" hidden="false" customHeight="false" outlineLevel="0" collapsed="false">
      <c r="A852" s="2"/>
      <c r="B852" s="2"/>
    </row>
    <row r="853" customFormat="false" ht="15.75" hidden="false" customHeight="false" outlineLevel="0" collapsed="false">
      <c r="A853" s="2"/>
      <c r="B853" s="2"/>
    </row>
    <row r="854" customFormat="false" ht="15.75" hidden="false" customHeight="false" outlineLevel="0" collapsed="false">
      <c r="A854" s="2"/>
      <c r="B854" s="2"/>
    </row>
    <row r="855" customFormat="false" ht="15.75" hidden="false" customHeight="false" outlineLevel="0" collapsed="false">
      <c r="A855" s="2"/>
      <c r="B855" s="2"/>
    </row>
    <row r="856" customFormat="false" ht="15.75" hidden="false" customHeight="false" outlineLevel="0" collapsed="false">
      <c r="A856" s="2"/>
      <c r="B856" s="2"/>
    </row>
    <row r="857" customFormat="false" ht="15.75" hidden="false" customHeight="false" outlineLevel="0" collapsed="false">
      <c r="A857" s="2"/>
      <c r="B857" s="2"/>
    </row>
    <row r="858" customFormat="false" ht="15.75" hidden="false" customHeight="false" outlineLevel="0" collapsed="false">
      <c r="A858" s="2"/>
      <c r="B858" s="2"/>
    </row>
    <row r="859" customFormat="false" ht="15.75" hidden="false" customHeight="false" outlineLevel="0" collapsed="false">
      <c r="A859" s="2"/>
      <c r="B859" s="2"/>
    </row>
    <row r="860" customFormat="false" ht="15.75" hidden="false" customHeight="false" outlineLevel="0" collapsed="false">
      <c r="A860" s="2"/>
      <c r="B860" s="2"/>
    </row>
    <row r="861" customFormat="false" ht="15.75" hidden="false" customHeight="false" outlineLevel="0" collapsed="false">
      <c r="A861" s="2"/>
      <c r="B861" s="2"/>
    </row>
    <row r="862" customFormat="false" ht="15.75" hidden="false" customHeight="false" outlineLevel="0" collapsed="false">
      <c r="A862" s="2"/>
      <c r="B862" s="2"/>
    </row>
    <row r="863" customFormat="false" ht="15.75" hidden="false" customHeight="false" outlineLevel="0" collapsed="false">
      <c r="A863" s="2"/>
      <c r="B863" s="2"/>
    </row>
    <row r="864" customFormat="false" ht="15.75" hidden="false" customHeight="false" outlineLevel="0" collapsed="false">
      <c r="A864" s="2"/>
      <c r="B864" s="2"/>
    </row>
    <row r="865" customFormat="false" ht="15.75" hidden="false" customHeight="false" outlineLevel="0" collapsed="false">
      <c r="A865" s="2"/>
      <c r="B865" s="2"/>
    </row>
    <row r="866" customFormat="false" ht="15.75" hidden="false" customHeight="false" outlineLevel="0" collapsed="false">
      <c r="A866" s="2"/>
      <c r="B866" s="2"/>
    </row>
    <row r="867" customFormat="false" ht="15.75" hidden="false" customHeight="false" outlineLevel="0" collapsed="false">
      <c r="A867" s="2"/>
      <c r="B867" s="2"/>
    </row>
    <row r="868" customFormat="false" ht="15.75" hidden="false" customHeight="false" outlineLevel="0" collapsed="false">
      <c r="A868" s="2"/>
      <c r="B868" s="2"/>
    </row>
    <row r="869" customFormat="false" ht="15.75" hidden="false" customHeight="false" outlineLevel="0" collapsed="false">
      <c r="A869" s="2"/>
      <c r="B869" s="2"/>
    </row>
    <row r="870" customFormat="false" ht="15.75" hidden="false" customHeight="false" outlineLevel="0" collapsed="false">
      <c r="A870" s="2"/>
      <c r="B870" s="2"/>
    </row>
    <row r="871" customFormat="false" ht="15.75" hidden="false" customHeight="false" outlineLevel="0" collapsed="false">
      <c r="A871" s="2"/>
      <c r="B871" s="2"/>
    </row>
    <row r="872" customFormat="false" ht="15.75" hidden="false" customHeight="false" outlineLevel="0" collapsed="false">
      <c r="A872" s="2"/>
      <c r="B872" s="2"/>
    </row>
    <row r="873" customFormat="false" ht="15.75" hidden="false" customHeight="false" outlineLevel="0" collapsed="false">
      <c r="A873" s="2"/>
      <c r="B873" s="2"/>
    </row>
    <row r="874" customFormat="false" ht="15.75" hidden="false" customHeight="false" outlineLevel="0" collapsed="false">
      <c r="A874" s="2"/>
      <c r="B874" s="2"/>
    </row>
    <row r="875" customFormat="false" ht="15.75" hidden="false" customHeight="false" outlineLevel="0" collapsed="false">
      <c r="A875" s="2"/>
      <c r="B875" s="2"/>
    </row>
    <row r="876" customFormat="false" ht="15.75" hidden="false" customHeight="false" outlineLevel="0" collapsed="false">
      <c r="A876" s="2"/>
      <c r="B876" s="2"/>
    </row>
    <row r="877" customFormat="false" ht="15.75" hidden="false" customHeight="false" outlineLevel="0" collapsed="false">
      <c r="A877" s="2"/>
      <c r="B877" s="2"/>
    </row>
    <row r="878" customFormat="false" ht="15.75" hidden="false" customHeight="false" outlineLevel="0" collapsed="false">
      <c r="A878" s="2"/>
      <c r="B878" s="2"/>
    </row>
    <row r="879" customFormat="false" ht="15.75" hidden="false" customHeight="false" outlineLevel="0" collapsed="false">
      <c r="A879" s="2"/>
      <c r="B879" s="2"/>
    </row>
    <row r="880" customFormat="false" ht="15.75" hidden="false" customHeight="false" outlineLevel="0" collapsed="false">
      <c r="A880" s="2"/>
      <c r="B880" s="2"/>
    </row>
    <row r="881" customFormat="false" ht="15.75" hidden="false" customHeight="false" outlineLevel="0" collapsed="false">
      <c r="A881" s="2"/>
      <c r="B881" s="2"/>
    </row>
    <row r="882" customFormat="false" ht="15.75" hidden="false" customHeight="false" outlineLevel="0" collapsed="false">
      <c r="A882" s="2"/>
      <c r="B882" s="2"/>
    </row>
    <row r="883" customFormat="false" ht="15.75" hidden="false" customHeight="false" outlineLevel="0" collapsed="false">
      <c r="A883" s="2"/>
      <c r="B883" s="2"/>
    </row>
    <row r="884" customFormat="false" ht="15.75" hidden="false" customHeight="false" outlineLevel="0" collapsed="false">
      <c r="A884" s="2"/>
      <c r="B884" s="2"/>
    </row>
    <row r="885" customFormat="false" ht="15.75" hidden="false" customHeight="false" outlineLevel="0" collapsed="false">
      <c r="A885" s="2"/>
      <c r="B885" s="2"/>
    </row>
    <row r="886" customFormat="false" ht="15.75" hidden="false" customHeight="false" outlineLevel="0" collapsed="false">
      <c r="A886" s="2"/>
      <c r="B886" s="2"/>
    </row>
    <row r="887" customFormat="false" ht="15.75" hidden="false" customHeight="false" outlineLevel="0" collapsed="false">
      <c r="A887" s="2"/>
      <c r="B887" s="2"/>
    </row>
    <row r="888" customFormat="false" ht="15.75" hidden="false" customHeight="false" outlineLevel="0" collapsed="false">
      <c r="A888" s="2"/>
      <c r="B888" s="2"/>
    </row>
    <row r="889" customFormat="false" ht="15.75" hidden="false" customHeight="false" outlineLevel="0" collapsed="false">
      <c r="A889" s="2"/>
      <c r="B889" s="2"/>
    </row>
    <row r="890" customFormat="false" ht="15.75" hidden="false" customHeight="false" outlineLevel="0" collapsed="false">
      <c r="A890" s="2"/>
      <c r="B890" s="2"/>
    </row>
    <row r="891" customFormat="false" ht="15.75" hidden="false" customHeight="false" outlineLevel="0" collapsed="false">
      <c r="A891" s="2"/>
      <c r="B891" s="2"/>
    </row>
    <row r="892" customFormat="false" ht="15.75" hidden="false" customHeight="false" outlineLevel="0" collapsed="false">
      <c r="A892" s="2"/>
      <c r="B892" s="2"/>
    </row>
    <row r="893" customFormat="false" ht="15.75" hidden="false" customHeight="false" outlineLevel="0" collapsed="false">
      <c r="A893" s="2"/>
      <c r="B893" s="2"/>
    </row>
    <row r="894" customFormat="false" ht="15.75" hidden="false" customHeight="false" outlineLevel="0" collapsed="false">
      <c r="A894" s="2"/>
      <c r="B894" s="2"/>
    </row>
    <row r="895" customFormat="false" ht="15.75" hidden="false" customHeight="false" outlineLevel="0" collapsed="false">
      <c r="A895" s="2"/>
      <c r="B895" s="2"/>
    </row>
    <row r="896" customFormat="false" ht="15.75" hidden="false" customHeight="false" outlineLevel="0" collapsed="false">
      <c r="A896" s="2"/>
      <c r="B896" s="2"/>
    </row>
    <row r="897" customFormat="false" ht="15.75" hidden="false" customHeight="false" outlineLevel="0" collapsed="false">
      <c r="A897" s="2"/>
      <c r="B897" s="2"/>
    </row>
    <row r="898" customFormat="false" ht="15.75" hidden="false" customHeight="false" outlineLevel="0" collapsed="false">
      <c r="A898" s="2"/>
      <c r="B898" s="2"/>
    </row>
    <row r="899" customFormat="false" ht="15.75" hidden="false" customHeight="false" outlineLevel="0" collapsed="false">
      <c r="A899" s="2"/>
      <c r="B899" s="2"/>
    </row>
    <row r="900" customFormat="false" ht="15.75" hidden="false" customHeight="false" outlineLevel="0" collapsed="false">
      <c r="A900" s="2"/>
      <c r="B900" s="2"/>
    </row>
    <row r="901" customFormat="false" ht="15.75" hidden="false" customHeight="false" outlineLevel="0" collapsed="false">
      <c r="A901" s="2"/>
      <c r="B901" s="2"/>
    </row>
    <row r="902" customFormat="false" ht="15.75" hidden="false" customHeight="false" outlineLevel="0" collapsed="false">
      <c r="A902" s="2"/>
      <c r="B902" s="2"/>
    </row>
    <row r="903" customFormat="false" ht="15.75" hidden="false" customHeight="false" outlineLevel="0" collapsed="false">
      <c r="A903" s="2"/>
      <c r="B903" s="2"/>
    </row>
    <row r="904" customFormat="false" ht="15.75" hidden="false" customHeight="false" outlineLevel="0" collapsed="false">
      <c r="A904" s="2"/>
      <c r="B904" s="2"/>
    </row>
    <row r="905" customFormat="false" ht="15.75" hidden="false" customHeight="false" outlineLevel="0" collapsed="false">
      <c r="A905" s="2"/>
      <c r="B905" s="2"/>
    </row>
    <row r="906" customFormat="false" ht="15.75" hidden="false" customHeight="false" outlineLevel="0" collapsed="false">
      <c r="A906" s="2"/>
      <c r="B906" s="2"/>
    </row>
    <row r="907" customFormat="false" ht="15.75" hidden="false" customHeight="false" outlineLevel="0" collapsed="false">
      <c r="A907" s="2"/>
      <c r="B907" s="2"/>
    </row>
    <row r="908" customFormat="false" ht="15.75" hidden="false" customHeight="false" outlineLevel="0" collapsed="false">
      <c r="A908" s="2"/>
      <c r="B908" s="2"/>
    </row>
    <row r="909" customFormat="false" ht="15.75" hidden="false" customHeight="false" outlineLevel="0" collapsed="false">
      <c r="A909" s="2"/>
      <c r="B909" s="2"/>
    </row>
    <row r="910" customFormat="false" ht="15.75" hidden="false" customHeight="false" outlineLevel="0" collapsed="false">
      <c r="A910" s="2"/>
      <c r="B910" s="2"/>
    </row>
    <row r="911" customFormat="false" ht="15.75" hidden="false" customHeight="false" outlineLevel="0" collapsed="false">
      <c r="A911" s="2"/>
      <c r="B911" s="2"/>
    </row>
    <row r="912" customFormat="false" ht="15.75" hidden="false" customHeight="false" outlineLevel="0" collapsed="false">
      <c r="A912" s="2"/>
      <c r="B912" s="2"/>
    </row>
    <row r="913" customFormat="false" ht="15.75" hidden="false" customHeight="false" outlineLevel="0" collapsed="false">
      <c r="A913" s="2"/>
      <c r="B913" s="2"/>
    </row>
    <row r="914" customFormat="false" ht="15.75" hidden="false" customHeight="false" outlineLevel="0" collapsed="false">
      <c r="A914" s="2"/>
      <c r="B914" s="2"/>
    </row>
    <row r="915" customFormat="false" ht="15.75" hidden="false" customHeight="false" outlineLevel="0" collapsed="false">
      <c r="A915" s="2"/>
      <c r="B915" s="2"/>
    </row>
    <row r="916" customFormat="false" ht="15.75" hidden="false" customHeight="false" outlineLevel="0" collapsed="false">
      <c r="A916" s="2"/>
      <c r="B916" s="2"/>
    </row>
    <row r="917" customFormat="false" ht="15.75" hidden="false" customHeight="false" outlineLevel="0" collapsed="false">
      <c r="A917" s="2"/>
      <c r="B917" s="2"/>
    </row>
    <row r="918" customFormat="false" ht="15.75" hidden="false" customHeight="false" outlineLevel="0" collapsed="false">
      <c r="A918" s="2"/>
      <c r="B918" s="2"/>
    </row>
    <row r="919" customFormat="false" ht="15.75" hidden="false" customHeight="false" outlineLevel="0" collapsed="false">
      <c r="A919" s="2"/>
      <c r="B919" s="2"/>
    </row>
    <row r="920" customFormat="false" ht="15.75" hidden="false" customHeight="false" outlineLevel="0" collapsed="false">
      <c r="A920" s="2"/>
      <c r="B920" s="2"/>
    </row>
    <row r="921" customFormat="false" ht="15.75" hidden="false" customHeight="false" outlineLevel="0" collapsed="false">
      <c r="A921" s="2"/>
      <c r="B921" s="2"/>
    </row>
    <row r="922" customFormat="false" ht="15.75" hidden="false" customHeight="false" outlineLevel="0" collapsed="false">
      <c r="A922" s="2"/>
      <c r="B922" s="2"/>
    </row>
    <row r="923" customFormat="false" ht="15.75" hidden="false" customHeight="false" outlineLevel="0" collapsed="false">
      <c r="A923" s="2"/>
      <c r="B923" s="2"/>
    </row>
    <row r="924" customFormat="false" ht="15.75" hidden="false" customHeight="false" outlineLevel="0" collapsed="false">
      <c r="A924" s="2"/>
      <c r="B924" s="2"/>
    </row>
    <row r="925" customFormat="false" ht="15.75" hidden="false" customHeight="false" outlineLevel="0" collapsed="false">
      <c r="A925" s="2"/>
      <c r="B925" s="2"/>
    </row>
    <row r="926" customFormat="false" ht="15.75" hidden="false" customHeight="false" outlineLevel="0" collapsed="false">
      <c r="A926" s="2"/>
      <c r="B926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0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2" t="s">
        <v>15</v>
      </c>
      <c r="B1" s="2" t="s">
        <v>17</v>
      </c>
      <c r="C1" s="2" t="s">
        <v>1905</v>
      </c>
      <c r="D1" s="2" t="s">
        <v>2018</v>
      </c>
    </row>
    <row r="2" customFormat="false" ht="15.75" hidden="false" customHeight="false" outlineLevel="0" collapsed="false">
      <c r="A2" s="2" t="s">
        <v>1383</v>
      </c>
      <c r="B2" s="2" t="s">
        <v>1131</v>
      </c>
      <c r="C2" s="2" t="s">
        <v>1131</v>
      </c>
      <c r="D2" s="2" t="str">
        <f aca="false">IF(ISERROR(SEARCH("ASPERGILLUS", UPPER(A2)) ),"N","Y" )</f>
        <v>N</v>
      </c>
    </row>
    <row r="3" customFormat="false" ht="15.75" hidden="false" customHeight="false" outlineLevel="0" collapsed="false">
      <c r="A3" s="2" t="s">
        <v>1753</v>
      </c>
      <c r="B3" s="2" t="s">
        <v>1131</v>
      </c>
      <c r="C3" s="2" t="s">
        <v>1131</v>
      </c>
      <c r="D3" s="2" t="str">
        <f aca="false">IF(ISERROR(SEARCH("ASPERGILLUS", UPPER(A3)) ),"N","Y" )</f>
        <v>N</v>
      </c>
    </row>
    <row r="4" customFormat="false" ht="15.75" hidden="false" customHeight="false" outlineLevel="0" collapsed="false">
      <c r="A4" s="2" t="s">
        <v>1725</v>
      </c>
      <c r="B4" s="2" t="s">
        <v>1131</v>
      </c>
      <c r="C4" s="2" t="s">
        <v>1131</v>
      </c>
      <c r="D4" s="2" t="str">
        <f aca="false">IF(ISERROR(SEARCH("ASPERGILLUS", UPPER(A4)) ),"N","Y" )</f>
        <v>N</v>
      </c>
    </row>
    <row r="5" customFormat="false" ht="15.75" hidden="false" customHeight="false" outlineLevel="0" collapsed="false">
      <c r="A5" s="2" t="s">
        <v>810</v>
      </c>
      <c r="B5" s="2" t="s">
        <v>1131</v>
      </c>
      <c r="C5" s="2" t="s">
        <v>1131</v>
      </c>
      <c r="D5" s="2" t="str">
        <f aca="false">IF(ISERROR(SEARCH("ASPERGILLUS", UPPER(A5)) ),"N","Y" )</f>
        <v>N</v>
      </c>
    </row>
    <row r="6" customFormat="false" ht="15.75" hidden="false" customHeight="false" outlineLevel="0" collapsed="false">
      <c r="A6" s="2" t="s">
        <v>1681</v>
      </c>
      <c r="B6" s="2" t="s">
        <v>1131</v>
      </c>
      <c r="C6" s="2" t="s">
        <v>1131</v>
      </c>
      <c r="D6" s="2" t="str">
        <f aca="false">IF(ISERROR(SEARCH("ASPERGILLUS", UPPER(A6)) ),"N","Y" )</f>
        <v>N</v>
      </c>
    </row>
    <row r="7" customFormat="false" ht="15.75" hidden="false" customHeight="false" outlineLevel="0" collapsed="false">
      <c r="A7" s="2" t="s">
        <v>1572</v>
      </c>
      <c r="B7" s="2" t="s">
        <v>1131</v>
      </c>
      <c r="C7" s="2" t="s">
        <v>1131</v>
      </c>
      <c r="D7" s="2" t="str">
        <f aca="false">IF(ISERROR(SEARCH("ASPERGILLUS", UPPER(A7)) ),"N","Y" )</f>
        <v>N</v>
      </c>
    </row>
    <row r="8" customFormat="false" ht="15.75" hidden="false" customHeight="false" outlineLevel="0" collapsed="false">
      <c r="A8" s="2" t="s">
        <v>1519</v>
      </c>
      <c r="B8" s="2" t="s">
        <v>1131</v>
      </c>
      <c r="C8" s="2" t="s">
        <v>1131</v>
      </c>
      <c r="D8" s="2" t="str">
        <f aca="false">IF(ISERROR(SEARCH("ASPERGILLUS", UPPER(A8)) ),"N","Y" )</f>
        <v>N</v>
      </c>
    </row>
    <row r="9" customFormat="false" ht="15.75" hidden="false" customHeight="false" outlineLevel="0" collapsed="false">
      <c r="A9" s="2" t="s">
        <v>808</v>
      </c>
      <c r="B9" s="2" t="s">
        <v>1131</v>
      </c>
      <c r="C9" s="2" t="s">
        <v>1131</v>
      </c>
      <c r="D9" s="2" t="str">
        <f aca="false">IF(ISERROR(SEARCH("ASPERGILLUS", UPPER(A9)) ),"N","Y" )</f>
        <v>N</v>
      </c>
    </row>
    <row r="10" customFormat="false" ht="15.75" hidden="false" customHeight="false" outlineLevel="0" collapsed="false">
      <c r="A10" s="2" t="s">
        <v>960</v>
      </c>
      <c r="B10" s="2" t="s">
        <v>1131</v>
      </c>
      <c r="C10" s="2" t="s">
        <v>1131</v>
      </c>
      <c r="D10" s="2" t="str">
        <f aca="false">IF(ISERROR(SEARCH("ASPERGILLUS", UPPER(A10)) ),"N","Y" )</f>
        <v>N</v>
      </c>
    </row>
    <row r="11" customFormat="false" ht="15.75" hidden="false" customHeight="false" outlineLevel="0" collapsed="false">
      <c r="A11" s="2" t="s">
        <v>956</v>
      </c>
      <c r="B11" s="2" t="s">
        <v>1131</v>
      </c>
      <c r="C11" s="2" t="s">
        <v>1131</v>
      </c>
      <c r="D11" s="2" t="str">
        <f aca="false">IF(ISERROR(SEARCH("ASPERGILLUS", UPPER(A11)) ),"N","Y" )</f>
        <v>N</v>
      </c>
    </row>
    <row r="12" customFormat="false" ht="15.75" hidden="false" customHeight="false" outlineLevel="0" collapsed="false">
      <c r="A12" s="2" t="s">
        <v>952</v>
      </c>
      <c r="B12" s="2" t="s">
        <v>1131</v>
      </c>
      <c r="C12" s="2" t="s">
        <v>1131</v>
      </c>
      <c r="D12" s="2" t="str">
        <f aca="false">IF(ISERROR(SEARCH("ASPERGILLUS", UPPER(A12)) ),"N","Y" )</f>
        <v>N</v>
      </c>
    </row>
    <row r="13" customFormat="false" ht="15.75" hidden="false" customHeight="false" outlineLevel="0" collapsed="false">
      <c r="A13" s="2" t="s">
        <v>929</v>
      </c>
      <c r="B13" s="2" t="s">
        <v>1131</v>
      </c>
      <c r="C13" s="2" t="s">
        <v>1131</v>
      </c>
      <c r="D13" s="2" t="str">
        <f aca="false">IF(ISERROR(SEARCH("ASPERGILLUS", UPPER(A13)) ),"N","Y" )</f>
        <v>N</v>
      </c>
    </row>
    <row r="14" customFormat="false" ht="15.75" hidden="false" customHeight="false" outlineLevel="0" collapsed="false">
      <c r="A14" s="2" t="s">
        <v>922</v>
      </c>
      <c r="B14" s="2" t="s">
        <v>1131</v>
      </c>
      <c r="C14" s="2" t="s">
        <v>1131</v>
      </c>
      <c r="D14" s="2" t="str">
        <f aca="false">IF(ISERROR(SEARCH("ASPERGILLUS", UPPER(A14)) ),"N","Y" )</f>
        <v>N</v>
      </c>
    </row>
    <row r="15" customFormat="false" ht="15.75" hidden="false" customHeight="false" outlineLevel="0" collapsed="false">
      <c r="A15" s="2" t="s">
        <v>906</v>
      </c>
      <c r="B15" s="2" t="s">
        <v>1131</v>
      </c>
      <c r="C15" s="2" t="s">
        <v>1131</v>
      </c>
      <c r="D15" s="2" t="str">
        <f aca="false">IF(ISERROR(SEARCH("ASPERGILLUS", UPPER(A15)) ),"N","Y" )</f>
        <v>N</v>
      </c>
    </row>
    <row r="16" customFormat="false" ht="15.75" hidden="false" customHeight="false" outlineLevel="0" collapsed="false">
      <c r="A16" s="2" t="s">
        <v>902</v>
      </c>
      <c r="B16" s="2" t="s">
        <v>1131</v>
      </c>
      <c r="C16" s="2" t="s">
        <v>1131</v>
      </c>
      <c r="D16" s="2" t="str">
        <f aca="false">IF(ISERROR(SEARCH("ASPERGILLUS", UPPER(A16)) ),"N","Y" )</f>
        <v>N</v>
      </c>
    </row>
    <row r="17" customFormat="false" ht="15.75" hidden="false" customHeight="false" outlineLevel="0" collapsed="false">
      <c r="A17" s="2" t="s">
        <v>895</v>
      </c>
      <c r="B17" s="2" t="s">
        <v>1131</v>
      </c>
      <c r="C17" s="2" t="s">
        <v>1131</v>
      </c>
      <c r="D17" s="2" t="str">
        <f aca="false">IF(ISERROR(SEARCH("ASPERGILLUS", UPPER(A17)) ),"N","Y" )</f>
        <v>N</v>
      </c>
    </row>
    <row r="18" customFormat="false" ht="15.75" hidden="false" customHeight="false" outlineLevel="0" collapsed="false">
      <c r="A18" s="2" t="s">
        <v>891</v>
      </c>
      <c r="B18" s="2" t="s">
        <v>1131</v>
      </c>
      <c r="C18" s="2" t="s">
        <v>1131</v>
      </c>
      <c r="D18" s="2" t="str">
        <f aca="false">IF(ISERROR(SEARCH("ASPERGILLUS", UPPER(A18)) ),"N","Y" )</f>
        <v>N</v>
      </c>
    </row>
    <row r="19" customFormat="false" ht="15.75" hidden="false" customHeight="false" outlineLevel="0" collapsed="false">
      <c r="A19" s="2" t="s">
        <v>816</v>
      </c>
      <c r="B19" s="2" t="s">
        <v>1131</v>
      </c>
      <c r="C19" s="2" t="s">
        <v>1131</v>
      </c>
      <c r="D19" s="2" t="str">
        <f aca="false">IF(ISERROR(SEARCH("ASPERGILLUS", UPPER(A19)) ),"N","Y" )</f>
        <v>N</v>
      </c>
    </row>
    <row r="20" customFormat="false" ht="15.75" hidden="false" customHeight="false" outlineLevel="0" collapsed="false">
      <c r="A20" s="2" t="s">
        <v>878</v>
      </c>
      <c r="B20" s="2" t="s">
        <v>1131</v>
      </c>
      <c r="C20" s="2" t="s">
        <v>1131</v>
      </c>
      <c r="D20" s="2" t="str">
        <f aca="false">IF(ISERROR(SEARCH("ASPERGILLUS", UPPER(A20)) ),"N","Y" )</f>
        <v>N</v>
      </c>
    </row>
    <row r="21" customFormat="false" ht="15.75" hidden="false" customHeight="false" outlineLevel="0" collapsed="false">
      <c r="A21" s="2" t="s">
        <v>874</v>
      </c>
      <c r="B21" s="2" t="s">
        <v>1131</v>
      </c>
      <c r="C21" s="2" t="s">
        <v>1131</v>
      </c>
      <c r="D21" s="2" t="str">
        <f aca="false">IF(ISERROR(SEARCH("ASPERGILLUS", UPPER(A21)) ),"N","Y" )</f>
        <v>N</v>
      </c>
    </row>
    <row r="22" customFormat="false" ht="15.75" hidden="false" customHeight="false" outlineLevel="0" collapsed="false">
      <c r="A22" s="2" t="s">
        <v>846</v>
      </c>
      <c r="B22" s="2" t="s">
        <v>1131</v>
      </c>
      <c r="C22" s="2" t="s">
        <v>1131</v>
      </c>
      <c r="D22" s="2" t="str">
        <f aca="false">IF(ISERROR(SEARCH("ASPERGILLUS", UPPER(A22)) ),"N","Y" )</f>
        <v>N</v>
      </c>
    </row>
    <row r="23" customFormat="false" ht="15.75" hidden="false" customHeight="false" outlineLevel="0" collapsed="false">
      <c r="A23" s="2" t="s">
        <v>842</v>
      </c>
      <c r="B23" s="2" t="s">
        <v>1131</v>
      </c>
      <c r="C23" s="2" t="s">
        <v>1131</v>
      </c>
      <c r="D23" s="2" t="str">
        <f aca="false">IF(ISERROR(SEARCH("ASPERGILLUS", UPPER(A23)) ),"N","Y" )</f>
        <v>N</v>
      </c>
    </row>
    <row r="24" customFormat="false" ht="15.75" hidden="false" customHeight="false" outlineLevel="0" collapsed="false">
      <c r="A24" s="2" t="s">
        <v>831</v>
      </c>
      <c r="B24" s="2" t="s">
        <v>1131</v>
      </c>
      <c r="C24" s="2" t="s">
        <v>1131</v>
      </c>
      <c r="D24" s="2" t="str">
        <f aca="false">IF(ISERROR(SEARCH("ASPERGILLUS", UPPER(A24)) ),"N","Y" )</f>
        <v>N</v>
      </c>
    </row>
    <row r="25" customFormat="false" ht="15.75" hidden="false" customHeight="false" outlineLevel="0" collapsed="false">
      <c r="A25" s="2" t="s">
        <v>27</v>
      </c>
      <c r="B25" s="2" t="s">
        <v>1131</v>
      </c>
      <c r="C25" s="2" t="s">
        <v>1131</v>
      </c>
      <c r="D25" s="2" t="str">
        <f aca="false">IF(ISERROR(SEARCH("ASPERGILLUS", UPPER(A25)) ),"N","Y" )</f>
        <v>N</v>
      </c>
    </row>
    <row r="26" customFormat="false" ht="15.75" hidden="false" customHeight="false" outlineLevel="0" collapsed="false">
      <c r="A26" s="2" t="s">
        <v>835</v>
      </c>
      <c r="B26" s="2" t="s">
        <v>1131</v>
      </c>
      <c r="C26" s="2" t="s">
        <v>1131</v>
      </c>
      <c r="D26" s="2" t="str">
        <f aca="false">IF(ISERROR(SEARCH("ASPERGILLUS", UPPER(A26)) ),"N","Y" )</f>
        <v>N</v>
      </c>
    </row>
    <row r="27" customFormat="false" ht="15.75" hidden="false" customHeight="false" outlineLevel="0" collapsed="false">
      <c r="A27" s="2" t="s">
        <v>823</v>
      </c>
      <c r="B27" s="2" t="s">
        <v>1131</v>
      </c>
      <c r="C27" s="2" t="s">
        <v>1131</v>
      </c>
      <c r="D27" s="2" t="str">
        <f aca="false">IF(ISERROR(SEARCH("ASPERGILLUS", UPPER(A27)) ),"N","Y" )</f>
        <v>N</v>
      </c>
    </row>
    <row r="28" customFormat="false" ht="15.75" hidden="false" customHeight="false" outlineLevel="0" collapsed="false">
      <c r="A28" s="2" t="s">
        <v>827</v>
      </c>
      <c r="B28" s="2" t="s">
        <v>1131</v>
      </c>
      <c r="C28" s="2" t="s">
        <v>1131</v>
      </c>
      <c r="D28" s="2" t="str">
        <f aca="false">IF(ISERROR(SEARCH("ASPERGILLUS", UPPER(A28)) ),"N","Y" )</f>
        <v>N</v>
      </c>
    </row>
    <row r="29" customFormat="false" ht="15.75" hidden="false" customHeight="false" outlineLevel="0" collapsed="false">
      <c r="A29" s="2" t="s">
        <v>127</v>
      </c>
      <c r="B29" s="2" t="s">
        <v>1131</v>
      </c>
      <c r="C29" s="2" t="s">
        <v>1131</v>
      </c>
      <c r="D29" s="2" t="str">
        <f aca="false">IF(ISERROR(SEARCH("ASPERGILLUS", UPPER(A29)) ),"N","Y" )</f>
        <v>N</v>
      </c>
    </row>
    <row r="30" customFormat="false" ht="15.75" hidden="false" customHeight="false" outlineLevel="0" collapsed="false">
      <c r="A30" s="15" t="s">
        <v>801</v>
      </c>
      <c r="B30" s="2" t="s">
        <v>1131</v>
      </c>
      <c r="C30" s="2" t="s">
        <v>1131</v>
      </c>
      <c r="D30" s="2" t="str">
        <f aca="false">IF(ISERROR(SEARCH("ASPERGILLUS", UPPER(A30)) ),"N","Y" )</f>
        <v>N</v>
      </c>
    </row>
    <row r="31" customFormat="false" ht="15.75" hidden="false" customHeight="false" outlineLevel="0" collapsed="false">
      <c r="A31" s="16" t="s">
        <v>805</v>
      </c>
      <c r="B31" s="2" t="s">
        <v>1131</v>
      </c>
      <c r="C31" s="2" t="s">
        <v>1131</v>
      </c>
      <c r="D31" s="2" t="str">
        <f aca="false">IF(ISERROR(SEARCH("ASPERGILLUS", UPPER(A31)) ),"N","Y" )</f>
        <v>N</v>
      </c>
    </row>
    <row r="32" customFormat="false" ht="15.75" hidden="false" customHeight="false" outlineLevel="0" collapsed="false">
      <c r="A32" s="2" t="s">
        <v>791</v>
      </c>
      <c r="B32" s="2" t="s">
        <v>1131</v>
      </c>
      <c r="C32" s="2" t="s">
        <v>1131</v>
      </c>
      <c r="D32" s="2" t="str">
        <f aca="false">IF(ISERROR(SEARCH("ASPERGILLUS", UPPER(A32)) ),"N","Y" )</f>
        <v>N</v>
      </c>
    </row>
    <row r="33" customFormat="false" ht="15.75" hidden="false" customHeight="false" outlineLevel="0" collapsed="false">
      <c r="A33" s="15" t="s">
        <v>794</v>
      </c>
      <c r="B33" s="2" t="s">
        <v>1131</v>
      </c>
      <c r="C33" s="2" t="s">
        <v>1131</v>
      </c>
      <c r="D33" s="2" t="str">
        <f aca="false">IF(ISERROR(SEARCH("ASPERGILLUS", UPPER(A33)) ),"N","Y" )</f>
        <v>N</v>
      </c>
    </row>
    <row r="34" customFormat="false" ht="15.75" hidden="false" customHeight="false" outlineLevel="0" collapsed="false">
      <c r="A34" s="2" t="s">
        <v>787</v>
      </c>
      <c r="B34" s="2" t="s">
        <v>1131</v>
      </c>
      <c r="C34" s="2" t="s">
        <v>1131</v>
      </c>
      <c r="D34" s="2" t="str">
        <f aca="false">IF(ISERROR(SEARCH("ASPERGILLUS", UPPER(A34)) ),"N","Y" )</f>
        <v>N</v>
      </c>
    </row>
    <row r="35" customFormat="false" ht="15.75" hidden="false" customHeight="false" outlineLevel="0" collapsed="false">
      <c r="A35" s="2" t="s">
        <v>783</v>
      </c>
      <c r="B35" s="2" t="s">
        <v>1131</v>
      </c>
      <c r="C35" s="2" t="s">
        <v>1131</v>
      </c>
      <c r="D35" s="2" t="str">
        <f aca="false">IF(ISERROR(SEARCH("ASPERGILLUS", UPPER(A35)) ),"N","Y" )</f>
        <v>N</v>
      </c>
    </row>
    <row r="36" customFormat="false" ht="15.75" hidden="false" customHeight="false" outlineLevel="0" collapsed="false">
      <c r="A36" s="2" t="s">
        <v>1131</v>
      </c>
      <c r="B36" s="2" t="s">
        <v>1131</v>
      </c>
      <c r="C36" s="2" t="s">
        <v>1131</v>
      </c>
      <c r="D36" s="2" t="str">
        <f aca="false">IF(ISERROR(SEARCH("ASPERGILLUS", UPPER(A36)) ),"N","Y" )</f>
        <v>N</v>
      </c>
    </row>
    <row r="37" customFormat="false" ht="15.75" hidden="false" customHeight="false" outlineLevel="0" collapsed="false">
      <c r="A37" s="2" t="s">
        <v>1815</v>
      </c>
      <c r="B37" s="2" t="s">
        <v>1131</v>
      </c>
      <c r="C37" s="2" t="s">
        <v>1131</v>
      </c>
      <c r="D37" s="2" t="str">
        <f aca="false">IF(ISERROR(SEARCH("ASPERGILLUS", UPPER(A37)) ),"N","Y" )</f>
        <v>N</v>
      </c>
    </row>
    <row r="38" customFormat="false" ht="15.75" hidden="false" customHeight="false" outlineLevel="0" collapsed="false">
      <c r="A38" s="2" t="s">
        <v>1559</v>
      </c>
      <c r="B38" s="2" t="s">
        <v>1906</v>
      </c>
      <c r="C38" s="2" t="s">
        <v>1907</v>
      </c>
      <c r="D38" s="2" t="str">
        <f aca="false">IF(ISERROR(SEARCH("ASPERGILLUS", UPPER(A38)) ),"N","Y" )</f>
        <v>N</v>
      </c>
    </row>
    <row r="39" customFormat="false" ht="15.75" hidden="false" customHeight="false" outlineLevel="0" collapsed="false">
      <c r="A39" s="2" t="s">
        <v>1539</v>
      </c>
      <c r="B39" s="2" t="s">
        <v>1908</v>
      </c>
      <c r="C39" s="2" t="s">
        <v>1908</v>
      </c>
      <c r="D39" s="2" t="str">
        <f aca="false">IF(ISERROR(SEARCH("ASPERGILLUS", UPPER(A39)) ),"N","Y" )</f>
        <v>N</v>
      </c>
    </row>
    <row r="40" customFormat="false" ht="15.75" hidden="false" customHeight="false" outlineLevel="0" collapsed="false">
      <c r="A40" s="2" t="s">
        <v>1529</v>
      </c>
      <c r="B40" s="2" t="s">
        <v>1537</v>
      </c>
      <c r="C40" s="2" t="s">
        <v>1908</v>
      </c>
      <c r="D40" s="2" t="str">
        <f aca="false">IF(ISERROR(SEARCH("ASPERGILLUS", UPPER(A40)) ),"N","Y" )</f>
        <v>N</v>
      </c>
    </row>
    <row r="41" customFormat="false" ht="15.75" hidden="false" customHeight="false" outlineLevel="0" collapsed="false">
      <c r="A41" s="2" t="s">
        <v>1469</v>
      </c>
      <c r="B41" s="2" t="s">
        <v>568</v>
      </c>
      <c r="C41" s="2" t="s">
        <v>1910</v>
      </c>
      <c r="D41" s="2" t="str">
        <f aca="false">IF(ISERROR(SEARCH("ASPERGILLUS", UPPER(A41)) ),"N","Y" )</f>
        <v>N</v>
      </c>
    </row>
    <row r="42" customFormat="false" ht="15.75" hidden="false" customHeight="false" outlineLevel="0" collapsed="false">
      <c r="A42" s="2" t="s">
        <v>1411</v>
      </c>
      <c r="B42" s="2" t="s">
        <v>1411</v>
      </c>
      <c r="C42" s="2" t="s">
        <v>1911</v>
      </c>
      <c r="D42" s="2" t="str">
        <f aca="false">IF(ISERROR(SEARCH("ASPERGILLUS", UPPER(A42)) ),"N","Y" )</f>
        <v>N</v>
      </c>
    </row>
    <row r="43" customFormat="false" ht="15.75" hidden="false" customHeight="false" outlineLevel="0" collapsed="false">
      <c r="A43" s="2" t="s">
        <v>1407</v>
      </c>
      <c r="B43" s="2" t="s">
        <v>568</v>
      </c>
      <c r="C43" s="2" t="s">
        <v>568</v>
      </c>
      <c r="D43" s="2" t="str">
        <f aca="false">IF(ISERROR(SEARCH("ASPERGILLUS", UPPER(A43)) ),"N","Y" )</f>
        <v>N</v>
      </c>
    </row>
    <row r="44" customFormat="false" ht="15.75" hidden="false" customHeight="false" outlineLevel="0" collapsed="false">
      <c r="A44" s="2" t="s">
        <v>1400</v>
      </c>
      <c r="B44" s="2" t="s">
        <v>1912</v>
      </c>
      <c r="C44" s="2" t="s">
        <v>1912</v>
      </c>
      <c r="D44" s="2" t="str">
        <f aca="false">IF(ISERROR(SEARCH("ASPERGILLUS", UPPER(A44)) ),"N","Y" )</f>
        <v>N</v>
      </c>
    </row>
    <row r="45" customFormat="false" ht="15.75" hidden="false" customHeight="false" outlineLevel="0" collapsed="false">
      <c r="A45" s="2" t="s">
        <v>1404</v>
      </c>
      <c r="B45" s="2" t="s">
        <v>1913</v>
      </c>
      <c r="C45" s="2" t="s">
        <v>1908</v>
      </c>
      <c r="D45" s="2" t="str">
        <f aca="false">IF(ISERROR(SEARCH("ASPERGILLUS", UPPER(A45)) ),"N","Y" )</f>
        <v>N</v>
      </c>
    </row>
    <row r="46" customFormat="false" ht="15.75" hidden="false" customHeight="false" outlineLevel="0" collapsed="false">
      <c r="A46" s="2" t="s">
        <v>273</v>
      </c>
      <c r="B46" s="2" t="s">
        <v>1914</v>
      </c>
      <c r="C46" s="2" t="s">
        <v>1912</v>
      </c>
      <c r="D46" s="2" t="str">
        <f aca="false">IF(ISERROR(SEARCH("ASPERGILLUS", UPPER(A46)) ),"N","Y" )</f>
        <v>N</v>
      </c>
    </row>
    <row r="47" customFormat="false" ht="15.75" hidden="false" customHeight="false" outlineLevel="0" collapsed="false">
      <c r="A47" s="2" t="s">
        <v>283</v>
      </c>
      <c r="B47" s="2" t="s">
        <v>47</v>
      </c>
      <c r="C47" s="2" t="s">
        <v>1915</v>
      </c>
      <c r="D47" s="2" t="str">
        <f aca="false">IF(ISERROR(SEARCH("ASPERGILLUS", UPPER(A47)) ),"N","Y" )</f>
        <v>Y</v>
      </c>
    </row>
    <row r="48" customFormat="false" ht="15.75" hidden="false" customHeight="false" outlineLevel="0" collapsed="false">
      <c r="A48" s="2" t="s">
        <v>127</v>
      </c>
      <c r="B48" s="2" t="s">
        <v>1131</v>
      </c>
      <c r="C48" s="2" t="s">
        <v>1131</v>
      </c>
      <c r="D48" s="2" t="str">
        <f aca="false">IF(ISERROR(SEARCH("ASPERGILLUS", UPPER(A48)) ),"N","Y" )</f>
        <v>N</v>
      </c>
    </row>
    <row r="49" customFormat="false" ht="15.75" hidden="false" customHeight="false" outlineLevel="0" collapsed="false">
      <c r="A49" s="2" t="s">
        <v>1447</v>
      </c>
      <c r="B49" s="2" t="s">
        <v>1447</v>
      </c>
      <c r="C49" s="2" t="s">
        <v>1915</v>
      </c>
      <c r="D49" s="2" t="str">
        <f aca="false">IF(ISERROR(SEARCH("ASPERGILLUS", UPPER(A49)) ),"N","Y" )</f>
        <v>N</v>
      </c>
    </row>
    <row r="50" customFormat="false" ht="15.75" hidden="false" customHeight="false" outlineLevel="0" collapsed="false">
      <c r="A50" s="2" t="s">
        <v>166</v>
      </c>
      <c r="B50" s="2" t="s">
        <v>47</v>
      </c>
      <c r="C50" s="2" t="s">
        <v>1915</v>
      </c>
      <c r="D50" s="2" t="str">
        <f aca="false">IF(ISERROR(SEARCH("ASPERGILLUS", UPPER(A50)) ),"N","Y" )</f>
        <v>Y</v>
      </c>
    </row>
    <row r="51" customFormat="false" ht="15.75" hidden="false" customHeight="false" outlineLevel="0" collapsed="false">
      <c r="A51" s="2" t="s">
        <v>982</v>
      </c>
      <c r="B51" s="2" t="s">
        <v>1097</v>
      </c>
      <c r="C51" s="2" t="s">
        <v>1915</v>
      </c>
      <c r="D51" s="2" t="str">
        <f aca="false">IF(ISERROR(SEARCH("ASPERGILLUS", UPPER(A51)) ),"N","Y" )</f>
        <v>N</v>
      </c>
    </row>
    <row r="52" customFormat="false" ht="15.75" hidden="false" customHeight="false" outlineLevel="0" collapsed="false">
      <c r="A52" s="2" t="s">
        <v>982</v>
      </c>
      <c r="B52" s="2" t="s">
        <v>1916</v>
      </c>
      <c r="C52" s="2" t="s">
        <v>1916</v>
      </c>
      <c r="D52" s="2" t="str">
        <f aca="false">IF(ISERROR(SEARCH("ASPERGILLUS", UPPER(A52)) ),"N","Y" )</f>
        <v>N</v>
      </c>
    </row>
    <row r="53" customFormat="false" ht="15.75" hidden="false" customHeight="false" outlineLevel="0" collapsed="false">
      <c r="A53" s="2" t="s">
        <v>47</v>
      </c>
      <c r="B53" s="2" t="s">
        <v>47</v>
      </c>
      <c r="C53" s="2" t="s">
        <v>1915</v>
      </c>
      <c r="D53" s="2" t="str">
        <f aca="false">IF(ISERROR(SEARCH("ASPERGILLUS", UPPER(A53)) ),"N","Y" )</f>
        <v>Y</v>
      </c>
    </row>
    <row r="54" customFormat="false" ht="15.75" hidden="false" customHeight="false" outlineLevel="0" collapsed="false">
      <c r="A54" s="2" t="s">
        <v>996</v>
      </c>
      <c r="B54" s="2" t="s">
        <v>1916</v>
      </c>
      <c r="C54" s="2" t="s">
        <v>1916</v>
      </c>
      <c r="D54" s="2" t="str">
        <f aca="false">IF(ISERROR(SEARCH("ASPERGILLUS", UPPER(A54)) ),"N","Y" )</f>
        <v>N</v>
      </c>
    </row>
    <row r="55" customFormat="false" ht="15.75" hidden="false" customHeight="false" outlineLevel="0" collapsed="false">
      <c r="A55" s="2" t="s">
        <v>1359</v>
      </c>
      <c r="B55" s="2" t="s">
        <v>1916</v>
      </c>
      <c r="C55" s="2" t="s">
        <v>1916</v>
      </c>
      <c r="D55" s="2" t="str">
        <f aca="false">IF(ISERROR(SEARCH("ASPERGILLUS", UPPER(A55)) ),"N","Y" )</f>
        <v>N</v>
      </c>
    </row>
    <row r="56" customFormat="false" ht="15.75" hidden="false" customHeight="false" outlineLevel="0" collapsed="false">
      <c r="A56" s="2" t="s">
        <v>1359</v>
      </c>
      <c r="B56" s="2" t="s">
        <v>1097</v>
      </c>
      <c r="C56" s="2" t="s">
        <v>1915</v>
      </c>
      <c r="D56" s="2" t="str">
        <f aca="false">IF(ISERROR(SEARCH("ASPERGILLUS", UPPER(A56)) ),"N","Y" )</f>
        <v>N</v>
      </c>
    </row>
    <row r="57" customFormat="false" ht="15.75" hidden="false" customHeight="false" outlineLevel="0" collapsed="false">
      <c r="A57" s="2" t="s">
        <v>1359</v>
      </c>
      <c r="B57" s="2" t="s">
        <v>47</v>
      </c>
      <c r="C57" s="2" t="s">
        <v>1915</v>
      </c>
      <c r="D57" s="2" t="str">
        <f aca="false">IF(ISERROR(SEARCH("ASPERGILLUS", UPPER(A57)) ),"N","Y" )</f>
        <v>N</v>
      </c>
    </row>
    <row r="58" customFormat="false" ht="15.75" hidden="false" customHeight="false" outlineLevel="0" collapsed="false">
      <c r="A58" s="2" t="s">
        <v>1359</v>
      </c>
      <c r="B58" s="2" t="s">
        <v>1447</v>
      </c>
      <c r="C58" s="2" t="s">
        <v>1915</v>
      </c>
      <c r="D58" s="2" t="str">
        <f aca="false">IF(ISERROR(SEARCH("ASPERGILLUS", UPPER(A58)) ),"N","Y" )</f>
        <v>N</v>
      </c>
    </row>
    <row r="59" customFormat="false" ht="15.75" hidden="false" customHeight="false" outlineLevel="0" collapsed="false">
      <c r="A59" s="2" t="s">
        <v>1359</v>
      </c>
      <c r="B59" s="2" t="s">
        <v>1917</v>
      </c>
      <c r="C59" s="2" t="s">
        <v>1915</v>
      </c>
      <c r="D59" s="2" t="str">
        <f aca="false">IF(ISERROR(SEARCH("ASPERGILLUS", UPPER(A59)) ),"N","Y" )</f>
        <v>N</v>
      </c>
    </row>
    <row r="60" customFormat="false" ht="15.75" hidden="false" customHeight="false" outlineLevel="0" collapsed="false">
      <c r="A60" s="2" t="s">
        <v>1359</v>
      </c>
      <c r="B60" s="2" t="s">
        <v>1321</v>
      </c>
      <c r="C60" s="2" t="s">
        <v>1321</v>
      </c>
      <c r="D60" s="2" t="str">
        <f aca="false">IF(ISERROR(SEARCH("ASPERGILLUS", UPPER(A60)) ),"N","Y" )</f>
        <v>N</v>
      </c>
    </row>
    <row r="61" customFormat="false" ht="15.75" hidden="false" customHeight="false" outlineLevel="0" collapsed="false">
      <c r="A61" s="2" t="s">
        <v>1359</v>
      </c>
      <c r="B61" s="2" t="s">
        <v>1918</v>
      </c>
      <c r="C61" s="2" t="s">
        <v>1918</v>
      </c>
      <c r="D61" s="2" t="str">
        <f aca="false">IF(ISERROR(SEARCH("ASPERGILLUS", UPPER(A61)) ),"N","Y" )</f>
        <v>N</v>
      </c>
    </row>
    <row r="62" customFormat="false" ht="15.75" hidden="false" customHeight="false" outlineLevel="0" collapsed="false">
      <c r="A62" s="2" t="s">
        <v>1270</v>
      </c>
      <c r="B62" s="2" t="s">
        <v>1911</v>
      </c>
      <c r="C62" s="2" t="s">
        <v>1911</v>
      </c>
      <c r="D62" s="2" t="str">
        <f aca="false">IF(ISERROR(SEARCH("ASPERGILLUS", UPPER(A62)) ),"N","Y" )</f>
        <v>N</v>
      </c>
    </row>
    <row r="63" customFormat="false" ht="15.75" hidden="false" customHeight="false" outlineLevel="0" collapsed="false">
      <c r="A63" s="2" t="s">
        <v>996</v>
      </c>
      <c r="B63" s="2" t="s">
        <v>1916</v>
      </c>
      <c r="C63" s="2" t="s">
        <v>1916</v>
      </c>
      <c r="D63" s="2" t="str">
        <f aca="false">IF(ISERROR(SEARCH("ASPERGILLUS", UPPER(A63)) ),"N","Y" )</f>
        <v>N</v>
      </c>
    </row>
    <row r="64" customFormat="false" ht="15.75" hidden="false" customHeight="false" outlineLevel="0" collapsed="false">
      <c r="A64" s="2" t="s">
        <v>1502</v>
      </c>
      <c r="B64" s="2" t="s">
        <v>1917</v>
      </c>
      <c r="C64" s="2" t="s">
        <v>1915</v>
      </c>
      <c r="D64" s="2" t="str">
        <f aca="false">IF(ISERROR(SEARCH("ASPERGILLUS", UPPER(A64)) ),"N","Y" )</f>
        <v>N</v>
      </c>
    </row>
    <row r="65" customFormat="false" ht="15.75" hidden="false" customHeight="false" outlineLevel="0" collapsed="false">
      <c r="A65" s="2" t="s">
        <v>1338</v>
      </c>
      <c r="B65" s="2" t="s">
        <v>1338</v>
      </c>
      <c r="C65" s="2" t="s">
        <v>1919</v>
      </c>
      <c r="D65" s="2" t="str">
        <f aca="false">IF(ISERROR(SEARCH("ASPERGILLUS", UPPER(A65)) ),"N","Y" )</f>
        <v>N</v>
      </c>
    </row>
    <row r="66" customFormat="false" ht="15.75" hidden="false" customHeight="false" outlineLevel="0" collapsed="false">
      <c r="A66" s="2" t="s">
        <v>1568</v>
      </c>
      <c r="B66" s="2" t="s">
        <v>1447</v>
      </c>
      <c r="C66" s="2" t="s">
        <v>1915</v>
      </c>
      <c r="D66" s="2" t="str">
        <f aca="false">IF(ISERROR(SEARCH("ASPERGILLUS", UPPER(A66)) ),"N","Y" )</f>
        <v>N</v>
      </c>
    </row>
    <row r="67" customFormat="false" ht="15.75" hidden="false" customHeight="false" outlineLevel="0" collapsed="false">
      <c r="A67" s="2" t="s">
        <v>568</v>
      </c>
      <c r="B67" s="2" t="s">
        <v>568</v>
      </c>
      <c r="C67" s="2" t="s">
        <v>568</v>
      </c>
      <c r="D67" s="2" t="str">
        <f aca="false">IF(ISERROR(SEARCH("ASPERGILLUS", UPPER(A67)) ),"N","Y" )</f>
        <v>N</v>
      </c>
    </row>
    <row r="68" customFormat="false" ht="15.75" hidden="false" customHeight="false" outlineLevel="0" collapsed="false">
      <c r="A68" s="2" t="s">
        <v>1532</v>
      </c>
      <c r="B68" s="2" t="s">
        <v>568</v>
      </c>
      <c r="C68" s="2" t="s">
        <v>568</v>
      </c>
      <c r="D68" s="2" t="str">
        <f aca="false">IF(ISERROR(SEARCH("ASPERGILLUS", UPPER(A68)) ),"N","Y" )</f>
        <v>N</v>
      </c>
    </row>
    <row r="69" customFormat="false" ht="15.75" hidden="false" customHeight="false" outlineLevel="0" collapsed="false">
      <c r="A69" s="2" t="s">
        <v>1040</v>
      </c>
      <c r="B69" s="2" t="s">
        <v>1920</v>
      </c>
      <c r="C69" s="2" t="s">
        <v>1920</v>
      </c>
      <c r="D69" s="2" t="str">
        <f aca="false">IF(ISERROR(SEARCH("ASPERGILLUS", UPPER(A69)) ),"N","Y" )</f>
        <v>N</v>
      </c>
    </row>
    <row r="70" customFormat="false" ht="15.75" hidden="false" customHeight="false" outlineLevel="0" collapsed="false">
      <c r="A70" s="2" t="s">
        <v>1515</v>
      </c>
      <c r="B70" s="2" t="s">
        <v>1910</v>
      </c>
      <c r="C70" s="2" t="s">
        <v>1910</v>
      </c>
      <c r="D70" s="2" t="str">
        <f aca="false">IF(ISERROR(SEARCH("ASPERGILLUS", UPPER(A70)) ),"N","Y" )</f>
        <v>N</v>
      </c>
    </row>
    <row r="71" customFormat="false" ht="15.75" hidden="false" customHeight="false" outlineLevel="0" collapsed="false">
      <c r="A71" s="2" t="s">
        <v>162</v>
      </c>
      <c r="B71" s="2" t="s">
        <v>1919</v>
      </c>
      <c r="C71" s="2" t="s">
        <v>1919</v>
      </c>
      <c r="D71" s="2" t="str">
        <f aca="false">IF(ISERROR(SEARCH("ASPERGILLUS", UPPER(A71)) ),"N","Y" )</f>
        <v>N</v>
      </c>
    </row>
    <row r="72" customFormat="false" ht="15.75" hidden="false" customHeight="false" outlineLevel="0" collapsed="false">
      <c r="A72" s="2" t="s">
        <v>1348</v>
      </c>
      <c r="B72" s="2" t="s">
        <v>568</v>
      </c>
      <c r="C72" s="2" t="s">
        <v>1919</v>
      </c>
      <c r="D72" s="2" t="str">
        <f aca="false">IF(ISERROR(SEARCH("ASPERGILLUS", UPPER(A72)) ),"N","Y" )</f>
        <v>N</v>
      </c>
    </row>
    <row r="73" customFormat="false" ht="15.75" hidden="false" customHeight="false" outlineLevel="0" collapsed="false">
      <c r="A73" s="2" t="s">
        <v>1348</v>
      </c>
      <c r="B73" s="2" t="s">
        <v>568</v>
      </c>
      <c r="C73" s="2" t="s">
        <v>568</v>
      </c>
      <c r="D73" s="2" t="str">
        <f aca="false">IF(ISERROR(SEARCH("ASPERGILLUS", UPPER(A73)) ),"N","Y" )</f>
        <v>N</v>
      </c>
    </row>
    <row r="74" customFormat="false" ht="15.75" hidden="false" customHeight="false" outlineLevel="0" collapsed="false">
      <c r="A74" s="2" t="s">
        <v>1254</v>
      </c>
      <c r="B74" s="2" t="s">
        <v>1254</v>
      </c>
      <c r="C74" s="2" t="s">
        <v>1916</v>
      </c>
      <c r="D74" s="2" t="str">
        <f aca="false">IF(ISERROR(SEARCH("ASPERGILLUS", UPPER(A74)) ),"N","Y" )</f>
        <v>N</v>
      </c>
    </row>
    <row r="75" customFormat="false" ht="15.75" hidden="false" customHeight="false" outlineLevel="0" collapsed="false">
      <c r="A75" s="2" t="s">
        <v>1921</v>
      </c>
      <c r="B75" s="2" t="s">
        <v>1254</v>
      </c>
      <c r="C75" s="2" t="s">
        <v>1916</v>
      </c>
      <c r="D75" s="2" t="str">
        <f aca="false">IF(ISERROR(SEARCH("ASPERGILLUS", UPPER(A75)) ),"N","Y" )</f>
        <v>N</v>
      </c>
    </row>
    <row r="76" customFormat="false" ht="15.75" hidden="false" customHeight="false" outlineLevel="0" collapsed="false">
      <c r="A76" s="2" t="s">
        <v>1000</v>
      </c>
      <c r="B76" s="2" t="s">
        <v>1254</v>
      </c>
      <c r="C76" s="2" t="s">
        <v>1916</v>
      </c>
      <c r="D76" s="2" t="str">
        <f aca="false">IF(ISERROR(SEARCH("ASPERGILLUS", UPPER(A76)) ),"N","Y" )</f>
        <v>N</v>
      </c>
    </row>
    <row r="77" customFormat="false" ht="15.75" hidden="false" customHeight="false" outlineLevel="0" collapsed="false">
      <c r="A77" s="2" t="s">
        <v>1000</v>
      </c>
      <c r="B77" s="2" t="s">
        <v>1097</v>
      </c>
      <c r="C77" s="2" t="s">
        <v>1915</v>
      </c>
      <c r="D77" s="2" t="str">
        <f aca="false">IF(ISERROR(SEARCH("ASPERGILLUS", UPPER(A77)) ),"N","Y" )</f>
        <v>N</v>
      </c>
    </row>
    <row r="78" customFormat="false" ht="15.75" hidden="false" customHeight="false" outlineLevel="0" collapsed="false">
      <c r="A78" s="2" t="s">
        <v>1007</v>
      </c>
      <c r="B78" s="2" t="s">
        <v>1007</v>
      </c>
      <c r="C78" s="2" t="s">
        <v>1916</v>
      </c>
      <c r="D78" s="2" t="str">
        <f aca="false">IF(ISERROR(SEARCH("ASPERGILLUS", UPPER(A78)) ),"N","Y" )</f>
        <v>N</v>
      </c>
    </row>
    <row r="79" customFormat="false" ht="15.75" hidden="false" customHeight="false" outlineLevel="0" collapsed="false">
      <c r="A79" s="2" t="s">
        <v>1922</v>
      </c>
      <c r="B79" s="2" t="s">
        <v>1917</v>
      </c>
      <c r="C79" s="2" t="s">
        <v>1915</v>
      </c>
      <c r="D79" s="2" t="str">
        <f aca="false">IF(ISERROR(SEARCH("ASPERGILLUS", UPPER(A79)) ),"N","Y" )</f>
        <v>N</v>
      </c>
    </row>
    <row r="80" customFormat="false" ht="15.75" hidden="false" customHeight="false" outlineLevel="0" collapsed="false">
      <c r="A80" s="2" t="s">
        <v>964</v>
      </c>
      <c r="B80" s="2" t="s">
        <v>1917</v>
      </c>
      <c r="C80" s="2" t="s">
        <v>1915</v>
      </c>
      <c r="D80" s="2" t="str">
        <f aca="false">IF(ISERROR(SEARCH("ASPERGILLUS", UPPER(A80)) ),"N","Y" )</f>
        <v>N</v>
      </c>
    </row>
    <row r="81" customFormat="false" ht="15.75" hidden="false" customHeight="false" outlineLevel="0" collapsed="false">
      <c r="A81" s="2" t="s">
        <v>992</v>
      </c>
      <c r="B81" s="2" t="s">
        <v>568</v>
      </c>
      <c r="C81" s="2" t="s">
        <v>568</v>
      </c>
      <c r="D81" s="2" t="str">
        <f aca="false">IF(ISERROR(SEARCH("ASPERGILLUS", UPPER(A81)) ),"N","Y" )</f>
        <v>N</v>
      </c>
    </row>
    <row r="82" customFormat="false" ht="15.75" hidden="false" customHeight="false" outlineLevel="0" collapsed="false">
      <c r="A82" s="2" t="s">
        <v>1674</v>
      </c>
      <c r="B82" s="2" t="s">
        <v>1097</v>
      </c>
      <c r="C82" s="2" t="s">
        <v>1915</v>
      </c>
      <c r="D82" s="2" t="str">
        <f aca="false">IF(ISERROR(SEARCH("ASPERGILLUS", UPPER(A82)) ),"N","Y" )</f>
        <v>Y</v>
      </c>
    </row>
    <row r="83" customFormat="false" ht="15.75" hidden="false" customHeight="false" outlineLevel="0" collapsed="false">
      <c r="A83" s="2" t="s">
        <v>1674</v>
      </c>
      <c r="B83" s="2" t="s">
        <v>47</v>
      </c>
      <c r="C83" s="2" t="s">
        <v>1915</v>
      </c>
      <c r="D83" s="2" t="str">
        <f aca="false">IF(ISERROR(SEARCH("ASPERGILLUS", UPPER(A83)) ),"N","Y" )</f>
        <v>Y</v>
      </c>
    </row>
    <row r="84" customFormat="false" ht="15.75" hidden="false" customHeight="false" outlineLevel="0" collapsed="false">
      <c r="A84" s="2" t="s">
        <v>1674</v>
      </c>
      <c r="B84" s="2" t="s">
        <v>43</v>
      </c>
      <c r="C84" s="2" t="s">
        <v>1915</v>
      </c>
      <c r="D84" s="2" t="str">
        <f aca="false">IF(ISERROR(SEARCH("ASPERGILLUS", UPPER(A84)) ),"N","Y" )</f>
        <v>Y</v>
      </c>
    </row>
    <row r="85" customFormat="false" ht="15.75" hidden="false" customHeight="false" outlineLevel="0" collapsed="false">
      <c r="A85" s="2" t="s">
        <v>1674</v>
      </c>
      <c r="B85" s="2" t="s">
        <v>1923</v>
      </c>
      <c r="C85" s="2" t="s">
        <v>1915</v>
      </c>
      <c r="D85" s="2" t="str">
        <f aca="false">IF(ISERROR(SEARCH("ASPERGILLUS", UPPER(A85)) ),"N","Y" )</f>
        <v>Y</v>
      </c>
    </row>
    <row r="86" customFormat="false" ht="15.75" hidden="false" customHeight="false" outlineLevel="0" collapsed="false">
      <c r="A86" s="2" t="s">
        <v>1924</v>
      </c>
      <c r="B86" s="2" t="s">
        <v>1131</v>
      </c>
      <c r="C86" s="2" t="s">
        <v>1131</v>
      </c>
      <c r="D86" s="2" t="str">
        <f aca="false">IF(ISERROR(SEARCH("ASPERGILLUS", UPPER(A86)) ),"N","Y" )</f>
        <v>N</v>
      </c>
    </row>
    <row r="87" customFormat="false" ht="15.75" hidden="false" customHeight="false" outlineLevel="0" collapsed="false">
      <c r="A87" s="2" t="s">
        <v>1321</v>
      </c>
      <c r="B87" s="2" t="s">
        <v>1321</v>
      </c>
      <c r="C87" s="2" t="s">
        <v>1321</v>
      </c>
      <c r="D87" s="2" t="str">
        <f aca="false">IF(ISERROR(SEARCH("ASPERGILLUS", UPPER(A87)) ),"N","Y" )</f>
        <v>N</v>
      </c>
    </row>
    <row r="88" customFormat="false" ht="15.75" hidden="false" customHeight="false" outlineLevel="0" collapsed="false">
      <c r="A88" s="2" t="s">
        <v>1540</v>
      </c>
      <c r="B88" s="2" t="s">
        <v>1911</v>
      </c>
      <c r="C88" s="2" t="s">
        <v>1911</v>
      </c>
      <c r="D88" s="2" t="str">
        <f aca="false">IF(ISERROR(SEARCH("ASPERGILLUS", UPPER(A88)) ),"N","Y" )</f>
        <v>N</v>
      </c>
    </row>
    <row r="89" customFormat="false" ht="15.75" hidden="false" customHeight="false" outlineLevel="0" collapsed="false">
      <c r="A89" s="2" t="s">
        <v>1813</v>
      </c>
      <c r="B89" s="2" t="s">
        <v>1131</v>
      </c>
      <c r="C89" s="2" t="s">
        <v>1131</v>
      </c>
      <c r="D89" s="2" t="str">
        <f aca="false">IF(ISERROR(SEARCH("ASPERGILLUS", UPPER(A89)) ),"N","Y" )</f>
        <v>N</v>
      </c>
    </row>
    <row r="90" customFormat="false" ht="15.75" hidden="false" customHeight="false" outlineLevel="0" collapsed="false">
      <c r="A90" s="2" t="s">
        <v>1925</v>
      </c>
      <c r="B90" s="2" t="s">
        <v>1131</v>
      </c>
      <c r="C90" s="2" t="s">
        <v>1131</v>
      </c>
      <c r="D90" s="2" t="str">
        <f aca="false">IF(ISERROR(SEARCH("ASPERGILLUS", UPPER(A90)) ),"N","Y" )</f>
        <v>N</v>
      </c>
    </row>
    <row r="91" customFormat="false" ht="15.75" hidden="false" customHeight="false" outlineLevel="0" collapsed="false">
      <c r="A91" s="2" t="s">
        <v>1926</v>
      </c>
      <c r="B91" s="2" t="s">
        <v>1131</v>
      </c>
      <c r="C91" s="2" t="s">
        <v>1131</v>
      </c>
      <c r="D91" s="2" t="str">
        <f aca="false">IF(ISERROR(SEARCH("ASPERGILLUS", UPPER(A91)) ),"N","Y" )</f>
        <v>N</v>
      </c>
    </row>
    <row r="92" customFormat="false" ht="15.75" hidden="false" customHeight="false" outlineLevel="0" collapsed="false">
      <c r="A92" s="2" t="s">
        <v>1927</v>
      </c>
      <c r="B92" s="2" t="s">
        <v>47</v>
      </c>
      <c r="C92" s="2" t="s">
        <v>1131</v>
      </c>
      <c r="D92" s="2" t="str">
        <f aca="false">IF(ISERROR(SEARCH("ASPERGILLUS", UPPER(A92)) ),"N","Y" )</f>
        <v>Y</v>
      </c>
    </row>
    <row r="93" customFormat="false" ht="15.75" hidden="false" customHeight="false" outlineLevel="0" collapsed="false">
      <c r="A93" s="2" t="s">
        <v>1928</v>
      </c>
      <c r="B93" s="2" t="s">
        <v>47</v>
      </c>
      <c r="C93" s="2" t="s">
        <v>1915</v>
      </c>
      <c r="D93" s="2" t="str">
        <f aca="false">IF(ISERROR(SEARCH("ASPERGILLUS", UPPER(A93)) ),"N","Y" )</f>
        <v>Y</v>
      </c>
    </row>
    <row r="94" customFormat="false" ht="15.75" hidden="false" customHeight="false" outlineLevel="0" collapsed="false">
      <c r="A94" s="2" t="s">
        <v>1928</v>
      </c>
      <c r="B94" s="2" t="s">
        <v>43</v>
      </c>
      <c r="C94" s="2" t="s">
        <v>1915</v>
      </c>
      <c r="D94" s="2" t="str">
        <f aca="false">IF(ISERROR(SEARCH("ASPERGILLUS", UPPER(A94)) ),"N","Y" )</f>
        <v>Y</v>
      </c>
    </row>
    <row r="95" customFormat="false" ht="15.75" hidden="false" customHeight="false" outlineLevel="0" collapsed="false">
      <c r="A95" s="2" t="s">
        <v>176</v>
      </c>
      <c r="B95" s="2" t="s">
        <v>1912</v>
      </c>
      <c r="C95" s="2" t="s">
        <v>1912</v>
      </c>
      <c r="D95" s="2" t="str">
        <f aca="false">IF(ISERROR(SEARCH("ASPERGILLUS", UPPER(A95)) ),"N","Y" )</f>
        <v>N</v>
      </c>
    </row>
    <row r="96" customFormat="false" ht="15.75" hidden="false" customHeight="false" outlineLevel="0" collapsed="false">
      <c r="A96" s="2" t="s">
        <v>1505</v>
      </c>
      <c r="B96" s="2" t="s">
        <v>568</v>
      </c>
      <c r="C96" s="2" t="s">
        <v>568</v>
      </c>
      <c r="D96" s="2" t="str">
        <f aca="false">IF(ISERROR(SEARCH("ASPERGILLUS", UPPER(A96)) ),"N","Y" )</f>
        <v>N</v>
      </c>
    </row>
    <row r="97" customFormat="false" ht="15.75" hidden="false" customHeight="false" outlineLevel="0" collapsed="false">
      <c r="A97" s="2" t="s">
        <v>1505</v>
      </c>
      <c r="B97" s="2" t="s">
        <v>1919</v>
      </c>
      <c r="C97" s="2" t="s">
        <v>1919</v>
      </c>
      <c r="D97" s="2" t="str">
        <f aca="false">IF(ISERROR(SEARCH("ASPERGILLUS", UPPER(A97)) ),"N","Y" )</f>
        <v>N</v>
      </c>
    </row>
    <row r="98" customFormat="false" ht="15.75" hidden="false" customHeight="false" outlineLevel="0" collapsed="false">
      <c r="A98" s="2" t="s">
        <v>1740</v>
      </c>
      <c r="B98" s="2" t="s">
        <v>1912</v>
      </c>
      <c r="C98" s="2" t="s">
        <v>1912</v>
      </c>
      <c r="D98" s="2" t="str">
        <f aca="false">IF(ISERROR(SEARCH("ASPERGILLUS", UPPER(A98)) ),"N","Y" )</f>
        <v>N</v>
      </c>
    </row>
    <row r="99" customFormat="false" ht="15.75" hidden="false" customHeight="false" outlineLevel="0" collapsed="false">
      <c r="A99" s="2" t="s">
        <v>1676</v>
      </c>
      <c r="B99" s="2" t="s">
        <v>1338</v>
      </c>
      <c r="C99" s="2" t="s">
        <v>1919</v>
      </c>
      <c r="D99" s="2" t="str">
        <f aca="false">IF(ISERROR(SEARCH("ASPERGILLUS", UPPER(A99)) ),"N","Y" )</f>
        <v>N</v>
      </c>
    </row>
    <row r="100" customFormat="false" ht="15.75" hidden="false" customHeight="false" outlineLevel="0" collapsed="false">
      <c r="A100" s="2" t="s">
        <v>1929</v>
      </c>
      <c r="B100" s="2" t="s">
        <v>1908</v>
      </c>
      <c r="C100" s="2" t="s">
        <v>1908</v>
      </c>
      <c r="D100" s="2" t="str">
        <f aca="false">IF(ISERROR(SEARCH("ASPERGILLUS", UPPER(A100)) ),"N","Y" )</f>
        <v>N</v>
      </c>
    </row>
    <row r="101" customFormat="false" ht="15.75" hidden="false" customHeight="false" outlineLevel="0" collapsed="false">
      <c r="A101" s="2" t="s">
        <v>971</v>
      </c>
      <c r="B101" s="2" t="s">
        <v>1908</v>
      </c>
      <c r="C101" s="2" t="s">
        <v>1908</v>
      </c>
      <c r="D101" s="2" t="str">
        <f aca="false">IF(ISERROR(SEARCH("ASPERGILLUS", UPPER(A101)) ),"N","Y" )</f>
        <v>N</v>
      </c>
    </row>
    <row r="102" customFormat="false" ht="15.75" hidden="false" customHeight="false" outlineLevel="0" collapsed="false">
      <c r="A102" s="2" t="s">
        <v>169</v>
      </c>
      <c r="B102" s="2" t="s">
        <v>1908</v>
      </c>
      <c r="C102" s="2" t="s">
        <v>1908</v>
      </c>
      <c r="D102" s="2" t="str">
        <f aca="false">IF(ISERROR(SEARCH("ASPERGILLUS", UPPER(A102)) ),"N","Y" )</f>
        <v>N</v>
      </c>
    </row>
    <row r="103" customFormat="false" ht="15.75" hidden="false" customHeight="false" outlineLevel="0" collapsed="false">
      <c r="A103" s="2" t="s">
        <v>948</v>
      </c>
      <c r="B103" s="2" t="s">
        <v>1918</v>
      </c>
      <c r="C103" s="2" t="s">
        <v>1918</v>
      </c>
      <c r="D103" s="2" t="str">
        <f aca="false">IF(ISERROR(SEARCH("ASPERGILLUS", UPPER(A103)) ),"N","Y" )</f>
        <v>N</v>
      </c>
    </row>
    <row r="104" customFormat="false" ht="15.75" hidden="false" customHeight="false" outlineLevel="0" collapsed="false">
      <c r="A104" s="2" t="s">
        <v>1374</v>
      </c>
      <c r="B104" s="2" t="s">
        <v>1911</v>
      </c>
      <c r="C104" s="2" t="s">
        <v>1907</v>
      </c>
      <c r="D104" s="2" t="str">
        <f aca="false">IF(ISERROR(SEARCH("ASPERGILLUS", UPPER(A104)) ),"N","Y" )</f>
        <v>N</v>
      </c>
    </row>
    <row r="105" customFormat="false" ht="15.75" hidden="false" customHeight="false" outlineLevel="0" collapsed="false">
      <c r="A105" s="2" t="s">
        <v>1590</v>
      </c>
      <c r="B105" s="2" t="s">
        <v>568</v>
      </c>
      <c r="C105" s="2" t="s">
        <v>568</v>
      </c>
      <c r="D105" s="2" t="str">
        <f aca="false">IF(ISERROR(SEARCH("ASPERGILLUS", UPPER(A105)) ),"N","Y" )</f>
        <v>N</v>
      </c>
    </row>
    <row r="106" customFormat="false" ht="15.75" hidden="false" customHeight="false" outlineLevel="0" collapsed="false">
      <c r="A106" s="2" t="s">
        <v>1590</v>
      </c>
      <c r="B106" s="2" t="s">
        <v>568</v>
      </c>
      <c r="C106" s="2" t="s">
        <v>1919</v>
      </c>
      <c r="D106" s="2" t="str">
        <f aca="false">IF(ISERROR(SEARCH("ASPERGILLUS", UPPER(A106)) ),"N","Y" )</f>
        <v>N</v>
      </c>
    </row>
    <row r="107" customFormat="false" ht="15.75" hidden="false" customHeight="false" outlineLevel="0" collapsed="false">
      <c r="A107" s="2" t="s">
        <v>1334</v>
      </c>
      <c r="B107" s="2" t="s">
        <v>1325</v>
      </c>
      <c r="C107" s="2" t="s">
        <v>1919</v>
      </c>
      <c r="D107" s="2" t="str">
        <f aca="false">IF(ISERROR(SEARCH("ASPERGILLUS", UPPER(A107)) ),"N","Y" )</f>
        <v>N</v>
      </c>
    </row>
    <row r="108" customFormat="false" ht="15.75" hidden="false" customHeight="false" outlineLevel="0" collapsed="false">
      <c r="A108" s="2" t="s">
        <v>1930</v>
      </c>
      <c r="B108" s="2" t="s">
        <v>1131</v>
      </c>
      <c r="C108" s="2" t="s">
        <v>1131</v>
      </c>
      <c r="D108" s="2" t="str">
        <f aca="false">IF(ISERROR(SEARCH("ASPERGILLUS", UPPER(A108)) ),"N","Y" )</f>
        <v>N</v>
      </c>
    </row>
    <row r="109" customFormat="false" ht="15.75" hidden="false" customHeight="false" outlineLevel="0" collapsed="false">
      <c r="A109" s="2" t="s">
        <v>1931</v>
      </c>
      <c r="B109" s="2" t="s">
        <v>1325</v>
      </c>
      <c r="C109" s="2" t="s">
        <v>1919</v>
      </c>
      <c r="D109" s="2" t="str">
        <f aca="false">IF(ISERROR(SEARCH("ASPERGILLUS", UPPER(A109)) ),"N","Y" )</f>
        <v>N</v>
      </c>
    </row>
    <row r="110" customFormat="false" ht="15.75" hidden="false" customHeight="false" outlineLevel="0" collapsed="false">
      <c r="A110" s="2" t="s">
        <v>1931</v>
      </c>
      <c r="B110" s="2" t="s">
        <v>1919</v>
      </c>
      <c r="C110" s="2" t="s">
        <v>1919</v>
      </c>
      <c r="D110" s="2" t="str">
        <f aca="false">IF(ISERROR(SEARCH("ASPERGILLUS", UPPER(A110)) ),"N","Y" )</f>
        <v>N</v>
      </c>
    </row>
    <row r="111" customFormat="false" ht="15.75" hidden="false" customHeight="false" outlineLevel="0" collapsed="false">
      <c r="A111" s="2" t="s">
        <v>34</v>
      </c>
      <c r="B111" s="2" t="s">
        <v>1537</v>
      </c>
      <c r="C111" s="2" t="s">
        <v>1908</v>
      </c>
      <c r="D111" s="2" t="str">
        <f aca="false">IF(ISERROR(SEARCH("ASPERGILLUS", UPPER(A111)) ),"N","Y" )</f>
        <v>N</v>
      </c>
    </row>
    <row r="112" customFormat="false" ht="15.75" hidden="false" customHeight="false" outlineLevel="0" collapsed="false">
      <c r="A112" s="2" t="s">
        <v>1387</v>
      </c>
      <c r="B112" s="2" t="s">
        <v>1919</v>
      </c>
      <c r="C112" s="2" t="s">
        <v>1919</v>
      </c>
      <c r="D112" s="2" t="str">
        <f aca="false">IF(ISERROR(SEARCH("ASPERGILLUS", UPPER(A112)) ),"N","Y" )</f>
        <v>N</v>
      </c>
    </row>
    <row r="113" customFormat="false" ht="15.75" hidden="false" customHeight="false" outlineLevel="0" collapsed="false">
      <c r="A113" s="2" t="s">
        <v>1325</v>
      </c>
      <c r="B113" s="2" t="s">
        <v>1325</v>
      </c>
      <c r="C113" s="2" t="s">
        <v>1919</v>
      </c>
      <c r="D113" s="2" t="str">
        <f aca="false">IF(ISERROR(SEARCH("ASPERGILLUS", UPPER(A113)) ),"N","Y" )</f>
        <v>N</v>
      </c>
    </row>
    <row r="114" customFormat="false" ht="15.75" hidden="false" customHeight="false" outlineLevel="0" collapsed="false">
      <c r="A114" s="2" t="s">
        <v>1014</v>
      </c>
      <c r="B114" s="2" t="s">
        <v>1447</v>
      </c>
      <c r="C114" s="2" t="s">
        <v>1915</v>
      </c>
      <c r="D114" s="2" t="str">
        <f aca="false">IF(ISERROR(SEARCH("ASPERGILLUS", UPPER(A114)) ),"N","Y" )</f>
        <v>N</v>
      </c>
    </row>
    <row r="115" customFormat="false" ht="15.75" hidden="false" customHeight="false" outlineLevel="0" collapsed="false">
      <c r="A115" s="2" t="s">
        <v>1014</v>
      </c>
      <c r="B115" s="2" t="s">
        <v>1325</v>
      </c>
      <c r="C115" s="2" t="s">
        <v>1919</v>
      </c>
      <c r="D115" s="2" t="str">
        <f aca="false">IF(ISERROR(SEARCH("ASPERGILLUS", UPPER(A115)) ),"N","Y" )</f>
        <v>N</v>
      </c>
    </row>
    <row r="116" customFormat="false" ht="15.75" hidden="false" customHeight="false" outlineLevel="0" collapsed="false">
      <c r="A116" s="2" t="s">
        <v>1025</v>
      </c>
      <c r="B116" s="2" t="s">
        <v>1097</v>
      </c>
      <c r="C116" s="2" t="s">
        <v>1915</v>
      </c>
      <c r="D116" s="2" t="str">
        <f aca="false">IF(ISERROR(SEARCH("ASPERGILLUS", UPPER(A116)) ),"N","Y" )</f>
        <v>N</v>
      </c>
    </row>
    <row r="117" customFormat="false" ht="15.75" hidden="false" customHeight="false" outlineLevel="0" collapsed="false">
      <c r="A117" s="2" t="s">
        <v>1047</v>
      </c>
      <c r="B117" s="2" t="s">
        <v>1097</v>
      </c>
      <c r="C117" s="2" t="s">
        <v>1915</v>
      </c>
      <c r="D117" s="2" t="str">
        <f aca="false">IF(ISERROR(SEARCH("ASPERGILLUS", UPPER(A117)) ),"N","Y" )</f>
        <v>Y</v>
      </c>
    </row>
    <row r="118" customFormat="false" ht="15.75" hidden="false" customHeight="false" outlineLevel="0" collapsed="false">
      <c r="A118" s="2" t="s">
        <v>1047</v>
      </c>
      <c r="B118" s="2" t="s">
        <v>47</v>
      </c>
      <c r="C118" s="2" t="s">
        <v>1915</v>
      </c>
      <c r="D118" s="2" t="str">
        <f aca="false">IF(ISERROR(SEARCH("ASPERGILLUS", UPPER(A118)) ),"N","Y" )</f>
        <v>Y</v>
      </c>
    </row>
    <row r="119" customFormat="false" ht="15.75" hidden="false" customHeight="false" outlineLevel="0" collapsed="false">
      <c r="A119" s="2" t="s">
        <v>1933</v>
      </c>
      <c r="B119" s="2" t="s">
        <v>1920</v>
      </c>
      <c r="C119" s="2" t="s">
        <v>1920</v>
      </c>
      <c r="D119" s="2" t="str">
        <f aca="false">IF(ISERROR(SEARCH("ASPERGILLUS", UPPER(A119)) ),"N","Y" )</f>
        <v>N</v>
      </c>
    </row>
    <row r="120" customFormat="false" ht="15.75" hidden="false" customHeight="false" outlineLevel="0" collapsed="false">
      <c r="A120" s="2" t="s">
        <v>978</v>
      </c>
      <c r="B120" s="2" t="s">
        <v>1097</v>
      </c>
      <c r="C120" s="2" t="s">
        <v>1915</v>
      </c>
      <c r="D120" s="2" t="str">
        <f aca="false">IF(ISERROR(SEARCH("ASPERGILLUS", UPPER(A120)) ),"N","Y" )</f>
        <v>N</v>
      </c>
    </row>
    <row r="121" customFormat="false" ht="15.75" hidden="false" customHeight="false" outlineLevel="0" collapsed="false">
      <c r="A121" s="2" t="s">
        <v>1043</v>
      </c>
      <c r="B121" s="2" t="s">
        <v>1097</v>
      </c>
      <c r="C121" s="2" t="s">
        <v>1915</v>
      </c>
      <c r="D121" s="2" t="str">
        <f aca="false">IF(ISERROR(SEARCH("ASPERGILLUS", UPPER(A121)) ),"N","Y" )</f>
        <v>Y</v>
      </c>
    </row>
    <row r="122" customFormat="false" ht="15.75" hidden="false" customHeight="false" outlineLevel="0" collapsed="false">
      <c r="A122" s="2" t="s">
        <v>1043</v>
      </c>
      <c r="B122" s="2" t="s">
        <v>47</v>
      </c>
      <c r="C122" s="2" t="s">
        <v>1915</v>
      </c>
      <c r="D122" s="2" t="str">
        <f aca="false">IF(ISERROR(SEARCH("ASPERGILLUS", UPPER(A122)) ),"N","Y" )</f>
        <v>Y</v>
      </c>
    </row>
    <row r="123" customFormat="false" ht="15.75" hidden="false" customHeight="false" outlineLevel="0" collapsed="false">
      <c r="A123" s="2" t="s">
        <v>179</v>
      </c>
      <c r="B123" s="2" t="s">
        <v>1912</v>
      </c>
      <c r="C123" s="2" t="s">
        <v>1912</v>
      </c>
      <c r="D123" s="2" t="str">
        <f aca="false">IF(ISERROR(SEARCH("ASPERGILLUS", UPPER(A123)) ),"N","Y" )</f>
        <v>N</v>
      </c>
    </row>
    <row r="124" customFormat="false" ht="15.75" hidden="false" customHeight="false" outlineLevel="0" collapsed="false">
      <c r="A124" s="2" t="s">
        <v>1097</v>
      </c>
      <c r="B124" s="2" t="s">
        <v>1097</v>
      </c>
      <c r="C124" s="2" t="s">
        <v>1915</v>
      </c>
      <c r="D124" s="2" t="str">
        <f aca="false">IF(ISERROR(SEARCH("ASPERGILLUS", UPPER(A124)) ),"N","Y" )</f>
        <v>N</v>
      </c>
    </row>
    <row r="125" customFormat="false" ht="15.75" hidden="false" customHeight="false" outlineLevel="0" collapsed="false">
      <c r="A125" s="2" t="s">
        <v>1093</v>
      </c>
      <c r="B125" s="2" t="s">
        <v>1920</v>
      </c>
      <c r="C125" s="2" t="s">
        <v>1920</v>
      </c>
      <c r="D125" s="2" t="str">
        <f aca="false">IF(ISERROR(SEARCH("ASPERGILLUS", UPPER(A125)) ),"N","Y" )</f>
        <v>N</v>
      </c>
    </row>
    <row r="126" customFormat="false" ht="15.75" hidden="false" customHeight="false" outlineLevel="0" collapsed="false">
      <c r="A126" s="2" t="s">
        <v>1079</v>
      </c>
      <c r="B126" s="2" t="s">
        <v>1097</v>
      </c>
      <c r="C126" s="2" t="s">
        <v>1915</v>
      </c>
      <c r="D126" s="2" t="str">
        <f aca="false">IF(ISERROR(SEARCH("ASPERGILLUS", UPPER(A126)) ),"N","Y" )</f>
        <v>Y</v>
      </c>
    </row>
    <row r="127" customFormat="false" ht="15.75" hidden="false" customHeight="false" outlineLevel="0" collapsed="false">
      <c r="A127" s="2" t="s">
        <v>1079</v>
      </c>
      <c r="B127" s="2" t="s">
        <v>47</v>
      </c>
      <c r="C127" s="2" t="s">
        <v>1915</v>
      </c>
      <c r="D127" s="2" t="str">
        <f aca="false">IF(ISERROR(SEARCH("ASPERGILLUS", UPPER(A127)) ),"N","Y" )</f>
        <v>Y</v>
      </c>
    </row>
    <row r="128" customFormat="false" ht="15.75" hidden="false" customHeight="false" outlineLevel="0" collapsed="false">
      <c r="A128" s="2" t="s">
        <v>1393</v>
      </c>
      <c r="B128" s="2" t="s">
        <v>1912</v>
      </c>
      <c r="C128" s="2" t="s">
        <v>1912</v>
      </c>
      <c r="D128" s="2" t="str">
        <f aca="false">IF(ISERROR(SEARCH("ASPERGILLUS", UPPER(A128)) ),"N","Y" )</f>
        <v>N</v>
      </c>
    </row>
    <row r="129" customFormat="false" ht="15.75" hidden="false" customHeight="false" outlineLevel="0" collapsed="false">
      <c r="A129" s="2" t="s">
        <v>1934</v>
      </c>
      <c r="B129" s="2" t="s">
        <v>1131</v>
      </c>
      <c r="C129" s="2" t="s">
        <v>1131</v>
      </c>
      <c r="D129" s="2" t="str">
        <f aca="false">IF(ISERROR(SEARCH("ASPERGILLUS", UPPER(A129)) ),"N","Y" )</f>
        <v>N</v>
      </c>
    </row>
    <row r="130" customFormat="false" ht="15.75" hidden="false" customHeight="false" outlineLevel="0" collapsed="false">
      <c r="A130" s="2" t="s">
        <v>1555</v>
      </c>
      <c r="B130" s="2" t="s">
        <v>1097</v>
      </c>
      <c r="C130" s="2" t="s">
        <v>1915</v>
      </c>
      <c r="D130" s="2" t="str">
        <f aca="false">IF(ISERROR(SEARCH("ASPERGILLUS", UPPER(A130)) ),"N","Y" )</f>
        <v>N</v>
      </c>
    </row>
    <row r="131" customFormat="false" ht="15.75" hidden="false" customHeight="false" outlineLevel="0" collapsed="false">
      <c r="A131" s="2" t="s">
        <v>1678</v>
      </c>
      <c r="B131" s="2" t="s">
        <v>1325</v>
      </c>
      <c r="C131" s="2" t="s">
        <v>1919</v>
      </c>
      <c r="D131" s="2" t="str">
        <f aca="false">IF(ISERROR(SEARCH("ASPERGILLUS", UPPER(A131)) ),"N","Y" )</f>
        <v>N</v>
      </c>
    </row>
    <row r="132" customFormat="false" ht="15.75" hidden="false" customHeight="false" outlineLevel="0" collapsed="false">
      <c r="A132" s="2" t="s">
        <v>1778</v>
      </c>
      <c r="B132" s="2" t="s">
        <v>1778</v>
      </c>
      <c r="C132" s="2" t="s">
        <v>1916</v>
      </c>
      <c r="D132" s="2" t="str">
        <f aca="false">IF(ISERROR(SEARCH("ASPERGILLUS", UPPER(A132)) ),"N","Y" )</f>
        <v>N</v>
      </c>
    </row>
    <row r="133" customFormat="false" ht="15.75" hidden="false" customHeight="false" outlineLevel="0" collapsed="false">
      <c r="A133" s="2" t="s">
        <v>1007</v>
      </c>
      <c r="B133" s="2" t="s">
        <v>1007</v>
      </c>
      <c r="C133" s="2" t="s">
        <v>1916</v>
      </c>
      <c r="D133" s="2" t="str">
        <f aca="false">IF(ISERROR(SEARCH("ASPERGILLUS", UPPER(A133)) ),"N","Y" )</f>
        <v>N</v>
      </c>
    </row>
    <row r="134" customFormat="false" ht="15.75" hidden="false" customHeight="false" outlineLevel="0" collapsed="false">
      <c r="A134" s="2" t="s">
        <v>1769</v>
      </c>
      <c r="B134" s="2" t="s">
        <v>1912</v>
      </c>
      <c r="C134" s="2" t="s">
        <v>1912</v>
      </c>
      <c r="D134" s="2" t="str">
        <f aca="false">IF(ISERROR(SEARCH("ASPERGILLUS", UPPER(A134)) ),"N","Y" )</f>
        <v>N</v>
      </c>
    </row>
    <row r="135" customFormat="false" ht="15.75" hidden="false" customHeight="false" outlineLevel="0" collapsed="false">
      <c r="A135" s="2" t="s">
        <v>1765</v>
      </c>
      <c r="B135" s="2" t="s">
        <v>1537</v>
      </c>
      <c r="C135" s="2" t="s">
        <v>1908</v>
      </c>
      <c r="D135" s="2" t="str">
        <f aca="false">IF(ISERROR(SEARCH("ASPERGILLUS", UPPER(A135)) ),"N","Y" )</f>
        <v>N</v>
      </c>
    </row>
    <row r="136" customFormat="false" ht="15.75" hidden="false" customHeight="false" outlineLevel="0" collapsed="false">
      <c r="A136" s="2" t="s">
        <v>1610</v>
      </c>
      <c r="B136" s="2" t="s">
        <v>1935</v>
      </c>
      <c r="C136" s="2" t="s">
        <v>1907</v>
      </c>
      <c r="D136" s="2" t="str">
        <f aca="false">IF(ISERROR(SEARCH("ASPERGILLUS", UPPER(A136)) ),"N","Y" )</f>
        <v>N</v>
      </c>
    </row>
    <row r="137" customFormat="false" ht="15.75" hidden="false" customHeight="false" outlineLevel="0" collapsed="false">
      <c r="A137" s="2" t="s">
        <v>184</v>
      </c>
      <c r="B137" s="2" t="s">
        <v>1910</v>
      </c>
      <c r="C137" s="2" t="s">
        <v>1910</v>
      </c>
      <c r="D137" s="2" t="str">
        <f aca="false">IF(ISERROR(SEARCH("ASPERGILLUS", UPPER(A137)) ),"N","Y" )</f>
        <v>N</v>
      </c>
    </row>
    <row r="138" customFormat="false" ht="15.75" hidden="false" customHeight="false" outlineLevel="0" collapsed="false">
      <c r="A138" s="2" t="s">
        <v>1231</v>
      </c>
      <c r="B138" s="2" t="s">
        <v>47</v>
      </c>
      <c r="C138" s="2" t="s">
        <v>1915</v>
      </c>
      <c r="D138" s="2" t="str">
        <f aca="false">IF(ISERROR(SEARCH("ASPERGILLUS", UPPER(A138)) ),"N","Y" )</f>
        <v>Y</v>
      </c>
    </row>
    <row r="139" customFormat="false" ht="15.75" hidden="false" customHeight="false" outlineLevel="0" collapsed="false">
      <c r="A139" s="2" t="s">
        <v>1231</v>
      </c>
      <c r="B139" s="2" t="s">
        <v>1097</v>
      </c>
      <c r="C139" s="2" t="s">
        <v>1915</v>
      </c>
      <c r="D139" s="2" t="str">
        <f aca="false">IF(ISERROR(SEARCH("ASPERGILLUS", UPPER(A139)) ),"N","Y" )</f>
        <v>Y</v>
      </c>
    </row>
    <row r="140" customFormat="false" ht="15.75" hidden="false" customHeight="false" outlineLevel="0" collapsed="false">
      <c r="A140" s="2" t="s">
        <v>1231</v>
      </c>
      <c r="B140" s="2" t="s">
        <v>1097</v>
      </c>
      <c r="C140" s="2" t="s">
        <v>1915</v>
      </c>
      <c r="D140" s="2" t="str">
        <f aca="false">IF(ISERROR(SEARCH("ASPERGILLUS", UPPER(A140)) ),"N","Y" )</f>
        <v>Y</v>
      </c>
    </row>
    <row r="141" customFormat="false" ht="15.75" hidden="false" customHeight="false" outlineLevel="0" collapsed="false">
      <c r="A141" s="2" t="s">
        <v>1936</v>
      </c>
      <c r="B141" s="2" t="s">
        <v>1937</v>
      </c>
      <c r="C141" s="2" t="s">
        <v>1908</v>
      </c>
      <c r="D141" s="2" t="str">
        <f aca="false">IF(ISERROR(SEARCH("ASPERGILLUS", UPPER(A141)) ),"N","Y" )</f>
        <v>N</v>
      </c>
    </row>
    <row r="142" customFormat="false" ht="15.75" hidden="false" customHeight="false" outlineLevel="0" collapsed="false">
      <c r="A142" s="2" t="s">
        <v>1396</v>
      </c>
      <c r="B142" s="2" t="s">
        <v>1938</v>
      </c>
      <c r="C142" s="2" t="s">
        <v>1907</v>
      </c>
      <c r="D142" s="2" t="str">
        <f aca="false">IF(ISERROR(SEARCH("ASPERGILLUS", UPPER(A142)) ),"N","Y" )</f>
        <v>N</v>
      </c>
    </row>
    <row r="143" customFormat="false" ht="15.75" hidden="false" customHeight="false" outlineLevel="0" collapsed="false">
      <c r="A143" s="2" t="s">
        <v>1774</v>
      </c>
      <c r="B143" s="2" t="s">
        <v>1007</v>
      </c>
      <c r="C143" s="2" t="s">
        <v>1916</v>
      </c>
      <c r="D143" s="2" t="str">
        <f aca="false">IF(ISERROR(SEARCH("ASPERGILLUS", UPPER(A143)) ),"N","Y" )</f>
        <v>N</v>
      </c>
    </row>
    <row r="144" customFormat="false" ht="15.75" hidden="false" customHeight="false" outlineLevel="0" collapsed="false">
      <c r="A144" s="2" t="s">
        <v>1774</v>
      </c>
      <c r="B144" s="2" t="s">
        <v>996</v>
      </c>
      <c r="C144" s="2" t="s">
        <v>1916</v>
      </c>
      <c r="D144" s="2" t="str">
        <f aca="false">IF(ISERROR(SEARCH("ASPERGILLUS", UPPER(A144)) ),"N","Y" )</f>
        <v>N</v>
      </c>
    </row>
    <row r="145" customFormat="false" ht="15.75" hidden="false" customHeight="false" outlineLevel="0" collapsed="false">
      <c r="A145" s="2" t="s">
        <v>1774</v>
      </c>
      <c r="B145" s="2" t="s">
        <v>1447</v>
      </c>
      <c r="C145" s="2" t="s">
        <v>1915</v>
      </c>
      <c r="D145" s="2" t="str">
        <f aca="false">IF(ISERROR(SEARCH("ASPERGILLUS", UPPER(A145)) ),"N","Y" )</f>
        <v>N</v>
      </c>
    </row>
    <row r="146" customFormat="false" ht="15.75" hidden="false" customHeight="false" outlineLevel="0" collapsed="false">
      <c r="A146" s="2" t="s">
        <v>816</v>
      </c>
      <c r="B146" s="2" t="s">
        <v>1131</v>
      </c>
      <c r="C146" s="2" t="s">
        <v>1131</v>
      </c>
      <c r="D146" s="2" t="str">
        <f aca="false">IF(ISERROR(SEARCH("ASPERGILLUS", UPPER(A146)) ),"N","Y" )</f>
        <v>N</v>
      </c>
    </row>
    <row r="147" customFormat="false" ht="15.75" hidden="false" customHeight="false" outlineLevel="0" collapsed="false">
      <c r="A147" s="2" t="s">
        <v>188</v>
      </c>
      <c r="B147" s="2" t="s">
        <v>568</v>
      </c>
      <c r="C147" s="2" t="s">
        <v>568</v>
      </c>
      <c r="D147" s="2" t="str">
        <f aca="false">IF(ISERROR(SEARCH("ASPERGILLUS", UPPER(A147)) ),"N","Y" )</f>
        <v>N</v>
      </c>
    </row>
    <row r="148" customFormat="false" ht="15.75" hidden="false" customHeight="false" outlineLevel="0" collapsed="false">
      <c r="A148" s="2" t="s">
        <v>191</v>
      </c>
      <c r="B148" s="2" t="s">
        <v>1131</v>
      </c>
      <c r="C148" s="2" t="s">
        <v>1131</v>
      </c>
      <c r="D148" s="2" t="str">
        <f aca="false">IF(ISERROR(SEARCH("ASPERGILLUS", UPPER(A148)) ),"N","Y" )</f>
        <v>N</v>
      </c>
    </row>
    <row r="149" customFormat="false" ht="15.75" hidden="false" customHeight="false" outlineLevel="0" collapsed="false">
      <c r="A149" s="2" t="s">
        <v>195</v>
      </c>
      <c r="B149" s="2" t="s">
        <v>1131</v>
      </c>
      <c r="C149" s="2" t="s">
        <v>1131</v>
      </c>
      <c r="D149" s="2" t="str">
        <f aca="false">IF(ISERROR(SEARCH("ASPERGILLUS", UPPER(A149)) ),"N","Y" )</f>
        <v>N</v>
      </c>
    </row>
    <row r="150" customFormat="false" ht="15.75" hidden="false" customHeight="false" outlineLevel="0" collapsed="false">
      <c r="A150" s="2" t="s">
        <v>198</v>
      </c>
      <c r="B150" s="2" t="s">
        <v>47</v>
      </c>
      <c r="C150" s="2" t="s">
        <v>1915</v>
      </c>
      <c r="D150" s="2" t="str">
        <f aca="false">IF(ISERROR(SEARCH("ASPERGILLUS", UPPER(A150)) ),"N","Y" )</f>
        <v>Y</v>
      </c>
    </row>
    <row r="151" customFormat="false" ht="15.75" hidden="false" customHeight="false" outlineLevel="0" collapsed="false">
      <c r="A151" s="2" t="s">
        <v>204</v>
      </c>
      <c r="B151" s="2" t="s">
        <v>47</v>
      </c>
      <c r="C151" s="2" t="s">
        <v>1915</v>
      </c>
      <c r="D151" s="2" t="str">
        <f aca="false">IF(ISERROR(SEARCH("ASPERGILLUS", UPPER(A151)) ),"N","Y" )</f>
        <v>Y</v>
      </c>
    </row>
    <row r="152" customFormat="false" ht="15.75" hidden="false" customHeight="false" outlineLevel="0" collapsed="false">
      <c r="A152" s="2" t="s">
        <v>212</v>
      </c>
      <c r="B152" s="2" t="s">
        <v>1910</v>
      </c>
      <c r="C152" s="2" t="s">
        <v>1910</v>
      </c>
      <c r="D152" s="2" t="str">
        <f aca="false">IF(ISERROR(SEARCH("ASPERGILLUS", UPPER(A152)) ),"N","Y" )</f>
        <v>N</v>
      </c>
    </row>
    <row r="153" customFormat="false" ht="15.75" hidden="false" customHeight="false" outlineLevel="0" collapsed="false">
      <c r="A153" s="2" t="s">
        <v>215</v>
      </c>
      <c r="B153" s="2" t="s">
        <v>47</v>
      </c>
      <c r="C153" s="2" t="s">
        <v>1915</v>
      </c>
      <c r="D153" s="2" t="str">
        <f aca="false">IF(ISERROR(SEARCH("ASPERGILLUS", UPPER(A153)) ),"N","Y" )</f>
        <v>Y</v>
      </c>
    </row>
    <row r="154" customFormat="false" ht="15.75" hidden="false" customHeight="false" outlineLevel="0" collapsed="false">
      <c r="A154" s="2" t="s">
        <v>218</v>
      </c>
      <c r="B154" s="2" t="s">
        <v>47</v>
      </c>
      <c r="C154" s="2" t="s">
        <v>1910</v>
      </c>
      <c r="D154" s="2" t="str">
        <f aca="false">IF(ISERROR(SEARCH("ASPERGILLUS", UPPER(A154)) ),"N","Y" )</f>
        <v>Y</v>
      </c>
    </row>
    <row r="155" customFormat="false" ht="15.75" hidden="false" customHeight="false" outlineLevel="0" collapsed="false">
      <c r="A155" s="2" t="s">
        <v>223</v>
      </c>
      <c r="B155" s="2" t="s">
        <v>47</v>
      </c>
      <c r="C155" s="2" t="s">
        <v>1915</v>
      </c>
      <c r="D155" s="2" t="str">
        <f aca="false">IF(ISERROR(SEARCH("ASPERGILLUS", UPPER(A155)) ),"N","Y" )</f>
        <v>Y</v>
      </c>
    </row>
    <row r="156" customFormat="false" ht="15.75" hidden="false" customHeight="false" outlineLevel="0" collapsed="false">
      <c r="A156" s="2" t="s">
        <v>226</v>
      </c>
      <c r="B156" s="2" t="s">
        <v>568</v>
      </c>
      <c r="C156" s="2" t="s">
        <v>568</v>
      </c>
      <c r="D156" s="2" t="str">
        <f aca="false">IF(ISERROR(SEARCH("ASPERGILLUS", UPPER(A156)) ),"N","Y" )</f>
        <v>N</v>
      </c>
    </row>
    <row r="157" customFormat="false" ht="15.75" hidden="false" customHeight="false" outlineLevel="0" collapsed="false">
      <c r="A157" s="2" t="s">
        <v>231</v>
      </c>
      <c r="B157" s="2" t="s">
        <v>1939</v>
      </c>
      <c r="C157" s="2" t="s">
        <v>1915</v>
      </c>
      <c r="D157" s="2" t="str">
        <f aca="false">IF(ISERROR(SEARCH("ASPERGILLUS", UPPER(A157)) ),"N","Y" )</f>
        <v>Y</v>
      </c>
    </row>
    <row r="158" customFormat="false" ht="15.75" hidden="false" customHeight="false" outlineLevel="0" collapsed="false">
      <c r="A158" s="2" t="s">
        <v>231</v>
      </c>
      <c r="B158" s="2" t="s">
        <v>1939</v>
      </c>
      <c r="C158" s="2" t="s">
        <v>1910</v>
      </c>
      <c r="D158" s="2" t="str">
        <f aca="false">IF(ISERROR(SEARCH("ASPERGILLUS", UPPER(A158)) ),"N","Y" )</f>
        <v>Y</v>
      </c>
    </row>
    <row r="159" customFormat="false" ht="15.75" hidden="false" customHeight="false" outlineLevel="0" collapsed="false">
      <c r="A159" s="2" t="s">
        <v>1940</v>
      </c>
      <c r="B159" s="2" t="s">
        <v>1939</v>
      </c>
      <c r="C159" s="2" t="s">
        <v>1915</v>
      </c>
      <c r="D159" s="2" t="str">
        <f aca="false">IF(ISERROR(SEARCH("ASPERGILLUS", UPPER(A159)) ),"N","Y" )</f>
        <v>Y</v>
      </c>
    </row>
    <row r="160" customFormat="false" ht="15.75" hidden="false" customHeight="false" outlineLevel="0" collapsed="false">
      <c r="A160" s="2" t="s">
        <v>1940</v>
      </c>
      <c r="B160" s="2" t="s">
        <v>1939</v>
      </c>
      <c r="C160" s="2" t="s">
        <v>1910</v>
      </c>
      <c r="D160" s="2" t="str">
        <f aca="false">IF(ISERROR(SEARCH("ASPERGILLUS", UPPER(A160)) ),"N","Y" )</f>
        <v>Y</v>
      </c>
    </row>
    <row r="161" customFormat="false" ht="15.75" hidden="false" customHeight="false" outlineLevel="0" collapsed="false">
      <c r="A161" s="2" t="s">
        <v>252</v>
      </c>
      <c r="B161" s="2" t="s">
        <v>568</v>
      </c>
      <c r="C161" s="2" t="s">
        <v>568</v>
      </c>
      <c r="D161" s="2" t="str">
        <f aca="false">IF(ISERROR(SEARCH("ASPERGILLUS", UPPER(A161)) ),"N","Y" )</f>
        <v>N</v>
      </c>
    </row>
    <row r="162" customFormat="false" ht="15.75" hidden="false" customHeight="false" outlineLevel="0" collapsed="false">
      <c r="A162" s="2" t="s">
        <v>236</v>
      </c>
      <c r="B162" s="2" t="s">
        <v>1939</v>
      </c>
      <c r="C162" s="2" t="s">
        <v>1915</v>
      </c>
      <c r="D162" s="2" t="str">
        <f aca="false">IF(ISERROR(SEARCH("ASPERGILLUS", UPPER(A162)) ),"N","Y" )</f>
        <v>Y</v>
      </c>
    </row>
    <row r="163" customFormat="false" ht="15.75" hidden="false" customHeight="false" outlineLevel="0" collapsed="false">
      <c r="A163" s="2" t="s">
        <v>236</v>
      </c>
      <c r="B163" s="2" t="s">
        <v>1939</v>
      </c>
      <c r="C163" s="2" t="s">
        <v>1910</v>
      </c>
      <c r="D163" s="2" t="str">
        <f aca="false">IF(ISERROR(SEARCH("ASPERGILLUS", UPPER(A163)) ),"N","Y" )</f>
        <v>Y</v>
      </c>
    </row>
    <row r="164" customFormat="false" ht="15.75" hidden="false" customHeight="false" outlineLevel="0" collapsed="false">
      <c r="A164" s="2" t="s">
        <v>239</v>
      </c>
      <c r="B164" s="2" t="s">
        <v>568</v>
      </c>
      <c r="C164" s="2" t="s">
        <v>568</v>
      </c>
      <c r="D164" s="2" t="str">
        <f aca="false">IF(ISERROR(SEARCH("ASPERGILLUS", UPPER(A164)) ),"N","Y" )</f>
        <v>N</v>
      </c>
    </row>
    <row r="165" customFormat="false" ht="15.75" hidden="false" customHeight="false" outlineLevel="0" collapsed="false">
      <c r="A165" s="2" t="s">
        <v>242</v>
      </c>
      <c r="B165" s="2" t="s">
        <v>1939</v>
      </c>
      <c r="C165" s="2" t="s">
        <v>1915</v>
      </c>
      <c r="D165" s="2" t="str">
        <f aca="false">IF(ISERROR(SEARCH("ASPERGILLUS", UPPER(A165)) ),"N","Y" )</f>
        <v>Y</v>
      </c>
    </row>
    <row r="166" customFormat="false" ht="15.75" hidden="false" customHeight="false" outlineLevel="0" collapsed="false">
      <c r="A166" s="2" t="s">
        <v>242</v>
      </c>
      <c r="B166" s="2" t="s">
        <v>1939</v>
      </c>
      <c r="C166" s="2" t="s">
        <v>1910</v>
      </c>
      <c r="D166" s="2" t="str">
        <f aca="false">IF(ISERROR(SEARCH("ASPERGILLUS", UPPER(A166)) ),"N","Y" )</f>
        <v>Y</v>
      </c>
    </row>
    <row r="167" customFormat="false" ht="15.75" hidden="false" customHeight="false" outlineLevel="0" collapsed="false">
      <c r="A167" s="2" t="s">
        <v>245</v>
      </c>
      <c r="B167" s="2" t="s">
        <v>1912</v>
      </c>
      <c r="C167" s="2" t="s">
        <v>1912</v>
      </c>
      <c r="D167" s="2" t="str">
        <f aca="false">IF(ISERROR(SEARCH("ASPERGILLUS", UPPER(A167)) ),"N","Y" )</f>
        <v>N</v>
      </c>
    </row>
    <row r="168" customFormat="false" ht="15.75" hidden="false" customHeight="false" outlineLevel="0" collapsed="false">
      <c r="A168" s="2" t="s">
        <v>248</v>
      </c>
      <c r="B168" s="2" t="s">
        <v>1939</v>
      </c>
      <c r="C168" s="2" t="s">
        <v>1915</v>
      </c>
      <c r="D168" s="2" t="str">
        <f aca="false">IF(ISERROR(SEARCH("ASPERGILLUS", UPPER(A168)) ),"N","Y" )</f>
        <v>Y</v>
      </c>
    </row>
    <row r="169" customFormat="false" ht="15.75" hidden="false" customHeight="false" outlineLevel="0" collapsed="false">
      <c r="A169" s="2" t="s">
        <v>248</v>
      </c>
      <c r="B169" s="2" t="s">
        <v>1939</v>
      </c>
      <c r="C169" s="2" t="s">
        <v>1910</v>
      </c>
      <c r="D169" s="2" t="str">
        <f aca="false">IF(ISERROR(SEARCH("ASPERGILLUS", UPPER(A169)) ),"N","Y" )</f>
        <v>Y</v>
      </c>
    </row>
    <row r="170" customFormat="false" ht="15.75" hidden="false" customHeight="false" outlineLevel="0" collapsed="false">
      <c r="A170" s="2" t="s">
        <v>256</v>
      </c>
      <c r="B170" s="2" t="s">
        <v>1131</v>
      </c>
      <c r="C170" s="2" t="s">
        <v>1912</v>
      </c>
      <c r="D170" s="2" t="str">
        <f aca="false">IF(ISERROR(SEARCH("ASPERGILLUS", UPPER(A170)) ),"N","Y" )</f>
        <v>N</v>
      </c>
    </row>
    <row r="171" customFormat="false" ht="15.75" hidden="false" customHeight="false" outlineLevel="0" collapsed="false">
      <c r="A171" s="2" t="s">
        <v>50</v>
      </c>
      <c r="B171" s="2" t="s">
        <v>47</v>
      </c>
      <c r="C171" s="2" t="s">
        <v>1915</v>
      </c>
      <c r="D171" s="2" t="str">
        <f aca="false">IF(ISERROR(SEARCH("ASPERGILLUS", UPPER(A171)) ),"N","Y" )</f>
        <v>Y</v>
      </c>
    </row>
    <row r="172" customFormat="false" ht="15.75" hidden="false" customHeight="false" outlineLevel="0" collapsed="false">
      <c r="A172" s="2" t="s">
        <v>43</v>
      </c>
      <c r="B172" s="2" t="s">
        <v>43</v>
      </c>
      <c r="C172" s="2" t="s">
        <v>1915</v>
      </c>
      <c r="D172" s="2" t="str">
        <f aca="false">IF(ISERROR(SEARCH("ASPERGILLUS", UPPER(A172)) ),"N","Y" )</f>
        <v>N</v>
      </c>
    </row>
    <row r="173" customFormat="false" ht="15.75" hidden="false" customHeight="false" outlineLevel="0" collapsed="false">
      <c r="A173" s="36" t="s">
        <v>288</v>
      </c>
      <c r="B173" s="2" t="s">
        <v>47</v>
      </c>
      <c r="C173" s="2" t="s">
        <v>1915</v>
      </c>
      <c r="D173" s="2" t="str">
        <f aca="false">IF(ISERROR(SEARCH("ASPERGILLUS", UPPER(A173)) ),"N","Y" )</f>
        <v>Y</v>
      </c>
    </row>
    <row r="174" customFormat="false" ht="15.75" hidden="false" customHeight="false" outlineLevel="0" collapsed="false">
      <c r="A174" s="36" t="s">
        <v>291</v>
      </c>
      <c r="B174" s="2" t="s">
        <v>47</v>
      </c>
      <c r="C174" s="2" t="s">
        <v>1915</v>
      </c>
      <c r="D174" s="2" t="str">
        <f aca="false">IF(ISERROR(SEARCH("ASPERGILLUS", UPPER(A174)) ),"N","Y" )</f>
        <v>Y</v>
      </c>
    </row>
    <row r="175" customFormat="false" ht="15.75" hidden="false" customHeight="false" outlineLevel="0" collapsed="false">
      <c r="A175" s="36" t="s">
        <v>300</v>
      </c>
      <c r="B175" s="2" t="s">
        <v>1131</v>
      </c>
      <c r="C175" s="2" t="s">
        <v>1131</v>
      </c>
      <c r="D175" s="2" t="str">
        <f aca="false">IF(ISERROR(SEARCH("ASPERGILLUS", UPPER(A175)) ),"N","Y" )</f>
        <v>N</v>
      </c>
    </row>
    <row r="176" customFormat="false" ht="15.75" hidden="false" customHeight="false" outlineLevel="0" collapsed="false">
      <c r="A176" s="36" t="s">
        <v>311</v>
      </c>
      <c r="B176" s="2" t="s">
        <v>1914</v>
      </c>
      <c r="C176" s="2" t="s">
        <v>1912</v>
      </c>
      <c r="D176" s="2" t="str">
        <f aca="false">IF(ISERROR(SEARCH("ASPERGILLUS", UPPER(A176)) ),"N","Y" )</f>
        <v>N</v>
      </c>
    </row>
    <row r="177" customFormat="false" ht="15.75" hidden="false" customHeight="false" outlineLevel="0" collapsed="false">
      <c r="A177" s="36" t="s">
        <v>315</v>
      </c>
      <c r="B177" s="2" t="s">
        <v>1131</v>
      </c>
      <c r="C177" s="2" t="s">
        <v>1131</v>
      </c>
      <c r="D177" s="2" t="str">
        <f aca="false">IF(ISERROR(SEARCH("ASPERGILLUS", UPPER(A177)) ),"N","Y" )</f>
        <v>N</v>
      </c>
    </row>
    <row r="178" customFormat="false" ht="15.75" hidden="false" customHeight="false" outlineLevel="0" collapsed="false">
      <c r="A178" s="36" t="s">
        <v>322</v>
      </c>
      <c r="B178" s="2" t="s">
        <v>1131</v>
      </c>
      <c r="C178" s="2" t="s">
        <v>1131</v>
      </c>
      <c r="D178" s="2" t="str">
        <f aca="false">IF(ISERROR(SEARCH("ASPERGILLUS", UPPER(A178)) ),"N","Y" )</f>
        <v>N</v>
      </c>
    </row>
    <row r="179" customFormat="false" ht="15.75" hidden="false" customHeight="false" outlineLevel="0" collapsed="false">
      <c r="A179" s="36" t="s">
        <v>322</v>
      </c>
      <c r="B179" s="2" t="s">
        <v>1939</v>
      </c>
      <c r="C179" s="2" t="s">
        <v>1915</v>
      </c>
      <c r="D179" s="2" t="str">
        <f aca="false">IF(ISERROR(SEARCH("ASPERGILLUS", UPPER(A179)) ),"N","Y" )</f>
        <v>N</v>
      </c>
    </row>
    <row r="180" customFormat="false" ht="15.75" hidden="false" customHeight="false" outlineLevel="0" collapsed="false">
      <c r="A180" s="36" t="s">
        <v>322</v>
      </c>
      <c r="B180" s="2" t="s">
        <v>1939</v>
      </c>
      <c r="C180" s="2" t="s">
        <v>1910</v>
      </c>
      <c r="D180" s="2" t="str">
        <f aca="false">IF(ISERROR(SEARCH("ASPERGILLUS", UPPER(A180)) ),"N","Y" )</f>
        <v>N</v>
      </c>
    </row>
    <row r="181" customFormat="false" ht="15.75" hidden="false" customHeight="false" outlineLevel="0" collapsed="false">
      <c r="A181" s="36" t="s">
        <v>326</v>
      </c>
      <c r="B181" s="2" t="s">
        <v>47</v>
      </c>
      <c r="C181" s="2" t="s">
        <v>1915</v>
      </c>
      <c r="D181" s="2" t="str">
        <f aca="false">IF(ISERROR(SEARCH("ASPERGILLUS", UPPER(A181)) ),"N","Y" )</f>
        <v>Y</v>
      </c>
    </row>
    <row r="182" customFormat="false" ht="15.75" hidden="false" customHeight="false" outlineLevel="0" collapsed="false">
      <c r="A182" s="36" t="s">
        <v>333</v>
      </c>
      <c r="B182" s="2" t="s">
        <v>1939</v>
      </c>
      <c r="C182" s="2" t="s">
        <v>1915</v>
      </c>
      <c r="D182" s="2" t="str">
        <f aca="false">IF(ISERROR(SEARCH("ASPERGILLUS", UPPER(A182)) ),"N","Y" )</f>
        <v>Y</v>
      </c>
    </row>
    <row r="183" customFormat="false" ht="15.75" hidden="false" customHeight="false" outlineLevel="0" collapsed="false">
      <c r="A183" s="36" t="s">
        <v>333</v>
      </c>
      <c r="B183" s="2" t="s">
        <v>1939</v>
      </c>
      <c r="C183" s="2" t="s">
        <v>1910</v>
      </c>
      <c r="D183" s="2" t="str">
        <f aca="false">IF(ISERROR(SEARCH("ASPERGILLUS", UPPER(A183)) ),"N","Y" )</f>
        <v>Y</v>
      </c>
    </row>
    <row r="184" customFormat="false" ht="15.75" hidden="false" customHeight="false" outlineLevel="0" collapsed="false">
      <c r="A184" s="36" t="s">
        <v>336</v>
      </c>
      <c r="B184" s="2" t="s">
        <v>1131</v>
      </c>
      <c r="C184" s="2" t="s">
        <v>1131</v>
      </c>
      <c r="D184" s="2" t="str">
        <f aca="false">IF(ISERROR(SEARCH("ASPERGILLUS", UPPER(A184)) ),"N","Y" )</f>
        <v>N</v>
      </c>
    </row>
    <row r="185" customFormat="false" ht="15.75" hidden="false" customHeight="false" outlineLevel="0" collapsed="false">
      <c r="A185" s="36" t="s">
        <v>343</v>
      </c>
      <c r="B185" s="2" t="s">
        <v>1908</v>
      </c>
      <c r="C185" s="2" t="s">
        <v>1908</v>
      </c>
      <c r="D185" s="2" t="str">
        <f aca="false">IF(ISERROR(SEARCH("ASPERGILLUS", UPPER(A185)) ),"N","Y" )</f>
        <v>N</v>
      </c>
    </row>
    <row r="186" customFormat="false" ht="15.75" hidden="false" customHeight="false" outlineLevel="0" collapsed="false">
      <c r="A186" s="36" t="s">
        <v>346</v>
      </c>
      <c r="B186" s="2" t="s">
        <v>1942</v>
      </c>
      <c r="C186" s="2" t="s">
        <v>1910</v>
      </c>
      <c r="D186" s="2" t="str">
        <f aca="false">IF(ISERROR(SEARCH("ASPERGILLUS", UPPER(A186)) ),"N","Y" )</f>
        <v>N</v>
      </c>
    </row>
    <row r="187" customFormat="false" ht="15.75" hidden="false" customHeight="false" outlineLevel="0" collapsed="false">
      <c r="A187" s="36" t="s">
        <v>350</v>
      </c>
      <c r="B187" s="2" t="s">
        <v>1778</v>
      </c>
      <c r="C187" s="2" t="s">
        <v>1916</v>
      </c>
      <c r="D187" s="2" t="str">
        <f aca="false">IF(ISERROR(SEARCH("ASPERGILLUS", UPPER(A187)) ),"N","Y" )</f>
        <v>N</v>
      </c>
    </row>
    <row r="188" customFormat="false" ht="15.75" hidden="false" customHeight="false" outlineLevel="0" collapsed="false">
      <c r="A188" s="36" t="s">
        <v>354</v>
      </c>
      <c r="B188" s="2" t="s">
        <v>1131</v>
      </c>
      <c r="C188" s="2" t="s">
        <v>1131</v>
      </c>
      <c r="D188" s="2" t="str">
        <f aca="false">IF(ISERROR(SEARCH("ASPERGILLUS", UPPER(A188)) ),"N","Y" )</f>
        <v>N</v>
      </c>
    </row>
    <row r="189" customFormat="false" ht="15.75" hidden="false" customHeight="false" outlineLevel="0" collapsed="false">
      <c r="A189" s="36" t="s">
        <v>358</v>
      </c>
      <c r="B189" s="2" t="s">
        <v>1908</v>
      </c>
      <c r="C189" s="2" t="s">
        <v>1908</v>
      </c>
      <c r="D189" s="2" t="str">
        <f aca="false">IF(ISERROR(SEARCH("ASPERGILLUS", UPPER(A189)) ),"N","Y" )</f>
        <v>N</v>
      </c>
    </row>
    <row r="190" customFormat="false" ht="15.75" hidden="false" customHeight="false" outlineLevel="0" collapsed="false">
      <c r="A190" s="36" t="s">
        <v>369</v>
      </c>
      <c r="B190" s="2" t="s">
        <v>1131</v>
      </c>
      <c r="C190" s="2" t="s">
        <v>1131</v>
      </c>
      <c r="D190" s="2" t="str">
        <f aca="false">IF(ISERROR(SEARCH("ASPERGILLUS", UPPER(A190)) ),"N","Y" )</f>
        <v>N</v>
      </c>
    </row>
    <row r="191" customFormat="false" ht="15.75" hidden="false" customHeight="false" outlineLevel="0" collapsed="false">
      <c r="A191" s="36" t="s">
        <v>380</v>
      </c>
      <c r="B191" s="2" t="s">
        <v>1939</v>
      </c>
      <c r="C191" s="2" t="s">
        <v>1915</v>
      </c>
      <c r="D191" s="2" t="str">
        <f aca="false">IF(ISERROR(SEARCH("ASPERGILLUS", UPPER(A191)) ),"N","Y" )</f>
        <v>Y</v>
      </c>
    </row>
    <row r="192" customFormat="false" ht="15.75" hidden="false" customHeight="false" outlineLevel="0" collapsed="false">
      <c r="A192" s="36" t="s">
        <v>380</v>
      </c>
      <c r="B192" s="2" t="s">
        <v>1939</v>
      </c>
      <c r="C192" s="2" t="s">
        <v>1910</v>
      </c>
      <c r="D192" s="2" t="str">
        <f aca="false">IF(ISERROR(SEARCH("ASPERGILLUS", UPPER(A192)) ),"N","Y" )</f>
        <v>Y</v>
      </c>
    </row>
    <row r="193" customFormat="false" ht="15.75" hidden="false" customHeight="false" outlineLevel="0" collapsed="false">
      <c r="A193" s="36" t="s">
        <v>386</v>
      </c>
      <c r="B193" s="2" t="s">
        <v>1918</v>
      </c>
      <c r="C193" s="2" t="s">
        <v>1918</v>
      </c>
      <c r="D193" s="2" t="str">
        <f aca="false">IF(ISERROR(SEARCH("ASPERGILLUS", UPPER(A193)) ),"N","Y" )</f>
        <v>N</v>
      </c>
    </row>
    <row r="194" customFormat="false" ht="15.75" hidden="false" customHeight="false" outlineLevel="0" collapsed="false">
      <c r="A194" s="36" t="s">
        <v>390</v>
      </c>
      <c r="B194" s="2" t="s">
        <v>1939</v>
      </c>
      <c r="C194" s="2" t="s">
        <v>1915</v>
      </c>
      <c r="D194" s="2" t="str">
        <f aca="false">IF(ISERROR(SEARCH("ASPERGILLUS", UPPER(A194)) ),"N","Y" )</f>
        <v>Y</v>
      </c>
    </row>
    <row r="195" customFormat="false" ht="15.75" hidden="false" customHeight="false" outlineLevel="0" collapsed="false">
      <c r="A195" s="36" t="s">
        <v>390</v>
      </c>
      <c r="B195" s="2" t="s">
        <v>1939</v>
      </c>
      <c r="C195" s="2" t="s">
        <v>1910</v>
      </c>
      <c r="D195" s="2" t="str">
        <f aca="false">IF(ISERROR(SEARCH("ASPERGILLUS", UPPER(A195)) ),"N","Y" )</f>
        <v>Y</v>
      </c>
    </row>
    <row r="196" customFormat="false" ht="15.75" hidden="false" customHeight="false" outlineLevel="0" collapsed="false">
      <c r="A196" s="2" t="s">
        <v>396</v>
      </c>
      <c r="B196" s="2" t="s">
        <v>1944</v>
      </c>
      <c r="C196" s="2" t="s">
        <v>1919</v>
      </c>
      <c r="D196" s="2" t="str">
        <f aca="false">IF(ISERROR(SEARCH("ASPERGILLUS", UPPER(A196)) ),"N","Y" )</f>
        <v>N</v>
      </c>
    </row>
    <row r="197" customFormat="false" ht="15.75" hidden="false" customHeight="false" outlineLevel="0" collapsed="false">
      <c r="A197" s="2" t="s">
        <v>396</v>
      </c>
      <c r="B197" s="2" t="s">
        <v>1944</v>
      </c>
      <c r="C197" s="2" t="s">
        <v>1908</v>
      </c>
      <c r="D197" s="2" t="str">
        <f aca="false">IF(ISERROR(SEARCH("ASPERGILLUS", UPPER(A197)) ),"N","Y" )</f>
        <v>N</v>
      </c>
    </row>
    <row r="198" customFormat="false" ht="15.75" hidden="false" customHeight="false" outlineLevel="0" collapsed="false">
      <c r="A198" s="36" t="s">
        <v>400</v>
      </c>
      <c r="B198" s="2" t="s">
        <v>47</v>
      </c>
      <c r="C198" s="2" t="s">
        <v>1915</v>
      </c>
      <c r="D198" s="2" t="str">
        <f aca="false">IF(ISERROR(SEARCH("ASPERGILLUS", UPPER(A198)) ),"N","Y" )</f>
        <v>Y</v>
      </c>
    </row>
    <row r="199" customFormat="false" ht="15.75" hidden="false" customHeight="false" outlineLevel="0" collapsed="false">
      <c r="A199" s="36" t="s">
        <v>407</v>
      </c>
      <c r="B199" s="2" t="s">
        <v>1455</v>
      </c>
      <c r="C199" s="2" t="s">
        <v>1919</v>
      </c>
      <c r="D199" s="2" t="str">
        <f aca="false">IF(ISERROR(SEARCH("ASPERGILLUS", UPPER(A199)) ),"N","Y" )</f>
        <v>N</v>
      </c>
    </row>
    <row r="200" customFormat="false" ht="15.75" hidden="false" customHeight="false" outlineLevel="0" collapsed="false">
      <c r="A200" s="36" t="s">
        <v>411</v>
      </c>
      <c r="B200" s="2" t="s">
        <v>1945</v>
      </c>
      <c r="C200" s="2" t="s">
        <v>1910</v>
      </c>
      <c r="D200" s="2" t="str">
        <f aca="false">IF(ISERROR(SEARCH("ASPERGILLUS", UPPER(A200)) ),"N","Y" )</f>
        <v>N</v>
      </c>
    </row>
    <row r="201" customFormat="false" ht="15.75" hidden="false" customHeight="false" outlineLevel="0" collapsed="false">
      <c r="A201" s="36" t="s">
        <v>415</v>
      </c>
      <c r="B201" s="2" t="s">
        <v>1455</v>
      </c>
      <c r="C201" s="2" t="s">
        <v>1919</v>
      </c>
      <c r="D201" s="2" t="str">
        <f aca="false">IF(ISERROR(SEARCH("ASPERGILLUS", UPPER(A201)) ),"N","Y" )</f>
        <v>N</v>
      </c>
    </row>
    <row r="202" customFormat="false" ht="15.75" hidden="false" customHeight="false" outlineLevel="0" collapsed="false">
      <c r="A202" s="36" t="s">
        <v>425</v>
      </c>
      <c r="B202" s="2" t="s">
        <v>1939</v>
      </c>
      <c r="C202" s="2" t="s">
        <v>1915</v>
      </c>
      <c r="D202" s="2" t="str">
        <f aca="false">IF(ISERROR(SEARCH("ASPERGILLUS", UPPER(A202)) ),"N","Y" )</f>
        <v>Y</v>
      </c>
    </row>
    <row r="203" customFormat="false" ht="15.75" hidden="false" customHeight="false" outlineLevel="0" collapsed="false">
      <c r="A203" s="36" t="s">
        <v>425</v>
      </c>
      <c r="B203" s="2" t="s">
        <v>1939</v>
      </c>
      <c r="C203" s="2" t="s">
        <v>1910</v>
      </c>
      <c r="D203" s="2" t="str">
        <f aca="false">IF(ISERROR(SEARCH("ASPERGILLUS", UPPER(A203)) ),"N","Y" )</f>
        <v>Y</v>
      </c>
    </row>
    <row r="204" customFormat="false" ht="15.75" hidden="false" customHeight="false" outlineLevel="0" collapsed="false">
      <c r="A204" s="36" t="s">
        <v>469</v>
      </c>
      <c r="B204" s="2" t="s">
        <v>47</v>
      </c>
      <c r="C204" s="2" t="s">
        <v>1915</v>
      </c>
      <c r="D204" s="2" t="str">
        <f aca="false">IF(ISERROR(SEARCH("ASPERGILLUS", UPPER(A204)) ),"N","Y" )</f>
        <v>Y</v>
      </c>
    </row>
    <row r="205" customFormat="false" ht="15.75" hidden="false" customHeight="false" outlineLevel="0" collapsed="false">
      <c r="A205" s="36" t="s">
        <v>473</v>
      </c>
      <c r="B205" s="2" t="s">
        <v>47</v>
      </c>
      <c r="C205" s="2" t="s">
        <v>1915</v>
      </c>
      <c r="D205" s="2" t="str">
        <f aca="false">IF(ISERROR(SEARCH("ASPERGILLUS", UPPER(A205)) ),"N","Y" )</f>
        <v>Y</v>
      </c>
    </row>
    <row r="206" customFormat="false" ht="15.75" hidden="false" customHeight="false" outlineLevel="0" collapsed="false">
      <c r="A206" s="36" t="s">
        <v>477</v>
      </c>
      <c r="B206" s="2" t="s">
        <v>47</v>
      </c>
      <c r="C206" s="2" t="s">
        <v>1915</v>
      </c>
      <c r="D206" s="2" t="str">
        <f aca="false">IF(ISERROR(SEARCH("ASPERGILLUS", UPPER(A206)) ),"N","Y" )</f>
        <v>Y</v>
      </c>
    </row>
    <row r="207" customFormat="false" ht="15.75" hidden="false" customHeight="false" outlineLevel="0" collapsed="false">
      <c r="A207" s="36" t="s">
        <v>484</v>
      </c>
      <c r="B207" s="2" t="s">
        <v>47</v>
      </c>
      <c r="C207" s="2" t="s">
        <v>1915</v>
      </c>
      <c r="D207" s="2" t="str">
        <f aca="false">IF(ISERROR(SEARCH("ASPERGILLUS", UPPER(A207)) ),"N","Y" )</f>
        <v>Y</v>
      </c>
    </row>
    <row r="208" customFormat="false" ht="15.75" hidden="false" customHeight="false" outlineLevel="0" collapsed="false">
      <c r="A208" s="36" t="s">
        <v>505</v>
      </c>
      <c r="B208" s="2" t="s">
        <v>1455</v>
      </c>
      <c r="C208" s="2" t="s">
        <v>1919</v>
      </c>
      <c r="D208" s="2" t="str">
        <f aca="false">IF(ISERROR(SEARCH("ASPERGILLUS", UPPER(A208)) ),"N","Y" )</f>
        <v>N</v>
      </c>
    </row>
    <row r="209" customFormat="false" ht="15.75" hidden="false" customHeight="false" outlineLevel="0" collapsed="false">
      <c r="A209" s="36" t="s">
        <v>508</v>
      </c>
      <c r="B209" s="2" t="s">
        <v>1945</v>
      </c>
      <c r="C209" s="2" t="s">
        <v>1910</v>
      </c>
      <c r="D209" s="2" t="str">
        <f aca="false">IF(ISERROR(SEARCH("ASPERGILLUS", UPPER(A209)) ),"N","Y" )</f>
        <v>Y</v>
      </c>
    </row>
    <row r="210" customFormat="false" ht="15.75" hidden="false" customHeight="false" outlineLevel="0" collapsed="false">
      <c r="A210" s="36" t="s">
        <v>508</v>
      </c>
      <c r="B210" s="2" t="s">
        <v>1945</v>
      </c>
      <c r="C210" s="2" t="s">
        <v>1911</v>
      </c>
      <c r="D210" s="2" t="str">
        <f aca="false">IF(ISERROR(SEARCH("ASPERGILLUS", UPPER(A210)) ),"N","Y" )</f>
        <v>Y</v>
      </c>
    </row>
    <row r="211" customFormat="false" ht="15.75" hidden="false" customHeight="false" outlineLevel="0" collapsed="false">
      <c r="A211" s="36" t="s">
        <v>521</v>
      </c>
      <c r="B211" s="2" t="s">
        <v>1946</v>
      </c>
      <c r="C211" s="2" t="s">
        <v>1910</v>
      </c>
      <c r="D211" s="2" t="str">
        <f aca="false">IF(ISERROR(SEARCH("ASPERGILLUS", UPPER(A211)) ),"N","Y" )</f>
        <v>N</v>
      </c>
    </row>
    <row r="212" customFormat="false" ht="15.75" hidden="false" customHeight="false" outlineLevel="0" collapsed="false">
      <c r="A212" s="36" t="s">
        <v>531</v>
      </c>
      <c r="B212" s="2" t="s">
        <v>1947</v>
      </c>
      <c r="C212" s="2" t="s">
        <v>1908</v>
      </c>
      <c r="D212" s="2" t="str">
        <f aca="false">IF(ISERROR(SEARCH("ASPERGILLUS", UPPER(A212)) ),"N","Y" )</f>
        <v>N</v>
      </c>
    </row>
    <row r="213" customFormat="false" ht="15.75" hidden="false" customHeight="false" outlineLevel="0" collapsed="false">
      <c r="A213" s="36" t="s">
        <v>531</v>
      </c>
      <c r="B213" s="2" t="s">
        <v>1947</v>
      </c>
      <c r="C213" s="2" t="s">
        <v>568</v>
      </c>
      <c r="D213" s="2" t="str">
        <f aca="false">IF(ISERROR(SEARCH("ASPERGILLUS", UPPER(A213)) ),"N","Y" )</f>
        <v>N</v>
      </c>
    </row>
    <row r="214" customFormat="false" ht="15.75" hidden="false" customHeight="false" outlineLevel="0" collapsed="false">
      <c r="A214" s="36" t="s">
        <v>535</v>
      </c>
      <c r="B214" s="2" t="s">
        <v>1948</v>
      </c>
      <c r="C214" s="2" t="s">
        <v>1910</v>
      </c>
      <c r="D214" s="2" t="str">
        <f aca="false">IF(ISERROR(SEARCH("ASPERGILLUS", UPPER(A214)) ),"N","Y" )</f>
        <v>N</v>
      </c>
    </row>
    <row r="215" customFormat="false" ht="15.75" hidden="false" customHeight="false" outlineLevel="0" collapsed="false">
      <c r="A215" s="36" t="s">
        <v>535</v>
      </c>
      <c r="B215" s="2" t="s">
        <v>1948</v>
      </c>
      <c r="C215" s="2" t="s">
        <v>568</v>
      </c>
      <c r="D215" s="2" t="str">
        <f aca="false">IF(ISERROR(SEARCH("ASPERGILLUS", UPPER(A215)) ),"N","Y" )</f>
        <v>N</v>
      </c>
    </row>
    <row r="216" customFormat="false" ht="15.75" hidden="false" customHeight="false" outlineLevel="0" collapsed="false">
      <c r="A216" s="36" t="s">
        <v>537</v>
      </c>
      <c r="B216" s="2" t="s">
        <v>1949</v>
      </c>
      <c r="C216" s="2" t="s">
        <v>1910</v>
      </c>
      <c r="D216" s="2" t="str">
        <f aca="false">IF(ISERROR(SEARCH("ASPERGILLUS", UPPER(A216)) ),"N","Y" )</f>
        <v>N</v>
      </c>
    </row>
    <row r="217" customFormat="false" ht="15.75" hidden="false" customHeight="false" outlineLevel="0" collapsed="false">
      <c r="A217" s="36" t="s">
        <v>537</v>
      </c>
      <c r="B217" s="2" t="s">
        <v>1949</v>
      </c>
      <c r="C217" s="2" t="s">
        <v>1919</v>
      </c>
      <c r="D217" s="2" t="str">
        <f aca="false">IF(ISERROR(SEARCH("ASPERGILLUS", UPPER(A217)) ),"N","Y" )</f>
        <v>N</v>
      </c>
    </row>
    <row r="218" customFormat="false" ht="15.75" hidden="false" customHeight="false" outlineLevel="0" collapsed="false">
      <c r="A218" s="36" t="s">
        <v>546</v>
      </c>
      <c r="B218" s="2" t="s">
        <v>1950</v>
      </c>
      <c r="C218" s="2" t="s">
        <v>1919</v>
      </c>
      <c r="D218" s="2" t="str">
        <f aca="false">IF(ISERROR(SEARCH("ASPERGILLUS", UPPER(A218)) ),"N","Y" )</f>
        <v>N</v>
      </c>
    </row>
    <row r="219" customFormat="false" ht="15.75" hidden="false" customHeight="false" outlineLevel="0" collapsed="false">
      <c r="A219" s="36" t="s">
        <v>546</v>
      </c>
      <c r="B219" s="2" t="s">
        <v>1950</v>
      </c>
      <c r="C219" s="2" t="s">
        <v>1910</v>
      </c>
      <c r="D219" s="2" t="str">
        <f aca="false">IF(ISERROR(SEARCH("ASPERGILLUS", UPPER(A219)) ),"N","Y" )</f>
        <v>N</v>
      </c>
    </row>
    <row r="220" customFormat="false" ht="15.75" hidden="false" customHeight="false" outlineLevel="0" collapsed="false">
      <c r="A220" s="36" t="s">
        <v>549</v>
      </c>
      <c r="B220" s="2" t="s">
        <v>47</v>
      </c>
      <c r="C220" s="2" t="s">
        <v>1915</v>
      </c>
      <c r="D220" s="2" t="str">
        <f aca="false">IF(ISERROR(SEARCH("ASPERGILLUS", UPPER(A220)) ),"N","Y" )</f>
        <v>Y</v>
      </c>
    </row>
    <row r="221" customFormat="false" ht="15.75" hidden="false" customHeight="false" outlineLevel="0" collapsed="false">
      <c r="A221" s="36" t="s">
        <v>556</v>
      </c>
      <c r="B221" s="2" t="s">
        <v>47</v>
      </c>
      <c r="C221" s="2" t="s">
        <v>1915</v>
      </c>
      <c r="D221" s="2" t="str">
        <f aca="false">IF(ISERROR(SEARCH("ASPERGILLUS", UPPER(A221)) ),"N","Y" )</f>
        <v>Y</v>
      </c>
    </row>
    <row r="222" customFormat="false" ht="15.75" hidden="false" customHeight="false" outlineLevel="0" collapsed="false">
      <c r="A222" s="36" t="s">
        <v>572</v>
      </c>
      <c r="B222" s="2" t="s">
        <v>1951</v>
      </c>
      <c r="C222" s="2" t="s">
        <v>1915</v>
      </c>
      <c r="D222" s="2" t="str">
        <f aca="false">IF(ISERROR(SEARCH("ASPERGILLUS", UPPER(A222)) ),"N","Y" )</f>
        <v>Y</v>
      </c>
    </row>
    <row r="223" customFormat="false" ht="15.75" hidden="false" customHeight="false" outlineLevel="0" collapsed="false">
      <c r="A223" s="36" t="s">
        <v>674</v>
      </c>
      <c r="B223" s="36" t="s">
        <v>674</v>
      </c>
      <c r="C223" s="2" t="s">
        <v>1910</v>
      </c>
      <c r="D223" s="2" t="str">
        <f aca="false">IF(ISERROR(SEARCH("ASPERGILLUS", UPPER(A223)) ),"N","Y" )</f>
        <v>N</v>
      </c>
    </row>
    <row r="224" customFormat="false" ht="15.75" hidden="false" customHeight="false" outlineLevel="0" collapsed="false">
      <c r="A224" s="36" t="s">
        <v>580</v>
      </c>
      <c r="B224" s="2" t="s">
        <v>1908</v>
      </c>
      <c r="C224" s="2" t="s">
        <v>1908</v>
      </c>
      <c r="D224" s="2" t="str">
        <f aca="false">IF(ISERROR(SEARCH("ASPERGILLUS", UPPER(A224)) ),"N","Y" )</f>
        <v>N</v>
      </c>
    </row>
    <row r="225" customFormat="false" ht="15.75" hidden="false" customHeight="false" outlineLevel="0" collapsed="false">
      <c r="A225" s="36" t="s">
        <v>601</v>
      </c>
      <c r="B225" s="2" t="s">
        <v>1908</v>
      </c>
      <c r="C225" s="2" t="s">
        <v>1908</v>
      </c>
      <c r="D225" s="2" t="str">
        <f aca="false">IF(ISERROR(SEARCH("ASPERGILLUS", UPPER(A225)) ),"N","Y" )</f>
        <v>N</v>
      </c>
    </row>
    <row r="226" customFormat="false" ht="15.75" hidden="false" customHeight="false" outlineLevel="0" collapsed="false">
      <c r="A226" s="36" t="s">
        <v>607</v>
      </c>
      <c r="B226" s="2" t="s">
        <v>1131</v>
      </c>
      <c r="C226" s="2" t="s">
        <v>1131</v>
      </c>
      <c r="D226" s="2" t="str">
        <f aca="false">IF(ISERROR(SEARCH("ASPERGILLUS", UPPER(A226)) ),"N","Y" )</f>
        <v>N</v>
      </c>
    </row>
    <row r="227" customFormat="false" ht="15.75" hidden="false" customHeight="false" outlineLevel="0" collapsed="false">
      <c r="A227" s="36" t="s">
        <v>576</v>
      </c>
      <c r="B227" s="36" t="s">
        <v>1952</v>
      </c>
      <c r="C227" s="2" t="s">
        <v>1910</v>
      </c>
      <c r="D227" s="2" t="str">
        <f aca="false">IF(ISERROR(SEARCH("ASPERGILLUS", UPPER(A227)) ),"N","Y" )</f>
        <v>N</v>
      </c>
    </row>
    <row r="228" customFormat="false" ht="15.75" hidden="false" customHeight="false" outlineLevel="0" collapsed="false">
      <c r="A228" s="36" t="s">
        <v>576</v>
      </c>
      <c r="B228" s="36" t="s">
        <v>1952</v>
      </c>
      <c r="C228" s="2" t="s">
        <v>1911</v>
      </c>
      <c r="D228" s="2" t="str">
        <f aca="false">IF(ISERROR(SEARCH("ASPERGILLUS", UPPER(A228)) ),"N","Y" )</f>
        <v>N</v>
      </c>
    </row>
    <row r="229" customFormat="false" ht="15.75" hidden="false" customHeight="false" outlineLevel="0" collapsed="false">
      <c r="A229" s="2" t="s">
        <v>637</v>
      </c>
      <c r="B229" s="2" t="s">
        <v>1953</v>
      </c>
      <c r="C229" s="2" t="s">
        <v>1911</v>
      </c>
      <c r="D229" s="2" t="str">
        <f aca="false">IF(ISERROR(SEARCH("ASPERGILLUS", UPPER(A229)) ),"N","Y" )</f>
        <v>N</v>
      </c>
    </row>
    <row r="230" customFormat="false" ht="15.75" hidden="false" customHeight="false" outlineLevel="0" collapsed="false">
      <c r="A230" s="2" t="s">
        <v>637</v>
      </c>
      <c r="B230" s="2" t="s">
        <v>1953</v>
      </c>
      <c r="C230" s="2" t="s">
        <v>1919</v>
      </c>
      <c r="D230" s="2" t="str">
        <f aca="false">IF(ISERROR(SEARCH("ASPERGILLUS", UPPER(A230)) ),"N","Y" )</f>
        <v>N</v>
      </c>
    </row>
    <row r="231" customFormat="false" ht="15.75" hidden="false" customHeight="false" outlineLevel="0" collapsed="false">
      <c r="A231" s="36" t="s">
        <v>649</v>
      </c>
      <c r="B231" s="36" t="s">
        <v>649</v>
      </c>
      <c r="C231" s="2" t="s">
        <v>1911</v>
      </c>
      <c r="D231" s="2" t="str">
        <f aca="false">IF(ISERROR(SEARCH("ASPERGILLUS", UPPER(A231)) ),"N","Y" )</f>
        <v>N</v>
      </c>
    </row>
    <row r="232" customFormat="false" ht="15.75" hidden="false" customHeight="false" outlineLevel="0" collapsed="false">
      <c r="A232" s="36" t="s">
        <v>665</v>
      </c>
      <c r="B232" s="36" t="s">
        <v>665</v>
      </c>
      <c r="C232" s="2" t="s">
        <v>1911</v>
      </c>
      <c r="D232" s="2" t="str">
        <f aca="false">IF(ISERROR(SEARCH("ASPERGILLUS", UPPER(A232)) ),"N","Y" )</f>
        <v>N</v>
      </c>
    </row>
    <row r="233" customFormat="false" ht="15.75" hidden="false" customHeight="false" outlineLevel="0" collapsed="false">
      <c r="A233" s="2" t="s">
        <v>1113</v>
      </c>
      <c r="B233" s="2" t="s">
        <v>1113</v>
      </c>
      <c r="C233" s="2" t="s">
        <v>1131</v>
      </c>
      <c r="D233" s="2" t="str">
        <f aca="false">IF(ISERROR(SEARCH("ASPERGILLUS", UPPER(A233)) ),"N","Y" )</f>
        <v>Y</v>
      </c>
    </row>
    <row r="234" customFormat="false" ht="15.75" hidden="false" customHeight="false" outlineLevel="0" collapsed="false">
      <c r="A234" s="2" t="s">
        <v>1113</v>
      </c>
      <c r="B234" s="2" t="s">
        <v>1113</v>
      </c>
      <c r="C234" s="2" t="s">
        <v>47</v>
      </c>
      <c r="D234" s="2" t="str">
        <f aca="false">IF(ISERROR(SEARCH("ASPERGILLUS", UPPER(A234)) ),"N","Y" )</f>
        <v>Y</v>
      </c>
    </row>
    <row r="235" customFormat="false" ht="15.75" hidden="false" customHeight="false" outlineLevel="0" collapsed="false">
      <c r="A235" s="2" t="s">
        <v>1117</v>
      </c>
      <c r="B235" s="2" t="s">
        <v>568</v>
      </c>
      <c r="C235" s="2" t="s">
        <v>568</v>
      </c>
      <c r="D235" s="2" t="str">
        <f aca="false">IF(ISERROR(SEARCH("ASPERGILLUS", UPPER(A235)) ),"N","Y" )</f>
        <v>N</v>
      </c>
    </row>
    <row r="236" customFormat="false" ht="15.75" hidden="false" customHeight="false" outlineLevel="0" collapsed="false">
      <c r="A236" s="2" t="s">
        <v>1121</v>
      </c>
      <c r="B236" s="2" t="s">
        <v>1954</v>
      </c>
      <c r="C236" s="2" t="s">
        <v>1915</v>
      </c>
      <c r="D236" s="2" t="str">
        <f aca="false">IF(ISERROR(SEARCH("ASPERGILLUS", UPPER(A236)) ),"N","Y" )</f>
        <v>Y</v>
      </c>
    </row>
    <row r="237" customFormat="false" ht="15.75" hidden="false" customHeight="false" outlineLevel="0" collapsed="false">
      <c r="A237" s="2" t="s">
        <v>1124</v>
      </c>
      <c r="B237" s="2" t="s">
        <v>1097</v>
      </c>
      <c r="C237" s="2" t="s">
        <v>1915</v>
      </c>
      <c r="D237" s="2" t="str">
        <f aca="false">IF(ISERROR(SEARCH("ASPERGILLUS", UPPER(A237)) ),"N","Y" )</f>
        <v>N</v>
      </c>
    </row>
    <row r="238" customFormat="false" ht="15.75" hidden="false" customHeight="false" outlineLevel="0" collapsed="false">
      <c r="A238" s="2" t="s">
        <v>1134</v>
      </c>
      <c r="B238" s="2" t="s">
        <v>1955</v>
      </c>
      <c r="C238" s="2" t="s">
        <v>1915</v>
      </c>
      <c r="D238" s="2" t="str">
        <f aca="false">IF(ISERROR(SEARCH("ASPERGILLUS", UPPER(A238)) ),"N","Y" )</f>
        <v>N</v>
      </c>
    </row>
    <row r="239" customFormat="false" ht="15.75" hidden="false" customHeight="false" outlineLevel="0" collapsed="false">
      <c r="A239" s="2" t="s">
        <v>1134</v>
      </c>
      <c r="B239" s="2" t="s">
        <v>1955</v>
      </c>
      <c r="C239" s="2" t="s">
        <v>1919</v>
      </c>
      <c r="D239" s="2" t="str">
        <f aca="false">IF(ISERROR(SEARCH("ASPERGILLUS", UPPER(A239)) ),"N","Y" )</f>
        <v>N</v>
      </c>
    </row>
    <row r="240" customFormat="false" ht="15.75" hidden="false" customHeight="false" outlineLevel="0" collapsed="false">
      <c r="A240" s="20" t="s">
        <v>1143</v>
      </c>
      <c r="B240" s="2" t="s">
        <v>1131</v>
      </c>
      <c r="C240" s="2" t="s">
        <v>1131</v>
      </c>
      <c r="D240" s="2" t="str">
        <f aca="false">IF(ISERROR(SEARCH("ASPERGILLUS", UPPER(A240)) ),"N","Y" )</f>
        <v>N</v>
      </c>
    </row>
    <row r="241" customFormat="false" ht="15.75" hidden="false" customHeight="false" outlineLevel="0" collapsed="false">
      <c r="A241" s="2" t="s">
        <v>1147</v>
      </c>
      <c r="B241" s="2" t="s">
        <v>1131</v>
      </c>
      <c r="C241" s="2" t="s">
        <v>1131</v>
      </c>
      <c r="D241" s="2" t="str">
        <f aca="false">IF(ISERROR(SEARCH("ASPERGILLUS", UPPER(A241)) ),"N","Y" )</f>
        <v>N</v>
      </c>
    </row>
    <row r="242" customFormat="false" ht="15.75" hidden="false" customHeight="false" outlineLevel="0" collapsed="false">
      <c r="A242" s="2" t="s">
        <v>1150</v>
      </c>
      <c r="B242" s="2" t="s">
        <v>1131</v>
      </c>
      <c r="C242" s="2" t="s">
        <v>1131</v>
      </c>
      <c r="D242" s="2" t="str">
        <f aca="false">IF(ISERROR(SEARCH("ASPERGILLUS", UPPER(A242)) ),"N","Y" )</f>
        <v>N</v>
      </c>
    </row>
    <row r="243" customFormat="false" ht="15.75" hidden="false" customHeight="false" outlineLevel="0" collapsed="false">
      <c r="A243" s="20" t="s">
        <v>1161</v>
      </c>
      <c r="B243" s="2" t="s">
        <v>1956</v>
      </c>
      <c r="C243" s="2" t="s">
        <v>1915</v>
      </c>
      <c r="D243" s="2" t="str">
        <f aca="false">IF(ISERROR(SEARCH("ASPERGILLUS", UPPER(A243)) ),"N","Y" )</f>
        <v>N</v>
      </c>
    </row>
    <row r="244" customFormat="false" ht="15.75" hidden="false" customHeight="false" outlineLevel="0" collapsed="false">
      <c r="A244" s="20" t="s">
        <v>1161</v>
      </c>
      <c r="B244" s="2" t="s">
        <v>1956</v>
      </c>
      <c r="C244" s="2" t="s">
        <v>1916</v>
      </c>
      <c r="D244" s="2" t="str">
        <f aca="false">IF(ISERROR(SEARCH("ASPERGILLUS", UPPER(A244)) ),"N","Y" )</f>
        <v>N</v>
      </c>
    </row>
    <row r="245" customFormat="false" ht="15.75" hidden="false" customHeight="false" outlineLevel="0" collapsed="false">
      <c r="A245" s="2" t="s">
        <v>1170</v>
      </c>
      <c r="B245" s="2" t="s">
        <v>1916</v>
      </c>
      <c r="C245" s="2" t="s">
        <v>1916</v>
      </c>
      <c r="D245" s="2" t="str">
        <f aca="false">IF(ISERROR(SEARCH("ASPERGILLUS", UPPER(A245)) ),"N","Y" )</f>
        <v>N</v>
      </c>
    </row>
    <row r="246" customFormat="false" ht="15.75" hidden="false" customHeight="false" outlineLevel="0" collapsed="false">
      <c r="A246" s="20" t="s">
        <v>1173</v>
      </c>
      <c r="B246" s="2" t="s">
        <v>1956</v>
      </c>
      <c r="C246" s="2" t="s">
        <v>1915</v>
      </c>
      <c r="D246" s="2" t="str">
        <f aca="false">IF(ISERROR(SEARCH("ASPERGILLUS", UPPER(A246)) ),"N","Y" )</f>
        <v>N</v>
      </c>
    </row>
    <row r="247" customFormat="false" ht="15.75" hidden="false" customHeight="false" outlineLevel="0" collapsed="false">
      <c r="A247" s="20" t="s">
        <v>1173</v>
      </c>
      <c r="B247" s="2" t="s">
        <v>1956</v>
      </c>
      <c r="C247" s="2" t="s">
        <v>1916</v>
      </c>
      <c r="D247" s="2" t="str">
        <f aca="false">IF(ISERROR(SEARCH("ASPERGILLUS", UPPER(A247)) ),"N","Y" )</f>
        <v>N</v>
      </c>
    </row>
    <row r="248" customFormat="false" ht="15.75" hidden="false" customHeight="false" outlineLevel="0" collapsed="false">
      <c r="A248" s="20" t="s">
        <v>1180</v>
      </c>
      <c r="B248" s="2" t="s">
        <v>1131</v>
      </c>
      <c r="C248" s="2" t="s">
        <v>1131</v>
      </c>
      <c r="D248" s="2" t="str">
        <f aca="false">IF(ISERROR(SEARCH("ASPERGILLUS", UPPER(A248)) ),"N","Y" )</f>
        <v>N</v>
      </c>
    </row>
    <row r="249" customFormat="false" ht="15.75" hidden="false" customHeight="false" outlineLevel="0" collapsed="false">
      <c r="A249" s="2" t="s">
        <v>1176</v>
      </c>
      <c r="B249" s="2" t="s">
        <v>1131</v>
      </c>
      <c r="C249" s="2" t="s">
        <v>1131</v>
      </c>
      <c r="D249" s="2" t="str">
        <f aca="false">IF(ISERROR(SEARCH("ASPERGILLUS", UPPER(A249)) ),"N","Y" )</f>
        <v>N</v>
      </c>
    </row>
    <row r="250" customFormat="false" ht="15.75" hidden="false" customHeight="false" outlineLevel="0" collapsed="false">
      <c r="A250" s="2" t="s">
        <v>1194</v>
      </c>
      <c r="B250" s="2" t="s">
        <v>1131</v>
      </c>
      <c r="C250" s="2" t="s">
        <v>1131</v>
      </c>
      <c r="D250" s="2" t="str">
        <f aca="false">IF(ISERROR(SEARCH("ASPERGILLUS", UPPER(A250)) ),"N","Y" )</f>
        <v>N</v>
      </c>
    </row>
    <row r="251" customFormat="false" ht="15.75" hidden="false" customHeight="false" outlineLevel="0" collapsed="false">
      <c r="A251" s="20" t="s">
        <v>1198</v>
      </c>
      <c r="B251" s="2" t="s">
        <v>1131</v>
      </c>
      <c r="C251" s="2" t="s">
        <v>1131</v>
      </c>
      <c r="D251" s="2" t="str">
        <f aca="false">IF(ISERROR(SEARCH("ASPERGILLUS", UPPER(A251)) ),"N","Y" )</f>
        <v>N</v>
      </c>
    </row>
    <row r="252" customFormat="false" ht="15.75" hidden="false" customHeight="false" outlineLevel="0" collapsed="false">
      <c r="A252" s="2" t="s">
        <v>1209</v>
      </c>
      <c r="B252" s="2" t="s">
        <v>1097</v>
      </c>
      <c r="C252" s="2" t="s">
        <v>1915</v>
      </c>
      <c r="D252" s="2" t="str">
        <f aca="false">IF(ISERROR(SEARCH("ASPERGILLUS", UPPER(A252)) ),"N","Y" )</f>
        <v>N</v>
      </c>
    </row>
    <row r="253" customFormat="false" ht="15.75" hidden="false" customHeight="false" outlineLevel="0" collapsed="false">
      <c r="A253" s="20" t="s">
        <v>1211</v>
      </c>
      <c r="B253" s="2" t="s">
        <v>1957</v>
      </c>
      <c r="C253" s="2" t="s">
        <v>1915</v>
      </c>
      <c r="D253" s="2" t="str">
        <f aca="false">IF(ISERROR(SEARCH("ASPERGILLUS", UPPER(A253)) ),"N","Y" )</f>
        <v>N</v>
      </c>
    </row>
    <row r="254" customFormat="false" ht="15.75" hidden="false" customHeight="false" outlineLevel="0" collapsed="false">
      <c r="A254" s="20" t="s">
        <v>1211</v>
      </c>
      <c r="B254" s="2" t="s">
        <v>1957</v>
      </c>
      <c r="C254" s="2" t="s">
        <v>1916</v>
      </c>
      <c r="D254" s="2" t="str">
        <f aca="false">IF(ISERROR(SEARCH("ASPERGILLUS", UPPER(A254)) ),"N","Y" )</f>
        <v>N</v>
      </c>
    </row>
    <row r="255" customFormat="false" ht="15.75" hidden="false" customHeight="false" outlineLevel="0" collapsed="false">
      <c r="A255" s="20" t="s">
        <v>1257</v>
      </c>
      <c r="B255" s="2" t="s">
        <v>1097</v>
      </c>
      <c r="C255" s="2" t="s">
        <v>1915</v>
      </c>
      <c r="D255" s="2" t="str">
        <f aca="false">IF(ISERROR(SEARCH("ASPERGILLUS", UPPER(A255)) ),"N","Y" )</f>
        <v>N</v>
      </c>
    </row>
    <row r="256" customFormat="false" ht="15.75" hidden="false" customHeight="false" outlineLevel="0" collapsed="false">
      <c r="A256" s="46" t="s">
        <v>1281</v>
      </c>
      <c r="B256" s="2" t="s">
        <v>1958</v>
      </c>
      <c r="C256" s="2" t="s">
        <v>1915</v>
      </c>
      <c r="D256" s="2" t="str">
        <f aca="false">IF(ISERROR(SEARCH("ASPERGILLUS", UPPER(A256)) ),"N","Y" )</f>
        <v>N</v>
      </c>
    </row>
    <row r="257" customFormat="false" ht="15.75" hidden="false" customHeight="false" outlineLevel="0" collapsed="false">
      <c r="A257" s="46" t="s">
        <v>1281</v>
      </c>
      <c r="B257" s="20" t="s">
        <v>2019</v>
      </c>
      <c r="C257" s="20" t="s">
        <v>1915</v>
      </c>
      <c r="D257" s="2" t="str">
        <f aca="false">IF(ISERROR(SEARCH("ASPERGILLUS", UPPER(A257)) ),"N","Y" )</f>
        <v>N</v>
      </c>
    </row>
    <row r="258" customFormat="false" ht="15.75" hidden="false" customHeight="false" outlineLevel="0" collapsed="false">
      <c r="A258" s="20" t="s">
        <v>1959</v>
      </c>
      <c r="B258" s="20" t="s">
        <v>1959</v>
      </c>
      <c r="C258" s="20" t="s">
        <v>1959</v>
      </c>
      <c r="D258" s="2" t="str">
        <f aca="false">IF(ISERROR(SEARCH("ASPERGILLUS", UPPER(A258)) ),"N","Y" )</f>
        <v>N</v>
      </c>
    </row>
    <row r="259" customFormat="false" ht="15.75" hidden="false" customHeight="false" outlineLevel="0" collapsed="false">
      <c r="A259" s="20" t="s">
        <v>1289</v>
      </c>
      <c r="B259" s="2" t="s">
        <v>1960</v>
      </c>
      <c r="C259" s="2" t="s">
        <v>1915</v>
      </c>
      <c r="D259" s="2" t="str">
        <f aca="false">IF(ISERROR(SEARCH("ASPERGILLUS", UPPER(A259)) ),"N","Y" )</f>
        <v>N</v>
      </c>
    </row>
    <row r="260" customFormat="false" ht="15.75" hidden="false" customHeight="false" outlineLevel="0" collapsed="false">
      <c r="A260" s="2" t="s">
        <v>1961</v>
      </c>
      <c r="B260" s="2" t="s">
        <v>1131</v>
      </c>
      <c r="C260" s="2" t="s">
        <v>1131</v>
      </c>
      <c r="D260" s="2" t="str">
        <f aca="false">IF(ISERROR(SEARCH("ASPERGILLUS", UPPER(A260)) ),"N","Y" )</f>
        <v>N</v>
      </c>
    </row>
    <row r="261" customFormat="false" ht="15.75" hidden="false" customHeight="false" outlineLevel="0" collapsed="false">
      <c r="A261" s="20" t="s">
        <v>1293</v>
      </c>
      <c r="B261" s="2" t="s">
        <v>1131</v>
      </c>
      <c r="C261" s="2" t="s">
        <v>1131</v>
      </c>
      <c r="D261" s="2" t="str">
        <f aca="false">IF(ISERROR(SEARCH("ASPERGILLUS", UPPER(A261)) ),"N","Y" )</f>
        <v>N</v>
      </c>
    </row>
    <row r="262" customFormat="false" ht="15.75" hidden="false" customHeight="false" outlineLevel="0" collapsed="false">
      <c r="A262" s="47" t="s">
        <v>1097</v>
      </c>
      <c r="B262" s="2" t="s">
        <v>1097</v>
      </c>
      <c r="C262" s="2" t="s">
        <v>1915</v>
      </c>
      <c r="D262" s="2" t="str">
        <f aca="false">IF(ISERROR(SEARCH("ASPERGILLUS", UPPER(A262)) ),"N","Y" )</f>
        <v>N</v>
      </c>
    </row>
    <row r="263" customFormat="false" ht="15.75" hidden="false" customHeight="false" outlineLevel="0" collapsed="false">
      <c r="A263" s="2" t="s">
        <v>1316</v>
      </c>
      <c r="B263" s="2" t="s">
        <v>1962</v>
      </c>
      <c r="C263" s="2" t="s">
        <v>1915</v>
      </c>
      <c r="D263" s="2" t="str">
        <f aca="false">IF(ISERROR(SEARCH("ASPERGILLUS", UPPER(A263)) ),"N","Y" )</f>
        <v>N</v>
      </c>
    </row>
    <row r="264" customFormat="false" ht="15.75" hidden="false" customHeight="false" outlineLevel="0" collapsed="false">
      <c r="A264" s="20" t="s">
        <v>1415</v>
      </c>
      <c r="B264" s="2" t="s">
        <v>1963</v>
      </c>
      <c r="C264" s="2" t="s">
        <v>1919</v>
      </c>
      <c r="D264" s="2" t="str">
        <f aca="false">IF(ISERROR(SEARCH("ASPERGILLUS", UPPER(A264)) ),"N","Y" )</f>
        <v>N</v>
      </c>
    </row>
    <row r="265" customFormat="false" ht="15.75" hidden="false" customHeight="false" outlineLevel="0" collapsed="false">
      <c r="A265" s="20" t="s">
        <v>1422</v>
      </c>
      <c r="B265" s="2" t="s">
        <v>1908</v>
      </c>
      <c r="C265" s="2" t="s">
        <v>1908</v>
      </c>
      <c r="D265" s="2" t="str">
        <f aca="false">IF(ISERROR(SEARCH("ASPERGILLUS", UPPER(A265)) ),"N","Y" )</f>
        <v>N</v>
      </c>
    </row>
    <row r="266" customFormat="false" ht="15.75" hidden="false" customHeight="false" outlineLevel="0" collapsed="false">
      <c r="A266" s="2" t="s">
        <v>1428</v>
      </c>
      <c r="B266" s="2" t="s">
        <v>1908</v>
      </c>
      <c r="C266" s="2" t="s">
        <v>1908</v>
      </c>
      <c r="D266" s="2" t="str">
        <f aca="false">IF(ISERROR(SEARCH("ASPERGILLUS", UPPER(A266)) ),"N","Y" )</f>
        <v>N</v>
      </c>
    </row>
    <row r="267" customFormat="false" ht="15.75" hidden="false" customHeight="false" outlineLevel="0" collapsed="false">
      <c r="A267" s="20" t="s">
        <v>1964</v>
      </c>
      <c r="B267" s="2" t="s">
        <v>1965</v>
      </c>
      <c r="C267" s="2" t="s">
        <v>1908</v>
      </c>
      <c r="D267" s="2" t="str">
        <f aca="false">IF(ISERROR(SEARCH("ASPERGILLUS", UPPER(A267)) ),"N","Y" )</f>
        <v>N</v>
      </c>
    </row>
    <row r="268" customFormat="false" ht="15.75" hidden="false" customHeight="false" outlineLevel="0" collapsed="false">
      <c r="A268" s="2" t="s">
        <v>1452</v>
      </c>
      <c r="B268" s="2" t="s">
        <v>1908</v>
      </c>
      <c r="C268" s="2" t="s">
        <v>1908</v>
      </c>
      <c r="D268" s="2" t="str">
        <f aca="false">IF(ISERROR(SEARCH("ASPERGILLUS", UPPER(A268)) ),"N","Y" )</f>
        <v>N</v>
      </c>
    </row>
    <row r="269" customFormat="false" ht="15.75" hidden="false" customHeight="false" outlineLevel="0" collapsed="false">
      <c r="A269" s="20" t="s">
        <v>1455</v>
      </c>
      <c r="B269" s="2" t="s">
        <v>1455</v>
      </c>
      <c r="C269" s="2" t="s">
        <v>1919</v>
      </c>
      <c r="D269" s="2" t="str">
        <f aca="false">IF(ISERROR(SEARCH("ASPERGILLUS", UPPER(A269)) ),"N","Y" )</f>
        <v>N</v>
      </c>
    </row>
    <row r="270" customFormat="false" ht="15.75" hidden="false" customHeight="false" outlineLevel="0" collapsed="false">
      <c r="A270" s="36" t="s">
        <v>674</v>
      </c>
      <c r="B270" s="36" t="s">
        <v>674</v>
      </c>
      <c r="C270" s="2" t="s">
        <v>1908</v>
      </c>
      <c r="D270" s="2" t="str">
        <f aca="false">IF(ISERROR(SEARCH("ASPERGILLUS", UPPER(A270)) ),"N","Y" )</f>
        <v>N</v>
      </c>
    </row>
    <row r="271" customFormat="false" ht="15.75" hidden="false" customHeight="false" outlineLevel="0" collapsed="false">
      <c r="A271" s="20" t="s">
        <v>1495</v>
      </c>
      <c r="B271" s="2" t="s">
        <v>1966</v>
      </c>
      <c r="C271" s="2" t="s">
        <v>1919</v>
      </c>
      <c r="D271" s="2" t="str">
        <f aca="false">IF(ISERROR(SEARCH("ASPERGILLUS", UPPER(A271)) ),"N","Y" )</f>
        <v>N</v>
      </c>
    </row>
    <row r="272" customFormat="false" ht="15.75" hidden="false" customHeight="false" outlineLevel="0" collapsed="false">
      <c r="A272" s="20" t="s">
        <v>1498</v>
      </c>
      <c r="B272" s="20" t="s">
        <v>1498</v>
      </c>
      <c r="C272" s="2" t="s">
        <v>1919</v>
      </c>
      <c r="D272" s="2" t="str">
        <f aca="false">IF(ISERROR(SEARCH("ASPERGILLUS", UPPER(A272)) ),"N","Y" )</f>
        <v>N</v>
      </c>
    </row>
    <row r="273" customFormat="false" ht="15.75" hidden="false" customHeight="false" outlineLevel="0" collapsed="false">
      <c r="A273" s="2" t="s">
        <v>1537</v>
      </c>
      <c r="B273" s="2" t="s">
        <v>1908</v>
      </c>
      <c r="C273" s="2" t="s">
        <v>1908</v>
      </c>
      <c r="D273" s="2" t="str">
        <f aca="false">IF(ISERROR(SEARCH("ASPERGILLUS", UPPER(A273)) ),"N","Y" )</f>
        <v>N</v>
      </c>
    </row>
    <row r="274" customFormat="false" ht="15.75" hidden="false" customHeight="false" outlineLevel="0" collapsed="false">
      <c r="A274" s="2" t="s">
        <v>1545</v>
      </c>
      <c r="B274" s="2" t="s">
        <v>1131</v>
      </c>
      <c r="C274" s="2" t="s">
        <v>1131</v>
      </c>
      <c r="D274" s="2" t="str">
        <f aca="false">IF(ISERROR(SEARCH("ASPERGILLUS", UPPER(A274)) ),"N","Y" )</f>
        <v>N</v>
      </c>
    </row>
    <row r="275" customFormat="false" ht="15.75" hidden="false" customHeight="false" outlineLevel="0" collapsed="false">
      <c r="A275" s="20" t="s">
        <v>1548</v>
      </c>
      <c r="B275" s="2" t="s">
        <v>1967</v>
      </c>
      <c r="C275" s="2" t="s">
        <v>1915</v>
      </c>
      <c r="D275" s="2" t="str">
        <f aca="false">IF(ISERROR(SEARCH("ASPERGILLUS", UPPER(A275)) ),"N","Y" )</f>
        <v>Y</v>
      </c>
    </row>
    <row r="276" customFormat="false" ht="15.75" hidden="false" customHeight="false" outlineLevel="0" collapsed="false">
      <c r="A276" s="20" t="s">
        <v>1548</v>
      </c>
      <c r="B276" s="2" t="s">
        <v>1967</v>
      </c>
      <c r="C276" s="2" t="s">
        <v>1919</v>
      </c>
      <c r="D276" s="2" t="str">
        <f aca="false">IF(ISERROR(SEARCH("ASPERGILLUS", UPPER(A276)) ),"N","Y" )</f>
        <v>Y</v>
      </c>
    </row>
    <row r="277" customFormat="false" ht="15.75" hidden="false" customHeight="false" outlineLevel="0" collapsed="false">
      <c r="A277" s="20" t="s">
        <v>1552</v>
      </c>
      <c r="B277" s="2" t="s">
        <v>1131</v>
      </c>
      <c r="C277" s="2" t="s">
        <v>1131</v>
      </c>
      <c r="D277" s="2" t="str">
        <f aca="false">IF(ISERROR(SEARCH("ASPERGILLUS", UPPER(A277)) ),"N","Y" )</f>
        <v>N</v>
      </c>
    </row>
    <row r="278" customFormat="false" ht="15.75" hidden="false" customHeight="false" outlineLevel="0" collapsed="false">
      <c r="A278" s="48" t="s">
        <v>1968</v>
      </c>
      <c r="B278" s="2" t="s">
        <v>1907</v>
      </c>
      <c r="C278" s="2" t="s">
        <v>1907</v>
      </c>
      <c r="D278" s="2" t="str">
        <f aca="false">IF(ISERROR(SEARCH("ASPERGILLUS", UPPER(A278)) ),"N","Y" )</f>
        <v>N</v>
      </c>
    </row>
    <row r="279" customFormat="false" ht="15.75" hidden="false" customHeight="false" outlineLevel="0" collapsed="false">
      <c r="A279" s="2" t="s">
        <v>1587</v>
      </c>
      <c r="B279" s="2" t="s">
        <v>1965</v>
      </c>
      <c r="C279" s="2" t="s">
        <v>1908</v>
      </c>
      <c r="D279" s="2" t="str">
        <f aca="false">IF(ISERROR(SEARCH("ASPERGILLUS", UPPER(A279)) ),"N","Y" )</f>
        <v>N</v>
      </c>
    </row>
    <row r="280" customFormat="false" ht="15.75" hidden="false" customHeight="false" outlineLevel="0" collapsed="false">
      <c r="A280" s="2" t="s">
        <v>1583</v>
      </c>
      <c r="B280" s="2" t="s">
        <v>1131</v>
      </c>
      <c r="C280" s="2" t="s">
        <v>1131</v>
      </c>
      <c r="D280" s="2" t="str">
        <f aca="false">IF(ISERROR(SEARCH("ASPERGILLUS", UPPER(A280)) ),"N","Y" )</f>
        <v>N</v>
      </c>
    </row>
    <row r="281" customFormat="false" ht="15.75" hidden="false" customHeight="false" outlineLevel="0" collapsed="false">
      <c r="A281" s="2" t="s">
        <v>1578</v>
      </c>
      <c r="B281" s="2" t="s">
        <v>1131</v>
      </c>
      <c r="C281" s="2" t="s">
        <v>1131</v>
      </c>
      <c r="D281" s="2" t="str">
        <f aca="false">IF(ISERROR(SEARCH("ASPERGILLUS", UPPER(A281)) ),"N","Y" )</f>
        <v>N</v>
      </c>
    </row>
    <row r="282" customFormat="false" ht="15.75" hidden="false" customHeight="false" outlineLevel="0" collapsed="false">
      <c r="A282" s="20" t="s">
        <v>1594</v>
      </c>
      <c r="B282" s="2" t="s">
        <v>1969</v>
      </c>
      <c r="C282" s="2" t="s">
        <v>1131</v>
      </c>
      <c r="D282" s="2" t="str">
        <f aca="false">IF(ISERROR(SEARCH("ASPERGILLUS", UPPER(A282)) ),"N","Y" )</f>
        <v>N</v>
      </c>
    </row>
    <row r="283" customFormat="false" ht="15.75" hidden="false" customHeight="false" outlineLevel="0" collapsed="false">
      <c r="A283" s="20" t="s">
        <v>1594</v>
      </c>
      <c r="B283" s="2" t="s">
        <v>1969</v>
      </c>
      <c r="C283" s="2" t="s">
        <v>1908</v>
      </c>
      <c r="D283" s="2" t="str">
        <f aca="false">IF(ISERROR(SEARCH("ASPERGILLUS", UPPER(A283)) ),"N","Y" )</f>
        <v>N</v>
      </c>
    </row>
    <row r="284" customFormat="false" ht="15.75" hidden="false" customHeight="false" outlineLevel="0" collapsed="false">
      <c r="A284" s="20" t="s">
        <v>1596</v>
      </c>
      <c r="B284" s="2" t="s">
        <v>1970</v>
      </c>
      <c r="C284" s="2" t="s">
        <v>1131</v>
      </c>
      <c r="D284" s="2" t="str">
        <f aca="false">IF(ISERROR(SEARCH("ASPERGILLUS", UPPER(A284)) ),"N","Y" )</f>
        <v>N</v>
      </c>
    </row>
    <row r="285" customFormat="false" ht="15.75" hidden="false" customHeight="false" outlineLevel="0" collapsed="false">
      <c r="A285" s="20" t="s">
        <v>1596</v>
      </c>
      <c r="B285" s="2" t="s">
        <v>1970</v>
      </c>
      <c r="C285" s="2" t="s">
        <v>1919</v>
      </c>
      <c r="D285" s="2" t="str">
        <f aca="false">IF(ISERROR(SEARCH("ASPERGILLUS", UPPER(A285)) ),"N","Y" )</f>
        <v>N</v>
      </c>
    </row>
    <row r="286" customFormat="false" ht="15.75" hidden="false" customHeight="false" outlineLevel="0" collapsed="false">
      <c r="A286" s="20" t="s">
        <v>1634</v>
      </c>
      <c r="B286" s="2" t="s">
        <v>1971</v>
      </c>
      <c r="C286" s="2" t="s">
        <v>1910</v>
      </c>
      <c r="D286" s="2" t="str">
        <f aca="false">IF(ISERROR(SEARCH("ASPERGILLUS", UPPER(A286)) ),"N","Y" )</f>
        <v>N</v>
      </c>
    </row>
    <row r="287" customFormat="false" ht="15.75" hidden="false" customHeight="false" outlineLevel="0" collapsed="false">
      <c r="A287" s="20" t="s">
        <v>1645</v>
      </c>
      <c r="B287" s="20" t="s">
        <v>1645</v>
      </c>
      <c r="C287" s="2" t="s">
        <v>1910</v>
      </c>
      <c r="D287" s="2" t="str">
        <f aca="false">IF(ISERROR(SEARCH("ASPERGILLUS", UPPER(A287)) ),"N","Y" )</f>
        <v>N</v>
      </c>
    </row>
    <row r="288" customFormat="false" ht="15.75" hidden="false" customHeight="false" outlineLevel="0" collapsed="false">
      <c r="A288" s="2" t="s">
        <v>1623</v>
      </c>
      <c r="B288" s="2" t="s">
        <v>1912</v>
      </c>
      <c r="C288" s="2" t="s">
        <v>1912</v>
      </c>
      <c r="D288" s="2" t="str">
        <f aca="false">IF(ISERROR(SEARCH("ASPERGILLUS", UPPER(A288)) ),"N","Y" )</f>
        <v>N</v>
      </c>
    </row>
    <row r="289" customFormat="false" ht="15.75" hidden="false" customHeight="false" outlineLevel="0" collapsed="false">
      <c r="A289" s="20" t="s">
        <v>1619</v>
      </c>
      <c r="B289" s="2" t="s">
        <v>1972</v>
      </c>
      <c r="C289" s="2" t="s">
        <v>1915</v>
      </c>
      <c r="D289" s="2" t="str">
        <f aca="false">IF(ISERROR(SEARCH("ASPERGILLUS", UPPER(A289)) ),"N","Y" )</f>
        <v>N</v>
      </c>
    </row>
    <row r="290" customFormat="false" ht="15.75" hidden="false" customHeight="false" outlineLevel="0" collapsed="false">
      <c r="A290" s="20" t="s">
        <v>1619</v>
      </c>
      <c r="B290" s="2" t="s">
        <v>1972</v>
      </c>
      <c r="C290" s="2" t="s">
        <v>1907</v>
      </c>
      <c r="D290" s="2" t="str">
        <f aca="false">IF(ISERROR(SEARCH("ASPERGILLUS", UPPER(A290)) ),"N","Y" )</f>
        <v>N</v>
      </c>
    </row>
    <row r="291" customFormat="false" ht="17.35" hidden="false" customHeight="false" outlineLevel="0" collapsed="false">
      <c r="A291" s="41" t="s">
        <v>1683</v>
      </c>
      <c r="B291" s="2" t="s">
        <v>1131</v>
      </c>
      <c r="C291" s="2" t="s">
        <v>1131</v>
      </c>
      <c r="D291" s="2" t="str">
        <f aca="false">IF(ISERROR(SEARCH("ASPERGILLUS", UPPER(A291)) ),"N","Y" )</f>
        <v>N</v>
      </c>
    </row>
    <row r="292" customFormat="false" ht="15.75" hidden="false" customHeight="false" outlineLevel="0" collapsed="false">
      <c r="A292" s="2" t="s">
        <v>1687</v>
      </c>
      <c r="B292" s="2" t="s">
        <v>1916</v>
      </c>
      <c r="C292" s="2" t="s">
        <v>1916</v>
      </c>
      <c r="D292" s="2" t="str">
        <f aca="false">IF(ISERROR(SEARCH("ASPERGILLUS", UPPER(A292)) ),"N","Y" )</f>
        <v>N</v>
      </c>
    </row>
    <row r="293" customFormat="false" ht="17.35" hidden="false" customHeight="false" outlineLevel="0" collapsed="false">
      <c r="A293" s="42" t="s">
        <v>1692</v>
      </c>
      <c r="B293" s="2" t="s">
        <v>1455</v>
      </c>
      <c r="C293" s="2" t="s">
        <v>1919</v>
      </c>
      <c r="D293" s="2" t="str">
        <f aca="false">IF(ISERROR(SEARCH("ASPERGILLUS", UPPER(A293)) ),"N","Y" )</f>
        <v>N</v>
      </c>
    </row>
    <row r="294" customFormat="false" ht="17.35" hidden="false" customHeight="false" outlineLevel="0" collapsed="false">
      <c r="A294" s="42" t="s">
        <v>1700</v>
      </c>
      <c r="B294" s="2" t="s">
        <v>1131</v>
      </c>
      <c r="C294" s="2" t="s">
        <v>1131</v>
      </c>
      <c r="D294" s="2" t="str">
        <f aca="false">IF(ISERROR(SEARCH("ASPERGILLUS", UPPER(A294)) ),"N","Y" )</f>
        <v>N</v>
      </c>
    </row>
    <row r="295" customFormat="false" ht="15.75" hidden="false" customHeight="false" outlineLevel="0" collapsed="false">
      <c r="A295" s="2" t="s">
        <v>1703</v>
      </c>
      <c r="B295" s="2" t="s">
        <v>1917</v>
      </c>
      <c r="C295" s="2" t="s">
        <v>1915</v>
      </c>
      <c r="D295" s="2" t="str">
        <f aca="false">IF(ISERROR(SEARCH("ASPERGILLUS", UPPER(A295)) ),"N","Y" )</f>
        <v>N</v>
      </c>
    </row>
    <row r="296" customFormat="false" ht="15.75" hidden="false" customHeight="false" outlineLevel="0" collapsed="false">
      <c r="A296" s="20" t="s">
        <v>1789</v>
      </c>
      <c r="B296" s="20" t="s">
        <v>1789</v>
      </c>
      <c r="C296" s="20" t="s">
        <v>1911</v>
      </c>
      <c r="D296" s="2" t="str">
        <f aca="false">IF(ISERROR(SEARCH("ASPERGILLUS", UPPER(A296)) ),"N","Y" )</f>
        <v>N</v>
      </c>
    </row>
    <row r="297" customFormat="false" ht="15.75" hidden="false" customHeight="false" outlineLevel="0" collapsed="false">
      <c r="A297" s="20" t="s">
        <v>1973</v>
      </c>
      <c r="B297" s="2" t="s">
        <v>1974</v>
      </c>
      <c r="C297" s="2" t="s">
        <v>1915</v>
      </c>
      <c r="D297" s="2" t="str">
        <f aca="false">IF(ISERROR(SEARCH("ASPERGILLUS", UPPER(A297)) ),"N","Y" )</f>
        <v>Y</v>
      </c>
    </row>
    <row r="298" customFormat="false" ht="15.75" hidden="false" customHeight="false" outlineLevel="0" collapsed="false">
      <c r="A298" s="20" t="s">
        <v>1973</v>
      </c>
      <c r="B298" s="2" t="s">
        <v>1974</v>
      </c>
      <c r="C298" s="2" t="s">
        <v>1916</v>
      </c>
      <c r="D298" s="2" t="str">
        <f aca="false">IF(ISERROR(SEARCH("ASPERGILLUS", UPPER(A298)) ),"N","Y" )</f>
        <v>Y</v>
      </c>
    </row>
    <row r="299" customFormat="false" ht="15.75" hidden="false" customHeight="false" outlineLevel="0" collapsed="false">
      <c r="A299" s="20" t="s">
        <v>1802</v>
      </c>
      <c r="B299" s="2" t="s">
        <v>1908</v>
      </c>
      <c r="C299" s="2" t="s">
        <v>1908</v>
      </c>
      <c r="D299" s="2" t="str">
        <f aca="false">IF(ISERROR(SEARCH("ASPERGILLUS", UPPER(A299)) ),"N","Y" )</f>
        <v>N</v>
      </c>
    </row>
    <row r="300" customFormat="false" ht="15.75" hidden="false" customHeight="false" outlineLevel="0" collapsed="false">
      <c r="A300" s="20" t="s">
        <v>1904</v>
      </c>
      <c r="B300" s="43" t="s">
        <v>1131</v>
      </c>
      <c r="C300" s="43" t="s">
        <v>1131</v>
      </c>
      <c r="D300" s="2" t="str">
        <f aca="false">IF(ISERROR(SEARCH("ASPERGILLUS", UPPER(A300)) ),"N","Y" )</f>
        <v>N</v>
      </c>
    </row>
    <row r="301" customFormat="false" ht="15.75" hidden="false" customHeight="false" outlineLevel="0" collapsed="false">
      <c r="A301" s="20" t="s">
        <v>1901</v>
      </c>
      <c r="B301" s="44" t="s">
        <v>1131</v>
      </c>
      <c r="C301" s="44" t="s">
        <v>1131</v>
      </c>
      <c r="D301" s="2" t="str">
        <f aca="false">IF(ISERROR(SEARCH("ASPERGILLUS", UPPER(A301)) ),"N","Y" )</f>
        <v>N</v>
      </c>
    </row>
    <row r="302" customFormat="false" ht="15.75" hidden="false" customHeight="false" outlineLevel="0" collapsed="false">
      <c r="A302" s="20" t="s">
        <v>1897</v>
      </c>
      <c r="B302" s="43" t="s">
        <v>1975</v>
      </c>
      <c r="C302" s="43" t="s">
        <v>1131</v>
      </c>
      <c r="D302" s="2" t="str">
        <f aca="false">IF(ISERROR(SEARCH("ASPERGILLUS", UPPER(A302)) ),"N","Y" )</f>
        <v>N</v>
      </c>
    </row>
    <row r="303" customFormat="false" ht="15.75" hidden="false" customHeight="false" outlineLevel="0" collapsed="false">
      <c r="A303" s="20" t="s">
        <v>1897</v>
      </c>
      <c r="B303" s="44" t="s">
        <v>1975</v>
      </c>
      <c r="C303" s="44" t="s">
        <v>1918</v>
      </c>
      <c r="D303" s="2" t="str">
        <f aca="false">IF(ISERROR(SEARCH("ASPERGILLUS", UPPER(A303)) ),"N","Y" )</f>
        <v>N</v>
      </c>
    </row>
    <row r="304" customFormat="false" ht="15.75" hidden="false" customHeight="false" outlineLevel="0" collapsed="false">
      <c r="A304" s="27" t="s">
        <v>1894</v>
      </c>
      <c r="B304" s="43" t="s">
        <v>1131</v>
      </c>
      <c r="C304" s="43" t="s">
        <v>1131</v>
      </c>
      <c r="D304" s="2" t="str">
        <f aca="false">IF(ISERROR(SEARCH("ASPERGILLUS", UPPER(A304)) ),"N","Y" )</f>
        <v>N</v>
      </c>
    </row>
    <row r="305" customFormat="false" ht="15.75" hidden="false" customHeight="false" outlineLevel="0" collapsed="false">
      <c r="A305" s="27" t="s">
        <v>1885</v>
      </c>
      <c r="B305" s="44" t="s">
        <v>1131</v>
      </c>
      <c r="C305" s="44" t="s">
        <v>1131</v>
      </c>
      <c r="D305" s="2" t="str">
        <f aca="false">IF(ISERROR(SEARCH("ASPERGILLUS", UPPER(A305)) ),"N","Y" )</f>
        <v>N</v>
      </c>
    </row>
    <row r="306" customFormat="false" ht="15.75" hidden="false" customHeight="false" outlineLevel="0" collapsed="false">
      <c r="A306" s="27" t="s">
        <v>1889</v>
      </c>
      <c r="B306" s="43" t="s">
        <v>1131</v>
      </c>
      <c r="C306" s="43" t="s">
        <v>1131</v>
      </c>
      <c r="D306" s="2" t="str">
        <f aca="false">IF(ISERROR(SEARCH("ASPERGILLUS", UPPER(A306)) ),"N","Y" )</f>
        <v>N</v>
      </c>
    </row>
    <row r="307" customFormat="false" ht="15.75" hidden="false" customHeight="false" outlineLevel="0" collapsed="false">
      <c r="A307" s="2" t="s">
        <v>130</v>
      </c>
      <c r="B307" s="2" t="s">
        <v>47</v>
      </c>
      <c r="C307" s="2" t="s">
        <v>1915</v>
      </c>
      <c r="D307" s="2" t="str">
        <f aca="false">IF(ISERROR(SEARCH("ASPERGILLUS", UPPER(A307)) ),"N","Y" )</f>
        <v>Y</v>
      </c>
    </row>
    <row r="308" customFormat="false" ht="15.75" hidden="false" customHeight="false" outlineLevel="0" collapsed="false">
      <c r="A308" s="2" t="s">
        <v>130</v>
      </c>
      <c r="B308" s="2" t="s">
        <v>1254</v>
      </c>
      <c r="C308" s="2" t="s">
        <v>1916</v>
      </c>
      <c r="D308" s="2" t="str">
        <f aca="false">IF(ISERROR(SEARCH("ASPERGILLUS", UPPER(A308)) ),"N","Y" )</f>
        <v>Y</v>
      </c>
    </row>
    <row r="309" customFormat="false" ht="15.75" hidden="false" customHeight="false" outlineLevel="0" collapsed="false">
      <c r="A309" s="2" t="s">
        <v>1976</v>
      </c>
      <c r="B309" s="2" t="s">
        <v>1131</v>
      </c>
      <c r="C309" s="2" t="s">
        <v>1131</v>
      </c>
      <c r="D309" s="2" t="str">
        <f aca="false">IF(ISERROR(SEARCH("ASPERGILLUS", UPPER(A309)) ),"N","Y" )</f>
        <v>N</v>
      </c>
    </row>
    <row r="310" customFormat="false" ht="15.75" hidden="false" customHeight="false" outlineLevel="0" collapsed="false">
      <c r="A310" s="2" t="s">
        <v>155</v>
      </c>
      <c r="B310" s="2" t="s">
        <v>1977</v>
      </c>
      <c r="C310" s="2" t="s">
        <v>1915</v>
      </c>
      <c r="D310" s="2" t="str">
        <f aca="false">IF(ISERROR(SEARCH("ASPERGILLUS", UPPER(A310)) ),"N","Y" )</f>
        <v>Y</v>
      </c>
    </row>
    <row r="311" customFormat="false" ht="15.75" hidden="false" customHeight="false" outlineLevel="0" collapsed="false">
      <c r="A311" s="2" t="s">
        <v>155</v>
      </c>
      <c r="B311" s="2" t="s">
        <v>1977</v>
      </c>
      <c r="C311" s="2" t="s">
        <v>1919</v>
      </c>
      <c r="D311" s="2" t="str">
        <f aca="false">IF(ISERROR(SEARCH("ASPERGILLUS", UPPER(A311)) ),"N","Y" )</f>
        <v>Y</v>
      </c>
    </row>
    <row r="312" customFormat="false" ht="15.75" hidden="false" customHeight="false" outlineLevel="0" collapsed="false">
      <c r="A312" s="2" t="s">
        <v>689</v>
      </c>
      <c r="B312" s="2" t="s">
        <v>1978</v>
      </c>
      <c r="C312" s="2" t="s">
        <v>1978</v>
      </c>
      <c r="D312" s="2" t="str">
        <f aca="false">IF(ISERROR(SEARCH("ASPERGILLUS", UPPER(A312)) ),"N","Y" )</f>
        <v>N</v>
      </c>
    </row>
    <row r="313" customFormat="false" ht="15.75" hidden="false" customHeight="false" outlineLevel="0" collapsed="false">
      <c r="A313" s="2" t="s">
        <v>694</v>
      </c>
      <c r="B313" s="2" t="s">
        <v>1910</v>
      </c>
      <c r="C313" s="2" t="s">
        <v>1910</v>
      </c>
      <c r="D313" s="2" t="str">
        <f aca="false">IF(ISERROR(SEARCH("ASPERGILLUS", UPPER(A313)) ),"N","Y" )</f>
        <v>N</v>
      </c>
    </row>
    <row r="314" customFormat="false" ht="15.75" hidden="false" customHeight="false" outlineLevel="0" collapsed="false">
      <c r="A314" s="2" t="s">
        <v>699</v>
      </c>
      <c r="B314" s="2" t="s">
        <v>1908</v>
      </c>
      <c r="C314" s="2" t="s">
        <v>1908</v>
      </c>
      <c r="D314" s="2" t="str">
        <f aca="false">IF(ISERROR(SEARCH("ASPERGILLUS", UPPER(A314)) ),"N","Y" )</f>
        <v>N</v>
      </c>
    </row>
    <row r="315" customFormat="false" ht="15.75" hidden="false" customHeight="false" outlineLevel="0" collapsed="false">
      <c r="A315" s="2" t="s">
        <v>703</v>
      </c>
      <c r="B315" s="2" t="s">
        <v>1979</v>
      </c>
      <c r="C315" s="2" t="s">
        <v>1910</v>
      </c>
      <c r="D315" s="2" t="str">
        <f aca="false">IF(ISERROR(SEARCH("ASPERGILLUS", UPPER(A315)) ),"N","Y" )</f>
        <v>N</v>
      </c>
    </row>
    <row r="316" customFormat="false" ht="15.75" hidden="false" customHeight="false" outlineLevel="0" collapsed="false">
      <c r="A316" s="2" t="s">
        <v>712</v>
      </c>
      <c r="B316" s="2" t="s">
        <v>47</v>
      </c>
      <c r="C316" s="2" t="s">
        <v>1915</v>
      </c>
      <c r="D316" s="2" t="str">
        <f aca="false">IF(ISERROR(SEARCH("ASPERGILLUS", UPPER(A316)) ),"N","Y" )</f>
        <v>Y</v>
      </c>
    </row>
    <row r="317" customFormat="false" ht="15.75" hidden="false" customHeight="false" outlineLevel="0" collapsed="false">
      <c r="A317" s="2" t="s">
        <v>717</v>
      </c>
      <c r="B317" s="2" t="s">
        <v>1980</v>
      </c>
      <c r="C317" s="2" t="s">
        <v>1919</v>
      </c>
      <c r="D317" s="2" t="str">
        <f aca="false">IF(ISERROR(SEARCH("ASPERGILLUS", UPPER(A317)) ),"N","Y" )</f>
        <v>N</v>
      </c>
    </row>
    <row r="318" customFormat="false" ht="15.75" hidden="false" customHeight="false" outlineLevel="0" collapsed="false">
      <c r="A318" s="2" t="s">
        <v>735</v>
      </c>
      <c r="B318" s="2" t="s">
        <v>1910</v>
      </c>
      <c r="C318" s="2" t="s">
        <v>1910</v>
      </c>
      <c r="D318" s="2" t="str">
        <f aca="false">IF(ISERROR(SEARCH("ASPERGILLUS", UPPER(A318)) ),"N","Y" )</f>
        <v>N</v>
      </c>
    </row>
    <row r="319" customFormat="false" ht="15.75" hidden="false" customHeight="false" outlineLevel="0" collapsed="false">
      <c r="A319" s="2" t="s">
        <v>740</v>
      </c>
      <c r="B319" s="2" t="s">
        <v>1131</v>
      </c>
      <c r="C319" s="2" t="s">
        <v>1131</v>
      </c>
      <c r="D319" s="2" t="str">
        <f aca="false">IF(ISERROR(SEARCH("ASPERGILLUS", UPPER(A319)) ),"N","Y" )</f>
        <v>N</v>
      </c>
    </row>
    <row r="320" customFormat="false" ht="15.75" hidden="false" customHeight="false" outlineLevel="0" collapsed="false">
      <c r="A320" s="2" t="s">
        <v>745</v>
      </c>
      <c r="B320" s="2" t="s">
        <v>1914</v>
      </c>
      <c r="C320" s="2" t="s">
        <v>1912</v>
      </c>
      <c r="D320" s="2" t="str">
        <f aca="false">IF(ISERROR(SEARCH("ASPERGILLUS", UPPER(A320)) ),"N","Y" )</f>
        <v>N</v>
      </c>
    </row>
    <row r="321" customFormat="false" ht="15.75" hidden="false" customHeight="false" outlineLevel="0" collapsed="false">
      <c r="A321" s="2" t="s">
        <v>1235</v>
      </c>
      <c r="B321" s="2" t="s">
        <v>1908</v>
      </c>
      <c r="C321" s="2" t="s">
        <v>1908</v>
      </c>
      <c r="D321" s="2" t="str">
        <f aca="false">IF(ISERROR(SEARCH("ASPERGILLUS", UPPER(A321)) ),"N","Y" )</f>
        <v>N</v>
      </c>
    </row>
    <row r="322" customFormat="false" ht="15.75" hidden="false" customHeight="false" outlineLevel="0" collapsed="false">
      <c r="A322" s="2" t="s">
        <v>1297</v>
      </c>
      <c r="B322" s="2" t="s">
        <v>1131</v>
      </c>
      <c r="C322" s="2" t="s">
        <v>1131</v>
      </c>
      <c r="D322" s="2" t="str">
        <f aca="false">IF(ISERROR(SEARCH("ASPERGILLUS", UPPER(A322)) ),"N","Y" )</f>
        <v>N</v>
      </c>
    </row>
    <row r="323" customFormat="false" ht="15.75" hidden="false" customHeight="false" outlineLevel="0" collapsed="false">
      <c r="A323" s="2" t="s">
        <v>1297</v>
      </c>
      <c r="B323" s="2" t="s">
        <v>1097</v>
      </c>
      <c r="C323" s="2" t="s">
        <v>1915</v>
      </c>
      <c r="D323" s="2" t="str">
        <f aca="false">IF(ISERROR(SEARCH("ASPERGILLUS", UPPER(A323)) ),"N","Y" )</f>
        <v>N</v>
      </c>
    </row>
    <row r="324" customFormat="false" ht="15.75" hidden="false" customHeight="false" outlineLevel="0" collapsed="false">
      <c r="A324" s="2" t="s">
        <v>1306</v>
      </c>
      <c r="B324" s="2" t="s">
        <v>1131</v>
      </c>
      <c r="C324" s="2" t="s">
        <v>1131</v>
      </c>
      <c r="D324" s="2" t="str">
        <f aca="false">IF(ISERROR(SEARCH("ASPERGILLUS", UPPER(A324)) ),"N","Y" )</f>
        <v>N</v>
      </c>
    </row>
    <row r="325" customFormat="false" ht="15.75" hidden="false" customHeight="false" outlineLevel="0" collapsed="false">
      <c r="A325" s="2" t="s">
        <v>1563</v>
      </c>
      <c r="B325" s="2" t="s">
        <v>1912</v>
      </c>
      <c r="C325" s="2" t="s">
        <v>1912</v>
      </c>
      <c r="D325" s="2" t="str">
        <f aca="false">IF(ISERROR(SEARCH("ASPERGILLUS", UPPER(A325)) ),"N","Y" )</f>
        <v>N</v>
      </c>
    </row>
    <row r="326" customFormat="false" ht="15.75" hidden="false" customHeight="false" outlineLevel="0" collapsed="false">
      <c r="A326" s="2" t="s">
        <v>1661</v>
      </c>
      <c r="B326" s="2" t="s">
        <v>568</v>
      </c>
      <c r="C326" s="2" t="s">
        <v>568</v>
      </c>
      <c r="D326" s="2" t="str">
        <f aca="false">IF(ISERROR(SEARCH("ASPERGILLUS", UPPER(A326)) ),"N","Y" )</f>
        <v>N</v>
      </c>
    </row>
    <row r="327" customFormat="false" ht="15.75" hidden="false" customHeight="false" outlineLevel="0" collapsed="false">
      <c r="A327" s="2" t="s">
        <v>1665</v>
      </c>
      <c r="B327" s="2" t="s">
        <v>1979</v>
      </c>
      <c r="C327" s="2" t="s">
        <v>1910</v>
      </c>
      <c r="D327" s="2" t="str">
        <f aca="false">IF(ISERROR(SEARCH("ASPERGILLUS", UPPER(A327)) ),"N","Y" )</f>
        <v>N</v>
      </c>
    </row>
    <row r="328" customFormat="false" ht="15.75" hidden="false" customHeight="false" outlineLevel="0" collapsed="false">
      <c r="A328" s="14" t="s">
        <v>1714</v>
      </c>
      <c r="B328" s="2" t="s">
        <v>1131</v>
      </c>
      <c r="C328" s="2" t="s">
        <v>1131</v>
      </c>
      <c r="D328" s="2" t="str">
        <f aca="false">IF(ISERROR(SEARCH("ASPERGILLUS", UPPER(A328)) ),"N","Y" )</f>
        <v>N</v>
      </c>
    </row>
    <row r="329" customFormat="false" ht="15.75" hidden="false" customHeight="false" outlineLevel="0" collapsed="false">
      <c r="A329" s="2" t="s">
        <v>1710</v>
      </c>
      <c r="B329" s="2" t="s">
        <v>1980</v>
      </c>
      <c r="C329" s="2" t="s">
        <v>1919</v>
      </c>
      <c r="D329" s="2" t="str">
        <f aca="false">IF(ISERROR(SEARCH("ASPERGILLUS", UPPER(A329)) ),"N","Y" )</f>
        <v>N</v>
      </c>
    </row>
    <row r="330" customFormat="false" ht="15.75" hidden="false" customHeight="false" outlineLevel="0" collapsed="false">
      <c r="A330" s="2" t="s">
        <v>1808</v>
      </c>
      <c r="B330" s="2" t="s">
        <v>568</v>
      </c>
      <c r="C330" s="2" t="s">
        <v>568</v>
      </c>
      <c r="D330" s="2" t="str">
        <f aca="false">IF(ISERROR(SEARCH("ASPERGILLUS", UPPER(A330)) ),"N","Y" )</f>
        <v>N</v>
      </c>
    </row>
    <row r="331" customFormat="false" ht="15.75" hidden="false" customHeight="false" outlineLevel="0" collapsed="false">
      <c r="A331" s="2" t="s">
        <v>136</v>
      </c>
      <c r="B331" s="2" t="s">
        <v>1131</v>
      </c>
      <c r="C331" s="2" t="s">
        <v>1131</v>
      </c>
      <c r="D331" s="2" t="str">
        <f aca="false">IF(ISERROR(SEARCH("ASPERGILLUS", UPPER(A331)) ),"N","Y" )</f>
        <v>N</v>
      </c>
    </row>
    <row r="332" customFormat="false" ht="15.75" hidden="false" customHeight="false" outlineLevel="0" collapsed="false">
      <c r="A332" s="2"/>
      <c r="B332" s="2"/>
      <c r="C332" s="2"/>
    </row>
    <row r="333" customFormat="false" ht="15.75" hidden="false" customHeight="false" outlineLevel="0" collapsed="false">
      <c r="A333" s="2"/>
      <c r="B333" s="2"/>
      <c r="C333" s="2"/>
    </row>
    <row r="334" customFormat="false" ht="15.75" hidden="false" customHeight="false" outlineLevel="0" collapsed="false">
      <c r="A334" s="2"/>
      <c r="B334" s="2"/>
      <c r="C334" s="2"/>
    </row>
    <row r="335" customFormat="false" ht="15.75" hidden="false" customHeight="false" outlineLevel="0" collapsed="false">
      <c r="A335" s="2"/>
      <c r="B335" s="2"/>
      <c r="C335" s="2"/>
    </row>
    <row r="336" customFormat="false" ht="15.75" hidden="false" customHeight="false" outlineLevel="0" collapsed="false">
      <c r="A336" s="2"/>
      <c r="B336" s="2"/>
      <c r="C336" s="2"/>
    </row>
    <row r="337" customFormat="false" ht="15.75" hidden="false" customHeight="false" outlineLevel="0" collapsed="false">
      <c r="A337" s="2"/>
      <c r="B337" s="2"/>
      <c r="C337" s="2"/>
    </row>
    <row r="338" customFormat="false" ht="15.75" hidden="false" customHeight="false" outlineLevel="0" collapsed="false">
      <c r="A338" s="2"/>
      <c r="B338" s="2"/>
      <c r="C338" s="2"/>
    </row>
    <row r="339" customFormat="false" ht="15.75" hidden="false" customHeight="false" outlineLevel="0" collapsed="false">
      <c r="A339" s="2"/>
      <c r="B339" s="2"/>
      <c r="C339" s="2"/>
    </row>
    <row r="340" customFormat="false" ht="15.75" hidden="false" customHeight="false" outlineLevel="0" collapsed="false">
      <c r="A340" s="2"/>
      <c r="B340" s="2"/>
      <c r="C340" s="2"/>
    </row>
    <row r="341" customFormat="false" ht="15.75" hidden="false" customHeight="false" outlineLevel="0" collapsed="false">
      <c r="A341" s="2"/>
      <c r="B341" s="2"/>
      <c r="C341" s="2"/>
    </row>
    <row r="342" customFormat="false" ht="15.75" hidden="false" customHeight="false" outlineLevel="0" collapsed="false">
      <c r="A342" s="2"/>
      <c r="B342" s="2"/>
      <c r="C342" s="2"/>
    </row>
    <row r="343" customFormat="false" ht="15.75" hidden="false" customHeight="false" outlineLevel="0" collapsed="false">
      <c r="A343" s="2"/>
      <c r="B343" s="2"/>
      <c r="C343" s="2"/>
    </row>
    <row r="344" customFormat="false" ht="15.75" hidden="false" customHeight="false" outlineLevel="0" collapsed="false">
      <c r="A344" s="2"/>
      <c r="B344" s="2"/>
      <c r="C344" s="2"/>
    </row>
    <row r="345" customFormat="false" ht="15.75" hidden="false" customHeight="false" outlineLevel="0" collapsed="false">
      <c r="A345" s="2"/>
      <c r="B345" s="2"/>
      <c r="C345" s="2"/>
    </row>
    <row r="346" customFormat="false" ht="15.75" hidden="false" customHeight="false" outlineLevel="0" collapsed="false">
      <c r="A346" s="2"/>
      <c r="B346" s="2"/>
      <c r="C346" s="2"/>
    </row>
    <row r="347" customFormat="false" ht="15.75" hidden="false" customHeight="false" outlineLevel="0" collapsed="false">
      <c r="A347" s="2"/>
      <c r="B347" s="2"/>
      <c r="C347" s="2"/>
    </row>
    <row r="348" customFormat="false" ht="15.75" hidden="false" customHeight="false" outlineLevel="0" collapsed="false">
      <c r="A348" s="2"/>
      <c r="B348" s="2"/>
      <c r="C348" s="2"/>
    </row>
    <row r="349" customFormat="false" ht="15.75" hidden="false" customHeight="false" outlineLevel="0" collapsed="false">
      <c r="A349" s="2"/>
      <c r="B349" s="2"/>
      <c r="C349" s="2"/>
    </row>
    <row r="350" customFormat="false" ht="15.75" hidden="false" customHeight="false" outlineLevel="0" collapsed="false">
      <c r="A350" s="2"/>
      <c r="B350" s="2"/>
      <c r="C350" s="2"/>
    </row>
    <row r="351" customFormat="false" ht="15.75" hidden="false" customHeight="false" outlineLevel="0" collapsed="false">
      <c r="A351" s="2"/>
      <c r="B351" s="2"/>
      <c r="C351" s="2"/>
    </row>
    <row r="352" customFormat="false" ht="15.75" hidden="false" customHeight="false" outlineLevel="0" collapsed="false">
      <c r="A352" s="2"/>
      <c r="B352" s="2"/>
      <c r="C352" s="2"/>
    </row>
    <row r="353" customFormat="false" ht="15.75" hidden="false" customHeight="false" outlineLevel="0" collapsed="false">
      <c r="A353" s="2"/>
      <c r="B353" s="2"/>
      <c r="C353" s="2"/>
    </row>
    <row r="354" customFormat="false" ht="15.75" hidden="false" customHeight="false" outlineLevel="0" collapsed="false">
      <c r="A354" s="2"/>
      <c r="B354" s="2"/>
      <c r="C354" s="2"/>
    </row>
    <row r="355" customFormat="false" ht="15.75" hidden="false" customHeight="false" outlineLevel="0" collapsed="false">
      <c r="A355" s="2"/>
      <c r="B355" s="2"/>
      <c r="C355" s="2"/>
    </row>
    <row r="356" customFormat="false" ht="15.75" hidden="false" customHeight="false" outlineLevel="0" collapsed="false">
      <c r="A356" s="2"/>
      <c r="B356" s="2"/>
      <c r="C356" s="2"/>
    </row>
    <row r="357" customFormat="false" ht="15.75" hidden="false" customHeight="false" outlineLevel="0" collapsed="false">
      <c r="A357" s="2"/>
      <c r="B357" s="2"/>
      <c r="C357" s="2"/>
    </row>
    <row r="358" customFormat="false" ht="15.75" hidden="false" customHeight="false" outlineLevel="0" collapsed="false">
      <c r="A358" s="2"/>
      <c r="B358" s="2"/>
      <c r="C358" s="2"/>
    </row>
    <row r="359" customFormat="false" ht="15.75" hidden="false" customHeight="false" outlineLevel="0" collapsed="false">
      <c r="A359" s="2"/>
      <c r="B359" s="2"/>
      <c r="C359" s="2"/>
    </row>
    <row r="360" customFormat="false" ht="15.75" hidden="false" customHeight="false" outlineLevel="0" collapsed="false">
      <c r="A360" s="2"/>
      <c r="B360" s="2"/>
      <c r="C360" s="2"/>
    </row>
    <row r="361" customFormat="false" ht="15.75" hidden="false" customHeight="false" outlineLevel="0" collapsed="false">
      <c r="A361" s="2"/>
      <c r="B361" s="2"/>
      <c r="C361" s="2"/>
    </row>
    <row r="362" customFormat="false" ht="15.75" hidden="false" customHeight="false" outlineLevel="0" collapsed="false">
      <c r="A362" s="2"/>
      <c r="B362" s="2"/>
      <c r="C362" s="2"/>
    </row>
    <row r="363" customFormat="false" ht="15.75" hidden="false" customHeight="false" outlineLevel="0" collapsed="false">
      <c r="A363" s="2"/>
      <c r="B363" s="2"/>
      <c r="C363" s="2"/>
    </row>
    <row r="364" customFormat="false" ht="15.75" hidden="false" customHeight="false" outlineLevel="0" collapsed="false">
      <c r="A364" s="2"/>
      <c r="B364" s="2"/>
      <c r="C364" s="2"/>
    </row>
    <row r="365" customFormat="false" ht="15.75" hidden="false" customHeight="false" outlineLevel="0" collapsed="false">
      <c r="A365" s="2"/>
      <c r="B365" s="2"/>
      <c r="C365" s="2"/>
    </row>
    <row r="366" customFormat="false" ht="15.75" hidden="false" customHeight="false" outlineLevel="0" collapsed="false">
      <c r="A366" s="2"/>
      <c r="B366" s="2"/>
      <c r="C366" s="2"/>
    </row>
    <row r="367" customFormat="false" ht="15.75" hidden="false" customHeight="false" outlineLevel="0" collapsed="false">
      <c r="A367" s="2"/>
      <c r="B367" s="2"/>
      <c r="C367" s="2"/>
    </row>
    <row r="368" customFormat="false" ht="15.75" hidden="false" customHeight="false" outlineLevel="0" collapsed="false">
      <c r="A368" s="2"/>
      <c r="B368" s="2"/>
      <c r="C368" s="2"/>
    </row>
    <row r="369" customFormat="false" ht="15.75" hidden="false" customHeight="false" outlineLevel="0" collapsed="false">
      <c r="A369" s="2"/>
      <c r="B369" s="2"/>
      <c r="C369" s="2"/>
    </row>
    <row r="370" customFormat="false" ht="15.75" hidden="false" customHeight="false" outlineLevel="0" collapsed="false">
      <c r="A370" s="2"/>
      <c r="B370" s="2"/>
      <c r="C370" s="2"/>
    </row>
    <row r="371" customFormat="false" ht="15.75" hidden="false" customHeight="false" outlineLevel="0" collapsed="false">
      <c r="A371" s="2"/>
      <c r="B371" s="2"/>
      <c r="C371" s="2"/>
    </row>
    <row r="372" customFormat="false" ht="15.75" hidden="false" customHeight="false" outlineLevel="0" collapsed="false">
      <c r="A372" s="2"/>
      <c r="B372" s="2"/>
      <c r="C372" s="2"/>
    </row>
    <row r="373" customFormat="false" ht="15.75" hidden="false" customHeight="false" outlineLevel="0" collapsed="false">
      <c r="A373" s="2"/>
      <c r="B373" s="2"/>
      <c r="C373" s="2"/>
    </row>
    <row r="374" customFormat="false" ht="15.75" hidden="false" customHeight="false" outlineLevel="0" collapsed="false">
      <c r="A374" s="2"/>
      <c r="B374" s="2"/>
      <c r="C374" s="2"/>
    </row>
    <row r="375" customFormat="false" ht="15.75" hidden="false" customHeight="false" outlineLevel="0" collapsed="false">
      <c r="A375" s="2"/>
      <c r="B375" s="2"/>
      <c r="C375" s="2"/>
    </row>
    <row r="376" customFormat="false" ht="15.75" hidden="false" customHeight="false" outlineLevel="0" collapsed="false">
      <c r="A376" s="2"/>
      <c r="B376" s="2"/>
      <c r="C376" s="2"/>
    </row>
    <row r="377" customFormat="false" ht="15.75" hidden="false" customHeight="false" outlineLevel="0" collapsed="false">
      <c r="A377" s="2"/>
      <c r="B377" s="2"/>
      <c r="C377" s="2"/>
    </row>
    <row r="378" customFormat="false" ht="15.75" hidden="false" customHeight="false" outlineLevel="0" collapsed="false">
      <c r="A378" s="2"/>
      <c r="B378" s="2"/>
      <c r="C378" s="2"/>
    </row>
    <row r="379" customFormat="false" ht="15.75" hidden="false" customHeight="false" outlineLevel="0" collapsed="false">
      <c r="A379" s="2"/>
      <c r="B379" s="2"/>
      <c r="C379" s="2"/>
    </row>
    <row r="380" customFormat="false" ht="15.75" hidden="false" customHeight="false" outlineLevel="0" collapsed="false">
      <c r="A380" s="2"/>
      <c r="B380" s="2"/>
      <c r="C380" s="2"/>
    </row>
    <row r="381" customFormat="false" ht="15.75" hidden="false" customHeight="false" outlineLevel="0" collapsed="false">
      <c r="A381" s="2"/>
      <c r="B381" s="2"/>
      <c r="C381" s="2"/>
    </row>
    <row r="382" customFormat="false" ht="15.75" hidden="false" customHeight="false" outlineLevel="0" collapsed="false">
      <c r="A382" s="2"/>
      <c r="B382" s="2"/>
      <c r="C382" s="2"/>
    </row>
    <row r="383" customFormat="false" ht="15.75" hidden="false" customHeight="false" outlineLevel="0" collapsed="false">
      <c r="A383" s="2"/>
      <c r="B383" s="2"/>
      <c r="C383" s="2"/>
    </row>
    <row r="384" customFormat="false" ht="15.75" hidden="false" customHeight="false" outlineLevel="0" collapsed="false">
      <c r="A384" s="2"/>
      <c r="B384" s="2"/>
      <c r="C384" s="2"/>
    </row>
    <row r="385" customFormat="false" ht="15.75" hidden="false" customHeight="false" outlineLevel="0" collapsed="false">
      <c r="A385" s="2"/>
      <c r="B385" s="2"/>
      <c r="C385" s="2"/>
    </row>
    <row r="386" customFormat="false" ht="15.75" hidden="false" customHeight="false" outlineLevel="0" collapsed="false">
      <c r="A386" s="2"/>
      <c r="B386" s="2"/>
      <c r="C386" s="2"/>
    </row>
    <row r="387" customFormat="false" ht="15.75" hidden="false" customHeight="false" outlineLevel="0" collapsed="false">
      <c r="A387" s="2"/>
      <c r="B387" s="2"/>
      <c r="C387" s="2"/>
    </row>
    <row r="388" customFormat="false" ht="15.75" hidden="false" customHeight="false" outlineLevel="0" collapsed="false">
      <c r="A388" s="2"/>
      <c r="B388" s="2"/>
      <c r="C388" s="2"/>
    </row>
    <row r="389" customFormat="false" ht="15.75" hidden="false" customHeight="false" outlineLevel="0" collapsed="false">
      <c r="A389" s="2"/>
      <c r="B389" s="2"/>
      <c r="C389" s="2"/>
    </row>
    <row r="390" customFormat="false" ht="15.75" hidden="false" customHeight="false" outlineLevel="0" collapsed="false">
      <c r="A390" s="2"/>
      <c r="B390" s="2"/>
      <c r="C390" s="2"/>
    </row>
    <row r="391" customFormat="false" ht="15.75" hidden="false" customHeight="false" outlineLevel="0" collapsed="false">
      <c r="A391" s="2"/>
      <c r="B391" s="2"/>
      <c r="C391" s="2"/>
    </row>
    <row r="392" customFormat="false" ht="15.75" hidden="false" customHeight="false" outlineLevel="0" collapsed="false">
      <c r="A392" s="2"/>
      <c r="B392" s="2"/>
      <c r="C392" s="2"/>
    </row>
    <row r="393" customFormat="false" ht="15.75" hidden="false" customHeight="false" outlineLevel="0" collapsed="false">
      <c r="A393" s="2"/>
      <c r="B393" s="2"/>
      <c r="C393" s="2"/>
    </row>
    <row r="394" customFormat="false" ht="15.75" hidden="false" customHeight="false" outlineLevel="0" collapsed="false">
      <c r="A394" s="2"/>
      <c r="B394" s="2"/>
      <c r="C394" s="2"/>
    </row>
    <row r="395" customFormat="false" ht="15.75" hidden="false" customHeight="false" outlineLevel="0" collapsed="false">
      <c r="A395" s="2"/>
      <c r="B395" s="2"/>
      <c r="C395" s="2"/>
    </row>
    <row r="396" customFormat="false" ht="15.75" hidden="false" customHeight="false" outlineLevel="0" collapsed="false">
      <c r="A396" s="2"/>
      <c r="B396" s="2"/>
      <c r="C396" s="2"/>
    </row>
    <row r="397" customFormat="false" ht="15.75" hidden="false" customHeight="false" outlineLevel="0" collapsed="false">
      <c r="A397" s="2"/>
      <c r="B397" s="2"/>
      <c r="C397" s="2"/>
    </row>
    <row r="398" customFormat="false" ht="15.75" hidden="false" customHeight="false" outlineLevel="0" collapsed="false">
      <c r="A398" s="2"/>
      <c r="B398" s="2"/>
      <c r="C398" s="2"/>
    </row>
    <row r="399" customFormat="false" ht="15.75" hidden="false" customHeight="false" outlineLevel="0" collapsed="false">
      <c r="A399" s="2"/>
      <c r="B399" s="2"/>
      <c r="C399" s="2"/>
    </row>
    <row r="400" customFormat="false" ht="15.75" hidden="false" customHeight="false" outlineLevel="0" collapsed="false">
      <c r="A400" s="2"/>
      <c r="B400" s="2"/>
      <c r="C400" s="2"/>
    </row>
    <row r="401" customFormat="false" ht="15.75" hidden="false" customHeight="false" outlineLevel="0" collapsed="false">
      <c r="A401" s="2"/>
      <c r="B401" s="2"/>
      <c r="C401" s="2"/>
    </row>
    <row r="402" customFormat="false" ht="15.75" hidden="false" customHeight="false" outlineLevel="0" collapsed="false">
      <c r="A402" s="2"/>
      <c r="B402" s="2"/>
      <c r="C402" s="2"/>
    </row>
    <row r="403" customFormat="false" ht="15.75" hidden="false" customHeight="false" outlineLevel="0" collapsed="false">
      <c r="A403" s="2"/>
      <c r="B403" s="2"/>
      <c r="C403" s="2"/>
    </row>
    <row r="404" customFormat="false" ht="15.75" hidden="false" customHeight="false" outlineLevel="0" collapsed="false">
      <c r="A404" s="2"/>
      <c r="B404" s="2"/>
      <c r="C404" s="2"/>
    </row>
    <row r="405" customFormat="false" ht="15.75" hidden="false" customHeight="false" outlineLevel="0" collapsed="false">
      <c r="A405" s="2"/>
      <c r="B405" s="2"/>
      <c r="C405" s="2"/>
    </row>
    <row r="406" customFormat="false" ht="15.75" hidden="false" customHeight="false" outlineLevel="0" collapsed="false">
      <c r="A406" s="2"/>
      <c r="B406" s="2"/>
      <c r="C406" s="2"/>
    </row>
    <row r="407" customFormat="false" ht="15.75" hidden="false" customHeight="false" outlineLevel="0" collapsed="false">
      <c r="A407" s="2"/>
      <c r="B407" s="2"/>
      <c r="C407" s="2"/>
    </row>
    <row r="408" customFormat="false" ht="15.75" hidden="false" customHeight="false" outlineLevel="0" collapsed="false">
      <c r="A408" s="2"/>
      <c r="B408" s="2"/>
      <c r="C408" s="2"/>
    </row>
    <row r="409" customFormat="false" ht="15.75" hidden="false" customHeight="false" outlineLevel="0" collapsed="false">
      <c r="A409" s="2"/>
      <c r="B409" s="2"/>
      <c r="C409" s="2"/>
    </row>
    <row r="410" customFormat="false" ht="15.75" hidden="false" customHeight="false" outlineLevel="0" collapsed="false">
      <c r="A410" s="2"/>
      <c r="B410" s="2"/>
      <c r="C410" s="2"/>
    </row>
    <row r="411" customFormat="false" ht="15.75" hidden="false" customHeight="false" outlineLevel="0" collapsed="false">
      <c r="A411" s="2"/>
      <c r="B411" s="2"/>
      <c r="C411" s="2"/>
    </row>
    <row r="412" customFormat="false" ht="15.75" hidden="false" customHeight="false" outlineLevel="0" collapsed="false">
      <c r="A412" s="2"/>
      <c r="B412" s="2"/>
      <c r="C412" s="2"/>
    </row>
    <row r="413" customFormat="false" ht="15.75" hidden="false" customHeight="false" outlineLevel="0" collapsed="false">
      <c r="A413" s="2"/>
      <c r="B413" s="2"/>
      <c r="C413" s="2"/>
    </row>
    <row r="414" customFormat="false" ht="15.75" hidden="false" customHeight="false" outlineLevel="0" collapsed="false">
      <c r="A414" s="2"/>
      <c r="B414" s="2"/>
      <c r="C414" s="2"/>
    </row>
    <row r="415" customFormat="false" ht="15.75" hidden="false" customHeight="false" outlineLevel="0" collapsed="false">
      <c r="A415" s="2"/>
      <c r="B415" s="2"/>
      <c r="C415" s="2"/>
    </row>
    <row r="416" customFormat="false" ht="15.75" hidden="false" customHeight="false" outlineLevel="0" collapsed="false">
      <c r="A416" s="2"/>
      <c r="B416" s="2"/>
      <c r="C416" s="2"/>
    </row>
    <row r="417" customFormat="false" ht="15.75" hidden="false" customHeight="false" outlineLevel="0" collapsed="false">
      <c r="A417" s="2"/>
      <c r="B417" s="2"/>
      <c r="C417" s="2"/>
    </row>
    <row r="418" customFormat="false" ht="15.75" hidden="false" customHeight="false" outlineLevel="0" collapsed="false">
      <c r="A418" s="2"/>
      <c r="B418" s="2"/>
      <c r="C418" s="2"/>
    </row>
    <row r="419" customFormat="false" ht="15.75" hidden="false" customHeight="false" outlineLevel="0" collapsed="false">
      <c r="A419" s="2"/>
      <c r="B419" s="2"/>
      <c r="C419" s="2"/>
    </row>
    <row r="420" customFormat="false" ht="15.75" hidden="false" customHeight="false" outlineLevel="0" collapsed="false">
      <c r="A420" s="2"/>
      <c r="B420" s="2"/>
      <c r="C420" s="2"/>
    </row>
    <row r="421" customFormat="false" ht="15.75" hidden="false" customHeight="false" outlineLevel="0" collapsed="false">
      <c r="A421" s="2"/>
      <c r="B421" s="2"/>
      <c r="C421" s="2"/>
    </row>
    <row r="422" customFormat="false" ht="15.75" hidden="false" customHeight="false" outlineLevel="0" collapsed="false">
      <c r="A422" s="2"/>
      <c r="B422" s="2"/>
      <c r="C422" s="2"/>
    </row>
    <row r="423" customFormat="false" ht="15.75" hidden="false" customHeight="false" outlineLevel="0" collapsed="false">
      <c r="A423" s="2"/>
      <c r="B423" s="2"/>
      <c r="C423" s="2"/>
    </row>
    <row r="424" customFormat="false" ht="15.75" hidden="false" customHeight="false" outlineLevel="0" collapsed="false">
      <c r="A424" s="2"/>
      <c r="B424" s="2"/>
      <c r="C424" s="2"/>
    </row>
    <row r="425" customFormat="false" ht="15.75" hidden="false" customHeight="false" outlineLevel="0" collapsed="false">
      <c r="A425" s="2"/>
      <c r="B425" s="2"/>
      <c r="C425" s="2"/>
    </row>
    <row r="426" customFormat="false" ht="15.75" hidden="false" customHeight="false" outlineLevel="0" collapsed="false">
      <c r="A426" s="2"/>
      <c r="B426" s="2"/>
      <c r="C426" s="2"/>
    </row>
    <row r="427" customFormat="false" ht="15.75" hidden="false" customHeight="false" outlineLevel="0" collapsed="false">
      <c r="A427" s="2"/>
      <c r="B427" s="2"/>
      <c r="C427" s="2"/>
    </row>
    <row r="428" customFormat="false" ht="15.75" hidden="false" customHeight="false" outlineLevel="0" collapsed="false">
      <c r="A428" s="2"/>
      <c r="B428" s="2"/>
      <c r="C428" s="2"/>
    </row>
    <row r="429" customFormat="false" ht="15.75" hidden="false" customHeight="false" outlineLevel="0" collapsed="false">
      <c r="A429" s="2"/>
      <c r="B429" s="2"/>
      <c r="C429" s="2"/>
    </row>
    <row r="430" customFormat="false" ht="15.75" hidden="false" customHeight="false" outlineLevel="0" collapsed="false">
      <c r="A430" s="2"/>
      <c r="B430" s="2"/>
      <c r="C430" s="2"/>
    </row>
    <row r="431" customFormat="false" ht="15.75" hidden="false" customHeight="false" outlineLevel="0" collapsed="false">
      <c r="A431" s="2"/>
      <c r="B431" s="2"/>
      <c r="C431" s="2"/>
    </row>
    <row r="432" customFormat="false" ht="15.75" hidden="false" customHeight="false" outlineLevel="0" collapsed="false">
      <c r="A432" s="2"/>
      <c r="B432" s="2"/>
      <c r="C432" s="2"/>
    </row>
    <row r="433" customFormat="false" ht="15.75" hidden="false" customHeight="false" outlineLevel="0" collapsed="false">
      <c r="A433" s="2"/>
      <c r="B433" s="2"/>
      <c r="C433" s="2"/>
    </row>
    <row r="434" customFormat="false" ht="15.75" hidden="false" customHeight="false" outlineLevel="0" collapsed="false">
      <c r="A434" s="2"/>
      <c r="B434" s="2"/>
      <c r="C434" s="2"/>
    </row>
    <row r="435" customFormat="false" ht="15.75" hidden="false" customHeight="false" outlineLevel="0" collapsed="false">
      <c r="A435" s="2"/>
      <c r="B435" s="2"/>
      <c r="C435" s="2"/>
    </row>
    <row r="436" customFormat="false" ht="15.75" hidden="false" customHeight="false" outlineLevel="0" collapsed="false">
      <c r="A436" s="2"/>
      <c r="B436" s="2"/>
      <c r="C436" s="2"/>
    </row>
    <row r="437" customFormat="false" ht="15.75" hidden="false" customHeight="false" outlineLevel="0" collapsed="false">
      <c r="A437" s="2"/>
      <c r="B437" s="2"/>
      <c r="C437" s="2"/>
    </row>
    <row r="438" customFormat="false" ht="15.75" hidden="false" customHeight="false" outlineLevel="0" collapsed="false">
      <c r="A438" s="2"/>
      <c r="B438" s="2"/>
      <c r="C438" s="2"/>
    </row>
    <row r="439" customFormat="false" ht="15.75" hidden="false" customHeight="false" outlineLevel="0" collapsed="false">
      <c r="A439" s="2"/>
      <c r="B439" s="2"/>
      <c r="C439" s="2"/>
    </row>
    <row r="440" customFormat="false" ht="15.75" hidden="false" customHeight="false" outlineLevel="0" collapsed="false">
      <c r="A440" s="2"/>
      <c r="B440" s="2"/>
      <c r="C440" s="2"/>
    </row>
    <row r="441" customFormat="false" ht="15.75" hidden="false" customHeight="false" outlineLevel="0" collapsed="false">
      <c r="A441" s="2"/>
      <c r="B441" s="2"/>
      <c r="C441" s="2"/>
    </row>
    <row r="442" customFormat="false" ht="15.75" hidden="false" customHeight="false" outlineLevel="0" collapsed="false">
      <c r="A442" s="2"/>
      <c r="B442" s="2"/>
      <c r="C442" s="2"/>
    </row>
    <row r="443" customFormat="false" ht="15.75" hidden="false" customHeight="false" outlineLevel="0" collapsed="false">
      <c r="A443" s="2"/>
      <c r="B443" s="2"/>
      <c r="C443" s="2"/>
    </row>
    <row r="444" customFormat="false" ht="15.75" hidden="false" customHeight="false" outlineLevel="0" collapsed="false">
      <c r="A444" s="2"/>
      <c r="B444" s="2"/>
      <c r="C444" s="2"/>
    </row>
    <row r="445" customFormat="false" ht="15.75" hidden="false" customHeight="false" outlineLevel="0" collapsed="false">
      <c r="A445" s="2"/>
      <c r="B445" s="2"/>
      <c r="C445" s="2"/>
    </row>
    <row r="446" customFormat="false" ht="15.75" hidden="false" customHeight="false" outlineLevel="0" collapsed="false">
      <c r="A446" s="2"/>
      <c r="B446" s="2"/>
      <c r="C446" s="2"/>
    </row>
    <row r="447" customFormat="false" ht="15.75" hidden="false" customHeight="false" outlineLevel="0" collapsed="false">
      <c r="A447" s="2"/>
      <c r="B447" s="2"/>
      <c r="C447" s="2"/>
    </row>
    <row r="448" customFormat="false" ht="15.75" hidden="false" customHeight="false" outlineLevel="0" collapsed="false">
      <c r="A448" s="2"/>
      <c r="B448" s="2"/>
      <c r="C448" s="2"/>
    </row>
    <row r="449" customFormat="false" ht="15.75" hidden="false" customHeight="false" outlineLevel="0" collapsed="false">
      <c r="A449" s="2"/>
      <c r="B449" s="2"/>
      <c r="C449" s="2"/>
    </row>
    <row r="450" customFormat="false" ht="15.75" hidden="false" customHeight="false" outlineLevel="0" collapsed="false">
      <c r="A450" s="2"/>
      <c r="B450" s="2"/>
      <c r="C450" s="2"/>
    </row>
    <row r="451" customFormat="false" ht="15.75" hidden="false" customHeight="false" outlineLevel="0" collapsed="false">
      <c r="A451" s="2"/>
      <c r="B451" s="2"/>
      <c r="C451" s="2"/>
    </row>
    <row r="452" customFormat="false" ht="15.75" hidden="false" customHeight="false" outlineLevel="0" collapsed="false">
      <c r="A452" s="2"/>
      <c r="B452" s="2"/>
      <c r="C452" s="2"/>
    </row>
    <row r="453" customFormat="false" ht="15.75" hidden="false" customHeight="false" outlineLevel="0" collapsed="false">
      <c r="A453" s="2"/>
      <c r="B453" s="2"/>
      <c r="C453" s="2"/>
    </row>
    <row r="454" customFormat="false" ht="15.75" hidden="false" customHeight="false" outlineLevel="0" collapsed="false">
      <c r="A454" s="2"/>
      <c r="B454" s="2"/>
      <c r="C454" s="2"/>
    </row>
    <row r="455" customFormat="false" ht="15.75" hidden="false" customHeight="false" outlineLevel="0" collapsed="false">
      <c r="A455" s="2"/>
      <c r="B455" s="2"/>
      <c r="C455" s="2"/>
    </row>
    <row r="456" customFormat="false" ht="15.75" hidden="false" customHeight="false" outlineLevel="0" collapsed="false">
      <c r="A456" s="2"/>
      <c r="B456" s="2"/>
      <c r="C456" s="2"/>
    </row>
    <row r="457" customFormat="false" ht="15.75" hidden="false" customHeight="false" outlineLevel="0" collapsed="false">
      <c r="A457" s="2"/>
      <c r="B457" s="2"/>
      <c r="C457" s="2"/>
    </row>
    <row r="458" customFormat="false" ht="15.75" hidden="false" customHeight="false" outlineLevel="0" collapsed="false">
      <c r="A458" s="2"/>
      <c r="B458" s="2"/>
      <c r="C458" s="2"/>
    </row>
    <row r="459" customFormat="false" ht="15.75" hidden="false" customHeight="false" outlineLevel="0" collapsed="false">
      <c r="A459" s="2"/>
      <c r="B459" s="2"/>
      <c r="C459" s="2"/>
    </row>
    <row r="460" customFormat="false" ht="15.75" hidden="false" customHeight="false" outlineLevel="0" collapsed="false">
      <c r="A460" s="2"/>
      <c r="B460" s="2"/>
      <c r="C460" s="2"/>
    </row>
    <row r="461" customFormat="false" ht="15.75" hidden="false" customHeight="false" outlineLevel="0" collapsed="false">
      <c r="A461" s="2"/>
      <c r="B461" s="2"/>
      <c r="C461" s="2"/>
    </row>
    <row r="462" customFormat="false" ht="15.75" hidden="false" customHeight="false" outlineLevel="0" collapsed="false">
      <c r="A462" s="2"/>
      <c r="B462" s="2"/>
      <c r="C462" s="2"/>
    </row>
    <row r="463" customFormat="false" ht="15.75" hidden="false" customHeight="false" outlineLevel="0" collapsed="false">
      <c r="A463" s="2"/>
      <c r="B463" s="2"/>
      <c r="C463" s="2"/>
    </row>
    <row r="464" customFormat="false" ht="15.75" hidden="false" customHeight="false" outlineLevel="0" collapsed="false">
      <c r="A464" s="2"/>
      <c r="B464" s="2"/>
      <c r="C464" s="2"/>
    </row>
    <row r="465" customFormat="false" ht="15.75" hidden="false" customHeight="false" outlineLevel="0" collapsed="false">
      <c r="A465" s="2"/>
      <c r="B465" s="2"/>
      <c r="C465" s="2"/>
    </row>
    <row r="466" customFormat="false" ht="15.75" hidden="false" customHeight="false" outlineLevel="0" collapsed="false">
      <c r="A466" s="2"/>
      <c r="B466" s="2"/>
      <c r="C466" s="2"/>
    </row>
    <row r="467" customFormat="false" ht="15.75" hidden="false" customHeight="false" outlineLevel="0" collapsed="false">
      <c r="A467" s="2"/>
      <c r="B467" s="2"/>
      <c r="C467" s="2"/>
    </row>
    <row r="468" customFormat="false" ht="15.75" hidden="false" customHeight="false" outlineLevel="0" collapsed="false">
      <c r="A468" s="2"/>
      <c r="B468" s="2"/>
      <c r="C468" s="2"/>
    </row>
    <row r="469" customFormat="false" ht="15.75" hidden="false" customHeight="false" outlineLevel="0" collapsed="false">
      <c r="A469" s="2"/>
      <c r="B469" s="2"/>
      <c r="C469" s="2"/>
    </row>
    <row r="470" customFormat="false" ht="15.75" hidden="false" customHeight="false" outlineLevel="0" collapsed="false">
      <c r="A470" s="2"/>
      <c r="B470" s="2"/>
      <c r="C470" s="2"/>
    </row>
    <row r="471" customFormat="false" ht="15.75" hidden="false" customHeight="false" outlineLevel="0" collapsed="false">
      <c r="A471" s="2"/>
      <c r="B471" s="2"/>
      <c r="C471" s="2"/>
    </row>
    <row r="472" customFormat="false" ht="15.75" hidden="false" customHeight="false" outlineLevel="0" collapsed="false">
      <c r="A472" s="2"/>
      <c r="B472" s="2"/>
      <c r="C472" s="2"/>
    </row>
    <row r="473" customFormat="false" ht="15.75" hidden="false" customHeight="false" outlineLevel="0" collapsed="false">
      <c r="A473" s="2"/>
      <c r="B473" s="2"/>
      <c r="C473" s="2"/>
    </row>
    <row r="474" customFormat="false" ht="15.75" hidden="false" customHeight="false" outlineLevel="0" collapsed="false">
      <c r="A474" s="2"/>
      <c r="B474" s="2"/>
      <c r="C474" s="2"/>
    </row>
    <row r="475" customFormat="false" ht="15.75" hidden="false" customHeight="false" outlineLevel="0" collapsed="false">
      <c r="A475" s="2"/>
      <c r="B475" s="2"/>
      <c r="C475" s="2"/>
    </row>
    <row r="476" customFormat="false" ht="15.75" hidden="false" customHeight="false" outlineLevel="0" collapsed="false">
      <c r="A476" s="2"/>
      <c r="B476" s="2"/>
      <c r="C476" s="2"/>
    </row>
    <row r="477" customFormat="false" ht="15.75" hidden="false" customHeight="false" outlineLevel="0" collapsed="false">
      <c r="A477" s="2"/>
      <c r="B477" s="2"/>
      <c r="C477" s="2"/>
    </row>
    <row r="478" customFormat="false" ht="15.75" hidden="false" customHeight="false" outlineLevel="0" collapsed="false">
      <c r="A478" s="2"/>
      <c r="B478" s="2"/>
      <c r="C478" s="2"/>
    </row>
    <row r="479" customFormat="false" ht="15.75" hidden="false" customHeight="false" outlineLevel="0" collapsed="false">
      <c r="A479" s="2"/>
      <c r="B479" s="2"/>
      <c r="C479" s="2"/>
    </row>
    <row r="480" customFormat="false" ht="15.75" hidden="false" customHeight="false" outlineLevel="0" collapsed="false">
      <c r="A480" s="2"/>
      <c r="B480" s="2"/>
      <c r="C480" s="2"/>
    </row>
    <row r="481" customFormat="false" ht="15.75" hidden="false" customHeight="false" outlineLevel="0" collapsed="false">
      <c r="A481" s="2"/>
      <c r="B481" s="2"/>
      <c r="C481" s="2"/>
    </row>
    <row r="482" customFormat="false" ht="15.75" hidden="false" customHeight="false" outlineLevel="0" collapsed="false">
      <c r="A482" s="2"/>
      <c r="B482" s="2"/>
      <c r="C482" s="2"/>
    </row>
    <row r="483" customFormat="false" ht="15.75" hidden="false" customHeight="false" outlineLevel="0" collapsed="false">
      <c r="A483" s="2"/>
      <c r="B483" s="2"/>
      <c r="C483" s="2"/>
    </row>
    <row r="484" customFormat="false" ht="15.75" hidden="false" customHeight="false" outlineLevel="0" collapsed="false">
      <c r="A484" s="2"/>
      <c r="B484" s="2"/>
      <c r="C484" s="2"/>
    </row>
    <row r="485" customFormat="false" ht="15.75" hidden="false" customHeight="false" outlineLevel="0" collapsed="false">
      <c r="A485" s="2"/>
      <c r="B485" s="2"/>
      <c r="C485" s="2"/>
    </row>
    <row r="486" customFormat="false" ht="15.75" hidden="false" customHeight="false" outlineLevel="0" collapsed="false">
      <c r="A486" s="2"/>
      <c r="B486" s="2"/>
      <c r="C486" s="2"/>
    </row>
    <row r="487" customFormat="false" ht="15.75" hidden="false" customHeight="false" outlineLevel="0" collapsed="false">
      <c r="A487" s="2"/>
      <c r="B487" s="2"/>
      <c r="C487" s="2"/>
    </row>
    <row r="488" customFormat="false" ht="15.75" hidden="false" customHeight="false" outlineLevel="0" collapsed="false">
      <c r="A488" s="2"/>
      <c r="B488" s="2"/>
      <c r="C488" s="2"/>
    </row>
    <row r="489" customFormat="false" ht="15.75" hidden="false" customHeight="false" outlineLevel="0" collapsed="false">
      <c r="A489" s="2"/>
      <c r="B489" s="2"/>
      <c r="C489" s="2"/>
    </row>
    <row r="490" customFormat="false" ht="15.75" hidden="false" customHeight="false" outlineLevel="0" collapsed="false">
      <c r="A490" s="2"/>
      <c r="B490" s="2"/>
      <c r="C490" s="2"/>
    </row>
    <row r="491" customFormat="false" ht="15.75" hidden="false" customHeight="false" outlineLevel="0" collapsed="false">
      <c r="A491" s="2"/>
      <c r="B491" s="2"/>
      <c r="C491" s="2"/>
    </row>
    <row r="492" customFormat="false" ht="15.75" hidden="false" customHeight="false" outlineLevel="0" collapsed="false">
      <c r="A492" s="2"/>
      <c r="B492" s="2"/>
      <c r="C492" s="2"/>
    </row>
    <row r="493" customFormat="false" ht="15.75" hidden="false" customHeight="false" outlineLevel="0" collapsed="false">
      <c r="A493" s="2"/>
      <c r="B493" s="2"/>
      <c r="C493" s="2"/>
    </row>
    <row r="494" customFormat="false" ht="15.75" hidden="false" customHeight="false" outlineLevel="0" collapsed="false">
      <c r="A494" s="2"/>
      <c r="B494" s="2"/>
      <c r="C494" s="2"/>
    </row>
    <row r="495" customFormat="false" ht="15.75" hidden="false" customHeight="false" outlineLevel="0" collapsed="false">
      <c r="A495" s="2"/>
      <c r="B495" s="2"/>
      <c r="C495" s="2"/>
    </row>
    <row r="496" customFormat="false" ht="15.75" hidden="false" customHeight="false" outlineLevel="0" collapsed="false">
      <c r="A496" s="2"/>
      <c r="B496" s="2"/>
      <c r="C496" s="2"/>
    </row>
    <row r="497" customFormat="false" ht="15.75" hidden="false" customHeight="false" outlineLevel="0" collapsed="false">
      <c r="A497" s="2"/>
      <c r="B497" s="2"/>
      <c r="C497" s="2"/>
    </row>
    <row r="498" customFormat="false" ht="15.75" hidden="false" customHeight="false" outlineLevel="0" collapsed="false">
      <c r="A498" s="2"/>
      <c r="B498" s="2"/>
      <c r="C498" s="2"/>
    </row>
    <row r="499" customFormat="false" ht="15.75" hidden="false" customHeight="false" outlineLevel="0" collapsed="false">
      <c r="A499" s="2"/>
      <c r="B499" s="2"/>
      <c r="C499" s="2"/>
    </row>
    <row r="500" customFormat="false" ht="15.75" hidden="false" customHeight="false" outlineLevel="0" collapsed="false">
      <c r="A500" s="2"/>
      <c r="B500" s="2"/>
      <c r="C500" s="2"/>
    </row>
    <row r="501" customFormat="false" ht="15.75" hidden="false" customHeight="false" outlineLevel="0" collapsed="false">
      <c r="A501" s="2"/>
      <c r="B501" s="2"/>
      <c r="C501" s="2"/>
    </row>
    <row r="502" customFormat="false" ht="15.75" hidden="false" customHeight="false" outlineLevel="0" collapsed="false">
      <c r="A502" s="2"/>
      <c r="B502" s="2"/>
      <c r="C502" s="2"/>
    </row>
    <row r="503" customFormat="false" ht="15.75" hidden="false" customHeight="false" outlineLevel="0" collapsed="false">
      <c r="A503" s="2"/>
      <c r="B503" s="2"/>
      <c r="C503" s="2"/>
    </row>
    <row r="504" customFormat="false" ht="15.75" hidden="false" customHeight="false" outlineLevel="0" collapsed="false">
      <c r="A504" s="2"/>
      <c r="B504" s="2"/>
      <c r="C504" s="2"/>
    </row>
    <row r="505" customFormat="false" ht="15.75" hidden="false" customHeight="false" outlineLevel="0" collapsed="false">
      <c r="A505" s="2"/>
      <c r="B505" s="2"/>
      <c r="C505" s="2"/>
    </row>
    <row r="506" customFormat="false" ht="15.75" hidden="false" customHeight="false" outlineLevel="0" collapsed="false">
      <c r="A506" s="2"/>
      <c r="B506" s="2"/>
      <c r="C506" s="2"/>
    </row>
    <row r="507" customFormat="false" ht="15.75" hidden="false" customHeight="false" outlineLevel="0" collapsed="false">
      <c r="A507" s="2"/>
      <c r="B507" s="2"/>
      <c r="C507" s="2"/>
    </row>
    <row r="508" customFormat="false" ht="15.75" hidden="false" customHeight="false" outlineLevel="0" collapsed="false">
      <c r="A508" s="2"/>
      <c r="B508" s="2"/>
      <c r="C508" s="2"/>
    </row>
    <row r="509" customFormat="false" ht="15.75" hidden="false" customHeight="false" outlineLevel="0" collapsed="false">
      <c r="A509" s="2"/>
      <c r="B509" s="2"/>
      <c r="C509" s="2"/>
    </row>
    <row r="510" customFormat="false" ht="15.75" hidden="false" customHeight="false" outlineLevel="0" collapsed="false">
      <c r="A510" s="2"/>
      <c r="B510" s="2"/>
      <c r="C510" s="2"/>
    </row>
    <row r="511" customFormat="false" ht="15.75" hidden="false" customHeight="false" outlineLevel="0" collapsed="false">
      <c r="A511" s="2"/>
      <c r="B511" s="2"/>
      <c r="C511" s="2"/>
    </row>
    <row r="512" customFormat="false" ht="15.75" hidden="false" customHeight="false" outlineLevel="0" collapsed="false">
      <c r="A512" s="2"/>
      <c r="B512" s="2"/>
      <c r="C512" s="2"/>
    </row>
    <row r="513" customFormat="false" ht="15.75" hidden="false" customHeight="false" outlineLevel="0" collapsed="false">
      <c r="A513" s="2"/>
      <c r="B513" s="2"/>
      <c r="C513" s="2"/>
    </row>
    <row r="514" customFormat="false" ht="15.75" hidden="false" customHeight="false" outlineLevel="0" collapsed="false">
      <c r="A514" s="2"/>
      <c r="B514" s="2"/>
      <c r="C514" s="2"/>
    </row>
    <row r="515" customFormat="false" ht="15.75" hidden="false" customHeight="false" outlineLevel="0" collapsed="false">
      <c r="A515" s="2"/>
      <c r="B515" s="2"/>
      <c r="C515" s="2"/>
    </row>
    <row r="516" customFormat="false" ht="15.75" hidden="false" customHeight="false" outlineLevel="0" collapsed="false">
      <c r="A516" s="2"/>
      <c r="B516" s="2"/>
      <c r="C516" s="2"/>
    </row>
    <row r="517" customFormat="false" ht="15.75" hidden="false" customHeight="false" outlineLevel="0" collapsed="false">
      <c r="A517" s="2"/>
      <c r="B517" s="2"/>
      <c r="C517" s="2"/>
    </row>
    <row r="518" customFormat="false" ht="15.75" hidden="false" customHeight="false" outlineLevel="0" collapsed="false">
      <c r="A518" s="2"/>
      <c r="B518" s="2"/>
      <c r="C518" s="2"/>
    </row>
    <row r="519" customFormat="false" ht="15.75" hidden="false" customHeight="false" outlineLevel="0" collapsed="false">
      <c r="A519" s="2"/>
      <c r="B519" s="2"/>
      <c r="C519" s="2"/>
    </row>
    <row r="520" customFormat="false" ht="15.75" hidden="false" customHeight="false" outlineLevel="0" collapsed="false">
      <c r="A520" s="2"/>
      <c r="B520" s="2"/>
      <c r="C520" s="2"/>
    </row>
    <row r="521" customFormat="false" ht="15.75" hidden="false" customHeight="false" outlineLevel="0" collapsed="false">
      <c r="A521" s="2"/>
      <c r="B521" s="2"/>
      <c r="C521" s="2"/>
    </row>
    <row r="522" customFormat="false" ht="15.75" hidden="false" customHeight="false" outlineLevel="0" collapsed="false">
      <c r="A522" s="2"/>
      <c r="B522" s="2"/>
      <c r="C522" s="2"/>
    </row>
    <row r="523" customFormat="false" ht="15.75" hidden="false" customHeight="false" outlineLevel="0" collapsed="false">
      <c r="A523" s="2"/>
      <c r="B523" s="2"/>
      <c r="C523" s="2"/>
    </row>
    <row r="524" customFormat="false" ht="15.75" hidden="false" customHeight="false" outlineLevel="0" collapsed="false">
      <c r="A524" s="2"/>
      <c r="B524" s="2"/>
      <c r="C524" s="2"/>
    </row>
    <row r="525" customFormat="false" ht="15.75" hidden="false" customHeight="false" outlineLevel="0" collapsed="false">
      <c r="A525" s="2"/>
      <c r="B525" s="2"/>
      <c r="C525" s="2"/>
    </row>
    <row r="526" customFormat="false" ht="15.75" hidden="false" customHeight="false" outlineLevel="0" collapsed="false">
      <c r="A526" s="2"/>
      <c r="B526" s="2"/>
      <c r="C526" s="2"/>
    </row>
    <row r="527" customFormat="false" ht="15.75" hidden="false" customHeight="false" outlineLevel="0" collapsed="false">
      <c r="A527" s="2"/>
      <c r="B527" s="2"/>
      <c r="C527" s="2"/>
    </row>
    <row r="528" customFormat="false" ht="15.75" hidden="false" customHeight="false" outlineLevel="0" collapsed="false">
      <c r="A528" s="2"/>
      <c r="B528" s="2"/>
      <c r="C528" s="2"/>
    </row>
    <row r="529" customFormat="false" ht="15.75" hidden="false" customHeight="false" outlineLevel="0" collapsed="false">
      <c r="A529" s="2"/>
      <c r="B529" s="2"/>
      <c r="C529" s="2"/>
    </row>
    <row r="530" customFormat="false" ht="15.75" hidden="false" customHeight="false" outlineLevel="0" collapsed="false">
      <c r="A530" s="2"/>
      <c r="B530" s="2"/>
      <c r="C530" s="2"/>
    </row>
    <row r="531" customFormat="false" ht="15.75" hidden="false" customHeight="false" outlineLevel="0" collapsed="false">
      <c r="A531" s="2"/>
      <c r="B531" s="2"/>
      <c r="C531" s="2"/>
    </row>
    <row r="532" customFormat="false" ht="15.75" hidden="false" customHeight="false" outlineLevel="0" collapsed="false">
      <c r="A532" s="2"/>
      <c r="B532" s="2"/>
      <c r="C532" s="2"/>
    </row>
    <row r="533" customFormat="false" ht="15.75" hidden="false" customHeight="false" outlineLevel="0" collapsed="false">
      <c r="A533" s="2"/>
      <c r="B533" s="2"/>
      <c r="C533" s="2"/>
    </row>
    <row r="534" customFormat="false" ht="15.75" hidden="false" customHeight="false" outlineLevel="0" collapsed="false">
      <c r="A534" s="2"/>
      <c r="B534" s="2"/>
      <c r="C534" s="2"/>
    </row>
    <row r="535" customFormat="false" ht="15.75" hidden="false" customHeight="false" outlineLevel="0" collapsed="false">
      <c r="A535" s="2"/>
      <c r="B535" s="2"/>
      <c r="C535" s="2"/>
    </row>
    <row r="536" customFormat="false" ht="15.75" hidden="false" customHeight="false" outlineLevel="0" collapsed="false">
      <c r="A536" s="2"/>
      <c r="B536" s="2"/>
      <c r="C536" s="2"/>
    </row>
    <row r="537" customFormat="false" ht="15.75" hidden="false" customHeight="false" outlineLevel="0" collapsed="false">
      <c r="A537" s="2"/>
      <c r="B537" s="2"/>
      <c r="C537" s="2"/>
    </row>
    <row r="538" customFormat="false" ht="15.75" hidden="false" customHeight="false" outlineLevel="0" collapsed="false">
      <c r="A538" s="2"/>
      <c r="B538" s="2"/>
      <c r="C538" s="2"/>
    </row>
    <row r="539" customFormat="false" ht="15.75" hidden="false" customHeight="false" outlineLevel="0" collapsed="false">
      <c r="A539" s="2"/>
      <c r="B539" s="2"/>
      <c r="C539" s="2"/>
    </row>
    <row r="540" customFormat="false" ht="15.75" hidden="false" customHeight="false" outlineLevel="0" collapsed="false">
      <c r="A540" s="2"/>
      <c r="B540" s="2"/>
      <c r="C540" s="2"/>
    </row>
    <row r="541" customFormat="false" ht="15.75" hidden="false" customHeight="false" outlineLevel="0" collapsed="false">
      <c r="A541" s="2"/>
      <c r="B541" s="2"/>
      <c r="C541" s="2"/>
    </row>
    <row r="542" customFormat="false" ht="15.75" hidden="false" customHeight="false" outlineLevel="0" collapsed="false">
      <c r="A542" s="2"/>
      <c r="B542" s="2"/>
      <c r="C542" s="2"/>
    </row>
    <row r="543" customFormat="false" ht="15.75" hidden="false" customHeight="false" outlineLevel="0" collapsed="false">
      <c r="A543" s="2"/>
      <c r="B543" s="2"/>
      <c r="C543" s="2"/>
    </row>
    <row r="544" customFormat="false" ht="15.75" hidden="false" customHeight="false" outlineLevel="0" collapsed="false">
      <c r="A544" s="2"/>
      <c r="B544" s="2"/>
      <c r="C544" s="2"/>
    </row>
    <row r="545" customFormat="false" ht="15.75" hidden="false" customHeight="false" outlineLevel="0" collapsed="false">
      <c r="A545" s="2"/>
      <c r="B545" s="2"/>
      <c r="C545" s="2"/>
    </row>
    <row r="546" customFormat="false" ht="15.75" hidden="false" customHeight="false" outlineLevel="0" collapsed="false">
      <c r="A546" s="2"/>
      <c r="B546" s="2"/>
      <c r="C546" s="2"/>
    </row>
    <row r="547" customFormat="false" ht="15.75" hidden="false" customHeight="false" outlineLevel="0" collapsed="false">
      <c r="A547" s="2"/>
      <c r="B547" s="2"/>
      <c r="C547" s="2"/>
    </row>
    <row r="548" customFormat="false" ht="15.75" hidden="false" customHeight="false" outlineLevel="0" collapsed="false">
      <c r="A548" s="2"/>
      <c r="B548" s="2"/>
      <c r="C548" s="2"/>
    </row>
    <row r="549" customFormat="false" ht="15.75" hidden="false" customHeight="false" outlineLevel="0" collapsed="false">
      <c r="A549" s="2"/>
      <c r="B549" s="2"/>
      <c r="C549" s="2"/>
    </row>
    <row r="550" customFormat="false" ht="15.75" hidden="false" customHeight="false" outlineLevel="0" collapsed="false">
      <c r="A550" s="2"/>
      <c r="B550" s="2"/>
      <c r="C550" s="2"/>
    </row>
    <row r="551" customFormat="false" ht="15.75" hidden="false" customHeight="false" outlineLevel="0" collapsed="false">
      <c r="A551" s="2"/>
      <c r="B551" s="2"/>
      <c r="C551" s="2"/>
    </row>
    <row r="552" customFormat="false" ht="15.75" hidden="false" customHeight="false" outlineLevel="0" collapsed="false">
      <c r="A552" s="2"/>
      <c r="B552" s="2"/>
      <c r="C552" s="2"/>
    </row>
    <row r="553" customFormat="false" ht="15.75" hidden="false" customHeight="false" outlineLevel="0" collapsed="false">
      <c r="A553" s="2"/>
      <c r="B553" s="2"/>
      <c r="C553" s="2"/>
    </row>
    <row r="554" customFormat="false" ht="15.75" hidden="false" customHeight="false" outlineLevel="0" collapsed="false">
      <c r="A554" s="2"/>
      <c r="B554" s="2"/>
      <c r="C554" s="2"/>
    </row>
    <row r="555" customFormat="false" ht="15.75" hidden="false" customHeight="false" outlineLevel="0" collapsed="false">
      <c r="A555" s="2"/>
      <c r="B555" s="2"/>
      <c r="C555" s="2"/>
    </row>
    <row r="556" customFormat="false" ht="15.75" hidden="false" customHeight="false" outlineLevel="0" collapsed="false">
      <c r="A556" s="2"/>
      <c r="B556" s="2"/>
      <c r="C556" s="2"/>
    </row>
    <row r="557" customFormat="false" ht="15.75" hidden="false" customHeight="false" outlineLevel="0" collapsed="false">
      <c r="A557" s="2"/>
      <c r="B557" s="2"/>
      <c r="C557" s="2"/>
    </row>
    <row r="558" customFormat="false" ht="15.75" hidden="false" customHeight="false" outlineLevel="0" collapsed="false">
      <c r="A558" s="2"/>
      <c r="B558" s="2"/>
      <c r="C558" s="2"/>
    </row>
    <row r="559" customFormat="false" ht="15.75" hidden="false" customHeight="false" outlineLevel="0" collapsed="false">
      <c r="A559" s="2"/>
      <c r="B559" s="2"/>
      <c r="C559" s="2"/>
    </row>
    <row r="560" customFormat="false" ht="15.75" hidden="false" customHeight="false" outlineLevel="0" collapsed="false">
      <c r="A560" s="2"/>
      <c r="B560" s="2"/>
      <c r="C560" s="2"/>
    </row>
    <row r="561" customFormat="false" ht="15.75" hidden="false" customHeight="false" outlineLevel="0" collapsed="false">
      <c r="A561" s="2"/>
      <c r="B561" s="2"/>
      <c r="C561" s="2"/>
    </row>
    <row r="562" customFormat="false" ht="15.75" hidden="false" customHeight="false" outlineLevel="0" collapsed="false">
      <c r="A562" s="2"/>
      <c r="B562" s="2"/>
      <c r="C562" s="2"/>
    </row>
    <row r="563" customFormat="false" ht="15.75" hidden="false" customHeight="false" outlineLevel="0" collapsed="false">
      <c r="A563" s="2"/>
      <c r="B563" s="2"/>
      <c r="C563" s="2"/>
    </row>
    <row r="564" customFormat="false" ht="15.75" hidden="false" customHeight="false" outlineLevel="0" collapsed="false">
      <c r="A564" s="2"/>
      <c r="B564" s="2"/>
      <c r="C564" s="2"/>
    </row>
    <row r="565" customFormat="false" ht="15.75" hidden="false" customHeight="false" outlineLevel="0" collapsed="false">
      <c r="A565" s="2"/>
      <c r="B565" s="2"/>
      <c r="C565" s="2"/>
    </row>
    <row r="566" customFormat="false" ht="15.75" hidden="false" customHeight="false" outlineLevel="0" collapsed="false">
      <c r="A566" s="2"/>
      <c r="B566" s="2"/>
      <c r="C566" s="2"/>
    </row>
    <row r="567" customFormat="false" ht="15.75" hidden="false" customHeight="false" outlineLevel="0" collapsed="false">
      <c r="A567" s="2"/>
      <c r="B567" s="2"/>
      <c r="C567" s="2"/>
    </row>
    <row r="568" customFormat="false" ht="15.75" hidden="false" customHeight="false" outlineLevel="0" collapsed="false">
      <c r="A568" s="2"/>
      <c r="B568" s="2"/>
      <c r="C568" s="2"/>
    </row>
    <row r="569" customFormat="false" ht="15.75" hidden="false" customHeight="false" outlineLevel="0" collapsed="false">
      <c r="A569" s="2"/>
      <c r="B569" s="2"/>
      <c r="C569" s="2"/>
    </row>
    <row r="570" customFormat="false" ht="15.75" hidden="false" customHeight="false" outlineLevel="0" collapsed="false">
      <c r="A570" s="2"/>
      <c r="B570" s="2"/>
      <c r="C570" s="2"/>
    </row>
    <row r="571" customFormat="false" ht="15.75" hidden="false" customHeight="false" outlineLevel="0" collapsed="false">
      <c r="A571" s="2"/>
      <c r="B571" s="2"/>
      <c r="C571" s="2"/>
    </row>
    <row r="572" customFormat="false" ht="15.75" hidden="false" customHeight="false" outlineLevel="0" collapsed="false">
      <c r="A572" s="2"/>
      <c r="B572" s="2"/>
      <c r="C572" s="2"/>
    </row>
    <row r="573" customFormat="false" ht="15.75" hidden="false" customHeight="false" outlineLevel="0" collapsed="false">
      <c r="A573" s="2"/>
      <c r="B573" s="2"/>
      <c r="C573" s="2"/>
    </row>
    <row r="574" customFormat="false" ht="15.75" hidden="false" customHeight="false" outlineLevel="0" collapsed="false">
      <c r="A574" s="2"/>
      <c r="B574" s="2"/>
      <c r="C574" s="2"/>
    </row>
    <row r="575" customFormat="false" ht="15.75" hidden="false" customHeight="false" outlineLevel="0" collapsed="false">
      <c r="A575" s="2"/>
      <c r="B575" s="2"/>
      <c r="C575" s="2"/>
    </row>
    <row r="576" customFormat="false" ht="15.75" hidden="false" customHeight="false" outlineLevel="0" collapsed="false">
      <c r="A576" s="2"/>
      <c r="B576" s="2"/>
      <c r="C576" s="2"/>
    </row>
    <row r="577" customFormat="false" ht="15.75" hidden="false" customHeight="false" outlineLevel="0" collapsed="false">
      <c r="A577" s="2"/>
      <c r="B577" s="2"/>
      <c r="C577" s="2"/>
    </row>
    <row r="578" customFormat="false" ht="15.75" hidden="false" customHeight="false" outlineLevel="0" collapsed="false">
      <c r="A578" s="2"/>
      <c r="B578" s="2"/>
      <c r="C578" s="2"/>
    </row>
    <row r="579" customFormat="false" ht="15.75" hidden="false" customHeight="false" outlineLevel="0" collapsed="false">
      <c r="A579" s="2"/>
      <c r="B579" s="2"/>
      <c r="C579" s="2"/>
    </row>
    <row r="580" customFormat="false" ht="15.75" hidden="false" customHeight="false" outlineLevel="0" collapsed="false">
      <c r="A580" s="2"/>
      <c r="B580" s="2"/>
      <c r="C580" s="2"/>
    </row>
    <row r="581" customFormat="false" ht="15.75" hidden="false" customHeight="false" outlineLevel="0" collapsed="false">
      <c r="A581" s="2"/>
      <c r="B581" s="2"/>
      <c r="C581" s="2"/>
    </row>
    <row r="582" customFormat="false" ht="15.75" hidden="false" customHeight="false" outlineLevel="0" collapsed="false">
      <c r="A582" s="2"/>
      <c r="B582" s="2"/>
      <c r="C582" s="2"/>
    </row>
    <row r="583" customFormat="false" ht="15.75" hidden="false" customHeight="false" outlineLevel="0" collapsed="false">
      <c r="A583" s="2"/>
      <c r="B583" s="2"/>
      <c r="C583" s="2"/>
    </row>
    <row r="584" customFormat="false" ht="15.75" hidden="false" customHeight="false" outlineLevel="0" collapsed="false">
      <c r="A584" s="2"/>
      <c r="B584" s="2"/>
      <c r="C584" s="2"/>
    </row>
    <row r="585" customFormat="false" ht="15.75" hidden="false" customHeight="false" outlineLevel="0" collapsed="false">
      <c r="A585" s="2"/>
      <c r="B585" s="2"/>
      <c r="C585" s="2"/>
    </row>
    <row r="586" customFormat="false" ht="15.75" hidden="false" customHeight="false" outlineLevel="0" collapsed="false">
      <c r="A586" s="2"/>
      <c r="B586" s="2"/>
      <c r="C586" s="2"/>
    </row>
    <row r="587" customFormat="false" ht="15.75" hidden="false" customHeight="false" outlineLevel="0" collapsed="false">
      <c r="A587" s="2"/>
      <c r="B587" s="2"/>
      <c r="C587" s="2"/>
    </row>
    <row r="588" customFormat="false" ht="15.75" hidden="false" customHeight="false" outlineLevel="0" collapsed="false">
      <c r="A588" s="2"/>
      <c r="B588" s="2"/>
      <c r="C588" s="2"/>
    </row>
    <row r="589" customFormat="false" ht="15.75" hidden="false" customHeight="false" outlineLevel="0" collapsed="false">
      <c r="A589" s="2"/>
      <c r="B589" s="2"/>
      <c r="C589" s="2"/>
    </row>
    <row r="590" customFormat="false" ht="15.75" hidden="false" customHeight="false" outlineLevel="0" collapsed="false">
      <c r="A590" s="2"/>
      <c r="B590" s="2"/>
      <c r="C590" s="2"/>
    </row>
    <row r="591" customFormat="false" ht="15.75" hidden="false" customHeight="false" outlineLevel="0" collapsed="false">
      <c r="A591" s="2"/>
      <c r="B591" s="2"/>
      <c r="C591" s="2"/>
    </row>
    <row r="592" customFormat="false" ht="15.75" hidden="false" customHeight="false" outlineLevel="0" collapsed="false">
      <c r="A592" s="2"/>
      <c r="B592" s="2"/>
      <c r="C592" s="2"/>
    </row>
    <row r="593" customFormat="false" ht="15.75" hidden="false" customHeight="false" outlineLevel="0" collapsed="false">
      <c r="A593" s="2"/>
      <c r="B593" s="2"/>
      <c r="C593" s="2"/>
    </row>
    <row r="594" customFormat="false" ht="15.75" hidden="false" customHeight="false" outlineLevel="0" collapsed="false">
      <c r="A594" s="2"/>
      <c r="B594" s="2"/>
      <c r="C594" s="2"/>
    </row>
    <row r="595" customFormat="false" ht="15.75" hidden="false" customHeight="false" outlineLevel="0" collapsed="false">
      <c r="A595" s="2"/>
      <c r="B595" s="2"/>
      <c r="C595" s="2"/>
    </row>
    <row r="596" customFormat="false" ht="15.75" hidden="false" customHeight="false" outlineLevel="0" collapsed="false">
      <c r="A596" s="2"/>
      <c r="B596" s="2"/>
      <c r="C596" s="2"/>
    </row>
    <row r="597" customFormat="false" ht="15.75" hidden="false" customHeight="false" outlineLevel="0" collapsed="false">
      <c r="A597" s="2"/>
      <c r="B597" s="2"/>
      <c r="C597" s="2"/>
    </row>
    <row r="598" customFormat="false" ht="15.75" hidden="false" customHeight="false" outlineLevel="0" collapsed="false">
      <c r="A598" s="2"/>
      <c r="B598" s="2"/>
      <c r="C598" s="2"/>
    </row>
    <row r="599" customFormat="false" ht="15.75" hidden="false" customHeight="false" outlineLevel="0" collapsed="false">
      <c r="A599" s="2"/>
      <c r="B599" s="2"/>
      <c r="C599" s="2"/>
    </row>
    <row r="600" customFormat="false" ht="15.75" hidden="false" customHeight="false" outlineLevel="0" collapsed="false">
      <c r="A600" s="2"/>
      <c r="B600" s="2"/>
      <c r="C600" s="2"/>
    </row>
    <row r="601" customFormat="false" ht="15.75" hidden="false" customHeight="false" outlineLevel="0" collapsed="false">
      <c r="A601" s="2"/>
      <c r="B601" s="2"/>
      <c r="C601" s="2"/>
    </row>
    <row r="602" customFormat="false" ht="15.75" hidden="false" customHeight="false" outlineLevel="0" collapsed="false">
      <c r="A602" s="2"/>
      <c r="B602" s="2"/>
      <c r="C602" s="2"/>
    </row>
    <row r="603" customFormat="false" ht="15.75" hidden="false" customHeight="false" outlineLevel="0" collapsed="false">
      <c r="A603" s="2"/>
      <c r="B603" s="2"/>
      <c r="C603" s="2"/>
    </row>
    <row r="604" customFormat="false" ht="15.75" hidden="false" customHeight="false" outlineLevel="0" collapsed="false">
      <c r="A604" s="2"/>
      <c r="B604" s="2"/>
      <c r="C604" s="2"/>
    </row>
    <row r="605" customFormat="false" ht="15.75" hidden="false" customHeight="false" outlineLevel="0" collapsed="false">
      <c r="A605" s="2"/>
      <c r="B605" s="2"/>
      <c r="C605" s="2"/>
    </row>
    <row r="606" customFormat="false" ht="15.75" hidden="false" customHeight="false" outlineLevel="0" collapsed="false">
      <c r="A606" s="2"/>
      <c r="B606" s="2"/>
      <c r="C606" s="2"/>
    </row>
    <row r="607" customFormat="false" ht="15.75" hidden="false" customHeight="false" outlineLevel="0" collapsed="false">
      <c r="A607" s="2"/>
      <c r="B607" s="2"/>
      <c r="C607" s="2"/>
    </row>
    <row r="608" customFormat="false" ht="15.75" hidden="false" customHeight="false" outlineLevel="0" collapsed="false">
      <c r="A608" s="2"/>
      <c r="B608" s="2"/>
      <c r="C608" s="2"/>
    </row>
    <row r="609" customFormat="false" ht="15.75" hidden="false" customHeight="false" outlineLevel="0" collapsed="false">
      <c r="A609" s="2"/>
      <c r="B609" s="2"/>
      <c r="C609" s="2"/>
    </row>
    <row r="610" customFormat="false" ht="15.75" hidden="false" customHeight="false" outlineLevel="0" collapsed="false">
      <c r="A610" s="2"/>
      <c r="B610" s="2"/>
      <c r="C610" s="2"/>
    </row>
    <row r="611" customFormat="false" ht="15.75" hidden="false" customHeight="false" outlineLevel="0" collapsed="false">
      <c r="A611" s="2"/>
      <c r="B611" s="2"/>
      <c r="C611" s="2"/>
    </row>
    <row r="612" customFormat="false" ht="15.75" hidden="false" customHeight="false" outlineLevel="0" collapsed="false">
      <c r="A612" s="2"/>
      <c r="B612" s="2"/>
      <c r="C612" s="2"/>
    </row>
    <row r="613" customFormat="false" ht="15.75" hidden="false" customHeight="false" outlineLevel="0" collapsed="false">
      <c r="A613" s="2"/>
      <c r="B613" s="2"/>
      <c r="C613" s="2"/>
    </row>
    <row r="614" customFormat="false" ht="15.75" hidden="false" customHeight="false" outlineLevel="0" collapsed="false">
      <c r="A614" s="2"/>
      <c r="B614" s="2"/>
      <c r="C614" s="2"/>
    </row>
    <row r="615" customFormat="false" ht="15.75" hidden="false" customHeight="false" outlineLevel="0" collapsed="false">
      <c r="A615" s="2"/>
      <c r="B615" s="2"/>
      <c r="C615" s="2"/>
    </row>
    <row r="616" customFormat="false" ht="15.75" hidden="false" customHeight="false" outlineLevel="0" collapsed="false">
      <c r="A616" s="2"/>
      <c r="B616" s="2"/>
      <c r="C616" s="2"/>
    </row>
    <row r="617" customFormat="false" ht="15.75" hidden="false" customHeight="false" outlineLevel="0" collapsed="false">
      <c r="A617" s="2"/>
      <c r="B617" s="2"/>
      <c r="C617" s="2"/>
    </row>
    <row r="618" customFormat="false" ht="15.75" hidden="false" customHeight="false" outlineLevel="0" collapsed="false">
      <c r="A618" s="2"/>
      <c r="B618" s="2"/>
      <c r="C618" s="2"/>
    </row>
    <row r="619" customFormat="false" ht="15.75" hidden="false" customHeight="false" outlineLevel="0" collapsed="false">
      <c r="A619" s="2"/>
      <c r="B619" s="2"/>
      <c r="C619" s="2"/>
    </row>
    <row r="620" customFormat="false" ht="15.75" hidden="false" customHeight="false" outlineLevel="0" collapsed="false">
      <c r="A620" s="2"/>
      <c r="B620" s="2"/>
      <c r="C620" s="2"/>
    </row>
    <row r="621" customFormat="false" ht="15.75" hidden="false" customHeight="false" outlineLevel="0" collapsed="false">
      <c r="A621" s="2"/>
      <c r="B621" s="2"/>
      <c r="C621" s="2"/>
    </row>
    <row r="622" customFormat="false" ht="15.75" hidden="false" customHeight="false" outlineLevel="0" collapsed="false">
      <c r="A622" s="2"/>
      <c r="B622" s="2"/>
      <c r="C622" s="2"/>
    </row>
    <row r="623" customFormat="false" ht="15.75" hidden="false" customHeight="false" outlineLevel="0" collapsed="false">
      <c r="A623" s="2"/>
      <c r="B623" s="2"/>
      <c r="C623" s="2"/>
    </row>
    <row r="624" customFormat="false" ht="15.75" hidden="false" customHeight="false" outlineLevel="0" collapsed="false">
      <c r="A624" s="2"/>
      <c r="B624" s="2"/>
      <c r="C624" s="2"/>
    </row>
    <row r="625" customFormat="false" ht="15.75" hidden="false" customHeight="false" outlineLevel="0" collapsed="false">
      <c r="A625" s="2"/>
      <c r="B625" s="2"/>
      <c r="C625" s="2"/>
    </row>
    <row r="626" customFormat="false" ht="15.75" hidden="false" customHeight="false" outlineLevel="0" collapsed="false">
      <c r="A626" s="2"/>
      <c r="B626" s="2"/>
      <c r="C626" s="2"/>
    </row>
    <row r="627" customFormat="false" ht="15.75" hidden="false" customHeight="false" outlineLevel="0" collapsed="false">
      <c r="A627" s="2"/>
      <c r="B627" s="2"/>
      <c r="C627" s="2"/>
    </row>
    <row r="628" customFormat="false" ht="15.75" hidden="false" customHeight="false" outlineLevel="0" collapsed="false">
      <c r="A628" s="2"/>
      <c r="B628" s="2"/>
      <c r="C628" s="2"/>
    </row>
    <row r="629" customFormat="false" ht="15.75" hidden="false" customHeight="false" outlineLevel="0" collapsed="false">
      <c r="A629" s="2"/>
      <c r="B629" s="2"/>
      <c r="C629" s="2"/>
    </row>
    <row r="630" customFormat="false" ht="15.75" hidden="false" customHeight="false" outlineLevel="0" collapsed="false">
      <c r="A630" s="2"/>
      <c r="B630" s="2"/>
      <c r="C630" s="2"/>
    </row>
    <row r="631" customFormat="false" ht="15.75" hidden="false" customHeight="false" outlineLevel="0" collapsed="false">
      <c r="A631" s="2"/>
      <c r="B631" s="2"/>
      <c r="C631" s="2"/>
    </row>
    <row r="632" customFormat="false" ht="15.75" hidden="false" customHeight="false" outlineLevel="0" collapsed="false">
      <c r="A632" s="2"/>
      <c r="B632" s="2"/>
      <c r="C632" s="2"/>
    </row>
    <row r="633" customFormat="false" ht="15.75" hidden="false" customHeight="false" outlineLevel="0" collapsed="false">
      <c r="A633" s="2"/>
      <c r="B633" s="2"/>
      <c r="C633" s="2"/>
    </row>
    <row r="634" customFormat="false" ht="15.75" hidden="false" customHeight="false" outlineLevel="0" collapsed="false">
      <c r="A634" s="2"/>
      <c r="B634" s="2"/>
      <c r="C634" s="2"/>
    </row>
    <row r="635" customFormat="false" ht="15.75" hidden="false" customHeight="false" outlineLevel="0" collapsed="false">
      <c r="A635" s="2"/>
      <c r="B635" s="2"/>
      <c r="C635" s="2"/>
    </row>
    <row r="636" customFormat="false" ht="15.75" hidden="false" customHeight="false" outlineLevel="0" collapsed="false">
      <c r="A636" s="2"/>
      <c r="B636" s="2"/>
      <c r="C636" s="2"/>
    </row>
    <row r="637" customFormat="false" ht="15.75" hidden="false" customHeight="false" outlineLevel="0" collapsed="false">
      <c r="A637" s="2"/>
      <c r="B637" s="2"/>
      <c r="C637" s="2"/>
    </row>
    <row r="638" customFormat="false" ht="15.75" hidden="false" customHeight="false" outlineLevel="0" collapsed="false">
      <c r="A638" s="2"/>
      <c r="B638" s="2"/>
      <c r="C638" s="2"/>
    </row>
    <row r="639" customFormat="false" ht="15.75" hidden="false" customHeight="false" outlineLevel="0" collapsed="false">
      <c r="A639" s="2"/>
      <c r="B639" s="2"/>
      <c r="C639" s="2"/>
    </row>
    <row r="640" customFormat="false" ht="15.75" hidden="false" customHeight="false" outlineLevel="0" collapsed="false">
      <c r="A640" s="2"/>
      <c r="B640" s="2"/>
      <c r="C640" s="2"/>
    </row>
    <row r="641" customFormat="false" ht="15.75" hidden="false" customHeight="false" outlineLevel="0" collapsed="false">
      <c r="A641" s="2"/>
      <c r="B641" s="2"/>
      <c r="C641" s="2"/>
    </row>
    <row r="642" customFormat="false" ht="15.75" hidden="false" customHeight="false" outlineLevel="0" collapsed="false">
      <c r="A642" s="2"/>
      <c r="B642" s="2"/>
      <c r="C642" s="2"/>
    </row>
    <row r="643" customFormat="false" ht="15.75" hidden="false" customHeight="false" outlineLevel="0" collapsed="false">
      <c r="A643" s="2"/>
      <c r="B643" s="2"/>
      <c r="C643" s="2"/>
    </row>
    <row r="644" customFormat="false" ht="15.75" hidden="false" customHeight="false" outlineLevel="0" collapsed="false">
      <c r="A644" s="2"/>
      <c r="B644" s="2"/>
      <c r="C644" s="2"/>
    </row>
    <row r="645" customFormat="false" ht="15.75" hidden="false" customHeight="false" outlineLevel="0" collapsed="false">
      <c r="A645" s="2"/>
      <c r="B645" s="2"/>
      <c r="C645" s="2"/>
    </row>
    <row r="646" customFormat="false" ht="15.75" hidden="false" customHeight="false" outlineLevel="0" collapsed="false">
      <c r="A646" s="2"/>
      <c r="B646" s="2"/>
      <c r="C646" s="2"/>
    </row>
    <row r="647" customFormat="false" ht="15.75" hidden="false" customHeight="false" outlineLevel="0" collapsed="false">
      <c r="A647" s="2"/>
      <c r="B647" s="2"/>
      <c r="C647" s="2"/>
    </row>
    <row r="648" customFormat="false" ht="15.75" hidden="false" customHeight="false" outlineLevel="0" collapsed="false">
      <c r="A648" s="2"/>
      <c r="B648" s="2"/>
      <c r="C648" s="2"/>
    </row>
    <row r="649" customFormat="false" ht="15.75" hidden="false" customHeight="false" outlineLevel="0" collapsed="false">
      <c r="A649" s="2"/>
      <c r="B649" s="2"/>
      <c r="C649" s="2"/>
    </row>
    <row r="650" customFormat="false" ht="15.75" hidden="false" customHeight="false" outlineLevel="0" collapsed="false">
      <c r="A650" s="2"/>
      <c r="B650" s="2"/>
      <c r="C650" s="2"/>
    </row>
    <row r="651" customFormat="false" ht="15.75" hidden="false" customHeight="false" outlineLevel="0" collapsed="false">
      <c r="A651" s="2"/>
      <c r="B651" s="2"/>
      <c r="C651" s="2"/>
    </row>
    <row r="652" customFormat="false" ht="15.75" hidden="false" customHeight="false" outlineLevel="0" collapsed="false">
      <c r="A652" s="2"/>
      <c r="B652" s="2"/>
      <c r="C652" s="2"/>
    </row>
    <row r="653" customFormat="false" ht="15.75" hidden="false" customHeight="false" outlineLevel="0" collapsed="false">
      <c r="A653" s="2"/>
      <c r="B653" s="2"/>
      <c r="C653" s="2"/>
    </row>
    <row r="654" customFormat="false" ht="15.75" hidden="false" customHeight="false" outlineLevel="0" collapsed="false">
      <c r="A654" s="2"/>
      <c r="B654" s="2"/>
      <c r="C654" s="2"/>
    </row>
    <row r="655" customFormat="false" ht="15.75" hidden="false" customHeight="false" outlineLevel="0" collapsed="false">
      <c r="A655" s="2"/>
      <c r="B655" s="2"/>
      <c r="C655" s="2"/>
    </row>
    <row r="656" customFormat="false" ht="15.75" hidden="false" customHeight="false" outlineLevel="0" collapsed="false">
      <c r="A656" s="2"/>
      <c r="B656" s="2"/>
      <c r="C656" s="2"/>
    </row>
    <row r="657" customFormat="false" ht="15.75" hidden="false" customHeight="false" outlineLevel="0" collapsed="false">
      <c r="A657" s="2"/>
      <c r="B657" s="2"/>
      <c r="C657" s="2"/>
    </row>
    <row r="658" customFormat="false" ht="15.75" hidden="false" customHeight="false" outlineLevel="0" collapsed="false">
      <c r="A658" s="2"/>
      <c r="B658" s="2"/>
      <c r="C658" s="2"/>
    </row>
    <row r="659" customFormat="false" ht="15.75" hidden="false" customHeight="false" outlineLevel="0" collapsed="false">
      <c r="A659" s="2"/>
      <c r="B659" s="2"/>
      <c r="C659" s="2"/>
    </row>
    <row r="660" customFormat="false" ht="15.75" hidden="false" customHeight="false" outlineLevel="0" collapsed="false">
      <c r="A660" s="2"/>
      <c r="B660" s="2"/>
      <c r="C660" s="2"/>
    </row>
    <row r="661" customFormat="false" ht="15.75" hidden="false" customHeight="false" outlineLevel="0" collapsed="false">
      <c r="A661" s="2"/>
      <c r="B661" s="2"/>
      <c r="C661" s="2"/>
    </row>
    <row r="662" customFormat="false" ht="15.75" hidden="false" customHeight="false" outlineLevel="0" collapsed="false">
      <c r="A662" s="2"/>
      <c r="B662" s="2"/>
      <c r="C662" s="2"/>
    </row>
    <row r="663" customFormat="false" ht="15.75" hidden="false" customHeight="false" outlineLevel="0" collapsed="false">
      <c r="A663" s="2"/>
      <c r="B663" s="2"/>
      <c r="C663" s="2"/>
    </row>
    <row r="664" customFormat="false" ht="15.75" hidden="false" customHeight="false" outlineLevel="0" collapsed="false">
      <c r="A664" s="2"/>
      <c r="B664" s="2"/>
      <c r="C664" s="2"/>
    </row>
    <row r="665" customFormat="false" ht="15.75" hidden="false" customHeight="false" outlineLevel="0" collapsed="false">
      <c r="A665" s="2"/>
      <c r="B665" s="2"/>
      <c r="C665" s="2"/>
    </row>
    <row r="666" customFormat="false" ht="15.75" hidden="false" customHeight="false" outlineLevel="0" collapsed="false">
      <c r="A666" s="2"/>
      <c r="B666" s="2"/>
      <c r="C666" s="2"/>
    </row>
    <row r="667" customFormat="false" ht="15.75" hidden="false" customHeight="false" outlineLevel="0" collapsed="false">
      <c r="A667" s="2"/>
      <c r="B667" s="2"/>
      <c r="C667" s="2"/>
    </row>
    <row r="668" customFormat="false" ht="15.75" hidden="false" customHeight="false" outlineLevel="0" collapsed="false">
      <c r="A668" s="2"/>
      <c r="B668" s="2"/>
      <c r="C668" s="2"/>
    </row>
    <row r="669" customFormat="false" ht="15.75" hidden="false" customHeight="false" outlineLevel="0" collapsed="false">
      <c r="A669" s="2"/>
      <c r="B669" s="2"/>
      <c r="C669" s="2"/>
    </row>
    <row r="670" customFormat="false" ht="15.75" hidden="false" customHeight="false" outlineLevel="0" collapsed="false">
      <c r="A670" s="2"/>
      <c r="B670" s="2"/>
      <c r="C670" s="2"/>
    </row>
    <row r="671" customFormat="false" ht="15.75" hidden="false" customHeight="false" outlineLevel="0" collapsed="false">
      <c r="A671" s="2"/>
      <c r="B671" s="2"/>
      <c r="C671" s="2"/>
    </row>
    <row r="672" customFormat="false" ht="15.75" hidden="false" customHeight="false" outlineLevel="0" collapsed="false">
      <c r="A672" s="2"/>
      <c r="B672" s="2"/>
      <c r="C672" s="2"/>
    </row>
    <row r="673" customFormat="false" ht="15.75" hidden="false" customHeight="false" outlineLevel="0" collapsed="false">
      <c r="A673" s="2"/>
      <c r="B673" s="2"/>
      <c r="C673" s="2"/>
    </row>
    <row r="674" customFormat="false" ht="15.75" hidden="false" customHeight="false" outlineLevel="0" collapsed="false">
      <c r="A674" s="2"/>
      <c r="B674" s="2"/>
      <c r="C674" s="2"/>
    </row>
    <row r="675" customFormat="false" ht="15.75" hidden="false" customHeight="false" outlineLevel="0" collapsed="false">
      <c r="A675" s="2"/>
      <c r="B675" s="2"/>
      <c r="C675" s="2"/>
    </row>
    <row r="676" customFormat="false" ht="15.75" hidden="false" customHeight="false" outlineLevel="0" collapsed="false">
      <c r="A676" s="2"/>
      <c r="B676" s="2"/>
      <c r="C676" s="2"/>
    </row>
    <row r="677" customFormat="false" ht="15.75" hidden="false" customHeight="false" outlineLevel="0" collapsed="false">
      <c r="A677" s="2"/>
      <c r="B677" s="2"/>
      <c r="C677" s="2"/>
    </row>
    <row r="678" customFormat="false" ht="15.75" hidden="false" customHeight="false" outlineLevel="0" collapsed="false">
      <c r="A678" s="2"/>
      <c r="B678" s="2"/>
      <c r="C678" s="2"/>
    </row>
    <row r="679" customFormat="false" ht="15.75" hidden="false" customHeight="false" outlineLevel="0" collapsed="false">
      <c r="A679" s="2"/>
      <c r="B679" s="2"/>
      <c r="C679" s="2"/>
    </row>
    <row r="680" customFormat="false" ht="15.75" hidden="false" customHeight="false" outlineLevel="0" collapsed="false">
      <c r="A680" s="2"/>
      <c r="B680" s="2"/>
      <c r="C680" s="2"/>
    </row>
    <row r="681" customFormat="false" ht="15.75" hidden="false" customHeight="false" outlineLevel="0" collapsed="false">
      <c r="A681" s="2"/>
      <c r="B681" s="2"/>
      <c r="C681" s="2"/>
    </row>
    <row r="682" customFormat="false" ht="15.75" hidden="false" customHeight="false" outlineLevel="0" collapsed="false">
      <c r="A682" s="2"/>
      <c r="B682" s="2"/>
      <c r="C682" s="2"/>
    </row>
    <row r="683" customFormat="false" ht="15.75" hidden="false" customHeight="false" outlineLevel="0" collapsed="false">
      <c r="A683" s="2"/>
      <c r="B683" s="2"/>
      <c r="C683" s="2"/>
    </row>
    <row r="684" customFormat="false" ht="15.75" hidden="false" customHeight="false" outlineLevel="0" collapsed="false">
      <c r="A684" s="2"/>
      <c r="B684" s="2"/>
      <c r="C684" s="2"/>
    </row>
    <row r="685" customFormat="false" ht="15.75" hidden="false" customHeight="false" outlineLevel="0" collapsed="false">
      <c r="A685" s="2"/>
      <c r="B685" s="2"/>
      <c r="C685" s="2"/>
    </row>
    <row r="686" customFormat="false" ht="15.75" hidden="false" customHeight="false" outlineLevel="0" collapsed="false">
      <c r="A686" s="2"/>
      <c r="B686" s="2"/>
      <c r="C686" s="2"/>
    </row>
    <row r="687" customFormat="false" ht="15.75" hidden="false" customHeight="false" outlineLevel="0" collapsed="false">
      <c r="A687" s="2"/>
      <c r="B687" s="2"/>
      <c r="C687" s="2"/>
    </row>
    <row r="688" customFormat="false" ht="15.75" hidden="false" customHeight="false" outlineLevel="0" collapsed="false">
      <c r="A688" s="2"/>
      <c r="B688" s="2"/>
      <c r="C688" s="2"/>
    </row>
    <row r="689" customFormat="false" ht="15.75" hidden="false" customHeight="false" outlineLevel="0" collapsed="false">
      <c r="A689" s="2"/>
      <c r="B689" s="2"/>
      <c r="C689" s="2"/>
    </row>
    <row r="690" customFormat="false" ht="15.75" hidden="false" customHeight="false" outlineLevel="0" collapsed="false">
      <c r="A690" s="2"/>
      <c r="B690" s="2"/>
      <c r="C690" s="2"/>
    </row>
    <row r="691" customFormat="false" ht="15.75" hidden="false" customHeight="false" outlineLevel="0" collapsed="false">
      <c r="A691" s="2"/>
      <c r="B691" s="2"/>
      <c r="C691" s="2"/>
    </row>
    <row r="692" customFormat="false" ht="15.75" hidden="false" customHeight="false" outlineLevel="0" collapsed="false">
      <c r="A692" s="2"/>
      <c r="B692" s="2"/>
      <c r="C692" s="2"/>
    </row>
    <row r="693" customFormat="false" ht="15.75" hidden="false" customHeight="false" outlineLevel="0" collapsed="false">
      <c r="A693" s="2"/>
      <c r="B693" s="2"/>
      <c r="C693" s="2"/>
    </row>
    <row r="694" customFormat="false" ht="15.75" hidden="false" customHeight="false" outlineLevel="0" collapsed="false">
      <c r="A694" s="2"/>
      <c r="B694" s="2"/>
      <c r="C694" s="2"/>
    </row>
    <row r="695" customFormat="false" ht="15.75" hidden="false" customHeight="false" outlineLevel="0" collapsed="false">
      <c r="A695" s="2"/>
      <c r="B695" s="2"/>
      <c r="C695" s="2"/>
    </row>
    <row r="696" customFormat="false" ht="15.75" hidden="false" customHeight="false" outlineLevel="0" collapsed="false">
      <c r="A696" s="2"/>
      <c r="B696" s="2"/>
      <c r="C696" s="2"/>
    </row>
    <row r="697" customFormat="false" ht="15.75" hidden="false" customHeight="false" outlineLevel="0" collapsed="false">
      <c r="A697" s="2"/>
      <c r="B697" s="2"/>
      <c r="C697" s="2"/>
    </row>
    <row r="698" customFormat="false" ht="15.75" hidden="false" customHeight="false" outlineLevel="0" collapsed="false">
      <c r="A698" s="2"/>
      <c r="B698" s="2"/>
      <c r="C698" s="2"/>
    </row>
    <row r="699" customFormat="false" ht="15.75" hidden="false" customHeight="false" outlineLevel="0" collapsed="false">
      <c r="A699" s="2"/>
      <c r="B699" s="2"/>
      <c r="C699" s="2"/>
    </row>
    <row r="700" customFormat="false" ht="15.75" hidden="false" customHeight="false" outlineLevel="0" collapsed="false">
      <c r="A700" s="2"/>
      <c r="B700" s="2"/>
      <c r="C700" s="2"/>
    </row>
    <row r="701" customFormat="false" ht="15.75" hidden="false" customHeight="false" outlineLevel="0" collapsed="false">
      <c r="A701" s="2"/>
      <c r="B701" s="2"/>
      <c r="C701" s="2"/>
    </row>
    <row r="702" customFormat="false" ht="15.75" hidden="false" customHeight="false" outlineLevel="0" collapsed="false">
      <c r="A702" s="2"/>
      <c r="B702" s="2"/>
      <c r="C702" s="2"/>
    </row>
    <row r="703" customFormat="false" ht="15.75" hidden="false" customHeight="false" outlineLevel="0" collapsed="false">
      <c r="A703" s="2"/>
      <c r="B703" s="2"/>
      <c r="C703" s="2"/>
    </row>
    <row r="704" customFormat="false" ht="15.75" hidden="false" customHeight="false" outlineLevel="0" collapsed="false">
      <c r="A704" s="2"/>
      <c r="B704" s="2"/>
      <c r="C704" s="2"/>
    </row>
    <row r="705" customFormat="false" ht="15.75" hidden="false" customHeight="false" outlineLevel="0" collapsed="false">
      <c r="A705" s="2"/>
      <c r="B705" s="2"/>
      <c r="C705" s="2"/>
    </row>
    <row r="706" customFormat="false" ht="15.75" hidden="false" customHeight="false" outlineLevel="0" collapsed="false">
      <c r="A706" s="2"/>
      <c r="B706" s="2"/>
      <c r="C706" s="2"/>
    </row>
    <row r="707" customFormat="false" ht="15.75" hidden="false" customHeight="false" outlineLevel="0" collapsed="false">
      <c r="A707" s="2"/>
      <c r="B707" s="2"/>
      <c r="C707" s="2"/>
    </row>
    <row r="708" customFormat="false" ht="15.75" hidden="false" customHeight="false" outlineLevel="0" collapsed="false">
      <c r="A708" s="2"/>
      <c r="B708" s="2"/>
      <c r="C708" s="2"/>
    </row>
    <row r="709" customFormat="false" ht="15.75" hidden="false" customHeight="false" outlineLevel="0" collapsed="false">
      <c r="A709" s="2"/>
      <c r="B709" s="2"/>
      <c r="C709" s="2"/>
    </row>
    <row r="710" customFormat="false" ht="15.75" hidden="false" customHeight="false" outlineLevel="0" collapsed="false">
      <c r="A710" s="2"/>
      <c r="B710" s="2"/>
      <c r="C710" s="2"/>
    </row>
    <row r="711" customFormat="false" ht="15.75" hidden="false" customHeight="false" outlineLevel="0" collapsed="false">
      <c r="A711" s="2"/>
      <c r="B711" s="2"/>
      <c r="C711" s="2"/>
    </row>
    <row r="712" customFormat="false" ht="15.75" hidden="false" customHeight="false" outlineLevel="0" collapsed="false">
      <c r="A712" s="2"/>
      <c r="B712" s="2"/>
      <c r="C712" s="2"/>
    </row>
    <row r="713" customFormat="false" ht="15.75" hidden="false" customHeight="false" outlineLevel="0" collapsed="false">
      <c r="A713" s="2"/>
      <c r="B713" s="2"/>
      <c r="C713" s="2"/>
    </row>
    <row r="714" customFormat="false" ht="15.75" hidden="false" customHeight="false" outlineLevel="0" collapsed="false">
      <c r="A714" s="2"/>
      <c r="B714" s="2"/>
      <c r="C714" s="2"/>
    </row>
    <row r="715" customFormat="false" ht="15.75" hidden="false" customHeight="false" outlineLevel="0" collapsed="false">
      <c r="A715" s="2"/>
      <c r="B715" s="2"/>
      <c r="C715" s="2"/>
    </row>
    <row r="716" customFormat="false" ht="15.75" hidden="false" customHeight="false" outlineLevel="0" collapsed="false">
      <c r="A716" s="2"/>
      <c r="B716" s="2"/>
      <c r="C716" s="2"/>
    </row>
    <row r="717" customFormat="false" ht="15.75" hidden="false" customHeight="false" outlineLevel="0" collapsed="false">
      <c r="A717" s="2"/>
      <c r="B717" s="2"/>
      <c r="C717" s="2"/>
    </row>
    <row r="718" customFormat="false" ht="15.75" hidden="false" customHeight="false" outlineLevel="0" collapsed="false">
      <c r="A718" s="2"/>
      <c r="B718" s="2"/>
      <c r="C718" s="2"/>
    </row>
    <row r="719" customFormat="false" ht="15.75" hidden="false" customHeight="false" outlineLevel="0" collapsed="false">
      <c r="A719" s="2"/>
      <c r="B719" s="2"/>
      <c r="C719" s="2"/>
    </row>
    <row r="720" customFormat="false" ht="15.75" hidden="false" customHeight="false" outlineLevel="0" collapsed="false">
      <c r="A720" s="2"/>
      <c r="B720" s="2"/>
      <c r="C720" s="2"/>
    </row>
    <row r="721" customFormat="false" ht="15.75" hidden="false" customHeight="false" outlineLevel="0" collapsed="false">
      <c r="A721" s="2"/>
      <c r="B721" s="2"/>
      <c r="C721" s="2"/>
    </row>
    <row r="722" customFormat="false" ht="15.75" hidden="false" customHeight="false" outlineLevel="0" collapsed="false">
      <c r="A722" s="2"/>
      <c r="B722" s="2"/>
      <c r="C722" s="2"/>
    </row>
    <row r="723" customFormat="false" ht="15.75" hidden="false" customHeight="false" outlineLevel="0" collapsed="false">
      <c r="A723" s="2"/>
      <c r="B723" s="2"/>
      <c r="C723" s="2"/>
    </row>
    <row r="724" customFormat="false" ht="15.75" hidden="false" customHeight="false" outlineLevel="0" collapsed="false">
      <c r="A724" s="2"/>
      <c r="B724" s="2"/>
      <c r="C724" s="2"/>
    </row>
    <row r="725" customFormat="false" ht="15.75" hidden="false" customHeight="false" outlineLevel="0" collapsed="false">
      <c r="A725" s="2"/>
      <c r="B725" s="2"/>
      <c r="C725" s="2"/>
    </row>
    <row r="726" customFormat="false" ht="15.75" hidden="false" customHeight="false" outlineLevel="0" collapsed="false">
      <c r="A726" s="2"/>
      <c r="B726" s="2"/>
      <c r="C726" s="2"/>
    </row>
    <row r="727" customFormat="false" ht="15.75" hidden="false" customHeight="false" outlineLevel="0" collapsed="false">
      <c r="A727" s="2"/>
      <c r="B727" s="2"/>
      <c r="C727" s="2"/>
    </row>
    <row r="728" customFormat="false" ht="15.75" hidden="false" customHeight="false" outlineLevel="0" collapsed="false">
      <c r="A728" s="2"/>
      <c r="B728" s="2"/>
      <c r="C728" s="2"/>
    </row>
    <row r="729" customFormat="false" ht="15.75" hidden="false" customHeight="false" outlineLevel="0" collapsed="false">
      <c r="A729" s="2"/>
      <c r="B729" s="2"/>
      <c r="C729" s="2"/>
    </row>
    <row r="730" customFormat="false" ht="15.75" hidden="false" customHeight="false" outlineLevel="0" collapsed="false">
      <c r="A730" s="2"/>
      <c r="B730" s="2"/>
      <c r="C730" s="2"/>
    </row>
    <row r="731" customFormat="false" ht="15.75" hidden="false" customHeight="false" outlineLevel="0" collapsed="false">
      <c r="A731" s="2"/>
      <c r="B731" s="2"/>
      <c r="C731" s="2"/>
    </row>
    <row r="732" customFormat="false" ht="15.75" hidden="false" customHeight="false" outlineLevel="0" collapsed="false">
      <c r="A732" s="2"/>
      <c r="B732" s="2"/>
      <c r="C732" s="2"/>
    </row>
    <row r="733" customFormat="false" ht="15.75" hidden="false" customHeight="false" outlineLevel="0" collapsed="false">
      <c r="A733" s="2"/>
      <c r="B733" s="2"/>
      <c r="C733" s="2"/>
    </row>
    <row r="734" customFormat="false" ht="15.75" hidden="false" customHeight="false" outlineLevel="0" collapsed="false">
      <c r="A734" s="2"/>
      <c r="B734" s="2"/>
      <c r="C734" s="2"/>
    </row>
    <row r="735" customFormat="false" ht="15.75" hidden="false" customHeight="false" outlineLevel="0" collapsed="false">
      <c r="A735" s="2"/>
      <c r="B735" s="2"/>
      <c r="C735" s="2"/>
    </row>
    <row r="736" customFormat="false" ht="15.75" hidden="false" customHeight="false" outlineLevel="0" collapsed="false">
      <c r="A736" s="2"/>
      <c r="B736" s="2"/>
      <c r="C736" s="2"/>
    </row>
    <row r="737" customFormat="false" ht="15.75" hidden="false" customHeight="false" outlineLevel="0" collapsed="false">
      <c r="A737" s="2"/>
      <c r="B737" s="2"/>
      <c r="C737" s="2"/>
    </row>
    <row r="738" customFormat="false" ht="15.75" hidden="false" customHeight="false" outlineLevel="0" collapsed="false">
      <c r="A738" s="2"/>
      <c r="B738" s="2"/>
      <c r="C738" s="2"/>
    </row>
    <row r="739" customFormat="false" ht="15.75" hidden="false" customHeight="false" outlineLevel="0" collapsed="false">
      <c r="A739" s="2"/>
      <c r="B739" s="2"/>
      <c r="C739" s="2"/>
    </row>
    <row r="740" customFormat="false" ht="15.75" hidden="false" customHeight="false" outlineLevel="0" collapsed="false">
      <c r="A740" s="2"/>
      <c r="B740" s="2"/>
      <c r="C740" s="2"/>
    </row>
    <row r="741" customFormat="false" ht="15.75" hidden="false" customHeight="false" outlineLevel="0" collapsed="false">
      <c r="A741" s="2"/>
      <c r="B741" s="2"/>
      <c r="C741" s="2"/>
    </row>
    <row r="742" customFormat="false" ht="15.75" hidden="false" customHeight="false" outlineLevel="0" collapsed="false">
      <c r="A742" s="2"/>
      <c r="B742" s="2"/>
      <c r="C742" s="2"/>
    </row>
    <row r="743" customFormat="false" ht="15.75" hidden="false" customHeight="false" outlineLevel="0" collapsed="false">
      <c r="A743" s="2"/>
      <c r="B743" s="2"/>
      <c r="C743" s="2"/>
    </row>
    <row r="744" customFormat="false" ht="15.75" hidden="false" customHeight="false" outlineLevel="0" collapsed="false">
      <c r="A744" s="2"/>
      <c r="B744" s="2"/>
      <c r="C744" s="2"/>
    </row>
    <row r="745" customFormat="false" ht="15.75" hidden="false" customHeight="false" outlineLevel="0" collapsed="false">
      <c r="A745" s="2"/>
      <c r="B745" s="2"/>
      <c r="C745" s="2"/>
    </row>
    <row r="746" customFormat="false" ht="15.75" hidden="false" customHeight="false" outlineLevel="0" collapsed="false">
      <c r="A746" s="2"/>
      <c r="B746" s="2"/>
      <c r="C746" s="2"/>
    </row>
    <row r="747" customFormat="false" ht="15.75" hidden="false" customHeight="false" outlineLevel="0" collapsed="false">
      <c r="A747" s="2"/>
      <c r="B747" s="2"/>
      <c r="C747" s="2"/>
    </row>
    <row r="748" customFormat="false" ht="15.75" hidden="false" customHeight="false" outlineLevel="0" collapsed="false">
      <c r="A748" s="2"/>
      <c r="B748" s="2"/>
      <c r="C748" s="2"/>
    </row>
    <row r="749" customFormat="false" ht="15.75" hidden="false" customHeight="false" outlineLevel="0" collapsed="false">
      <c r="A749" s="2"/>
      <c r="B749" s="2"/>
      <c r="C749" s="2"/>
    </row>
    <row r="750" customFormat="false" ht="15.75" hidden="false" customHeight="false" outlineLevel="0" collapsed="false">
      <c r="A750" s="2"/>
      <c r="B750" s="2"/>
      <c r="C750" s="2"/>
    </row>
    <row r="751" customFormat="false" ht="15.75" hidden="false" customHeight="false" outlineLevel="0" collapsed="false">
      <c r="A751" s="2"/>
      <c r="B751" s="2"/>
      <c r="C751" s="2"/>
    </row>
    <row r="752" customFormat="false" ht="15.75" hidden="false" customHeight="false" outlineLevel="0" collapsed="false">
      <c r="A752" s="2"/>
      <c r="B752" s="2"/>
      <c r="C752" s="2"/>
    </row>
    <row r="753" customFormat="false" ht="15.75" hidden="false" customHeight="false" outlineLevel="0" collapsed="false">
      <c r="A753" s="2"/>
      <c r="B753" s="2"/>
      <c r="C753" s="2"/>
    </row>
    <row r="754" customFormat="false" ht="15.75" hidden="false" customHeight="false" outlineLevel="0" collapsed="false">
      <c r="A754" s="2"/>
      <c r="B754" s="2"/>
      <c r="C754" s="2"/>
    </row>
    <row r="755" customFormat="false" ht="15.75" hidden="false" customHeight="false" outlineLevel="0" collapsed="false">
      <c r="A755" s="2"/>
      <c r="B755" s="2"/>
      <c r="C755" s="2"/>
    </row>
    <row r="756" customFormat="false" ht="15.75" hidden="false" customHeight="false" outlineLevel="0" collapsed="false">
      <c r="A756" s="2"/>
      <c r="B756" s="2"/>
      <c r="C756" s="2"/>
    </row>
    <row r="757" customFormat="false" ht="15.75" hidden="false" customHeight="false" outlineLevel="0" collapsed="false">
      <c r="A757" s="2"/>
      <c r="B757" s="2"/>
      <c r="C757" s="2"/>
    </row>
    <row r="758" customFormat="false" ht="15.75" hidden="false" customHeight="false" outlineLevel="0" collapsed="false">
      <c r="A758" s="2"/>
      <c r="B758" s="2"/>
      <c r="C758" s="2"/>
    </row>
    <row r="759" customFormat="false" ht="15.75" hidden="false" customHeight="false" outlineLevel="0" collapsed="false">
      <c r="A759" s="2"/>
      <c r="B759" s="2"/>
      <c r="C759" s="2"/>
    </row>
    <row r="760" customFormat="false" ht="15.75" hidden="false" customHeight="false" outlineLevel="0" collapsed="false">
      <c r="A760" s="2"/>
      <c r="B760" s="2"/>
      <c r="C760" s="2"/>
    </row>
    <row r="761" customFormat="false" ht="15.75" hidden="false" customHeight="false" outlineLevel="0" collapsed="false">
      <c r="A761" s="2"/>
      <c r="B761" s="2"/>
      <c r="C761" s="2"/>
    </row>
    <row r="762" customFormat="false" ht="15.75" hidden="false" customHeight="false" outlineLevel="0" collapsed="false">
      <c r="A762" s="2"/>
      <c r="B762" s="2"/>
      <c r="C762" s="2"/>
    </row>
    <row r="763" customFormat="false" ht="15.75" hidden="false" customHeight="false" outlineLevel="0" collapsed="false">
      <c r="A763" s="2"/>
      <c r="B763" s="2"/>
      <c r="C763" s="2"/>
    </row>
    <row r="764" customFormat="false" ht="15.75" hidden="false" customHeight="false" outlineLevel="0" collapsed="false">
      <c r="A764" s="2"/>
      <c r="B764" s="2"/>
      <c r="C764" s="2"/>
    </row>
    <row r="765" customFormat="false" ht="15.75" hidden="false" customHeight="false" outlineLevel="0" collapsed="false">
      <c r="A765" s="2"/>
      <c r="B765" s="2"/>
      <c r="C765" s="2"/>
    </row>
    <row r="766" customFormat="false" ht="15.75" hidden="false" customHeight="false" outlineLevel="0" collapsed="false">
      <c r="A766" s="2"/>
      <c r="B766" s="2"/>
      <c r="C766" s="2"/>
    </row>
    <row r="767" customFormat="false" ht="15.75" hidden="false" customHeight="false" outlineLevel="0" collapsed="false">
      <c r="A767" s="2"/>
      <c r="B767" s="2"/>
      <c r="C767" s="2"/>
    </row>
    <row r="768" customFormat="false" ht="15.75" hidden="false" customHeight="false" outlineLevel="0" collapsed="false">
      <c r="A768" s="2"/>
      <c r="B768" s="2"/>
      <c r="C768" s="2"/>
    </row>
    <row r="769" customFormat="false" ht="15.75" hidden="false" customHeight="false" outlineLevel="0" collapsed="false">
      <c r="A769" s="2"/>
      <c r="B769" s="2"/>
      <c r="C769" s="2"/>
    </row>
    <row r="770" customFormat="false" ht="15.75" hidden="false" customHeight="false" outlineLevel="0" collapsed="false">
      <c r="A770" s="2"/>
      <c r="B770" s="2"/>
      <c r="C770" s="2"/>
    </row>
    <row r="771" customFormat="false" ht="15.75" hidden="false" customHeight="false" outlineLevel="0" collapsed="false">
      <c r="A771" s="2"/>
      <c r="B771" s="2"/>
      <c r="C771" s="2"/>
    </row>
    <row r="772" customFormat="false" ht="15.75" hidden="false" customHeight="false" outlineLevel="0" collapsed="false">
      <c r="A772" s="2"/>
      <c r="B772" s="2"/>
      <c r="C772" s="2"/>
    </row>
    <row r="773" customFormat="false" ht="15.75" hidden="false" customHeight="false" outlineLevel="0" collapsed="false">
      <c r="A773" s="2"/>
      <c r="B773" s="2"/>
      <c r="C773" s="2"/>
    </row>
    <row r="774" customFormat="false" ht="15.75" hidden="false" customHeight="false" outlineLevel="0" collapsed="false">
      <c r="A774" s="2"/>
      <c r="B774" s="2"/>
      <c r="C774" s="2"/>
    </row>
    <row r="775" customFormat="false" ht="15.75" hidden="false" customHeight="false" outlineLevel="0" collapsed="false">
      <c r="A775" s="2"/>
      <c r="B775" s="2"/>
      <c r="C775" s="2"/>
    </row>
    <row r="776" customFormat="false" ht="15.75" hidden="false" customHeight="false" outlineLevel="0" collapsed="false">
      <c r="A776" s="2"/>
      <c r="B776" s="2"/>
      <c r="C776" s="2"/>
    </row>
    <row r="777" customFormat="false" ht="15.75" hidden="false" customHeight="false" outlineLevel="0" collapsed="false">
      <c r="A777" s="2"/>
      <c r="B777" s="2"/>
      <c r="C777" s="2"/>
    </row>
    <row r="778" customFormat="false" ht="15.75" hidden="false" customHeight="false" outlineLevel="0" collapsed="false">
      <c r="A778" s="2"/>
      <c r="B778" s="2"/>
      <c r="C778" s="2"/>
    </row>
    <row r="779" customFormat="false" ht="15.75" hidden="false" customHeight="false" outlineLevel="0" collapsed="false">
      <c r="A779" s="2"/>
      <c r="B779" s="2"/>
      <c r="C779" s="2"/>
    </row>
    <row r="780" customFormat="false" ht="15.75" hidden="false" customHeight="false" outlineLevel="0" collapsed="false">
      <c r="A780" s="2"/>
      <c r="B780" s="2"/>
      <c r="C780" s="2"/>
    </row>
    <row r="781" customFormat="false" ht="15.75" hidden="false" customHeight="false" outlineLevel="0" collapsed="false">
      <c r="A781" s="2"/>
      <c r="B781" s="2"/>
      <c r="C781" s="2"/>
    </row>
    <row r="782" customFormat="false" ht="15.75" hidden="false" customHeight="false" outlineLevel="0" collapsed="false">
      <c r="A782" s="2"/>
      <c r="B782" s="2"/>
      <c r="C782" s="2"/>
    </row>
    <row r="783" customFormat="false" ht="15.75" hidden="false" customHeight="false" outlineLevel="0" collapsed="false">
      <c r="A783" s="2"/>
      <c r="B783" s="2"/>
      <c r="C783" s="2"/>
    </row>
    <row r="784" customFormat="false" ht="15.75" hidden="false" customHeight="false" outlineLevel="0" collapsed="false">
      <c r="A784" s="2"/>
      <c r="B784" s="2"/>
      <c r="C784" s="2"/>
    </row>
    <row r="785" customFormat="false" ht="15.75" hidden="false" customHeight="false" outlineLevel="0" collapsed="false">
      <c r="A785" s="2"/>
      <c r="B785" s="2"/>
      <c r="C785" s="2"/>
    </row>
    <row r="786" customFormat="false" ht="15.75" hidden="false" customHeight="false" outlineLevel="0" collapsed="false">
      <c r="A786" s="2"/>
      <c r="B786" s="2"/>
      <c r="C786" s="2"/>
    </row>
    <row r="787" customFormat="false" ht="15.75" hidden="false" customHeight="false" outlineLevel="0" collapsed="false">
      <c r="A787" s="2"/>
      <c r="B787" s="2"/>
      <c r="C787" s="2"/>
    </row>
    <row r="788" customFormat="false" ht="15.75" hidden="false" customHeight="false" outlineLevel="0" collapsed="false">
      <c r="A788" s="2"/>
      <c r="B788" s="2"/>
      <c r="C788" s="2"/>
    </row>
    <row r="789" customFormat="false" ht="15.75" hidden="false" customHeight="false" outlineLevel="0" collapsed="false">
      <c r="A789" s="2"/>
      <c r="B789" s="2"/>
      <c r="C789" s="2"/>
    </row>
    <row r="790" customFormat="false" ht="15.75" hidden="false" customHeight="false" outlineLevel="0" collapsed="false">
      <c r="A790" s="2"/>
      <c r="B790" s="2"/>
      <c r="C790" s="2"/>
    </row>
    <row r="791" customFormat="false" ht="15.75" hidden="false" customHeight="false" outlineLevel="0" collapsed="false">
      <c r="A791" s="2"/>
      <c r="B791" s="2"/>
      <c r="C791" s="2"/>
    </row>
    <row r="792" customFormat="false" ht="15.75" hidden="false" customHeight="false" outlineLevel="0" collapsed="false">
      <c r="A792" s="2"/>
      <c r="B792" s="2"/>
      <c r="C792" s="2"/>
    </row>
    <row r="793" customFormat="false" ht="15.75" hidden="false" customHeight="false" outlineLevel="0" collapsed="false">
      <c r="A793" s="2"/>
      <c r="B793" s="2"/>
      <c r="C793" s="2"/>
    </row>
    <row r="794" customFormat="false" ht="15.75" hidden="false" customHeight="false" outlineLevel="0" collapsed="false">
      <c r="A794" s="2"/>
      <c r="B794" s="2"/>
      <c r="C794" s="2"/>
    </row>
    <row r="795" customFormat="false" ht="15.75" hidden="false" customHeight="false" outlineLevel="0" collapsed="false">
      <c r="A795" s="2"/>
      <c r="B795" s="2"/>
      <c r="C795" s="2"/>
    </row>
    <row r="796" customFormat="false" ht="15.75" hidden="false" customHeight="false" outlineLevel="0" collapsed="false">
      <c r="A796" s="2"/>
      <c r="B796" s="2"/>
      <c r="C796" s="2"/>
    </row>
    <row r="797" customFormat="false" ht="15.75" hidden="false" customHeight="false" outlineLevel="0" collapsed="false">
      <c r="A797" s="2"/>
      <c r="B797" s="2"/>
      <c r="C797" s="2"/>
    </row>
    <row r="798" customFormat="false" ht="15.75" hidden="false" customHeight="false" outlineLevel="0" collapsed="false">
      <c r="A798" s="2"/>
      <c r="B798" s="2"/>
      <c r="C798" s="2"/>
    </row>
    <row r="799" customFormat="false" ht="15.75" hidden="false" customHeight="false" outlineLevel="0" collapsed="false">
      <c r="A799" s="2"/>
      <c r="B799" s="2"/>
      <c r="C799" s="2"/>
    </row>
    <row r="800" customFormat="false" ht="15.75" hidden="false" customHeight="false" outlineLevel="0" collapsed="false">
      <c r="A800" s="2"/>
      <c r="B800" s="2"/>
      <c r="C800" s="2"/>
    </row>
    <row r="801" customFormat="false" ht="15.75" hidden="false" customHeight="false" outlineLevel="0" collapsed="false">
      <c r="A801" s="2"/>
      <c r="B801" s="2"/>
      <c r="C801" s="2"/>
    </row>
    <row r="802" customFormat="false" ht="15.75" hidden="false" customHeight="false" outlineLevel="0" collapsed="false">
      <c r="A802" s="2"/>
      <c r="B802" s="2"/>
      <c r="C802" s="2"/>
    </row>
    <row r="803" customFormat="false" ht="15.75" hidden="false" customHeight="false" outlineLevel="0" collapsed="false">
      <c r="A803" s="2"/>
      <c r="B803" s="2"/>
      <c r="C803" s="2"/>
    </row>
    <row r="804" customFormat="false" ht="15.75" hidden="false" customHeight="false" outlineLevel="0" collapsed="false">
      <c r="A804" s="2"/>
      <c r="B804" s="2"/>
      <c r="C804" s="2"/>
    </row>
    <row r="805" customFormat="false" ht="15.75" hidden="false" customHeight="false" outlineLevel="0" collapsed="false">
      <c r="A805" s="2"/>
      <c r="B805" s="2"/>
      <c r="C805" s="2"/>
    </row>
    <row r="806" customFormat="false" ht="15.75" hidden="false" customHeight="false" outlineLevel="0" collapsed="false">
      <c r="A806" s="2"/>
      <c r="B806" s="2"/>
      <c r="C806" s="2"/>
    </row>
    <row r="807" customFormat="false" ht="15.75" hidden="false" customHeight="false" outlineLevel="0" collapsed="false">
      <c r="A807" s="2"/>
      <c r="B807" s="2"/>
      <c r="C807" s="2"/>
    </row>
    <row r="808" customFormat="false" ht="15.75" hidden="false" customHeight="false" outlineLevel="0" collapsed="false">
      <c r="A808" s="2"/>
      <c r="B808" s="2"/>
      <c r="C808" s="2"/>
    </row>
    <row r="809" customFormat="false" ht="15.75" hidden="false" customHeight="false" outlineLevel="0" collapsed="false">
      <c r="A809" s="2"/>
      <c r="B809" s="2"/>
      <c r="C809" s="2"/>
    </row>
    <row r="810" customFormat="false" ht="15.75" hidden="false" customHeight="false" outlineLevel="0" collapsed="false">
      <c r="A810" s="2"/>
      <c r="B810" s="2"/>
      <c r="C810" s="2"/>
    </row>
    <row r="811" customFormat="false" ht="15.75" hidden="false" customHeight="false" outlineLevel="0" collapsed="false">
      <c r="A811" s="2"/>
      <c r="B811" s="2"/>
      <c r="C811" s="2"/>
    </row>
    <row r="812" customFormat="false" ht="15.75" hidden="false" customHeight="false" outlineLevel="0" collapsed="false">
      <c r="A812" s="2"/>
      <c r="B812" s="2"/>
      <c r="C812" s="2"/>
    </row>
    <row r="813" customFormat="false" ht="15.75" hidden="false" customHeight="false" outlineLevel="0" collapsed="false">
      <c r="A813" s="2"/>
      <c r="B813" s="2"/>
      <c r="C813" s="2"/>
    </row>
    <row r="814" customFormat="false" ht="15.75" hidden="false" customHeight="false" outlineLevel="0" collapsed="false">
      <c r="A814" s="2"/>
      <c r="B814" s="2"/>
      <c r="C814" s="2"/>
    </row>
    <row r="815" customFormat="false" ht="15.75" hidden="false" customHeight="false" outlineLevel="0" collapsed="false">
      <c r="A815" s="2"/>
      <c r="B815" s="2"/>
      <c r="C815" s="2"/>
    </row>
    <row r="816" customFormat="false" ht="15.75" hidden="false" customHeight="false" outlineLevel="0" collapsed="false">
      <c r="A816" s="2"/>
      <c r="B816" s="2"/>
      <c r="C816" s="2"/>
    </row>
    <row r="817" customFormat="false" ht="15.75" hidden="false" customHeight="false" outlineLevel="0" collapsed="false">
      <c r="A817" s="2"/>
      <c r="B817" s="2"/>
      <c r="C817" s="2"/>
    </row>
    <row r="818" customFormat="false" ht="15.75" hidden="false" customHeight="false" outlineLevel="0" collapsed="false">
      <c r="A818" s="2"/>
      <c r="B818" s="2"/>
      <c r="C818" s="2"/>
    </row>
    <row r="819" customFormat="false" ht="15.75" hidden="false" customHeight="false" outlineLevel="0" collapsed="false">
      <c r="A819" s="2"/>
      <c r="B819" s="2"/>
      <c r="C819" s="2"/>
    </row>
    <row r="820" customFormat="false" ht="15.75" hidden="false" customHeight="false" outlineLevel="0" collapsed="false">
      <c r="A820" s="2"/>
      <c r="B820" s="2"/>
      <c r="C820" s="2"/>
    </row>
    <row r="821" customFormat="false" ht="15.75" hidden="false" customHeight="false" outlineLevel="0" collapsed="false">
      <c r="A821" s="2"/>
      <c r="B821" s="2"/>
      <c r="C821" s="2"/>
    </row>
    <row r="822" customFormat="false" ht="15.75" hidden="false" customHeight="false" outlineLevel="0" collapsed="false">
      <c r="A822" s="2"/>
      <c r="B822" s="2"/>
      <c r="C822" s="2"/>
    </row>
    <row r="823" customFormat="false" ht="15.75" hidden="false" customHeight="false" outlineLevel="0" collapsed="false">
      <c r="A823" s="2"/>
      <c r="B823" s="2"/>
      <c r="C823" s="2"/>
    </row>
    <row r="824" customFormat="false" ht="15.75" hidden="false" customHeight="false" outlineLevel="0" collapsed="false">
      <c r="A824" s="2"/>
      <c r="B824" s="2"/>
      <c r="C824" s="2"/>
    </row>
    <row r="825" customFormat="false" ht="15.75" hidden="false" customHeight="false" outlineLevel="0" collapsed="false">
      <c r="A825" s="2"/>
      <c r="B825" s="2"/>
      <c r="C825" s="2"/>
    </row>
    <row r="826" customFormat="false" ht="15.75" hidden="false" customHeight="false" outlineLevel="0" collapsed="false">
      <c r="A826" s="2"/>
      <c r="B826" s="2"/>
      <c r="C826" s="2"/>
    </row>
    <row r="827" customFormat="false" ht="15.75" hidden="false" customHeight="false" outlineLevel="0" collapsed="false">
      <c r="A827" s="2"/>
      <c r="B827" s="2"/>
      <c r="C827" s="2"/>
    </row>
    <row r="828" customFormat="false" ht="15.75" hidden="false" customHeight="false" outlineLevel="0" collapsed="false">
      <c r="A828" s="2"/>
      <c r="B828" s="2"/>
      <c r="C828" s="2"/>
    </row>
    <row r="829" customFormat="false" ht="15.75" hidden="false" customHeight="false" outlineLevel="0" collapsed="false">
      <c r="A829" s="2"/>
      <c r="B829" s="2"/>
      <c r="C829" s="2"/>
    </row>
    <row r="830" customFormat="false" ht="15.75" hidden="false" customHeight="false" outlineLevel="0" collapsed="false">
      <c r="A830" s="2"/>
      <c r="B830" s="2"/>
      <c r="C830" s="2"/>
    </row>
    <row r="831" customFormat="false" ht="15.75" hidden="false" customHeight="false" outlineLevel="0" collapsed="false">
      <c r="A831" s="2"/>
      <c r="B831" s="2"/>
      <c r="C831" s="2"/>
    </row>
    <row r="832" customFormat="false" ht="15.75" hidden="false" customHeight="false" outlineLevel="0" collapsed="false">
      <c r="A832" s="2"/>
      <c r="B832" s="2"/>
      <c r="C832" s="2"/>
    </row>
    <row r="833" customFormat="false" ht="15.75" hidden="false" customHeight="false" outlineLevel="0" collapsed="false">
      <c r="A833" s="2"/>
      <c r="B833" s="2"/>
      <c r="C833" s="2"/>
    </row>
    <row r="834" customFormat="false" ht="15.75" hidden="false" customHeight="false" outlineLevel="0" collapsed="false">
      <c r="A834" s="2"/>
      <c r="B834" s="2"/>
      <c r="C834" s="2"/>
    </row>
    <row r="835" customFormat="false" ht="15.75" hidden="false" customHeight="false" outlineLevel="0" collapsed="false">
      <c r="A835" s="2"/>
      <c r="B835" s="2"/>
      <c r="C835" s="2"/>
    </row>
    <row r="836" customFormat="false" ht="15.75" hidden="false" customHeight="false" outlineLevel="0" collapsed="false">
      <c r="A836" s="2"/>
      <c r="B836" s="2"/>
      <c r="C836" s="2"/>
    </row>
    <row r="837" customFormat="false" ht="15.75" hidden="false" customHeight="false" outlineLevel="0" collapsed="false">
      <c r="A837" s="2"/>
      <c r="B837" s="2"/>
      <c r="C837" s="2"/>
    </row>
    <row r="838" customFormat="false" ht="15.75" hidden="false" customHeight="false" outlineLevel="0" collapsed="false">
      <c r="A838" s="2"/>
      <c r="B838" s="2"/>
      <c r="C838" s="2"/>
    </row>
    <row r="839" customFormat="false" ht="15.75" hidden="false" customHeight="false" outlineLevel="0" collapsed="false">
      <c r="A839" s="2"/>
      <c r="B839" s="2"/>
      <c r="C839" s="2"/>
    </row>
    <row r="840" customFormat="false" ht="15.75" hidden="false" customHeight="false" outlineLevel="0" collapsed="false">
      <c r="A840" s="2"/>
      <c r="B840" s="2"/>
      <c r="C840" s="2"/>
    </row>
    <row r="841" customFormat="false" ht="15.75" hidden="false" customHeight="false" outlineLevel="0" collapsed="false">
      <c r="A841" s="2"/>
      <c r="B841" s="2"/>
      <c r="C841" s="2"/>
    </row>
    <row r="842" customFormat="false" ht="15.75" hidden="false" customHeight="false" outlineLevel="0" collapsed="false">
      <c r="A842" s="2"/>
      <c r="B842" s="2"/>
      <c r="C842" s="2"/>
    </row>
    <row r="843" customFormat="false" ht="15.75" hidden="false" customHeight="false" outlineLevel="0" collapsed="false">
      <c r="A843" s="2"/>
      <c r="B843" s="2"/>
      <c r="C843" s="2"/>
    </row>
    <row r="844" customFormat="false" ht="15.75" hidden="false" customHeight="false" outlineLevel="0" collapsed="false">
      <c r="A844" s="2"/>
      <c r="B844" s="2"/>
      <c r="C844" s="2"/>
    </row>
    <row r="845" customFormat="false" ht="15.75" hidden="false" customHeight="false" outlineLevel="0" collapsed="false">
      <c r="A845" s="2"/>
      <c r="B845" s="2"/>
      <c r="C845" s="2"/>
    </row>
    <row r="846" customFormat="false" ht="15.75" hidden="false" customHeight="false" outlineLevel="0" collapsed="false">
      <c r="A846" s="2"/>
      <c r="B846" s="2"/>
      <c r="C846" s="2"/>
    </row>
    <row r="847" customFormat="false" ht="15.75" hidden="false" customHeight="false" outlineLevel="0" collapsed="false">
      <c r="A847" s="2"/>
      <c r="B847" s="2"/>
      <c r="C847" s="2"/>
    </row>
    <row r="848" customFormat="false" ht="15.75" hidden="false" customHeight="false" outlineLevel="0" collapsed="false">
      <c r="A848" s="2"/>
      <c r="B848" s="2"/>
      <c r="C848" s="2"/>
    </row>
    <row r="849" customFormat="false" ht="15.75" hidden="false" customHeight="false" outlineLevel="0" collapsed="false">
      <c r="A849" s="2"/>
      <c r="B849" s="2"/>
      <c r="C849" s="2"/>
    </row>
    <row r="850" customFormat="false" ht="15.75" hidden="false" customHeight="false" outlineLevel="0" collapsed="false">
      <c r="A850" s="2"/>
      <c r="B850" s="2"/>
      <c r="C850" s="2"/>
    </row>
    <row r="851" customFormat="false" ht="15.75" hidden="false" customHeight="false" outlineLevel="0" collapsed="false">
      <c r="A851" s="2"/>
      <c r="B851" s="2"/>
      <c r="C851" s="2"/>
    </row>
    <row r="852" customFormat="false" ht="15.75" hidden="false" customHeight="false" outlineLevel="0" collapsed="false">
      <c r="A852" s="2"/>
      <c r="B852" s="2"/>
      <c r="C852" s="2"/>
    </row>
    <row r="853" customFormat="false" ht="15.75" hidden="false" customHeight="false" outlineLevel="0" collapsed="false">
      <c r="A853" s="2"/>
      <c r="B853" s="2"/>
      <c r="C853" s="2"/>
    </row>
    <row r="854" customFormat="false" ht="15.75" hidden="false" customHeight="false" outlineLevel="0" collapsed="false">
      <c r="A854" s="2"/>
      <c r="B854" s="2"/>
      <c r="C854" s="2"/>
    </row>
    <row r="855" customFormat="false" ht="15.75" hidden="false" customHeight="false" outlineLevel="0" collapsed="false">
      <c r="A855" s="2"/>
      <c r="B855" s="2"/>
      <c r="C855" s="2"/>
    </row>
    <row r="856" customFormat="false" ht="15.75" hidden="false" customHeight="false" outlineLevel="0" collapsed="false">
      <c r="A856" s="2"/>
      <c r="B856" s="2"/>
      <c r="C856" s="2"/>
    </row>
    <row r="857" customFormat="false" ht="15.75" hidden="false" customHeight="false" outlineLevel="0" collapsed="false">
      <c r="A857" s="2"/>
      <c r="B857" s="2"/>
      <c r="C857" s="2"/>
    </row>
    <row r="858" customFormat="false" ht="15.75" hidden="false" customHeight="false" outlineLevel="0" collapsed="false">
      <c r="A858" s="2"/>
      <c r="B858" s="2"/>
      <c r="C858" s="2"/>
    </row>
    <row r="859" customFormat="false" ht="15.75" hidden="false" customHeight="false" outlineLevel="0" collapsed="false">
      <c r="A859" s="2"/>
      <c r="B859" s="2"/>
      <c r="C859" s="2"/>
    </row>
    <row r="860" customFormat="false" ht="15.75" hidden="false" customHeight="false" outlineLevel="0" collapsed="false">
      <c r="A860" s="2"/>
      <c r="B860" s="2"/>
      <c r="C860" s="2"/>
    </row>
    <row r="861" customFormat="false" ht="15.75" hidden="false" customHeight="false" outlineLevel="0" collapsed="false">
      <c r="A861" s="2"/>
      <c r="B861" s="2"/>
      <c r="C861" s="2"/>
    </row>
    <row r="862" customFormat="false" ht="15.75" hidden="false" customHeight="false" outlineLevel="0" collapsed="false">
      <c r="A862" s="2"/>
      <c r="B862" s="2"/>
      <c r="C862" s="2"/>
    </row>
    <row r="863" customFormat="false" ht="15.75" hidden="false" customHeight="false" outlineLevel="0" collapsed="false">
      <c r="A863" s="2"/>
      <c r="B863" s="2"/>
      <c r="C863" s="2"/>
    </row>
    <row r="864" customFormat="false" ht="15.75" hidden="false" customHeight="false" outlineLevel="0" collapsed="false">
      <c r="A864" s="2"/>
      <c r="B864" s="2"/>
      <c r="C864" s="2"/>
    </row>
    <row r="865" customFormat="false" ht="15.75" hidden="false" customHeight="false" outlineLevel="0" collapsed="false">
      <c r="A865" s="2"/>
      <c r="B865" s="2"/>
      <c r="C865" s="2"/>
    </row>
    <row r="866" customFormat="false" ht="15.75" hidden="false" customHeight="false" outlineLevel="0" collapsed="false">
      <c r="A866" s="2"/>
      <c r="B866" s="2"/>
      <c r="C866" s="2"/>
    </row>
    <row r="867" customFormat="false" ht="15.75" hidden="false" customHeight="false" outlineLevel="0" collapsed="false">
      <c r="A867" s="2"/>
      <c r="B867" s="2"/>
      <c r="C867" s="2"/>
    </row>
    <row r="868" customFormat="false" ht="15.75" hidden="false" customHeight="false" outlineLevel="0" collapsed="false">
      <c r="A868" s="2"/>
      <c r="B868" s="2"/>
      <c r="C868" s="2"/>
    </row>
    <row r="869" customFormat="false" ht="15.75" hidden="false" customHeight="false" outlineLevel="0" collapsed="false">
      <c r="A869" s="2"/>
      <c r="B869" s="2"/>
      <c r="C869" s="2"/>
    </row>
    <row r="870" customFormat="false" ht="15.75" hidden="false" customHeight="false" outlineLevel="0" collapsed="false">
      <c r="A870" s="2"/>
      <c r="B870" s="2"/>
      <c r="C870" s="2"/>
    </row>
    <row r="871" customFormat="false" ht="15.75" hidden="false" customHeight="false" outlineLevel="0" collapsed="false">
      <c r="A871" s="2"/>
      <c r="B871" s="2"/>
      <c r="C871" s="2"/>
    </row>
    <row r="872" customFormat="false" ht="15.75" hidden="false" customHeight="false" outlineLevel="0" collapsed="false">
      <c r="A872" s="2"/>
      <c r="B872" s="2"/>
      <c r="C872" s="2"/>
    </row>
    <row r="873" customFormat="false" ht="15.75" hidden="false" customHeight="false" outlineLevel="0" collapsed="false">
      <c r="A873" s="2"/>
      <c r="B873" s="2"/>
      <c r="C873" s="2"/>
    </row>
    <row r="874" customFormat="false" ht="15.75" hidden="false" customHeight="false" outlineLevel="0" collapsed="false">
      <c r="A874" s="2"/>
      <c r="B874" s="2"/>
      <c r="C874" s="2"/>
    </row>
    <row r="875" customFormat="false" ht="15.75" hidden="false" customHeight="false" outlineLevel="0" collapsed="false">
      <c r="A875" s="2"/>
      <c r="B875" s="2"/>
      <c r="C875" s="2"/>
    </row>
    <row r="876" customFormat="false" ht="15.75" hidden="false" customHeight="false" outlineLevel="0" collapsed="false">
      <c r="A876" s="2"/>
      <c r="B876" s="2"/>
      <c r="C876" s="2"/>
    </row>
    <row r="877" customFormat="false" ht="15.75" hidden="false" customHeight="false" outlineLevel="0" collapsed="false">
      <c r="A877" s="2"/>
      <c r="B877" s="2"/>
      <c r="C877" s="2"/>
    </row>
    <row r="878" customFormat="false" ht="15.75" hidden="false" customHeight="false" outlineLevel="0" collapsed="false">
      <c r="A878" s="2"/>
      <c r="B878" s="2"/>
      <c r="C878" s="2"/>
    </row>
    <row r="879" customFormat="false" ht="15.75" hidden="false" customHeight="false" outlineLevel="0" collapsed="false">
      <c r="A879" s="2"/>
      <c r="B879" s="2"/>
      <c r="C879" s="2"/>
    </row>
    <row r="880" customFormat="false" ht="15.75" hidden="false" customHeight="false" outlineLevel="0" collapsed="false">
      <c r="A880" s="2"/>
      <c r="B880" s="2"/>
      <c r="C880" s="2"/>
    </row>
    <row r="881" customFormat="false" ht="15.75" hidden="false" customHeight="false" outlineLevel="0" collapsed="false">
      <c r="A881" s="2"/>
      <c r="B881" s="2"/>
      <c r="C881" s="2"/>
    </row>
    <row r="882" customFormat="false" ht="15.75" hidden="false" customHeight="false" outlineLevel="0" collapsed="false">
      <c r="A882" s="2"/>
      <c r="B882" s="2"/>
      <c r="C882" s="2"/>
    </row>
    <row r="883" customFormat="false" ht="15.75" hidden="false" customHeight="false" outlineLevel="0" collapsed="false">
      <c r="A883" s="2"/>
      <c r="B883" s="2"/>
      <c r="C883" s="2"/>
    </row>
    <row r="884" customFormat="false" ht="15.75" hidden="false" customHeight="false" outlineLevel="0" collapsed="false">
      <c r="A884" s="2"/>
      <c r="B884" s="2"/>
      <c r="C884" s="2"/>
    </row>
    <row r="885" customFormat="false" ht="15.75" hidden="false" customHeight="false" outlineLevel="0" collapsed="false">
      <c r="A885" s="2"/>
      <c r="B885" s="2"/>
      <c r="C885" s="2"/>
    </row>
    <row r="886" customFormat="false" ht="15.75" hidden="false" customHeight="false" outlineLevel="0" collapsed="false">
      <c r="A886" s="2"/>
      <c r="B886" s="2"/>
      <c r="C886" s="2"/>
    </row>
    <row r="887" customFormat="false" ht="15.75" hidden="false" customHeight="false" outlineLevel="0" collapsed="false">
      <c r="A887" s="2"/>
      <c r="B887" s="2"/>
      <c r="C887" s="2"/>
    </row>
    <row r="888" customFormat="false" ht="15.75" hidden="false" customHeight="false" outlineLevel="0" collapsed="false">
      <c r="A888" s="2"/>
      <c r="B888" s="2"/>
      <c r="C888" s="2"/>
    </row>
    <row r="889" customFormat="false" ht="15.75" hidden="false" customHeight="false" outlineLevel="0" collapsed="false">
      <c r="A889" s="2"/>
      <c r="B889" s="2"/>
      <c r="C889" s="2"/>
    </row>
    <row r="890" customFormat="false" ht="15.75" hidden="false" customHeight="false" outlineLevel="0" collapsed="false">
      <c r="A890" s="2"/>
      <c r="B890" s="2"/>
      <c r="C890" s="2"/>
    </row>
    <row r="891" customFormat="false" ht="15.75" hidden="false" customHeight="false" outlineLevel="0" collapsed="false">
      <c r="A891" s="2"/>
      <c r="B891" s="2"/>
      <c r="C891" s="2"/>
    </row>
    <row r="892" customFormat="false" ht="15.75" hidden="false" customHeight="false" outlineLevel="0" collapsed="false">
      <c r="A892" s="2"/>
      <c r="B892" s="2"/>
      <c r="C892" s="2"/>
    </row>
    <row r="893" customFormat="false" ht="15.75" hidden="false" customHeight="false" outlineLevel="0" collapsed="false">
      <c r="A893" s="2"/>
      <c r="B893" s="2"/>
      <c r="C893" s="2"/>
    </row>
    <row r="894" customFormat="false" ht="15.75" hidden="false" customHeight="false" outlineLevel="0" collapsed="false">
      <c r="A894" s="2"/>
      <c r="B894" s="2"/>
      <c r="C894" s="2"/>
    </row>
    <row r="895" customFormat="false" ht="15.75" hidden="false" customHeight="false" outlineLevel="0" collapsed="false">
      <c r="A895" s="2"/>
      <c r="B895" s="2"/>
      <c r="C895" s="2"/>
    </row>
    <row r="896" customFormat="false" ht="15.75" hidden="false" customHeight="false" outlineLevel="0" collapsed="false">
      <c r="A896" s="2"/>
      <c r="B896" s="2"/>
      <c r="C896" s="2"/>
    </row>
    <row r="897" customFormat="false" ht="15.75" hidden="false" customHeight="false" outlineLevel="0" collapsed="false">
      <c r="A897" s="2"/>
      <c r="B897" s="2"/>
      <c r="C897" s="2"/>
    </row>
    <row r="898" customFormat="false" ht="15.75" hidden="false" customHeight="false" outlineLevel="0" collapsed="false">
      <c r="A898" s="2"/>
      <c r="B898" s="2"/>
      <c r="C898" s="2"/>
    </row>
    <row r="899" customFormat="false" ht="15.75" hidden="false" customHeight="false" outlineLevel="0" collapsed="false">
      <c r="A899" s="2"/>
      <c r="B899" s="2"/>
      <c r="C899" s="2"/>
    </row>
    <row r="900" customFormat="false" ht="15.75" hidden="false" customHeight="false" outlineLevel="0" collapsed="false">
      <c r="A900" s="2"/>
      <c r="B900" s="2"/>
      <c r="C900" s="2"/>
    </row>
    <row r="901" customFormat="false" ht="15.75" hidden="false" customHeight="false" outlineLevel="0" collapsed="false">
      <c r="A901" s="2"/>
      <c r="B901" s="2"/>
      <c r="C901" s="2"/>
    </row>
    <row r="902" customFormat="false" ht="15.75" hidden="false" customHeight="false" outlineLevel="0" collapsed="false">
      <c r="A902" s="2"/>
      <c r="B902" s="2"/>
      <c r="C902" s="2"/>
    </row>
    <row r="903" customFormat="false" ht="15.75" hidden="false" customHeight="false" outlineLevel="0" collapsed="false">
      <c r="A903" s="2"/>
      <c r="B903" s="2"/>
      <c r="C903" s="2"/>
    </row>
    <row r="904" customFormat="false" ht="15.75" hidden="false" customHeight="false" outlineLevel="0" collapsed="false">
      <c r="A904" s="2"/>
      <c r="B904" s="2"/>
      <c r="C904" s="2"/>
    </row>
    <row r="905" customFormat="false" ht="15.75" hidden="false" customHeight="false" outlineLevel="0" collapsed="false">
      <c r="A905" s="2"/>
      <c r="B905" s="2"/>
      <c r="C905" s="2"/>
    </row>
    <row r="906" customFormat="false" ht="15.75" hidden="false" customHeight="false" outlineLevel="0" collapsed="false">
      <c r="A906" s="2"/>
      <c r="B906" s="2"/>
      <c r="C906" s="2"/>
    </row>
    <row r="907" customFormat="false" ht="15.75" hidden="false" customHeight="false" outlineLevel="0" collapsed="false">
      <c r="A907" s="2"/>
      <c r="B907" s="2"/>
      <c r="C907" s="2"/>
    </row>
    <row r="908" customFormat="false" ht="15.75" hidden="false" customHeight="false" outlineLevel="0" collapsed="false">
      <c r="A908" s="2"/>
      <c r="B908" s="2"/>
      <c r="C908" s="2"/>
    </row>
    <row r="909" customFormat="false" ht="15.75" hidden="false" customHeight="false" outlineLevel="0" collapsed="false">
      <c r="A909" s="2"/>
      <c r="B909" s="2"/>
      <c r="C909" s="2"/>
    </row>
    <row r="910" customFormat="false" ht="15.75" hidden="false" customHeight="false" outlineLevel="0" collapsed="false">
      <c r="A910" s="2"/>
      <c r="B910" s="2"/>
      <c r="C910" s="2"/>
    </row>
    <row r="911" customFormat="false" ht="15.75" hidden="false" customHeight="false" outlineLevel="0" collapsed="false">
      <c r="A911" s="2"/>
      <c r="B911" s="2"/>
      <c r="C911" s="2"/>
    </row>
    <row r="912" customFormat="false" ht="15.75" hidden="false" customHeight="false" outlineLevel="0" collapsed="false">
      <c r="A912" s="2"/>
      <c r="B912" s="2"/>
      <c r="C912" s="2"/>
    </row>
    <row r="913" customFormat="false" ht="15.75" hidden="false" customHeight="false" outlineLevel="0" collapsed="false">
      <c r="A913" s="2"/>
      <c r="B913" s="2"/>
      <c r="C913" s="2"/>
    </row>
    <row r="914" customFormat="false" ht="15.75" hidden="false" customHeight="false" outlineLevel="0" collapsed="false">
      <c r="A914" s="2"/>
      <c r="B914" s="2"/>
      <c r="C914" s="2"/>
    </row>
    <row r="915" customFormat="false" ht="15.75" hidden="false" customHeight="false" outlineLevel="0" collapsed="false">
      <c r="A915" s="2"/>
      <c r="B915" s="2"/>
      <c r="C915" s="2"/>
    </row>
    <row r="916" customFormat="false" ht="15.75" hidden="false" customHeight="false" outlineLevel="0" collapsed="false">
      <c r="A916" s="2"/>
      <c r="B916" s="2"/>
      <c r="C916" s="2"/>
    </row>
    <row r="917" customFormat="false" ht="15.75" hidden="false" customHeight="false" outlineLevel="0" collapsed="false">
      <c r="A917" s="2"/>
      <c r="B917" s="2"/>
      <c r="C917" s="2"/>
    </row>
    <row r="918" customFormat="false" ht="15.75" hidden="false" customHeight="false" outlineLevel="0" collapsed="false">
      <c r="A918" s="2"/>
      <c r="B918" s="2"/>
      <c r="C918" s="2"/>
    </row>
    <row r="919" customFormat="false" ht="15.75" hidden="false" customHeight="false" outlineLevel="0" collapsed="false">
      <c r="A919" s="2"/>
      <c r="B919" s="2"/>
      <c r="C919" s="2"/>
    </row>
    <row r="920" customFormat="false" ht="15.75" hidden="false" customHeight="false" outlineLevel="0" collapsed="false">
      <c r="A920" s="2"/>
      <c r="B920" s="2"/>
      <c r="C920" s="2"/>
    </row>
    <row r="921" customFormat="false" ht="15.75" hidden="false" customHeight="false" outlineLevel="0" collapsed="false">
      <c r="A921" s="2"/>
      <c r="B921" s="2"/>
      <c r="C921" s="2"/>
    </row>
    <row r="922" customFormat="false" ht="15.75" hidden="false" customHeight="false" outlineLevel="0" collapsed="false">
      <c r="A922" s="2"/>
      <c r="B922" s="2"/>
      <c r="C922" s="2"/>
    </row>
    <row r="923" customFormat="false" ht="15.75" hidden="false" customHeight="false" outlineLevel="0" collapsed="false">
      <c r="A923" s="2"/>
      <c r="B923" s="2"/>
      <c r="C923" s="2"/>
    </row>
    <row r="924" customFormat="false" ht="15.75" hidden="false" customHeight="false" outlineLevel="0" collapsed="false">
      <c r="A924" s="2"/>
      <c r="B924" s="2"/>
      <c r="C924" s="2"/>
    </row>
    <row r="925" customFormat="false" ht="15.75" hidden="false" customHeight="false" outlineLevel="0" collapsed="false">
      <c r="A925" s="2"/>
      <c r="B925" s="2"/>
      <c r="C925" s="2"/>
    </row>
    <row r="926" customFormat="false" ht="15.75" hidden="false" customHeight="false" outlineLevel="0" collapsed="false">
      <c r="A926" s="2"/>
      <c r="B926" s="2"/>
      <c r="C926" s="2"/>
    </row>
    <row r="927" customFormat="false" ht="15.75" hidden="false" customHeight="false" outlineLevel="0" collapsed="false">
      <c r="A927" s="2"/>
      <c r="B927" s="2"/>
      <c r="C927" s="2"/>
    </row>
    <row r="928" customFormat="false" ht="15.75" hidden="false" customHeight="false" outlineLevel="0" collapsed="false">
      <c r="A928" s="2"/>
      <c r="B928" s="2"/>
      <c r="C928" s="2"/>
    </row>
    <row r="929" customFormat="false" ht="15.75" hidden="false" customHeight="false" outlineLevel="0" collapsed="false">
      <c r="A929" s="2"/>
      <c r="B929" s="2"/>
      <c r="C929" s="2"/>
    </row>
    <row r="930" customFormat="false" ht="15.75" hidden="false" customHeight="false" outlineLevel="0" collapsed="false">
      <c r="A930" s="2"/>
      <c r="B930" s="2"/>
      <c r="C930" s="2"/>
    </row>
    <row r="931" customFormat="false" ht="15.75" hidden="false" customHeight="false" outlineLevel="0" collapsed="false">
      <c r="A931" s="2"/>
      <c r="B931" s="2"/>
      <c r="C931" s="2"/>
    </row>
    <row r="932" customFormat="false" ht="15.75" hidden="false" customHeight="false" outlineLevel="0" collapsed="false">
      <c r="A932" s="2"/>
      <c r="B932" s="2"/>
      <c r="C932" s="2"/>
    </row>
    <row r="933" customFormat="false" ht="15.75" hidden="false" customHeight="false" outlineLevel="0" collapsed="false">
      <c r="A933" s="2"/>
      <c r="B933" s="2"/>
      <c r="C933" s="2"/>
    </row>
    <row r="934" customFormat="false" ht="15.75" hidden="false" customHeight="false" outlineLevel="0" collapsed="false">
      <c r="A934" s="2"/>
      <c r="B934" s="2"/>
      <c r="C934" s="2"/>
    </row>
    <row r="935" customFormat="false" ht="15.75" hidden="false" customHeight="false" outlineLevel="0" collapsed="false">
      <c r="A935" s="2"/>
      <c r="B935" s="2"/>
      <c r="C935" s="2"/>
    </row>
    <row r="936" customFormat="false" ht="15.75" hidden="false" customHeight="false" outlineLevel="0" collapsed="false">
      <c r="A936" s="2"/>
      <c r="B936" s="2"/>
      <c r="C936" s="2"/>
    </row>
    <row r="937" customFormat="false" ht="15.75" hidden="false" customHeight="false" outlineLevel="0" collapsed="false">
      <c r="A937" s="2"/>
      <c r="B937" s="2"/>
      <c r="C937" s="2"/>
    </row>
    <row r="938" customFormat="false" ht="15.75" hidden="false" customHeight="false" outlineLevel="0" collapsed="false">
      <c r="A938" s="2"/>
      <c r="B938" s="2"/>
      <c r="C938" s="2"/>
    </row>
    <row r="939" customFormat="false" ht="15.75" hidden="false" customHeight="false" outlineLevel="0" collapsed="false">
      <c r="A939" s="2"/>
      <c r="B939" s="2"/>
      <c r="C939" s="2"/>
    </row>
    <row r="940" customFormat="false" ht="15.75" hidden="false" customHeight="false" outlineLevel="0" collapsed="false">
      <c r="A940" s="2"/>
      <c r="B940" s="2"/>
      <c r="C940" s="2"/>
    </row>
    <row r="941" customFormat="false" ht="15.75" hidden="false" customHeight="false" outlineLevel="0" collapsed="false">
      <c r="A941" s="2"/>
      <c r="B941" s="2"/>
      <c r="C941" s="2"/>
    </row>
    <row r="942" customFormat="false" ht="15.75" hidden="false" customHeight="false" outlineLevel="0" collapsed="false">
      <c r="A942" s="2"/>
      <c r="B942" s="2"/>
      <c r="C942" s="2"/>
    </row>
    <row r="943" customFormat="false" ht="15.75" hidden="false" customHeight="false" outlineLevel="0" collapsed="false">
      <c r="A943" s="2"/>
      <c r="B943" s="2"/>
      <c r="C943" s="2"/>
    </row>
    <row r="944" customFormat="false" ht="15.75" hidden="false" customHeight="false" outlineLevel="0" collapsed="false">
      <c r="A944" s="2"/>
      <c r="B944" s="2"/>
      <c r="C944" s="2"/>
    </row>
    <row r="945" customFormat="false" ht="15.75" hidden="false" customHeight="false" outlineLevel="0" collapsed="false">
      <c r="A945" s="2"/>
      <c r="B945" s="2"/>
      <c r="C945" s="2"/>
    </row>
    <row r="946" customFormat="false" ht="15.75" hidden="false" customHeight="false" outlineLevel="0" collapsed="false">
      <c r="A946" s="2"/>
      <c r="B946" s="2"/>
      <c r="C946" s="2"/>
    </row>
    <row r="947" customFormat="false" ht="15.75" hidden="false" customHeight="false" outlineLevel="0" collapsed="false">
      <c r="A947" s="2"/>
      <c r="B947" s="2"/>
      <c r="C947" s="2"/>
    </row>
    <row r="948" customFormat="false" ht="15.75" hidden="false" customHeight="false" outlineLevel="0" collapsed="false">
      <c r="A948" s="2"/>
      <c r="B948" s="2"/>
      <c r="C948" s="2"/>
    </row>
    <row r="949" customFormat="false" ht="15.75" hidden="false" customHeight="false" outlineLevel="0" collapsed="false">
      <c r="A949" s="2"/>
      <c r="B949" s="2"/>
      <c r="C949" s="2"/>
    </row>
    <row r="950" customFormat="false" ht="15.75" hidden="false" customHeight="false" outlineLevel="0" collapsed="false">
      <c r="A950" s="2"/>
      <c r="B950" s="2"/>
      <c r="C950" s="2"/>
    </row>
    <row r="951" customFormat="false" ht="15.75" hidden="false" customHeight="false" outlineLevel="0" collapsed="false">
      <c r="A951" s="2"/>
      <c r="B951" s="2"/>
      <c r="C951" s="2"/>
    </row>
    <row r="952" customFormat="false" ht="15.75" hidden="false" customHeight="false" outlineLevel="0" collapsed="false">
      <c r="A952" s="2"/>
      <c r="B952" s="2"/>
      <c r="C952" s="2"/>
    </row>
    <row r="953" customFormat="false" ht="15.75" hidden="false" customHeight="false" outlineLevel="0" collapsed="false">
      <c r="A953" s="2"/>
      <c r="B953" s="2"/>
      <c r="C953" s="2"/>
    </row>
    <row r="954" customFormat="false" ht="15.75" hidden="false" customHeight="false" outlineLevel="0" collapsed="false">
      <c r="A954" s="2"/>
      <c r="B954" s="2"/>
      <c r="C954" s="2"/>
    </row>
    <row r="955" customFormat="false" ht="15.75" hidden="false" customHeight="false" outlineLevel="0" collapsed="false">
      <c r="A955" s="2"/>
      <c r="B955" s="2"/>
      <c r="C955" s="2"/>
    </row>
    <row r="956" customFormat="false" ht="15.75" hidden="false" customHeight="false" outlineLevel="0" collapsed="false">
      <c r="A956" s="2"/>
      <c r="B956" s="2"/>
      <c r="C956" s="2"/>
    </row>
    <row r="957" customFormat="false" ht="15.75" hidden="false" customHeight="false" outlineLevel="0" collapsed="false">
      <c r="A957" s="2"/>
      <c r="B957" s="2"/>
      <c r="C957" s="2"/>
    </row>
    <row r="958" customFormat="false" ht="15.75" hidden="false" customHeight="false" outlineLevel="0" collapsed="false">
      <c r="A958" s="2"/>
      <c r="B958" s="2"/>
      <c r="C958" s="2"/>
    </row>
    <row r="959" customFormat="false" ht="15.75" hidden="false" customHeight="false" outlineLevel="0" collapsed="false">
      <c r="A959" s="2"/>
      <c r="B959" s="2"/>
      <c r="C959" s="2"/>
    </row>
    <row r="960" customFormat="false" ht="15.75" hidden="false" customHeight="false" outlineLevel="0" collapsed="false">
      <c r="A960" s="2"/>
      <c r="B960" s="2"/>
      <c r="C960" s="2"/>
    </row>
    <row r="961" customFormat="false" ht="15.75" hidden="false" customHeight="false" outlineLevel="0" collapsed="false">
      <c r="A961" s="2"/>
      <c r="B961" s="2"/>
      <c r="C961" s="2"/>
    </row>
    <row r="962" customFormat="false" ht="15.75" hidden="false" customHeight="false" outlineLevel="0" collapsed="false">
      <c r="A962" s="2"/>
      <c r="B962" s="2"/>
      <c r="C962" s="2"/>
    </row>
    <row r="963" customFormat="false" ht="15.75" hidden="false" customHeight="false" outlineLevel="0" collapsed="false">
      <c r="A963" s="2"/>
      <c r="B963" s="2"/>
      <c r="C963" s="2"/>
    </row>
    <row r="964" customFormat="false" ht="15.75" hidden="false" customHeight="false" outlineLevel="0" collapsed="false">
      <c r="A964" s="2"/>
      <c r="B964" s="2"/>
      <c r="C964" s="2"/>
    </row>
    <row r="965" customFormat="false" ht="15.75" hidden="false" customHeight="false" outlineLevel="0" collapsed="false">
      <c r="A965" s="2"/>
      <c r="B965" s="2"/>
      <c r="C965" s="2"/>
    </row>
    <row r="966" customFormat="false" ht="15.75" hidden="false" customHeight="false" outlineLevel="0" collapsed="false">
      <c r="A966" s="2"/>
      <c r="B966" s="2"/>
      <c r="C966" s="2"/>
    </row>
    <row r="967" customFormat="false" ht="15.75" hidden="false" customHeight="false" outlineLevel="0" collapsed="false">
      <c r="A967" s="2"/>
      <c r="B967" s="2"/>
      <c r="C967" s="2"/>
    </row>
    <row r="968" customFormat="false" ht="15.75" hidden="false" customHeight="false" outlineLevel="0" collapsed="false">
      <c r="A968" s="2"/>
      <c r="B968" s="2"/>
      <c r="C968" s="2"/>
    </row>
    <row r="969" customFormat="false" ht="15.75" hidden="false" customHeight="false" outlineLevel="0" collapsed="false">
      <c r="A969" s="2"/>
      <c r="B969" s="2"/>
      <c r="C969" s="2"/>
    </row>
    <row r="970" customFormat="false" ht="15.75" hidden="false" customHeight="false" outlineLevel="0" collapsed="false">
      <c r="A970" s="2"/>
      <c r="B970" s="2"/>
      <c r="C970" s="2"/>
    </row>
    <row r="971" customFormat="false" ht="15.75" hidden="false" customHeight="false" outlineLevel="0" collapsed="false">
      <c r="A971" s="2"/>
      <c r="B971" s="2"/>
      <c r="C971" s="2"/>
    </row>
    <row r="972" customFormat="false" ht="15.75" hidden="false" customHeight="false" outlineLevel="0" collapsed="false">
      <c r="A972" s="2"/>
      <c r="B972" s="2"/>
      <c r="C972" s="2"/>
    </row>
    <row r="973" customFormat="false" ht="15.75" hidden="false" customHeight="false" outlineLevel="0" collapsed="false">
      <c r="A973" s="2"/>
      <c r="B973" s="2"/>
      <c r="C973" s="2"/>
    </row>
    <row r="974" customFormat="false" ht="15.75" hidden="false" customHeight="false" outlineLevel="0" collapsed="false">
      <c r="A974" s="2"/>
      <c r="B974" s="2"/>
      <c r="C974" s="2"/>
    </row>
    <row r="975" customFormat="false" ht="15.75" hidden="false" customHeight="false" outlineLevel="0" collapsed="false">
      <c r="A975" s="2"/>
      <c r="B975" s="2"/>
      <c r="C975" s="2"/>
    </row>
    <row r="976" customFormat="false" ht="15.75" hidden="false" customHeight="false" outlineLevel="0" collapsed="false">
      <c r="A976" s="2"/>
      <c r="B976" s="2"/>
      <c r="C976" s="2"/>
    </row>
    <row r="977" customFormat="false" ht="15.75" hidden="false" customHeight="false" outlineLevel="0" collapsed="false">
      <c r="A977" s="2"/>
      <c r="B977" s="2"/>
      <c r="C977" s="2"/>
    </row>
    <row r="978" customFormat="false" ht="15.75" hidden="false" customHeight="false" outlineLevel="0" collapsed="false">
      <c r="A978" s="2"/>
      <c r="B978" s="2"/>
      <c r="C978" s="2"/>
    </row>
    <row r="979" customFormat="false" ht="15.75" hidden="false" customHeight="false" outlineLevel="0" collapsed="false">
      <c r="A979" s="2"/>
      <c r="B979" s="2"/>
      <c r="C979" s="2"/>
    </row>
    <row r="980" customFormat="false" ht="15.75" hidden="false" customHeight="false" outlineLevel="0" collapsed="false">
      <c r="A980" s="2"/>
      <c r="B980" s="2"/>
      <c r="C980" s="2"/>
    </row>
    <row r="981" customFormat="false" ht="15.75" hidden="false" customHeight="false" outlineLevel="0" collapsed="false">
      <c r="A981" s="2"/>
      <c r="B981" s="2"/>
      <c r="C981" s="2"/>
    </row>
    <row r="982" customFormat="false" ht="15.75" hidden="false" customHeight="false" outlineLevel="0" collapsed="false">
      <c r="A982" s="2"/>
      <c r="B982" s="2"/>
      <c r="C982" s="2"/>
    </row>
    <row r="983" customFormat="false" ht="15.75" hidden="false" customHeight="false" outlineLevel="0" collapsed="false">
      <c r="A983" s="2"/>
      <c r="B983" s="2"/>
      <c r="C983" s="2"/>
    </row>
    <row r="984" customFormat="false" ht="15.75" hidden="false" customHeight="false" outlineLevel="0" collapsed="false">
      <c r="A984" s="2"/>
      <c r="B984" s="2"/>
      <c r="C984" s="2"/>
    </row>
    <row r="985" customFormat="false" ht="15.75" hidden="false" customHeight="false" outlineLevel="0" collapsed="false">
      <c r="A985" s="2"/>
      <c r="B985" s="2"/>
      <c r="C985" s="2"/>
    </row>
    <row r="986" customFormat="false" ht="15.75" hidden="false" customHeight="false" outlineLevel="0" collapsed="false">
      <c r="A986" s="2"/>
      <c r="B986" s="2"/>
      <c r="C986" s="2"/>
    </row>
    <row r="987" customFormat="false" ht="15.75" hidden="false" customHeight="false" outlineLevel="0" collapsed="false">
      <c r="A987" s="2"/>
      <c r="B987" s="2"/>
      <c r="C987" s="2"/>
    </row>
    <row r="988" customFormat="false" ht="15.75" hidden="false" customHeight="false" outlineLevel="0" collapsed="false">
      <c r="A988" s="2"/>
      <c r="B988" s="2"/>
      <c r="C988" s="2"/>
    </row>
    <row r="989" customFormat="false" ht="15.75" hidden="false" customHeight="false" outlineLevel="0" collapsed="false">
      <c r="A989" s="2"/>
      <c r="B989" s="2"/>
      <c r="C989" s="2"/>
    </row>
    <row r="990" customFormat="false" ht="15.75" hidden="false" customHeight="false" outlineLevel="0" collapsed="false">
      <c r="A990" s="2"/>
      <c r="B990" s="2"/>
      <c r="C990" s="2"/>
    </row>
    <row r="991" customFormat="false" ht="15.75" hidden="false" customHeight="false" outlineLevel="0" collapsed="false">
      <c r="A991" s="2"/>
      <c r="B991" s="2"/>
      <c r="C991" s="2"/>
    </row>
    <row r="992" customFormat="false" ht="15.75" hidden="false" customHeight="false" outlineLevel="0" collapsed="false">
      <c r="A992" s="2"/>
      <c r="B992" s="2"/>
      <c r="C992" s="2"/>
    </row>
    <row r="993" customFormat="false" ht="15.75" hidden="false" customHeight="false" outlineLevel="0" collapsed="false">
      <c r="A993" s="2"/>
      <c r="B993" s="2"/>
      <c r="C993" s="2"/>
    </row>
    <row r="994" customFormat="false" ht="15.75" hidden="false" customHeight="false" outlineLevel="0" collapsed="false">
      <c r="A994" s="2"/>
      <c r="B994" s="2"/>
      <c r="C994" s="2"/>
    </row>
    <row r="995" customFormat="false" ht="15.75" hidden="false" customHeight="false" outlineLevel="0" collapsed="false">
      <c r="A995" s="2"/>
      <c r="B995" s="2"/>
      <c r="C995" s="2"/>
    </row>
    <row r="996" customFormat="false" ht="15.75" hidden="false" customHeight="false" outlineLevel="0" collapsed="false">
      <c r="A996" s="2"/>
      <c r="B996" s="2"/>
      <c r="C996" s="2"/>
    </row>
    <row r="997" customFormat="false" ht="15.75" hidden="false" customHeight="false" outlineLevel="0" collapsed="false">
      <c r="A997" s="2"/>
      <c r="B997" s="2"/>
      <c r="C997" s="2"/>
    </row>
    <row r="998" customFormat="false" ht="15.75" hidden="false" customHeight="false" outlineLevel="0" collapsed="false">
      <c r="A998" s="2"/>
      <c r="B998" s="2"/>
      <c r="C998" s="2"/>
    </row>
    <row r="999" customFormat="false" ht="15.75" hidden="false" customHeight="false" outlineLevel="0" collapsed="false">
      <c r="A999" s="2"/>
      <c r="B999" s="2"/>
      <c r="C999" s="2"/>
    </row>
    <row r="1000" customFormat="false" ht="15.75" hidden="false" customHeight="false" outlineLevel="0" collapsed="false">
      <c r="A1000" s="2"/>
      <c r="B1000" s="2"/>
      <c r="C1000" s="2"/>
    </row>
    <row r="1001" customFormat="false" ht="15.75" hidden="false" customHeight="false" outlineLevel="0" collapsed="false">
      <c r="A1001" s="2"/>
      <c r="B1001" s="2"/>
      <c r="C1001" s="2"/>
    </row>
    <row r="1002" customFormat="false" ht="15.75" hidden="false" customHeight="false" outlineLevel="0" collapsed="false">
      <c r="A1002" s="2"/>
      <c r="B1002" s="2"/>
      <c r="C1002" s="2"/>
    </row>
    <row r="1003" customFormat="false" ht="15.75" hidden="false" customHeight="false" outlineLevel="0" collapsed="false">
      <c r="A1003" s="2"/>
      <c r="B1003" s="2"/>
      <c r="C1003" s="2"/>
    </row>
    <row r="1004" customFormat="false" ht="15.75" hidden="false" customHeight="false" outlineLevel="0" collapsed="false">
      <c r="A1004" s="2"/>
      <c r="B1004" s="2"/>
      <c r="C1004" s="2"/>
    </row>
    <row r="1005" customFormat="false" ht="15.75" hidden="false" customHeight="false" outlineLevel="0" collapsed="false">
      <c r="A1005" s="2"/>
      <c r="B1005" s="2"/>
      <c r="C1005" s="2"/>
    </row>
    <row r="1006" customFormat="false" ht="15.75" hidden="false" customHeight="false" outlineLevel="0" collapsed="false">
      <c r="A1006" s="2"/>
      <c r="B1006" s="2"/>
      <c r="C1006" s="2"/>
    </row>
    <row r="1007" customFormat="false" ht="15.75" hidden="false" customHeight="false" outlineLevel="0" collapsed="false">
      <c r="A1007" s="2"/>
      <c r="B1007" s="2"/>
      <c r="C1007" s="2"/>
    </row>
    <row r="1008" customFormat="false" ht="15.75" hidden="false" customHeight="false" outlineLevel="0" collapsed="false">
      <c r="A1008" s="2"/>
      <c r="B1008" s="2"/>
      <c r="C1008" s="2"/>
    </row>
    <row r="1009" customFormat="false" ht="15.75" hidden="false" customHeight="false" outlineLevel="0" collapsed="false">
      <c r="A1009" s="2"/>
      <c r="B1009" s="2"/>
      <c r="C1009" s="2"/>
    </row>
    <row r="1010" customFormat="false" ht="15.75" hidden="false" customHeight="false" outlineLevel="0" collapsed="false">
      <c r="A1010" s="2"/>
      <c r="B1010" s="2"/>
      <c r="C1010" s="2"/>
    </row>
    <row r="1011" customFormat="false" ht="15.75" hidden="false" customHeight="false" outlineLevel="0" collapsed="false">
      <c r="A1011" s="2"/>
      <c r="B1011" s="2"/>
      <c r="C1011" s="2"/>
    </row>
    <row r="1012" customFormat="false" ht="15.75" hidden="false" customHeight="false" outlineLevel="0" collapsed="false">
      <c r="A1012" s="2"/>
      <c r="B1012" s="2"/>
      <c r="C1012" s="2"/>
    </row>
    <row r="1013" customFormat="false" ht="15.75" hidden="false" customHeight="false" outlineLevel="0" collapsed="false">
      <c r="A1013" s="2"/>
      <c r="B1013" s="2"/>
      <c r="C1013" s="2"/>
    </row>
    <row r="1014" customFormat="false" ht="15.75" hidden="false" customHeight="false" outlineLevel="0" collapsed="false">
      <c r="A1014" s="2"/>
      <c r="B1014" s="2"/>
      <c r="C1014" s="2"/>
    </row>
    <row r="1015" customFormat="false" ht="15.75" hidden="false" customHeight="false" outlineLevel="0" collapsed="false">
      <c r="A1015" s="2"/>
      <c r="B1015" s="2"/>
      <c r="C1015" s="2"/>
    </row>
    <row r="1016" customFormat="false" ht="15.75" hidden="false" customHeight="false" outlineLevel="0" collapsed="false">
      <c r="A1016" s="2"/>
      <c r="B1016" s="2"/>
      <c r="C1016" s="2"/>
    </row>
    <row r="1017" customFormat="false" ht="15.75" hidden="false" customHeight="false" outlineLevel="0" collapsed="false">
      <c r="A1017" s="2"/>
      <c r="B1017" s="2"/>
      <c r="C1017" s="2"/>
    </row>
    <row r="1018" customFormat="false" ht="15.75" hidden="false" customHeight="false" outlineLevel="0" collapsed="false">
      <c r="A1018" s="2"/>
      <c r="B1018" s="2"/>
      <c r="C1018" s="2"/>
    </row>
    <row r="1019" customFormat="false" ht="15.75" hidden="false" customHeight="false" outlineLevel="0" collapsed="false">
      <c r="A1019" s="2"/>
      <c r="B1019" s="2"/>
      <c r="C1019" s="2"/>
    </row>
    <row r="1020" customFormat="false" ht="15.75" hidden="false" customHeight="false" outlineLevel="0" collapsed="false">
      <c r="A1020" s="2"/>
      <c r="B1020" s="2"/>
      <c r="C1020" s="2"/>
    </row>
    <row r="1021" customFormat="false" ht="15.75" hidden="false" customHeight="false" outlineLevel="0" collapsed="false">
      <c r="A1021" s="2"/>
      <c r="B1021" s="2"/>
      <c r="C1021" s="2"/>
    </row>
    <row r="1022" customFormat="false" ht="15.75" hidden="false" customHeight="false" outlineLevel="0" collapsed="false">
      <c r="A1022" s="2"/>
      <c r="B1022" s="2"/>
      <c r="C1022" s="2"/>
    </row>
    <row r="1023" customFormat="false" ht="15.75" hidden="false" customHeight="false" outlineLevel="0" collapsed="false">
      <c r="A1023" s="2"/>
      <c r="B1023" s="2"/>
      <c r="C1023" s="2"/>
    </row>
    <row r="1024" customFormat="false" ht="15.75" hidden="false" customHeight="false" outlineLevel="0" collapsed="false">
      <c r="A1024" s="2"/>
      <c r="B1024" s="2"/>
      <c r="C1024" s="2"/>
    </row>
    <row r="1025" customFormat="false" ht="15.75" hidden="false" customHeight="false" outlineLevel="0" collapsed="false">
      <c r="A1025" s="2"/>
      <c r="B1025" s="2"/>
      <c r="C1025" s="2"/>
    </row>
    <row r="1026" customFormat="false" ht="15.75" hidden="false" customHeight="false" outlineLevel="0" collapsed="false">
      <c r="A1026" s="2"/>
      <c r="B1026" s="2"/>
      <c r="C1026" s="2"/>
    </row>
    <row r="1027" customFormat="false" ht="15.75" hidden="false" customHeight="false" outlineLevel="0" collapsed="false">
      <c r="A1027" s="2"/>
      <c r="B1027" s="2"/>
      <c r="C1027" s="2"/>
    </row>
    <row r="1028" customFormat="false" ht="15.75" hidden="false" customHeight="false" outlineLevel="0" collapsed="false">
      <c r="A1028" s="2"/>
      <c r="B1028" s="2"/>
      <c r="C1028" s="2"/>
    </row>
    <row r="1029" customFormat="false" ht="15.75" hidden="false" customHeight="false" outlineLevel="0" collapsed="false">
      <c r="A1029" s="2"/>
      <c r="B1029" s="2"/>
      <c r="C1029" s="2"/>
    </row>
    <row r="1030" customFormat="false" ht="15.75" hidden="false" customHeight="false" outlineLevel="0" collapsed="false">
      <c r="A1030" s="2"/>
      <c r="B1030" s="2"/>
      <c r="C1030" s="2"/>
    </row>
    <row r="1031" customFormat="false" ht="15.75" hidden="false" customHeight="false" outlineLevel="0" collapsed="false">
      <c r="A1031" s="2"/>
      <c r="B1031" s="2"/>
      <c r="C1031" s="2"/>
    </row>
    <row r="1032" customFormat="false" ht="15.75" hidden="false" customHeight="false" outlineLevel="0" collapsed="false">
      <c r="A1032" s="2"/>
      <c r="B1032" s="2"/>
      <c r="C1032" s="2"/>
    </row>
    <row r="1033" customFormat="false" ht="15.75" hidden="false" customHeight="false" outlineLevel="0" collapsed="false">
      <c r="A1033" s="2"/>
      <c r="B1033" s="2"/>
      <c r="C1033" s="2"/>
    </row>
    <row r="1034" customFormat="false" ht="15.75" hidden="false" customHeight="false" outlineLevel="0" collapsed="false">
      <c r="A1034" s="2"/>
      <c r="B1034" s="2"/>
      <c r="C1034" s="2"/>
    </row>
    <row r="1035" customFormat="false" ht="15.75" hidden="false" customHeight="false" outlineLevel="0" collapsed="false">
      <c r="A1035" s="2"/>
      <c r="B1035" s="2"/>
      <c r="C1035" s="2"/>
    </row>
    <row r="1036" customFormat="false" ht="15.75" hidden="false" customHeight="false" outlineLevel="0" collapsed="false">
      <c r="A1036" s="2"/>
      <c r="B1036" s="2"/>
      <c r="C1036" s="2"/>
    </row>
    <row r="1037" customFormat="false" ht="15.75" hidden="false" customHeight="false" outlineLevel="0" collapsed="false">
      <c r="A1037" s="2"/>
      <c r="B1037" s="2"/>
      <c r="C1037" s="2"/>
    </row>
    <row r="1038" customFormat="false" ht="15.75" hidden="false" customHeight="false" outlineLevel="0" collapsed="false">
      <c r="A1038" s="2"/>
      <c r="B1038" s="2"/>
      <c r="C1038" s="2"/>
    </row>
    <row r="1039" customFormat="false" ht="15.75" hidden="false" customHeight="false" outlineLevel="0" collapsed="false">
      <c r="A1039" s="2"/>
      <c r="B1039" s="2"/>
      <c r="C1039" s="2"/>
    </row>
    <row r="1040" customFormat="false" ht="15.75" hidden="false" customHeight="false" outlineLevel="0" collapsed="false">
      <c r="A1040" s="2"/>
      <c r="B1040" s="2"/>
      <c r="C1040" s="2"/>
    </row>
    <row r="1041" customFormat="false" ht="15.75" hidden="false" customHeight="false" outlineLevel="0" collapsed="false">
      <c r="A1041" s="2"/>
      <c r="B1041" s="2"/>
      <c r="C1041" s="2"/>
    </row>
    <row r="1042" customFormat="false" ht="15.75" hidden="false" customHeight="false" outlineLevel="0" collapsed="false">
      <c r="A1042" s="2"/>
      <c r="B1042" s="2"/>
      <c r="C1042" s="2"/>
    </row>
    <row r="1043" customFormat="false" ht="15.75" hidden="false" customHeight="false" outlineLevel="0" collapsed="false">
      <c r="A1043" s="2"/>
      <c r="B1043" s="2"/>
      <c r="C1043" s="2"/>
    </row>
    <row r="1044" customFormat="false" ht="15.75" hidden="false" customHeight="false" outlineLevel="0" collapsed="false">
      <c r="A1044" s="2"/>
      <c r="B1044" s="2"/>
      <c r="C1044" s="2"/>
    </row>
    <row r="1045" customFormat="false" ht="15.75" hidden="false" customHeight="false" outlineLevel="0" collapsed="false">
      <c r="A1045" s="2"/>
      <c r="B1045" s="2"/>
      <c r="C1045" s="2"/>
    </row>
    <row r="1046" customFormat="false" ht="15.75" hidden="false" customHeight="false" outlineLevel="0" collapsed="false">
      <c r="A1046" s="2"/>
      <c r="B1046" s="2"/>
      <c r="C1046" s="2"/>
    </row>
    <row r="1047" customFormat="false" ht="15.75" hidden="false" customHeight="false" outlineLevel="0" collapsed="false">
      <c r="A1047" s="2"/>
      <c r="B1047" s="2"/>
      <c r="C1047" s="2"/>
    </row>
    <row r="1048" customFormat="false" ht="15.75" hidden="false" customHeight="false" outlineLevel="0" collapsed="false">
      <c r="A1048" s="2"/>
      <c r="B1048" s="2"/>
      <c r="C1048" s="2"/>
    </row>
    <row r="1049" customFormat="false" ht="15.75" hidden="false" customHeight="false" outlineLevel="0" collapsed="false">
      <c r="A1049" s="2"/>
      <c r="B1049" s="2"/>
      <c r="C1049" s="2"/>
    </row>
    <row r="1050" customFormat="false" ht="15.75" hidden="false" customHeight="false" outlineLevel="0" collapsed="false">
      <c r="A1050" s="2"/>
      <c r="B1050" s="2"/>
      <c r="C1050" s="2"/>
    </row>
    <row r="1051" customFormat="false" ht="15.75" hidden="false" customHeight="false" outlineLevel="0" collapsed="false">
      <c r="A1051" s="2"/>
      <c r="B1051" s="2"/>
      <c r="C1051" s="2"/>
    </row>
    <row r="1052" customFormat="false" ht="15.75" hidden="false" customHeight="false" outlineLevel="0" collapsed="false">
      <c r="A1052" s="2"/>
      <c r="B1052" s="2"/>
      <c r="C1052" s="2"/>
    </row>
    <row r="1053" customFormat="false" ht="15.75" hidden="false" customHeight="false" outlineLevel="0" collapsed="false">
      <c r="A1053" s="2"/>
      <c r="B1053" s="2"/>
      <c r="C1053" s="2"/>
    </row>
    <row r="1054" customFormat="false" ht="15.75" hidden="false" customHeight="false" outlineLevel="0" collapsed="false">
      <c r="A1054" s="2"/>
      <c r="B1054" s="2"/>
      <c r="C1054" s="2"/>
    </row>
    <row r="1055" customFormat="false" ht="15.75" hidden="false" customHeight="false" outlineLevel="0" collapsed="false">
      <c r="A1055" s="2"/>
      <c r="B1055" s="2"/>
      <c r="C1055" s="2"/>
    </row>
    <row r="1056" customFormat="false" ht="15.75" hidden="false" customHeight="false" outlineLevel="0" collapsed="false">
      <c r="A1056" s="2"/>
      <c r="B1056" s="2"/>
      <c r="C1056" s="2"/>
    </row>
    <row r="1057" customFormat="false" ht="15.75" hidden="false" customHeight="false" outlineLevel="0" collapsed="false">
      <c r="A1057" s="2"/>
      <c r="B1057" s="2"/>
      <c r="C1057" s="2"/>
    </row>
    <row r="1058" customFormat="false" ht="15.75" hidden="false" customHeight="false" outlineLevel="0" collapsed="false">
      <c r="A1058" s="2"/>
      <c r="B1058" s="2"/>
      <c r="C1058" s="2"/>
    </row>
    <row r="1059" customFormat="false" ht="15.75" hidden="false" customHeight="false" outlineLevel="0" collapsed="false">
      <c r="A1059" s="2"/>
      <c r="B1059" s="2"/>
      <c r="C1059" s="2"/>
    </row>
    <row r="1060" customFormat="false" ht="15.75" hidden="false" customHeight="false" outlineLevel="0" collapsed="false">
      <c r="A1060" s="2"/>
      <c r="B1060" s="2"/>
      <c r="C1060" s="2"/>
    </row>
    <row r="1061" customFormat="false" ht="15.75" hidden="false" customHeight="false" outlineLevel="0" collapsed="false">
      <c r="A1061" s="2"/>
      <c r="B1061" s="2"/>
      <c r="C1061" s="2"/>
    </row>
    <row r="1062" customFormat="false" ht="15.75" hidden="false" customHeight="false" outlineLevel="0" collapsed="false">
      <c r="A1062" s="2"/>
      <c r="B1062" s="2"/>
      <c r="C1062" s="2"/>
    </row>
    <row r="1063" customFormat="false" ht="15.75" hidden="false" customHeight="false" outlineLevel="0" collapsed="false">
      <c r="A1063" s="2"/>
      <c r="B1063" s="2"/>
      <c r="C1063" s="2"/>
    </row>
    <row r="1064" customFormat="false" ht="15.75" hidden="false" customHeight="false" outlineLevel="0" collapsed="false">
      <c r="A1064" s="2"/>
      <c r="B1064" s="2"/>
      <c r="C1064" s="2"/>
    </row>
    <row r="1065" customFormat="false" ht="15.75" hidden="false" customHeight="false" outlineLevel="0" collapsed="false">
      <c r="A1065" s="2"/>
      <c r="B1065" s="2"/>
      <c r="C1065" s="2"/>
    </row>
    <row r="1066" customFormat="false" ht="15.75" hidden="false" customHeight="false" outlineLevel="0" collapsed="false">
      <c r="A1066" s="2"/>
      <c r="B1066" s="2"/>
      <c r="C1066" s="2"/>
    </row>
    <row r="1067" customFormat="false" ht="15.75" hidden="false" customHeight="false" outlineLevel="0" collapsed="false">
      <c r="A1067" s="2"/>
      <c r="B1067" s="2"/>
      <c r="C1067" s="2"/>
    </row>
    <row r="1068" customFormat="false" ht="15.75" hidden="false" customHeight="false" outlineLevel="0" collapsed="false">
      <c r="A1068" s="2"/>
      <c r="B1068" s="2"/>
      <c r="C1068" s="2"/>
    </row>
    <row r="1069" customFormat="false" ht="15.75" hidden="false" customHeight="false" outlineLevel="0" collapsed="false">
      <c r="A1069" s="2"/>
      <c r="B1069" s="2"/>
      <c r="C1069" s="2"/>
    </row>
    <row r="1070" customFormat="false" ht="15.75" hidden="false" customHeight="false" outlineLevel="0" collapsed="false">
      <c r="A1070" s="2"/>
      <c r="B1070" s="2"/>
      <c r="C1070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7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84.13"/>
  </cols>
  <sheetData>
    <row r="1" customFormat="false" ht="15.75" hidden="false" customHeight="false" outlineLevel="0" collapsed="false">
      <c r="A1" s="2" t="s">
        <v>15</v>
      </c>
      <c r="B1" s="2" t="s">
        <v>2020</v>
      </c>
    </row>
    <row r="2" customFormat="false" ht="15.75" hidden="false" customHeight="false" outlineLevel="0" collapsed="false">
      <c r="A2" s="36" t="s">
        <v>350</v>
      </c>
      <c r="B2" s="2" t="s">
        <v>1778</v>
      </c>
    </row>
    <row r="3" customFormat="false" ht="15.75" hidden="false" customHeight="false" outlineLevel="0" collapsed="false">
      <c r="A3" s="2" t="s">
        <v>1778</v>
      </c>
      <c r="B3" s="2" t="s">
        <v>1778</v>
      </c>
    </row>
    <row r="4" customFormat="false" ht="15.75" hidden="false" customHeight="false" outlineLevel="0" collapsed="false">
      <c r="A4" s="2" t="s">
        <v>996</v>
      </c>
      <c r="B4" s="2" t="s">
        <v>996</v>
      </c>
    </row>
    <row r="5" customFormat="false" ht="15.75" hidden="false" customHeight="false" outlineLevel="0" collapsed="false">
      <c r="A5" s="2" t="s">
        <v>996</v>
      </c>
      <c r="B5" s="2" t="s">
        <v>996</v>
      </c>
    </row>
    <row r="6" customFormat="false" ht="15.75" hidden="false" customHeight="false" outlineLevel="0" collapsed="false">
      <c r="A6" s="2" t="s">
        <v>1687</v>
      </c>
      <c r="B6" s="49" t="s">
        <v>996</v>
      </c>
    </row>
    <row r="7" customFormat="false" ht="15.75" hidden="false" customHeight="false" outlineLevel="0" collapsed="false">
      <c r="A7" s="2" t="s">
        <v>1687</v>
      </c>
      <c r="B7" s="2" t="s">
        <v>1778</v>
      </c>
    </row>
    <row r="8" customFormat="false" ht="15.75" hidden="false" customHeight="false" outlineLevel="0" collapsed="false">
      <c r="A8" s="2" t="s">
        <v>1170</v>
      </c>
      <c r="B8" s="2" t="s">
        <v>2021</v>
      </c>
    </row>
    <row r="9" customFormat="false" ht="15.75" hidden="false" customHeight="false" outlineLevel="0" collapsed="false">
      <c r="A9" s="2" t="s">
        <v>1254</v>
      </c>
      <c r="B9" s="2" t="s">
        <v>1254</v>
      </c>
    </row>
    <row r="10" customFormat="false" ht="15.75" hidden="false" customHeight="false" outlineLevel="0" collapsed="false">
      <c r="A10" s="2" t="s">
        <v>1921</v>
      </c>
      <c r="B10" s="2" t="s">
        <v>1254</v>
      </c>
    </row>
    <row r="11" customFormat="false" ht="15.75" hidden="false" customHeight="false" outlineLevel="0" collapsed="false">
      <c r="A11" s="2" t="s">
        <v>1007</v>
      </c>
      <c r="B11" s="2" t="s">
        <v>1007</v>
      </c>
    </row>
    <row r="12" customFormat="false" ht="15.75" hidden="false" customHeight="false" outlineLevel="0" collapsed="false">
      <c r="A12" s="2" t="s">
        <v>1007</v>
      </c>
      <c r="B12" s="2" t="s">
        <v>1007</v>
      </c>
    </row>
    <row r="13" customFormat="false" ht="15.75" hidden="false" customHeight="false" outlineLevel="0" collapsed="false">
      <c r="A13" s="2" t="s">
        <v>982</v>
      </c>
      <c r="B13" s="2" t="s">
        <v>1778</v>
      </c>
    </row>
    <row r="14" customFormat="false" ht="15.75" hidden="false" customHeight="false" outlineLevel="0" collapsed="false">
      <c r="A14" s="20" t="s">
        <v>1973</v>
      </c>
      <c r="B14" s="2" t="s">
        <v>996</v>
      </c>
    </row>
    <row r="15" customFormat="false" ht="15.75" hidden="false" customHeight="false" outlineLevel="0" collapsed="false">
      <c r="A15" s="20" t="s">
        <v>1973</v>
      </c>
      <c r="B15" s="2" t="s">
        <v>1007</v>
      </c>
    </row>
    <row r="16" customFormat="false" ht="15.75" hidden="false" customHeight="false" outlineLevel="0" collapsed="false">
      <c r="A16" s="2" t="s">
        <v>1359</v>
      </c>
      <c r="B16" s="2" t="s">
        <v>2021</v>
      </c>
    </row>
    <row r="17" customFormat="false" ht="15.75" hidden="false" customHeight="false" outlineLevel="0" collapsed="false">
      <c r="A17" s="2" t="s">
        <v>1000</v>
      </c>
      <c r="B17" s="2" t="s">
        <v>1254</v>
      </c>
    </row>
    <row r="18" customFormat="false" ht="15.75" hidden="false" customHeight="false" outlineLevel="0" collapsed="false">
      <c r="A18" s="2" t="s">
        <v>1774</v>
      </c>
      <c r="B18" s="2" t="s">
        <v>1007</v>
      </c>
    </row>
    <row r="19" customFormat="false" ht="15.75" hidden="false" customHeight="false" outlineLevel="0" collapsed="false">
      <c r="A19" s="2" t="s">
        <v>1774</v>
      </c>
      <c r="B19" s="49" t="s">
        <v>996</v>
      </c>
    </row>
    <row r="20" customFormat="false" ht="15.75" hidden="false" customHeight="false" outlineLevel="0" collapsed="false">
      <c r="A20" s="20" t="s">
        <v>1161</v>
      </c>
      <c r="B20" s="2" t="s">
        <v>1778</v>
      </c>
    </row>
    <row r="21" customFormat="false" ht="15.75" hidden="false" customHeight="false" outlineLevel="0" collapsed="false">
      <c r="A21" s="20" t="s">
        <v>1161</v>
      </c>
      <c r="B21" s="2" t="s">
        <v>996</v>
      </c>
    </row>
    <row r="22" customFormat="false" ht="15.75" hidden="false" customHeight="false" outlineLevel="0" collapsed="false">
      <c r="A22" s="20" t="s">
        <v>1161</v>
      </c>
      <c r="B22" s="2" t="s">
        <v>1254</v>
      </c>
    </row>
    <row r="23" customFormat="false" ht="15.75" hidden="false" customHeight="false" outlineLevel="0" collapsed="false">
      <c r="A23" s="20" t="s">
        <v>1211</v>
      </c>
      <c r="B23" s="2" t="s">
        <v>996</v>
      </c>
    </row>
    <row r="24" customFormat="false" ht="15.75" hidden="false" customHeight="false" outlineLevel="0" collapsed="false">
      <c r="A24" s="20" t="s">
        <v>1173</v>
      </c>
      <c r="B24" s="2" t="s">
        <v>2021</v>
      </c>
    </row>
    <row r="25" customFormat="false" ht="15.75" hidden="false" customHeight="false" outlineLevel="0" collapsed="false">
      <c r="A25" s="20" t="s">
        <v>1289</v>
      </c>
      <c r="B25" s="2" t="s">
        <v>1778</v>
      </c>
    </row>
    <row r="26" customFormat="false" ht="15.75" hidden="false" customHeight="false" outlineLevel="0" collapsed="false">
      <c r="A26" s="2"/>
      <c r="B26" s="2"/>
    </row>
    <row r="27" customFormat="false" ht="15.75" hidden="false" customHeight="false" outlineLevel="0" collapsed="false">
      <c r="A27" s="2"/>
      <c r="B27" s="2"/>
    </row>
    <row r="28" customFormat="false" ht="15.75" hidden="false" customHeight="false" outlineLevel="0" collapsed="false">
      <c r="A28" s="2"/>
      <c r="B28" s="2"/>
    </row>
    <row r="29" customFormat="false" ht="15.75" hidden="false" customHeight="false" outlineLevel="0" collapsed="false">
      <c r="A29" s="2"/>
      <c r="B29" s="2"/>
    </row>
    <row r="30" customFormat="false" ht="15.75" hidden="false" customHeight="false" outlineLevel="0" collapsed="false">
      <c r="A30" s="2"/>
      <c r="B30" s="2"/>
    </row>
    <row r="31" customFormat="false" ht="15.75" hidden="false" customHeight="false" outlineLevel="0" collapsed="false">
      <c r="A31" s="2"/>
      <c r="B31" s="2"/>
    </row>
    <row r="32" customFormat="false" ht="15.75" hidden="false" customHeight="false" outlineLevel="0" collapsed="false">
      <c r="A32" s="2"/>
      <c r="B32" s="2"/>
    </row>
    <row r="33" customFormat="false" ht="15.75" hidden="false" customHeight="false" outlineLevel="0" collapsed="false">
      <c r="A33" s="2"/>
      <c r="B33" s="2"/>
    </row>
    <row r="34" customFormat="false" ht="15.75" hidden="false" customHeight="false" outlineLevel="0" collapsed="false">
      <c r="A34" s="2"/>
      <c r="B34" s="2"/>
    </row>
    <row r="35" customFormat="false" ht="15.75" hidden="false" customHeight="false" outlineLevel="0" collapsed="false">
      <c r="A35" s="2"/>
      <c r="B35" s="2"/>
    </row>
    <row r="36" customFormat="false" ht="15.75" hidden="false" customHeight="false" outlineLevel="0" collapsed="false">
      <c r="A36" s="2"/>
      <c r="B36" s="2"/>
    </row>
    <row r="37" customFormat="false" ht="15.75" hidden="false" customHeight="false" outlineLevel="0" collapsed="false">
      <c r="A37" s="2"/>
      <c r="B37" s="2"/>
    </row>
    <row r="38" customFormat="false" ht="15.75" hidden="false" customHeight="false" outlineLevel="0" collapsed="false">
      <c r="A38" s="2"/>
      <c r="B38" s="2"/>
    </row>
    <row r="39" customFormat="false" ht="15.75" hidden="false" customHeight="false" outlineLevel="0" collapsed="false">
      <c r="A39" s="2"/>
      <c r="B39" s="2"/>
    </row>
    <row r="40" customFormat="false" ht="15.75" hidden="false" customHeight="false" outlineLevel="0" collapsed="false">
      <c r="A40" s="2"/>
      <c r="B40" s="2"/>
    </row>
    <row r="41" customFormat="false" ht="15.75" hidden="false" customHeight="false" outlineLevel="0" collapsed="false">
      <c r="A41" s="2"/>
      <c r="B41" s="2"/>
    </row>
    <row r="42" customFormat="false" ht="15.75" hidden="false" customHeight="false" outlineLevel="0" collapsed="false">
      <c r="A42" s="2"/>
      <c r="B42" s="2"/>
    </row>
    <row r="43" customFormat="false" ht="15.75" hidden="false" customHeight="false" outlineLevel="0" collapsed="false">
      <c r="A43" s="2"/>
      <c r="B43" s="2"/>
    </row>
    <row r="44" customFormat="false" ht="15.75" hidden="false" customHeight="false" outlineLevel="0" collapsed="false">
      <c r="A44" s="2"/>
      <c r="B44" s="2"/>
    </row>
    <row r="45" customFormat="false" ht="15.75" hidden="false" customHeight="false" outlineLevel="0" collapsed="false">
      <c r="A45" s="2"/>
      <c r="B45" s="2"/>
    </row>
    <row r="46" customFormat="false" ht="15.75" hidden="false" customHeight="false" outlineLevel="0" collapsed="false">
      <c r="A46" s="2"/>
      <c r="B46" s="2"/>
    </row>
    <row r="47" customFormat="false" ht="15.75" hidden="false" customHeight="false" outlineLevel="0" collapsed="false">
      <c r="A47" s="2"/>
      <c r="B47" s="2"/>
    </row>
    <row r="48" customFormat="false" ht="15.75" hidden="false" customHeight="false" outlineLevel="0" collapsed="false">
      <c r="A48" s="2"/>
      <c r="B48" s="2"/>
    </row>
    <row r="49" customFormat="false" ht="15.75" hidden="false" customHeight="false" outlineLevel="0" collapsed="false">
      <c r="A49" s="2"/>
      <c r="B49" s="2"/>
    </row>
    <row r="50" customFormat="false" ht="15.75" hidden="false" customHeight="false" outlineLevel="0" collapsed="false">
      <c r="A50" s="2"/>
      <c r="B50" s="2"/>
    </row>
    <row r="51" customFormat="false" ht="15.75" hidden="false" customHeight="false" outlineLevel="0" collapsed="false">
      <c r="A51" s="2"/>
      <c r="B51" s="2"/>
    </row>
    <row r="52" customFormat="false" ht="15.75" hidden="false" customHeight="false" outlineLevel="0" collapsed="false">
      <c r="A52" s="2"/>
      <c r="B52" s="2"/>
    </row>
    <row r="53" customFormat="false" ht="15.75" hidden="false" customHeight="false" outlineLevel="0" collapsed="false">
      <c r="A53" s="2"/>
      <c r="B53" s="2"/>
    </row>
    <row r="54" customFormat="false" ht="15.75" hidden="false" customHeight="false" outlineLevel="0" collapsed="false">
      <c r="A54" s="2"/>
      <c r="B54" s="2"/>
    </row>
    <row r="55" customFormat="false" ht="15.75" hidden="false" customHeight="false" outlineLevel="0" collapsed="false">
      <c r="A55" s="2"/>
      <c r="B55" s="2"/>
    </row>
    <row r="56" customFormat="false" ht="15.75" hidden="false" customHeight="false" outlineLevel="0" collapsed="false">
      <c r="A56" s="2"/>
      <c r="B56" s="2"/>
    </row>
    <row r="57" customFormat="false" ht="15.75" hidden="false" customHeight="false" outlineLevel="0" collapsed="false">
      <c r="A57" s="2"/>
      <c r="B57" s="2"/>
    </row>
    <row r="58" customFormat="false" ht="15.75" hidden="false" customHeight="false" outlineLevel="0" collapsed="false">
      <c r="A58" s="2"/>
      <c r="B58" s="2"/>
    </row>
    <row r="59" customFormat="false" ht="15.75" hidden="false" customHeight="false" outlineLevel="0" collapsed="false">
      <c r="A59" s="2"/>
      <c r="B59" s="2"/>
    </row>
    <row r="60" customFormat="false" ht="15.75" hidden="false" customHeight="false" outlineLevel="0" collapsed="false">
      <c r="A60" s="2"/>
      <c r="B60" s="2"/>
    </row>
    <row r="61" customFormat="false" ht="15.75" hidden="false" customHeight="false" outlineLevel="0" collapsed="false">
      <c r="A61" s="2"/>
      <c r="B61" s="2"/>
    </row>
    <row r="62" customFormat="false" ht="15.75" hidden="false" customHeight="false" outlineLevel="0" collapsed="false">
      <c r="A62" s="2"/>
      <c r="B62" s="2"/>
    </row>
    <row r="63" customFormat="false" ht="15.75" hidden="false" customHeight="false" outlineLevel="0" collapsed="false">
      <c r="A63" s="2"/>
      <c r="B63" s="2"/>
    </row>
    <row r="64" customFormat="false" ht="15.75" hidden="false" customHeight="false" outlineLevel="0" collapsed="false">
      <c r="A64" s="2"/>
      <c r="B64" s="2"/>
    </row>
    <row r="65" customFormat="false" ht="15.75" hidden="false" customHeight="false" outlineLevel="0" collapsed="false">
      <c r="A65" s="2"/>
      <c r="B65" s="2"/>
    </row>
    <row r="66" customFormat="false" ht="15.75" hidden="false" customHeight="false" outlineLevel="0" collapsed="false">
      <c r="A66" s="2"/>
      <c r="B66" s="2"/>
    </row>
    <row r="67" customFormat="false" ht="15.75" hidden="false" customHeight="false" outlineLevel="0" collapsed="false">
      <c r="A67" s="2"/>
      <c r="B67" s="2"/>
    </row>
    <row r="68" customFormat="false" ht="15.75" hidden="false" customHeight="false" outlineLevel="0" collapsed="false">
      <c r="A68" s="2"/>
      <c r="B68" s="2"/>
    </row>
    <row r="69" customFormat="false" ht="15.75" hidden="false" customHeight="false" outlineLevel="0" collapsed="false">
      <c r="A69" s="2"/>
      <c r="B69" s="2"/>
    </row>
    <row r="70" customFormat="false" ht="15.75" hidden="false" customHeight="false" outlineLevel="0" collapsed="false">
      <c r="A70" s="2"/>
      <c r="B70" s="2"/>
    </row>
    <row r="71" customFormat="false" ht="15.75" hidden="false" customHeight="false" outlineLevel="0" collapsed="false">
      <c r="A71" s="2"/>
      <c r="B71" s="2"/>
    </row>
    <row r="72" customFormat="false" ht="15.75" hidden="false" customHeight="false" outlineLevel="0" collapsed="false">
      <c r="A72" s="2"/>
      <c r="B72" s="2"/>
    </row>
    <row r="73" customFormat="false" ht="15.75" hidden="false" customHeight="false" outlineLevel="0" collapsed="false">
      <c r="A73" s="2"/>
      <c r="B73" s="2"/>
    </row>
    <row r="74" customFormat="false" ht="15.75" hidden="false" customHeight="false" outlineLevel="0" collapsed="false">
      <c r="A74" s="2"/>
      <c r="B74" s="2"/>
    </row>
    <row r="75" customFormat="false" ht="15.75" hidden="false" customHeight="false" outlineLevel="0" collapsed="false">
      <c r="A75" s="2"/>
      <c r="B75" s="2"/>
    </row>
    <row r="76" customFormat="false" ht="15.75" hidden="false" customHeight="false" outlineLevel="0" collapsed="false">
      <c r="A76" s="2"/>
      <c r="B76" s="2"/>
    </row>
    <row r="77" customFormat="false" ht="15.75" hidden="false" customHeight="false" outlineLevel="0" collapsed="false">
      <c r="A77" s="2"/>
      <c r="B77" s="2"/>
    </row>
    <row r="78" customFormat="false" ht="15.75" hidden="false" customHeight="false" outlineLevel="0" collapsed="false">
      <c r="A78" s="2"/>
      <c r="B78" s="2"/>
    </row>
    <row r="79" customFormat="false" ht="15.75" hidden="false" customHeight="false" outlineLevel="0" collapsed="false">
      <c r="A79" s="2"/>
      <c r="B79" s="2"/>
    </row>
    <row r="80" customFormat="false" ht="15.75" hidden="false" customHeight="false" outlineLevel="0" collapsed="false">
      <c r="A80" s="2"/>
      <c r="B80" s="2"/>
    </row>
    <row r="81" customFormat="false" ht="15.75" hidden="false" customHeight="false" outlineLevel="0" collapsed="false">
      <c r="A81" s="2"/>
      <c r="B81" s="2"/>
    </row>
    <row r="82" customFormat="false" ht="15.75" hidden="false" customHeight="false" outlineLevel="0" collapsed="false">
      <c r="A82" s="2"/>
      <c r="B82" s="2"/>
    </row>
    <row r="83" customFormat="false" ht="15.75" hidden="false" customHeight="false" outlineLevel="0" collapsed="false">
      <c r="A83" s="2"/>
      <c r="B83" s="2"/>
    </row>
    <row r="84" customFormat="false" ht="15.75" hidden="false" customHeight="false" outlineLevel="0" collapsed="false">
      <c r="A84" s="2"/>
      <c r="B84" s="2"/>
    </row>
    <row r="85" customFormat="false" ht="15.75" hidden="false" customHeight="false" outlineLevel="0" collapsed="false">
      <c r="A85" s="2"/>
      <c r="B85" s="2"/>
    </row>
    <row r="86" customFormat="false" ht="15.75" hidden="false" customHeight="false" outlineLevel="0" collapsed="false">
      <c r="A86" s="2"/>
      <c r="B86" s="2"/>
    </row>
    <row r="87" customFormat="false" ht="15.75" hidden="false" customHeight="false" outlineLevel="0" collapsed="false">
      <c r="A87" s="2"/>
      <c r="B87" s="2"/>
    </row>
    <row r="88" customFormat="false" ht="15.75" hidden="false" customHeight="false" outlineLevel="0" collapsed="false">
      <c r="A88" s="2"/>
      <c r="B88" s="2"/>
    </row>
    <row r="89" customFormat="false" ht="15.75" hidden="false" customHeight="false" outlineLevel="0" collapsed="false">
      <c r="A89" s="2"/>
      <c r="B89" s="2"/>
    </row>
    <row r="90" customFormat="false" ht="15.75" hidden="false" customHeight="false" outlineLevel="0" collapsed="false">
      <c r="A90" s="2"/>
      <c r="B90" s="2"/>
    </row>
    <row r="91" customFormat="false" ht="15.75" hidden="false" customHeight="false" outlineLevel="0" collapsed="false">
      <c r="A91" s="2"/>
      <c r="B91" s="2"/>
    </row>
    <row r="92" customFormat="false" ht="15.75" hidden="false" customHeight="false" outlineLevel="0" collapsed="false">
      <c r="A92" s="2"/>
      <c r="B92" s="2"/>
    </row>
    <row r="93" customFormat="false" ht="15.75" hidden="false" customHeight="false" outlineLevel="0" collapsed="false">
      <c r="A93" s="2"/>
      <c r="B93" s="2"/>
    </row>
    <row r="94" customFormat="false" ht="15.75" hidden="false" customHeight="false" outlineLevel="0" collapsed="false">
      <c r="A94" s="2"/>
      <c r="B94" s="2"/>
    </row>
    <row r="95" customFormat="false" ht="15.75" hidden="false" customHeight="false" outlineLevel="0" collapsed="false">
      <c r="A95" s="2"/>
      <c r="B95" s="2"/>
    </row>
    <row r="96" customFormat="false" ht="15.75" hidden="false" customHeight="false" outlineLevel="0" collapsed="false">
      <c r="A96" s="2"/>
      <c r="B96" s="2"/>
    </row>
    <row r="97" customFormat="false" ht="15.75" hidden="false" customHeight="false" outlineLevel="0" collapsed="false">
      <c r="A97" s="2"/>
      <c r="B97" s="2"/>
    </row>
    <row r="98" customFormat="false" ht="15.75" hidden="false" customHeight="false" outlineLevel="0" collapsed="false">
      <c r="A98" s="2"/>
      <c r="B98" s="2"/>
    </row>
    <row r="99" customFormat="false" ht="15.75" hidden="false" customHeight="false" outlineLevel="0" collapsed="false">
      <c r="A99" s="2"/>
      <c r="B99" s="2"/>
    </row>
    <row r="100" customFormat="false" ht="15.75" hidden="false" customHeight="false" outlineLevel="0" collapsed="false">
      <c r="A100" s="2"/>
      <c r="B100" s="2"/>
    </row>
    <row r="101" customFormat="false" ht="15.75" hidden="false" customHeight="false" outlineLevel="0" collapsed="false">
      <c r="A101" s="2"/>
      <c r="B101" s="2"/>
    </row>
    <row r="102" customFormat="false" ht="15.75" hidden="false" customHeight="false" outlineLevel="0" collapsed="false">
      <c r="A102" s="2"/>
      <c r="B102" s="2"/>
    </row>
    <row r="103" customFormat="false" ht="15.75" hidden="false" customHeight="false" outlineLevel="0" collapsed="false">
      <c r="A103" s="2"/>
      <c r="B103" s="2"/>
    </row>
    <row r="104" customFormat="false" ht="15.75" hidden="false" customHeight="false" outlineLevel="0" collapsed="false">
      <c r="A104" s="2"/>
      <c r="B104" s="2"/>
    </row>
    <row r="105" customFormat="false" ht="15.75" hidden="false" customHeight="false" outlineLevel="0" collapsed="false">
      <c r="A105" s="2"/>
      <c r="B105" s="2"/>
    </row>
    <row r="106" customFormat="false" ht="15.75" hidden="false" customHeight="false" outlineLevel="0" collapsed="false">
      <c r="A106" s="2"/>
      <c r="B106" s="2"/>
    </row>
    <row r="107" customFormat="false" ht="15.75" hidden="false" customHeight="false" outlineLevel="0" collapsed="false">
      <c r="A107" s="2"/>
      <c r="B107" s="2"/>
    </row>
    <row r="108" customFormat="false" ht="15.75" hidden="false" customHeight="false" outlineLevel="0" collapsed="false">
      <c r="A108" s="2"/>
      <c r="B108" s="2"/>
    </row>
    <row r="109" customFormat="false" ht="15.75" hidden="false" customHeight="false" outlineLevel="0" collapsed="false">
      <c r="A109" s="2"/>
      <c r="B109" s="2"/>
    </row>
    <row r="110" customFormat="false" ht="15.75" hidden="false" customHeight="false" outlineLevel="0" collapsed="false">
      <c r="A110" s="2"/>
      <c r="B110" s="2"/>
    </row>
    <row r="111" customFormat="false" ht="15.75" hidden="false" customHeight="false" outlineLevel="0" collapsed="false">
      <c r="A111" s="2"/>
      <c r="B111" s="2"/>
    </row>
    <row r="112" customFormat="false" ht="15.75" hidden="false" customHeight="false" outlineLevel="0" collapsed="false">
      <c r="A112" s="2"/>
      <c r="B112" s="2"/>
    </row>
    <row r="113" customFormat="false" ht="15.75" hidden="false" customHeight="false" outlineLevel="0" collapsed="false">
      <c r="A113" s="2"/>
      <c r="B113" s="2"/>
    </row>
    <row r="114" customFormat="false" ht="15.75" hidden="false" customHeight="false" outlineLevel="0" collapsed="false">
      <c r="A114" s="2"/>
      <c r="B114" s="2"/>
    </row>
    <row r="115" customFormat="false" ht="15.75" hidden="false" customHeight="false" outlineLevel="0" collapsed="false">
      <c r="A115" s="2"/>
      <c r="B115" s="2"/>
    </row>
    <row r="116" customFormat="false" ht="15.75" hidden="false" customHeight="false" outlineLevel="0" collapsed="false">
      <c r="A116" s="2"/>
      <c r="B116" s="2"/>
    </row>
    <row r="117" customFormat="false" ht="15.75" hidden="false" customHeight="false" outlineLevel="0" collapsed="false">
      <c r="A117" s="2"/>
      <c r="B117" s="2"/>
    </row>
    <row r="118" customFormat="false" ht="15.75" hidden="false" customHeight="false" outlineLevel="0" collapsed="false">
      <c r="A118" s="2"/>
      <c r="B118" s="2"/>
    </row>
    <row r="119" customFormat="false" ht="15.75" hidden="false" customHeight="false" outlineLevel="0" collapsed="false">
      <c r="A119" s="2"/>
      <c r="B119" s="2"/>
    </row>
    <row r="120" customFormat="false" ht="15.75" hidden="false" customHeight="false" outlineLevel="0" collapsed="false">
      <c r="A120" s="2"/>
      <c r="B120" s="2"/>
    </row>
    <row r="121" customFormat="false" ht="15.75" hidden="false" customHeight="false" outlineLevel="0" collapsed="false">
      <c r="A121" s="2"/>
      <c r="B121" s="2"/>
    </row>
    <row r="122" customFormat="false" ht="15.75" hidden="false" customHeight="false" outlineLevel="0" collapsed="false">
      <c r="A122" s="2"/>
      <c r="B122" s="2"/>
    </row>
    <row r="123" customFormat="false" ht="15.75" hidden="false" customHeight="false" outlineLevel="0" collapsed="false">
      <c r="A123" s="2"/>
      <c r="B123" s="2"/>
    </row>
    <row r="124" customFormat="false" ht="15.75" hidden="false" customHeight="false" outlineLevel="0" collapsed="false">
      <c r="A124" s="2"/>
      <c r="B124" s="2"/>
    </row>
    <row r="125" customFormat="false" ht="15.75" hidden="false" customHeight="false" outlineLevel="0" collapsed="false">
      <c r="A125" s="2"/>
      <c r="B125" s="2"/>
    </row>
    <row r="126" customFormat="false" ht="15.75" hidden="false" customHeight="false" outlineLevel="0" collapsed="false">
      <c r="A126" s="2"/>
      <c r="B126" s="2"/>
    </row>
    <row r="127" customFormat="false" ht="15.75" hidden="false" customHeight="false" outlineLevel="0" collapsed="false">
      <c r="A127" s="2"/>
      <c r="B127" s="2"/>
    </row>
    <row r="128" customFormat="false" ht="15.75" hidden="false" customHeight="false" outlineLevel="0" collapsed="false">
      <c r="A128" s="2"/>
      <c r="B128" s="2"/>
    </row>
    <row r="129" customFormat="false" ht="15.75" hidden="false" customHeight="false" outlineLevel="0" collapsed="false">
      <c r="A129" s="2"/>
      <c r="B129" s="2"/>
    </row>
    <row r="130" customFormat="false" ht="15.75" hidden="false" customHeight="false" outlineLevel="0" collapsed="false">
      <c r="A130" s="2"/>
      <c r="B130" s="2"/>
    </row>
    <row r="131" customFormat="false" ht="15.75" hidden="false" customHeight="false" outlineLevel="0" collapsed="false">
      <c r="A131" s="2"/>
      <c r="B131" s="2"/>
    </row>
    <row r="132" customFormat="false" ht="15.75" hidden="false" customHeight="false" outlineLevel="0" collapsed="false">
      <c r="A132" s="2"/>
      <c r="B132" s="2"/>
    </row>
    <row r="133" customFormat="false" ht="15.75" hidden="false" customHeight="false" outlineLevel="0" collapsed="false">
      <c r="A133" s="2"/>
      <c r="B133" s="2"/>
    </row>
    <row r="134" customFormat="false" ht="15.75" hidden="false" customHeight="false" outlineLevel="0" collapsed="false">
      <c r="A134" s="2"/>
      <c r="B134" s="2"/>
    </row>
    <row r="135" customFormat="false" ht="15.75" hidden="false" customHeight="false" outlineLevel="0" collapsed="false">
      <c r="A135" s="2"/>
      <c r="B135" s="2"/>
    </row>
    <row r="136" customFormat="false" ht="15.75" hidden="false" customHeight="false" outlineLevel="0" collapsed="false">
      <c r="A136" s="2"/>
      <c r="B136" s="2"/>
    </row>
    <row r="137" customFormat="false" ht="15.75" hidden="false" customHeight="false" outlineLevel="0" collapsed="false">
      <c r="A137" s="2"/>
      <c r="B137" s="2"/>
    </row>
    <row r="138" customFormat="false" ht="15.75" hidden="false" customHeight="false" outlineLevel="0" collapsed="false">
      <c r="A138" s="2"/>
      <c r="B138" s="2"/>
    </row>
    <row r="139" customFormat="false" ht="15.75" hidden="false" customHeight="false" outlineLevel="0" collapsed="false">
      <c r="A139" s="2"/>
      <c r="B139" s="2"/>
    </row>
    <row r="140" customFormat="false" ht="15.75" hidden="false" customHeight="false" outlineLevel="0" collapsed="false">
      <c r="A140" s="2"/>
      <c r="B140" s="2"/>
    </row>
    <row r="141" customFormat="false" ht="15.75" hidden="false" customHeight="false" outlineLevel="0" collapsed="false">
      <c r="A141" s="2"/>
      <c r="B141" s="2"/>
    </row>
    <row r="142" customFormat="false" ht="15.75" hidden="false" customHeight="false" outlineLevel="0" collapsed="false">
      <c r="A142" s="2"/>
      <c r="B142" s="2"/>
    </row>
    <row r="143" customFormat="false" ht="15.75" hidden="false" customHeight="false" outlineLevel="0" collapsed="false">
      <c r="A143" s="2"/>
      <c r="B143" s="2"/>
    </row>
    <row r="144" customFormat="false" ht="15.75" hidden="false" customHeight="false" outlineLevel="0" collapsed="false">
      <c r="A144" s="2"/>
      <c r="B144" s="2"/>
    </row>
    <row r="145" customFormat="false" ht="15.75" hidden="false" customHeight="false" outlineLevel="0" collapsed="false">
      <c r="A145" s="2"/>
      <c r="B145" s="2"/>
    </row>
    <row r="146" customFormat="false" ht="15.75" hidden="false" customHeight="false" outlineLevel="0" collapsed="false">
      <c r="A146" s="2"/>
      <c r="B146" s="2"/>
    </row>
    <row r="147" customFormat="false" ht="15.75" hidden="false" customHeight="false" outlineLevel="0" collapsed="false">
      <c r="A147" s="2"/>
      <c r="B147" s="2"/>
    </row>
    <row r="148" customFormat="false" ht="15.75" hidden="false" customHeight="false" outlineLevel="0" collapsed="false">
      <c r="A148" s="2"/>
      <c r="B148" s="2"/>
    </row>
    <row r="149" customFormat="false" ht="15.75" hidden="false" customHeight="false" outlineLevel="0" collapsed="false">
      <c r="A149" s="2"/>
      <c r="B149" s="2"/>
    </row>
    <row r="150" customFormat="false" ht="15.75" hidden="false" customHeight="false" outlineLevel="0" collapsed="false">
      <c r="A150" s="2"/>
      <c r="B150" s="2"/>
    </row>
    <row r="151" customFormat="false" ht="15.75" hidden="false" customHeight="false" outlineLevel="0" collapsed="false">
      <c r="A151" s="2"/>
      <c r="B151" s="2"/>
    </row>
    <row r="152" customFormat="false" ht="15.75" hidden="false" customHeight="false" outlineLevel="0" collapsed="false">
      <c r="A152" s="2"/>
      <c r="B152" s="2"/>
    </row>
    <row r="153" customFormat="false" ht="15.75" hidden="false" customHeight="false" outlineLevel="0" collapsed="false">
      <c r="A153" s="2"/>
      <c r="B153" s="2"/>
    </row>
    <row r="154" customFormat="false" ht="15.75" hidden="false" customHeight="false" outlineLevel="0" collapsed="false">
      <c r="A154" s="2"/>
      <c r="B154" s="2"/>
    </row>
    <row r="155" customFormat="false" ht="15.75" hidden="false" customHeight="false" outlineLevel="0" collapsed="false">
      <c r="A155" s="2"/>
      <c r="B155" s="2"/>
    </row>
    <row r="156" customFormat="false" ht="15.75" hidden="false" customHeight="false" outlineLevel="0" collapsed="false">
      <c r="A156" s="2"/>
      <c r="B156" s="2"/>
    </row>
    <row r="157" customFormat="false" ht="15.75" hidden="false" customHeight="false" outlineLevel="0" collapsed="false">
      <c r="A157" s="2"/>
      <c r="B157" s="2"/>
    </row>
    <row r="158" customFormat="false" ht="15.75" hidden="false" customHeight="false" outlineLevel="0" collapsed="false">
      <c r="A158" s="2"/>
      <c r="B158" s="2"/>
    </row>
    <row r="159" customFormat="false" ht="15.75" hidden="false" customHeight="false" outlineLevel="0" collapsed="false">
      <c r="A159" s="2"/>
      <c r="B159" s="2"/>
    </row>
    <row r="160" customFormat="false" ht="15.75" hidden="false" customHeight="false" outlineLevel="0" collapsed="false">
      <c r="A160" s="2"/>
      <c r="B160" s="2"/>
    </row>
    <row r="161" customFormat="false" ht="15.75" hidden="false" customHeight="false" outlineLevel="0" collapsed="false">
      <c r="A161" s="2"/>
      <c r="B161" s="2"/>
    </row>
    <row r="162" customFormat="false" ht="15.75" hidden="false" customHeight="false" outlineLevel="0" collapsed="false">
      <c r="A162" s="2"/>
      <c r="B162" s="2"/>
    </row>
    <row r="163" customFormat="false" ht="15.75" hidden="false" customHeight="false" outlineLevel="0" collapsed="false">
      <c r="A163" s="2"/>
      <c r="B163" s="2"/>
    </row>
    <row r="164" customFormat="false" ht="15.75" hidden="false" customHeight="false" outlineLevel="0" collapsed="false">
      <c r="A164" s="2"/>
      <c r="B164" s="2"/>
    </row>
    <row r="165" customFormat="false" ht="15.75" hidden="false" customHeight="false" outlineLevel="0" collapsed="false">
      <c r="A165" s="2"/>
      <c r="B165" s="2"/>
    </row>
    <row r="166" customFormat="false" ht="15.75" hidden="false" customHeight="false" outlineLevel="0" collapsed="false">
      <c r="A166" s="2"/>
      <c r="B166" s="2"/>
    </row>
    <row r="167" customFormat="false" ht="15.75" hidden="false" customHeight="false" outlineLevel="0" collapsed="false">
      <c r="A167" s="2"/>
      <c r="B167" s="2"/>
    </row>
    <row r="168" customFormat="false" ht="15.75" hidden="false" customHeight="false" outlineLevel="0" collapsed="false">
      <c r="A168" s="2"/>
      <c r="B168" s="2"/>
    </row>
    <row r="169" customFormat="false" ht="15.75" hidden="false" customHeight="false" outlineLevel="0" collapsed="false">
      <c r="A169" s="2"/>
      <c r="B169" s="2"/>
    </row>
    <row r="170" customFormat="false" ht="15.75" hidden="false" customHeight="false" outlineLevel="0" collapsed="false">
      <c r="A170" s="2"/>
      <c r="B170" s="2"/>
    </row>
    <row r="171" customFormat="false" ht="15.75" hidden="false" customHeight="false" outlineLevel="0" collapsed="false">
      <c r="A171" s="2"/>
      <c r="B171" s="2"/>
    </row>
    <row r="172" customFormat="false" ht="15.75" hidden="false" customHeight="false" outlineLevel="0" collapsed="false">
      <c r="A172" s="2"/>
      <c r="B172" s="2"/>
    </row>
    <row r="173" customFormat="false" ht="15.75" hidden="false" customHeight="false" outlineLevel="0" collapsed="false">
      <c r="A173" s="2"/>
      <c r="B173" s="2"/>
    </row>
    <row r="174" customFormat="false" ht="15.75" hidden="false" customHeight="false" outlineLevel="0" collapsed="false">
      <c r="A174" s="2"/>
      <c r="B174" s="2"/>
    </row>
    <row r="175" customFormat="false" ht="15.75" hidden="false" customHeight="false" outlineLevel="0" collapsed="false">
      <c r="A175" s="2"/>
      <c r="B175" s="2"/>
    </row>
    <row r="176" customFormat="false" ht="15.75" hidden="false" customHeight="false" outlineLevel="0" collapsed="false">
      <c r="A176" s="2"/>
      <c r="B176" s="2"/>
    </row>
    <row r="177" customFormat="false" ht="15.75" hidden="false" customHeight="false" outlineLevel="0" collapsed="false">
      <c r="A177" s="2"/>
      <c r="B177" s="2"/>
    </row>
    <row r="178" customFormat="false" ht="15.75" hidden="false" customHeight="false" outlineLevel="0" collapsed="false">
      <c r="A178" s="2"/>
      <c r="B178" s="2"/>
    </row>
    <row r="179" customFormat="false" ht="15.75" hidden="false" customHeight="false" outlineLevel="0" collapsed="false">
      <c r="A179" s="2"/>
      <c r="B179" s="2"/>
    </row>
    <row r="180" customFormat="false" ht="15.75" hidden="false" customHeight="false" outlineLevel="0" collapsed="false">
      <c r="A180" s="2"/>
      <c r="B180" s="2"/>
    </row>
    <row r="181" customFormat="false" ht="15.75" hidden="false" customHeight="false" outlineLevel="0" collapsed="false">
      <c r="A181" s="2"/>
      <c r="B181" s="2"/>
    </row>
    <row r="182" customFormat="false" ht="15.75" hidden="false" customHeight="false" outlineLevel="0" collapsed="false">
      <c r="A182" s="2"/>
      <c r="B182" s="2"/>
    </row>
    <row r="183" customFormat="false" ht="15.75" hidden="false" customHeight="false" outlineLevel="0" collapsed="false">
      <c r="A183" s="2"/>
      <c r="B183" s="2"/>
    </row>
    <row r="184" customFormat="false" ht="15.75" hidden="false" customHeight="false" outlineLevel="0" collapsed="false">
      <c r="A184" s="2"/>
      <c r="B184" s="2"/>
    </row>
    <row r="185" customFormat="false" ht="15.75" hidden="false" customHeight="false" outlineLevel="0" collapsed="false">
      <c r="A185" s="2"/>
      <c r="B185" s="2"/>
    </row>
    <row r="186" customFormat="false" ht="15.75" hidden="false" customHeight="false" outlineLevel="0" collapsed="false">
      <c r="A186" s="2"/>
      <c r="B186" s="2"/>
    </row>
    <row r="187" customFormat="false" ht="15.75" hidden="false" customHeight="false" outlineLevel="0" collapsed="false">
      <c r="A187" s="2"/>
      <c r="B187" s="2"/>
    </row>
    <row r="188" customFormat="false" ht="15.75" hidden="false" customHeight="false" outlineLevel="0" collapsed="false">
      <c r="A188" s="2"/>
      <c r="B188" s="2"/>
    </row>
    <row r="189" customFormat="false" ht="15.75" hidden="false" customHeight="false" outlineLevel="0" collapsed="false">
      <c r="A189" s="2"/>
      <c r="B189" s="2"/>
    </row>
    <row r="190" customFormat="false" ht="15.75" hidden="false" customHeight="false" outlineLevel="0" collapsed="false">
      <c r="A190" s="2"/>
      <c r="B190" s="2"/>
    </row>
    <row r="191" customFormat="false" ht="15.75" hidden="false" customHeight="false" outlineLevel="0" collapsed="false">
      <c r="A191" s="2"/>
      <c r="B191" s="2"/>
    </row>
    <row r="192" customFormat="false" ht="15.75" hidden="false" customHeight="false" outlineLevel="0" collapsed="false">
      <c r="A192" s="2"/>
      <c r="B192" s="2"/>
    </row>
    <row r="193" customFormat="false" ht="15.75" hidden="false" customHeight="false" outlineLevel="0" collapsed="false">
      <c r="A193" s="2"/>
      <c r="B193" s="2"/>
    </row>
    <row r="194" customFormat="false" ht="15.75" hidden="false" customHeight="false" outlineLevel="0" collapsed="false">
      <c r="A194" s="2"/>
      <c r="B194" s="2"/>
    </row>
    <row r="195" customFormat="false" ht="15.75" hidden="false" customHeight="false" outlineLevel="0" collapsed="false">
      <c r="A195" s="2"/>
      <c r="B195" s="2"/>
    </row>
    <row r="196" customFormat="false" ht="15.75" hidden="false" customHeight="false" outlineLevel="0" collapsed="false">
      <c r="A196" s="2"/>
      <c r="B196" s="2"/>
    </row>
    <row r="197" customFormat="false" ht="15.75" hidden="false" customHeight="false" outlineLevel="0" collapsed="false">
      <c r="A197" s="2"/>
      <c r="B197" s="2"/>
    </row>
    <row r="198" customFormat="false" ht="15.75" hidden="false" customHeight="false" outlineLevel="0" collapsed="false">
      <c r="A198" s="2"/>
      <c r="B198" s="2"/>
    </row>
    <row r="199" customFormat="false" ht="15.75" hidden="false" customHeight="false" outlineLevel="0" collapsed="false">
      <c r="A199" s="2"/>
      <c r="B199" s="2"/>
    </row>
    <row r="200" customFormat="false" ht="15.75" hidden="false" customHeight="false" outlineLevel="0" collapsed="false">
      <c r="A200" s="2"/>
      <c r="B200" s="2"/>
    </row>
    <row r="201" customFormat="false" ht="15.75" hidden="false" customHeight="false" outlineLevel="0" collapsed="false">
      <c r="A201" s="2"/>
      <c r="B201" s="2"/>
    </row>
    <row r="202" customFormat="false" ht="15.75" hidden="false" customHeight="false" outlineLevel="0" collapsed="false">
      <c r="A202" s="2"/>
      <c r="B202" s="2"/>
    </row>
    <row r="203" customFormat="false" ht="15.75" hidden="false" customHeight="false" outlineLevel="0" collapsed="false">
      <c r="A203" s="2"/>
      <c r="B203" s="2"/>
    </row>
    <row r="204" customFormat="false" ht="15.75" hidden="false" customHeight="false" outlineLevel="0" collapsed="false">
      <c r="A204" s="2"/>
      <c r="B204" s="2"/>
    </row>
    <row r="205" customFormat="false" ht="15.75" hidden="false" customHeight="false" outlineLevel="0" collapsed="false">
      <c r="A205" s="2"/>
      <c r="B205" s="2"/>
    </row>
    <row r="206" customFormat="false" ht="15.75" hidden="false" customHeight="false" outlineLevel="0" collapsed="false">
      <c r="A206" s="2"/>
      <c r="B206" s="2"/>
    </row>
    <row r="207" customFormat="false" ht="15.75" hidden="false" customHeight="false" outlineLevel="0" collapsed="false">
      <c r="A207" s="2"/>
      <c r="B207" s="2"/>
    </row>
    <row r="208" customFormat="false" ht="15.75" hidden="false" customHeight="false" outlineLevel="0" collapsed="false">
      <c r="A208" s="2"/>
      <c r="B208" s="2"/>
    </row>
    <row r="209" customFormat="false" ht="15.75" hidden="false" customHeight="false" outlineLevel="0" collapsed="false">
      <c r="A209" s="2"/>
      <c r="B209" s="2"/>
    </row>
    <row r="210" customFormat="false" ht="15.75" hidden="false" customHeight="false" outlineLevel="0" collapsed="false">
      <c r="A210" s="2"/>
      <c r="B210" s="2"/>
    </row>
    <row r="211" customFormat="false" ht="15.75" hidden="false" customHeight="false" outlineLevel="0" collapsed="false">
      <c r="A211" s="2"/>
      <c r="B211" s="2"/>
    </row>
    <row r="212" customFormat="false" ht="15.75" hidden="false" customHeight="false" outlineLevel="0" collapsed="false">
      <c r="A212" s="2"/>
      <c r="B212" s="2"/>
    </row>
    <row r="213" customFormat="false" ht="15.75" hidden="false" customHeight="false" outlineLevel="0" collapsed="false">
      <c r="A213" s="2"/>
      <c r="B213" s="2"/>
    </row>
    <row r="214" customFormat="false" ht="15.75" hidden="false" customHeight="false" outlineLevel="0" collapsed="false">
      <c r="A214" s="2"/>
      <c r="B214" s="2"/>
    </row>
    <row r="215" customFormat="false" ht="15.75" hidden="false" customHeight="false" outlineLevel="0" collapsed="false">
      <c r="A215" s="2"/>
      <c r="B215" s="2"/>
    </row>
    <row r="216" customFormat="false" ht="15.75" hidden="false" customHeight="false" outlineLevel="0" collapsed="false">
      <c r="A216" s="2"/>
      <c r="B216" s="2"/>
    </row>
    <row r="217" customFormat="false" ht="15.75" hidden="false" customHeight="false" outlineLevel="0" collapsed="false">
      <c r="A217" s="2"/>
      <c r="B217" s="2"/>
    </row>
    <row r="218" customFormat="false" ht="15.75" hidden="false" customHeight="false" outlineLevel="0" collapsed="false">
      <c r="A218" s="2"/>
      <c r="B218" s="2"/>
    </row>
    <row r="219" customFormat="false" ht="15.75" hidden="false" customHeight="false" outlineLevel="0" collapsed="false">
      <c r="A219" s="2"/>
      <c r="B219" s="2"/>
    </row>
    <row r="220" customFormat="false" ht="15.75" hidden="false" customHeight="false" outlineLevel="0" collapsed="false">
      <c r="A220" s="2"/>
      <c r="B220" s="2"/>
    </row>
    <row r="221" customFormat="false" ht="15.75" hidden="false" customHeight="false" outlineLevel="0" collapsed="false">
      <c r="A221" s="2"/>
      <c r="B221" s="2"/>
    </row>
    <row r="222" customFormat="false" ht="15.75" hidden="false" customHeight="false" outlineLevel="0" collapsed="false">
      <c r="A222" s="2"/>
      <c r="B222" s="2"/>
    </row>
    <row r="223" customFormat="false" ht="15.75" hidden="false" customHeight="false" outlineLevel="0" collapsed="false">
      <c r="A223" s="2"/>
      <c r="B223" s="2"/>
    </row>
    <row r="224" customFormat="false" ht="15.75" hidden="false" customHeight="false" outlineLevel="0" collapsed="false">
      <c r="A224" s="2"/>
      <c r="B224" s="2"/>
    </row>
    <row r="225" customFormat="false" ht="15.75" hidden="false" customHeight="false" outlineLevel="0" collapsed="false">
      <c r="A225" s="2"/>
      <c r="B225" s="2"/>
    </row>
    <row r="226" customFormat="false" ht="15.75" hidden="false" customHeight="false" outlineLevel="0" collapsed="false">
      <c r="A226" s="2"/>
      <c r="B226" s="2"/>
    </row>
    <row r="227" customFormat="false" ht="15.75" hidden="false" customHeight="false" outlineLevel="0" collapsed="false">
      <c r="A227" s="2"/>
      <c r="B227" s="2"/>
    </row>
    <row r="228" customFormat="false" ht="15.75" hidden="false" customHeight="false" outlineLevel="0" collapsed="false">
      <c r="A228" s="2"/>
      <c r="B228" s="2"/>
    </row>
    <row r="229" customFormat="false" ht="15.75" hidden="false" customHeight="false" outlineLevel="0" collapsed="false">
      <c r="A229" s="2"/>
      <c r="B229" s="2"/>
    </row>
    <row r="230" customFormat="false" ht="15.75" hidden="false" customHeight="false" outlineLevel="0" collapsed="false">
      <c r="A230" s="2"/>
      <c r="B230" s="2"/>
    </row>
    <row r="231" customFormat="false" ht="15.75" hidden="false" customHeight="false" outlineLevel="0" collapsed="false">
      <c r="A231" s="2"/>
      <c r="B231" s="2"/>
    </row>
    <row r="232" customFormat="false" ht="15.75" hidden="false" customHeight="false" outlineLevel="0" collapsed="false">
      <c r="A232" s="2"/>
      <c r="B232" s="2"/>
    </row>
    <row r="233" customFormat="false" ht="15.75" hidden="false" customHeight="false" outlineLevel="0" collapsed="false">
      <c r="A233" s="2"/>
      <c r="B233" s="2"/>
    </row>
    <row r="234" customFormat="false" ht="15.75" hidden="false" customHeight="false" outlineLevel="0" collapsed="false">
      <c r="A234" s="2"/>
      <c r="B234" s="2"/>
    </row>
    <row r="235" customFormat="false" ht="15.75" hidden="false" customHeight="false" outlineLevel="0" collapsed="false">
      <c r="A235" s="2"/>
      <c r="B235" s="2"/>
    </row>
    <row r="236" customFormat="false" ht="15.75" hidden="false" customHeight="false" outlineLevel="0" collapsed="false">
      <c r="A236" s="2"/>
      <c r="B236" s="2"/>
    </row>
    <row r="237" customFormat="false" ht="15.75" hidden="false" customHeight="false" outlineLevel="0" collapsed="false">
      <c r="A237" s="2"/>
      <c r="B237" s="2"/>
    </row>
    <row r="238" customFormat="false" ht="15.75" hidden="false" customHeight="false" outlineLevel="0" collapsed="false">
      <c r="A238" s="2"/>
      <c r="B238" s="2"/>
    </row>
    <row r="239" customFormat="false" ht="15.75" hidden="false" customHeight="false" outlineLevel="0" collapsed="false">
      <c r="A239" s="2"/>
      <c r="B239" s="2"/>
    </row>
    <row r="240" customFormat="false" ht="15.75" hidden="false" customHeight="false" outlineLevel="0" collapsed="false">
      <c r="A240" s="2"/>
      <c r="B240" s="2"/>
    </row>
    <row r="241" customFormat="false" ht="15.75" hidden="false" customHeight="false" outlineLevel="0" collapsed="false">
      <c r="A241" s="2"/>
      <c r="B241" s="2"/>
    </row>
    <row r="242" customFormat="false" ht="15.75" hidden="false" customHeight="false" outlineLevel="0" collapsed="false">
      <c r="A242" s="2"/>
      <c r="B242" s="2"/>
    </row>
    <row r="243" customFormat="false" ht="15.75" hidden="false" customHeight="false" outlineLevel="0" collapsed="false">
      <c r="A243" s="2"/>
      <c r="B243" s="2"/>
    </row>
    <row r="244" customFormat="false" ht="15.75" hidden="false" customHeight="false" outlineLevel="0" collapsed="false">
      <c r="A244" s="2"/>
      <c r="B244" s="2"/>
    </row>
    <row r="245" customFormat="false" ht="15.75" hidden="false" customHeight="false" outlineLevel="0" collapsed="false">
      <c r="A245" s="2"/>
      <c r="B245" s="2"/>
    </row>
    <row r="246" customFormat="false" ht="15.75" hidden="false" customHeight="false" outlineLevel="0" collapsed="false">
      <c r="A246" s="2"/>
      <c r="B246" s="2"/>
    </row>
    <row r="247" customFormat="false" ht="15.75" hidden="false" customHeight="false" outlineLevel="0" collapsed="false">
      <c r="A247" s="2"/>
      <c r="B247" s="2"/>
    </row>
    <row r="248" customFormat="false" ht="15.75" hidden="false" customHeight="false" outlineLevel="0" collapsed="false">
      <c r="A248" s="2"/>
      <c r="B248" s="2"/>
    </row>
    <row r="249" customFormat="false" ht="15.75" hidden="false" customHeight="false" outlineLevel="0" collapsed="false">
      <c r="A249" s="2"/>
      <c r="B249" s="2"/>
    </row>
    <row r="250" customFormat="false" ht="15.75" hidden="false" customHeight="false" outlineLevel="0" collapsed="false">
      <c r="A250" s="2"/>
      <c r="B250" s="2"/>
    </row>
    <row r="251" customFormat="false" ht="15.75" hidden="false" customHeight="false" outlineLevel="0" collapsed="false">
      <c r="A251" s="2"/>
      <c r="B251" s="2"/>
    </row>
    <row r="252" customFormat="false" ht="15.75" hidden="false" customHeight="false" outlineLevel="0" collapsed="false">
      <c r="A252" s="2"/>
      <c r="B252" s="2"/>
    </row>
    <row r="253" customFormat="false" ht="15.75" hidden="false" customHeight="false" outlineLevel="0" collapsed="false">
      <c r="A253" s="2"/>
      <c r="B253" s="2"/>
    </row>
    <row r="254" customFormat="false" ht="15.75" hidden="false" customHeight="false" outlineLevel="0" collapsed="false">
      <c r="A254" s="2"/>
      <c r="B254" s="2"/>
    </row>
    <row r="255" customFormat="false" ht="15.75" hidden="false" customHeight="false" outlineLevel="0" collapsed="false">
      <c r="A255" s="2"/>
      <c r="B255" s="2"/>
    </row>
    <row r="256" customFormat="false" ht="15.75" hidden="false" customHeight="false" outlineLevel="0" collapsed="false">
      <c r="A256" s="2"/>
      <c r="B256" s="2"/>
    </row>
    <row r="257" customFormat="false" ht="15.75" hidden="false" customHeight="false" outlineLevel="0" collapsed="false">
      <c r="A257" s="2"/>
      <c r="B257" s="2"/>
    </row>
    <row r="258" customFormat="false" ht="15.75" hidden="false" customHeight="false" outlineLevel="0" collapsed="false">
      <c r="A258" s="2"/>
      <c r="B258" s="2"/>
    </row>
    <row r="259" customFormat="false" ht="15.75" hidden="false" customHeight="false" outlineLevel="0" collapsed="false">
      <c r="A259" s="2"/>
      <c r="B259" s="2"/>
    </row>
    <row r="260" customFormat="false" ht="15.75" hidden="false" customHeight="false" outlineLevel="0" collapsed="false">
      <c r="A260" s="2"/>
      <c r="B260" s="2"/>
    </row>
    <row r="261" customFormat="false" ht="15.75" hidden="false" customHeight="false" outlineLevel="0" collapsed="false">
      <c r="A261" s="2"/>
      <c r="B261" s="2"/>
    </row>
    <row r="262" customFormat="false" ht="15.75" hidden="false" customHeight="false" outlineLevel="0" collapsed="false">
      <c r="A262" s="2"/>
      <c r="B262" s="2"/>
    </row>
    <row r="263" customFormat="false" ht="15.75" hidden="false" customHeight="false" outlineLevel="0" collapsed="false">
      <c r="A263" s="2"/>
      <c r="B263" s="2"/>
    </row>
    <row r="264" customFormat="false" ht="15.75" hidden="false" customHeight="false" outlineLevel="0" collapsed="false">
      <c r="A264" s="2"/>
      <c r="B264" s="2"/>
    </row>
    <row r="265" customFormat="false" ht="15.75" hidden="false" customHeight="false" outlineLevel="0" collapsed="false">
      <c r="A265" s="2"/>
      <c r="B265" s="2"/>
    </row>
    <row r="266" customFormat="false" ht="15.75" hidden="false" customHeight="false" outlineLevel="0" collapsed="false">
      <c r="A266" s="2"/>
      <c r="B266" s="2"/>
    </row>
    <row r="267" customFormat="false" ht="15.75" hidden="false" customHeight="false" outlineLevel="0" collapsed="false">
      <c r="A267" s="2"/>
      <c r="B267" s="2"/>
    </row>
    <row r="268" customFormat="false" ht="15.75" hidden="false" customHeight="false" outlineLevel="0" collapsed="false">
      <c r="A268" s="2"/>
      <c r="B268" s="2"/>
    </row>
    <row r="269" customFormat="false" ht="15.75" hidden="false" customHeight="false" outlineLevel="0" collapsed="false">
      <c r="A269" s="2"/>
      <c r="B269" s="2"/>
    </row>
    <row r="270" customFormat="false" ht="15.75" hidden="false" customHeight="false" outlineLevel="0" collapsed="false">
      <c r="A270" s="2"/>
      <c r="B270" s="2"/>
    </row>
    <row r="271" customFormat="false" ht="15.75" hidden="false" customHeight="false" outlineLevel="0" collapsed="false">
      <c r="A271" s="2"/>
      <c r="B271" s="2"/>
    </row>
    <row r="272" customFormat="false" ht="15.75" hidden="false" customHeight="false" outlineLevel="0" collapsed="false">
      <c r="A272" s="2"/>
      <c r="B272" s="2"/>
    </row>
    <row r="273" customFormat="false" ht="15.75" hidden="false" customHeight="false" outlineLevel="0" collapsed="false">
      <c r="A273" s="2"/>
      <c r="B273" s="2"/>
    </row>
    <row r="274" customFormat="false" ht="15.75" hidden="false" customHeight="false" outlineLevel="0" collapsed="false">
      <c r="A274" s="2"/>
      <c r="B274" s="2"/>
    </row>
    <row r="275" customFormat="false" ht="15.75" hidden="false" customHeight="false" outlineLevel="0" collapsed="false">
      <c r="A275" s="2"/>
      <c r="B275" s="2"/>
    </row>
    <row r="276" customFormat="false" ht="15.75" hidden="false" customHeight="false" outlineLevel="0" collapsed="false">
      <c r="A276" s="2"/>
      <c r="B276" s="2"/>
    </row>
    <row r="277" customFormat="false" ht="15.75" hidden="false" customHeight="false" outlineLevel="0" collapsed="false">
      <c r="A277" s="2"/>
      <c r="B277" s="2"/>
    </row>
    <row r="278" customFormat="false" ht="15.75" hidden="false" customHeight="false" outlineLevel="0" collapsed="false">
      <c r="A278" s="2"/>
      <c r="B278" s="2"/>
    </row>
    <row r="279" customFormat="false" ht="15.75" hidden="false" customHeight="false" outlineLevel="0" collapsed="false">
      <c r="A279" s="2"/>
      <c r="B279" s="2"/>
    </row>
    <row r="280" customFormat="false" ht="15.75" hidden="false" customHeight="false" outlineLevel="0" collapsed="false">
      <c r="A280" s="2"/>
      <c r="B280" s="2"/>
    </row>
    <row r="281" customFormat="false" ht="15.75" hidden="false" customHeight="false" outlineLevel="0" collapsed="false">
      <c r="A281" s="2"/>
      <c r="B281" s="2"/>
    </row>
    <row r="282" customFormat="false" ht="15.75" hidden="false" customHeight="false" outlineLevel="0" collapsed="false">
      <c r="A282" s="2"/>
      <c r="B282" s="2"/>
    </row>
    <row r="283" customFormat="false" ht="15.75" hidden="false" customHeight="false" outlineLevel="0" collapsed="false">
      <c r="A283" s="2"/>
      <c r="B283" s="2"/>
    </row>
    <row r="284" customFormat="false" ht="15.75" hidden="false" customHeight="false" outlineLevel="0" collapsed="false">
      <c r="A284" s="2"/>
      <c r="B284" s="2"/>
    </row>
    <row r="285" customFormat="false" ht="15.75" hidden="false" customHeight="false" outlineLevel="0" collapsed="false">
      <c r="A285" s="2"/>
      <c r="B285" s="2"/>
    </row>
    <row r="286" customFormat="false" ht="15.75" hidden="false" customHeight="false" outlineLevel="0" collapsed="false">
      <c r="A286" s="2"/>
      <c r="B286" s="2"/>
    </row>
    <row r="287" customFormat="false" ht="15.75" hidden="false" customHeight="false" outlineLevel="0" collapsed="false">
      <c r="A287" s="2"/>
      <c r="B287" s="2"/>
    </row>
    <row r="288" customFormat="false" ht="15.75" hidden="false" customHeight="false" outlineLevel="0" collapsed="false">
      <c r="A288" s="2"/>
      <c r="B288" s="2"/>
    </row>
    <row r="289" customFormat="false" ht="15.75" hidden="false" customHeight="false" outlineLevel="0" collapsed="false">
      <c r="A289" s="2"/>
      <c r="B289" s="2"/>
    </row>
    <row r="290" customFormat="false" ht="15.75" hidden="false" customHeight="false" outlineLevel="0" collapsed="false">
      <c r="A290" s="2"/>
      <c r="B290" s="2"/>
    </row>
    <row r="291" customFormat="false" ht="15.75" hidden="false" customHeight="false" outlineLevel="0" collapsed="false">
      <c r="A291" s="2"/>
      <c r="B291" s="2"/>
    </row>
    <row r="292" customFormat="false" ht="15.75" hidden="false" customHeight="false" outlineLevel="0" collapsed="false">
      <c r="A292" s="2"/>
      <c r="B292" s="2"/>
    </row>
    <row r="293" customFormat="false" ht="15.75" hidden="false" customHeight="false" outlineLevel="0" collapsed="false">
      <c r="A293" s="2"/>
      <c r="B293" s="2"/>
    </row>
    <row r="294" customFormat="false" ht="15.75" hidden="false" customHeight="false" outlineLevel="0" collapsed="false">
      <c r="A294" s="2"/>
      <c r="B294" s="2"/>
    </row>
    <row r="295" customFormat="false" ht="15.75" hidden="false" customHeight="false" outlineLevel="0" collapsed="false">
      <c r="A295" s="2"/>
      <c r="B295" s="2"/>
    </row>
    <row r="296" customFormat="false" ht="15.75" hidden="false" customHeight="false" outlineLevel="0" collapsed="false">
      <c r="A296" s="2"/>
      <c r="B296" s="2"/>
    </row>
    <row r="297" customFormat="false" ht="15.75" hidden="false" customHeight="false" outlineLevel="0" collapsed="false">
      <c r="A297" s="2"/>
      <c r="B297" s="2"/>
    </row>
    <row r="298" customFormat="false" ht="15.75" hidden="false" customHeight="false" outlineLevel="0" collapsed="false">
      <c r="A298" s="2"/>
      <c r="B298" s="2"/>
    </row>
    <row r="299" customFormat="false" ht="15.75" hidden="false" customHeight="false" outlineLevel="0" collapsed="false">
      <c r="A299" s="2"/>
      <c r="B299" s="2"/>
    </row>
    <row r="300" customFormat="false" ht="15.75" hidden="false" customHeight="false" outlineLevel="0" collapsed="false">
      <c r="A300" s="2"/>
      <c r="B300" s="2"/>
    </row>
    <row r="301" customFormat="false" ht="15.75" hidden="false" customHeight="false" outlineLevel="0" collapsed="false">
      <c r="A301" s="2"/>
      <c r="B301" s="2"/>
    </row>
    <row r="302" customFormat="false" ht="15.75" hidden="false" customHeight="false" outlineLevel="0" collapsed="false">
      <c r="A302" s="2"/>
      <c r="B302" s="2"/>
    </row>
    <row r="303" customFormat="false" ht="15.75" hidden="false" customHeight="false" outlineLevel="0" collapsed="false">
      <c r="A303" s="2"/>
      <c r="B303" s="2"/>
    </row>
    <row r="304" customFormat="false" ht="15.75" hidden="false" customHeight="false" outlineLevel="0" collapsed="false">
      <c r="A304" s="2"/>
      <c r="B304" s="2"/>
    </row>
    <row r="305" customFormat="false" ht="15.75" hidden="false" customHeight="false" outlineLevel="0" collapsed="false">
      <c r="A305" s="2"/>
      <c r="B305" s="2"/>
    </row>
    <row r="306" customFormat="false" ht="15.75" hidden="false" customHeight="false" outlineLevel="0" collapsed="false">
      <c r="A306" s="2"/>
      <c r="B306" s="2"/>
    </row>
    <row r="307" customFormat="false" ht="15.75" hidden="false" customHeight="false" outlineLevel="0" collapsed="false">
      <c r="A307" s="2"/>
      <c r="B307" s="2"/>
    </row>
    <row r="308" customFormat="false" ht="15.75" hidden="false" customHeight="false" outlineLevel="0" collapsed="false">
      <c r="A308" s="2"/>
      <c r="B308" s="2"/>
    </row>
    <row r="309" customFormat="false" ht="15.75" hidden="false" customHeight="false" outlineLevel="0" collapsed="false">
      <c r="A309" s="2"/>
      <c r="B309" s="2"/>
    </row>
    <row r="310" customFormat="false" ht="15.75" hidden="false" customHeight="false" outlineLevel="0" collapsed="false">
      <c r="A310" s="2"/>
      <c r="B310" s="2"/>
    </row>
    <row r="311" customFormat="false" ht="15.75" hidden="false" customHeight="false" outlineLevel="0" collapsed="false">
      <c r="A311" s="2"/>
      <c r="B311" s="2"/>
    </row>
    <row r="312" customFormat="false" ht="15.75" hidden="false" customHeight="false" outlineLevel="0" collapsed="false">
      <c r="A312" s="2"/>
      <c r="B312" s="2"/>
    </row>
    <row r="313" customFormat="false" ht="15.75" hidden="false" customHeight="false" outlineLevel="0" collapsed="false">
      <c r="A313" s="2"/>
      <c r="B313" s="2"/>
    </row>
    <row r="314" customFormat="false" ht="15.75" hidden="false" customHeight="false" outlineLevel="0" collapsed="false">
      <c r="A314" s="2"/>
      <c r="B314" s="2"/>
    </row>
    <row r="315" customFormat="false" ht="15.75" hidden="false" customHeight="false" outlineLevel="0" collapsed="false">
      <c r="A315" s="2"/>
      <c r="B315" s="2"/>
    </row>
    <row r="316" customFormat="false" ht="15.75" hidden="false" customHeight="false" outlineLevel="0" collapsed="false">
      <c r="A316" s="2"/>
      <c r="B316" s="2"/>
    </row>
    <row r="317" customFormat="false" ht="15.75" hidden="false" customHeight="false" outlineLevel="0" collapsed="false">
      <c r="A317" s="2"/>
      <c r="B317" s="2"/>
    </row>
    <row r="318" customFormat="false" ht="15.75" hidden="false" customHeight="false" outlineLevel="0" collapsed="false">
      <c r="A318" s="2"/>
      <c r="B318" s="2"/>
    </row>
    <row r="319" customFormat="false" ht="15.75" hidden="false" customHeight="false" outlineLevel="0" collapsed="false">
      <c r="A319" s="2"/>
      <c r="B319" s="2"/>
    </row>
    <row r="320" customFormat="false" ht="15.75" hidden="false" customHeight="false" outlineLevel="0" collapsed="false">
      <c r="A320" s="2"/>
      <c r="B320" s="2"/>
    </row>
    <row r="321" customFormat="false" ht="15.75" hidden="false" customHeight="false" outlineLevel="0" collapsed="false">
      <c r="A321" s="2"/>
      <c r="B321" s="2"/>
    </row>
    <row r="322" customFormat="false" ht="15.75" hidden="false" customHeight="false" outlineLevel="0" collapsed="false">
      <c r="A322" s="2"/>
      <c r="B322" s="2"/>
    </row>
    <row r="323" customFormat="false" ht="15.75" hidden="false" customHeight="false" outlineLevel="0" collapsed="false">
      <c r="A323" s="2"/>
      <c r="B323" s="2"/>
    </row>
    <row r="324" customFormat="false" ht="15.75" hidden="false" customHeight="false" outlineLevel="0" collapsed="false">
      <c r="A324" s="2"/>
      <c r="B324" s="2"/>
    </row>
    <row r="325" customFormat="false" ht="15.75" hidden="false" customHeight="false" outlineLevel="0" collapsed="false">
      <c r="A325" s="2"/>
      <c r="B325" s="2"/>
    </row>
    <row r="326" customFormat="false" ht="15.75" hidden="false" customHeight="false" outlineLevel="0" collapsed="false">
      <c r="A326" s="2"/>
      <c r="B326" s="2"/>
    </row>
    <row r="327" customFormat="false" ht="15.75" hidden="false" customHeight="false" outlineLevel="0" collapsed="false">
      <c r="A327" s="2"/>
      <c r="B327" s="2"/>
    </row>
    <row r="328" customFormat="false" ht="15.75" hidden="false" customHeight="false" outlineLevel="0" collapsed="false">
      <c r="A328" s="2"/>
      <c r="B328" s="2"/>
    </row>
    <row r="329" customFormat="false" ht="15.75" hidden="false" customHeight="false" outlineLevel="0" collapsed="false">
      <c r="A329" s="2"/>
      <c r="B329" s="2"/>
    </row>
    <row r="330" customFormat="false" ht="15.75" hidden="false" customHeight="false" outlineLevel="0" collapsed="false">
      <c r="A330" s="2"/>
      <c r="B330" s="2"/>
    </row>
    <row r="331" customFormat="false" ht="15.75" hidden="false" customHeight="false" outlineLevel="0" collapsed="false">
      <c r="A331" s="2"/>
      <c r="B331" s="2"/>
    </row>
    <row r="332" customFormat="false" ht="15.75" hidden="false" customHeight="false" outlineLevel="0" collapsed="false">
      <c r="A332" s="2"/>
      <c r="B332" s="2"/>
    </row>
    <row r="333" customFormat="false" ht="15.75" hidden="false" customHeight="false" outlineLevel="0" collapsed="false">
      <c r="A333" s="2"/>
      <c r="B333" s="2"/>
    </row>
    <row r="334" customFormat="false" ht="15.75" hidden="false" customHeight="false" outlineLevel="0" collapsed="false">
      <c r="A334" s="2"/>
      <c r="B334" s="2"/>
    </row>
    <row r="335" customFormat="false" ht="15.75" hidden="false" customHeight="false" outlineLevel="0" collapsed="false">
      <c r="A335" s="2"/>
      <c r="B335" s="2"/>
    </row>
    <row r="336" customFormat="false" ht="15.75" hidden="false" customHeight="false" outlineLevel="0" collapsed="false">
      <c r="A336" s="2"/>
      <c r="B336" s="2"/>
    </row>
    <row r="337" customFormat="false" ht="15.75" hidden="false" customHeight="false" outlineLevel="0" collapsed="false">
      <c r="A337" s="2"/>
      <c r="B337" s="2"/>
    </row>
    <row r="338" customFormat="false" ht="15.75" hidden="false" customHeight="false" outlineLevel="0" collapsed="false">
      <c r="A338" s="2"/>
      <c r="B338" s="2"/>
    </row>
    <row r="339" customFormat="false" ht="15.75" hidden="false" customHeight="false" outlineLevel="0" collapsed="false">
      <c r="A339" s="2"/>
      <c r="B339" s="2"/>
    </row>
    <row r="340" customFormat="false" ht="15.75" hidden="false" customHeight="false" outlineLevel="0" collapsed="false">
      <c r="A340" s="2"/>
      <c r="B340" s="2"/>
    </row>
    <row r="341" customFormat="false" ht="15.75" hidden="false" customHeight="false" outlineLevel="0" collapsed="false">
      <c r="A341" s="2"/>
      <c r="B341" s="2"/>
    </row>
    <row r="342" customFormat="false" ht="15.75" hidden="false" customHeight="false" outlineLevel="0" collapsed="false">
      <c r="A342" s="2"/>
      <c r="B342" s="2"/>
    </row>
    <row r="343" customFormat="false" ht="15.75" hidden="false" customHeight="false" outlineLevel="0" collapsed="false">
      <c r="A343" s="2"/>
      <c r="B343" s="2"/>
    </row>
    <row r="344" customFormat="false" ht="15.75" hidden="false" customHeight="false" outlineLevel="0" collapsed="false">
      <c r="A344" s="2"/>
      <c r="B344" s="2"/>
    </row>
    <row r="345" customFormat="false" ht="15.75" hidden="false" customHeight="false" outlineLevel="0" collapsed="false">
      <c r="A345" s="2"/>
      <c r="B345" s="2"/>
    </row>
    <row r="346" customFormat="false" ht="15.75" hidden="false" customHeight="false" outlineLevel="0" collapsed="false">
      <c r="A346" s="2"/>
      <c r="B346" s="2"/>
    </row>
    <row r="347" customFormat="false" ht="15.75" hidden="false" customHeight="false" outlineLevel="0" collapsed="false">
      <c r="A347" s="2"/>
      <c r="B347" s="2"/>
    </row>
    <row r="348" customFormat="false" ht="15.75" hidden="false" customHeight="false" outlineLevel="0" collapsed="false">
      <c r="A348" s="2"/>
      <c r="B348" s="2"/>
    </row>
    <row r="349" customFormat="false" ht="15.75" hidden="false" customHeight="false" outlineLevel="0" collapsed="false">
      <c r="A349" s="2"/>
      <c r="B349" s="2"/>
    </row>
    <row r="350" customFormat="false" ht="15.75" hidden="false" customHeight="false" outlineLevel="0" collapsed="false">
      <c r="A350" s="2"/>
      <c r="B350" s="2"/>
    </row>
    <row r="351" customFormat="false" ht="15.75" hidden="false" customHeight="false" outlineLevel="0" collapsed="false">
      <c r="A351" s="2"/>
      <c r="B351" s="2"/>
    </row>
    <row r="352" customFormat="false" ht="15.75" hidden="false" customHeight="false" outlineLevel="0" collapsed="false">
      <c r="A352" s="2"/>
      <c r="B352" s="2"/>
    </row>
    <row r="353" customFormat="false" ht="15.75" hidden="false" customHeight="false" outlineLevel="0" collapsed="false">
      <c r="A353" s="2"/>
      <c r="B353" s="2"/>
    </row>
    <row r="354" customFormat="false" ht="15.75" hidden="false" customHeight="false" outlineLevel="0" collapsed="false">
      <c r="A354" s="2"/>
      <c r="B354" s="2"/>
    </row>
    <row r="355" customFormat="false" ht="15.75" hidden="false" customHeight="false" outlineLevel="0" collapsed="false">
      <c r="A355" s="2"/>
      <c r="B355" s="2"/>
    </row>
    <row r="356" customFormat="false" ht="15.75" hidden="false" customHeight="false" outlineLevel="0" collapsed="false">
      <c r="A356" s="2"/>
      <c r="B356" s="2"/>
    </row>
    <row r="357" customFormat="false" ht="15.75" hidden="false" customHeight="false" outlineLevel="0" collapsed="false">
      <c r="A357" s="2"/>
      <c r="B357" s="2"/>
    </row>
    <row r="358" customFormat="false" ht="15.75" hidden="false" customHeight="false" outlineLevel="0" collapsed="false">
      <c r="A358" s="2"/>
      <c r="B358" s="2"/>
    </row>
    <row r="359" customFormat="false" ht="15.75" hidden="false" customHeight="false" outlineLevel="0" collapsed="false">
      <c r="A359" s="2"/>
      <c r="B359" s="2"/>
    </row>
    <row r="360" customFormat="false" ht="15.75" hidden="false" customHeight="false" outlineLevel="0" collapsed="false">
      <c r="A360" s="2"/>
      <c r="B360" s="2"/>
    </row>
    <row r="361" customFormat="false" ht="15.75" hidden="false" customHeight="false" outlineLevel="0" collapsed="false">
      <c r="A361" s="2"/>
      <c r="B361" s="2"/>
    </row>
    <row r="362" customFormat="false" ht="15.75" hidden="false" customHeight="false" outlineLevel="0" collapsed="false">
      <c r="A362" s="2"/>
      <c r="B362" s="2"/>
    </row>
    <row r="363" customFormat="false" ht="15.75" hidden="false" customHeight="false" outlineLevel="0" collapsed="false">
      <c r="A363" s="2"/>
      <c r="B363" s="2"/>
    </row>
    <row r="364" customFormat="false" ht="15.75" hidden="false" customHeight="false" outlineLevel="0" collapsed="false">
      <c r="A364" s="2"/>
      <c r="B364" s="2"/>
    </row>
    <row r="365" customFormat="false" ht="15.75" hidden="false" customHeight="false" outlineLevel="0" collapsed="false">
      <c r="A365" s="2"/>
      <c r="B365" s="2"/>
    </row>
    <row r="366" customFormat="false" ht="15.75" hidden="false" customHeight="false" outlineLevel="0" collapsed="false">
      <c r="A366" s="2"/>
      <c r="B366" s="2"/>
    </row>
    <row r="367" customFormat="false" ht="15.75" hidden="false" customHeight="false" outlineLevel="0" collapsed="false">
      <c r="A367" s="2"/>
      <c r="B367" s="2"/>
    </row>
    <row r="368" customFormat="false" ht="15.75" hidden="false" customHeight="false" outlineLevel="0" collapsed="false">
      <c r="A368" s="2"/>
      <c r="B368" s="2"/>
    </row>
    <row r="369" customFormat="false" ht="15.75" hidden="false" customHeight="false" outlineLevel="0" collapsed="false">
      <c r="A369" s="2"/>
      <c r="B369" s="2"/>
    </row>
    <row r="370" customFormat="false" ht="15.75" hidden="false" customHeight="false" outlineLevel="0" collapsed="false">
      <c r="A370" s="2"/>
      <c r="B370" s="2"/>
    </row>
    <row r="371" customFormat="false" ht="15.75" hidden="false" customHeight="false" outlineLevel="0" collapsed="false">
      <c r="A371" s="2"/>
      <c r="B371" s="2"/>
    </row>
    <row r="372" customFormat="false" ht="15.75" hidden="false" customHeight="false" outlineLevel="0" collapsed="false">
      <c r="A372" s="2"/>
      <c r="B372" s="2"/>
    </row>
    <row r="373" customFormat="false" ht="15.75" hidden="false" customHeight="false" outlineLevel="0" collapsed="false">
      <c r="A373" s="2"/>
      <c r="B373" s="2"/>
    </row>
    <row r="374" customFormat="false" ht="15.75" hidden="false" customHeight="false" outlineLevel="0" collapsed="false">
      <c r="A374" s="2"/>
      <c r="B374" s="2"/>
    </row>
    <row r="375" customFormat="false" ht="15.75" hidden="false" customHeight="false" outlineLevel="0" collapsed="false">
      <c r="A375" s="2"/>
      <c r="B375" s="2"/>
    </row>
    <row r="376" customFormat="false" ht="15.75" hidden="false" customHeight="false" outlineLevel="0" collapsed="false">
      <c r="A376" s="2"/>
      <c r="B376" s="2"/>
    </row>
    <row r="377" customFormat="false" ht="15.75" hidden="false" customHeight="false" outlineLevel="0" collapsed="false">
      <c r="A377" s="2"/>
      <c r="B377" s="2"/>
    </row>
    <row r="378" customFormat="false" ht="15.75" hidden="false" customHeight="false" outlineLevel="0" collapsed="false">
      <c r="A378" s="2"/>
      <c r="B378" s="2"/>
    </row>
    <row r="379" customFormat="false" ht="15.75" hidden="false" customHeight="false" outlineLevel="0" collapsed="false">
      <c r="A379" s="2"/>
      <c r="B379" s="2"/>
    </row>
    <row r="380" customFormat="false" ht="15.75" hidden="false" customHeight="false" outlineLevel="0" collapsed="false">
      <c r="A380" s="2"/>
      <c r="B380" s="2"/>
    </row>
    <row r="381" customFormat="false" ht="15.75" hidden="false" customHeight="false" outlineLevel="0" collapsed="false">
      <c r="A381" s="2"/>
      <c r="B381" s="2"/>
    </row>
    <row r="382" customFormat="false" ht="15.75" hidden="false" customHeight="false" outlineLevel="0" collapsed="false">
      <c r="A382" s="2"/>
      <c r="B382" s="2"/>
    </row>
    <row r="383" customFormat="false" ht="15.75" hidden="false" customHeight="false" outlineLevel="0" collapsed="false">
      <c r="A383" s="2"/>
      <c r="B383" s="2"/>
    </row>
    <row r="384" customFormat="false" ht="15.75" hidden="false" customHeight="false" outlineLevel="0" collapsed="false">
      <c r="A384" s="2"/>
      <c r="B384" s="2"/>
    </row>
    <row r="385" customFormat="false" ht="15.75" hidden="false" customHeight="false" outlineLevel="0" collapsed="false">
      <c r="A385" s="2"/>
      <c r="B385" s="2"/>
    </row>
    <row r="386" customFormat="false" ht="15.75" hidden="false" customHeight="false" outlineLevel="0" collapsed="false">
      <c r="A386" s="2"/>
      <c r="B386" s="2"/>
    </row>
    <row r="387" customFormat="false" ht="15.75" hidden="false" customHeight="false" outlineLevel="0" collapsed="false">
      <c r="A387" s="2"/>
      <c r="B387" s="2"/>
    </row>
    <row r="388" customFormat="false" ht="15.75" hidden="false" customHeight="false" outlineLevel="0" collapsed="false">
      <c r="A388" s="2"/>
      <c r="B388" s="2"/>
    </row>
    <row r="389" customFormat="false" ht="15.75" hidden="false" customHeight="false" outlineLevel="0" collapsed="false">
      <c r="A389" s="2"/>
      <c r="B389" s="2"/>
    </row>
    <row r="390" customFormat="false" ht="15.75" hidden="false" customHeight="false" outlineLevel="0" collapsed="false">
      <c r="A390" s="2"/>
      <c r="B390" s="2"/>
    </row>
    <row r="391" customFormat="false" ht="15.75" hidden="false" customHeight="false" outlineLevel="0" collapsed="false">
      <c r="A391" s="2"/>
      <c r="B391" s="2"/>
    </row>
    <row r="392" customFormat="false" ht="15.75" hidden="false" customHeight="false" outlineLevel="0" collapsed="false">
      <c r="A392" s="2"/>
      <c r="B392" s="2"/>
    </row>
    <row r="393" customFormat="false" ht="15.75" hidden="false" customHeight="false" outlineLevel="0" collapsed="false">
      <c r="A393" s="2"/>
      <c r="B393" s="2"/>
    </row>
    <row r="394" customFormat="false" ht="15.75" hidden="false" customHeight="false" outlineLevel="0" collapsed="false">
      <c r="A394" s="2"/>
      <c r="B394" s="2"/>
    </row>
    <row r="395" customFormat="false" ht="15.75" hidden="false" customHeight="false" outlineLevel="0" collapsed="false">
      <c r="A395" s="2"/>
      <c r="B395" s="2"/>
    </row>
    <row r="396" customFormat="false" ht="15.75" hidden="false" customHeight="false" outlineLevel="0" collapsed="false">
      <c r="A396" s="2"/>
      <c r="B396" s="2"/>
    </row>
    <row r="397" customFormat="false" ht="15.75" hidden="false" customHeight="false" outlineLevel="0" collapsed="false">
      <c r="A397" s="2"/>
      <c r="B397" s="2"/>
    </row>
    <row r="398" customFormat="false" ht="15.75" hidden="false" customHeight="false" outlineLevel="0" collapsed="false">
      <c r="A398" s="2"/>
      <c r="B398" s="2"/>
    </row>
    <row r="399" customFormat="false" ht="15.75" hidden="false" customHeight="false" outlineLevel="0" collapsed="false">
      <c r="A399" s="2"/>
      <c r="B399" s="2"/>
    </row>
    <row r="400" customFormat="false" ht="15.75" hidden="false" customHeight="false" outlineLevel="0" collapsed="false">
      <c r="A400" s="2"/>
      <c r="B400" s="2"/>
    </row>
    <row r="401" customFormat="false" ht="15.75" hidden="false" customHeight="false" outlineLevel="0" collapsed="false">
      <c r="A401" s="2"/>
      <c r="B401" s="2"/>
    </row>
    <row r="402" customFormat="false" ht="15.75" hidden="false" customHeight="false" outlineLevel="0" collapsed="false">
      <c r="A402" s="2"/>
      <c r="B402" s="2"/>
    </row>
    <row r="403" customFormat="false" ht="15.75" hidden="false" customHeight="false" outlineLevel="0" collapsed="false">
      <c r="A403" s="2"/>
      <c r="B403" s="2"/>
    </row>
    <row r="404" customFormat="false" ht="15.75" hidden="false" customHeight="false" outlineLevel="0" collapsed="false">
      <c r="A404" s="2"/>
      <c r="B404" s="2"/>
    </row>
    <row r="405" customFormat="false" ht="15.75" hidden="false" customHeight="false" outlineLevel="0" collapsed="false">
      <c r="A405" s="2"/>
      <c r="B405" s="2"/>
    </row>
    <row r="406" customFormat="false" ht="15.75" hidden="false" customHeight="false" outlineLevel="0" collapsed="false">
      <c r="A406" s="2"/>
      <c r="B406" s="2"/>
    </row>
    <row r="407" customFormat="false" ht="15.75" hidden="false" customHeight="false" outlineLevel="0" collapsed="false">
      <c r="A407" s="2"/>
      <c r="B407" s="2"/>
    </row>
    <row r="408" customFormat="false" ht="15.75" hidden="false" customHeight="false" outlineLevel="0" collapsed="false">
      <c r="A408" s="2"/>
      <c r="B408" s="2"/>
    </row>
    <row r="409" customFormat="false" ht="15.75" hidden="false" customHeight="false" outlineLevel="0" collapsed="false">
      <c r="A409" s="2"/>
      <c r="B409" s="2"/>
    </row>
    <row r="410" customFormat="false" ht="15.75" hidden="false" customHeight="false" outlineLevel="0" collapsed="false">
      <c r="A410" s="2"/>
      <c r="B410" s="2"/>
    </row>
    <row r="411" customFormat="false" ht="15.75" hidden="false" customHeight="false" outlineLevel="0" collapsed="false">
      <c r="A411" s="2"/>
      <c r="B411" s="2"/>
    </row>
    <row r="412" customFormat="false" ht="15.75" hidden="false" customHeight="false" outlineLevel="0" collapsed="false">
      <c r="A412" s="2"/>
      <c r="B412" s="2"/>
    </row>
    <row r="413" customFormat="false" ht="15.75" hidden="false" customHeight="false" outlineLevel="0" collapsed="false">
      <c r="A413" s="2"/>
      <c r="B413" s="2"/>
    </row>
    <row r="414" customFormat="false" ht="15.75" hidden="false" customHeight="false" outlineLevel="0" collapsed="false">
      <c r="A414" s="2"/>
      <c r="B414" s="2"/>
    </row>
    <row r="415" customFormat="false" ht="15.75" hidden="false" customHeight="false" outlineLevel="0" collapsed="false">
      <c r="A415" s="2"/>
      <c r="B415" s="2"/>
    </row>
    <row r="416" customFormat="false" ht="15.75" hidden="false" customHeight="false" outlineLevel="0" collapsed="false">
      <c r="A416" s="2"/>
      <c r="B416" s="2"/>
    </row>
    <row r="417" customFormat="false" ht="15.75" hidden="false" customHeight="false" outlineLevel="0" collapsed="false">
      <c r="A417" s="2"/>
      <c r="B417" s="2"/>
    </row>
    <row r="418" customFormat="false" ht="15.75" hidden="false" customHeight="false" outlineLevel="0" collapsed="false">
      <c r="A418" s="2"/>
      <c r="B418" s="2"/>
    </row>
    <row r="419" customFormat="false" ht="15.75" hidden="false" customHeight="false" outlineLevel="0" collapsed="false">
      <c r="A419" s="2"/>
      <c r="B419" s="2"/>
    </row>
    <row r="420" customFormat="false" ht="15.75" hidden="false" customHeight="false" outlineLevel="0" collapsed="false">
      <c r="A420" s="2"/>
      <c r="B420" s="2"/>
    </row>
    <row r="421" customFormat="false" ht="15.75" hidden="false" customHeight="false" outlineLevel="0" collapsed="false">
      <c r="A421" s="2"/>
      <c r="B421" s="2"/>
    </row>
    <row r="422" customFormat="false" ht="15.75" hidden="false" customHeight="false" outlineLevel="0" collapsed="false">
      <c r="A422" s="2"/>
      <c r="B422" s="2"/>
    </row>
    <row r="423" customFormat="false" ht="15.75" hidden="false" customHeight="false" outlineLevel="0" collapsed="false">
      <c r="A423" s="2"/>
      <c r="B423" s="2"/>
    </row>
    <row r="424" customFormat="false" ht="15.75" hidden="false" customHeight="false" outlineLevel="0" collapsed="false">
      <c r="A424" s="2"/>
      <c r="B424" s="2"/>
    </row>
    <row r="425" customFormat="false" ht="15.75" hidden="false" customHeight="false" outlineLevel="0" collapsed="false">
      <c r="A425" s="2"/>
      <c r="B425" s="2"/>
    </row>
    <row r="426" customFormat="false" ht="15.75" hidden="false" customHeight="false" outlineLevel="0" collapsed="false">
      <c r="A426" s="2"/>
      <c r="B426" s="2"/>
    </row>
    <row r="427" customFormat="false" ht="15.75" hidden="false" customHeight="false" outlineLevel="0" collapsed="false">
      <c r="A427" s="2"/>
      <c r="B427" s="2"/>
    </row>
    <row r="428" customFormat="false" ht="15.75" hidden="false" customHeight="false" outlineLevel="0" collapsed="false">
      <c r="A428" s="2"/>
      <c r="B428" s="2"/>
    </row>
    <row r="429" customFormat="false" ht="15.75" hidden="false" customHeight="false" outlineLevel="0" collapsed="false">
      <c r="A429" s="2"/>
      <c r="B429" s="2"/>
    </row>
    <row r="430" customFormat="false" ht="15.75" hidden="false" customHeight="false" outlineLevel="0" collapsed="false">
      <c r="A430" s="2"/>
      <c r="B430" s="2"/>
    </row>
    <row r="431" customFormat="false" ht="15.75" hidden="false" customHeight="false" outlineLevel="0" collapsed="false">
      <c r="A431" s="2"/>
      <c r="B431" s="2"/>
    </row>
    <row r="432" customFormat="false" ht="15.75" hidden="false" customHeight="false" outlineLevel="0" collapsed="false">
      <c r="A432" s="2"/>
      <c r="B432" s="2"/>
    </row>
    <row r="433" customFormat="false" ht="15.75" hidden="false" customHeight="false" outlineLevel="0" collapsed="false">
      <c r="A433" s="2"/>
      <c r="B433" s="2"/>
    </row>
    <row r="434" customFormat="false" ht="15.75" hidden="false" customHeight="false" outlineLevel="0" collapsed="false">
      <c r="A434" s="2"/>
      <c r="B434" s="2"/>
    </row>
    <row r="435" customFormat="false" ht="15.75" hidden="false" customHeight="false" outlineLevel="0" collapsed="false">
      <c r="A435" s="2"/>
      <c r="B435" s="2"/>
    </row>
    <row r="436" customFormat="false" ht="15.75" hidden="false" customHeight="false" outlineLevel="0" collapsed="false">
      <c r="A436" s="2"/>
      <c r="B436" s="2"/>
    </row>
    <row r="437" customFormat="false" ht="15.75" hidden="false" customHeight="false" outlineLevel="0" collapsed="false">
      <c r="A437" s="2"/>
      <c r="B437" s="2"/>
    </row>
    <row r="438" customFormat="false" ht="15.75" hidden="false" customHeight="false" outlineLevel="0" collapsed="false">
      <c r="A438" s="2"/>
      <c r="B438" s="2"/>
    </row>
    <row r="439" customFormat="false" ht="15.75" hidden="false" customHeight="false" outlineLevel="0" collapsed="false">
      <c r="A439" s="2"/>
      <c r="B439" s="2"/>
    </row>
    <row r="440" customFormat="false" ht="15.75" hidden="false" customHeight="false" outlineLevel="0" collapsed="false">
      <c r="A440" s="2"/>
      <c r="B440" s="2"/>
    </row>
    <row r="441" customFormat="false" ht="15.75" hidden="false" customHeight="false" outlineLevel="0" collapsed="false">
      <c r="A441" s="2"/>
      <c r="B441" s="2"/>
    </row>
    <row r="442" customFormat="false" ht="15.75" hidden="false" customHeight="false" outlineLevel="0" collapsed="false">
      <c r="A442" s="2"/>
      <c r="B442" s="2"/>
    </row>
    <row r="443" customFormat="false" ht="15.75" hidden="false" customHeight="false" outlineLevel="0" collapsed="false">
      <c r="A443" s="2"/>
      <c r="B443" s="2"/>
    </row>
    <row r="444" customFormat="false" ht="15.75" hidden="false" customHeight="false" outlineLevel="0" collapsed="false">
      <c r="A444" s="2"/>
      <c r="B444" s="2"/>
    </row>
    <row r="445" customFormat="false" ht="15.75" hidden="false" customHeight="false" outlineLevel="0" collapsed="false">
      <c r="A445" s="2"/>
      <c r="B445" s="2"/>
    </row>
    <row r="446" customFormat="false" ht="15.75" hidden="false" customHeight="false" outlineLevel="0" collapsed="false">
      <c r="A446" s="2"/>
      <c r="B446" s="2"/>
    </row>
    <row r="447" customFormat="false" ht="15.75" hidden="false" customHeight="false" outlineLevel="0" collapsed="false">
      <c r="A447" s="2"/>
      <c r="B447" s="2"/>
    </row>
    <row r="448" customFormat="false" ht="15.75" hidden="false" customHeight="false" outlineLevel="0" collapsed="false">
      <c r="A448" s="2"/>
      <c r="B448" s="2"/>
    </row>
    <row r="449" customFormat="false" ht="15.75" hidden="false" customHeight="false" outlineLevel="0" collapsed="false">
      <c r="A449" s="2"/>
      <c r="B449" s="2"/>
    </row>
    <row r="450" customFormat="false" ht="15.75" hidden="false" customHeight="false" outlineLevel="0" collapsed="false">
      <c r="A450" s="2"/>
      <c r="B450" s="2"/>
    </row>
    <row r="451" customFormat="false" ht="15.75" hidden="false" customHeight="false" outlineLevel="0" collapsed="false">
      <c r="A451" s="2"/>
      <c r="B451" s="2"/>
    </row>
    <row r="452" customFormat="false" ht="15.75" hidden="false" customHeight="false" outlineLevel="0" collapsed="false">
      <c r="A452" s="2"/>
      <c r="B452" s="2"/>
    </row>
    <row r="453" customFormat="false" ht="15.75" hidden="false" customHeight="false" outlineLevel="0" collapsed="false">
      <c r="A453" s="2"/>
      <c r="B453" s="2"/>
    </row>
    <row r="454" customFormat="false" ht="15.75" hidden="false" customHeight="false" outlineLevel="0" collapsed="false">
      <c r="A454" s="2"/>
      <c r="B454" s="2"/>
    </row>
    <row r="455" customFormat="false" ht="15.75" hidden="false" customHeight="false" outlineLevel="0" collapsed="false">
      <c r="A455" s="2"/>
      <c r="B455" s="2"/>
    </row>
    <row r="456" customFormat="false" ht="15.75" hidden="false" customHeight="false" outlineLevel="0" collapsed="false">
      <c r="A456" s="2"/>
      <c r="B456" s="2"/>
    </row>
    <row r="457" customFormat="false" ht="15.75" hidden="false" customHeight="false" outlineLevel="0" collapsed="false">
      <c r="A457" s="2"/>
      <c r="B457" s="2"/>
    </row>
    <row r="458" customFormat="false" ht="15.75" hidden="false" customHeight="false" outlineLevel="0" collapsed="false">
      <c r="A458" s="2"/>
      <c r="B458" s="2"/>
    </row>
    <row r="459" customFormat="false" ht="15.75" hidden="false" customHeight="false" outlineLevel="0" collapsed="false">
      <c r="A459" s="2"/>
      <c r="B459" s="2"/>
    </row>
    <row r="460" customFormat="false" ht="15.75" hidden="false" customHeight="false" outlineLevel="0" collapsed="false">
      <c r="A460" s="2"/>
      <c r="B460" s="2"/>
    </row>
    <row r="461" customFormat="false" ht="15.75" hidden="false" customHeight="false" outlineLevel="0" collapsed="false">
      <c r="A461" s="2"/>
      <c r="B461" s="2"/>
    </row>
    <row r="462" customFormat="false" ht="15.75" hidden="false" customHeight="false" outlineLevel="0" collapsed="false">
      <c r="A462" s="2"/>
      <c r="B462" s="2"/>
    </row>
    <row r="463" customFormat="false" ht="15.75" hidden="false" customHeight="false" outlineLevel="0" collapsed="false">
      <c r="A463" s="2"/>
      <c r="B463" s="2"/>
    </row>
    <row r="464" customFormat="false" ht="15.75" hidden="false" customHeight="false" outlineLevel="0" collapsed="false">
      <c r="A464" s="2"/>
      <c r="B464" s="2"/>
    </row>
    <row r="465" customFormat="false" ht="15.75" hidden="false" customHeight="false" outlineLevel="0" collapsed="false">
      <c r="A465" s="2"/>
      <c r="B465" s="2"/>
    </row>
    <row r="466" customFormat="false" ht="15.75" hidden="false" customHeight="false" outlineLevel="0" collapsed="false">
      <c r="A466" s="2"/>
      <c r="B466" s="2"/>
    </row>
    <row r="467" customFormat="false" ht="15.75" hidden="false" customHeight="false" outlineLevel="0" collapsed="false">
      <c r="A467" s="2"/>
      <c r="B467" s="2"/>
    </row>
    <row r="468" customFormat="false" ht="15.75" hidden="false" customHeight="false" outlineLevel="0" collapsed="false">
      <c r="A468" s="2"/>
      <c r="B468" s="2"/>
    </row>
    <row r="469" customFormat="false" ht="15.75" hidden="false" customHeight="false" outlineLevel="0" collapsed="false">
      <c r="A469" s="2"/>
      <c r="B469" s="2"/>
    </row>
    <row r="470" customFormat="false" ht="15.75" hidden="false" customHeight="false" outlineLevel="0" collapsed="false">
      <c r="A470" s="2"/>
      <c r="B470" s="2"/>
    </row>
    <row r="471" customFormat="false" ht="15.75" hidden="false" customHeight="false" outlineLevel="0" collapsed="false">
      <c r="A471" s="2"/>
      <c r="B471" s="2"/>
    </row>
    <row r="472" customFormat="false" ht="15.75" hidden="false" customHeight="false" outlineLevel="0" collapsed="false">
      <c r="A472" s="2"/>
      <c r="B472" s="2"/>
    </row>
    <row r="473" customFormat="false" ht="15.75" hidden="false" customHeight="false" outlineLevel="0" collapsed="false">
      <c r="A473" s="2"/>
      <c r="B473" s="2"/>
    </row>
    <row r="474" customFormat="false" ht="15.75" hidden="false" customHeight="false" outlineLevel="0" collapsed="false">
      <c r="A474" s="2"/>
      <c r="B474" s="2"/>
    </row>
    <row r="475" customFormat="false" ht="15.75" hidden="false" customHeight="false" outlineLevel="0" collapsed="false">
      <c r="A475" s="2"/>
      <c r="B475" s="2"/>
    </row>
    <row r="476" customFormat="false" ht="15.75" hidden="false" customHeight="false" outlineLevel="0" collapsed="false">
      <c r="A476" s="2"/>
      <c r="B476" s="2"/>
    </row>
    <row r="477" customFormat="false" ht="15.75" hidden="false" customHeight="false" outlineLevel="0" collapsed="false">
      <c r="A477" s="2"/>
      <c r="B477" s="2"/>
    </row>
    <row r="478" customFormat="false" ht="15.75" hidden="false" customHeight="false" outlineLevel="0" collapsed="false">
      <c r="A478" s="2"/>
      <c r="B478" s="2"/>
    </row>
    <row r="479" customFormat="false" ht="15.75" hidden="false" customHeight="false" outlineLevel="0" collapsed="false">
      <c r="A479" s="2"/>
      <c r="B479" s="2"/>
    </row>
    <row r="480" customFormat="false" ht="15.75" hidden="false" customHeight="false" outlineLevel="0" collapsed="false">
      <c r="A480" s="2"/>
      <c r="B480" s="2"/>
    </row>
    <row r="481" customFormat="false" ht="15.75" hidden="false" customHeight="false" outlineLevel="0" collapsed="false">
      <c r="A481" s="2"/>
      <c r="B481" s="2"/>
    </row>
    <row r="482" customFormat="false" ht="15.75" hidden="false" customHeight="false" outlineLevel="0" collapsed="false">
      <c r="A482" s="2"/>
      <c r="B482" s="2"/>
    </row>
    <row r="483" customFormat="false" ht="15.75" hidden="false" customHeight="false" outlineLevel="0" collapsed="false">
      <c r="A483" s="2"/>
      <c r="B483" s="2"/>
    </row>
    <row r="484" customFormat="false" ht="15.75" hidden="false" customHeight="false" outlineLevel="0" collapsed="false">
      <c r="A484" s="2"/>
      <c r="B484" s="2"/>
    </row>
    <row r="485" customFormat="false" ht="15.75" hidden="false" customHeight="false" outlineLevel="0" collapsed="false">
      <c r="A485" s="2"/>
      <c r="B485" s="2"/>
    </row>
    <row r="486" customFormat="false" ht="15.75" hidden="false" customHeight="false" outlineLevel="0" collapsed="false">
      <c r="A486" s="2"/>
      <c r="B486" s="2"/>
    </row>
    <row r="487" customFormat="false" ht="15.75" hidden="false" customHeight="false" outlineLevel="0" collapsed="false">
      <c r="A487" s="2"/>
      <c r="B487" s="2"/>
    </row>
    <row r="488" customFormat="false" ht="15.75" hidden="false" customHeight="false" outlineLevel="0" collapsed="false">
      <c r="A488" s="2"/>
      <c r="B488" s="2"/>
    </row>
    <row r="489" customFormat="false" ht="15.75" hidden="false" customHeight="false" outlineLevel="0" collapsed="false">
      <c r="A489" s="2"/>
      <c r="B489" s="2"/>
    </row>
    <row r="490" customFormat="false" ht="15.75" hidden="false" customHeight="false" outlineLevel="0" collapsed="false">
      <c r="A490" s="2"/>
      <c r="B490" s="2"/>
    </row>
    <row r="491" customFormat="false" ht="15.75" hidden="false" customHeight="false" outlineLevel="0" collapsed="false">
      <c r="A491" s="2"/>
      <c r="B491" s="2"/>
    </row>
    <row r="492" customFormat="false" ht="15.75" hidden="false" customHeight="false" outlineLevel="0" collapsed="false">
      <c r="A492" s="2"/>
      <c r="B492" s="2"/>
    </row>
    <row r="493" customFormat="false" ht="15.75" hidden="false" customHeight="false" outlineLevel="0" collapsed="false">
      <c r="A493" s="2"/>
      <c r="B493" s="2"/>
    </row>
    <row r="494" customFormat="false" ht="15.75" hidden="false" customHeight="false" outlineLevel="0" collapsed="false">
      <c r="A494" s="2"/>
      <c r="B494" s="2"/>
    </row>
    <row r="495" customFormat="false" ht="15.75" hidden="false" customHeight="false" outlineLevel="0" collapsed="false">
      <c r="A495" s="2"/>
      <c r="B495" s="2"/>
    </row>
    <row r="496" customFormat="false" ht="15.75" hidden="false" customHeight="false" outlineLevel="0" collapsed="false">
      <c r="A496" s="2"/>
      <c r="B496" s="2"/>
    </row>
    <row r="497" customFormat="false" ht="15.75" hidden="false" customHeight="false" outlineLevel="0" collapsed="false">
      <c r="A497" s="2"/>
      <c r="B497" s="2"/>
    </row>
    <row r="498" customFormat="false" ht="15.75" hidden="false" customHeight="false" outlineLevel="0" collapsed="false">
      <c r="A498" s="2"/>
      <c r="B498" s="2"/>
    </row>
    <row r="499" customFormat="false" ht="15.75" hidden="false" customHeight="false" outlineLevel="0" collapsed="false">
      <c r="A499" s="2"/>
      <c r="B499" s="2"/>
    </row>
    <row r="500" customFormat="false" ht="15.75" hidden="false" customHeight="false" outlineLevel="0" collapsed="false">
      <c r="A500" s="2"/>
      <c r="B500" s="2"/>
    </row>
    <row r="501" customFormat="false" ht="15.75" hidden="false" customHeight="false" outlineLevel="0" collapsed="false">
      <c r="A501" s="2"/>
      <c r="B501" s="2"/>
    </row>
    <row r="502" customFormat="false" ht="15.75" hidden="false" customHeight="false" outlineLevel="0" collapsed="false">
      <c r="A502" s="2"/>
      <c r="B502" s="2"/>
    </row>
    <row r="503" customFormat="false" ht="15.75" hidden="false" customHeight="false" outlineLevel="0" collapsed="false">
      <c r="A503" s="2"/>
      <c r="B503" s="2"/>
    </row>
    <row r="504" customFormat="false" ht="15.75" hidden="false" customHeight="false" outlineLevel="0" collapsed="false">
      <c r="A504" s="2"/>
      <c r="B504" s="2"/>
    </row>
    <row r="505" customFormat="false" ht="15.75" hidden="false" customHeight="false" outlineLevel="0" collapsed="false">
      <c r="A505" s="2"/>
      <c r="B505" s="2"/>
    </row>
    <row r="506" customFormat="false" ht="15.75" hidden="false" customHeight="false" outlineLevel="0" collapsed="false">
      <c r="A506" s="2"/>
      <c r="B506" s="2"/>
    </row>
    <row r="507" customFormat="false" ht="15.75" hidden="false" customHeight="false" outlineLevel="0" collapsed="false">
      <c r="A507" s="2"/>
      <c r="B507" s="2"/>
    </row>
    <row r="508" customFormat="false" ht="15.75" hidden="false" customHeight="false" outlineLevel="0" collapsed="false">
      <c r="A508" s="2"/>
      <c r="B508" s="2"/>
    </row>
    <row r="509" customFormat="false" ht="15.75" hidden="false" customHeight="false" outlineLevel="0" collapsed="false">
      <c r="A509" s="2"/>
      <c r="B509" s="2"/>
    </row>
    <row r="510" customFormat="false" ht="15.75" hidden="false" customHeight="false" outlineLevel="0" collapsed="false">
      <c r="A510" s="2"/>
      <c r="B510" s="2"/>
    </row>
    <row r="511" customFormat="false" ht="15.75" hidden="false" customHeight="false" outlineLevel="0" collapsed="false">
      <c r="A511" s="2"/>
      <c r="B511" s="2"/>
    </row>
    <row r="512" customFormat="false" ht="15.75" hidden="false" customHeight="false" outlineLevel="0" collapsed="false">
      <c r="A512" s="2"/>
      <c r="B512" s="2"/>
    </row>
    <row r="513" customFormat="false" ht="15.75" hidden="false" customHeight="false" outlineLevel="0" collapsed="false">
      <c r="A513" s="2"/>
      <c r="B513" s="2"/>
    </row>
    <row r="514" customFormat="false" ht="15.75" hidden="false" customHeight="false" outlineLevel="0" collapsed="false">
      <c r="A514" s="2"/>
      <c r="B514" s="2"/>
    </row>
    <row r="515" customFormat="false" ht="15.75" hidden="false" customHeight="false" outlineLevel="0" collapsed="false">
      <c r="A515" s="2"/>
      <c r="B515" s="2"/>
    </row>
    <row r="516" customFormat="false" ht="15.75" hidden="false" customHeight="false" outlineLevel="0" collapsed="false">
      <c r="A516" s="2"/>
      <c r="B516" s="2"/>
    </row>
    <row r="517" customFormat="false" ht="15.75" hidden="false" customHeight="false" outlineLevel="0" collapsed="false">
      <c r="A517" s="2"/>
      <c r="B517" s="2"/>
    </row>
    <row r="518" customFormat="false" ht="15.75" hidden="false" customHeight="false" outlineLevel="0" collapsed="false">
      <c r="A518" s="2"/>
      <c r="B518" s="2"/>
    </row>
    <row r="519" customFormat="false" ht="15.75" hidden="false" customHeight="false" outlineLevel="0" collapsed="false">
      <c r="A519" s="2"/>
      <c r="B519" s="2"/>
    </row>
    <row r="520" customFormat="false" ht="15.75" hidden="false" customHeight="false" outlineLevel="0" collapsed="false">
      <c r="A520" s="2"/>
      <c r="B520" s="2"/>
    </row>
    <row r="521" customFormat="false" ht="15.75" hidden="false" customHeight="false" outlineLevel="0" collapsed="false">
      <c r="A521" s="2"/>
      <c r="B521" s="2"/>
    </row>
    <row r="522" customFormat="false" ht="15.75" hidden="false" customHeight="false" outlineLevel="0" collapsed="false">
      <c r="A522" s="2"/>
      <c r="B522" s="2"/>
    </row>
    <row r="523" customFormat="false" ht="15.75" hidden="false" customHeight="false" outlineLevel="0" collapsed="false">
      <c r="A523" s="2"/>
      <c r="B523" s="2"/>
    </row>
    <row r="524" customFormat="false" ht="15.75" hidden="false" customHeight="false" outlineLevel="0" collapsed="false">
      <c r="A524" s="2"/>
      <c r="B524" s="2"/>
    </row>
    <row r="525" customFormat="false" ht="15.75" hidden="false" customHeight="false" outlineLevel="0" collapsed="false">
      <c r="A525" s="2"/>
      <c r="B525" s="2"/>
    </row>
    <row r="526" customFormat="false" ht="15.75" hidden="false" customHeight="false" outlineLevel="0" collapsed="false">
      <c r="A526" s="2"/>
      <c r="B526" s="2"/>
    </row>
    <row r="527" customFormat="false" ht="15.75" hidden="false" customHeight="false" outlineLevel="0" collapsed="false">
      <c r="A527" s="2"/>
      <c r="B527" s="2"/>
    </row>
    <row r="528" customFormat="false" ht="15.75" hidden="false" customHeight="false" outlineLevel="0" collapsed="false">
      <c r="A528" s="2"/>
      <c r="B528" s="2"/>
    </row>
    <row r="529" customFormat="false" ht="15.75" hidden="false" customHeight="false" outlineLevel="0" collapsed="false">
      <c r="A529" s="2"/>
      <c r="B529" s="2"/>
    </row>
    <row r="530" customFormat="false" ht="15.75" hidden="false" customHeight="false" outlineLevel="0" collapsed="false">
      <c r="A530" s="2"/>
      <c r="B530" s="2"/>
    </row>
    <row r="531" customFormat="false" ht="15.75" hidden="false" customHeight="false" outlineLevel="0" collapsed="false">
      <c r="A531" s="2"/>
      <c r="B531" s="2"/>
    </row>
    <row r="532" customFormat="false" ht="15.75" hidden="false" customHeight="false" outlineLevel="0" collapsed="false">
      <c r="A532" s="2"/>
      <c r="B532" s="2"/>
    </row>
    <row r="533" customFormat="false" ht="15.75" hidden="false" customHeight="false" outlineLevel="0" collapsed="false">
      <c r="A533" s="2"/>
      <c r="B533" s="2"/>
    </row>
    <row r="534" customFormat="false" ht="15.75" hidden="false" customHeight="false" outlineLevel="0" collapsed="false">
      <c r="A534" s="2"/>
      <c r="B534" s="2"/>
    </row>
    <row r="535" customFormat="false" ht="15.75" hidden="false" customHeight="false" outlineLevel="0" collapsed="false">
      <c r="A535" s="2"/>
      <c r="B535" s="2"/>
    </row>
    <row r="536" customFormat="false" ht="15.75" hidden="false" customHeight="false" outlineLevel="0" collapsed="false">
      <c r="A536" s="2"/>
      <c r="B536" s="2"/>
    </row>
    <row r="537" customFormat="false" ht="15.75" hidden="false" customHeight="false" outlineLevel="0" collapsed="false">
      <c r="A537" s="2"/>
      <c r="B537" s="2"/>
    </row>
    <row r="538" customFormat="false" ht="15.75" hidden="false" customHeight="false" outlineLevel="0" collapsed="false">
      <c r="A538" s="2"/>
      <c r="B538" s="2"/>
    </row>
    <row r="539" customFormat="false" ht="15.75" hidden="false" customHeight="false" outlineLevel="0" collapsed="false">
      <c r="A539" s="2"/>
      <c r="B539" s="2"/>
    </row>
    <row r="540" customFormat="false" ht="15.75" hidden="false" customHeight="false" outlineLevel="0" collapsed="false">
      <c r="A540" s="2"/>
      <c r="B540" s="2"/>
    </row>
    <row r="541" customFormat="false" ht="15.75" hidden="false" customHeight="false" outlineLevel="0" collapsed="false">
      <c r="A541" s="2"/>
      <c r="B541" s="2"/>
    </row>
    <row r="542" customFormat="false" ht="15.75" hidden="false" customHeight="false" outlineLevel="0" collapsed="false">
      <c r="A542" s="2"/>
      <c r="B542" s="2"/>
    </row>
    <row r="543" customFormat="false" ht="15.75" hidden="false" customHeight="false" outlineLevel="0" collapsed="false">
      <c r="A543" s="2"/>
      <c r="B543" s="2"/>
    </row>
    <row r="544" customFormat="false" ht="15.75" hidden="false" customHeight="false" outlineLevel="0" collapsed="false">
      <c r="A544" s="2"/>
      <c r="B544" s="2"/>
    </row>
    <row r="545" customFormat="false" ht="15.75" hidden="false" customHeight="false" outlineLevel="0" collapsed="false">
      <c r="A545" s="2"/>
      <c r="B545" s="2"/>
    </row>
    <row r="546" customFormat="false" ht="15.75" hidden="false" customHeight="false" outlineLevel="0" collapsed="false">
      <c r="A546" s="2"/>
      <c r="B546" s="2"/>
    </row>
    <row r="547" customFormat="false" ht="15.75" hidden="false" customHeight="false" outlineLevel="0" collapsed="false">
      <c r="A547" s="2"/>
      <c r="B547" s="2"/>
    </row>
    <row r="548" customFormat="false" ht="15.75" hidden="false" customHeight="false" outlineLevel="0" collapsed="false">
      <c r="A548" s="2"/>
      <c r="B548" s="2"/>
    </row>
    <row r="549" customFormat="false" ht="15.75" hidden="false" customHeight="false" outlineLevel="0" collapsed="false">
      <c r="A549" s="2"/>
      <c r="B549" s="2"/>
    </row>
    <row r="550" customFormat="false" ht="15.75" hidden="false" customHeight="false" outlineLevel="0" collapsed="false">
      <c r="A550" s="2"/>
      <c r="B550" s="2"/>
    </row>
    <row r="551" customFormat="false" ht="15.75" hidden="false" customHeight="false" outlineLevel="0" collapsed="false">
      <c r="A551" s="2"/>
      <c r="B551" s="2"/>
    </row>
    <row r="552" customFormat="false" ht="15.75" hidden="false" customHeight="false" outlineLevel="0" collapsed="false">
      <c r="A552" s="2"/>
      <c r="B552" s="2"/>
    </row>
    <row r="553" customFormat="false" ht="15.75" hidden="false" customHeight="false" outlineLevel="0" collapsed="false">
      <c r="A553" s="2"/>
      <c r="B553" s="2"/>
    </row>
    <row r="554" customFormat="false" ht="15.75" hidden="false" customHeight="false" outlineLevel="0" collapsed="false">
      <c r="A554" s="2"/>
      <c r="B554" s="2"/>
    </row>
    <row r="555" customFormat="false" ht="15.75" hidden="false" customHeight="false" outlineLevel="0" collapsed="false">
      <c r="A555" s="2"/>
      <c r="B555" s="2"/>
    </row>
    <row r="556" customFormat="false" ht="15.75" hidden="false" customHeight="false" outlineLevel="0" collapsed="false">
      <c r="A556" s="2"/>
      <c r="B556" s="2"/>
    </row>
    <row r="557" customFormat="false" ht="15.75" hidden="false" customHeight="false" outlineLevel="0" collapsed="false">
      <c r="A557" s="2"/>
      <c r="B557" s="2"/>
    </row>
    <row r="558" customFormat="false" ht="15.75" hidden="false" customHeight="false" outlineLevel="0" collapsed="false">
      <c r="A558" s="2"/>
      <c r="B558" s="2"/>
    </row>
    <row r="559" customFormat="false" ht="15.75" hidden="false" customHeight="false" outlineLevel="0" collapsed="false">
      <c r="A559" s="2"/>
      <c r="B559" s="2"/>
    </row>
    <row r="560" customFormat="false" ht="15.75" hidden="false" customHeight="false" outlineLevel="0" collapsed="false">
      <c r="A560" s="2"/>
      <c r="B560" s="2"/>
    </row>
    <row r="561" customFormat="false" ht="15.75" hidden="false" customHeight="false" outlineLevel="0" collapsed="false">
      <c r="A561" s="2"/>
      <c r="B561" s="2"/>
    </row>
    <row r="562" customFormat="false" ht="15.75" hidden="false" customHeight="false" outlineLevel="0" collapsed="false">
      <c r="A562" s="2"/>
      <c r="B562" s="2"/>
    </row>
    <row r="563" customFormat="false" ht="15.75" hidden="false" customHeight="false" outlineLevel="0" collapsed="false">
      <c r="A563" s="2"/>
      <c r="B563" s="2"/>
    </row>
    <row r="564" customFormat="false" ht="15.75" hidden="false" customHeight="false" outlineLevel="0" collapsed="false">
      <c r="A564" s="2"/>
      <c r="B564" s="2"/>
    </row>
    <row r="565" customFormat="false" ht="15.75" hidden="false" customHeight="false" outlineLevel="0" collapsed="false">
      <c r="A565" s="2"/>
      <c r="B565" s="2"/>
    </row>
    <row r="566" customFormat="false" ht="15.75" hidden="false" customHeight="false" outlineLevel="0" collapsed="false">
      <c r="A566" s="2"/>
      <c r="B566" s="2"/>
    </row>
    <row r="567" customFormat="false" ht="15.75" hidden="false" customHeight="false" outlineLevel="0" collapsed="false">
      <c r="A567" s="2"/>
      <c r="B567" s="2"/>
    </row>
    <row r="568" customFormat="false" ht="15.75" hidden="false" customHeight="false" outlineLevel="0" collapsed="false">
      <c r="A568" s="2"/>
      <c r="B568" s="2"/>
    </row>
    <row r="569" customFormat="false" ht="15.75" hidden="false" customHeight="false" outlineLevel="0" collapsed="false">
      <c r="A569" s="2"/>
      <c r="B569" s="2"/>
    </row>
    <row r="570" customFormat="false" ht="15.75" hidden="false" customHeight="false" outlineLevel="0" collapsed="false">
      <c r="A570" s="2"/>
      <c r="B570" s="2"/>
    </row>
    <row r="571" customFormat="false" ht="15.75" hidden="false" customHeight="false" outlineLevel="0" collapsed="false">
      <c r="A571" s="2"/>
      <c r="B571" s="2"/>
    </row>
    <row r="572" customFormat="false" ht="15.75" hidden="false" customHeight="false" outlineLevel="0" collapsed="false">
      <c r="A572" s="2"/>
      <c r="B572" s="2"/>
    </row>
    <row r="573" customFormat="false" ht="15.75" hidden="false" customHeight="false" outlineLevel="0" collapsed="false">
      <c r="A573" s="2"/>
      <c r="B573" s="2"/>
    </row>
    <row r="574" customFormat="false" ht="15.75" hidden="false" customHeight="false" outlineLevel="0" collapsed="false">
      <c r="A574" s="2"/>
      <c r="B574" s="2"/>
    </row>
    <row r="575" customFormat="false" ht="15.75" hidden="false" customHeight="false" outlineLevel="0" collapsed="false">
      <c r="A575" s="2"/>
      <c r="B575" s="2"/>
    </row>
    <row r="576" customFormat="false" ht="15.75" hidden="false" customHeight="false" outlineLevel="0" collapsed="false">
      <c r="A576" s="2"/>
      <c r="B576" s="2"/>
    </row>
    <row r="577" customFormat="false" ht="15.75" hidden="false" customHeight="false" outlineLevel="0" collapsed="false">
      <c r="A577" s="2"/>
      <c r="B577" s="2"/>
    </row>
    <row r="578" customFormat="false" ht="15.75" hidden="false" customHeight="false" outlineLevel="0" collapsed="false">
      <c r="A578" s="2"/>
      <c r="B578" s="2"/>
    </row>
    <row r="579" customFormat="false" ht="15.75" hidden="false" customHeight="false" outlineLevel="0" collapsed="false">
      <c r="A579" s="2"/>
      <c r="B579" s="2"/>
    </row>
    <row r="580" customFormat="false" ht="15.75" hidden="false" customHeight="false" outlineLevel="0" collapsed="false">
      <c r="A580" s="2"/>
      <c r="B580" s="2"/>
    </row>
    <row r="581" customFormat="false" ht="15.75" hidden="false" customHeight="false" outlineLevel="0" collapsed="false">
      <c r="A581" s="2"/>
      <c r="B581" s="2"/>
    </row>
    <row r="582" customFormat="false" ht="15.75" hidden="false" customHeight="false" outlineLevel="0" collapsed="false">
      <c r="A582" s="2"/>
      <c r="B582" s="2"/>
    </row>
    <row r="583" customFormat="false" ht="15.75" hidden="false" customHeight="false" outlineLevel="0" collapsed="false">
      <c r="A583" s="2"/>
      <c r="B583" s="2"/>
    </row>
    <row r="584" customFormat="false" ht="15.75" hidden="false" customHeight="false" outlineLevel="0" collapsed="false">
      <c r="A584" s="2"/>
      <c r="B584" s="2"/>
    </row>
    <row r="585" customFormat="false" ht="15.75" hidden="false" customHeight="false" outlineLevel="0" collapsed="false">
      <c r="A585" s="2"/>
      <c r="B585" s="2"/>
    </row>
    <row r="586" customFormat="false" ht="15.75" hidden="false" customHeight="false" outlineLevel="0" collapsed="false">
      <c r="A586" s="2"/>
      <c r="B586" s="2"/>
    </row>
    <row r="587" customFormat="false" ht="15.75" hidden="false" customHeight="false" outlineLevel="0" collapsed="false">
      <c r="A587" s="2"/>
      <c r="B587" s="2"/>
    </row>
    <row r="588" customFormat="false" ht="15.75" hidden="false" customHeight="false" outlineLevel="0" collapsed="false">
      <c r="A588" s="2"/>
      <c r="B588" s="2"/>
    </row>
    <row r="589" customFormat="false" ht="15.75" hidden="false" customHeight="false" outlineLevel="0" collapsed="false">
      <c r="A589" s="2"/>
      <c r="B589" s="2"/>
    </row>
    <row r="590" customFormat="false" ht="15.75" hidden="false" customHeight="false" outlineLevel="0" collapsed="false">
      <c r="A590" s="2"/>
      <c r="B590" s="2"/>
    </row>
    <row r="591" customFormat="false" ht="15.75" hidden="false" customHeight="false" outlineLevel="0" collapsed="false">
      <c r="A591" s="2"/>
      <c r="B591" s="2"/>
    </row>
    <row r="592" customFormat="false" ht="15.75" hidden="false" customHeight="false" outlineLevel="0" collapsed="false">
      <c r="A592" s="2"/>
      <c r="B592" s="2"/>
    </row>
    <row r="593" customFormat="false" ht="15.75" hidden="false" customHeight="false" outlineLevel="0" collapsed="false">
      <c r="A593" s="2"/>
      <c r="B593" s="2"/>
    </row>
    <row r="594" customFormat="false" ht="15.75" hidden="false" customHeight="false" outlineLevel="0" collapsed="false">
      <c r="A594" s="2"/>
      <c r="B594" s="2"/>
    </row>
    <row r="595" customFormat="false" ht="15.75" hidden="false" customHeight="false" outlineLevel="0" collapsed="false">
      <c r="A595" s="2"/>
      <c r="B595" s="2"/>
    </row>
    <row r="596" customFormat="false" ht="15.75" hidden="false" customHeight="false" outlineLevel="0" collapsed="false">
      <c r="A596" s="2"/>
      <c r="B596" s="2"/>
    </row>
    <row r="597" customFormat="false" ht="15.75" hidden="false" customHeight="false" outlineLevel="0" collapsed="false">
      <c r="A597" s="2"/>
      <c r="B597" s="2"/>
    </row>
    <row r="598" customFormat="false" ht="15.75" hidden="false" customHeight="false" outlineLevel="0" collapsed="false">
      <c r="A598" s="2"/>
      <c r="B598" s="2"/>
    </row>
    <row r="599" customFormat="false" ht="15.75" hidden="false" customHeight="false" outlineLevel="0" collapsed="false">
      <c r="A599" s="2"/>
      <c r="B599" s="2"/>
    </row>
    <row r="600" customFormat="false" ht="15.75" hidden="false" customHeight="false" outlineLevel="0" collapsed="false">
      <c r="A600" s="2"/>
      <c r="B600" s="2"/>
    </row>
    <row r="601" customFormat="false" ht="15.75" hidden="false" customHeight="false" outlineLevel="0" collapsed="false">
      <c r="A601" s="2"/>
      <c r="B601" s="2"/>
    </row>
    <row r="602" customFormat="false" ht="15.75" hidden="false" customHeight="false" outlineLevel="0" collapsed="false">
      <c r="A602" s="2"/>
      <c r="B602" s="2"/>
    </row>
    <row r="603" customFormat="false" ht="15.75" hidden="false" customHeight="false" outlineLevel="0" collapsed="false">
      <c r="A603" s="2"/>
      <c r="B603" s="2"/>
    </row>
    <row r="604" customFormat="false" ht="15.75" hidden="false" customHeight="false" outlineLevel="0" collapsed="false">
      <c r="A604" s="2"/>
      <c r="B604" s="2"/>
    </row>
    <row r="605" customFormat="false" ht="15.75" hidden="false" customHeight="false" outlineLevel="0" collapsed="false">
      <c r="A605" s="2"/>
      <c r="B605" s="2"/>
    </row>
    <row r="606" customFormat="false" ht="15.75" hidden="false" customHeight="false" outlineLevel="0" collapsed="false">
      <c r="A606" s="2"/>
      <c r="B606" s="2"/>
    </row>
    <row r="607" customFormat="false" ht="15.75" hidden="false" customHeight="false" outlineLevel="0" collapsed="false">
      <c r="A607" s="2"/>
      <c r="B607" s="2"/>
    </row>
    <row r="608" customFormat="false" ht="15.75" hidden="false" customHeight="false" outlineLevel="0" collapsed="false">
      <c r="A608" s="2"/>
      <c r="B608" s="2"/>
    </row>
    <row r="609" customFormat="false" ht="15.75" hidden="false" customHeight="false" outlineLevel="0" collapsed="false">
      <c r="A609" s="2"/>
      <c r="B609" s="2"/>
    </row>
    <row r="610" customFormat="false" ht="15.75" hidden="false" customHeight="false" outlineLevel="0" collapsed="false">
      <c r="A610" s="2"/>
      <c r="B610" s="2"/>
    </row>
    <row r="611" customFormat="false" ht="15.75" hidden="false" customHeight="false" outlineLevel="0" collapsed="false">
      <c r="A611" s="2"/>
      <c r="B611" s="2"/>
    </row>
    <row r="612" customFormat="false" ht="15.75" hidden="false" customHeight="false" outlineLevel="0" collapsed="false">
      <c r="A612" s="2"/>
      <c r="B612" s="2"/>
    </row>
    <row r="613" customFormat="false" ht="15.75" hidden="false" customHeight="false" outlineLevel="0" collapsed="false">
      <c r="A613" s="2"/>
      <c r="B613" s="2"/>
    </row>
    <row r="614" customFormat="false" ht="15.75" hidden="false" customHeight="false" outlineLevel="0" collapsed="false">
      <c r="A614" s="2"/>
      <c r="B614" s="2"/>
    </row>
    <row r="615" customFormat="false" ht="15.75" hidden="false" customHeight="false" outlineLevel="0" collapsed="false">
      <c r="A615" s="2"/>
      <c r="B615" s="2"/>
    </row>
    <row r="616" customFormat="false" ht="15.75" hidden="false" customHeight="false" outlineLevel="0" collapsed="false">
      <c r="A616" s="2"/>
      <c r="B616" s="2"/>
    </row>
    <row r="617" customFormat="false" ht="15.75" hidden="false" customHeight="false" outlineLevel="0" collapsed="false">
      <c r="A617" s="2"/>
      <c r="B617" s="2"/>
    </row>
    <row r="618" customFormat="false" ht="15.75" hidden="false" customHeight="false" outlineLevel="0" collapsed="false">
      <c r="A618" s="2"/>
      <c r="B618" s="2"/>
    </row>
    <row r="619" customFormat="false" ht="15.75" hidden="false" customHeight="false" outlineLevel="0" collapsed="false">
      <c r="A619" s="2"/>
      <c r="B619" s="2"/>
    </row>
    <row r="620" customFormat="false" ht="15.75" hidden="false" customHeight="false" outlineLevel="0" collapsed="false">
      <c r="A620" s="2"/>
      <c r="B620" s="2"/>
    </row>
    <row r="621" customFormat="false" ht="15.75" hidden="false" customHeight="false" outlineLevel="0" collapsed="false">
      <c r="A621" s="2"/>
      <c r="B621" s="2"/>
    </row>
    <row r="622" customFormat="false" ht="15.75" hidden="false" customHeight="false" outlineLevel="0" collapsed="false">
      <c r="A622" s="2"/>
      <c r="B622" s="2"/>
    </row>
    <row r="623" customFormat="false" ht="15.75" hidden="false" customHeight="false" outlineLevel="0" collapsed="false">
      <c r="A623" s="2"/>
      <c r="B623" s="2"/>
    </row>
    <row r="624" customFormat="false" ht="15.75" hidden="false" customHeight="false" outlineLevel="0" collapsed="false">
      <c r="A624" s="2"/>
      <c r="B624" s="2"/>
    </row>
    <row r="625" customFormat="false" ht="15.75" hidden="false" customHeight="false" outlineLevel="0" collapsed="false">
      <c r="A625" s="2"/>
      <c r="B625" s="2"/>
    </row>
    <row r="626" customFormat="false" ht="15.75" hidden="false" customHeight="false" outlineLevel="0" collapsed="false">
      <c r="A626" s="2"/>
      <c r="B626" s="2"/>
    </row>
    <row r="627" customFormat="false" ht="15.75" hidden="false" customHeight="false" outlineLevel="0" collapsed="false">
      <c r="A627" s="2"/>
      <c r="B627" s="2"/>
    </row>
    <row r="628" customFormat="false" ht="15.75" hidden="false" customHeight="false" outlineLevel="0" collapsed="false">
      <c r="A628" s="2"/>
      <c r="B628" s="2"/>
    </row>
    <row r="629" customFormat="false" ht="15.75" hidden="false" customHeight="false" outlineLevel="0" collapsed="false">
      <c r="A629" s="2"/>
      <c r="B629" s="2"/>
    </row>
    <row r="630" customFormat="false" ht="15.75" hidden="false" customHeight="false" outlineLevel="0" collapsed="false">
      <c r="A630" s="2"/>
      <c r="B630" s="2"/>
    </row>
    <row r="631" customFormat="false" ht="15.75" hidden="false" customHeight="false" outlineLevel="0" collapsed="false">
      <c r="A631" s="2"/>
      <c r="B631" s="2"/>
    </row>
    <row r="632" customFormat="false" ht="15.75" hidden="false" customHeight="false" outlineLevel="0" collapsed="false">
      <c r="A632" s="2"/>
      <c r="B632" s="2"/>
    </row>
    <row r="633" customFormat="false" ht="15.75" hidden="false" customHeight="false" outlineLevel="0" collapsed="false">
      <c r="A633" s="2"/>
      <c r="B633" s="2"/>
    </row>
    <row r="634" customFormat="false" ht="15.75" hidden="false" customHeight="false" outlineLevel="0" collapsed="false">
      <c r="A634" s="2"/>
      <c r="B634" s="2"/>
    </row>
    <row r="635" customFormat="false" ht="15.75" hidden="false" customHeight="false" outlineLevel="0" collapsed="false">
      <c r="A635" s="2"/>
      <c r="B635" s="2"/>
    </row>
    <row r="636" customFormat="false" ht="15.75" hidden="false" customHeight="false" outlineLevel="0" collapsed="false">
      <c r="A636" s="2"/>
      <c r="B636" s="2"/>
    </row>
    <row r="637" customFormat="false" ht="15.75" hidden="false" customHeight="false" outlineLevel="0" collapsed="false">
      <c r="A637" s="2"/>
      <c r="B637" s="2"/>
    </row>
    <row r="638" customFormat="false" ht="15.75" hidden="false" customHeight="false" outlineLevel="0" collapsed="false">
      <c r="A638" s="2"/>
      <c r="B638" s="2"/>
    </row>
    <row r="639" customFormat="false" ht="15.75" hidden="false" customHeight="false" outlineLevel="0" collapsed="false">
      <c r="A639" s="2"/>
      <c r="B639" s="2"/>
    </row>
    <row r="640" customFormat="false" ht="15.75" hidden="false" customHeight="false" outlineLevel="0" collapsed="false">
      <c r="A640" s="2"/>
      <c r="B640" s="2"/>
    </row>
    <row r="641" customFormat="false" ht="15.75" hidden="false" customHeight="false" outlineLevel="0" collapsed="false">
      <c r="A641" s="2"/>
      <c r="B641" s="2"/>
    </row>
    <row r="642" customFormat="false" ht="15.75" hidden="false" customHeight="false" outlineLevel="0" collapsed="false">
      <c r="A642" s="2"/>
      <c r="B642" s="2"/>
    </row>
    <row r="643" customFormat="false" ht="15.75" hidden="false" customHeight="false" outlineLevel="0" collapsed="false">
      <c r="A643" s="2"/>
      <c r="B643" s="2"/>
    </row>
    <row r="644" customFormat="false" ht="15.75" hidden="false" customHeight="false" outlineLevel="0" collapsed="false">
      <c r="A644" s="2"/>
      <c r="B644" s="2"/>
    </row>
    <row r="645" customFormat="false" ht="15.75" hidden="false" customHeight="false" outlineLevel="0" collapsed="false">
      <c r="A645" s="2"/>
      <c r="B645" s="2"/>
    </row>
    <row r="646" customFormat="false" ht="15.75" hidden="false" customHeight="false" outlineLevel="0" collapsed="false">
      <c r="A646" s="2"/>
      <c r="B646" s="2"/>
    </row>
    <row r="647" customFormat="false" ht="15.75" hidden="false" customHeight="false" outlineLevel="0" collapsed="false">
      <c r="A647" s="2"/>
      <c r="B647" s="2"/>
    </row>
    <row r="648" customFormat="false" ht="15.75" hidden="false" customHeight="false" outlineLevel="0" collapsed="false">
      <c r="A648" s="2"/>
      <c r="B648" s="2"/>
    </row>
    <row r="649" customFormat="false" ht="15.75" hidden="false" customHeight="false" outlineLevel="0" collapsed="false">
      <c r="A649" s="2"/>
      <c r="B649" s="2"/>
    </row>
    <row r="650" customFormat="false" ht="15.75" hidden="false" customHeight="false" outlineLevel="0" collapsed="false">
      <c r="A650" s="2"/>
      <c r="B650" s="2"/>
    </row>
    <row r="651" customFormat="false" ht="15.75" hidden="false" customHeight="false" outlineLevel="0" collapsed="false">
      <c r="A651" s="2"/>
      <c r="B651" s="2"/>
    </row>
    <row r="652" customFormat="false" ht="15.75" hidden="false" customHeight="false" outlineLevel="0" collapsed="false">
      <c r="A652" s="2"/>
      <c r="B652" s="2"/>
    </row>
    <row r="653" customFormat="false" ht="15.75" hidden="false" customHeight="false" outlineLevel="0" collapsed="false">
      <c r="A653" s="2"/>
      <c r="B653" s="2"/>
    </row>
    <row r="654" customFormat="false" ht="15.75" hidden="false" customHeight="false" outlineLevel="0" collapsed="false">
      <c r="A654" s="2"/>
      <c r="B654" s="2"/>
    </row>
    <row r="655" customFormat="false" ht="15.75" hidden="false" customHeight="false" outlineLevel="0" collapsed="false">
      <c r="A655" s="2"/>
      <c r="B655" s="2"/>
    </row>
    <row r="656" customFormat="false" ht="15.75" hidden="false" customHeight="false" outlineLevel="0" collapsed="false">
      <c r="A656" s="2"/>
      <c r="B656" s="2"/>
    </row>
    <row r="657" customFormat="false" ht="15.75" hidden="false" customHeight="false" outlineLevel="0" collapsed="false">
      <c r="A657" s="2"/>
      <c r="B657" s="2"/>
    </row>
    <row r="658" customFormat="false" ht="15.75" hidden="false" customHeight="false" outlineLevel="0" collapsed="false">
      <c r="A658" s="2"/>
      <c r="B658" s="2"/>
    </row>
    <row r="659" customFormat="false" ht="15.75" hidden="false" customHeight="false" outlineLevel="0" collapsed="false">
      <c r="A659" s="2"/>
      <c r="B659" s="2"/>
    </row>
    <row r="660" customFormat="false" ht="15.75" hidden="false" customHeight="false" outlineLevel="0" collapsed="false">
      <c r="A660" s="2"/>
      <c r="B660" s="2"/>
    </row>
    <row r="661" customFormat="false" ht="15.75" hidden="false" customHeight="false" outlineLevel="0" collapsed="false">
      <c r="A661" s="2"/>
      <c r="B661" s="2"/>
    </row>
    <row r="662" customFormat="false" ht="15.75" hidden="false" customHeight="false" outlineLevel="0" collapsed="false">
      <c r="A662" s="2"/>
      <c r="B662" s="2"/>
    </row>
    <row r="663" customFormat="false" ht="15.75" hidden="false" customHeight="false" outlineLevel="0" collapsed="false">
      <c r="A663" s="2"/>
      <c r="B663" s="2"/>
    </row>
    <row r="664" customFormat="false" ht="15.75" hidden="false" customHeight="false" outlineLevel="0" collapsed="false">
      <c r="A664" s="2"/>
      <c r="B664" s="2"/>
    </row>
    <row r="665" customFormat="false" ht="15.75" hidden="false" customHeight="false" outlineLevel="0" collapsed="false">
      <c r="A665" s="2"/>
      <c r="B665" s="2"/>
    </row>
    <row r="666" customFormat="false" ht="15.75" hidden="false" customHeight="false" outlineLevel="0" collapsed="false">
      <c r="A666" s="2"/>
      <c r="B666" s="2"/>
    </row>
    <row r="667" customFormat="false" ht="15.75" hidden="false" customHeight="false" outlineLevel="0" collapsed="false">
      <c r="A667" s="2"/>
      <c r="B667" s="2"/>
    </row>
    <row r="668" customFormat="false" ht="15.75" hidden="false" customHeight="false" outlineLevel="0" collapsed="false">
      <c r="A668" s="2"/>
      <c r="B668" s="2"/>
    </row>
    <row r="669" customFormat="false" ht="15.75" hidden="false" customHeight="false" outlineLevel="0" collapsed="false">
      <c r="A669" s="2"/>
      <c r="B669" s="2"/>
    </row>
    <row r="670" customFormat="false" ht="15.75" hidden="false" customHeight="false" outlineLevel="0" collapsed="false">
      <c r="A670" s="2"/>
      <c r="B670" s="2"/>
    </row>
    <row r="671" customFormat="false" ht="15.75" hidden="false" customHeight="false" outlineLevel="0" collapsed="false">
      <c r="A671" s="2"/>
      <c r="B671" s="2"/>
    </row>
    <row r="672" customFormat="false" ht="15.75" hidden="false" customHeight="false" outlineLevel="0" collapsed="false">
      <c r="A672" s="2"/>
      <c r="B672" s="2"/>
    </row>
    <row r="673" customFormat="false" ht="15.75" hidden="false" customHeight="false" outlineLevel="0" collapsed="false">
      <c r="A673" s="2"/>
      <c r="B673" s="2"/>
    </row>
    <row r="674" customFormat="false" ht="15.75" hidden="false" customHeight="false" outlineLevel="0" collapsed="false">
      <c r="A674" s="2"/>
      <c r="B674" s="2"/>
    </row>
    <row r="675" customFormat="false" ht="15.75" hidden="false" customHeight="false" outlineLevel="0" collapsed="false">
      <c r="A675" s="2"/>
      <c r="B675" s="2"/>
    </row>
    <row r="676" customFormat="false" ht="15.75" hidden="false" customHeight="false" outlineLevel="0" collapsed="false">
      <c r="A676" s="2"/>
      <c r="B676" s="2"/>
    </row>
    <row r="677" customFormat="false" ht="15.75" hidden="false" customHeight="false" outlineLevel="0" collapsed="false">
      <c r="A677" s="2"/>
      <c r="B677" s="2"/>
    </row>
    <row r="678" customFormat="false" ht="15.75" hidden="false" customHeight="false" outlineLevel="0" collapsed="false">
      <c r="A678" s="2"/>
      <c r="B678" s="2"/>
    </row>
    <row r="679" customFormat="false" ht="15.75" hidden="false" customHeight="false" outlineLevel="0" collapsed="false">
      <c r="A679" s="2"/>
      <c r="B679" s="2"/>
    </row>
    <row r="680" customFormat="false" ht="15.75" hidden="false" customHeight="false" outlineLevel="0" collapsed="false">
      <c r="A680" s="2"/>
      <c r="B680" s="2"/>
    </row>
    <row r="681" customFormat="false" ht="15.75" hidden="false" customHeight="false" outlineLevel="0" collapsed="false">
      <c r="A681" s="2"/>
      <c r="B681" s="2"/>
    </row>
    <row r="682" customFormat="false" ht="15.75" hidden="false" customHeight="false" outlineLevel="0" collapsed="false">
      <c r="A682" s="2"/>
      <c r="B682" s="2"/>
    </row>
    <row r="683" customFormat="false" ht="15.75" hidden="false" customHeight="false" outlineLevel="0" collapsed="false">
      <c r="A683" s="2"/>
      <c r="B683" s="2"/>
    </row>
    <row r="684" customFormat="false" ht="15.75" hidden="false" customHeight="false" outlineLevel="0" collapsed="false">
      <c r="A684" s="2"/>
      <c r="B684" s="2"/>
    </row>
    <row r="685" customFormat="false" ht="15.75" hidden="false" customHeight="false" outlineLevel="0" collapsed="false">
      <c r="A685" s="2"/>
      <c r="B685" s="2"/>
    </row>
    <row r="686" customFormat="false" ht="15.75" hidden="false" customHeight="false" outlineLevel="0" collapsed="false">
      <c r="A686" s="2"/>
      <c r="B686" s="2"/>
    </row>
    <row r="687" customFormat="false" ht="15.75" hidden="false" customHeight="false" outlineLevel="0" collapsed="false">
      <c r="A687" s="2"/>
      <c r="B687" s="2"/>
    </row>
    <row r="688" customFormat="false" ht="15.75" hidden="false" customHeight="false" outlineLevel="0" collapsed="false">
      <c r="A688" s="2"/>
      <c r="B688" s="2"/>
    </row>
    <row r="689" customFormat="false" ht="15.75" hidden="false" customHeight="false" outlineLevel="0" collapsed="false">
      <c r="A689" s="2"/>
      <c r="B689" s="2"/>
    </row>
    <row r="690" customFormat="false" ht="15.75" hidden="false" customHeight="false" outlineLevel="0" collapsed="false">
      <c r="A690" s="2"/>
      <c r="B690" s="2"/>
    </row>
    <row r="691" customFormat="false" ht="15.75" hidden="false" customHeight="false" outlineLevel="0" collapsed="false">
      <c r="A691" s="2"/>
      <c r="B691" s="2"/>
    </row>
    <row r="692" customFormat="false" ht="15.75" hidden="false" customHeight="false" outlineLevel="0" collapsed="false">
      <c r="A692" s="2"/>
      <c r="B692" s="2"/>
    </row>
    <row r="693" customFormat="false" ht="15.75" hidden="false" customHeight="false" outlineLevel="0" collapsed="false">
      <c r="A693" s="2"/>
      <c r="B693" s="2"/>
    </row>
    <row r="694" customFormat="false" ht="15.75" hidden="false" customHeight="false" outlineLevel="0" collapsed="false">
      <c r="A694" s="2"/>
      <c r="B694" s="2"/>
    </row>
    <row r="695" customFormat="false" ht="15.75" hidden="false" customHeight="false" outlineLevel="0" collapsed="false">
      <c r="A695" s="2"/>
      <c r="B695" s="2"/>
    </row>
    <row r="696" customFormat="false" ht="15.75" hidden="false" customHeight="false" outlineLevel="0" collapsed="false">
      <c r="A696" s="2"/>
      <c r="B696" s="2"/>
    </row>
    <row r="697" customFormat="false" ht="15.75" hidden="false" customHeight="false" outlineLevel="0" collapsed="false">
      <c r="A697" s="2"/>
      <c r="B697" s="2"/>
    </row>
    <row r="698" customFormat="false" ht="15.75" hidden="false" customHeight="false" outlineLevel="0" collapsed="false">
      <c r="A698" s="2"/>
      <c r="B698" s="2"/>
    </row>
    <row r="699" customFormat="false" ht="15.75" hidden="false" customHeight="false" outlineLevel="0" collapsed="false">
      <c r="A699" s="2"/>
      <c r="B699" s="2"/>
    </row>
    <row r="700" customFormat="false" ht="15.75" hidden="false" customHeight="false" outlineLevel="0" collapsed="false">
      <c r="A700" s="2"/>
      <c r="B700" s="2"/>
    </row>
    <row r="701" customFormat="false" ht="15.75" hidden="false" customHeight="false" outlineLevel="0" collapsed="false">
      <c r="A701" s="2"/>
      <c r="B701" s="2"/>
    </row>
    <row r="702" customFormat="false" ht="15.75" hidden="false" customHeight="false" outlineLevel="0" collapsed="false">
      <c r="A702" s="2"/>
      <c r="B702" s="2"/>
    </row>
    <row r="703" customFormat="false" ht="15.75" hidden="false" customHeight="false" outlineLevel="0" collapsed="false">
      <c r="A703" s="2"/>
      <c r="B703" s="2"/>
    </row>
    <row r="704" customFormat="false" ht="15.75" hidden="false" customHeight="false" outlineLevel="0" collapsed="false">
      <c r="A704" s="2"/>
      <c r="B704" s="2"/>
    </row>
    <row r="705" customFormat="false" ht="15.75" hidden="false" customHeight="false" outlineLevel="0" collapsed="false">
      <c r="A705" s="2"/>
      <c r="B705" s="2"/>
    </row>
    <row r="706" customFormat="false" ht="15.75" hidden="false" customHeight="false" outlineLevel="0" collapsed="false">
      <c r="A706" s="2"/>
      <c r="B706" s="2"/>
    </row>
    <row r="707" customFormat="false" ht="15.75" hidden="false" customHeight="false" outlineLevel="0" collapsed="false">
      <c r="A707" s="2"/>
      <c r="B707" s="2"/>
    </row>
    <row r="708" customFormat="false" ht="15.75" hidden="false" customHeight="false" outlineLevel="0" collapsed="false">
      <c r="A708" s="2"/>
      <c r="B708" s="2"/>
    </row>
    <row r="709" customFormat="false" ht="15.75" hidden="false" customHeight="false" outlineLevel="0" collapsed="false">
      <c r="A709" s="2"/>
      <c r="B709" s="2"/>
    </row>
    <row r="710" customFormat="false" ht="15.75" hidden="false" customHeight="false" outlineLevel="0" collapsed="false">
      <c r="A710" s="2"/>
      <c r="B710" s="2"/>
    </row>
    <row r="711" customFormat="false" ht="15.75" hidden="false" customHeight="false" outlineLevel="0" collapsed="false">
      <c r="A711" s="2"/>
      <c r="B711" s="2"/>
    </row>
    <row r="712" customFormat="false" ht="15.75" hidden="false" customHeight="false" outlineLevel="0" collapsed="false">
      <c r="A712" s="2"/>
      <c r="B712" s="2"/>
    </row>
    <row r="713" customFormat="false" ht="15.75" hidden="false" customHeight="false" outlineLevel="0" collapsed="false">
      <c r="A713" s="2"/>
      <c r="B713" s="2"/>
    </row>
    <row r="714" customFormat="false" ht="15.75" hidden="false" customHeight="false" outlineLevel="0" collapsed="false">
      <c r="A714" s="2"/>
      <c r="B714" s="2"/>
    </row>
    <row r="715" customFormat="false" ht="15.75" hidden="false" customHeight="false" outlineLevel="0" collapsed="false">
      <c r="A715" s="2"/>
      <c r="B715" s="2"/>
    </row>
    <row r="716" customFormat="false" ht="15.75" hidden="false" customHeight="false" outlineLevel="0" collapsed="false">
      <c r="A716" s="2"/>
      <c r="B716" s="2"/>
    </row>
    <row r="717" customFormat="false" ht="15.75" hidden="false" customHeight="false" outlineLevel="0" collapsed="false">
      <c r="A717" s="2"/>
      <c r="B717" s="2"/>
    </row>
    <row r="718" customFormat="false" ht="15.75" hidden="false" customHeight="false" outlineLevel="0" collapsed="false">
      <c r="A718" s="2"/>
      <c r="B718" s="2"/>
    </row>
    <row r="719" customFormat="false" ht="15.75" hidden="false" customHeight="false" outlineLevel="0" collapsed="false">
      <c r="A719" s="2"/>
      <c r="B719" s="2"/>
    </row>
    <row r="720" customFormat="false" ht="15.75" hidden="false" customHeight="false" outlineLevel="0" collapsed="false">
      <c r="A720" s="2"/>
      <c r="B720" s="2"/>
    </row>
    <row r="721" customFormat="false" ht="15.75" hidden="false" customHeight="false" outlineLevel="0" collapsed="false">
      <c r="A721" s="2"/>
      <c r="B721" s="2"/>
    </row>
    <row r="722" customFormat="false" ht="15.75" hidden="false" customHeight="false" outlineLevel="0" collapsed="false">
      <c r="A722" s="2"/>
      <c r="B722" s="2"/>
    </row>
    <row r="723" customFormat="false" ht="15.75" hidden="false" customHeight="false" outlineLevel="0" collapsed="false">
      <c r="A723" s="2"/>
      <c r="B723" s="2"/>
    </row>
    <row r="724" customFormat="false" ht="15.75" hidden="false" customHeight="false" outlineLevel="0" collapsed="false">
      <c r="A724" s="2"/>
      <c r="B724" s="2"/>
    </row>
    <row r="725" customFormat="false" ht="15.75" hidden="false" customHeight="false" outlineLevel="0" collapsed="false">
      <c r="A725" s="2"/>
      <c r="B725" s="2"/>
    </row>
    <row r="726" customFormat="false" ht="15.75" hidden="false" customHeight="false" outlineLevel="0" collapsed="false">
      <c r="A726" s="2"/>
      <c r="B726" s="2"/>
    </row>
    <row r="727" customFormat="false" ht="15.75" hidden="false" customHeight="false" outlineLevel="0" collapsed="false">
      <c r="A727" s="2"/>
      <c r="B727" s="2"/>
    </row>
    <row r="728" customFormat="false" ht="15.75" hidden="false" customHeight="false" outlineLevel="0" collapsed="false">
      <c r="A728" s="2"/>
      <c r="B728" s="2"/>
    </row>
    <row r="729" customFormat="false" ht="15.75" hidden="false" customHeight="false" outlineLevel="0" collapsed="false">
      <c r="A729" s="2"/>
      <c r="B729" s="2"/>
    </row>
    <row r="730" customFormat="false" ht="15.75" hidden="false" customHeight="false" outlineLevel="0" collapsed="false">
      <c r="A730" s="2"/>
      <c r="B730" s="2"/>
    </row>
    <row r="731" customFormat="false" ht="15.75" hidden="false" customHeight="false" outlineLevel="0" collapsed="false">
      <c r="A731" s="2"/>
      <c r="B731" s="2"/>
    </row>
    <row r="732" customFormat="false" ht="15.75" hidden="false" customHeight="false" outlineLevel="0" collapsed="false">
      <c r="A732" s="2"/>
      <c r="B732" s="2"/>
    </row>
    <row r="733" customFormat="false" ht="15.75" hidden="false" customHeight="false" outlineLevel="0" collapsed="false">
      <c r="A733" s="2"/>
      <c r="B733" s="2"/>
    </row>
    <row r="734" customFormat="false" ht="15.75" hidden="false" customHeight="false" outlineLevel="0" collapsed="false">
      <c r="A734" s="2"/>
      <c r="B734" s="2"/>
    </row>
    <row r="735" customFormat="false" ht="15.75" hidden="false" customHeight="false" outlineLevel="0" collapsed="false">
      <c r="A735" s="2"/>
      <c r="B735" s="2"/>
    </row>
    <row r="736" customFormat="false" ht="15.75" hidden="false" customHeight="false" outlineLevel="0" collapsed="false">
      <c r="A736" s="2"/>
      <c r="B736" s="2"/>
    </row>
    <row r="737" customFormat="false" ht="15.75" hidden="false" customHeight="false" outlineLevel="0" collapsed="false">
      <c r="A737" s="2"/>
      <c r="B737" s="2"/>
    </row>
    <row r="738" customFormat="false" ht="15.75" hidden="false" customHeight="false" outlineLevel="0" collapsed="false">
      <c r="A738" s="2"/>
      <c r="B738" s="2"/>
    </row>
    <row r="739" customFormat="false" ht="15.75" hidden="false" customHeight="false" outlineLevel="0" collapsed="false">
      <c r="A739" s="2"/>
      <c r="B739" s="2"/>
    </row>
    <row r="740" customFormat="false" ht="15.75" hidden="false" customHeight="false" outlineLevel="0" collapsed="false">
      <c r="A740" s="2"/>
      <c r="B740" s="2"/>
    </row>
    <row r="741" customFormat="false" ht="15.75" hidden="false" customHeight="false" outlineLevel="0" collapsed="false">
      <c r="A741" s="2"/>
      <c r="B741" s="2"/>
    </row>
    <row r="742" customFormat="false" ht="15.75" hidden="false" customHeight="false" outlineLevel="0" collapsed="false">
      <c r="A742" s="2"/>
      <c r="B742" s="2"/>
    </row>
    <row r="743" customFormat="false" ht="15.75" hidden="false" customHeight="false" outlineLevel="0" collapsed="false">
      <c r="A743" s="2"/>
      <c r="B743" s="2"/>
    </row>
    <row r="744" customFormat="false" ht="15.75" hidden="false" customHeight="false" outlineLevel="0" collapsed="false">
      <c r="A744" s="2"/>
      <c r="B744" s="2"/>
    </row>
    <row r="745" customFormat="false" ht="15.75" hidden="false" customHeight="false" outlineLevel="0" collapsed="false">
      <c r="A745" s="2"/>
      <c r="B745" s="2"/>
    </row>
    <row r="746" customFormat="false" ht="15.75" hidden="false" customHeight="false" outlineLevel="0" collapsed="false">
      <c r="A746" s="2"/>
      <c r="B746" s="2"/>
    </row>
    <row r="747" customFormat="false" ht="15.75" hidden="false" customHeight="false" outlineLevel="0" collapsed="false">
      <c r="A747" s="2"/>
      <c r="B747" s="2"/>
    </row>
    <row r="748" customFormat="false" ht="15.75" hidden="false" customHeight="false" outlineLevel="0" collapsed="false">
      <c r="A748" s="2"/>
      <c r="B748" s="2"/>
    </row>
    <row r="749" customFormat="false" ht="15.75" hidden="false" customHeight="false" outlineLevel="0" collapsed="false">
      <c r="A749" s="2"/>
      <c r="B749" s="2"/>
    </row>
    <row r="750" customFormat="false" ht="15.75" hidden="false" customHeight="false" outlineLevel="0" collapsed="false">
      <c r="A750" s="2"/>
      <c r="B750" s="2"/>
    </row>
    <row r="751" customFormat="false" ht="15.75" hidden="false" customHeight="false" outlineLevel="0" collapsed="false">
      <c r="A751" s="2"/>
      <c r="B751" s="2"/>
    </row>
    <row r="752" customFormat="false" ht="15.75" hidden="false" customHeight="false" outlineLevel="0" collapsed="false">
      <c r="A752" s="2"/>
      <c r="B752" s="2"/>
    </row>
    <row r="753" customFormat="false" ht="15.75" hidden="false" customHeight="false" outlineLevel="0" collapsed="false">
      <c r="A753" s="2"/>
      <c r="B753" s="2"/>
    </row>
    <row r="754" customFormat="false" ht="15.75" hidden="false" customHeight="false" outlineLevel="0" collapsed="false">
      <c r="A754" s="2"/>
      <c r="B754" s="2"/>
    </row>
    <row r="755" customFormat="false" ht="15.75" hidden="false" customHeight="false" outlineLevel="0" collapsed="false">
      <c r="A755" s="2"/>
      <c r="B755" s="2"/>
    </row>
    <row r="756" customFormat="false" ht="15.75" hidden="false" customHeight="false" outlineLevel="0" collapsed="false">
      <c r="A756" s="2"/>
      <c r="B756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2026-10-06T20:24:37Z</dcterms:modified>
  <cp:revision>1</cp:revision>
  <dc:subject/>
  <dc:title/>
</cp:coreProperties>
</file>